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КИ\04,09 Горняк(Горловка_Луганск) на погрузку с филиалами 12,09\"/>
    </mc:Choice>
  </mc:AlternateContent>
  <xr:revisionPtr revIDLastSave="0" documentId="13_ncr:1_{31937BC7-74A3-46D3-B4DF-A483C4334630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заказа'!$A$18:$AF$493</definedName>
    <definedName name="CodeProxySet">Setting!$E$24:$E$25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Setting!$B$6:$B$11</definedName>
    <definedName name="DeliveryCodeAdressList">Setting!$C$6:$C$11</definedName>
    <definedName name="DeliveryConditions">'Бланк заказа'!$V$12</definedName>
    <definedName name="DeliveryConditionsList">Setting!$B$25:$B$35</definedName>
    <definedName name="DeliveryDate">'Бланк заказа'!$Q$9</definedName>
    <definedName name="DeliveryMethodList">Setting!$B$3:$B$4</definedName>
    <definedName name="DeliveryNumAdressList">Setting!$D$6:$D$11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Setting!$C$24:$C$25</definedName>
    <definedName name="GrossWeightTotal">'Бланк заказа'!$X$489:$X$489</definedName>
    <definedName name="GrossWeightTotalR">'Бланк заказа'!$Y$489:$Y$489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Setting!$B$24:$B$25</definedName>
    <definedName name="PalletQtyTotal">'Бланк заказа'!$X$490:$X$490</definedName>
    <definedName name="PalletQtyTotalR">'Бланк заказа'!$Y$490:$Y$490</definedName>
    <definedName name="PassportProxy">'Бланк заказа'!$J$9:$M$9</definedName>
    <definedName name="PassportProxySet">Setting!$D$24:$D$25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заказа'!$B$229:$B$229</definedName>
    <definedName name="ProductId109">'Бланк заказа'!$B$230:$B$230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заказа'!$B$245:$B$245</definedName>
    <definedName name="ProductId118">'Бланк заказа'!$B$249:$B$249</definedName>
    <definedName name="ProductId119">'Бланк заказа'!$B$253:$B$253</definedName>
    <definedName name="ProductId12">'Бланк заказа'!$B$44:$B$44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заказа'!$B$262:$B$262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заказа'!$B$271:$B$271</definedName>
    <definedName name="ProductId13">'Бланк заказа'!$B$48:$B$48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заказа'!$B$279:$B$279</definedName>
    <definedName name="ProductId134">'Бланк заказа'!$B$280:$B$280</definedName>
    <definedName name="ProductId135">'Бланк заказа'!$B$281:$B$281</definedName>
    <definedName name="ProductId136">'Бланк заказа'!$B$286:$B$286</definedName>
    <definedName name="ProductId137">'Бланк заказа'!$B$287:$B$287</definedName>
    <definedName name="ProductId138">'Бланк заказа'!$B$291:$B$291</definedName>
    <definedName name="ProductId139">'Бланк заказа'!$B$292:$B$292</definedName>
    <definedName name="ProductId14">'Бланк заказа'!$B$53:$B$53</definedName>
    <definedName name="ProductId140">'Бланк заказа'!$B$297:$B$297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заказа'!$B$305:$B$305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заказа'!$B$384:$B$384</definedName>
    <definedName name="ProductId185">'Бланк заказа'!$B$385:$B$385</definedName>
    <definedName name="ProductId186">'Бланк заказа'!$B$386:$B$386</definedName>
    <definedName name="ProductId187">'Бланк заказа'!$B$392:$B$392</definedName>
    <definedName name="ProductId188">'Бланк заказа'!$B$393:$B$393</definedName>
    <definedName name="ProductId189">'Бланк заказа'!$B$394:$B$394</definedName>
    <definedName name="ProductId19">'Бланк заказа'!$B$58:$B$58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заказа'!$B$404:$B$404</definedName>
    <definedName name="ProductId197">'Бланк заказа'!$B$405:$B$405</definedName>
    <definedName name="ProductId198">'Бланк заказа'!$B$410:$B$410</definedName>
    <definedName name="ProductId199">'Бланк заказа'!$B$414:$B$414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заказа'!$B$421:$B$421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заказа'!$B$442:$B$442</definedName>
    <definedName name="ProductId216">'Бланк заказа'!$B$443:$B$443</definedName>
    <definedName name="ProductId217">'Бланк заказа'!$B$444:$B$444</definedName>
    <definedName name="ProductId218">'Бланк заказа'!$B$448:$B$448</definedName>
    <definedName name="ProductId219">'Бланк заказа'!$B$449:$B$449</definedName>
    <definedName name="ProductId22">'Бланк заказа'!$B$64:$B$64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заказа'!$B$460:$B$460</definedName>
    <definedName name="ProductId226">'Бланк заказа'!$B$461:$B$461</definedName>
    <definedName name="ProductId227">'Бланк заказа'!$B$462:$B$462</definedName>
    <definedName name="ProductId228">'Бланк заказа'!$B$463:$B$463</definedName>
    <definedName name="ProductId229">'Бланк заказа'!$B$467:$B$467</definedName>
    <definedName name="ProductId23">'Бланк заказа'!$B$65:$B$65</definedName>
    <definedName name="ProductId230">'Бланк заказа'!$B$471:$B$471</definedName>
    <definedName name="ProductId231">'Бланк заказа'!$B$475:$B$475</definedName>
    <definedName name="ProductId232">'Бланк заказа'!$B$479:$B$479</definedName>
    <definedName name="ProductId233">'Бланк заказа'!$B$480:$B$480</definedName>
    <definedName name="ProductId234">'Бланк заказа'!$B$485:$B$485</definedName>
    <definedName name="ProductId24">'Бланк заказа'!$B$69:$B$69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заказа'!$B$89:$B$89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заказа'!$B$96:$B$96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заказа'!$B$105:$B$105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заказа'!$B$112:$B$112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заказа'!$B$119:$B$119</definedName>
    <definedName name="ProductId52">'Бланк заказа'!$B$123:$B$123</definedName>
    <definedName name="ProductId53">'Бланк заказа'!$B$128:$B$128</definedName>
    <definedName name="ProductId54">'Бланк заказа'!$B$129:$B$129</definedName>
    <definedName name="ProductId55">'Бланк заказа'!$B$133:$B$133</definedName>
    <definedName name="ProductId56">'Бланк заказа'!$B$134:$B$134</definedName>
    <definedName name="ProductId57">'Бланк заказа'!$B$138:$B$138</definedName>
    <definedName name="ProductId58">'Бланк заказа'!$B$139:$B$139</definedName>
    <definedName name="ProductId59">'Бланк заказа'!$B$144:$B$144</definedName>
    <definedName name="ProductId6">'Бланк заказа'!$B$30:$B$30</definedName>
    <definedName name="ProductId60">'Бланк заказа'!$B$145:$B$145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заказа'!$B$32:$B$32</definedName>
    <definedName name="ProductId80">'Бланк заказа'!$B$179:$B$179</definedName>
    <definedName name="ProductId81">'Бланк заказа'!$B$180:$B$180</definedName>
    <definedName name="ProductId82">'Бланк заказа'!$B$181:$B$181</definedName>
    <definedName name="ProductId83">'Бланк заказа'!$B$185:$B$185</definedName>
    <definedName name="ProductId84">'Бланк заказа'!$B$186:$B$186</definedName>
    <definedName name="ProductId85">'Бланк заказа'!$B$187:$B$187</definedName>
    <definedName name="ProductId86">'Бланк заказа'!$B$191:$B$191</definedName>
    <definedName name="ProductId87">'Бланк заказа'!$B$196:$B$196</definedName>
    <definedName name="ProductId88">'Бланк заказа'!$B$197:$B$197</definedName>
    <definedName name="ProductId89">'Бланк заказа'!$B$201:$B$201</definedName>
    <definedName name="ProductId9">'Бланк заказа'!$B$36:$B$36</definedName>
    <definedName name="ProductId90">'Бланк заказа'!$B$202:$B$202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заказа'!$B$217:$B$217</definedName>
    <definedName name="Proxy">Setting!$B$24:$E$25</definedName>
    <definedName name="Ref_UnloadCodeAdressList0001">Setting!$C$13:$C$13</definedName>
    <definedName name="Ref_UnloadCodeAdressList0002">Setting!$C$15:$C$15</definedName>
    <definedName name="Ref_UnloadCodeAdressList0003">Setting!$C$17:$C$17</definedName>
    <definedName name="Ref_UnloadCodeAdressList0004">Setting!$C$19:$C$19</definedName>
    <definedName name="Ref_UnloadCodeAdressList0005">Setting!$C$21:$C$21</definedName>
    <definedName name="Ref_UnloadCodeAdressList0006">Setting!$C$23:$C$23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заказа'!$X$229:$X$229</definedName>
    <definedName name="SalesQty109">'Бланк заказа'!$X$230:$X$230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заказа'!$X$245:$X$245</definedName>
    <definedName name="SalesQty118">'Бланк заказа'!$X$249:$X$249</definedName>
    <definedName name="SalesQty119">'Бланк заказа'!$X$253:$X$253</definedName>
    <definedName name="SalesQty12">'Бланк заказа'!$X$44:$X$44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заказа'!$X$262:$X$262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заказа'!$X$271:$X$271</definedName>
    <definedName name="SalesQty13">'Бланк заказа'!$X$48:$X$48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заказа'!$X$279:$X$279</definedName>
    <definedName name="SalesQty134">'Бланк заказа'!$X$280:$X$280</definedName>
    <definedName name="SalesQty135">'Бланк заказа'!$X$281:$X$281</definedName>
    <definedName name="SalesQty136">'Бланк заказа'!$X$286:$X$286</definedName>
    <definedName name="SalesQty137">'Бланк заказа'!$X$287:$X$287</definedName>
    <definedName name="SalesQty138">'Бланк заказа'!$X$291:$X$291</definedName>
    <definedName name="SalesQty139">'Бланк заказа'!$X$292:$X$292</definedName>
    <definedName name="SalesQty14">'Бланк заказа'!$X$53:$X$53</definedName>
    <definedName name="SalesQty140">'Бланк заказа'!$X$297:$X$297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заказа'!$X$305:$X$305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заказа'!$X$384:$X$384</definedName>
    <definedName name="SalesQty185">'Бланк заказа'!$X$385:$X$385</definedName>
    <definedName name="SalesQty186">'Бланк заказа'!$X$386:$X$386</definedName>
    <definedName name="SalesQty187">'Бланк заказа'!$X$392:$X$392</definedName>
    <definedName name="SalesQty188">'Бланк заказа'!$X$393:$X$393</definedName>
    <definedName name="SalesQty189">'Бланк заказа'!$X$394:$X$394</definedName>
    <definedName name="SalesQty19">'Бланк заказа'!$X$58:$X$58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заказа'!$X$404:$X$404</definedName>
    <definedName name="SalesQty197">'Бланк заказа'!$X$405:$X$405</definedName>
    <definedName name="SalesQty198">'Бланк заказа'!$X$410:$X$410</definedName>
    <definedName name="SalesQty199">'Бланк заказа'!$X$414:$X$414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заказа'!$X$421:$X$421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заказа'!$X$442:$X$442</definedName>
    <definedName name="SalesQty216">'Бланк заказа'!$X$443:$X$443</definedName>
    <definedName name="SalesQty217">'Бланк заказа'!$X$444:$X$444</definedName>
    <definedName name="SalesQty218">'Бланк заказа'!$X$448:$X$448</definedName>
    <definedName name="SalesQty219">'Бланк заказа'!$X$449:$X$449</definedName>
    <definedName name="SalesQty22">'Бланк заказа'!$X$64:$X$64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заказа'!$X$460:$X$460</definedName>
    <definedName name="SalesQty226">'Бланк заказа'!$X$461:$X$461</definedName>
    <definedName name="SalesQty227">'Бланк заказа'!$X$462:$X$462</definedName>
    <definedName name="SalesQty228">'Бланк заказа'!$X$463:$X$463</definedName>
    <definedName name="SalesQty229">'Бланк заказа'!$X$467:$X$467</definedName>
    <definedName name="SalesQty23">'Бланк заказа'!$X$65:$X$65</definedName>
    <definedName name="SalesQty230">'Бланк заказа'!$X$471:$X$471</definedName>
    <definedName name="SalesQty231">'Бланк заказа'!$X$475:$X$475</definedName>
    <definedName name="SalesQty232">'Бланк заказа'!$X$479:$X$479</definedName>
    <definedName name="SalesQty233">'Бланк заказа'!$X$480:$X$480</definedName>
    <definedName name="SalesQty234">'Бланк заказа'!$X$485:$X$485</definedName>
    <definedName name="SalesQty24">'Бланк заказа'!$X$69:$X$69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заказа'!$X$89:$X$89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заказа'!$X$96:$X$96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заказа'!$X$105:$X$105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заказа'!$X$112:$X$112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заказа'!$X$119:$X$119</definedName>
    <definedName name="SalesQty52">'Бланк заказа'!$X$123:$X$123</definedName>
    <definedName name="SalesQty53">'Бланк заказа'!$X$128:$X$128</definedName>
    <definedName name="SalesQty54">'Бланк заказа'!$X$129:$X$129</definedName>
    <definedName name="SalesQty55">'Бланк заказа'!$X$133:$X$133</definedName>
    <definedName name="SalesQty56">'Бланк заказа'!$X$134:$X$134</definedName>
    <definedName name="SalesQty57">'Бланк заказа'!$X$138:$X$138</definedName>
    <definedName name="SalesQty58">'Бланк заказа'!$X$139:$X$139</definedName>
    <definedName name="SalesQty59">'Бланк заказа'!$X$144:$X$144</definedName>
    <definedName name="SalesQty6">'Бланк заказа'!$X$30:$X$30</definedName>
    <definedName name="SalesQty60">'Бланк заказа'!$X$145:$X$145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заказа'!$X$32:$X$32</definedName>
    <definedName name="SalesQty80">'Бланк заказа'!$X$179:$X$179</definedName>
    <definedName name="SalesQty81">'Бланк заказа'!$X$180:$X$180</definedName>
    <definedName name="SalesQty82">'Бланк заказа'!$X$181:$X$181</definedName>
    <definedName name="SalesQty83">'Бланк заказа'!$X$185:$X$185</definedName>
    <definedName name="SalesQty84">'Бланк заказа'!$X$186:$X$186</definedName>
    <definedName name="SalesQty85">'Бланк заказа'!$X$187:$X$187</definedName>
    <definedName name="SalesQty86">'Бланк заказа'!$X$191:$X$191</definedName>
    <definedName name="SalesQty87">'Бланк заказа'!$X$196:$X$196</definedName>
    <definedName name="SalesQty88">'Бланк заказа'!$X$197:$X$197</definedName>
    <definedName name="SalesQty89">'Бланк заказа'!$X$201:$X$201</definedName>
    <definedName name="SalesQty9">'Бланк заказа'!$X$36:$X$36</definedName>
    <definedName name="SalesQty90">'Бланк заказа'!$X$202:$X$202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заказа'!$Y$229:$Y$229</definedName>
    <definedName name="SalesRoundBox109">'Бланк заказа'!$Y$230:$Y$230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заказа'!$Y$245:$Y$245</definedName>
    <definedName name="SalesRoundBox118">'Бланк заказа'!$Y$249:$Y$249</definedName>
    <definedName name="SalesRoundBox119">'Бланк заказа'!$Y$253:$Y$253</definedName>
    <definedName name="SalesRoundBox12">'Бланк заказа'!$Y$44:$Y$44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заказа'!$Y$262:$Y$262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заказа'!$Y$271:$Y$271</definedName>
    <definedName name="SalesRoundBox13">'Бланк заказа'!$Y$48:$Y$48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заказа'!$Y$279:$Y$279</definedName>
    <definedName name="SalesRoundBox134">'Бланк заказа'!$Y$280:$Y$280</definedName>
    <definedName name="SalesRoundBox135">'Бланк заказа'!$Y$281:$Y$281</definedName>
    <definedName name="SalesRoundBox136">'Бланк заказа'!$Y$286:$Y$286</definedName>
    <definedName name="SalesRoundBox137">'Бланк заказа'!$Y$287:$Y$287</definedName>
    <definedName name="SalesRoundBox138">'Бланк заказа'!$Y$291:$Y$291</definedName>
    <definedName name="SalesRoundBox139">'Бланк заказа'!$Y$292:$Y$292</definedName>
    <definedName name="SalesRoundBox14">'Бланк заказа'!$Y$53:$Y$53</definedName>
    <definedName name="SalesRoundBox140">'Бланк заказа'!$Y$297:$Y$297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заказа'!$Y$305:$Y$305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заказа'!$Y$384:$Y$384</definedName>
    <definedName name="SalesRoundBox185">'Бланк заказа'!$Y$385:$Y$385</definedName>
    <definedName name="SalesRoundBox186">'Бланк заказа'!$Y$386:$Y$386</definedName>
    <definedName name="SalesRoundBox187">'Бланк заказа'!$Y$392:$Y$392</definedName>
    <definedName name="SalesRoundBox188">'Бланк заказа'!$Y$393:$Y$393</definedName>
    <definedName name="SalesRoundBox189">'Бланк заказа'!$Y$394:$Y$394</definedName>
    <definedName name="SalesRoundBox19">'Бланк заказа'!$Y$58:$Y$58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заказа'!$Y$404:$Y$404</definedName>
    <definedName name="SalesRoundBox197">'Бланк заказа'!$Y$405:$Y$405</definedName>
    <definedName name="SalesRoundBox198">'Бланк заказа'!$Y$410:$Y$410</definedName>
    <definedName name="SalesRoundBox199">'Бланк заказа'!$Y$414:$Y$414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заказа'!$Y$421:$Y$421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заказа'!$Y$442:$Y$442</definedName>
    <definedName name="SalesRoundBox216">'Бланк заказа'!$Y$443:$Y$443</definedName>
    <definedName name="SalesRoundBox217">'Бланк заказа'!$Y$444:$Y$444</definedName>
    <definedName name="SalesRoundBox218">'Бланк заказа'!$Y$448:$Y$448</definedName>
    <definedName name="SalesRoundBox219">'Бланк заказа'!$Y$449:$Y$449</definedName>
    <definedName name="SalesRoundBox22">'Бланк заказа'!$Y$64:$Y$64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заказа'!$Y$460:$Y$460</definedName>
    <definedName name="SalesRoundBox226">'Бланк заказа'!$Y$461:$Y$461</definedName>
    <definedName name="SalesRoundBox227">'Бланк заказа'!$Y$462:$Y$462</definedName>
    <definedName name="SalesRoundBox228">'Бланк заказа'!$Y$463:$Y$463</definedName>
    <definedName name="SalesRoundBox229">'Бланк заказа'!$Y$467:$Y$467</definedName>
    <definedName name="SalesRoundBox23">'Бланк заказа'!$Y$65:$Y$65</definedName>
    <definedName name="SalesRoundBox230">'Бланк заказа'!$Y$471:$Y$471</definedName>
    <definedName name="SalesRoundBox231">'Бланк заказа'!$Y$475:$Y$475</definedName>
    <definedName name="SalesRoundBox232">'Бланк заказа'!$Y$479:$Y$479</definedName>
    <definedName name="SalesRoundBox233">'Бланк заказа'!$Y$480:$Y$480</definedName>
    <definedName name="SalesRoundBox234">'Бланк заказа'!$Y$485:$Y$485</definedName>
    <definedName name="SalesRoundBox24">'Бланк заказа'!$Y$69:$Y$69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заказа'!$Y$89:$Y$89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заказа'!$Y$96:$Y$96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заказа'!$Y$105:$Y$105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заказа'!$Y$112:$Y$112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заказа'!$Y$119:$Y$119</definedName>
    <definedName name="SalesRoundBox52">'Бланк заказа'!$Y$123:$Y$123</definedName>
    <definedName name="SalesRoundBox53">'Бланк заказа'!$Y$128:$Y$128</definedName>
    <definedName name="SalesRoundBox54">'Бланк заказа'!$Y$129:$Y$129</definedName>
    <definedName name="SalesRoundBox55">'Бланк заказа'!$Y$133:$Y$133</definedName>
    <definedName name="SalesRoundBox56">'Бланк заказа'!$Y$134:$Y$134</definedName>
    <definedName name="SalesRoundBox57">'Бланк заказа'!$Y$138:$Y$138</definedName>
    <definedName name="SalesRoundBox58">'Бланк заказа'!$Y$139:$Y$139</definedName>
    <definedName name="SalesRoundBox59">'Бланк заказа'!$Y$144:$Y$144</definedName>
    <definedName name="SalesRoundBox6">'Бланк заказа'!$Y$30:$Y$30</definedName>
    <definedName name="SalesRoundBox60">'Бланк заказа'!$Y$145:$Y$145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заказа'!$Y$32:$Y$32</definedName>
    <definedName name="SalesRoundBox80">'Бланк заказа'!$Y$179:$Y$179</definedName>
    <definedName name="SalesRoundBox81">'Бланк заказа'!$Y$180:$Y$180</definedName>
    <definedName name="SalesRoundBox82">'Бланк заказа'!$Y$181:$Y$181</definedName>
    <definedName name="SalesRoundBox83">'Бланк заказа'!$Y$185:$Y$185</definedName>
    <definedName name="SalesRoundBox84">'Бланк заказа'!$Y$186:$Y$186</definedName>
    <definedName name="SalesRoundBox85">'Бланк заказа'!$Y$187:$Y$187</definedName>
    <definedName name="SalesRoundBox86">'Бланк заказа'!$Y$191:$Y$191</definedName>
    <definedName name="SalesRoundBox87">'Бланк заказа'!$Y$196:$Y$196</definedName>
    <definedName name="SalesRoundBox88">'Бланк заказа'!$Y$197:$Y$197</definedName>
    <definedName name="SalesRoundBox89">'Бланк заказа'!$Y$201:$Y$201</definedName>
    <definedName name="SalesRoundBox9">'Бланк заказа'!$Y$36:$Y$36</definedName>
    <definedName name="SalesRoundBox90">'Бланк заказа'!$Y$202:$Y$202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заказа'!$Y$217:$Y$217</definedName>
    <definedName name="Table">Setting!$B$6:$D$11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заказа'!$W$229:$W$229</definedName>
    <definedName name="UnitOfMeasure109">'Бланк заказа'!$W$230:$W$230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заказа'!$W$245:$W$245</definedName>
    <definedName name="UnitOfMeasure118">'Бланк заказа'!$W$249:$W$249</definedName>
    <definedName name="UnitOfMeasure119">'Бланк заказа'!$W$253:$W$253</definedName>
    <definedName name="UnitOfMeasure12">'Бланк заказа'!$W$44:$W$44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заказа'!$W$262:$W$262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заказа'!$W$271:$W$271</definedName>
    <definedName name="UnitOfMeasure13">'Бланк заказа'!$W$48:$W$48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заказа'!$W$279:$W$279</definedName>
    <definedName name="UnitOfMeasure134">'Бланк заказа'!$W$280:$W$280</definedName>
    <definedName name="UnitOfMeasure135">'Бланк заказа'!$W$281:$W$281</definedName>
    <definedName name="UnitOfMeasure136">'Бланк заказа'!$W$286:$W$286</definedName>
    <definedName name="UnitOfMeasure137">'Бланк заказа'!$W$287:$W$287</definedName>
    <definedName name="UnitOfMeasure138">'Бланк заказа'!$W$291:$W$291</definedName>
    <definedName name="UnitOfMeasure139">'Бланк заказа'!$W$292:$W$292</definedName>
    <definedName name="UnitOfMeasure14">'Бланк заказа'!$W$53:$W$53</definedName>
    <definedName name="UnitOfMeasure140">'Бланк заказа'!$W$297:$W$297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заказа'!$W$305:$W$305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заказа'!$W$384:$W$384</definedName>
    <definedName name="UnitOfMeasure185">'Бланк заказа'!$W$385:$W$385</definedName>
    <definedName name="UnitOfMeasure186">'Бланк заказа'!$W$386:$W$386</definedName>
    <definedName name="UnitOfMeasure187">'Бланк заказа'!$W$392:$W$392</definedName>
    <definedName name="UnitOfMeasure188">'Бланк заказа'!$W$393:$W$393</definedName>
    <definedName name="UnitOfMeasure189">'Бланк заказа'!$W$394:$W$394</definedName>
    <definedName name="UnitOfMeasure19">'Бланк заказа'!$W$58:$W$58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заказа'!$W$404:$W$404</definedName>
    <definedName name="UnitOfMeasure197">'Бланк заказа'!$W$405:$W$405</definedName>
    <definedName name="UnitOfMeasure198">'Бланк заказа'!$W$410:$W$410</definedName>
    <definedName name="UnitOfMeasure199">'Бланк заказа'!$W$414:$W$414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заказа'!$W$421:$W$421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заказа'!$W$442:$W$442</definedName>
    <definedName name="UnitOfMeasure216">'Бланк заказа'!$W$443:$W$443</definedName>
    <definedName name="UnitOfMeasure217">'Бланк заказа'!$W$444:$W$444</definedName>
    <definedName name="UnitOfMeasure218">'Бланк заказа'!$W$448:$W$448</definedName>
    <definedName name="UnitOfMeasure219">'Бланк заказа'!$W$449:$W$449</definedName>
    <definedName name="UnitOfMeasure22">'Бланк заказа'!$W$64:$W$64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заказа'!$W$460:$W$460</definedName>
    <definedName name="UnitOfMeasure226">'Бланк заказа'!$W$461:$W$461</definedName>
    <definedName name="UnitOfMeasure227">'Бланк заказа'!$W$462:$W$462</definedName>
    <definedName name="UnitOfMeasure228">'Бланк заказа'!$W$463:$W$463</definedName>
    <definedName name="UnitOfMeasure229">'Бланк заказа'!$W$467:$W$467</definedName>
    <definedName name="UnitOfMeasure23">'Бланк заказа'!$W$65:$W$65</definedName>
    <definedName name="UnitOfMeasure230">'Бланк заказа'!$W$471:$W$471</definedName>
    <definedName name="UnitOfMeasure231">'Бланк заказа'!$W$475:$W$475</definedName>
    <definedName name="UnitOfMeasure232">'Бланк заказа'!$W$479:$W$479</definedName>
    <definedName name="UnitOfMeasure233">'Бланк заказа'!$W$480:$W$480</definedName>
    <definedName name="UnitOfMeasure234">'Бланк заказа'!$W$485:$W$485</definedName>
    <definedName name="UnitOfMeasure24">'Бланк заказа'!$W$69:$W$69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заказа'!$W$89:$W$89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заказа'!$W$96:$W$96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заказа'!$W$105:$W$105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заказа'!$W$112:$W$112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заказа'!$W$119:$W$119</definedName>
    <definedName name="UnitOfMeasure52">'Бланк заказа'!$W$123:$W$123</definedName>
    <definedName name="UnitOfMeasure53">'Бланк заказа'!$W$128:$W$128</definedName>
    <definedName name="UnitOfMeasure54">'Бланк заказа'!$W$129:$W$129</definedName>
    <definedName name="UnitOfMeasure55">'Бланк заказа'!$W$133:$W$133</definedName>
    <definedName name="UnitOfMeasure56">'Бланк заказа'!$W$134:$W$134</definedName>
    <definedName name="UnitOfMeasure57">'Бланк заказа'!$W$138:$W$138</definedName>
    <definedName name="UnitOfMeasure58">'Бланк заказа'!$W$139:$W$139</definedName>
    <definedName name="UnitOfMeasure59">'Бланк заказа'!$W$144:$W$144</definedName>
    <definedName name="UnitOfMeasure6">'Бланк заказа'!$W$30:$W$30</definedName>
    <definedName name="UnitOfMeasure60">'Бланк заказа'!$W$145:$W$145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заказа'!$W$32:$W$32</definedName>
    <definedName name="UnitOfMeasure80">'Бланк заказа'!$W$179:$W$179</definedName>
    <definedName name="UnitOfMeasure81">'Бланк заказа'!$W$180:$W$180</definedName>
    <definedName name="UnitOfMeasure82">'Бланк заказа'!$W$181:$W$181</definedName>
    <definedName name="UnitOfMeasure83">'Бланк заказа'!$W$185:$W$185</definedName>
    <definedName name="UnitOfMeasure84">'Бланк заказа'!$W$186:$W$186</definedName>
    <definedName name="UnitOfMeasure85">'Бланк заказа'!$W$187:$W$187</definedName>
    <definedName name="UnitOfMeasure86">'Бланк заказа'!$W$191:$W$191</definedName>
    <definedName name="UnitOfMeasure87">'Бланк заказа'!$W$196:$W$196</definedName>
    <definedName name="UnitOfMeasure88">'Бланк заказа'!$W$197:$W$197</definedName>
    <definedName name="UnitOfMeasure89">'Бланк заказа'!$W$201:$W$201</definedName>
    <definedName name="UnitOfMeasure9">'Бланк заказа'!$W$36:$W$36</definedName>
    <definedName name="UnitOfMeasure90">'Бланк заказа'!$W$202:$W$202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заказа'!$W$217:$W$217</definedName>
    <definedName name="UnloadAddress">'Бланк заказа'!$D$8</definedName>
    <definedName name="UnloadAdressList0001">Setting!$B$13:$B$13</definedName>
    <definedName name="UnloadAdressList0002">Setting!$B$15:$B$15</definedName>
    <definedName name="UnloadAdressList0003">Setting!$B$17:$B$17</definedName>
    <definedName name="UnloadAdressList0004">Setting!$B$19:$B$19</definedName>
    <definedName name="UnloadAdressList0005">Setting!$B$21:$B$21</definedName>
    <definedName name="UnloadAdressList0006">Setting!$B$23:$B$23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7" i="2" l="1"/>
  <c r="X486" i="2"/>
  <c r="BO485" i="2"/>
  <c r="BM485" i="2"/>
  <c r="Y485" i="2"/>
  <c r="Z498" i="2" s="1"/>
  <c r="P485" i="2"/>
  <c r="X482" i="2"/>
  <c r="X481" i="2"/>
  <c r="BO480" i="2"/>
  <c r="BM480" i="2"/>
  <c r="Y480" i="2"/>
  <c r="BN480" i="2" s="1"/>
  <c r="P480" i="2"/>
  <c r="BO479" i="2"/>
  <c r="BM479" i="2"/>
  <c r="Y479" i="2"/>
  <c r="BN479" i="2" s="1"/>
  <c r="P479" i="2"/>
  <c r="X477" i="2"/>
  <c r="X476" i="2"/>
  <c r="BO475" i="2"/>
  <c r="BM475" i="2"/>
  <c r="Y475" i="2"/>
  <c r="P475" i="2"/>
  <c r="X473" i="2"/>
  <c r="X472" i="2"/>
  <c r="BO471" i="2"/>
  <c r="BM471" i="2"/>
  <c r="Y471" i="2"/>
  <c r="P471" i="2"/>
  <c r="X469" i="2"/>
  <c r="X468" i="2"/>
  <c r="BO467" i="2"/>
  <c r="BM467" i="2"/>
  <c r="Y467" i="2"/>
  <c r="Y469" i="2" s="1"/>
  <c r="P467" i="2"/>
  <c r="X465" i="2"/>
  <c r="X464" i="2"/>
  <c r="BO463" i="2"/>
  <c r="BM463" i="2"/>
  <c r="Y463" i="2"/>
  <c r="BN463" i="2" s="1"/>
  <c r="P463" i="2"/>
  <c r="BO462" i="2"/>
  <c r="BM462" i="2"/>
  <c r="Y462" i="2"/>
  <c r="BN462" i="2" s="1"/>
  <c r="P462" i="2"/>
  <c r="BO461" i="2"/>
  <c r="BM461" i="2"/>
  <c r="Y461" i="2"/>
  <c r="BP461" i="2" s="1"/>
  <c r="P461" i="2"/>
  <c r="BO460" i="2"/>
  <c r="BM460" i="2"/>
  <c r="Y460" i="2"/>
  <c r="P460" i="2"/>
  <c r="BO454" i="2"/>
  <c r="BM454" i="2"/>
  <c r="Y454" i="2"/>
  <c r="BP454" i="2" s="1"/>
  <c r="P454" i="2"/>
  <c r="BO453" i="2"/>
  <c r="BM453" i="2"/>
  <c r="Y453" i="2"/>
  <c r="Z453" i="2" s="1"/>
  <c r="P453" i="2"/>
  <c r="BO452" i="2"/>
  <c r="BM452" i="2"/>
  <c r="Y452" i="2"/>
  <c r="BP452" i="2" s="1"/>
  <c r="P452" i="2"/>
  <c r="BO451" i="2"/>
  <c r="BM451" i="2"/>
  <c r="Y451" i="2"/>
  <c r="P451" i="2"/>
  <c r="P450" i="2"/>
  <c r="P449" i="2"/>
  <c r="P448" i="2"/>
  <c r="BO444" i="2"/>
  <c r="BM444" i="2"/>
  <c r="Y444" i="2"/>
  <c r="Z444" i="2" s="1"/>
  <c r="P444" i="2"/>
  <c r="BO443" i="2"/>
  <c r="BM443" i="2"/>
  <c r="Y443" i="2"/>
  <c r="Z443" i="2" s="1"/>
  <c r="P443" i="2"/>
  <c r="P442" i="2"/>
  <c r="BO438" i="2"/>
  <c r="BM438" i="2"/>
  <c r="Y438" i="2"/>
  <c r="P438" i="2"/>
  <c r="BO437" i="2"/>
  <c r="BM437" i="2"/>
  <c r="Y437" i="2"/>
  <c r="P437" i="2"/>
  <c r="BO436" i="2"/>
  <c r="BM436" i="2"/>
  <c r="Y436" i="2"/>
  <c r="BP436" i="2" s="1"/>
  <c r="P436" i="2"/>
  <c r="BO435" i="2"/>
  <c r="BM435" i="2"/>
  <c r="Y435" i="2"/>
  <c r="P435" i="2"/>
  <c r="BO434" i="2"/>
  <c r="BM434" i="2"/>
  <c r="Y434" i="2"/>
  <c r="P434" i="2"/>
  <c r="P433" i="2"/>
  <c r="BO432" i="2"/>
  <c r="BM432" i="2"/>
  <c r="Y432" i="2"/>
  <c r="P432" i="2"/>
  <c r="P431" i="2"/>
  <c r="BO430" i="2"/>
  <c r="BM430" i="2"/>
  <c r="Y430" i="2"/>
  <c r="BN430" i="2" s="1"/>
  <c r="P430" i="2"/>
  <c r="BO429" i="2"/>
  <c r="BM429" i="2"/>
  <c r="Y429" i="2"/>
  <c r="BP429" i="2" s="1"/>
  <c r="P429" i="2"/>
  <c r="BO428" i="2"/>
  <c r="BM428" i="2"/>
  <c r="Y428" i="2"/>
  <c r="BP428" i="2" s="1"/>
  <c r="P428" i="2"/>
  <c r="BO427" i="2"/>
  <c r="BM427" i="2"/>
  <c r="Y427" i="2"/>
  <c r="BN427" i="2" s="1"/>
  <c r="P427" i="2"/>
  <c r="X423" i="2"/>
  <c r="X422" i="2"/>
  <c r="BO421" i="2"/>
  <c r="BM421" i="2"/>
  <c r="Y421" i="2"/>
  <c r="P421" i="2"/>
  <c r="X418" i="2"/>
  <c r="X417" i="2"/>
  <c r="BO416" i="2"/>
  <c r="BM416" i="2"/>
  <c r="Y416" i="2"/>
  <c r="BP416" i="2" s="1"/>
  <c r="P416" i="2"/>
  <c r="BO415" i="2"/>
  <c r="BM415" i="2"/>
  <c r="Y415" i="2"/>
  <c r="P415" i="2"/>
  <c r="BO414" i="2"/>
  <c r="BM414" i="2"/>
  <c r="Y414" i="2"/>
  <c r="P414" i="2"/>
  <c r="X412" i="2"/>
  <c r="X411" i="2"/>
  <c r="BO410" i="2"/>
  <c r="BM410" i="2"/>
  <c r="Y410" i="2"/>
  <c r="Y412" i="2" s="1"/>
  <c r="P410" i="2"/>
  <c r="X407" i="2"/>
  <c r="X406" i="2"/>
  <c r="BO405" i="2"/>
  <c r="BM405" i="2"/>
  <c r="Y405" i="2"/>
  <c r="BP405" i="2" s="1"/>
  <c r="P405" i="2"/>
  <c r="BO404" i="2"/>
  <c r="BM404" i="2"/>
  <c r="Y404" i="2"/>
  <c r="P404" i="2"/>
  <c r="X402" i="2"/>
  <c r="X401" i="2"/>
  <c r="BO400" i="2"/>
  <c r="BM400" i="2"/>
  <c r="Y400" i="2"/>
  <c r="BN400" i="2" s="1"/>
  <c r="P400" i="2"/>
  <c r="BO399" i="2"/>
  <c r="BM399" i="2"/>
  <c r="Y399" i="2"/>
  <c r="P399" i="2"/>
  <c r="BO398" i="2"/>
  <c r="BM398" i="2"/>
  <c r="Y398" i="2"/>
  <c r="P398" i="2"/>
  <c r="BO397" i="2"/>
  <c r="BM397" i="2"/>
  <c r="Y397" i="2"/>
  <c r="Z397" i="2" s="1"/>
  <c r="P397" i="2"/>
  <c r="BO396" i="2"/>
  <c r="BM396" i="2"/>
  <c r="Y396" i="2"/>
  <c r="P396" i="2"/>
  <c r="BO395" i="2"/>
  <c r="BM395" i="2"/>
  <c r="Y395" i="2"/>
  <c r="Z395" i="2" s="1"/>
  <c r="P395" i="2"/>
  <c r="BO394" i="2"/>
  <c r="BM394" i="2"/>
  <c r="Y394" i="2"/>
  <c r="P394" i="2"/>
  <c r="BO393" i="2"/>
  <c r="BM393" i="2"/>
  <c r="Y393" i="2"/>
  <c r="BP393" i="2" s="1"/>
  <c r="P393" i="2"/>
  <c r="BO392" i="2"/>
  <c r="BM392" i="2"/>
  <c r="Y392" i="2"/>
  <c r="BP392" i="2" s="1"/>
  <c r="P392" i="2"/>
  <c r="BO386" i="2"/>
  <c r="BM386" i="2"/>
  <c r="Y386" i="2"/>
  <c r="Z386" i="2" s="1"/>
  <c r="P386" i="2"/>
  <c r="P385" i="2"/>
  <c r="P384" i="2"/>
  <c r="X382" i="2"/>
  <c r="X381" i="2"/>
  <c r="BO380" i="2"/>
  <c r="BM380" i="2"/>
  <c r="Y380" i="2"/>
  <c r="Y382" i="2" s="1"/>
  <c r="P380" i="2"/>
  <c r="BO376" i="2"/>
  <c r="BM376" i="2"/>
  <c r="Y376" i="2"/>
  <c r="P376" i="2"/>
  <c r="P375" i="2"/>
  <c r="P370" i="2"/>
  <c r="X368" i="2"/>
  <c r="X367" i="2"/>
  <c r="BO366" i="2"/>
  <c r="BM366" i="2"/>
  <c r="Y366" i="2"/>
  <c r="P366" i="2"/>
  <c r="BO365" i="2"/>
  <c r="BM365" i="2"/>
  <c r="Y365" i="2"/>
  <c r="P365" i="2"/>
  <c r="BO361" i="2"/>
  <c r="BM361" i="2"/>
  <c r="Y361" i="2"/>
  <c r="P361" i="2"/>
  <c r="P360" i="2"/>
  <c r="BO356" i="2"/>
  <c r="BM356" i="2"/>
  <c r="Y356" i="2"/>
  <c r="P356" i="2"/>
  <c r="BO355" i="2"/>
  <c r="BM355" i="2"/>
  <c r="Y355" i="2"/>
  <c r="Z355" i="2" s="1"/>
  <c r="P355" i="2"/>
  <c r="BO354" i="2"/>
  <c r="BM354" i="2"/>
  <c r="Y354" i="2"/>
  <c r="Z354" i="2" s="1"/>
  <c r="P354" i="2"/>
  <c r="BO353" i="2"/>
  <c r="BM353" i="2"/>
  <c r="Y353" i="2"/>
  <c r="P353" i="2"/>
  <c r="P352" i="2"/>
  <c r="P351" i="2"/>
  <c r="P350" i="2"/>
  <c r="BO344" i="2"/>
  <c r="BM344" i="2"/>
  <c r="Y344" i="2"/>
  <c r="BP344" i="2" s="1"/>
  <c r="P344" i="2"/>
  <c r="BO343" i="2"/>
  <c r="BM343" i="2"/>
  <c r="Y343" i="2"/>
  <c r="Z343" i="2" s="1"/>
  <c r="P343" i="2"/>
  <c r="P342" i="2"/>
  <c r="X339" i="2"/>
  <c r="X338" i="2"/>
  <c r="BO337" i="2"/>
  <c r="BM337" i="2"/>
  <c r="Y337" i="2"/>
  <c r="Z337" i="2" s="1"/>
  <c r="P337" i="2"/>
  <c r="BO336" i="2"/>
  <c r="BM336" i="2"/>
  <c r="Y336" i="2"/>
  <c r="P336" i="2"/>
  <c r="BO335" i="2"/>
  <c r="BM335" i="2"/>
  <c r="Y335" i="2"/>
  <c r="P335" i="2"/>
  <c r="X333" i="2"/>
  <c r="X332" i="2"/>
  <c r="BO331" i="2"/>
  <c r="BM331" i="2"/>
  <c r="Y331" i="2"/>
  <c r="P331" i="2"/>
  <c r="BO330" i="2"/>
  <c r="BM330" i="2"/>
  <c r="Y330" i="2"/>
  <c r="BN330" i="2" s="1"/>
  <c r="P330" i="2"/>
  <c r="BO329" i="2"/>
  <c r="BM329" i="2"/>
  <c r="Y329" i="2"/>
  <c r="P329" i="2"/>
  <c r="BO328" i="2"/>
  <c r="BM328" i="2"/>
  <c r="Y328" i="2"/>
  <c r="Y332" i="2" s="1"/>
  <c r="P328" i="2"/>
  <c r="P324" i="2"/>
  <c r="P323" i="2"/>
  <c r="P322" i="2"/>
  <c r="X320" i="2"/>
  <c r="X319" i="2"/>
  <c r="BO318" i="2"/>
  <c r="BM318" i="2"/>
  <c r="Y318" i="2"/>
  <c r="BN318" i="2" s="1"/>
  <c r="P318" i="2"/>
  <c r="BO317" i="2"/>
  <c r="BM317" i="2"/>
  <c r="Y317" i="2"/>
  <c r="P317" i="2"/>
  <c r="BO316" i="2"/>
  <c r="BM316" i="2"/>
  <c r="Y316" i="2"/>
  <c r="P316" i="2"/>
  <c r="BO315" i="2"/>
  <c r="BM315" i="2"/>
  <c r="Y315" i="2"/>
  <c r="P315" i="2"/>
  <c r="X313" i="2"/>
  <c r="X312" i="2"/>
  <c r="BO311" i="2"/>
  <c r="BM311" i="2"/>
  <c r="Y311" i="2"/>
  <c r="BP311" i="2" s="1"/>
  <c r="P311" i="2"/>
  <c r="BO310" i="2"/>
  <c r="BM310" i="2"/>
  <c r="Y310" i="2"/>
  <c r="BP310" i="2" s="1"/>
  <c r="BO309" i="2"/>
  <c r="BM309" i="2"/>
  <c r="Y309" i="2"/>
  <c r="P309" i="2"/>
  <c r="BO308" i="2"/>
  <c r="BM308" i="2"/>
  <c r="Y308" i="2"/>
  <c r="P308" i="2"/>
  <c r="BO307" i="2"/>
  <c r="BM307" i="2"/>
  <c r="Y307" i="2"/>
  <c r="BN307" i="2" s="1"/>
  <c r="P307" i="2"/>
  <c r="BO306" i="2"/>
  <c r="BM306" i="2"/>
  <c r="Y306" i="2"/>
  <c r="P306" i="2"/>
  <c r="BO305" i="2"/>
  <c r="BM305" i="2"/>
  <c r="Y305" i="2"/>
  <c r="BN305" i="2" s="1"/>
  <c r="P305" i="2"/>
  <c r="X303" i="2"/>
  <c r="X302" i="2"/>
  <c r="BO301" i="2"/>
  <c r="BM301" i="2"/>
  <c r="Y301" i="2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P298" i="2"/>
  <c r="BO297" i="2"/>
  <c r="BM297" i="2"/>
  <c r="Y297" i="2"/>
  <c r="P297" i="2"/>
  <c r="X294" i="2"/>
  <c r="X293" i="2"/>
  <c r="BO292" i="2"/>
  <c r="BM292" i="2"/>
  <c r="Y292" i="2"/>
  <c r="P292" i="2"/>
  <c r="BO291" i="2"/>
  <c r="BM291" i="2"/>
  <c r="Y291" i="2"/>
  <c r="P291" i="2"/>
  <c r="X289" i="2"/>
  <c r="X288" i="2"/>
  <c r="BO287" i="2"/>
  <c r="BM287" i="2"/>
  <c r="Y287" i="2"/>
  <c r="P287" i="2"/>
  <c r="BO286" i="2"/>
  <c r="BM286" i="2"/>
  <c r="Y286" i="2"/>
  <c r="BN286" i="2" s="1"/>
  <c r="P286" i="2"/>
  <c r="P281" i="2"/>
  <c r="P280" i="2"/>
  <c r="BO279" i="2"/>
  <c r="BM279" i="2"/>
  <c r="Y279" i="2"/>
  <c r="Z279" i="2" s="1"/>
  <c r="P279" i="2"/>
  <c r="X276" i="2"/>
  <c r="X275" i="2"/>
  <c r="BO274" i="2"/>
  <c r="BM274" i="2"/>
  <c r="Y274" i="2"/>
  <c r="P274" i="2"/>
  <c r="BO273" i="2"/>
  <c r="BM273" i="2"/>
  <c r="Y273" i="2"/>
  <c r="P273" i="2"/>
  <c r="BO272" i="2"/>
  <c r="BM272" i="2"/>
  <c r="Y272" i="2"/>
  <c r="P272" i="2"/>
  <c r="BO271" i="2"/>
  <c r="BM271" i="2"/>
  <c r="Y271" i="2"/>
  <c r="BP271" i="2" s="1"/>
  <c r="P271" i="2"/>
  <c r="X268" i="2"/>
  <c r="X267" i="2"/>
  <c r="BO266" i="2"/>
  <c r="BM266" i="2"/>
  <c r="Y266" i="2"/>
  <c r="P266" i="2"/>
  <c r="BO265" i="2"/>
  <c r="BM265" i="2"/>
  <c r="Y265" i="2"/>
  <c r="P265" i="2"/>
  <c r="BO264" i="2"/>
  <c r="BM264" i="2"/>
  <c r="Y264" i="2"/>
  <c r="P264" i="2"/>
  <c r="BO263" i="2"/>
  <c r="BM263" i="2"/>
  <c r="Y263" i="2"/>
  <c r="P263" i="2"/>
  <c r="BO262" i="2"/>
  <c r="BM262" i="2"/>
  <c r="Y262" i="2"/>
  <c r="P262" i="2"/>
  <c r="X259" i="2"/>
  <c r="X258" i="2"/>
  <c r="BO257" i="2"/>
  <c r="BM257" i="2"/>
  <c r="Y257" i="2"/>
  <c r="Z257" i="2" s="1"/>
  <c r="P257" i="2"/>
  <c r="BO256" i="2"/>
  <c r="BM256" i="2"/>
  <c r="Y256" i="2"/>
  <c r="P256" i="2"/>
  <c r="BO255" i="2"/>
  <c r="BM255" i="2"/>
  <c r="Y255" i="2"/>
  <c r="BP255" i="2" s="1"/>
  <c r="P255" i="2"/>
  <c r="BO254" i="2"/>
  <c r="BM254" i="2"/>
  <c r="Y254" i="2"/>
  <c r="P254" i="2"/>
  <c r="BO253" i="2"/>
  <c r="BM253" i="2"/>
  <c r="Y253" i="2"/>
  <c r="P253" i="2"/>
  <c r="X251" i="2"/>
  <c r="X250" i="2"/>
  <c r="BO249" i="2"/>
  <c r="BM249" i="2"/>
  <c r="Y249" i="2"/>
  <c r="BP249" i="2" s="1"/>
  <c r="P249" i="2"/>
  <c r="X247" i="2"/>
  <c r="X246" i="2"/>
  <c r="BO245" i="2"/>
  <c r="BM245" i="2"/>
  <c r="Y245" i="2"/>
  <c r="Y247" i="2" s="1"/>
  <c r="P245" i="2"/>
  <c r="X243" i="2"/>
  <c r="X242" i="2"/>
  <c r="BO241" i="2"/>
  <c r="BM241" i="2"/>
  <c r="Y241" i="2"/>
  <c r="P241" i="2"/>
  <c r="BO240" i="2"/>
  <c r="BM240" i="2"/>
  <c r="Y240" i="2"/>
  <c r="BP240" i="2" s="1"/>
  <c r="P240" i="2"/>
  <c r="BO239" i="2"/>
  <c r="BM239" i="2"/>
  <c r="Y239" i="2"/>
  <c r="P239" i="2"/>
  <c r="BO238" i="2"/>
  <c r="BM238" i="2"/>
  <c r="Y238" i="2"/>
  <c r="BN238" i="2" s="1"/>
  <c r="P238" i="2"/>
  <c r="BO237" i="2"/>
  <c r="BM237" i="2"/>
  <c r="Y237" i="2"/>
  <c r="BN237" i="2" s="1"/>
  <c r="P237" i="2"/>
  <c r="BO236" i="2"/>
  <c r="BM236" i="2"/>
  <c r="Y236" i="2"/>
  <c r="P236" i="2"/>
  <c r="BO235" i="2"/>
  <c r="BM235" i="2"/>
  <c r="Y235" i="2"/>
  <c r="BP235" i="2" s="1"/>
  <c r="P235" i="2"/>
  <c r="X232" i="2"/>
  <c r="X231" i="2"/>
  <c r="BO230" i="2"/>
  <c r="BM230" i="2"/>
  <c r="Y230" i="2"/>
  <c r="P230" i="2"/>
  <c r="BO229" i="2"/>
  <c r="BM229" i="2"/>
  <c r="Y229" i="2"/>
  <c r="Y232" i="2" s="1"/>
  <c r="P229" i="2"/>
  <c r="P225" i="2"/>
  <c r="BO224" i="2"/>
  <c r="BM224" i="2"/>
  <c r="Y224" i="2"/>
  <c r="Z224" i="2" s="1"/>
  <c r="P224" i="2"/>
  <c r="P223" i="2"/>
  <c r="P222" i="2"/>
  <c r="BO221" i="2"/>
  <c r="BM221" i="2"/>
  <c r="Y221" i="2"/>
  <c r="P221" i="2"/>
  <c r="P220" i="2"/>
  <c r="P219" i="2"/>
  <c r="BO218" i="2"/>
  <c r="BM218" i="2"/>
  <c r="Y218" i="2"/>
  <c r="P218" i="2"/>
  <c r="BO217" i="2"/>
  <c r="BM217" i="2"/>
  <c r="Y217" i="2"/>
  <c r="P217" i="2"/>
  <c r="BO213" i="2"/>
  <c r="BM213" i="2"/>
  <c r="Y213" i="2"/>
  <c r="BN213" i="2" s="1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P210" i="2"/>
  <c r="P209" i="2"/>
  <c r="P208" i="2"/>
  <c r="P207" i="2"/>
  <c r="P206" i="2"/>
  <c r="X204" i="2"/>
  <c r="X203" i="2"/>
  <c r="BO202" i="2"/>
  <c r="BM202" i="2"/>
  <c r="Y202" i="2"/>
  <c r="BP202" i="2" s="1"/>
  <c r="P202" i="2"/>
  <c r="BO201" i="2"/>
  <c r="BM201" i="2"/>
  <c r="Y201" i="2"/>
  <c r="Y204" i="2" s="1"/>
  <c r="P201" i="2"/>
  <c r="X199" i="2"/>
  <c r="X198" i="2"/>
  <c r="BO197" i="2"/>
  <c r="BM197" i="2"/>
  <c r="Y197" i="2"/>
  <c r="P197" i="2"/>
  <c r="BO196" i="2"/>
  <c r="BM196" i="2"/>
  <c r="Y196" i="2"/>
  <c r="Z196" i="2" s="1"/>
  <c r="P196" i="2"/>
  <c r="X193" i="2"/>
  <c r="X192" i="2"/>
  <c r="BO191" i="2"/>
  <c r="BM191" i="2"/>
  <c r="Y191" i="2"/>
  <c r="P191" i="2"/>
  <c r="X189" i="2"/>
  <c r="X188" i="2"/>
  <c r="BO187" i="2"/>
  <c r="BM187" i="2"/>
  <c r="Y187" i="2"/>
  <c r="P187" i="2"/>
  <c r="BO186" i="2"/>
  <c r="BM186" i="2"/>
  <c r="Y186" i="2"/>
  <c r="P186" i="2"/>
  <c r="BO185" i="2"/>
  <c r="BM185" i="2"/>
  <c r="Y185" i="2"/>
  <c r="P185" i="2"/>
  <c r="BO181" i="2"/>
  <c r="BM181" i="2"/>
  <c r="Y181" i="2"/>
  <c r="Z181" i="2" s="1"/>
  <c r="P181" i="2"/>
  <c r="BO180" i="2"/>
  <c r="BM180" i="2"/>
  <c r="Y180" i="2"/>
  <c r="BN180" i="2" s="1"/>
  <c r="P180" i="2"/>
  <c r="P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BO175" i="2"/>
  <c r="BM175" i="2"/>
  <c r="Y175" i="2"/>
  <c r="Z175" i="2" s="1"/>
  <c r="P175" i="2"/>
  <c r="BO174" i="2"/>
  <c r="BM174" i="2"/>
  <c r="Y174" i="2"/>
  <c r="BP174" i="2" s="1"/>
  <c r="P174" i="2"/>
  <c r="BO173" i="2"/>
  <c r="BM173" i="2"/>
  <c r="Y173" i="2"/>
  <c r="P173" i="2"/>
  <c r="BO172" i="2"/>
  <c r="BM172" i="2"/>
  <c r="Y172" i="2"/>
  <c r="BN172" i="2" s="1"/>
  <c r="P172" i="2"/>
  <c r="P171" i="2"/>
  <c r="BO170" i="2"/>
  <c r="BM170" i="2"/>
  <c r="Y170" i="2"/>
  <c r="BP170" i="2" s="1"/>
  <c r="P170" i="2"/>
  <c r="P169" i="2"/>
  <c r="BO168" i="2"/>
  <c r="BM168" i="2"/>
  <c r="Y168" i="2"/>
  <c r="Z168" i="2" s="1"/>
  <c r="P168" i="2"/>
  <c r="P167" i="2"/>
  <c r="X165" i="2"/>
  <c r="X164" i="2"/>
  <c r="BO163" i="2"/>
  <c r="BM163" i="2"/>
  <c r="Y163" i="2"/>
  <c r="Y165" i="2" s="1"/>
  <c r="P163" i="2"/>
  <c r="X159" i="2"/>
  <c r="X158" i="2"/>
  <c r="BO157" i="2"/>
  <c r="BM157" i="2"/>
  <c r="Y157" i="2"/>
  <c r="Z157" i="2" s="1"/>
  <c r="Z158" i="2" s="1"/>
  <c r="P157" i="2"/>
  <c r="X155" i="2"/>
  <c r="X154" i="2"/>
  <c r="BO153" i="2"/>
  <c r="BM153" i="2"/>
  <c r="Y153" i="2"/>
  <c r="BN153" i="2" s="1"/>
  <c r="BO152" i="2"/>
  <c r="BM152" i="2"/>
  <c r="Y152" i="2"/>
  <c r="BN152" i="2" s="1"/>
  <c r="P152" i="2"/>
  <c r="BO151" i="2"/>
  <c r="BM151" i="2"/>
  <c r="Y151" i="2"/>
  <c r="BN151" i="2" s="1"/>
  <c r="P151" i="2"/>
  <c r="BO150" i="2"/>
  <c r="BM150" i="2"/>
  <c r="Y150" i="2"/>
  <c r="BP150" i="2" s="1"/>
  <c r="P150" i="2"/>
  <c r="BO149" i="2"/>
  <c r="BM149" i="2"/>
  <c r="Y149" i="2"/>
  <c r="P149" i="2"/>
  <c r="X147" i="2"/>
  <c r="X146" i="2"/>
  <c r="BO145" i="2"/>
  <c r="BM145" i="2"/>
  <c r="Y145" i="2"/>
  <c r="BP145" i="2" s="1"/>
  <c r="P145" i="2"/>
  <c r="BO144" i="2"/>
  <c r="BM144" i="2"/>
  <c r="Y144" i="2"/>
  <c r="P144" i="2"/>
  <c r="X141" i="2"/>
  <c r="X140" i="2"/>
  <c r="BO139" i="2"/>
  <c r="BM139" i="2"/>
  <c r="Y139" i="2"/>
  <c r="P139" i="2"/>
  <c r="BO138" i="2"/>
  <c r="BM138" i="2"/>
  <c r="Y138" i="2"/>
  <c r="Z138" i="2" s="1"/>
  <c r="P138" i="2"/>
  <c r="X136" i="2"/>
  <c r="X135" i="2"/>
  <c r="BO134" i="2"/>
  <c r="BM134" i="2"/>
  <c r="Y134" i="2"/>
  <c r="P134" i="2"/>
  <c r="BO133" i="2"/>
  <c r="BM133" i="2"/>
  <c r="Y133" i="2"/>
  <c r="P133" i="2"/>
  <c r="X131" i="2"/>
  <c r="X130" i="2"/>
  <c r="BO129" i="2"/>
  <c r="BM129" i="2"/>
  <c r="Y129" i="2"/>
  <c r="P129" i="2"/>
  <c r="BO128" i="2"/>
  <c r="BM128" i="2"/>
  <c r="Y128" i="2"/>
  <c r="P128" i="2"/>
  <c r="X125" i="2"/>
  <c r="X124" i="2"/>
  <c r="BO123" i="2"/>
  <c r="BM123" i="2"/>
  <c r="Y123" i="2"/>
  <c r="Y125" i="2" s="1"/>
  <c r="P123" i="2"/>
  <c r="BO119" i="2"/>
  <c r="BM119" i="2"/>
  <c r="Y119" i="2"/>
  <c r="Z119" i="2" s="1"/>
  <c r="P119" i="2"/>
  <c r="P118" i="2"/>
  <c r="BO117" i="2"/>
  <c r="BM117" i="2"/>
  <c r="Y117" i="2"/>
  <c r="BP117" i="2" s="1"/>
  <c r="P117" i="2"/>
  <c r="P116" i="2"/>
  <c r="X114" i="2"/>
  <c r="X113" i="2"/>
  <c r="BO112" i="2"/>
  <c r="BM112" i="2"/>
  <c r="Y112" i="2"/>
  <c r="Z112" i="2" s="1"/>
  <c r="P112" i="2"/>
  <c r="BO111" i="2"/>
  <c r="BM111" i="2"/>
  <c r="Y111" i="2"/>
  <c r="P111" i="2"/>
  <c r="BO110" i="2"/>
  <c r="BM110" i="2"/>
  <c r="Y110" i="2"/>
  <c r="BN110" i="2" s="1"/>
  <c r="P110" i="2"/>
  <c r="BO109" i="2"/>
  <c r="BM109" i="2"/>
  <c r="Y109" i="2"/>
  <c r="Y114" i="2" s="1"/>
  <c r="P109" i="2"/>
  <c r="BO105" i="2"/>
  <c r="BM105" i="2"/>
  <c r="Y105" i="2"/>
  <c r="BN105" i="2" s="1"/>
  <c r="P105" i="2"/>
  <c r="BO104" i="2"/>
  <c r="BM104" i="2"/>
  <c r="Y104" i="2"/>
  <c r="BP104" i="2" s="1"/>
  <c r="P104" i="2"/>
  <c r="BO103" i="2"/>
  <c r="BM103" i="2"/>
  <c r="Y103" i="2"/>
  <c r="P103" i="2"/>
  <c r="BO102" i="2"/>
  <c r="BM102" i="2"/>
  <c r="Y102" i="2"/>
  <c r="Z102" i="2" s="1"/>
  <c r="P102" i="2"/>
  <c r="P101" i="2"/>
  <c r="BO96" i="2"/>
  <c r="BM96" i="2"/>
  <c r="Y96" i="2"/>
  <c r="P96" i="2"/>
  <c r="P95" i="2"/>
  <c r="BO94" i="2"/>
  <c r="BM94" i="2"/>
  <c r="Y94" i="2"/>
  <c r="BN94" i="2" s="1"/>
  <c r="P94" i="2"/>
  <c r="P93" i="2"/>
  <c r="BO89" i="2"/>
  <c r="BM89" i="2"/>
  <c r="Y89" i="2"/>
  <c r="BP89" i="2" s="1"/>
  <c r="P89" i="2"/>
  <c r="BO88" i="2"/>
  <c r="BM88" i="2"/>
  <c r="Y88" i="2"/>
  <c r="P88" i="2"/>
  <c r="BO87" i="2"/>
  <c r="BM87" i="2"/>
  <c r="Y87" i="2"/>
  <c r="BP87" i="2" s="1"/>
  <c r="P87" i="2"/>
  <c r="P86" i="2"/>
  <c r="BO81" i="2"/>
  <c r="BM81" i="2"/>
  <c r="Y81" i="2"/>
  <c r="Z81" i="2" s="1"/>
  <c r="P81" i="2"/>
  <c r="P80" i="2"/>
  <c r="X78" i="2"/>
  <c r="X77" i="2"/>
  <c r="BO76" i="2"/>
  <c r="BM76" i="2"/>
  <c r="Y76" i="2"/>
  <c r="P76" i="2"/>
  <c r="BO75" i="2"/>
  <c r="BM75" i="2"/>
  <c r="Y75" i="2"/>
  <c r="BP75" i="2" s="1"/>
  <c r="P75" i="2"/>
  <c r="BO74" i="2"/>
  <c r="BM74" i="2"/>
  <c r="Y74" i="2"/>
  <c r="BN74" i="2" s="1"/>
  <c r="P74" i="2"/>
  <c r="BO73" i="2"/>
  <c r="BM73" i="2"/>
  <c r="Y73" i="2"/>
  <c r="BP73" i="2" s="1"/>
  <c r="P73" i="2"/>
  <c r="X71" i="2"/>
  <c r="X70" i="2"/>
  <c r="BO69" i="2"/>
  <c r="BM69" i="2"/>
  <c r="Y69" i="2"/>
  <c r="Z69" i="2" s="1"/>
  <c r="Z70" i="2" s="1"/>
  <c r="P69" i="2"/>
  <c r="BO65" i="2"/>
  <c r="BM65" i="2"/>
  <c r="Y65" i="2"/>
  <c r="BP65" i="2" s="1"/>
  <c r="P65" i="2"/>
  <c r="BO64" i="2"/>
  <c r="BM64" i="2"/>
  <c r="Y64" i="2"/>
  <c r="P64" i="2"/>
  <c r="BO63" i="2"/>
  <c r="BM63" i="2"/>
  <c r="Y63" i="2"/>
  <c r="P63" i="2"/>
  <c r="P62" i="2"/>
  <c r="BO58" i="2"/>
  <c r="BM58" i="2"/>
  <c r="Y58" i="2"/>
  <c r="Z58" i="2" s="1"/>
  <c r="P58" i="2"/>
  <c r="BO57" i="2"/>
  <c r="BM57" i="2"/>
  <c r="Y57" i="2"/>
  <c r="P57" i="2"/>
  <c r="BO56" i="2"/>
  <c r="BM56" i="2"/>
  <c r="Y56" i="2"/>
  <c r="BN56" i="2" s="1"/>
  <c r="P56" i="2"/>
  <c r="BO55" i="2"/>
  <c r="BM55" i="2"/>
  <c r="Y55" i="2"/>
  <c r="P55" i="2"/>
  <c r="P54" i="2"/>
  <c r="P53" i="2"/>
  <c r="X50" i="2"/>
  <c r="X49" i="2"/>
  <c r="BO48" i="2"/>
  <c r="BM48" i="2"/>
  <c r="Y48" i="2"/>
  <c r="Z48" i="2" s="1"/>
  <c r="Z49" i="2" s="1"/>
  <c r="P48" i="2"/>
  <c r="BO44" i="2"/>
  <c r="BM44" i="2"/>
  <c r="Y44" i="2"/>
  <c r="BN44" i="2" s="1"/>
  <c r="P44" i="2"/>
  <c r="BO43" i="2"/>
  <c r="BM43" i="2"/>
  <c r="Y43" i="2"/>
  <c r="BP43" i="2" s="1"/>
  <c r="P43" i="2"/>
  <c r="P42" i="2"/>
  <c r="X38" i="2"/>
  <c r="X37" i="2"/>
  <c r="BO36" i="2"/>
  <c r="BM36" i="2"/>
  <c r="Y36" i="2"/>
  <c r="P36" i="2"/>
  <c r="X34" i="2"/>
  <c r="X33" i="2"/>
  <c r="BO32" i="2"/>
  <c r="BM32" i="2"/>
  <c r="Y32" i="2"/>
  <c r="BP32" i="2" s="1"/>
  <c r="P32" i="2"/>
  <c r="BO31" i="2"/>
  <c r="BM31" i="2"/>
  <c r="Y31" i="2"/>
  <c r="BP31" i="2" s="1"/>
  <c r="P31" i="2"/>
  <c r="BO30" i="2"/>
  <c r="BM30" i="2"/>
  <c r="Y30" i="2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Y24" i="2" s="1"/>
  <c r="P22" i="2"/>
  <c r="H10" i="2"/>
  <c r="A9" i="2"/>
  <c r="F10" i="2" s="1"/>
  <c r="D7" i="2"/>
  <c r="Q6" i="2"/>
  <c r="P2" i="2"/>
  <c r="BP30" i="2" l="1"/>
  <c r="BN30" i="2"/>
  <c r="Z30" i="2"/>
  <c r="Y37" i="2"/>
  <c r="Z36" i="2"/>
  <c r="Z37" i="2" s="1"/>
  <c r="BP55" i="2"/>
  <c r="BN55" i="2"/>
  <c r="Z55" i="2"/>
  <c r="BP57" i="2"/>
  <c r="BN57" i="2"/>
  <c r="Z57" i="2"/>
  <c r="BN63" i="2"/>
  <c r="Z63" i="2"/>
  <c r="BP64" i="2"/>
  <c r="BN64" i="2"/>
  <c r="Z64" i="2"/>
  <c r="BP88" i="2"/>
  <c r="BN88" i="2"/>
  <c r="Z88" i="2"/>
  <c r="BP96" i="2"/>
  <c r="BN96" i="2"/>
  <c r="Z96" i="2"/>
  <c r="BP103" i="2"/>
  <c r="BN103" i="2"/>
  <c r="Z103" i="2"/>
  <c r="BP111" i="2"/>
  <c r="BN111" i="2"/>
  <c r="Z111" i="2"/>
  <c r="BP128" i="2"/>
  <c r="Z128" i="2"/>
  <c r="BN129" i="2"/>
  <c r="Z129" i="2"/>
  <c r="BP134" i="2"/>
  <c r="BN134" i="2"/>
  <c r="Z134" i="2"/>
  <c r="Y147" i="2"/>
  <c r="BP144" i="2"/>
  <c r="BN144" i="2"/>
  <c r="Z144" i="2"/>
  <c r="BP149" i="2"/>
  <c r="BN149" i="2"/>
  <c r="Z149" i="2"/>
  <c r="BP176" i="2"/>
  <c r="BN176" i="2"/>
  <c r="Z176" i="2"/>
  <c r="BP185" i="2"/>
  <c r="BN185" i="2"/>
  <c r="Z185" i="2"/>
  <c r="Y188" i="2"/>
  <c r="BP187" i="2"/>
  <c r="BN187" i="2"/>
  <c r="Z187" i="2"/>
  <c r="Y193" i="2"/>
  <c r="Y192" i="2"/>
  <c r="BP191" i="2"/>
  <c r="BN191" i="2"/>
  <c r="Z191" i="2"/>
  <c r="Z192" i="2" s="1"/>
  <c r="Y199" i="2"/>
  <c r="BP210" i="2"/>
  <c r="BN210" i="2"/>
  <c r="Z210" i="2"/>
  <c r="BN217" i="2"/>
  <c r="Z217" i="2"/>
  <c r="BP218" i="2"/>
  <c r="BN218" i="2"/>
  <c r="Z218" i="2"/>
  <c r="BP230" i="2"/>
  <c r="BN230" i="2"/>
  <c r="Z230" i="2"/>
  <c r="Z236" i="2"/>
  <c r="BP236" i="2"/>
  <c r="BP239" i="2"/>
  <c r="BN239" i="2"/>
  <c r="Z239" i="2"/>
  <c r="BP241" i="2"/>
  <c r="BN241" i="2"/>
  <c r="Z241" i="2"/>
  <c r="BP253" i="2"/>
  <c r="BN253" i="2"/>
  <c r="Z253" i="2"/>
  <c r="BP262" i="2"/>
  <c r="BN262" i="2"/>
  <c r="Z262" i="2"/>
  <c r="BP264" i="2"/>
  <c r="BN264" i="2"/>
  <c r="Z264" i="2"/>
  <c r="BP273" i="2"/>
  <c r="BN273" i="2"/>
  <c r="Z273" i="2"/>
  <c r="BP291" i="2"/>
  <c r="BN291" i="2"/>
  <c r="Z291" i="2"/>
  <c r="Y294" i="2"/>
  <c r="BP299" i="2"/>
  <c r="BN299" i="2"/>
  <c r="Z299" i="2"/>
  <c r="BN306" i="2"/>
  <c r="Z306" i="2"/>
  <c r="BP308" i="2"/>
  <c r="BN308" i="2"/>
  <c r="Z308" i="2"/>
  <c r="BP315" i="2"/>
  <c r="BN315" i="2"/>
  <c r="Z315" i="2"/>
  <c r="BN331" i="2"/>
  <c r="Z331" i="2"/>
  <c r="BP356" i="2"/>
  <c r="Z356" i="2"/>
  <c r="BP365" i="2"/>
  <c r="Z365" i="2"/>
  <c r="BN366" i="2"/>
  <c r="Z366" i="2"/>
  <c r="BP399" i="2"/>
  <c r="BN399" i="2"/>
  <c r="Z399" i="2"/>
  <c r="BP414" i="2"/>
  <c r="Z414" i="2"/>
  <c r="BN415" i="2"/>
  <c r="BP415" i="2"/>
  <c r="BP435" i="2"/>
  <c r="BN435" i="2"/>
  <c r="Z435" i="2"/>
  <c r="BN437" i="2"/>
  <c r="Z437" i="2"/>
  <c r="BN438" i="2"/>
  <c r="Z438" i="2"/>
  <c r="BP451" i="2"/>
  <c r="BN451" i="2"/>
  <c r="Z451" i="2"/>
  <c r="Y473" i="2"/>
  <c r="Y472" i="2"/>
  <c r="BP471" i="2"/>
  <c r="BN475" i="2"/>
  <c r="Z475" i="2"/>
  <c r="Z476" i="2" s="1"/>
  <c r="Z22" i="2"/>
  <c r="BN22" i="2"/>
  <c r="BP22" i="2"/>
  <c r="Y25" i="2"/>
  <c r="BP23" i="2"/>
  <c r="Z27" i="2"/>
  <c r="Z29" i="2"/>
  <c r="BN29" i="2"/>
  <c r="Z32" i="2"/>
  <c r="BN32" i="2"/>
  <c r="BP36" i="2"/>
  <c r="Z44" i="2"/>
  <c r="BP56" i="2"/>
  <c r="BP63" i="2"/>
  <c r="Z65" i="2"/>
  <c r="BN65" i="2"/>
  <c r="BN69" i="2"/>
  <c r="BP69" i="2"/>
  <c r="Y70" i="2"/>
  <c r="Y71" i="2"/>
  <c r="Y78" i="2"/>
  <c r="BN81" i="2"/>
  <c r="BP81" i="2"/>
  <c r="Z87" i="2"/>
  <c r="BN87" i="2"/>
  <c r="Z94" i="2"/>
  <c r="Z105" i="2"/>
  <c r="Z117" i="2"/>
  <c r="BN117" i="2"/>
  <c r="Z123" i="2"/>
  <c r="Z124" i="2" s="1"/>
  <c r="BN123" i="2"/>
  <c r="BP123" i="2"/>
  <c r="Y124" i="2"/>
  <c r="BN138" i="2"/>
  <c r="BP138" i="2"/>
  <c r="Z145" i="2"/>
  <c r="BN145" i="2"/>
  <c r="Y146" i="2"/>
  <c r="Z150" i="2"/>
  <c r="Z151" i="2"/>
  <c r="BP152" i="2"/>
  <c r="Z172" i="2"/>
  <c r="Z174" i="2"/>
  <c r="Z177" i="2"/>
  <c r="BN177" i="2"/>
  <c r="BN181" i="2"/>
  <c r="BP181" i="2"/>
  <c r="Y189" i="2"/>
  <c r="Z186" i="2"/>
  <c r="BN186" i="2"/>
  <c r="BP186" i="2"/>
  <c r="Z202" i="2"/>
  <c r="BN202" i="2"/>
  <c r="Y203" i="2"/>
  <c r="Z212" i="2"/>
  <c r="BN212" i="2"/>
  <c r="BP217" i="2"/>
  <c r="Z229" i="2"/>
  <c r="Z231" i="2" s="1"/>
  <c r="BN229" i="2"/>
  <c r="BP229" i="2"/>
  <c r="Z235" i="2"/>
  <c r="BN235" i="2"/>
  <c r="Z237" i="2"/>
  <c r="Z238" i="2"/>
  <c r="Z240" i="2"/>
  <c r="BN240" i="2"/>
  <c r="Z245" i="2"/>
  <c r="Z246" i="2" s="1"/>
  <c r="BN245" i="2"/>
  <c r="BP245" i="2"/>
  <c r="Y246" i="2"/>
  <c r="Y259" i="2"/>
  <c r="Z255" i="2"/>
  <c r="BN255" i="2"/>
  <c r="BN257" i="2"/>
  <c r="BP257" i="2"/>
  <c r="BP266" i="2"/>
  <c r="BN266" i="2"/>
  <c r="Z266" i="2"/>
  <c r="BN272" i="2"/>
  <c r="Z272" i="2"/>
  <c r="Y288" i="2"/>
  <c r="Z287" i="2"/>
  <c r="BP300" i="2"/>
  <c r="BN300" i="2"/>
  <c r="Z300" i="2"/>
  <c r="BP309" i="2"/>
  <c r="BN309" i="2"/>
  <c r="Z309" i="2"/>
  <c r="BP329" i="2"/>
  <c r="BN329" i="2"/>
  <c r="Z329" i="2"/>
  <c r="BP27" i="2"/>
  <c r="BP44" i="2"/>
  <c r="BN58" i="2"/>
  <c r="BP58" i="2"/>
  <c r="BP94" i="2"/>
  <c r="BP105" i="2"/>
  <c r="BN119" i="2"/>
  <c r="BP119" i="2"/>
  <c r="BP151" i="2"/>
  <c r="Y164" i="2"/>
  <c r="BN168" i="2"/>
  <c r="BP168" i="2"/>
  <c r="BP172" i="2"/>
  <c r="Y198" i="2"/>
  <c r="BN224" i="2"/>
  <c r="BP224" i="2"/>
  <c r="Y231" i="2"/>
  <c r="BP237" i="2"/>
  <c r="BP263" i="2"/>
  <c r="BN263" i="2"/>
  <c r="Z263" i="2"/>
  <c r="Y268" i="2"/>
  <c r="Y275" i="2"/>
  <c r="Z271" i="2"/>
  <c r="BP274" i="2"/>
  <c r="BN274" i="2"/>
  <c r="Z274" i="2"/>
  <c r="BP298" i="2"/>
  <c r="BN298" i="2"/>
  <c r="Z298" i="2"/>
  <c r="BN310" i="2"/>
  <c r="BP317" i="2"/>
  <c r="BN317" i="2"/>
  <c r="Z317" i="2"/>
  <c r="BP306" i="2"/>
  <c r="BP331" i="2"/>
  <c r="Z344" i="2"/>
  <c r="BN354" i="2"/>
  <c r="BP354" i="2"/>
  <c r="BN355" i="2"/>
  <c r="BP355" i="2"/>
  <c r="BP366" i="2"/>
  <c r="Z380" i="2"/>
  <c r="Z381" i="2" s="1"/>
  <c r="BN392" i="2"/>
  <c r="BN395" i="2"/>
  <c r="BP395" i="2"/>
  <c r="Z410" i="2"/>
  <c r="Z411" i="2" s="1"/>
  <c r="BN410" i="2"/>
  <c r="BP410" i="2"/>
  <c r="Y411" i="2"/>
  <c r="Z416" i="2"/>
  <c r="BN416" i="2"/>
  <c r="BP437" i="2"/>
  <c r="BP438" i="2"/>
  <c r="Z454" i="2"/>
  <c r="Y498" i="2"/>
  <c r="BN460" i="2"/>
  <c r="Z461" i="2"/>
  <c r="Z463" i="2"/>
  <c r="Z467" i="2"/>
  <c r="Z468" i="2" s="1"/>
  <c r="Z479" i="2"/>
  <c r="BN343" i="2"/>
  <c r="BP343" i="2"/>
  <c r="BN376" i="2"/>
  <c r="BN428" i="2"/>
  <c r="BP463" i="2"/>
  <c r="BP467" i="2"/>
  <c r="Y468" i="2"/>
  <c r="BP479" i="2"/>
  <c r="BP404" i="2"/>
  <c r="Z404" i="2"/>
  <c r="Y407" i="2"/>
  <c r="Z28" i="2"/>
  <c r="G498" i="2"/>
  <c r="Z153" i="2"/>
  <c r="BP153" i="2"/>
  <c r="BP163" i="2"/>
  <c r="BN163" i="2"/>
  <c r="Z163" i="2"/>
  <c r="Z164" i="2" s="1"/>
  <c r="BP175" i="2"/>
  <c r="BN175" i="2"/>
  <c r="BP178" i="2"/>
  <c r="BN178" i="2"/>
  <c r="Z178" i="2"/>
  <c r="BP211" i="2"/>
  <c r="BN211" i="2"/>
  <c r="Z211" i="2"/>
  <c r="Z318" i="2"/>
  <c r="BP318" i="2"/>
  <c r="BN365" i="2"/>
  <c r="Y368" i="2"/>
  <c r="BP430" i="2"/>
  <c r="Z430" i="2"/>
  <c r="BP133" i="2"/>
  <c r="BN133" i="2"/>
  <c r="Z133" i="2"/>
  <c r="Z135" i="2" s="1"/>
  <c r="Y136" i="2"/>
  <c r="Y34" i="2"/>
  <c r="BN150" i="2"/>
  <c r="Y154" i="2"/>
  <c r="Y250" i="2"/>
  <c r="L498" i="2"/>
  <c r="BP301" i="2"/>
  <c r="BN301" i="2"/>
  <c r="Z301" i="2"/>
  <c r="BN337" i="2"/>
  <c r="BN404" i="2"/>
  <c r="BP139" i="2"/>
  <c r="Z139" i="2"/>
  <c r="Z140" i="2" s="1"/>
  <c r="BN23" i="2"/>
  <c r="Z31" i="2"/>
  <c r="Y38" i="2"/>
  <c r="BN36" i="2"/>
  <c r="Z43" i="2"/>
  <c r="Z75" i="2"/>
  <c r="Y251" i="2"/>
  <c r="Z307" i="2"/>
  <c r="BP337" i="2"/>
  <c r="BP434" i="2"/>
  <c r="BN434" i="2"/>
  <c r="BN28" i="2"/>
  <c r="F9" i="2"/>
  <c r="BN43" i="2"/>
  <c r="Z256" i="2"/>
  <c r="BP256" i="2"/>
  <c r="Y338" i="2"/>
  <c r="Y381" i="2"/>
  <c r="BN380" i="2"/>
  <c r="Z393" i="2"/>
  <c r="Z405" i="2"/>
  <c r="Z434" i="2"/>
  <c r="BN75" i="2"/>
  <c r="Z109" i="2"/>
  <c r="H9" i="2"/>
  <c r="BP48" i="2"/>
  <c r="Z104" i="2"/>
  <c r="Y155" i="2"/>
  <c r="BP201" i="2"/>
  <c r="BN201" i="2"/>
  <c r="Z201" i="2"/>
  <c r="K498" i="2"/>
  <c r="BN287" i="2"/>
  <c r="BP307" i="2"/>
  <c r="Y320" i="2"/>
  <c r="Y339" i="2"/>
  <c r="BN344" i="2"/>
  <c r="BN31" i="2"/>
  <c r="J9" i="2"/>
  <c r="Y140" i="2"/>
  <c r="BN256" i="2"/>
  <c r="BP316" i="2"/>
  <c r="Y319" i="2"/>
  <c r="BN316" i="2"/>
  <c r="Z316" i="2"/>
  <c r="Z335" i="2"/>
  <c r="BP386" i="2"/>
  <c r="BN386" i="2"/>
  <c r="BN393" i="2"/>
  <c r="BN405" i="2"/>
  <c r="Y418" i="2"/>
  <c r="BN443" i="2"/>
  <c r="BP265" i="2"/>
  <c r="BN265" i="2"/>
  <c r="Z265" i="2"/>
  <c r="BN292" i="2"/>
  <c r="BN109" i="2"/>
  <c r="A10" i="2"/>
  <c r="Y49" i="2"/>
  <c r="BN104" i="2"/>
  <c r="Y158" i="2"/>
  <c r="BN157" i="2"/>
  <c r="Z170" i="2"/>
  <c r="BP196" i="2"/>
  <c r="BP287" i="2"/>
  <c r="BN89" i="2"/>
  <c r="Z89" i="2"/>
  <c r="BP396" i="2"/>
  <c r="BN396" i="2"/>
  <c r="Z396" i="2"/>
  <c r="BP109" i="2"/>
  <c r="Z305" i="2"/>
  <c r="Z311" i="2"/>
  <c r="Z330" i="2"/>
  <c r="BN335" i="2"/>
  <c r="BP380" i="2"/>
  <c r="Z400" i="2"/>
  <c r="BP443" i="2"/>
  <c r="BP76" i="2"/>
  <c r="Z76" i="2"/>
  <c r="Y50" i="2"/>
  <c r="Y113" i="2"/>
  <c r="BP129" i="2"/>
  <c r="Y135" i="2"/>
  <c r="Y141" i="2"/>
  <c r="BN170" i="2"/>
  <c r="BP221" i="2"/>
  <c r="BN221" i="2"/>
  <c r="Z221" i="2"/>
  <c r="BN297" i="2"/>
  <c r="Y303" i="2"/>
  <c r="Y302" i="2"/>
  <c r="BP394" i="2"/>
  <c r="Z394" i="2"/>
  <c r="BN397" i="2"/>
  <c r="W498" i="2"/>
  <c r="Z421" i="2"/>
  <c r="Z422" i="2" s="1"/>
  <c r="Y423" i="2"/>
  <c r="BN48" i="2"/>
  <c r="BP112" i="2"/>
  <c r="BN112" i="2"/>
  <c r="BP173" i="2"/>
  <c r="BN173" i="2"/>
  <c r="Z173" i="2"/>
  <c r="Z73" i="2"/>
  <c r="B498" i="2"/>
  <c r="BN76" i="2"/>
  <c r="BP102" i="2"/>
  <c r="BN102" i="2"/>
  <c r="BP110" i="2"/>
  <c r="Z110" i="2"/>
  <c r="Z180" i="2"/>
  <c r="BP180" i="2"/>
  <c r="BN196" i="2"/>
  <c r="Z213" i="2"/>
  <c r="BP213" i="2"/>
  <c r="BP238" i="2"/>
  <c r="BP272" i="2"/>
  <c r="Y276" i="2"/>
  <c r="Z297" i="2"/>
  <c r="Z302" i="2" s="1"/>
  <c r="BN311" i="2"/>
  <c r="BP335" i="2"/>
  <c r="BP361" i="2"/>
  <c r="BN361" i="2"/>
  <c r="Z361" i="2"/>
  <c r="Y406" i="2"/>
  <c r="BP444" i="2"/>
  <c r="BN444" i="2"/>
  <c r="Z24" i="2"/>
  <c r="BN73" i="2"/>
  <c r="Y130" i="2"/>
  <c r="H498" i="2"/>
  <c r="BP157" i="2"/>
  <c r="Y258" i="2"/>
  <c r="BP254" i="2"/>
  <c r="BN254" i="2"/>
  <c r="Z254" i="2"/>
  <c r="BP305" i="2"/>
  <c r="BP330" i="2"/>
  <c r="Y367" i="2"/>
  <c r="BN394" i="2"/>
  <c r="BP397" i="2"/>
  <c r="BP400" i="2"/>
  <c r="BN421" i="2"/>
  <c r="BP432" i="2"/>
  <c r="BN432" i="2"/>
  <c r="Z432" i="2"/>
  <c r="BN453" i="2"/>
  <c r="BP336" i="2"/>
  <c r="BN336" i="2"/>
  <c r="Z336" i="2"/>
  <c r="Z353" i="2"/>
  <c r="BP353" i="2"/>
  <c r="Z429" i="2"/>
  <c r="BN139" i="2"/>
  <c r="Z146" i="2"/>
  <c r="Z152" i="2"/>
  <c r="BN174" i="2"/>
  <c r="BP197" i="2"/>
  <c r="Z197" i="2"/>
  <c r="Z198" i="2" s="1"/>
  <c r="Z249" i="2"/>
  <c r="Z250" i="2" s="1"/>
  <c r="BP297" i="2"/>
  <c r="Y312" i="2"/>
  <c r="Y333" i="2"/>
  <c r="BP328" i="2"/>
  <c r="BN328" i="2"/>
  <c r="BP398" i="2"/>
  <c r="BN398" i="2"/>
  <c r="V498" i="2"/>
  <c r="Z415" i="2"/>
  <c r="Z417" i="2" s="1"/>
  <c r="BP421" i="2"/>
  <c r="BP453" i="2"/>
  <c r="Z292" i="2"/>
  <c r="Y293" i="2"/>
  <c r="BP292" i="2"/>
  <c r="BN236" i="2"/>
  <c r="Y243" i="2"/>
  <c r="BP279" i="2"/>
  <c r="BN279" i="2"/>
  <c r="Y131" i="2"/>
  <c r="Y267" i="2"/>
  <c r="Z328" i="2"/>
  <c r="Z332" i="2" s="1"/>
  <c r="BN353" i="2"/>
  <c r="BN356" i="2"/>
  <c r="Z376" i="2"/>
  <c r="BP376" i="2"/>
  <c r="Z398" i="2"/>
  <c r="BN429" i="2"/>
  <c r="Y77" i="2"/>
  <c r="BP74" i="2"/>
  <c r="Z74" i="2"/>
  <c r="Y33" i="2"/>
  <c r="Z56" i="2"/>
  <c r="Y159" i="2"/>
  <c r="BN197" i="2"/>
  <c r="Y242" i="2"/>
  <c r="BN249" i="2"/>
  <c r="BP286" i="2"/>
  <c r="P498" i="2"/>
  <c r="Z286" i="2"/>
  <c r="Z288" i="2" s="1"/>
  <c r="Y289" i="2"/>
  <c r="Y313" i="2"/>
  <c r="U498" i="2"/>
  <c r="Y422" i="2"/>
  <c r="BN436" i="2"/>
  <c r="Z436" i="2"/>
  <c r="BP462" i="2"/>
  <c r="Z462" i="2"/>
  <c r="BP475" i="2"/>
  <c r="Y487" i="2"/>
  <c r="Y401" i="2"/>
  <c r="BN454" i="2"/>
  <c r="BP480" i="2"/>
  <c r="BN461" i="2"/>
  <c r="Y464" i="2"/>
  <c r="Z471" i="2"/>
  <c r="Z472" i="2" s="1"/>
  <c r="Y476" i="2"/>
  <c r="Z452" i="2"/>
  <c r="Y481" i="2"/>
  <c r="BN128" i="2"/>
  <c r="BN271" i="2"/>
  <c r="Y402" i="2"/>
  <c r="BN414" i="2"/>
  <c r="Y417" i="2"/>
  <c r="Z427" i="2"/>
  <c r="BN471" i="2"/>
  <c r="BN452" i="2"/>
  <c r="Y465" i="2"/>
  <c r="Y477" i="2"/>
  <c r="M498" i="2"/>
  <c r="Y482" i="2"/>
  <c r="BP427" i="2"/>
  <c r="Z485" i="2"/>
  <c r="Z486" i="2" s="1"/>
  <c r="BN467" i="2"/>
  <c r="Z310" i="2"/>
  <c r="Z392" i="2"/>
  <c r="Z428" i="2"/>
  <c r="Z460" i="2"/>
  <c r="BN485" i="2"/>
  <c r="BP485" i="2"/>
  <c r="BP460" i="2"/>
  <c r="Z480" i="2"/>
  <c r="Z481" i="2" s="1"/>
  <c r="Y486" i="2"/>
  <c r="Z293" i="2" l="1"/>
  <c r="Z154" i="2"/>
  <c r="Z258" i="2"/>
  <c r="Z267" i="2"/>
  <c r="Z319" i="2"/>
  <c r="Z203" i="2"/>
  <c r="Z188" i="2"/>
  <c r="Z242" i="2"/>
  <c r="Z367" i="2"/>
  <c r="Z130" i="2"/>
  <c r="Z275" i="2"/>
  <c r="Z401" i="2"/>
  <c r="Z33" i="2"/>
  <c r="Z77" i="2"/>
  <c r="Z113" i="2"/>
  <c r="Z406" i="2"/>
  <c r="Z312" i="2"/>
  <c r="Z464" i="2"/>
  <c r="Z338" i="2"/>
  <c r="X446" i="2" l="1"/>
  <c r="X445" i="2"/>
  <c r="BO442" i="2"/>
  <c r="BM442" i="2"/>
  <c r="Y442" i="2"/>
  <c r="BO209" i="2"/>
  <c r="BM209" i="2"/>
  <c r="Y209" i="2"/>
  <c r="BO208" i="2"/>
  <c r="BM208" i="2"/>
  <c r="Y208" i="2"/>
  <c r="BO207" i="2"/>
  <c r="BM207" i="2"/>
  <c r="Y207" i="2"/>
  <c r="BO118" i="2"/>
  <c r="BM118" i="2"/>
  <c r="Y118" i="2"/>
  <c r="X91" i="2"/>
  <c r="X90" i="2"/>
  <c r="BO86" i="2"/>
  <c r="BM86" i="2"/>
  <c r="Y86" i="2"/>
  <c r="Y446" i="2" l="1"/>
  <c r="BP442" i="2"/>
  <c r="Y445" i="2"/>
  <c r="BN442" i="2"/>
  <c r="Z442" i="2"/>
  <c r="Z445" i="2" s="1"/>
  <c r="BP207" i="2"/>
  <c r="Z207" i="2"/>
  <c r="BN207" i="2"/>
  <c r="BP208" i="2"/>
  <c r="BN208" i="2"/>
  <c r="Z208" i="2"/>
  <c r="BP209" i="2"/>
  <c r="Z209" i="2"/>
  <c r="BN209" i="2"/>
  <c r="BP118" i="2"/>
  <c r="Z118" i="2"/>
  <c r="BN118" i="2"/>
  <c r="Z86" i="2"/>
  <c r="Z90" i="2" s="1"/>
  <c r="Y90" i="2"/>
  <c r="BN86" i="2"/>
  <c r="BP86" i="2"/>
  <c r="Y91" i="2"/>
  <c r="BO95" i="2" l="1"/>
  <c r="BM95" i="2"/>
  <c r="Y95" i="2"/>
  <c r="BN95" i="2" l="1"/>
  <c r="Z95" i="2"/>
  <c r="BP95" i="2"/>
  <c r="BO53" i="2"/>
  <c r="BM53" i="2"/>
  <c r="Y53" i="2"/>
  <c r="BP53" i="2" l="1"/>
  <c r="Z53" i="2"/>
  <c r="BN53" i="2"/>
  <c r="BO351" i="2" l="1"/>
  <c r="BM351" i="2"/>
  <c r="Y351" i="2"/>
  <c r="BP351" i="2" l="1"/>
  <c r="BN351" i="2"/>
  <c r="Z351" i="2"/>
  <c r="BO352" i="2" l="1"/>
  <c r="BM352" i="2"/>
  <c r="Y352" i="2"/>
  <c r="BP352" i="2" l="1"/>
  <c r="Z352" i="2"/>
  <c r="BN352" i="2"/>
  <c r="BO54" i="2"/>
  <c r="BM54" i="2"/>
  <c r="Y54" i="2"/>
  <c r="X60" i="2"/>
  <c r="X59" i="2"/>
  <c r="BP54" i="2" l="1"/>
  <c r="Z54" i="2"/>
  <c r="Z59" i="2" s="1"/>
  <c r="BN54" i="2"/>
  <c r="Y60" i="2"/>
  <c r="Y59" i="2"/>
  <c r="BO220" i="2" l="1"/>
  <c r="BM220" i="2"/>
  <c r="Y220" i="2"/>
  <c r="BO225" i="2"/>
  <c r="BM225" i="2"/>
  <c r="Y225" i="2"/>
  <c r="X358" i="2" l="1"/>
  <c r="X357" i="2"/>
  <c r="BO350" i="2"/>
  <c r="BM350" i="2"/>
  <c r="Y350" i="2"/>
  <c r="BP225" i="2"/>
  <c r="BN225" i="2"/>
  <c r="Z225" i="2"/>
  <c r="BP220" i="2"/>
  <c r="BN220" i="2"/>
  <c r="Z220" i="2"/>
  <c r="BP350" i="2" l="1"/>
  <c r="BN350" i="2"/>
  <c r="Z350" i="2"/>
  <c r="Z357" i="2" s="1"/>
  <c r="Y357" i="2"/>
  <c r="Y358" i="2"/>
  <c r="BO431" i="2" l="1"/>
  <c r="BM431" i="2"/>
  <c r="Y431" i="2"/>
  <c r="BP431" i="2" l="1"/>
  <c r="Z431" i="2"/>
  <c r="BN431" i="2"/>
  <c r="X378" i="2"/>
  <c r="X377" i="2"/>
  <c r="BO375" i="2"/>
  <c r="BM375" i="2"/>
  <c r="Y375" i="2"/>
  <c r="X440" i="2"/>
  <c r="X283" i="2" l="1"/>
  <c r="X227" i="2"/>
  <c r="BO449" i="2"/>
  <c r="BM449" i="2"/>
  <c r="Y449" i="2"/>
  <c r="X456" i="2"/>
  <c r="X455" i="2"/>
  <c r="BO448" i="2"/>
  <c r="BM448" i="2"/>
  <c r="Y448" i="2"/>
  <c r="BO450" i="2"/>
  <c r="BM450" i="2"/>
  <c r="Y450" i="2"/>
  <c r="BO433" i="2"/>
  <c r="BM433" i="2"/>
  <c r="Y433" i="2"/>
  <c r="X439" i="2"/>
  <c r="BO385" i="2"/>
  <c r="BM385" i="2"/>
  <c r="Y385" i="2"/>
  <c r="X388" i="2"/>
  <c r="X387" i="2"/>
  <c r="BO384" i="2"/>
  <c r="BM384" i="2"/>
  <c r="Y384" i="2"/>
  <c r="BP375" i="2"/>
  <c r="BN375" i="2"/>
  <c r="Z375" i="2"/>
  <c r="Z377" i="2" s="1"/>
  <c r="Y378" i="2"/>
  <c r="T498" i="2"/>
  <c r="Y377" i="2"/>
  <c r="X372" i="2"/>
  <c r="X371" i="2"/>
  <c r="BO370" i="2"/>
  <c r="BM370" i="2"/>
  <c r="Y370" i="2"/>
  <c r="X363" i="2"/>
  <c r="X362" i="2"/>
  <c r="BO360" i="2"/>
  <c r="BM360" i="2"/>
  <c r="Y360" i="2"/>
  <c r="X346" i="2"/>
  <c r="X345" i="2"/>
  <c r="BO342" i="2"/>
  <c r="BM342" i="2"/>
  <c r="Y342" i="2"/>
  <c r="BO324" i="2"/>
  <c r="BM324" i="2"/>
  <c r="Y324" i="2"/>
  <c r="X326" i="2"/>
  <c r="X325" i="2"/>
  <c r="BO322" i="2"/>
  <c r="BM322" i="2"/>
  <c r="Y322" i="2"/>
  <c r="BO323" i="2"/>
  <c r="BM323" i="2"/>
  <c r="Y323" i="2"/>
  <c r="BO281" i="2"/>
  <c r="BM281" i="2"/>
  <c r="Y281" i="2"/>
  <c r="X282" i="2"/>
  <c r="BO280" i="2"/>
  <c r="BM280" i="2"/>
  <c r="Y280" i="2"/>
  <c r="BO223" i="2"/>
  <c r="BM223" i="2"/>
  <c r="Y223" i="2"/>
  <c r="BO222" i="2"/>
  <c r="BM222" i="2"/>
  <c r="Y222" i="2"/>
  <c r="X226" i="2"/>
  <c r="BO219" i="2"/>
  <c r="BM219" i="2"/>
  <c r="Y219" i="2"/>
  <c r="X215" i="2"/>
  <c r="X214" i="2"/>
  <c r="BO206" i="2"/>
  <c r="BM206" i="2"/>
  <c r="Y206" i="2"/>
  <c r="X183" i="2"/>
  <c r="X182" i="2"/>
  <c r="BO167" i="2"/>
  <c r="BM167" i="2"/>
  <c r="Y167" i="2"/>
  <c r="BO171" i="2"/>
  <c r="BM171" i="2"/>
  <c r="Y171" i="2"/>
  <c r="BO169" i="2"/>
  <c r="BM169" i="2"/>
  <c r="Y169" i="2"/>
  <c r="BO179" i="2"/>
  <c r="BM179" i="2"/>
  <c r="Y179" i="2"/>
  <c r="X121" i="2"/>
  <c r="X120" i="2"/>
  <c r="BO116" i="2"/>
  <c r="BM116" i="2"/>
  <c r="Y116" i="2"/>
  <c r="X107" i="2"/>
  <c r="X106" i="2"/>
  <c r="BO101" i="2"/>
  <c r="BM101" i="2"/>
  <c r="Y101" i="2"/>
  <c r="X98" i="2"/>
  <c r="X97" i="2"/>
  <c r="BO93" i="2"/>
  <c r="BM93" i="2"/>
  <c r="Y93" i="2"/>
  <c r="X83" i="2"/>
  <c r="X82" i="2"/>
  <c r="BO80" i="2"/>
  <c r="BM80" i="2"/>
  <c r="Y80" i="2"/>
  <c r="X67" i="2"/>
  <c r="X66" i="2"/>
  <c r="BO62" i="2"/>
  <c r="BM62" i="2"/>
  <c r="Y62" i="2"/>
  <c r="X46" i="2"/>
  <c r="X45" i="2"/>
  <c r="X492" i="2" s="1"/>
  <c r="BO42" i="2"/>
  <c r="BM42" i="2"/>
  <c r="X489" i="2" s="1"/>
  <c r="Y42" i="2"/>
  <c r="X490" i="2" l="1"/>
  <c r="X491" i="2" s="1"/>
  <c r="X488" i="2"/>
  <c r="BP450" i="2"/>
  <c r="Z450" i="2"/>
  <c r="BN450" i="2"/>
  <c r="BP448" i="2"/>
  <c r="BN448" i="2"/>
  <c r="Y456" i="2"/>
  <c r="Y455" i="2"/>
  <c r="Z448" i="2"/>
  <c r="BP449" i="2"/>
  <c r="Z449" i="2"/>
  <c r="BN449" i="2"/>
  <c r="Z433" i="2"/>
  <c r="Z439" i="2" s="1"/>
  <c r="BN433" i="2"/>
  <c r="BP433" i="2"/>
  <c r="Y440" i="2"/>
  <c r="X498" i="2"/>
  <c r="Y439" i="2"/>
  <c r="Y388" i="2"/>
  <c r="BP384" i="2"/>
  <c r="Y387" i="2"/>
  <c r="BN384" i="2"/>
  <c r="Z384" i="2"/>
  <c r="Z385" i="2"/>
  <c r="BN385" i="2"/>
  <c r="BP385" i="2"/>
  <c r="Y372" i="2"/>
  <c r="Y371" i="2"/>
  <c r="BP370" i="2"/>
  <c r="BN370" i="2"/>
  <c r="Z370" i="2"/>
  <c r="Z371" i="2" s="1"/>
  <c r="BP360" i="2"/>
  <c r="Z360" i="2"/>
  <c r="Z362" i="2" s="1"/>
  <c r="BN360" i="2"/>
  <c r="Y363" i="2"/>
  <c r="Y362" i="2"/>
  <c r="S498" i="2"/>
  <c r="BP342" i="2"/>
  <c r="BN342" i="2"/>
  <c r="R498" i="2"/>
  <c r="Y345" i="2"/>
  <c r="Y346" i="2"/>
  <c r="Z342" i="2"/>
  <c r="Z345" i="2" s="1"/>
  <c r="BP323" i="2"/>
  <c r="BN323" i="2"/>
  <c r="Z323" i="2"/>
  <c r="Y325" i="2"/>
  <c r="BN322" i="2"/>
  <c r="Z322" i="2"/>
  <c r="Q498" i="2"/>
  <c r="BP322" i="2"/>
  <c r="Y326" i="2"/>
  <c r="BP324" i="2"/>
  <c r="BN324" i="2"/>
  <c r="Z324" i="2"/>
  <c r="BP280" i="2"/>
  <c r="BN280" i="2"/>
  <c r="Z280" i="2"/>
  <c r="O498" i="2"/>
  <c r="Y283" i="2"/>
  <c r="Y282" i="2"/>
  <c r="BN281" i="2"/>
  <c r="Z281" i="2"/>
  <c r="BP281" i="2"/>
  <c r="Y227" i="2"/>
  <c r="Z219" i="2"/>
  <c r="BN219" i="2"/>
  <c r="BP219" i="2"/>
  <c r="Y226" i="2"/>
  <c r="BP222" i="2"/>
  <c r="Z222" i="2"/>
  <c r="BN222" i="2"/>
  <c r="BN223" i="2"/>
  <c r="Z223" i="2"/>
  <c r="BP223" i="2"/>
  <c r="BN206" i="2"/>
  <c r="Z206" i="2"/>
  <c r="Z214" i="2" s="1"/>
  <c r="BP206" i="2"/>
  <c r="Y215" i="2"/>
  <c r="J498" i="2"/>
  <c r="Y214" i="2"/>
  <c r="BP179" i="2"/>
  <c r="BN179" i="2"/>
  <c r="Z179" i="2"/>
  <c r="BN169" i="2"/>
  <c r="BP169" i="2"/>
  <c r="Z169" i="2"/>
  <c r="BN171" i="2"/>
  <c r="BP171" i="2"/>
  <c r="Z171" i="2"/>
  <c r="I498" i="2"/>
  <c r="Y183" i="2"/>
  <c r="Y182" i="2"/>
  <c r="Z167" i="2"/>
  <c r="Z182" i="2" s="1"/>
  <c r="BP167" i="2"/>
  <c r="BN167" i="2"/>
  <c r="BP116" i="2"/>
  <c r="BN116" i="2"/>
  <c r="Y120" i="2"/>
  <c r="Z116" i="2"/>
  <c r="Z120" i="2" s="1"/>
  <c r="Y121" i="2"/>
  <c r="BN101" i="2"/>
  <c r="Y106" i="2"/>
  <c r="Z101" i="2"/>
  <c r="Z106" i="2" s="1"/>
  <c r="F498" i="2"/>
  <c r="Y107" i="2"/>
  <c r="BP101" i="2"/>
  <c r="BN93" i="2"/>
  <c r="Z93" i="2"/>
  <c r="Z97" i="2" s="1"/>
  <c r="Y98" i="2"/>
  <c r="Y97" i="2"/>
  <c r="BP93" i="2"/>
  <c r="E498" i="2"/>
  <c r="BP80" i="2"/>
  <c r="BN80" i="2"/>
  <c r="Z80" i="2"/>
  <c r="Z82" i="2" s="1"/>
  <c r="Y82" i="2"/>
  <c r="Y83" i="2"/>
  <c r="Y66" i="2"/>
  <c r="Z62" i="2"/>
  <c r="Z66" i="2" s="1"/>
  <c r="BP62" i="2"/>
  <c r="BN62" i="2"/>
  <c r="Y67" i="2"/>
  <c r="D498" i="2"/>
  <c r="Z42" i="2"/>
  <c r="Z45" i="2" s="1"/>
  <c r="BP42" i="2"/>
  <c r="Y490" i="2" s="1"/>
  <c r="Y46" i="2"/>
  <c r="C498" i="2"/>
  <c r="Y45" i="2"/>
  <c r="BN42" i="2"/>
  <c r="Y489" i="2" s="1"/>
  <c r="Y491" i="2" s="1"/>
  <c r="Y492" i="2" l="1"/>
  <c r="Y488" i="2"/>
  <c r="Z282" i="2"/>
  <c r="Z455" i="2"/>
  <c r="Z387" i="2"/>
  <c r="Z325" i="2"/>
  <c r="Z226" i="2"/>
  <c r="Z493" i="2" l="1"/>
</calcChain>
</file>

<file path=xl/sharedStrings.xml><?xml version="1.0" encoding="utf-8"?>
<sst xmlns="http://schemas.openxmlformats.org/spreadsheetml/2006/main" count="3643" uniqueCount="787">
  <si>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</si>
  <si>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</si>
  <si>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</si>
  <si>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</si>
  <si>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</si>
  <si>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</si>
  <si>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</si>
  <si>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</si>
  <si>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</si>
  <si>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</si>
  <si>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</si>
  <si>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</si>
  <si>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</si>
  <si>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</si>
  <si>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</si>
  <si>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</si>
  <si>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</si>
  <si>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</si>
  <si>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</si>
  <si>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</si>
  <si>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</si>
  <si>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</si>
  <si>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</si>
  <si>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</si>
  <si>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</si>
  <si>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</si>
  <si>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</si>
  <si>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</si>
  <si>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</si>
  <si>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</si>
  <si>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</si>
  <si>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</si>
  <si>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</si>
  <si>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</si>
  <si>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</si>
  <si>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</si>
  <si>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</si>
  <si>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</si>
  <si>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</si>
  <si>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</si>
  <si>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</si>
  <si>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</si>
  <si>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</si>
  <si>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</si>
  <si>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</si>
  <si>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</si>
  <si>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</si>
  <si>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</si>
  <si>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</si>
  <si>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</si>
  <si>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</si>
  <si>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</si>
  <si>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</si>
  <si>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</si>
  <si>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</si>
  <si>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</si>
  <si>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</si>
  <si>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</si>
  <si>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</si>
  <si>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</si>
  <si>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</si>
  <si>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</si>
  <si>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</si>
  <si>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</si>
  <si>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</si>
  <si>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</si>
  <si>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</si>
  <si>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02.03.2026</t>
  </si>
  <si>
    <t>25.02.2026</t>
  </si>
  <si>
    <t>ОБЩЕСТВО С ОГРАНИЧЕННОЙ ОТВЕТСТВЕННОСТЬЮ "НОВОЕ ВРЕМЯ"</t>
  </si>
  <si>
    <t>596383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</si>
  <si>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</si>
  <si>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</si>
  <si>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</si>
  <si>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</si>
  <si>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</si>
  <si>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</si>
  <si>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SU004004</t>
  </si>
  <si>
    <t>P005154</t>
  </si>
  <si>
    <t>ЕАЭС N RU Д-RU.РА09.В.81943/25</t>
  </si>
  <si>
    <t>СК2</t>
  </si>
  <si>
    <t>14</t>
  </si>
  <si>
    <t>SU003188</t>
  </si>
  <si>
    <t>P003827</t>
  </si>
  <si>
    <t>ЕАЭС N RU Д-RU.РА10.В.06818/24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</si>
  <si>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</si>
  <si>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</si>
  <si>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</si>
  <si>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</si>
  <si>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</si>
  <si>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</si>
  <si>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</si>
  <si>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</si>
  <si>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</si>
  <si>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</si>
  <si>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</si>
  <si>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</si>
  <si>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</si>
  <si>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</si>
  <si>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Д-RU.РА06.В.92094/23</t>
  </si>
  <si>
    <t>SU004080</t>
  </si>
  <si>
    <t>P005211</t>
  </si>
  <si>
    <t>ЕАЭС N RU Д-RU.РА11.В.17157/25, ЕАЭС N RU Д-RU.РА11.В.18056/25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</si>
  <si>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</si>
  <si>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</si>
  <si>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</si>
  <si>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</si>
  <si>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</si>
  <si>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</si>
  <si>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</si>
  <si>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</si>
  <si>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</si>
  <si>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</si>
  <si>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</si>
  <si>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</si>
  <si>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</si>
  <si>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</si>
  <si>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</si>
  <si>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</si>
  <si>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</si>
  <si>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SU002986</t>
  </si>
  <si>
    <t>P003429</t>
  </si>
  <si>
    <t>12</t>
  </si>
  <si>
    <t>SU001485</t>
  </si>
  <si>
    <t>P003008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</si>
  <si>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</si>
  <si>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</si>
  <si>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</si>
  <si>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</si>
  <si>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</si>
  <si>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</si>
  <si>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</si>
  <si>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</si>
  <si>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</si>
  <si>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</si>
  <si>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</si>
  <si>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</si>
  <si>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</si>
  <si>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</si>
  <si>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</si>
  <si>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</si>
  <si>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</si>
  <si>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</si>
  <si>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</si>
  <si>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</si>
  <si>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</si>
  <si>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</si>
  <si>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</si>
  <si>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</si>
  <si>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</si>
  <si>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</si>
  <si>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</si>
  <si>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</si>
  <si>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</si>
  <si>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</si>
  <si>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</si>
  <si>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24</t>
  </si>
  <si>
    <t>SU002814</t>
  </si>
  <si>
    <t>P003226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</si>
  <si>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</si>
  <si>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</si>
  <si>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</si>
  <si>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</si>
  <si>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</si>
  <si>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</si>
  <si>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</si>
  <si>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</si>
  <si>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Д-RU.РА12.В.00849/25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</si>
  <si>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</si>
  <si>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</si>
  <si>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</si>
  <si>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</si>
  <si>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</si>
  <si>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</si>
  <si>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</si>
  <si>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</si>
  <si>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</si>
  <si>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</si>
  <si>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</si>
  <si>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</si>
  <si>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</si>
  <si>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</si>
  <si>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</si>
  <si>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</si>
  <si>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</si>
  <si>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</si>
  <si>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</si>
  <si>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</si>
  <si>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</si>
  <si>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</si>
  <si>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</si>
  <si>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</si>
  <si>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</si>
  <si>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</si>
  <si>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</si>
  <si>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</si>
  <si>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</si>
  <si>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</si>
  <si>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</si>
  <si>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</si>
  <si>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</si>
  <si>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</si>
  <si>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</si>
  <si>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</si>
  <si>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</si>
  <si>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</si>
  <si>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</si>
  <si>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</si>
  <si>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</si>
  <si>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</si>
  <si>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</si>
  <si>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</si>
  <si>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</si>
  <si>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</si>
  <si>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</si>
  <si>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</si>
  <si>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</si>
  <si>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</si>
  <si>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</si>
  <si>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</si>
  <si>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</si>
  <si>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</si>
  <si>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</si>
  <si>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</si>
  <si>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</si>
  <si>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</si>
  <si>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</si>
  <si>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</si>
  <si>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</si>
  <si>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</si>
  <si>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</si>
  <si>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</si>
  <si>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</si>
  <si>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</si>
  <si>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</si>
  <si>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</si>
  <si>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</si>
  <si>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</si>
  <si>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</si>
  <si>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</si>
  <si>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</si>
  <si>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</si>
  <si>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</si>
  <si>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</si>
  <si>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</si>
  <si>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</si>
  <si>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</si>
  <si>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</si>
  <si>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</si>
  <si>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</si>
  <si>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</si>
  <si>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</si>
  <si>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</si>
  <si>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</si>
  <si>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</si>
  <si>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</si>
  <si>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SU004041</t>
  </si>
  <si>
    <t>P005165</t>
  </si>
  <si>
    <t>ЕАЭС N RU Д-RU.РА11.В.18556/25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</si>
  <si>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</si>
  <si>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</si>
  <si>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</si>
  <si>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</si>
  <si>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</si>
  <si>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</si>
  <si>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</si>
  <si>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</si>
  <si>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</si>
  <si>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SU003751</t>
  </si>
  <si>
    <t>P004728</t>
  </si>
  <si>
    <t>Копченые колбасы «Сервелат Финский» Фикс.вес 0,09 нарезка ТМ «Вязанка»</t>
  </si>
  <si>
    <t>ЕАЭС N RU Д-RU.РА08.В.64158/25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</si>
  <si>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</si>
  <si>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</si>
  <si>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</si>
  <si>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</si>
  <si>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</si>
  <si>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</si>
  <si>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</si>
  <si>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</si>
  <si>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</si>
  <si>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</si>
  <si>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</si>
  <si>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</si>
  <si>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</si>
  <si>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</si>
  <si>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</si>
  <si>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</si>
  <si>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</si>
  <si>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</si>
  <si>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</si>
  <si>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</si>
  <si>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</si>
  <si>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</si>
  <si>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</si>
  <si>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</si>
  <si>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</si>
  <si>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</si>
  <si>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</si>
  <si>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SU004085</t>
  </si>
  <si>
    <t>P005231</t>
  </si>
  <si>
    <t>ЕАЭС N RU Д-RU.РА06.В.75990/25</t>
  </si>
  <si>
    <t>МЗР</t>
  </si>
  <si>
    <t>SU004086</t>
  </si>
  <si>
    <t>P005232</t>
  </si>
  <si>
    <t>SU003939</t>
  </si>
  <si>
    <t>P005054</t>
  </si>
  <si>
    <t>Копченые колбасы «Сервелат Мясорубский Выдержанный» Фикс.вес 0,35 фиброуз ТМ «Стародворье»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</si>
  <si>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</si>
  <si>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</si>
  <si>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</si>
  <si>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</si>
  <si>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</si>
  <si>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</si>
  <si>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</si>
  <si>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</si>
  <si>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</si>
  <si>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</si>
  <si>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</si>
  <si>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</si>
  <si>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</si>
  <si>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</si>
  <si>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</si>
  <si>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</si>
  <si>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ЕАЭС N RU Д-RU.РА03.В.06444/25</t>
  </si>
  <si>
    <t>27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</si>
  <si>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</si>
  <si>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</si>
  <si>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</si>
  <si>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</si>
  <si>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</si>
  <si>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</si>
  <si>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</si>
  <si>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</si>
  <si>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</si>
  <si>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</si>
  <si>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</si>
  <si>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</si>
  <si>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</si>
  <si>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</si>
  <si>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</si>
  <si>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</si>
  <si>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</si>
  <si>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</si>
  <si>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</si>
  <si>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</si>
  <si>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</si>
  <si>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</si>
  <si>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</si>
  <si>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</si>
  <si>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</si>
  <si>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</si>
  <si>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</si>
  <si>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</si>
  <si>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</si>
  <si>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</si>
  <si>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</si>
  <si>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</si>
  <si>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</si>
  <si>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</si>
  <si>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</si>
  <si>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</si>
  <si>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</si>
  <si>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</si>
  <si>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</si>
  <si>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</si>
  <si>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</si>
  <si>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</si>
  <si>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</si>
  <si>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</si>
  <si>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</si>
  <si>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</si>
  <si>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</si>
  <si>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</si>
  <si>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</si>
  <si>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</si>
  <si>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</si>
  <si>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</si>
  <si>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</si>
  <si>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</si>
  <si>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</si>
  <si>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</si>
  <si>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</si>
  <si>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</si>
  <si>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</si>
  <si>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</si>
  <si>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</si>
  <si>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</si>
  <si>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</si>
  <si>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</si>
  <si>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</si>
  <si>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</si>
  <si>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</si>
  <si>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</si>
  <si>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</si>
  <si>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</si>
  <si>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</si>
  <si>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</si>
  <si>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</si>
  <si>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</si>
  <si>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</si>
  <si>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</si>
  <si>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</si>
  <si>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</si>
  <si>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</si>
  <si>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</si>
  <si>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</si>
  <si>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</si>
  <si>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</si>
  <si>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</si>
  <si>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</si>
  <si>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</si>
  <si>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</si>
  <si>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</si>
  <si>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</si>
  <si>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</si>
  <si>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</si>
  <si>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</si>
  <si>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</si>
  <si>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</si>
  <si>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</si>
  <si>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</si>
  <si>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</si>
  <si>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</si>
  <si>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</si>
  <si>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</si>
  <si>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</si>
  <si>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</si>
  <si>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</si>
  <si>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</si>
  <si>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</si>
  <si>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</si>
  <si>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</si>
  <si>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</si>
  <si>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</si>
  <si>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</si>
  <si>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</si>
  <si>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</si>
  <si>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</si>
  <si>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</si>
  <si>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</si>
  <si>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</si>
  <si>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</si>
  <si>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</si>
  <si>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</si>
  <si>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</si>
  <si>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</si>
  <si>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</si>
  <si>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</si>
  <si>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</si>
  <si>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</si>
  <si>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</si>
  <si>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</si>
  <si>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</si>
  <si>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</si>
  <si>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</si>
  <si>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</si>
  <si>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</si>
  <si>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</si>
  <si>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</si>
  <si>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</si>
  <si>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</si>
  <si>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</si>
  <si>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</si>
  <si>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</si>
  <si>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</si>
  <si>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</si>
  <si>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</si>
  <si>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</si>
  <si>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</si>
  <si>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</si>
  <si>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Д-RU.РА01.В.23455/26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</si>
  <si>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</si>
  <si>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</si>
  <si>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</si>
  <si>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</si>
  <si>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</si>
  <si>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</si>
  <si>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</si>
  <si>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</si>
  <si>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</si>
  <si>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</si>
  <si>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</si>
  <si>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</si>
  <si>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Д-RU.РА01.В.51365/26</t>
  </si>
  <si>
    <t>SU003396</t>
  </si>
  <si>
    <t>P004215</t>
  </si>
  <si>
    <t>ЕАЭС N RU Д-RU.РА01.В.50573/26</t>
  </si>
  <si>
    <t>SU003392</t>
  </si>
  <si>
    <t>P004210</t>
  </si>
  <si>
    <t>ЕАЭС N RU Д-RU.РА01.В.51811/26, ЕАЭС N RU Д-RU.РА04.В.94346/24</t>
  </si>
  <si>
    <t>SU003395</t>
  </si>
  <si>
    <t>P004214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</si>
  <si>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</si>
  <si>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</si>
  <si>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</si>
  <si>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</si>
  <si>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</si>
  <si>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</si>
  <si>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</si>
  <si>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</si>
  <si>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</si>
  <si>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</si>
  <si>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</si>
  <si>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</si>
  <si>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</si>
  <si>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</si>
  <si>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</si>
  <si>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</si>
  <si>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</si>
  <si>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</si>
  <si>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</si>
  <si>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В/к колбасы «Сервелатная По-стародворски» Фикс.вес 0,73 Фиброуз в/у ТМ «Стародворье»</t>
  </si>
  <si>
    <t>SU002252</t>
  </si>
  <si>
    <t>P002461</t>
  </si>
  <si>
    <t>ЕАЭС N RU Д-RU.PA01.B.88489/21</t>
  </si>
  <si>
    <t>SU001340</t>
  </si>
  <si>
    <t>P002209</t>
  </si>
  <si>
    <t>ЕАЭС N RU Д-RU.РА01.В.50365/26,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</si>
  <si>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</si>
  <si>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</si>
  <si>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</si>
  <si>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</si>
  <si>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</si>
  <si>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</si>
  <si>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</si>
  <si>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</si>
  <si>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Д-RU.РА01.В.50365/26, ЕАЭС N RU Д-RU.РА02.В.37037/25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</si>
  <si>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</si>
  <si>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</si>
  <si>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</si>
  <si>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</si>
  <si>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</si>
  <si>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</si>
  <si>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</si>
  <si>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</si>
  <si>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</si>
  <si>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</si>
  <si>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</si>
  <si>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</si>
  <si>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</si>
  <si>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</si>
  <si>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</si>
  <si>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</si>
  <si>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</si>
  <si>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</si>
  <si>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</si>
  <si>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</si>
  <si>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</si>
  <si>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</si>
  <si>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</si>
  <si>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</si>
  <si>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</si>
  <si>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</si>
  <si>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</si>
  <si>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</si>
  <si>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</si>
  <si>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</si>
  <si>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</si>
  <si>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</si>
  <si>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</si>
  <si>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</si>
  <si>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</si>
  <si>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</si>
  <si>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</si>
  <si>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</si>
  <si>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</si>
  <si>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</si>
  <si>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</si>
  <si>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</si>
  <si>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</si>
  <si>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</si>
  <si>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</si>
  <si>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</si>
  <si>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</si>
  <si>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</si>
  <si>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</si>
  <si>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</si>
  <si>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</si>
  <si>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</si>
  <si>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</si>
  <si>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</si>
  <si>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</si>
  <si>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</si>
  <si>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</si>
  <si>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</si>
  <si>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</si>
  <si>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</si>
  <si>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</si>
  <si>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</si>
  <si>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</si>
  <si>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</si>
  <si>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</si>
  <si>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</si>
  <si>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</si>
  <si>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</si>
  <si>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</si>
  <si>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</si>
  <si>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</si>
  <si>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</si>
  <si>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</si>
  <si>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</si>
  <si>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</si>
  <si>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</si>
  <si>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</si>
  <si>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</si>
  <si>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</si>
  <si>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</si>
  <si>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</si>
  <si>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</si>
  <si>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</si>
  <si>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</si>
  <si>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</si>
  <si>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</si>
  <si>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</si>
  <si>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</si>
  <si>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</si>
  <si>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</si>
  <si>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</si>
  <si>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</si>
  <si>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</si>
  <si>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</si>
  <si>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</si>
  <si>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</si>
  <si>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</si>
  <si>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</si>
  <si>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</si>
  <si>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</si>
  <si>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</si>
  <si>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</si>
  <si>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</si>
  <si>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</si>
  <si>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</si>
  <si>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</si>
  <si>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</si>
  <si>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</si>
  <si>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</si>
  <si>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</si>
  <si>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Д-RU.РА01.В.80532/26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</si>
  <si>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</si>
  <si>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</si>
  <si>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</si>
  <si>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</si>
  <si>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</si>
  <si>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</si>
  <si>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</si>
  <si>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</si>
  <si>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</si>
  <si>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</si>
  <si>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</si>
  <si>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</si>
  <si>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</si>
  <si>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</si>
  <si>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</si>
  <si>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</si>
  <si>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</si>
  <si>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</si>
  <si>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</si>
  <si>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</si>
  <si>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</si>
  <si>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</si>
  <si>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</si>
  <si>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</si>
  <si>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</si>
  <si>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</si>
  <si>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Д-RU.РА01.В.52078/26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</si>
  <si>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</si>
  <si>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</si>
  <si>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</si>
  <si>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</si>
  <si>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</si>
  <si>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</si>
  <si>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</si>
  <si>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</si>
  <si>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</si>
  <si>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</si>
  <si>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</si>
  <si>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</si>
  <si>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</si>
  <si>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</si>
  <si>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</si>
  <si>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</si>
  <si>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</si>
  <si>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</si>
  <si>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</si>
  <si>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</si>
  <si>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</si>
  <si>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</si>
  <si>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</si>
  <si>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</si>
  <si>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</si>
  <si>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</si>
  <si>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</si>
  <si>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</si>
  <si>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</si>
  <si>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</si>
  <si>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</si>
  <si>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</si>
  <si>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</si>
  <si>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</si>
  <si>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</si>
  <si>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</si>
  <si>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</si>
  <si>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</si>
  <si>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</si>
  <si>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</si>
  <si>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</si>
  <si>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</si>
  <si>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</si>
  <si>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</si>
  <si>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</si>
  <si>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</si>
  <si>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</si>
  <si>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</si>
  <si>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</si>
  <si>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</si>
  <si>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</si>
  <si>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</si>
  <si>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</si>
  <si>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</si>
  <si>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</si>
  <si>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</si>
  <si>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</si>
  <si>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</si>
  <si>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</si>
  <si>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</si>
  <si>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</si>
  <si>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</si>
  <si>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</si>
  <si>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</si>
  <si>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</si>
  <si>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</si>
  <si>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</si>
  <si>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</si>
  <si>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</si>
  <si>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</si>
  <si>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</si>
  <si>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</si>
  <si>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</si>
  <si>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</si>
  <si>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</si>
  <si>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</si>
  <si>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</si>
  <si>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</si>
  <si>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</si>
  <si>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</si>
  <si>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</si>
  <si>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</si>
  <si>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</si>
  <si>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MSDAX_КИ</t>
  </si>
  <si>
    <t>Доставка</t>
  </si>
  <si>
    <t>Самовывоз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</si>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</sst>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76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87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760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8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859" t="s">
        <v>26</v>
      </c>
      <c r="E1" s="859"/>
      <c r="F1" s="859"/>
      <c r="G1" s="14" t="s">
        <v>66</v>
      </c>
      <c r="H1" s="859" t="s">
        <v>46</v>
      </c>
      <c r="I1" s="859"/>
      <c r="J1" s="859"/>
      <c r="K1" s="859"/>
      <c r="L1" s="859"/>
      <c r="M1" s="859"/>
      <c r="N1" s="859"/>
      <c r="O1" s="859"/>
      <c r="P1" s="859"/>
      <c r="Q1" s="859"/>
      <c r="R1" s="860" t="s">
        <v>67</v>
      </c>
      <c r="S1" s="861"/>
      <c r="T1" s="861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862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862"/>
      <c r="R2" s="862"/>
      <c r="S2" s="862"/>
      <c r="T2" s="862"/>
      <c r="U2" s="862"/>
      <c r="V2" s="862"/>
      <c r="W2" s="862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862"/>
      <c r="Q3" s="862"/>
      <c r="R3" s="862"/>
      <c r="S3" s="862"/>
      <c r="T3" s="862"/>
      <c r="U3" s="862"/>
      <c r="V3" s="862"/>
      <c r="W3" s="862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841" t="s">
        <v>8</v>
      </c>
      <c r="B5" s="841"/>
      <c r="C5" s="841"/>
      <c r="D5" s="863"/>
      <c r="E5" s="863"/>
      <c r="F5" s="864" t="s">
        <v>14</v>
      </c>
      <c r="G5" s="864"/>
      <c r="H5" s="863"/>
      <c r="I5" s="863"/>
      <c r="J5" s="863"/>
      <c r="K5" s="863"/>
      <c r="L5" s="863"/>
      <c r="M5" s="863"/>
      <c r="N5" s="69"/>
      <c r="P5" s="26" t="s">
        <v>4</v>
      </c>
      <c r="Q5" s="865">
        <v>46280</v>
      </c>
      <c r="R5" s="865"/>
      <c r="T5" s="866" t="s">
        <v>3</v>
      </c>
      <c r="U5" s="867"/>
      <c r="V5" s="868" t="s">
        <v>751</v>
      </c>
      <c r="W5" s="869"/>
      <c r="AB5" s="57"/>
      <c r="AC5" s="57"/>
      <c r="AD5" s="57"/>
      <c r="AE5" s="57"/>
    </row>
    <row r="6" spans="1:32" s="17" customFormat="1" ht="24" customHeight="1" x14ac:dyDescent="0.2">
      <c r="A6" s="841" t="s">
        <v>1</v>
      </c>
      <c r="B6" s="841"/>
      <c r="C6" s="841"/>
      <c r="D6" s="842"/>
      <c r="E6" s="842"/>
      <c r="F6" s="842"/>
      <c r="G6" s="842"/>
      <c r="H6" s="842"/>
      <c r="I6" s="842"/>
      <c r="J6" s="842"/>
      <c r="K6" s="842"/>
      <c r="L6" s="842"/>
      <c r="M6" s="842"/>
      <c r="N6" s="70"/>
      <c r="P6" s="26" t="s">
        <v>27</v>
      </c>
      <c r="Q6" s="843" t="str">
        <f>IF(Q5=0," ",CHOOSE(WEEKDAY(Q5,2),"Понедельник","Вторник","Среда","Четверг","Пятница","Суббота","Воскресенье"))</f>
        <v>Вторник</v>
      </c>
      <c r="R6" s="843"/>
      <c r="T6" s="844" t="s">
        <v>5</v>
      </c>
      <c r="U6" s="845"/>
      <c r="V6" s="846" t="s">
        <v>69</v>
      </c>
      <c r="W6" s="847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852">
        <f>IFERROR(VLOOKUP(DeliveryAddress,Table,3,0),1)</f>
        <v>1</v>
      </c>
      <c r="E7" s="853"/>
      <c r="F7" s="853"/>
      <c r="G7" s="853"/>
      <c r="H7" s="853"/>
      <c r="I7" s="853"/>
      <c r="J7" s="853"/>
      <c r="K7" s="853"/>
      <c r="L7" s="853"/>
      <c r="M7" s="854"/>
      <c r="N7" s="71"/>
      <c r="P7" s="26"/>
      <c r="Q7" s="46"/>
      <c r="R7" s="46"/>
      <c r="T7" s="844"/>
      <c r="U7" s="845"/>
      <c r="V7" s="848"/>
      <c r="W7" s="849"/>
      <c r="AB7" s="57"/>
      <c r="AC7" s="57"/>
      <c r="AD7" s="57"/>
      <c r="AE7" s="57"/>
    </row>
    <row r="8" spans="1:32" s="17" customFormat="1" ht="25.5" customHeight="1" x14ac:dyDescent="0.2">
      <c r="A8" s="855" t="s">
        <v>57</v>
      </c>
      <c r="B8" s="855"/>
      <c r="C8" s="855"/>
      <c r="D8" s="856"/>
      <c r="E8" s="856"/>
      <c r="F8" s="856"/>
      <c r="G8" s="856"/>
      <c r="H8" s="856"/>
      <c r="I8" s="856"/>
      <c r="J8" s="856"/>
      <c r="K8" s="856"/>
      <c r="L8" s="856"/>
      <c r="M8" s="856"/>
      <c r="N8" s="72"/>
      <c r="P8" s="26" t="s">
        <v>11</v>
      </c>
      <c r="Q8" s="839"/>
      <c r="R8" s="839"/>
      <c r="T8" s="844"/>
      <c r="U8" s="845"/>
      <c r="V8" s="848"/>
      <c r="W8" s="849"/>
      <c r="AB8" s="57"/>
      <c r="AC8" s="57"/>
      <c r="AD8" s="57"/>
      <c r="AE8" s="57"/>
    </row>
    <row r="9" spans="1:32" s="17" customFormat="1" ht="39.950000000000003" customHeight="1" x14ac:dyDescent="0.2">
      <c r="A9" s="83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31"/>
      <c r="C9" s="831"/>
      <c r="D9" s="832" t="s">
        <v>45</v>
      </c>
      <c r="E9" s="833"/>
      <c r="F9" s="83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31"/>
      <c r="H9" s="857" t="str">
        <f>IF(AND($A$9="Тип доверенности/получателя при получении в адресе перегруза:",$D$9="Разовая доверенность"),"Введите ФИО","")</f>
        <v/>
      </c>
      <c r="I9" s="857"/>
      <c r="J9" s="85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857"/>
      <c r="L9" s="857"/>
      <c r="M9" s="857"/>
      <c r="N9" s="67"/>
      <c r="P9" s="29" t="s">
        <v>15</v>
      </c>
      <c r="Q9" s="858"/>
      <c r="R9" s="858"/>
      <c r="T9" s="844"/>
      <c r="U9" s="845"/>
      <c r="V9" s="850"/>
      <c r="W9" s="851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3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31"/>
      <c r="C10" s="831"/>
      <c r="D10" s="832"/>
      <c r="E10" s="833"/>
      <c r="F10" s="83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31"/>
      <c r="H10" s="834" t="str">
        <f>IFERROR(VLOOKUP($D$10,Proxy,2,FALSE),"")</f>
        <v/>
      </c>
      <c r="I10" s="834"/>
      <c r="J10" s="834"/>
      <c r="K10" s="834"/>
      <c r="L10" s="834"/>
      <c r="M10" s="834"/>
      <c r="N10" s="68"/>
      <c r="P10" s="29" t="s">
        <v>32</v>
      </c>
      <c r="Q10" s="835"/>
      <c r="R10" s="835"/>
      <c r="U10" s="26" t="s">
        <v>12</v>
      </c>
      <c r="V10" s="836" t="s">
        <v>70</v>
      </c>
      <c r="W10" s="837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838"/>
      <c r="R11" s="838"/>
      <c r="U11" s="26" t="s">
        <v>28</v>
      </c>
      <c r="V11" s="817" t="s">
        <v>54</v>
      </c>
      <c r="W11" s="817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16" t="s">
        <v>71</v>
      </c>
      <c r="B12" s="816"/>
      <c r="C12" s="816"/>
      <c r="D12" s="816"/>
      <c r="E12" s="816"/>
      <c r="F12" s="816"/>
      <c r="G12" s="816"/>
      <c r="H12" s="816"/>
      <c r="I12" s="816"/>
      <c r="J12" s="816"/>
      <c r="K12" s="816"/>
      <c r="L12" s="816"/>
      <c r="M12" s="816"/>
      <c r="N12" s="73"/>
      <c r="P12" s="26" t="s">
        <v>30</v>
      </c>
      <c r="Q12" s="839"/>
      <c r="R12" s="839"/>
      <c r="S12" s="27"/>
      <c r="T12"/>
      <c r="U12" s="26" t="s">
        <v>45</v>
      </c>
      <c r="V12" s="840"/>
      <c r="W12" s="840"/>
      <c r="X12"/>
      <c r="AB12" s="57"/>
      <c r="AC12" s="57"/>
      <c r="AD12" s="57"/>
      <c r="AE12" s="57"/>
    </row>
    <row r="13" spans="1:32" s="17" customFormat="1" ht="23.25" customHeight="1" x14ac:dyDescent="0.2">
      <c r="A13" s="816" t="s">
        <v>72</v>
      </c>
      <c r="B13" s="816"/>
      <c r="C13" s="816"/>
      <c r="D13" s="816"/>
      <c r="E13" s="816"/>
      <c r="F13" s="816"/>
      <c r="G13" s="816"/>
      <c r="H13" s="816"/>
      <c r="I13" s="816"/>
      <c r="J13" s="816"/>
      <c r="K13" s="816"/>
      <c r="L13" s="816"/>
      <c r="M13" s="816"/>
      <c r="N13" s="73"/>
      <c r="O13" s="29"/>
      <c r="P13" s="29" t="s">
        <v>31</v>
      </c>
      <c r="Q13" s="817"/>
      <c r="R13" s="817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16" t="s">
        <v>73</v>
      </c>
      <c r="B14" s="816"/>
      <c r="C14" s="816"/>
      <c r="D14" s="816"/>
      <c r="E14" s="816"/>
      <c r="F14" s="816"/>
      <c r="G14" s="816"/>
      <c r="H14" s="816"/>
      <c r="I14" s="816"/>
      <c r="J14" s="816"/>
      <c r="K14" s="816"/>
      <c r="L14" s="816"/>
      <c r="M14" s="816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18" t="s">
        <v>74</v>
      </c>
      <c r="B15" s="818"/>
      <c r="C15" s="818"/>
      <c r="D15" s="818"/>
      <c r="E15" s="818"/>
      <c r="F15" s="818"/>
      <c r="G15" s="818"/>
      <c r="H15" s="818"/>
      <c r="I15" s="818"/>
      <c r="J15" s="818"/>
      <c r="K15" s="818"/>
      <c r="L15" s="818"/>
      <c r="M15" s="818"/>
      <c r="N15" s="74"/>
      <c r="O15"/>
      <c r="P15" s="819" t="s">
        <v>60</v>
      </c>
      <c r="Q15" s="819"/>
      <c r="R15" s="819"/>
      <c r="S15" s="819"/>
      <c r="T15" s="819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20"/>
      <c r="Q16" s="820"/>
      <c r="R16" s="820"/>
      <c r="S16" s="820"/>
      <c r="T16" s="82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02" t="s">
        <v>58</v>
      </c>
      <c r="B17" s="802" t="s">
        <v>48</v>
      </c>
      <c r="C17" s="823" t="s">
        <v>47</v>
      </c>
      <c r="D17" s="825" t="s">
        <v>49</v>
      </c>
      <c r="E17" s="826"/>
      <c r="F17" s="802" t="s">
        <v>21</v>
      </c>
      <c r="G17" s="802" t="s">
        <v>24</v>
      </c>
      <c r="H17" s="802" t="s">
        <v>22</v>
      </c>
      <c r="I17" s="802" t="s">
        <v>23</v>
      </c>
      <c r="J17" s="802" t="s">
        <v>16</v>
      </c>
      <c r="K17" s="802" t="s">
        <v>65</v>
      </c>
      <c r="L17" s="802" t="s">
        <v>63</v>
      </c>
      <c r="M17" s="802" t="s">
        <v>2</v>
      </c>
      <c r="N17" s="802" t="s">
        <v>62</v>
      </c>
      <c r="O17" s="802" t="s">
        <v>25</v>
      </c>
      <c r="P17" s="825" t="s">
        <v>17</v>
      </c>
      <c r="Q17" s="829"/>
      <c r="R17" s="829"/>
      <c r="S17" s="829"/>
      <c r="T17" s="826"/>
      <c r="U17" s="821" t="s">
        <v>55</v>
      </c>
      <c r="V17" s="822"/>
      <c r="W17" s="802" t="s">
        <v>6</v>
      </c>
      <c r="X17" s="802" t="s">
        <v>41</v>
      </c>
      <c r="Y17" s="804" t="s">
        <v>53</v>
      </c>
      <c r="Z17" s="806" t="s">
        <v>18</v>
      </c>
      <c r="AA17" s="808" t="s">
        <v>59</v>
      </c>
      <c r="AB17" s="808" t="s">
        <v>19</v>
      </c>
      <c r="AC17" s="808" t="s">
        <v>64</v>
      </c>
      <c r="AD17" s="810" t="s">
        <v>56</v>
      </c>
      <c r="AE17" s="811"/>
      <c r="AF17" s="812"/>
      <c r="AG17" s="77"/>
      <c r="BD17" s="76" t="s">
        <v>61</v>
      </c>
    </row>
    <row r="18" spans="1:68" ht="14.25" customHeight="1" x14ac:dyDescent="0.2">
      <c r="A18" s="803"/>
      <c r="B18" s="803"/>
      <c r="C18" s="824"/>
      <c r="D18" s="827"/>
      <c r="E18" s="828"/>
      <c r="F18" s="803"/>
      <c r="G18" s="803"/>
      <c r="H18" s="803"/>
      <c r="I18" s="803"/>
      <c r="J18" s="803"/>
      <c r="K18" s="803"/>
      <c r="L18" s="803"/>
      <c r="M18" s="803"/>
      <c r="N18" s="803"/>
      <c r="O18" s="803"/>
      <c r="P18" s="827"/>
      <c r="Q18" s="830"/>
      <c r="R18" s="830"/>
      <c r="S18" s="830"/>
      <c r="T18" s="828"/>
      <c r="U18" s="78" t="s">
        <v>44</v>
      </c>
      <c r="V18" s="78" t="s">
        <v>43</v>
      </c>
      <c r="W18" s="803"/>
      <c r="X18" s="803"/>
      <c r="Y18" s="805"/>
      <c r="Z18" s="807"/>
      <c r="AA18" s="809"/>
      <c r="AB18" s="809"/>
      <c r="AC18" s="809"/>
      <c r="AD18" s="813"/>
      <c r="AE18" s="814"/>
      <c r="AF18" s="815"/>
      <c r="AG18" s="77"/>
      <c r="BD18" s="76"/>
    </row>
    <row r="19" spans="1:68" ht="27.75" hidden="1" customHeight="1" x14ac:dyDescent="0.2">
      <c r="A19" s="574" t="s">
        <v>75</v>
      </c>
      <c r="B19" s="574"/>
      <c r="C19" s="574"/>
      <c r="D19" s="574"/>
      <c r="E19" s="574"/>
      <c r="F19" s="574"/>
      <c r="G19" s="574"/>
      <c r="H19" s="574"/>
      <c r="I19" s="574"/>
      <c r="J19" s="574"/>
      <c r="K19" s="574"/>
      <c r="L19" s="574"/>
      <c r="M19" s="574"/>
      <c r="N19" s="574"/>
      <c r="O19" s="574"/>
      <c r="P19" s="574"/>
      <c r="Q19" s="574"/>
      <c r="R19" s="574"/>
      <c r="S19" s="574"/>
      <c r="T19" s="574"/>
      <c r="U19" s="574"/>
      <c r="V19" s="574"/>
      <c r="W19" s="574"/>
      <c r="X19" s="574"/>
      <c r="Y19" s="574"/>
      <c r="Z19" s="574"/>
      <c r="AA19" s="52"/>
      <c r="AB19" s="52"/>
      <c r="AC19" s="52"/>
    </row>
    <row r="20" spans="1:68" ht="16.5" hidden="1" customHeight="1" x14ac:dyDescent="0.25">
      <c r="A20" s="553" t="s">
        <v>75</v>
      </c>
      <c r="B20" s="553"/>
      <c r="C20" s="553"/>
      <c r="D20" s="553"/>
      <c r="E20" s="553"/>
      <c r="F20" s="553"/>
      <c r="G20" s="553"/>
      <c r="H20" s="553"/>
      <c r="I20" s="553"/>
      <c r="J20" s="553"/>
      <c r="K20" s="553"/>
      <c r="L20" s="553"/>
      <c r="M20" s="553"/>
      <c r="N20" s="553"/>
      <c r="O20" s="553"/>
      <c r="P20" s="553"/>
      <c r="Q20" s="553"/>
      <c r="R20" s="553"/>
      <c r="S20" s="553"/>
      <c r="T20" s="553"/>
      <c r="U20" s="553"/>
      <c r="V20" s="553"/>
      <c r="W20" s="553"/>
      <c r="X20" s="553"/>
      <c r="Y20" s="553"/>
      <c r="Z20" s="553"/>
      <c r="AA20" s="62"/>
      <c r="AB20" s="62"/>
      <c r="AC20" s="62"/>
    </row>
    <row r="21" spans="1:68" ht="14.25" hidden="1" customHeight="1" x14ac:dyDescent="0.25">
      <c r="A21" s="554" t="s">
        <v>76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63"/>
      <c r="AB21" s="63"/>
      <c r="AC21" s="63"/>
    </row>
    <row r="22" spans="1:68" ht="27" hidden="1" customHeight="1" x14ac:dyDescent="0.25">
      <c r="A22" s="60" t="s">
        <v>77</v>
      </c>
      <c r="B22" s="60" t="s">
        <v>78</v>
      </c>
      <c r="C22" s="34">
        <v>4301031446</v>
      </c>
      <c r="D22" s="555">
        <v>4680115887510</v>
      </c>
      <c r="E22" s="555"/>
      <c r="F22" s="59">
        <v>0.2</v>
      </c>
      <c r="G22" s="35">
        <v>6</v>
      </c>
      <c r="H22" s="59">
        <v>1.2</v>
      </c>
      <c r="I22" s="59">
        <v>1.38</v>
      </c>
      <c r="J22" s="35">
        <v>182</v>
      </c>
      <c r="K22" s="35" t="s">
        <v>81</v>
      </c>
      <c r="L22" s="35" t="s">
        <v>45</v>
      </c>
      <c r="M22" s="36" t="s">
        <v>80</v>
      </c>
      <c r="N22" s="36"/>
      <c r="O22" s="35">
        <v>40</v>
      </c>
      <c r="P22" s="800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7"/>
      <c r="R22" s="557"/>
      <c r="S22" s="557"/>
      <c r="T22" s="558"/>
      <c r="U22" s="37" t="s">
        <v>45</v>
      </c>
      <c r="V22" s="37" t="s">
        <v>45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IFERROR(IF(Y22=0,"",ROUNDUP(Y22/H22,0)*0.00651),"")</f>
        <v/>
      </c>
      <c r="AA22" s="65" t="s">
        <v>45</v>
      </c>
      <c r="AB22" s="66" t="s">
        <v>45</v>
      </c>
      <c r="AC22" s="81" t="s">
        <v>79</v>
      </c>
      <c r="AG22" s="75"/>
      <c r="AJ22" s="79" t="s">
        <v>45</v>
      </c>
      <c r="AK22" s="79">
        <v>0</v>
      </c>
      <c r="BB22" s="82" t="s">
        <v>66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82</v>
      </c>
      <c r="B23" s="60" t="s">
        <v>83</v>
      </c>
      <c r="C23" s="34">
        <v>4301031278</v>
      </c>
      <c r="D23" s="555">
        <v>4680115886643</v>
      </c>
      <c r="E23" s="555"/>
      <c r="F23" s="59">
        <v>0.19</v>
      </c>
      <c r="G23" s="35">
        <v>10</v>
      </c>
      <c r="H23" s="59">
        <v>1.9</v>
      </c>
      <c r="I23" s="59">
        <v>2</v>
      </c>
      <c r="J23" s="35">
        <v>234</v>
      </c>
      <c r="K23" s="35" t="s">
        <v>85</v>
      </c>
      <c r="L23" s="35" t="s">
        <v>45</v>
      </c>
      <c r="M23" s="36" t="s">
        <v>80</v>
      </c>
      <c r="N23" s="36"/>
      <c r="O23" s="35">
        <v>40</v>
      </c>
      <c r="P23" s="80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7"/>
      <c r="R23" s="557"/>
      <c r="S23" s="557"/>
      <c r="T23" s="558"/>
      <c r="U23" s="37" t="s">
        <v>45</v>
      </c>
      <c r="V23" s="37" t="s">
        <v>45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 t="s">
        <v>45</v>
      </c>
      <c r="AB23" s="66" t="s">
        <v>45</v>
      </c>
      <c r="AC23" s="83" t="s">
        <v>84</v>
      </c>
      <c r="AG23" s="75"/>
      <c r="AJ23" s="79" t="s">
        <v>45</v>
      </c>
      <c r="AK23" s="79">
        <v>0</v>
      </c>
      <c r="BB23" s="84" t="s">
        <v>66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idden="1" x14ac:dyDescent="0.2">
      <c r="A24" s="562"/>
      <c r="B24" s="562"/>
      <c r="C24" s="562"/>
      <c r="D24" s="562"/>
      <c r="E24" s="562"/>
      <c r="F24" s="562"/>
      <c r="G24" s="562"/>
      <c r="H24" s="562"/>
      <c r="I24" s="562"/>
      <c r="J24" s="562"/>
      <c r="K24" s="562"/>
      <c r="L24" s="562"/>
      <c r="M24" s="562"/>
      <c r="N24" s="562"/>
      <c r="O24" s="563"/>
      <c r="P24" s="559" t="s">
        <v>40</v>
      </c>
      <c r="Q24" s="560"/>
      <c r="R24" s="560"/>
      <c r="S24" s="560"/>
      <c r="T24" s="560"/>
      <c r="U24" s="560"/>
      <c r="V24" s="561"/>
      <c r="W24" s="40" t="s">
        <v>39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hidden="1" x14ac:dyDescent="0.2">
      <c r="A25" s="562"/>
      <c r="B25" s="562"/>
      <c r="C25" s="562"/>
      <c r="D25" s="562"/>
      <c r="E25" s="562"/>
      <c r="F25" s="562"/>
      <c r="G25" s="562"/>
      <c r="H25" s="562"/>
      <c r="I25" s="562"/>
      <c r="J25" s="562"/>
      <c r="K25" s="562"/>
      <c r="L25" s="562"/>
      <c r="M25" s="562"/>
      <c r="N25" s="562"/>
      <c r="O25" s="563"/>
      <c r="P25" s="559" t="s">
        <v>40</v>
      </c>
      <c r="Q25" s="560"/>
      <c r="R25" s="560"/>
      <c r="S25" s="560"/>
      <c r="T25" s="560"/>
      <c r="U25" s="560"/>
      <c r="V25" s="561"/>
      <c r="W25" s="40" t="s">
        <v>0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hidden="1" customHeight="1" x14ac:dyDescent="0.25">
      <c r="A26" s="554" t="s">
        <v>86</v>
      </c>
      <c r="B26" s="554"/>
      <c r="C26" s="554"/>
      <c r="D26" s="554"/>
      <c r="E26" s="554"/>
      <c r="F26" s="554"/>
      <c r="G26" s="554"/>
      <c r="H26" s="554"/>
      <c r="I26" s="554"/>
      <c r="J26" s="554"/>
      <c r="K26" s="554"/>
      <c r="L26" s="554"/>
      <c r="M26" s="554"/>
      <c r="N26" s="554"/>
      <c r="O26" s="554"/>
      <c r="P26" s="554"/>
      <c r="Q26" s="554"/>
      <c r="R26" s="554"/>
      <c r="S26" s="554"/>
      <c r="T26" s="554"/>
      <c r="U26" s="554"/>
      <c r="V26" s="554"/>
      <c r="W26" s="554"/>
      <c r="X26" s="554"/>
      <c r="Y26" s="554"/>
      <c r="Z26" s="554"/>
      <c r="AA26" s="63"/>
      <c r="AB26" s="63"/>
      <c r="AC26" s="63"/>
    </row>
    <row r="27" spans="1:68" ht="27" hidden="1" customHeight="1" x14ac:dyDescent="0.25">
      <c r="A27" s="60" t="s">
        <v>87</v>
      </c>
      <c r="B27" s="60" t="s">
        <v>88</v>
      </c>
      <c r="C27" s="34">
        <v>4301051866</v>
      </c>
      <c r="D27" s="555">
        <v>4680115885912</v>
      </c>
      <c r="E27" s="555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81</v>
      </c>
      <c r="L27" s="35" t="s">
        <v>45</v>
      </c>
      <c r="M27" s="36" t="s">
        <v>90</v>
      </c>
      <c r="N27" s="36"/>
      <c r="O27" s="35">
        <v>40</v>
      </c>
      <c r="P27" s="79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7"/>
      <c r="R27" s="557"/>
      <c r="S27" s="557"/>
      <c r="T27" s="558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ref="Y27:Y32" si="0">IFERROR(IF(X27="",0,CEILING((X27/$H27),1)*$H27),"")</f>
        <v>0</v>
      </c>
      <c r="Z27" s="39" t="str">
        <f t="shared" ref="Z27:Z32" si="1">IFERROR(IF(Y27=0,"",ROUNDUP(Y27/H27,0)*0.00651),"")</f>
        <v/>
      </c>
      <c r="AA27" s="65" t="s">
        <v>45</v>
      </c>
      <c r="AB27" s="66" t="s">
        <v>45</v>
      </c>
      <c r="AC27" s="85" t="s">
        <v>89</v>
      </c>
      <c r="AG27" s="75"/>
      <c r="AJ27" s="79" t="s">
        <v>45</v>
      </c>
      <c r="AK27" s="79">
        <v>0</v>
      </c>
      <c r="BB27" s="86" t="s">
        <v>66</v>
      </c>
      <c r="BM27" s="75">
        <f t="shared" ref="BM27:BM32" si="2">IFERROR(X27*I27/H27,"0")</f>
        <v>0</v>
      </c>
      <c r="BN27" s="75">
        <f t="shared" ref="BN27:BN32" si="3">IFERROR(Y27*I27/H27,"0")</f>
        <v>0</v>
      </c>
      <c r="BO27" s="75">
        <f t="shared" ref="BO27:BO32" si="4">IFERROR(1/J27*(X27/H27),"0")</f>
        <v>0</v>
      </c>
      <c r="BP27" s="75">
        <f t="shared" ref="BP27:BP32" si="5">IFERROR(1/J27*(Y27/H27),"0")</f>
        <v>0</v>
      </c>
    </row>
    <row r="28" spans="1:68" ht="27" hidden="1" customHeight="1" x14ac:dyDescent="0.25">
      <c r="A28" s="60" t="s">
        <v>91</v>
      </c>
      <c r="B28" s="60" t="s">
        <v>92</v>
      </c>
      <c r="C28" s="34">
        <v>4301051776</v>
      </c>
      <c r="D28" s="555">
        <v>4607091388237</v>
      </c>
      <c r="E28" s="555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81</v>
      </c>
      <c r="L28" s="35" t="s">
        <v>45</v>
      </c>
      <c r="M28" s="36" t="s">
        <v>90</v>
      </c>
      <c r="N28" s="36"/>
      <c r="O28" s="35">
        <v>40</v>
      </c>
      <c r="P28" s="797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7"/>
      <c r="R28" s="557"/>
      <c r="S28" s="557"/>
      <c r="T28" s="558"/>
      <c r="U28" s="37" t="s">
        <v>45</v>
      </c>
      <c r="V28" s="37" t="s">
        <v>45</v>
      </c>
      <c r="W28" s="38" t="s">
        <v>0</v>
      </c>
      <c r="X28" s="56">
        <v>0</v>
      </c>
      <c r="Y28" s="53">
        <f t="shared" si="0"/>
        <v>0</v>
      </c>
      <c r="Z28" s="39" t="str">
        <f t="shared" si="1"/>
        <v/>
      </c>
      <c r="AA28" s="65" t="s">
        <v>45</v>
      </c>
      <c r="AB28" s="66" t="s">
        <v>45</v>
      </c>
      <c r="AC28" s="87" t="s">
        <v>89</v>
      </c>
      <c r="AG28" s="75"/>
      <c r="AJ28" s="79" t="s">
        <v>45</v>
      </c>
      <c r="AK28" s="79">
        <v>0</v>
      </c>
      <c r="BB28" s="88" t="s">
        <v>66</v>
      </c>
      <c r="BM28" s="75">
        <f t="shared" si="2"/>
        <v>0</v>
      </c>
      <c r="BN28" s="75">
        <f t="shared" si="3"/>
        <v>0</v>
      </c>
      <c r="BO28" s="75">
        <f t="shared" si="4"/>
        <v>0</v>
      </c>
      <c r="BP28" s="75">
        <f t="shared" si="5"/>
        <v>0</v>
      </c>
    </row>
    <row r="29" spans="1:68" ht="27" hidden="1" customHeight="1" x14ac:dyDescent="0.25">
      <c r="A29" s="60" t="s">
        <v>93</v>
      </c>
      <c r="B29" s="60" t="s">
        <v>94</v>
      </c>
      <c r="C29" s="34">
        <v>4301052063</v>
      </c>
      <c r="D29" s="555">
        <v>4680115887350</v>
      </c>
      <c r="E29" s="555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81</v>
      </c>
      <c r="L29" s="35" t="s">
        <v>45</v>
      </c>
      <c r="M29" s="36" t="s">
        <v>96</v>
      </c>
      <c r="N29" s="36"/>
      <c r="O29" s="35">
        <v>40</v>
      </c>
      <c r="P29" s="798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7"/>
      <c r="R29" s="557"/>
      <c r="S29" s="557"/>
      <c r="T29" s="558"/>
      <c r="U29" s="37" t="s">
        <v>45</v>
      </c>
      <c r="V29" s="37" t="s">
        <v>45</v>
      </c>
      <c r="W29" s="38" t="s">
        <v>0</v>
      </c>
      <c r="X29" s="56">
        <v>0</v>
      </c>
      <c r="Y29" s="53">
        <f t="shared" si="0"/>
        <v>0</v>
      </c>
      <c r="Z29" s="39" t="str">
        <f t="shared" si="1"/>
        <v/>
      </c>
      <c r="AA29" s="65" t="s">
        <v>45</v>
      </c>
      <c r="AB29" s="66" t="s">
        <v>45</v>
      </c>
      <c r="AC29" s="89" t="s">
        <v>95</v>
      </c>
      <c r="AG29" s="75"/>
      <c r="AJ29" s="79" t="s">
        <v>45</v>
      </c>
      <c r="AK29" s="79">
        <v>0</v>
      </c>
      <c r="BB29" s="90" t="s">
        <v>66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97</v>
      </c>
      <c r="B30" s="60" t="s">
        <v>98</v>
      </c>
      <c r="C30" s="34">
        <v>4301051863</v>
      </c>
      <c r="D30" s="555">
        <v>4680115885905</v>
      </c>
      <c r="E30" s="555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81</v>
      </c>
      <c r="L30" s="35" t="s">
        <v>45</v>
      </c>
      <c r="M30" s="36" t="s">
        <v>96</v>
      </c>
      <c r="N30" s="36"/>
      <c r="O30" s="35">
        <v>40</v>
      </c>
      <c r="P30" s="799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7"/>
      <c r="R30" s="557"/>
      <c r="S30" s="557"/>
      <c r="T30" s="558"/>
      <c r="U30" s="37" t="s">
        <v>45</v>
      </c>
      <c r="V30" s="37" t="s">
        <v>45</v>
      </c>
      <c r="W30" s="38" t="s">
        <v>0</v>
      </c>
      <c r="X30" s="56">
        <v>0</v>
      </c>
      <c r="Y30" s="53">
        <f t="shared" si="0"/>
        <v>0</v>
      </c>
      <c r="Z30" s="39" t="str">
        <f t="shared" si="1"/>
        <v/>
      </c>
      <c r="AA30" s="65" t="s">
        <v>45</v>
      </c>
      <c r="AB30" s="66" t="s">
        <v>45</v>
      </c>
      <c r="AC30" s="91" t="s">
        <v>99</v>
      </c>
      <c r="AG30" s="75"/>
      <c r="AJ30" s="79" t="s">
        <v>45</v>
      </c>
      <c r="AK30" s="79">
        <v>0</v>
      </c>
      <c r="BB30" s="92" t="s">
        <v>66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100</v>
      </c>
      <c r="B31" s="60" t="s">
        <v>101</v>
      </c>
      <c r="C31" s="34">
        <v>4301052078</v>
      </c>
      <c r="D31" s="555">
        <v>4680115887657</v>
      </c>
      <c r="E31" s="555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81</v>
      </c>
      <c r="L31" s="35" t="s">
        <v>45</v>
      </c>
      <c r="M31" s="36" t="s">
        <v>96</v>
      </c>
      <c r="N31" s="36"/>
      <c r="O31" s="35">
        <v>40</v>
      </c>
      <c r="P31" s="793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1" s="557"/>
      <c r="R31" s="557"/>
      <c r="S31" s="557"/>
      <c r="T31" s="558"/>
      <c r="U31" s="37" t="s">
        <v>45</v>
      </c>
      <c r="V31" s="37" t="s">
        <v>45</v>
      </c>
      <c r="W31" s="38" t="s">
        <v>0</v>
      </c>
      <c r="X31" s="56">
        <v>0</v>
      </c>
      <c r="Y31" s="53">
        <f t="shared" si="0"/>
        <v>0</v>
      </c>
      <c r="Z31" s="39" t="str">
        <f t="shared" si="1"/>
        <v/>
      </c>
      <c r="AA31" s="65" t="s">
        <v>45</v>
      </c>
      <c r="AB31" s="66" t="s">
        <v>45</v>
      </c>
      <c r="AC31" s="93" t="s">
        <v>102</v>
      </c>
      <c r="AG31" s="75"/>
      <c r="AJ31" s="79" t="s">
        <v>45</v>
      </c>
      <c r="AK31" s="79">
        <v>0</v>
      </c>
      <c r="BB31" s="94" t="s">
        <v>66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103</v>
      </c>
      <c r="B32" s="60" t="s">
        <v>104</v>
      </c>
      <c r="C32" s="34">
        <v>4301052071</v>
      </c>
      <c r="D32" s="555">
        <v>4680115887619</v>
      </c>
      <c r="E32" s="555"/>
      <c r="F32" s="59">
        <v>0.33</v>
      </c>
      <c r="G32" s="35">
        <v>6</v>
      </c>
      <c r="H32" s="59">
        <v>1.98</v>
      </c>
      <c r="I32" s="59">
        <v>2.16</v>
      </c>
      <c r="J32" s="35">
        <v>182</v>
      </c>
      <c r="K32" s="35" t="s">
        <v>81</v>
      </c>
      <c r="L32" s="35" t="s">
        <v>45</v>
      </c>
      <c r="M32" s="36" t="s">
        <v>90</v>
      </c>
      <c r="N32" s="36"/>
      <c r="O32" s="35">
        <v>40</v>
      </c>
      <c r="P32" s="79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2" s="557"/>
      <c r="R32" s="557"/>
      <c r="S32" s="557"/>
      <c r="T32" s="558"/>
      <c r="U32" s="37" t="s">
        <v>45</v>
      </c>
      <c r="V32" s="37" t="s">
        <v>45</v>
      </c>
      <c r="W32" s="38" t="s">
        <v>0</v>
      </c>
      <c r="X32" s="56">
        <v>0</v>
      </c>
      <c r="Y32" s="53">
        <f t="shared" si="0"/>
        <v>0</v>
      </c>
      <c r="Z32" s="39" t="str">
        <f t="shared" si="1"/>
        <v/>
      </c>
      <c r="AA32" s="65" t="s">
        <v>45</v>
      </c>
      <c r="AB32" s="66" t="s">
        <v>45</v>
      </c>
      <c r="AC32" s="95" t="s">
        <v>105</v>
      </c>
      <c r="AG32" s="75"/>
      <c r="AJ32" s="79" t="s">
        <v>45</v>
      </c>
      <c r="AK32" s="79">
        <v>0</v>
      </c>
      <c r="BB32" s="96" t="s">
        <v>66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idden="1" x14ac:dyDescent="0.2">
      <c r="A33" s="562"/>
      <c r="B33" s="562"/>
      <c r="C33" s="562"/>
      <c r="D33" s="562"/>
      <c r="E33" s="562"/>
      <c r="F33" s="562"/>
      <c r="G33" s="562"/>
      <c r="H33" s="562"/>
      <c r="I33" s="562"/>
      <c r="J33" s="562"/>
      <c r="K33" s="562"/>
      <c r="L33" s="562"/>
      <c r="M33" s="562"/>
      <c r="N33" s="562"/>
      <c r="O33" s="563"/>
      <c r="P33" s="559" t="s">
        <v>40</v>
      </c>
      <c r="Q33" s="560"/>
      <c r="R33" s="560"/>
      <c r="S33" s="560"/>
      <c r="T33" s="560"/>
      <c r="U33" s="560"/>
      <c r="V33" s="561"/>
      <c r="W33" s="40" t="s">
        <v>39</v>
      </c>
      <c r="X33" s="41">
        <f>IFERROR(X27/H27,"0")+IFERROR(X28/H28,"0")+IFERROR(X29/H29,"0")+IFERROR(X30/H30,"0")+IFERROR(X31/H31,"0")+IFERROR(X32/H32,"0")</f>
        <v>0</v>
      </c>
      <c r="Y33" s="41">
        <f>IFERROR(Y27/H27,"0")+IFERROR(Y28/H28,"0")+IFERROR(Y29/H29,"0")+IFERROR(Y30/H30,"0")+IFERROR(Y31/H31,"0")+IFERROR(Y32/H32,"0")</f>
        <v>0</v>
      </c>
      <c r="Z33" s="41">
        <f>IFERROR(IF(Z27="",0,Z27),"0")+IFERROR(IF(Z28="",0,Z28),"0")+IFERROR(IF(Z29="",0,Z29),"0")+IFERROR(IF(Z30="",0,Z30),"0")+IFERROR(IF(Z31="",0,Z31),"0")+IFERROR(IF(Z32="",0,Z32),"0")</f>
        <v>0</v>
      </c>
      <c r="AA33" s="64"/>
      <c r="AB33" s="64"/>
      <c r="AC33" s="64"/>
    </row>
    <row r="34" spans="1:68" hidden="1" x14ac:dyDescent="0.2">
      <c r="A34" s="562"/>
      <c r="B34" s="562"/>
      <c r="C34" s="562"/>
      <c r="D34" s="562"/>
      <c r="E34" s="562"/>
      <c r="F34" s="562"/>
      <c r="G34" s="562"/>
      <c r="H34" s="562"/>
      <c r="I34" s="562"/>
      <c r="J34" s="562"/>
      <c r="K34" s="562"/>
      <c r="L34" s="562"/>
      <c r="M34" s="562"/>
      <c r="N34" s="562"/>
      <c r="O34" s="563"/>
      <c r="P34" s="559" t="s">
        <v>40</v>
      </c>
      <c r="Q34" s="560"/>
      <c r="R34" s="560"/>
      <c r="S34" s="560"/>
      <c r="T34" s="560"/>
      <c r="U34" s="560"/>
      <c r="V34" s="561"/>
      <c r="W34" s="40" t="s">
        <v>0</v>
      </c>
      <c r="X34" s="41">
        <f>IFERROR(SUM(X27:X32),"0")</f>
        <v>0</v>
      </c>
      <c r="Y34" s="41">
        <f>IFERROR(SUM(Y27:Y32),"0")</f>
        <v>0</v>
      </c>
      <c r="Z34" s="40"/>
      <c r="AA34" s="64"/>
      <c r="AB34" s="64"/>
      <c r="AC34" s="64"/>
    </row>
    <row r="35" spans="1:68" ht="14.25" hidden="1" customHeight="1" x14ac:dyDescent="0.25">
      <c r="A35" s="554" t="s">
        <v>106</v>
      </c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4"/>
      <c r="P35" s="554"/>
      <c r="Q35" s="554"/>
      <c r="R35" s="554"/>
      <c r="S35" s="554"/>
      <c r="T35" s="554"/>
      <c r="U35" s="554"/>
      <c r="V35" s="554"/>
      <c r="W35" s="554"/>
      <c r="X35" s="554"/>
      <c r="Y35" s="554"/>
      <c r="Z35" s="554"/>
      <c r="AA35" s="63"/>
      <c r="AB35" s="63"/>
      <c r="AC35" s="63"/>
    </row>
    <row r="36" spans="1:68" ht="27" hidden="1" customHeight="1" x14ac:dyDescent="0.25">
      <c r="A36" s="60" t="s">
        <v>107</v>
      </c>
      <c r="B36" s="60" t="s">
        <v>108</v>
      </c>
      <c r="C36" s="34">
        <v>4301032013</v>
      </c>
      <c r="D36" s="555">
        <v>4607091388503</v>
      </c>
      <c r="E36" s="555"/>
      <c r="F36" s="59">
        <v>0.05</v>
      </c>
      <c r="G36" s="35">
        <v>12</v>
      </c>
      <c r="H36" s="59">
        <v>0.6</v>
      </c>
      <c r="I36" s="59">
        <v>0.82199999999999995</v>
      </c>
      <c r="J36" s="35">
        <v>182</v>
      </c>
      <c r="K36" s="35" t="s">
        <v>81</v>
      </c>
      <c r="L36" s="35" t="s">
        <v>45</v>
      </c>
      <c r="M36" s="36" t="s">
        <v>111</v>
      </c>
      <c r="N36" s="36"/>
      <c r="O36" s="35">
        <v>120</v>
      </c>
      <c r="P36" s="79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6" s="557"/>
      <c r="R36" s="557"/>
      <c r="S36" s="557"/>
      <c r="T36" s="558"/>
      <c r="U36" s="37" t="s">
        <v>45</v>
      </c>
      <c r="V36" s="37" t="s">
        <v>45</v>
      </c>
      <c r="W36" s="38" t="s">
        <v>0</v>
      </c>
      <c r="X36" s="56">
        <v>0</v>
      </c>
      <c r="Y36" s="53">
        <f>IFERROR(IF(X36="",0,CEILING((X36/$H36),1)*$H36),"")</f>
        <v>0</v>
      </c>
      <c r="Z36" s="39" t="str">
        <f>IFERROR(IF(Y36=0,"",ROUNDUP(Y36/H36,0)*0.00651),"")</f>
        <v/>
      </c>
      <c r="AA36" s="65" t="s">
        <v>45</v>
      </c>
      <c r="AB36" s="66" t="s">
        <v>45</v>
      </c>
      <c r="AC36" s="97" t="s">
        <v>109</v>
      </c>
      <c r="AG36" s="75"/>
      <c r="AJ36" s="79" t="s">
        <v>45</v>
      </c>
      <c r="AK36" s="79">
        <v>0</v>
      </c>
      <c r="BB36" s="98" t="s">
        <v>110</v>
      </c>
      <c r="BM36" s="75">
        <f>IFERROR(X36*I36/H36,"0")</f>
        <v>0</v>
      </c>
      <c r="BN36" s="75">
        <f>IFERROR(Y36*I36/H36,"0")</f>
        <v>0</v>
      </c>
      <c r="BO36" s="75">
        <f>IFERROR(1/J36*(X36/H36),"0")</f>
        <v>0</v>
      </c>
      <c r="BP36" s="75">
        <f>IFERROR(1/J36*(Y36/H36),"0")</f>
        <v>0</v>
      </c>
    </row>
    <row r="37" spans="1:68" hidden="1" x14ac:dyDescent="0.2">
      <c r="A37" s="562"/>
      <c r="B37" s="562"/>
      <c r="C37" s="562"/>
      <c r="D37" s="562"/>
      <c r="E37" s="562"/>
      <c r="F37" s="562"/>
      <c r="G37" s="562"/>
      <c r="H37" s="562"/>
      <c r="I37" s="562"/>
      <c r="J37" s="562"/>
      <c r="K37" s="562"/>
      <c r="L37" s="562"/>
      <c r="M37" s="562"/>
      <c r="N37" s="562"/>
      <c r="O37" s="563"/>
      <c r="P37" s="559" t="s">
        <v>40</v>
      </c>
      <c r="Q37" s="560"/>
      <c r="R37" s="560"/>
      <c r="S37" s="560"/>
      <c r="T37" s="560"/>
      <c r="U37" s="560"/>
      <c r="V37" s="561"/>
      <c r="W37" s="40" t="s">
        <v>39</v>
      </c>
      <c r="X37" s="41">
        <f>IFERROR(X36/H36,"0")</f>
        <v>0</v>
      </c>
      <c r="Y37" s="41">
        <f>IFERROR(Y36/H36,"0")</f>
        <v>0</v>
      </c>
      <c r="Z37" s="41">
        <f>IFERROR(IF(Z36="",0,Z36),"0")</f>
        <v>0</v>
      </c>
      <c r="AA37" s="64"/>
      <c r="AB37" s="64"/>
      <c r="AC37" s="64"/>
    </row>
    <row r="38" spans="1:68" hidden="1" x14ac:dyDescent="0.2">
      <c r="A38" s="562"/>
      <c r="B38" s="562"/>
      <c r="C38" s="562"/>
      <c r="D38" s="562"/>
      <c r="E38" s="562"/>
      <c r="F38" s="562"/>
      <c r="G38" s="562"/>
      <c r="H38" s="562"/>
      <c r="I38" s="562"/>
      <c r="J38" s="562"/>
      <c r="K38" s="562"/>
      <c r="L38" s="562"/>
      <c r="M38" s="562"/>
      <c r="N38" s="562"/>
      <c r="O38" s="563"/>
      <c r="P38" s="559" t="s">
        <v>40</v>
      </c>
      <c r="Q38" s="560"/>
      <c r="R38" s="560"/>
      <c r="S38" s="560"/>
      <c r="T38" s="560"/>
      <c r="U38" s="560"/>
      <c r="V38" s="561"/>
      <c r="W38" s="40" t="s">
        <v>0</v>
      </c>
      <c r="X38" s="41">
        <f>IFERROR(SUM(X36:X36),"0")</f>
        <v>0</v>
      </c>
      <c r="Y38" s="41">
        <f>IFERROR(SUM(Y36:Y36),"0")</f>
        <v>0</v>
      </c>
      <c r="Z38" s="40"/>
      <c r="AA38" s="64"/>
      <c r="AB38" s="64"/>
      <c r="AC38" s="64"/>
    </row>
    <row r="39" spans="1:68" ht="27.75" hidden="1" customHeight="1" x14ac:dyDescent="0.2">
      <c r="A39" s="574" t="s">
        <v>112</v>
      </c>
      <c r="B39" s="574"/>
      <c r="C39" s="574"/>
      <c r="D39" s="574"/>
      <c r="E39" s="574"/>
      <c r="F39" s="574"/>
      <c r="G39" s="574"/>
      <c r="H39" s="574"/>
      <c r="I39" s="574"/>
      <c r="J39" s="574"/>
      <c r="K39" s="574"/>
      <c r="L39" s="574"/>
      <c r="M39" s="574"/>
      <c r="N39" s="574"/>
      <c r="O39" s="574"/>
      <c r="P39" s="574"/>
      <c r="Q39" s="574"/>
      <c r="R39" s="574"/>
      <c r="S39" s="574"/>
      <c r="T39" s="574"/>
      <c r="U39" s="574"/>
      <c r="V39" s="574"/>
      <c r="W39" s="574"/>
      <c r="X39" s="574"/>
      <c r="Y39" s="574"/>
      <c r="Z39" s="574"/>
      <c r="AA39" s="52"/>
      <c r="AB39" s="52"/>
      <c r="AC39" s="52"/>
    </row>
    <row r="40" spans="1:68" ht="16.5" hidden="1" customHeight="1" x14ac:dyDescent="0.25">
      <c r="A40" s="553" t="s">
        <v>113</v>
      </c>
      <c r="B40" s="553"/>
      <c r="C40" s="553"/>
      <c r="D40" s="553"/>
      <c r="E40" s="553"/>
      <c r="F40" s="553"/>
      <c r="G40" s="553"/>
      <c r="H40" s="553"/>
      <c r="I40" s="553"/>
      <c r="J40" s="553"/>
      <c r="K40" s="553"/>
      <c r="L40" s="553"/>
      <c r="M40" s="553"/>
      <c r="N40" s="553"/>
      <c r="O40" s="553"/>
      <c r="P40" s="553"/>
      <c r="Q40" s="553"/>
      <c r="R40" s="553"/>
      <c r="S40" s="553"/>
      <c r="T40" s="553"/>
      <c r="U40" s="553"/>
      <c r="V40" s="553"/>
      <c r="W40" s="553"/>
      <c r="X40" s="553"/>
      <c r="Y40" s="553"/>
      <c r="Z40" s="553"/>
      <c r="AA40" s="62"/>
      <c r="AB40" s="62"/>
      <c r="AC40" s="62"/>
    </row>
    <row r="41" spans="1:68" ht="14.25" hidden="1" customHeight="1" x14ac:dyDescent="0.25">
      <c r="A41" s="554" t="s">
        <v>114</v>
      </c>
      <c r="B41" s="554"/>
      <c r="C41" s="554"/>
      <c r="D41" s="554"/>
      <c r="E41" s="554"/>
      <c r="F41" s="554"/>
      <c r="G41" s="554"/>
      <c r="H41" s="554"/>
      <c r="I41" s="554"/>
      <c r="J41" s="554"/>
      <c r="K41" s="554"/>
      <c r="L41" s="554"/>
      <c r="M41" s="554"/>
      <c r="N41" s="554"/>
      <c r="O41" s="554"/>
      <c r="P41" s="554"/>
      <c r="Q41" s="554"/>
      <c r="R41" s="554"/>
      <c r="S41" s="554"/>
      <c r="T41" s="554"/>
      <c r="U41" s="554"/>
      <c r="V41" s="554"/>
      <c r="W41" s="554"/>
      <c r="X41" s="554"/>
      <c r="Y41" s="554"/>
      <c r="Z41" s="554"/>
      <c r="AA41" s="63"/>
      <c r="AB41" s="63"/>
      <c r="AC41" s="63"/>
    </row>
    <row r="42" spans="1:68" ht="16.5" customHeight="1" x14ac:dyDescent="0.25">
      <c r="A42" s="60" t="s">
        <v>115</v>
      </c>
      <c r="B42" s="60" t="s">
        <v>116</v>
      </c>
      <c r="C42" s="34">
        <v>4301011380</v>
      </c>
      <c r="D42" s="555">
        <v>4607091385670</v>
      </c>
      <c r="E42" s="555"/>
      <c r="F42" s="59">
        <v>1.35</v>
      </c>
      <c r="G42" s="35">
        <v>8</v>
      </c>
      <c r="H42" s="59">
        <v>10.8</v>
      </c>
      <c r="I42" s="59">
        <v>11.21</v>
      </c>
      <c r="J42" s="35">
        <v>64</v>
      </c>
      <c r="K42" s="35" t="s">
        <v>119</v>
      </c>
      <c r="L42" s="35" t="s">
        <v>45</v>
      </c>
      <c r="M42" s="36" t="s">
        <v>118</v>
      </c>
      <c r="N42" s="36"/>
      <c r="O42" s="35">
        <v>50</v>
      </c>
      <c r="P42" s="791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2" s="557"/>
      <c r="R42" s="557"/>
      <c r="S42" s="557"/>
      <c r="T42" s="558"/>
      <c r="U42" s="37" t="s">
        <v>45</v>
      </c>
      <c r="V42" s="37" t="s">
        <v>45</v>
      </c>
      <c r="W42" s="38" t="s">
        <v>0</v>
      </c>
      <c r="X42" s="56">
        <v>518.4</v>
      </c>
      <c r="Y42" s="53">
        <f>IFERROR(IF(X42="",0,CEILING((X42/$H42),1)*$H42),"")</f>
        <v>518.40000000000009</v>
      </c>
      <c r="Z42" s="39">
        <f>IFERROR(IF(Y42=0,"",ROUNDUP(Y42/H42,0)*0.01898),"")</f>
        <v>0.91104000000000007</v>
      </c>
      <c r="AA42" s="65" t="s">
        <v>45</v>
      </c>
      <c r="AB42" s="66" t="s">
        <v>45</v>
      </c>
      <c r="AC42" s="99" t="s">
        <v>117</v>
      </c>
      <c r="AG42" s="75"/>
      <c r="AJ42" s="79" t="s">
        <v>45</v>
      </c>
      <c r="AK42" s="79">
        <v>0</v>
      </c>
      <c r="BB42" s="100" t="s">
        <v>66</v>
      </c>
      <c r="BM42" s="75">
        <f>IFERROR(X42*I42/H42,"0")</f>
        <v>538.07999999999993</v>
      </c>
      <c r="BN42" s="75">
        <f>IFERROR(Y42*I42/H42,"0")</f>
        <v>538.08000000000004</v>
      </c>
      <c r="BO42" s="75">
        <f>IFERROR(1/J42*(X42/H42),"0")</f>
        <v>0.74999999999999989</v>
      </c>
      <c r="BP42" s="75">
        <f>IFERROR(1/J42*(Y42/H42),"0")</f>
        <v>0.75000000000000011</v>
      </c>
    </row>
    <row r="43" spans="1:68" ht="27" hidden="1" customHeight="1" x14ac:dyDescent="0.25">
      <c r="A43" s="60" t="s">
        <v>120</v>
      </c>
      <c r="B43" s="60" t="s">
        <v>121</v>
      </c>
      <c r="C43" s="34">
        <v>4301011565</v>
      </c>
      <c r="D43" s="555">
        <v>4680115882539</v>
      </c>
      <c r="E43" s="555"/>
      <c r="F43" s="59">
        <v>0.37</v>
      </c>
      <c r="G43" s="35">
        <v>10</v>
      </c>
      <c r="H43" s="59">
        <v>3.7</v>
      </c>
      <c r="I43" s="59">
        <v>3.89</v>
      </c>
      <c r="J43" s="35">
        <v>132</v>
      </c>
      <c r="K43" s="35" t="s">
        <v>122</v>
      </c>
      <c r="L43" s="35" t="s">
        <v>45</v>
      </c>
      <c r="M43" s="36" t="s">
        <v>90</v>
      </c>
      <c r="N43" s="36"/>
      <c r="O43" s="35">
        <v>50</v>
      </c>
      <c r="P43" s="792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7"/>
      <c r="R43" s="557"/>
      <c r="S43" s="557"/>
      <c r="T43" s="558"/>
      <c r="U43" s="37" t="s">
        <v>45</v>
      </c>
      <c r="V43" s="37" t="s">
        <v>45</v>
      </c>
      <c r="W43" s="38" t="s">
        <v>0</v>
      </c>
      <c r="X43" s="56">
        <v>0</v>
      </c>
      <c r="Y43" s="53">
        <f>IFERROR(IF(X43="",0,CEILING((X43/$H43),1)*$H43),"")</f>
        <v>0</v>
      </c>
      <c r="Z43" s="39" t="str">
        <f>IFERROR(IF(Y43=0,"",ROUNDUP(Y43/H43,0)*0.00902),"")</f>
        <v/>
      </c>
      <c r="AA43" s="65" t="s">
        <v>45</v>
      </c>
      <c r="AB43" s="66" t="s">
        <v>45</v>
      </c>
      <c r="AC43" s="101" t="s">
        <v>117</v>
      </c>
      <c r="AG43" s="75"/>
      <c r="AJ43" s="79" t="s">
        <v>45</v>
      </c>
      <c r="AK43" s="79">
        <v>0</v>
      </c>
      <c r="BB43" s="102" t="s">
        <v>66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hidden="1" customHeight="1" x14ac:dyDescent="0.25">
      <c r="A44" s="60" t="s">
        <v>123</v>
      </c>
      <c r="B44" s="60" t="s">
        <v>124</v>
      </c>
      <c r="C44" s="34">
        <v>4301011382</v>
      </c>
      <c r="D44" s="555">
        <v>4607091385687</v>
      </c>
      <c r="E44" s="555"/>
      <c r="F44" s="59">
        <v>0.4</v>
      </c>
      <c r="G44" s="35">
        <v>10</v>
      </c>
      <c r="H44" s="59">
        <v>4</v>
      </c>
      <c r="I44" s="59">
        <v>4.1900000000000004</v>
      </c>
      <c r="J44" s="35">
        <v>132</v>
      </c>
      <c r="K44" s="35" t="s">
        <v>122</v>
      </c>
      <c r="L44" s="35" t="s">
        <v>45</v>
      </c>
      <c r="M44" s="36" t="s">
        <v>90</v>
      </c>
      <c r="N44" s="36"/>
      <c r="O44" s="35">
        <v>50</v>
      </c>
      <c r="P44" s="78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4" s="557"/>
      <c r="R44" s="557"/>
      <c r="S44" s="557"/>
      <c r="T44" s="558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IFERROR(IF(Y44=0,"",ROUNDUP(Y44/H44,0)*0.00902),"")</f>
        <v/>
      </c>
      <c r="AA44" s="65" t="s">
        <v>45</v>
      </c>
      <c r="AB44" s="66" t="s">
        <v>45</v>
      </c>
      <c r="AC44" s="103" t="s">
        <v>117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562"/>
      <c r="B45" s="562"/>
      <c r="C45" s="562"/>
      <c r="D45" s="562"/>
      <c r="E45" s="562"/>
      <c r="F45" s="562"/>
      <c r="G45" s="562"/>
      <c r="H45" s="562"/>
      <c r="I45" s="562"/>
      <c r="J45" s="562"/>
      <c r="K45" s="562"/>
      <c r="L45" s="562"/>
      <c r="M45" s="562"/>
      <c r="N45" s="562"/>
      <c r="O45" s="563"/>
      <c r="P45" s="559" t="s">
        <v>40</v>
      </c>
      <c r="Q45" s="560"/>
      <c r="R45" s="560"/>
      <c r="S45" s="560"/>
      <c r="T45" s="560"/>
      <c r="U45" s="560"/>
      <c r="V45" s="561"/>
      <c r="W45" s="40" t="s">
        <v>39</v>
      </c>
      <c r="X45" s="41">
        <f>IFERROR(X42/H42,"0")+IFERROR(X43/H43,"0")+IFERROR(X44/H44,"0")</f>
        <v>47.999999999999993</v>
      </c>
      <c r="Y45" s="41">
        <f>IFERROR(Y42/H42,"0")+IFERROR(Y43/H43,"0")+IFERROR(Y44/H44,"0")</f>
        <v>48.000000000000007</v>
      </c>
      <c r="Z45" s="41">
        <f>IFERROR(IF(Z42="",0,Z42),"0")+IFERROR(IF(Z43="",0,Z43),"0")+IFERROR(IF(Z44="",0,Z44),"0")</f>
        <v>0.91104000000000007</v>
      </c>
      <c r="AA45" s="64"/>
      <c r="AB45" s="64"/>
      <c r="AC45" s="64"/>
    </row>
    <row r="46" spans="1:68" x14ac:dyDescent="0.2">
      <c r="A46" s="562"/>
      <c r="B46" s="562"/>
      <c r="C46" s="562"/>
      <c r="D46" s="562"/>
      <c r="E46" s="562"/>
      <c r="F46" s="562"/>
      <c r="G46" s="562"/>
      <c r="H46" s="562"/>
      <c r="I46" s="562"/>
      <c r="J46" s="562"/>
      <c r="K46" s="562"/>
      <c r="L46" s="562"/>
      <c r="M46" s="562"/>
      <c r="N46" s="562"/>
      <c r="O46" s="563"/>
      <c r="P46" s="559" t="s">
        <v>40</v>
      </c>
      <c r="Q46" s="560"/>
      <c r="R46" s="560"/>
      <c r="S46" s="560"/>
      <c r="T46" s="560"/>
      <c r="U46" s="560"/>
      <c r="V46" s="561"/>
      <c r="W46" s="40" t="s">
        <v>0</v>
      </c>
      <c r="X46" s="41">
        <f>IFERROR(SUM(X42:X44),"0")</f>
        <v>518.4</v>
      </c>
      <c r="Y46" s="41">
        <f>IFERROR(SUM(Y42:Y44),"0")</f>
        <v>518.40000000000009</v>
      </c>
      <c r="Z46" s="40"/>
      <c r="AA46" s="64"/>
      <c r="AB46" s="64"/>
      <c r="AC46" s="64"/>
    </row>
    <row r="47" spans="1:68" ht="14.25" hidden="1" customHeight="1" x14ac:dyDescent="0.25">
      <c r="A47" s="554" t="s">
        <v>86</v>
      </c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4"/>
      <c r="P47" s="554"/>
      <c r="Q47" s="554"/>
      <c r="R47" s="554"/>
      <c r="S47" s="554"/>
      <c r="T47" s="554"/>
      <c r="U47" s="554"/>
      <c r="V47" s="554"/>
      <c r="W47" s="554"/>
      <c r="X47" s="554"/>
      <c r="Y47" s="554"/>
      <c r="Z47" s="554"/>
      <c r="AA47" s="63"/>
      <c r="AB47" s="63"/>
      <c r="AC47" s="63"/>
    </row>
    <row r="48" spans="1:68" ht="16.5" hidden="1" customHeight="1" x14ac:dyDescent="0.25">
      <c r="A48" s="60" t="s">
        <v>125</v>
      </c>
      <c r="B48" s="60" t="s">
        <v>126</v>
      </c>
      <c r="C48" s="34">
        <v>4301051820</v>
      </c>
      <c r="D48" s="555">
        <v>4680115884915</v>
      </c>
      <c r="E48" s="555"/>
      <c r="F48" s="59">
        <v>0.3</v>
      </c>
      <c r="G48" s="35">
        <v>6</v>
      </c>
      <c r="H48" s="59">
        <v>1.8</v>
      </c>
      <c r="I48" s="59">
        <v>1.98</v>
      </c>
      <c r="J48" s="35">
        <v>182</v>
      </c>
      <c r="K48" s="35" t="s">
        <v>81</v>
      </c>
      <c r="L48" s="35" t="s">
        <v>45</v>
      </c>
      <c r="M48" s="36" t="s">
        <v>90</v>
      </c>
      <c r="N48" s="36"/>
      <c r="O48" s="35">
        <v>40</v>
      </c>
      <c r="P48" s="790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8" s="557"/>
      <c r="R48" s="557"/>
      <c r="S48" s="557"/>
      <c r="T48" s="558"/>
      <c r="U48" s="37" t="s">
        <v>45</v>
      </c>
      <c r="V48" s="37" t="s">
        <v>45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45</v>
      </c>
      <c r="AB48" s="66" t="s">
        <v>45</v>
      </c>
      <c r="AC48" s="105" t="s">
        <v>127</v>
      </c>
      <c r="AG48" s="75"/>
      <c r="AJ48" s="79" t="s">
        <v>45</v>
      </c>
      <c r="AK48" s="79">
        <v>0</v>
      </c>
      <c r="BB48" s="106" t="s">
        <v>66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idden="1" x14ac:dyDescent="0.2">
      <c r="A49" s="562"/>
      <c r="B49" s="562"/>
      <c r="C49" s="562"/>
      <c r="D49" s="562"/>
      <c r="E49" s="562"/>
      <c r="F49" s="562"/>
      <c r="G49" s="562"/>
      <c r="H49" s="562"/>
      <c r="I49" s="562"/>
      <c r="J49" s="562"/>
      <c r="K49" s="562"/>
      <c r="L49" s="562"/>
      <c r="M49" s="562"/>
      <c r="N49" s="562"/>
      <c r="O49" s="563"/>
      <c r="P49" s="559" t="s">
        <v>40</v>
      </c>
      <c r="Q49" s="560"/>
      <c r="R49" s="560"/>
      <c r="S49" s="560"/>
      <c r="T49" s="560"/>
      <c r="U49" s="560"/>
      <c r="V49" s="561"/>
      <c r="W49" s="40" t="s">
        <v>39</v>
      </c>
      <c r="X49" s="41">
        <f>IFERROR(X48/H48,"0")</f>
        <v>0</v>
      </c>
      <c r="Y49" s="41">
        <f>IFERROR(Y48/H48,"0")</f>
        <v>0</v>
      </c>
      <c r="Z49" s="41">
        <f>IFERROR(IF(Z48="",0,Z48),"0")</f>
        <v>0</v>
      </c>
      <c r="AA49" s="64"/>
      <c r="AB49" s="64"/>
      <c r="AC49" s="64"/>
    </row>
    <row r="50" spans="1:68" hidden="1" x14ac:dyDescent="0.2">
      <c r="A50" s="562"/>
      <c r="B50" s="562"/>
      <c r="C50" s="562"/>
      <c r="D50" s="562"/>
      <c r="E50" s="562"/>
      <c r="F50" s="562"/>
      <c r="G50" s="562"/>
      <c r="H50" s="562"/>
      <c r="I50" s="562"/>
      <c r="J50" s="562"/>
      <c r="K50" s="562"/>
      <c r="L50" s="562"/>
      <c r="M50" s="562"/>
      <c r="N50" s="562"/>
      <c r="O50" s="563"/>
      <c r="P50" s="559" t="s">
        <v>40</v>
      </c>
      <c r="Q50" s="560"/>
      <c r="R50" s="560"/>
      <c r="S50" s="560"/>
      <c r="T50" s="560"/>
      <c r="U50" s="560"/>
      <c r="V50" s="561"/>
      <c r="W50" s="40" t="s">
        <v>0</v>
      </c>
      <c r="X50" s="41">
        <f>IFERROR(SUM(X48:X48),"0")</f>
        <v>0</v>
      </c>
      <c r="Y50" s="41">
        <f>IFERROR(SUM(Y48:Y48),"0")</f>
        <v>0</v>
      </c>
      <c r="Z50" s="40"/>
      <c r="AA50" s="64"/>
      <c r="AB50" s="64"/>
      <c r="AC50" s="64"/>
    </row>
    <row r="51" spans="1:68" ht="16.5" hidden="1" customHeight="1" x14ac:dyDescent="0.25">
      <c r="A51" s="553" t="s">
        <v>128</v>
      </c>
      <c r="B51" s="553"/>
      <c r="C51" s="553"/>
      <c r="D51" s="553"/>
      <c r="E51" s="553"/>
      <c r="F51" s="553"/>
      <c r="G51" s="553"/>
      <c r="H51" s="553"/>
      <c r="I51" s="553"/>
      <c r="J51" s="553"/>
      <c r="K51" s="553"/>
      <c r="L51" s="553"/>
      <c r="M51" s="553"/>
      <c r="N51" s="553"/>
      <c r="O51" s="553"/>
      <c r="P51" s="553"/>
      <c r="Q51" s="553"/>
      <c r="R51" s="553"/>
      <c r="S51" s="553"/>
      <c r="T51" s="553"/>
      <c r="U51" s="553"/>
      <c r="V51" s="553"/>
      <c r="W51" s="553"/>
      <c r="X51" s="553"/>
      <c r="Y51" s="553"/>
      <c r="Z51" s="553"/>
      <c r="AA51" s="62"/>
      <c r="AB51" s="62"/>
      <c r="AC51" s="62"/>
    </row>
    <row r="52" spans="1:68" ht="14.25" hidden="1" customHeight="1" x14ac:dyDescent="0.25">
      <c r="A52" s="554" t="s">
        <v>114</v>
      </c>
      <c r="B52" s="554"/>
      <c r="C52" s="554"/>
      <c r="D52" s="554"/>
      <c r="E52" s="554"/>
      <c r="F52" s="554"/>
      <c r="G52" s="554"/>
      <c r="H52" s="554"/>
      <c r="I52" s="554"/>
      <c r="J52" s="554"/>
      <c r="K52" s="554"/>
      <c r="L52" s="554"/>
      <c r="M52" s="554"/>
      <c r="N52" s="554"/>
      <c r="O52" s="554"/>
      <c r="P52" s="554"/>
      <c r="Q52" s="554"/>
      <c r="R52" s="554"/>
      <c r="S52" s="554"/>
      <c r="T52" s="554"/>
      <c r="U52" s="554"/>
      <c r="V52" s="554"/>
      <c r="W52" s="554"/>
      <c r="X52" s="554"/>
      <c r="Y52" s="554"/>
      <c r="Z52" s="554"/>
      <c r="AA52" s="63"/>
      <c r="AB52" s="63"/>
      <c r="AC52" s="63"/>
    </row>
    <row r="53" spans="1:68" ht="27" customHeight="1" x14ac:dyDescent="0.25">
      <c r="A53" s="60" t="s">
        <v>129</v>
      </c>
      <c r="B53" s="60" t="s">
        <v>130</v>
      </c>
      <c r="C53" s="34">
        <v>4301012030</v>
      </c>
      <c r="D53" s="555">
        <v>4680115885882</v>
      </c>
      <c r="E53" s="555"/>
      <c r="F53" s="59">
        <v>1.4</v>
      </c>
      <c r="G53" s="35">
        <v>8</v>
      </c>
      <c r="H53" s="59">
        <v>11.2</v>
      </c>
      <c r="I53" s="59">
        <v>11.61</v>
      </c>
      <c r="J53" s="35">
        <v>64</v>
      </c>
      <c r="K53" s="35" t="s">
        <v>119</v>
      </c>
      <c r="L53" s="35" t="s">
        <v>45</v>
      </c>
      <c r="M53" s="36" t="s">
        <v>90</v>
      </c>
      <c r="N53" s="36"/>
      <c r="O53" s="35">
        <v>50</v>
      </c>
      <c r="P53" s="785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3" s="557"/>
      <c r="R53" s="557"/>
      <c r="S53" s="557"/>
      <c r="T53" s="558"/>
      <c r="U53" s="37" t="s">
        <v>45</v>
      </c>
      <c r="V53" s="37" t="s">
        <v>45</v>
      </c>
      <c r="W53" s="38" t="s">
        <v>0</v>
      </c>
      <c r="X53" s="56">
        <v>89.6</v>
      </c>
      <c r="Y53" s="53">
        <f t="shared" ref="Y53:Y58" si="6">IFERROR(IF(X53="",0,CEILING((X53/$H53),1)*$H53),"")</f>
        <v>89.6</v>
      </c>
      <c r="Z53" s="39">
        <f>IFERROR(IF(Y53=0,"",ROUNDUP(Y53/H53,0)*0.01898),"")</f>
        <v>0.15184</v>
      </c>
      <c r="AA53" s="65" t="s">
        <v>45</v>
      </c>
      <c r="AB53" s="66" t="s">
        <v>45</v>
      </c>
      <c r="AC53" s="107" t="s">
        <v>131</v>
      </c>
      <c r="AG53" s="75"/>
      <c r="AJ53" s="79" t="s">
        <v>45</v>
      </c>
      <c r="AK53" s="79">
        <v>0</v>
      </c>
      <c r="BB53" s="108" t="s">
        <v>66</v>
      </c>
      <c r="BM53" s="75">
        <f t="shared" ref="BM53:BM58" si="7">IFERROR(X53*I53/H53,"0")</f>
        <v>92.88</v>
      </c>
      <c r="BN53" s="75">
        <f t="shared" ref="BN53:BN58" si="8">IFERROR(Y53*I53/H53,"0")</f>
        <v>92.88</v>
      </c>
      <c r="BO53" s="75">
        <f t="shared" ref="BO53:BO58" si="9">IFERROR(1/J53*(X53/H53),"0")</f>
        <v>0.125</v>
      </c>
      <c r="BP53" s="75">
        <f t="shared" ref="BP53:BP58" si="10">IFERROR(1/J53*(Y53/H53),"0")</f>
        <v>0.125</v>
      </c>
    </row>
    <row r="54" spans="1:68" ht="27" customHeight="1" x14ac:dyDescent="0.25">
      <c r="A54" s="60" t="s">
        <v>132</v>
      </c>
      <c r="B54" s="60" t="s">
        <v>133</v>
      </c>
      <c r="C54" s="34">
        <v>4301011816</v>
      </c>
      <c r="D54" s="555">
        <v>4680115881426</v>
      </c>
      <c r="E54" s="555"/>
      <c r="F54" s="59">
        <v>1.35</v>
      </c>
      <c r="G54" s="35">
        <v>8</v>
      </c>
      <c r="H54" s="59">
        <v>10.8</v>
      </c>
      <c r="I54" s="59">
        <v>11.21</v>
      </c>
      <c r="J54" s="35">
        <v>64</v>
      </c>
      <c r="K54" s="35" t="s">
        <v>119</v>
      </c>
      <c r="L54" s="35" t="s">
        <v>45</v>
      </c>
      <c r="M54" s="36" t="s">
        <v>118</v>
      </c>
      <c r="N54" s="36"/>
      <c r="O54" s="35">
        <v>50</v>
      </c>
      <c r="P54" s="78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4" s="557"/>
      <c r="R54" s="557"/>
      <c r="S54" s="557"/>
      <c r="T54" s="558"/>
      <c r="U54" s="37" t="s">
        <v>45</v>
      </c>
      <c r="V54" s="37" t="s">
        <v>45</v>
      </c>
      <c r="W54" s="38" t="s">
        <v>0</v>
      </c>
      <c r="X54" s="56">
        <v>259.2</v>
      </c>
      <c r="Y54" s="53">
        <f t="shared" si="6"/>
        <v>259.20000000000005</v>
      </c>
      <c r="Z54" s="39">
        <f>IFERROR(IF(Y54=0,"",ROUNDUP(Y54/H54,0)*0.01898),"")</f>
        <v>0.45552000000000004</v>
      </c>
      <c r="AA54" s="65" t="s">
        <v>45</v>
      </c>
      <c r="AB54" s="66" t="s">
        <v>45</v>
      </c>
      <c r="AC54" s="109" t="s">
        <v>134</v>
      </c>
      <c r="AG54" s="75"/>
      <c r="AJ54" s="79" t="s">
        <v>45</v>
      </c>
      <c r="AK54" s="79">
        <v>0</v>
      </c>
      <c r="BB54" s="110" t="s">
        <v>66</v>
      </c>
      <c r="BM54" s="75">
        <f t="shared" si="7"/>
        <v>269.03999999999996</v>
      </c>
      <c r="BN54" s="75">
        <f t="shared" si="8"/>
        <v>269.04000000000002</v>
      </c>
      <c r="BO54" s="75">
        <f t="shared" si="9"/>
        <v>0.37499999999999994</v>
      </c>
      <c r="BP54" s="75">
        <f t="shared" si="10"/>
        <v>0.37500000000000006</v>
      </c>
    </row>
    <row r="55" spans="1:68" ht="27" hidden="1" customHeight="1" x14ac:dyDescent="0.25">
      <c r="A55" s="60" t="s">
        <v>135</v>
      </c>
      <c r="B55" s="60" t="s">
        <v>136</v>
      </c>
      <c r="C55" s="34">
        <v>4301011386</v>
      </c>
      <c r="D55" s="555">
        <v>4680115880283</v>
      </c>
      <c r="E55" s="555"/>
      <c r="F55" s="59">
        <v>0.6</v>
      </c>
      <c r="G55" s="35">
        <v>8</v>
      </c>
      <c r="H55" s="59">
        <v>4.8</v>
      </c>
      <c r="I55" s="59">
        <v>4.99</v>
      </c>
      <c r="J55" s="35">
        <v>132</v>
      </c>
      <c r="K55" s="35" t="s">
        <v>122</v>
      </c>
      <c r="L55" s="35" t="s">
        <v>45</v>
      </c>
      <c r="M55" s="36" t="s">
        <v>118</v>
      </c>
      <c r="N55" s="36"/>
      <c r="O55" s="35">
        <v>45</v>
      </c>
      <c r="P55" s="78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5" s="557"/>
      <c r="R55" s="557"/>
      <c r="S55" s="557"/>
      <c r="T55" s="558"/>
      <c r="U55" s="37" t="s">
        <v>45</v>
      </c>
      <c r="V55" s="37" t="s">
        <v>45</v>
      </c>
      <c r="W55" s="38" t="s">
        <v>0</v>
      </c>
      <c r="X55" s="56">
        <v>0</v>
      </c>
      <c r="Y55" s="53">
        <f t="shared" si="6"/>
        <v>0</v>
      </c>
      <c r="Z55" s="39" t="str">
        <f>IFERROR(IF(Y55=0,"",ROUNDUP(Y55/H55,0)*0.00902),"")</f>
        <v/>
      </c>
      <c r="AA55" s="65" t="s">
        <v>45</v>
      </c>
      <c r="AB55" s="66" t="s">
        <v>45</v>
      </c>
      <c r="AC55" s="111" t="s">
        <v>137</v>
      </c>
      <c r="AG55" s="75"/>
      <c r="AJ55" s="79" t="s">
        <v>45</v>
      </c>
      <c r="AK55" s="79">
        <v>0</v>
      </c>
      <c r="BB55" s="112" t="s">
        <v>66</v>
      </c>
      <c r="BM55" s="75">
        <f t="shared" si="7"/>
        <v>0</v>
      </c>
      <c r="BN55" s="75">
        <f t="shared" si="8"/>
        <v>0</v>
      </c>
      <c r="BO55" s="75">
        <f t="shared" si="9"/>
        <v>0</v>
      </c>
      <c r="BP55" s="75">
        <f t="shared" si="10"/>
        <v>0</v>
      </c>
    </row>
    <row r="56" spans="1:68" ht="27" hidden="1" customHeight="1" x14ac:dyDescent="0.25">
      <c r="A56" s="60" t="s">
        <v>138</v>
      </c>
      <c r="B56" s="60" t="s">
        <v>139</v>
      </c>
      <c r="C56" s="34">
        <v>4301011806</v>
      </c>
      <c r="D56" s="555">
        <v>4680115881525</v>
      </c>
      <c r="E56" s="555"/>
      <c r="F56" s="59">
        <v>0.4</v>
      </c>
      <c r="G56" s="35">
        <v>10</v>
      </c>
      <c r="H56" s="59">
        <v>4</v>
      </c>
      <c r="I56" s="59">
        <v>4.1900000000000004</v>
      </c>
      <c r="J56" s="35">
        <v>132</v>
      </c>
      <c r="K56" s="35" t="s">
        <v>122</v>
      </c>
      <c r="L56" s="35" t="s">
        <v>45</v>
      </c>
      <c r="M56" s="36" t="s">
        <v>118</v>
      </c>
      <c r="N56" s="36"/>
      <c r="O56" s="35">
        <v>50</v>
      </c>
      <c r="P56" s="7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6" s="557"/>
      <c r="R56" s="557"/>
      <c r="S56" s="557"/>
      <c r="T56" s="558"/>
      <c r="U56" s="37" t="s">
        <v>45</v>
      </c>
      <c r="V56" s="37" t="s">
        <v>45</v>
      </c>
      <c r="W56" s="38" t="s">
        <v>0</v>
      </c>
      <c r="X56" s="56">
        <v>0</v>
      </c>
      <c r="Y56" s="53">
        <f t="shared" si="6"/>
        <v>0</v>
      </c>
      <c r="Z56" s="39" t="str">
        <f>IFERROR(IF(Y56=0,"",ROUNDUP(Y56/H56,0)*0.00902),"")</f>
        <v/>
      </c>
      <c r="AA56" s="65" t="s">
        <v>45</v>
      </c>
      <c r="AB56" s="66" t="s">
        <v>45</v>
      </c>
      <c r="AC56" s="113" t="s">
        <v>140</v>
      </c>
      <c r="AG56" s="75"/>
      <c r="AJ56" s="79" t="s">
        <v>45</v>
      </c>
      <c r="AK56" s="79">
        <v>0</v>
      </c>
      <c r="BB56" s="114" t="s">
        <v>66</v>
      </c>
      <c r="BM56" s="75">
        <f t="shared" si="7"/>
        <v>0</v>
      </c>
      <c r="BN56" s="75">
        <f t="shared" si="8"/>
        <v>0</v>
      </c>
      <c r="BO56" s="75">
        <f t="shared" si="9"/>
        <v>0</v>
      </c>
      <c r="BP56" s="75">
        <f t="shared" si="10"/>
        <v>0</v>
      </c>
    </row>
    <row r="57" spans="1:68" ht="27" hidden="1" customHeight="1" x14ac:dyDescent="0.25">
      <c r="A57" s="60" t="s">
        <v>141</v>
      </c>
      <c r="B57" s="60" t="s">
        <v>142</v>
      </c>
      <c r="C57" s="34">
        <v>4301011589</v>
      </c>
      <c r="D57" s="555">
        <v>4680115885899</v>
      </c>
      <c r="E57" s="555"/>
      <c r="F57" s="59">
        <v>0.35</v>
      </c>
      <c r="G57" s="35">
        <v>6</v>
      </c>
      <c r="H57" s="59">
        <v>2.1</v>
      </c>
      <c r="I57" s="59">
        <v>2.2799999999999998</v>
      </c>
      <c r="J57" s="35">
        <v>182</v>
      </c>
      <c r="K57" s="35" t="s">
        <v>81</v>
      </c>
      <c r="L57" s="35" t="s">
        <v>45</v>
      </c>
      <c r="M57" s="36" t="s">
        <v>96</v>
      </c>
      <c r="N57" s="36"/>
      <c r="O57" s="35">
        <v>50</v>
      </c>
      <c r="P57" s="78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7" s="557"/>
      <c r="R57" s="557"/>
      <c r="S57" s="557"/>
      <c r="T57" s="558"/>
      <c r="U57" s="37" t="s">
        <v>45</v>
      </c>
      <c r="V57" s="37" t="s">
        <v>45</v>
      </c>
      <c r="W57" s="38" t="s">
        <v>0</v>
      </c>
      <c r="X57" s="56">
        <v>0</v>
      </c>
      <c r="Y57" s="53">
        <f t="shared" si="6"/>
        <v>0</v>
      </c>
      <c r="Z57" s="39" t="str">
        <f>IFERROR(IF(Y57=0,"",ROUNDUP(Y57/H57,0)*0.00651),"")</f>
        <v/>
      </c>
      <c r="AA57" s="65" t="s">
        <v>45</v>
      </c>
      <c r="AB57" s="66" t="s">
        <v>45</v>
      </c>
      <c r="AC57" s="115" t="s">
        <v>143</v>
      </c>
      <c r="AG57" s="75"/>
      <c r="AJ57" s="79" t="s">
        <v>45</v>
      </c>
      <c r="AK57" s="79">
        <v>0</v>
      </c>
      <c r="BB57" s="116" t="s">
        <v>66</v>
      </c>
      <c r="BM57" s="75">
        <f t="shared" si="7"/>
        <v>0</v>
      </c>
      <c r="BN57" s="75">
        <f t="shared" si="8"/>
        <v>0</v>
      </c>
      <c r="BO57" s="75">
        <f t="shared" si="9"/>
        <v>0</v>
      </c>
      <c r="BP57" s="75">
        <f t="shared" si="10"/>
        <v>0</v>
      </c>
    </row>
    <row r="58" spans="1:68" ht="37.5" hidden="1" customHeight="1" x14ac:dyDescent="0.25">
      <c r="A58" s="60" t="s">
        <v>144</v>
      </c>
      <c r="B58" s="60" t="s">
        <v>145</v>
      </c>
      <c r="C58" s="34">
        <v>4301011801</v>
      </c>
      <c r="D58" s="555">
        <v>4680115881419</v>
      </c>
      <c r="E58" s="555"/>
      <c r="F58" s="59">
        <v>0.45</v>
      </c>
      <c r="G58" s="35">
        <v>10</v>
      </c>
      <c r="H58" s="59">
        <v>4.5</v>
      </c>
      <c r="I58" s="59">
        <v>4.6900000000000004</v>
      </c>
      <c r="J58" s="35">
        <v>132</v>
      </c>
      <c r="K58" s="35" t="s">
        <v>122</v>
      </c>
      <c r="L58" s="35" t="s">
        <v>45</v>
      </c>
      <c r="M58" s="36" t="s">
        <v>118</v>
      </c>
      <c r="N58" s="36"/>
      <c r="O58" s="35">
        <v>50</v>
      </c>
      <c r="P58" s="7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8" s="557"/>
      <c r="R58" s="557"/>
      <c r="S58" s="557"/>
      <c r="T58" s="558"/>
      <c r="U58" s="37" t="s">
        <v>45</v>
      </c>
      <c r="V58" s="37" t="s">
        <v>45</v>
      </c>
      <c r="W58" s="38" t="s">
        <v>0</v>
      </c>
      <c r="X58" s="56">
        <v>0</v>
      </c>
      <c r="Y58" s="53">
        <f t="shared" si="6"/>
        <v>0</v>
      </c>
      <c r="Z58" s="39" t="str">
        <f>IFERROR(IF(Y58=0,"",ROUNDUP(Y58/H58,0)*0.00902),"")</f>
        <v/>
      </c>
      <c r="AA58" s="65" t="s">
        <v>45</v>
      </c>
      <c r="AB58" s="66" t="s">
        <v>45</v>
      </c>
      <c r="AC58" s="117" t="s">
        <v>146</v>
      </c>
      <c r="AG58" s="75"/>
      <c r="AJ58" s="79" t="s">
        <v>45</v>
      </c>
      <c r="AK58" s="79">
        <v>0</v>
      </c>
      <c r="BB58" s="118" t="s">
        <v>66</v>
      </c>
      <c r="BM58" s="75">
        <f t="shared" si="7"/>
        <v>0</v>
      </c>
      <c r="BN58" s="75">
        <f t="shared" si="8"/>
        <v>0</v>
      </c>
      <c r="BO58" s="75">
        <f t="shared" si="9"/>
        <v>0</v>
      </c>
      <c r="BP58" s="75">
        <f t="shared" si="10"/>
        <v>0</v>
      </c>
    </row>
    <row r="59" spans="1:68" x14ac:dyDescent="0.2">
      <c r="A59" s="562"/>
      <c r="B59" s="562"/>
      <c r="C59" s="562"/>
      <c r="D59" s="562"/>
      <c r="E59" s="562"/>
      <c r="F59" s="562"/>
      <c r="G59" s="562"/>
      <c r="H59" s="562"/>
      <c r="I59" s="562"/>
      <c r="J59" s="562"/>
      <c r="K59" s="562"/>
      <c r="L59" s="562"/>
      <c r="M59" s="562"/>
      <c r="N59" s="562"/>
      <c r="O59" s="563"/>
      <c r="P59" s="559" t="s">
        <v>40</v>
      </c>
      <c r="Q59" s="560"/>
      <c r="R59" s="560"/>
      <c r="S59" s="560"/>
      <c r="T59" s="560"/>
      <c r="U59" s="560"/>
      <c r="V59" s="561"/>
      <c r="W59" s="40" t="s">
        <v>39</v>
      </c>
      <c r="X59" s="41">
        <f>IFERROR(X53/H53,"0")+IFERROR(X54/H54,"0")+IFERROR(X55/H55,"0")+IFERROR(X56/H56,"0")+IFERROR(X57/H57,"0")+IFERROR(X58/H58,"0")</f>
        <v>31.999999999999996</v>
      </c>
      <c r="Y59" s="41">
        <f>IFERROR(Y53/H53,"0")+IFERROR(Y54/H54,"0")+IFERROR(Y55/H55,"0")+IFERROR(Y56/H56,"0")+IFERROR(Y57/H57,"0")+IFERROR(Y58/H58,"0")</f>
        <v>32</v>
      </c>
      <c r="Z59" s="41">
        <f>IFERROR(IF(Z53="",0,Z53),"0")+IFERROR(IF(Z54="",0,Z54),"0")+IFERROR(IF(Z55="",0,Z55),"0")+IFERROR(IF(Z56="",0,Z56),"0")+IFERROR(IF(Z57="",0,Z57),"0")+IFERROR(IF(Z58="",0,Z58),"0")</f>
        <v>0.60736000000000001</v>
      </c>
      <c r="AA59" s="64"/>
      <c r="AB59" s="64"/>
      <c r="AC59" s="64"/>
    </row>
    <row r="60" spans="1:68" x14ac:dyDescent="0.2">
      <c r="A60" s="562"/>
      <c r="B60" s="562"/>
      <c r="C60" s="562"/>
      <c r="D60" s="562"/>
      <c r="E60" s="562"/>
      <c r="F60" s="562"/>
      <c r="G60" s="562"/>
      <c r="H60" s="562"/>
      <c r="I60" s="562"/>
      <c r="J60" s="562"/>
      <c r="K60" s="562"/>
      <c r="L60" s="562"/>
      <c r="M60" s="562"/>
      <c r="N60" s="562"/>
      <c r="O60" s="563"/>
      <c r="P60" s="559" t="s">
        <v>40</v>
      </c>
      <c r="Q60" s="560"/>
      <c r="R60" s="560"/>
      <c r="S60" s="560"/>
      <c r="T60" s="560"/>
      <c r="U60" s="560"/>
      <c r="V60" s="561"/>
      <c r="W60" s="40" t="s">
        <v>0</v>
      </c>
      <c r="X60" s="41">
        <f>IFERROR(SUM(X53:X58),"0")</f>
        <v>348.79999999999995</v>
      </c>
      <c r="Y60" s="41">
        <f>IFERROR(SUM(Y53:Y58),"0")</f>
        <v>348.80000000000007</v>
      </c>
      <c r="Z60" s="40"/>
      <c r="AA60" s="64"/>
      <c r="AB60" s="64"/>
      <c r="AC60" s="64"/>
    </row>
    <row r="61" spans="1:68" ht="14.25" hidden="1" customHeight="1" x14ac:dyDescent="0.25">
      <c r="A61" s="554" t="s">
        <v>147</v>
      </c>
      <c r="B61" s="554"/>
      <c r="C61" s="554"/>
      <c r="D61" s="554"/>
      <c r="E61" s="554"/>
      <c r="F61" s="554"/>
      <c r="G61" s="554"/>
      <c r="H61" s="554"/>
      <c r="I61" s="554"/>
      <c r="J61" s="554"/>
      <c r="K61" s="554"/>
      <c r="L61" s="554"/>
      <c r="M61" s="554"/>
      <c r="N61" s="554"/>
      <c r="O61" s="554"/>
      <c r="P61" s="554"/>
      <c r="Q61" s="554"/>
      <c r="R61" s="554"/>
      <c r="S61" s="554"/>
      <c r="T61" s="554"/>
      <c r="U61" s="554"/>
      <c r="V61" s="554"/>
      <c r="W61" s="554"/>
      <c r="X61" s="554"/>
      <c r="Y61" s="554"/>
      <c r="Z61" s="554"/>
      <c r="AA61" s="63"/>
      <c r="AB61" s="63"/>
      <c r="AC61" s="63"/>
    </row>
    <row r="62" spans="1:68" ht="16.5" customHeight="1" x14ac:dyDescent="0.25">
      <c r="A62" s="60" t="s">
        <v>148</v>
      </c>
      <c r="B62" s="60" t="s">
        <v>149</v>
      </c>
      <c r="C62" s="34">
        <v>4301020298</v>
      </c>
      <c r="D62" s="555">
        <v>4680115881440</v>
      </c>
      <c r="E62" s="555"/>
      <c r="F62" s="59">
        <v>1.35</v>
      </c>
      <c r="G62" s="35">
        <v>8</v>
      </c>
      <c r="H62" s="59">
        <v>10.8</v>
      </c>
      <c r="I62" s="59">
        <v>11.21</v>
      </c>
      <c r="J62" s="35">
        <v>64</v>
      </c>
      <c r="K62" s="35" t="s">
        <v>119</v>
      </c>
      <c r="L62" s="35" t="s">
        <v>45</v>
      </c>
      <c r="M62" s="36" t="s">
        <v>118</v>
      </c>
      <c r="N62" s="36"/>
      <c r="O62" s="35">
        <v>50</v>
      </c>
      <c r="P62" s="78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2" s="557"/>
      <c r="R62" s="557"/>
      <c r="S62" s="557"/>
      <c r="T62" s="558"/>
      <c r="U62" s="37" t="s">
        <v>45</v>
      </c>
      <c r="V62" s="37" t="s">
        <v>45</v>
      </c>
      <c r="W62" s="38" t="s">
        <v>0</v>
      </c>
      <c r="X62" s="56">
        <v>172.8</v>
      </c>
      <c r="Y62" s="53">
        <f>IFERROR(IF(X62="",0,CEILING((X62/$H62),1)*$H62),"")</f>
        <v>172.8</v>
      </c>
      <c r="Z62" s="39">
        <f>IFERROR(IF(Y62=0,"",ROUNDUP(Y62/H62,0)*0.01898),"")</f>
        <v>0.30368000000000001</v>
      </c>
      <c r="AA62" s="65" t="s">
        <v>45</v>
      </c>
      <c r="AB62" s="66" t="s">
        <v>45</v>
      </c>
      <c r="AC62" s="119" t="s">
        <v>150</v>
      </c>
      <c r="AG62" s="75"/>
      <c r="AJ62" s="79" t="s">
        <v>45</v>
      </c>
      <c r="AK62" s="79">
        <v>0</v>
      </c>
      <c r="BB62" s="120" t="s">
        <v>66</v>
      </c>
      <c r="BM62" s="75">
        <f>IFERROR(X62*I62/H62,"0")</f>
        <v>179.36</v>
      </c>
      <c r="BN62" s="75">
        <f>IFERROR(Y62*I62/H62,"0")</f>
        <v>179.36</v>
      </c>
      <c r="BO62" s="75">
        <f>IFERROR(1/J62*(X62/H62),"0")</f>
        <v>0.25</v>
      </c>
      <c r="BP62" s="75">
        <f>IFERROR(1/J62*(Y62/H62),"0")</f>
        <v>0.25</v>
      </c>
    </row>
    <row r="63" spans="1:68" ht="16.5" hidden="1" customHeight="1" x14ac:dyDescent="0.25">
      <c r="A63" s="60" t="s">
        <v>151</v>
      </c>
      <c r="B63" s="60" t="s">
        <v>152</v>
      </c>
      <c r="C63" s="34">
        <v>4301020358</v>
      </c>
      <c r="D63" s="555">
        <v>4680115885950</v>
      </c>
      <c r="E63" s="555"/>
      <c r="F63" s="59">
        <v>0.37</v>
      </c>
      <c r="G63" s="35">
        <v>6</v>
      </c>
      <c r="H63" s="59">
        <v>2.2200000000000002</v>
      </c>
      <c r="I63" s="59">
        <v>2.4</v>
      </c>
      <c r="J63" s="35">
        <v>182</v>
      </c>
      <c r="K63" s="35" t="s">
        <v>81</v>
      </c>
      <c r="L63" s="35" t="s">
        <v>45</v>
      </c>
      <c r="M63" s="36" t="s">
        <v>90</v>
      </c>
      <c r="N63" s="36"/>
      <c r="O63" s="35">
        <v>50</v>
      </c>
      <c r="P63" s="779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3" s="557"/>
      <c r="R63" s="557"/>
      <c r="S63" s="557"/>
      <c r="T63" s="558"/>
      <c r="U63" s="37" t="s">
        <v>45</v>
      </c>
      <c r="V63" s="37" t="s">
        <v>45</v>
      </c>
      <c r="W63" s="38" t="s">
        <v>0</v>
      </c>
      <c r="X63" s="56">
        <v>0</v>
      </c>
      <c r="Y63" s="53">
        <f>IFERROR(IF(X63="",0,CEILING((X63/$H63),1)*$H63),"")</f>
        <v>0</v>
      </c>
      <c r="Z63" s="39" t="str">
        <f>IFERROR(IF(Y63=0,"",ROUNDUP(Y63/H63,0)*0.00651),"")</f>
        <v/>
      </c>
      <c r="AA63" s="65" t="s">
        <v>45</v>
      </c>
      <c r="AB63" s="66" t="s">
        <v>45</v>
      </c>
      <c r="AC63" s="121" t="s">
        <v>150</v>
      </c>
      <c r="AG63" s="75"/>
      <c r="AJ63" s="79" t="s">
        <v>45</v>
      </c>
      <c r="AK63" s="79">
        <v>0</v>
      </c>
      <c r="BB63" s="122" t="s">
        <v>66</v>
      </c>
      <c r="BM63" s="75">
        <f>IFERROR(X63*I63/H63,"0")</f>
        <v>0</v>
      </c>
      <c r="BN63" s="75">
        <f>IFERROR(Y63*I63/H63,"0")</f>
        <v>0</v>
      </c>
      <c r="BO63" s="75">
        <f>IFERROR(1/J63*(X63/H63),"0")</f>
        <v>0</v>
      </c>
      <c r="BP63" s="75">
        <f>IFERROR(1/J63*(Y63/H63),"0")</f>
        <v>0</v>
      </c>
    </row>
    <row r="64" spans="1:68" ht="16.5" hidden="1" customHeight="1" x14ac:dyDescent="0.25">
      <c r="A64" s="60" t="s">
        <v>153</v>
      </c>
      <c r="B64" s="60" t="s">
        <v>154</v>
      </c>
      <c r="C64" s="34">
        <v>4301020371</v>
      </c>
      <c r="D64" s="555">
        <v>4680115887688</v>
      </c>
      <c r="E64" s="555"/>
      <c r="F64" s="59">
        <v>0.1</v>
      </c>
      <c r="G64" s="35">
        <v>10</v>
      </c>
      <c r="H64" s="59">
        <v>1</v>
      </c>
      <c r="I64" s="59">
        <v>1.21</v>
      </c>
      <c r="J64" s="35">
        <v>192</v>
      </c>
      <c r="K64" s="35" t="s">
        <v>156</v>
      </c>
      <c r="L64" s="35" t="s">
        <v>45</v>
      </c>
      <c r="M64" s="36" t="s">
        <v>80</v>
      </c>
      <c r="N64" s="36"/>
      <c r="O64" s="35">
        <v>30</v>
      </c>
      <c r="P64" s="780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4" s="557"/>
      <c r="R64" s="557"/>
      <c r="S64" s="557"/>
      <c r="T64" s="558"/>
      <c r="U64" s="37" t="s">
        <v>45</v>
      </c>
      <c r="V64" s="37" t="s">
        <v>45</v>
      </c>
      <c r="W64" s="38" t="s">
        <v>0</v>
      </c>
      <c r="X64" s="56">
        <v>0</v>
      </c>
      <c r="Y64" s="53">
        <f>IFERROR(IF(X64="",0,CEILING((X64/$H64),1)*$H64),"")</f>
        <v>0</v>
      </c>
      <c r="Z64" s="39" t="str">
        <f>IFERROR(IF(Y64=0,"",ROUNDUP(Y64/H64,0)*0.00726),"")</f>
        <v/>
      </c>
      <c r="AA64" s="65" t="s">
        <v>45</v>
      </c>
      <c r="AB64" s="66" t="s">
        <v>45</v>
      </c>
      <c r="AC64" s="123" t="s">
        <v>155</v>
      </c>
      <c r="AG64" s="75"/>
      <c r="AJ64" s="79" t="s">
        <v>45</v>
      </c>
      <c r="AK64" s="79">
        <v>0</v>
      </c>
      <c r="BB64" s="124" t="s">
        <v>66</v>
      </c>
      <c r="BM64" s="75">
        <f>IFERROR(X64*I64/H64,"0")</f>
        <v>0</v>
      </c>
      <c r="BN64" s="75">
        <f>IFERROR(Y64*I64/H64,"0")</f>
        <v>0</v>
      </c>
      <c r="BO64" s="75">
        <f>IFERROR(1/J64*(X64/H64),"0")</f>
        <v>0</v>
      </c>
      <c r="BP64" s="75">
        <f>IFERROR(1/J64*(Y64/H64),"0")</f>
        <v>0</v>
      </c>
    </row>
    <row r="65" spans="1:68" ht="27" hidden="1" customHeight="1" x14ac:dyDescent="0.25">
      <c r="A65" s="60" t="s">
        <v>157</v>
      </c>
      <c r="B65" s="60" t="s">
        <v>158</v>
      </c>
      <c r="C65" s="34">
        <v>4301020296</v>
      </c>
      <c r="D65" s="555">
        <v>4680115881433</v>
      </c>
      <c r="E65" s="555"/>
      <c r="F65" s="59">
        <v>0.45</v>
      </c>
      <c r="G65" s="35">
        <v>6</v>
      </c>
      <c r="H65" s="59">
        <v>2.7</v>
      </c>
      <c r="I65" s="59">
        <v>2.88</v>
      </c>
      <c r="J65" s="35">
        <v>182</v>
      </c>
      <c r="K65" s="35" t="s">
        <v>81</v>
      </c>
      <c r="L65" s="35" t="s">
        <v>45</v>
      </c>
      <c r="M65" s="36" t="s">
        <v>118</v>
      </c>
      <c r="N65" s="36"/>
      <c r="O65" s="35">
        <v>50</v>
      </c>
      <c r="P65" s="781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5" s="557"/>
      <c r="R65" s="557"/>
      <c r="S65" s="557"/>
      <c r="T65" s="558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IFERROR(IF(Y65=0,"",ROUNDUP(Y65/H65,0)*0.00651),"")</f>
        <v/>
      </c>
      <c r="AA65" s="65" t="s">
        <v>45</v>
      </c>
      <c r="AB65" s="66" t="s">
        <v>45</v>
      </c>
      <c r="AC65" s="125" t="s">
        <v>150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x14ac:dyDescent="0.2">
      <c r="A66" s="562"/>
      <c r="B66" s="562"/>
      <c r="C66" s="562"/>
      <c r="D66" s="562"/>
      <c r="E66" s="562"/>
      <c r="F66" s="562"/>
      <c r="G66" s="562"/>
      <c r="H66" s="562"/>
      <c r="I66" s="562"/>
      <c r="J66" s="562"/>
      <c r="K66" s="562"/>
      <c r="L66" s="562"/>
      <c r="M66" s="562"/>
      <c r="N66" s="562"/>
      <c r="O66" s="563"/>
      <c r="P66" s="559" t="s">
        <v>40</v>
      </c>
      <c r="Q66" s="560"/>
      <c r="R66" s="560"/>
      <c r="S66" s="560"/>
      <c r="T66" s="560"/>
      <c r="U66" s="560"/>
      <c r="V66" s="561"/>
      <c r="W66" s="40" t="s">
        <v>39</v>
      </c>
      <c r="X66" s="41">
        <f>IFERROR(X62/H62,"0")+IFERROR(X63/H63,"0")+IFERROR(X64/H64,"0")+IFERROR(X65/H65,"0")</f>
        <v>16</v>
      </c>
      <c r="Y66" s="41">
        <f>IFERROR(Y62/H62,"0")+IFERROR(Y63/H63,"0")+IFERROR(Y64/H64,"0")+IFERROR(Y65/H65,"0")</f>
        <v>16</v>
      </c>
      <c r="Z66" s="41">
        <f>IFERROR(IF(Z62="",0,Z62),"0")+IFERROR(IF(Z63="",0,Z63),"0")+IFERROR(IF(Z64="",0,Z64),"0")+IFERROR(IF(Z65="",0,Z65),"0")</f>
        <v>0.30368000000000001</v>
      </c>
      <c r="AA66" s="64"/>
      <c r="AB66" s="64"/>
      <c r="AC66" s="64"/>
    </row>
    <row r="67" spans="1:68" x14ac:dyDescent="0.2">
      <c r="A67" s="562"/>
      <c r="B67" s="562"/>
      <c r="C67" s="562"/>
      <c r="D67" s="562"/>
      <c r="E67" s="562"/>
      <c r="F67" s="562"/>
      <c r="G67" s="562"/>
      <c r="H67" s="562"/>
      <c r="I67" s="562"/>
      <c r="J67" s="562"/>
      <c r="K67" s="562"/>
      <c r="L67" s="562"/>
      <c r="M67" s="562"/>
      <c r="N67" s="562"/>
      <c r="O67" s="563"/>
      <c r="P67" s="559" t="s">
        <v>40</v>
      </c>
      <c r="Q67" s="560"/>
      <c r="R67" s="560"/>
      <c r="S67" s="560"/>
      <c r="T67" s="560"/>
      <c r="U67" s="560"/>
      <c r="V67" s="561"/>
      <c r="W67" s="40" t="s">
        <v>0</v>
      </c>
      <c r="X67" s="41">
        <f>IFERROR(SUM(X62:X65),"0")</f>
        <v>172.8</v>
      </c>
      <c r="Y67" s="41">
        <f>IFERROR(SUM(Y62:Y65),"0")</f>
        <v>172.8</v>
      </c>
      <c r="Z67" s="40"/>
      <c r="AA67" s="64"/>
      <c r="AB67" s="64"/>
      <c r="AC67" s="64"/>
    </row>
    <row r="68" spans="1:68" ht="14.25" hidden="1" customHeight="1" x14ac:dyDescent="0.25">
      <c r="A68" s="554" t="s">
        <v>76</v>
      </c>
      <c r="B68" s="554"/>
      <c r="C68" s="554"/>
      <c r="D68" s="554"/>
      <c r="E68" s="554"/>
      <c r="F68" s="554"/>
      <c r="G68" s="554"/>
      <c r="H68" s="554"/>
      <c r="I68" s="554"/>
      <c r="J68" s="554"/>
      <c r="K68" s="554"/>
      <c r="L68" s="554"/>
      <c r="M68" s="554"/>
      <c r="N68" s="554"/>
      <c r="O68" s="554"/>
      <c r="P68" s="554"/>
      <c r="Q68" s="554"/>
      <c r="R68" s="554"/>
      <c r="S68" s="554"/>
      <c r="T68" s="554"/>
      <c r="U68" s="554"/>
      <c r="V68" s="554"/>
      <c r="W68" s="554"/>
      <c r="X68" s="554"/>
      <c r="Y68" s="554"/>
      <c r="Z68" s="554"/>
      <c r="AA68" s="63"/>
      <c r="AB68" s="63"/>
      <c r="AC68" s="63"/>
    </row>
    <row r="69" spans="1:68" ht="27" hidden="1" customHeight="1" x14ac:dyDescent="0.25">
      <c r="A69" s="60" t="s">
        <v>159</v>
      </c>
      <c r="B69" s="60" t="s">
        <v>160</v>
      </c>
      <c r="C69" s="34">
        <v>4301031316</v>
      </c>
      <c r="D69" s="555">
        <v>4680115885097</v>
      </c>
      <c r="E69" s="555"/>
      <c r="F69" s="59">
        <v>0.3</v>
      </c>
      <c r="G69" s="35">
        <v>6</v>
      </c>
      <c r="H69" s="59">
        <v>1.8</v>
      </c>
      <c r="I69" s="59">
        <v>1.9</v>
      </c>
      <c r="J69" s="35">
        <v>234</v>
      </c>
      <c r="K69" s="35" t="s">
        <v>85</v>
      </c>
      <c r="L69" s="35" t="s">
        <v>45</v>
      </c>
      <c r="M69" s="36" t="s">
        <v>80</v>
      </c>
      <c r="N69" s="36"/>
      <c r="O69" s="35">
        <v>40</v>
      </c>
      <c r="P69" s="777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9" s="557"/>
      <c r="R69" s="557"/>
      <c r="S69" s="557"/>
      <c r="T69" s="558"/>
      <c r="U69" s="37" t="s">
        <v>45</v>
      </c>
      <c r="V69" s="37" t="s">
        <v>45</v>
      </c>
      <c r="W69" s="38" t="s">
        <v>0</v>
      </c>
      <c r="X69" s="56">
        <v>0</v>
      </c>
      <c r="Y69" s="53">
        <f>IFERROR(IF(X69="",0,CEILING((X69/$H69),1)*$H69),"")</f>
        <v>0</v>
      </c>
      <c r="Z69" s="39" t="str">
        <f>IFERROR(IF(Y69=0,"",ROUNDUP(Y69/H69,0)*0.00502),"")</f>
        <v/>
      </c>
      <c r="AA69" s="65" t="s">
        <v>45</v>
      </c>
      <c r="AB69" s="66" t="s">
        <v>45</v>
      </c>
      <c r="AC69" s="127" t="s">
        <v>161</v>
      </c>
      <c r="AG69" s="75"/>
      <c r="AJ69" s="79" t="s">
        <v>45</v>
      </c>
      <c r="AK69" s="79">
        <v>0</v>
      </c>
      <c r="BB69" s="128" t="s">
        <v>66</v>
      </c>
      <c r="BM69" s="75">
        <f>IFERROR(X69*I69/H69,"0")</f>
        <v>0</v>
      </c>
      <c r="BN69" s="75">
        <f>IFERROR(Y69*I69/H69,"0")</f>
        <v>0</v>
      </c>
      <c r="BO69" s="75">
        <f>IFERROR(1/J69*(X69/H69),"0")</f>
        <v>0</v>
      </c>
      <c r="BP69" s="75">
        <f>IFERROR(1/J69*(Y69/H69),"0")</f>
        <v>0</v>
      </c>
    </row>
    <row r="70" spans="1:68" hidden="1" x14ac:dyDescent="0.2">
      <c r="A70" s="562"/>
      <c r="B70" s="562"/>
      <c r="C70" s="562"/>
      <c r="D70" s="562"/>
      <c r="E70" s="562"/>
      <c r="F70" s="562"/>
      <c r="G70" s="562"/>
      <c r="H70" s="562"/>
      <c r="I70" s="562"/>
      <c r="J70" s="562"/>
      <c r="K70" s="562"/>
      <c r="L70" s="562"/>
      <c r="M70" s="562"/>
      <c r="N70" s="562"/>
      <c r="O70" s="563"/>
      <c r="P70" s="559" t="s">
        <v>40</v>
      </c>
      <c r="Q70" s="560"/>
      <c r="R70" s="560"/>
      <c r="S70" s="560"/>
      <c r="T70" s="560"/>
      <c r="U70" s="560"/>
      <c r="V70" s="561"/>
      <c r="W70" s="40" t="s">
        <v>39</v>
      </c>
      <c r="X70" s="41">
        <f>IFERROR(X69/H69,"0")</f>
        <v>0</v>
      </c>
      <c r="Y70" s="41">
        <f>IFERROR(Y69/H69,"0")</f>
        <v>0</v>
      </c>
      <c r="Z70" s="41">
        <f>IFERROR(IF(Z69="",0,Z69),"0")</f>
        <v>0</v>
      </c>
      <c r="AA70" s="64"/>
      <c r="AB70" s="64"/>
      <c r="AC70" s="64"/>
    </row>
    <row r="71" spans="1:68" hidden="1" x14ac:dyDescent="0.2">
      <c r="A71" s="562"/>
      <c r="B71" s="562"/>
      <c r="C71" s="562"/>
      <c r="D71" s="562"/>
      <c r="E71" s="562"/>
      <c r="F71" s="562"/>
      <c r="G71" s="562"/>
      <c r="H71" s="562"/>
      <c r="I71" s="562"/>
      <c r="J71" s="562"/>
      <c r="K71" s="562"/>
      <c r="L71" s="562"/>
      <c r="M71" s="562"/>
      <c r="N71" s="562"/>
      <c r="O71" s="563"/>
      <c r="P71" s="559" t="s">
        <v>40</v>
      </c>
      <c r="Q71" s="560"/>
      <c r="R71" s="560"/>
      <c r="S71" s="560"/>
      <c r="T71" s="560"/>
      <c r="U71" s="560"/>
      <c r="V71" s="561"/>
      <c r="W71" s="40" t="s">
        <v>0</v>
      </c>
      <c r="X71" s="41">
        <f>IFERROR(SUM(X69:X69),"0")</f>
        <v>0</v>
      </c>
      <c r="Y71" s="41">
        <f>IFERROR(SUM(Y69:Y69),"0")</f>
        <v>0</v>
      </c>
      <c r="Z71" s="40"/>
      <c r="AA71" s="64"/>
      <c r="AB71" s="64"/>
      <c r="AC71" s="64"/>
    </row>
    <row r="72" spans="1:68" ht="14.25" hidden="1" customHeight="1" x14ac:dyDescent="0.25">
      <c r="A72" s="554" t="s">
        <v>86</v>
      </c>
      <c r="B72" s="554"/>
      <c r="C72" s="554"/>
      <c r="D72" s="554"/>
      <c r="E72" s="554"/>
      <c r="F72" s="554"/>
      <c r="G72" s="554"/>
      <c r="H72" s="554"/>
      <c r="I72" s="554"/>
      <c r="J72" s="554"/>
      <c r="K72" s="554"/>
      <c r="L72" s="554"/>
      <c r="M72" s="554"/>
      <c r="N72" s="554"/>
      <c r="O72" s="554"/>
      <c r="P72" s="554"/>
      <c r="Q72" s="554"/>
      <c r="R72" s="554"/>
      <c r="S72" s="554"/>
      <c r="T72" s="554"/>
      <c r="U72" s="554"/>
      <c r="V72" s="554"/>
      <c r="W72" s="554"/>
      <c r="X72" s="554"/>
      <c r="Y72" s="554"/>
      <c r="Z72" s="554"/>
      <c r="AA72" s="63"/>
      <c r="AB72" s="63"/>
      <c r="AC72" s="63"/>
    </row>
    <row r="73" spans="1:68" ht="27" hidden="1" customHeight="1" x14ac:dyDescent="0.25">
      <c r="A73" s="60" t="s">
        <v>162</v>
      </c>
      <c r="B73" s="60" t="s">
        <v>163</v>
      </c>
      <c r="C73" s="34">
        <v>4301051846</v>
      </c>
      <c r="D73" s="555">
        <v>4680115885769</v>
      </c>
      <c r="E73" s="555"/>
      <c r="F73" s="59">
        <v>1.4</v>
      </c>
      <c r="G73" s="35">
        <v>6</v>
      </c>
      <c r="H73" s="59">
        <v>8.4</v>
      </c>
      <c r="I73" s="59">
        <v>8.81</v>
      </c>
      <c r="J73" s="35">
        <v>64</v>
      </c>
      <c r="K73" s="35" t="s">
        <v>119</v>
      </c>
      <c r="L73" s="35" t="s">
        <v>45</v>
      </c>
      <c r="M73" s="36" t="s">
        <v>90</v>
      </c>
      <c r="N73" s="36"/>
      <c r="O73" s="35">
        <v>45</v>
      </c>
      <c r="P73" s="778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3" s="557"/>
      <c r="R73" s="557"/>
      <c r="S73" s="557"/>
      <c r="T73" s="558"/>
      <c r="U73" s="37" t="s">
        <v>45</v>
      </c>
      <c r="V73" s="37" t="s">
        <v>45</v>
      </c>
      <c r="W73" s="38" t="s">
        <v>0</v>
      </c>
      <c r="X73" s="56">
        <v>0</v>
      </c>
      <c r="Y73" s="53">
        <f>IFERROR(IF(X73="",0,CEILING((X73/$H73),1)*$H73),"")</f>
        <v>0</v>
      </c>
      <c r="Z73" s="39" t="str">
        <f>IFERROR(IF(Y73=0,"",ROUNDUP(Y73/H73,0)*0.01898),"")</f>
        <v/>
      </c>
      <c r="AA73" s="65" t="s">
        <v>45</v>
      </c>
      <c r="AB73" s="66" t="s">
        <v>45</v>
      </c>
      <c r="AC73" s="129" t="s">
        <v>164</v>
      </c>
      <c r="AG73" s="75"/>
      <c r="AJ73" s="79" t="s">
        <v>45</v>
      </c>
      <c r="AK73" s="79">
        <v>0</v>
      </c>
      <c r="BB73" s="130" t="s">
        <v>66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ht="16.5" hidden="1" customHeight="1" x14ac:dyDescent="0.25">
      <c r="A74" s="60" t="s">
        <v>165</v>
      </c>
      <c r="B74" s="60" t="s">
        <v>166</v>
      </c>
      <c r="C74" s="34">
        <v>4301051837</v>
      </c>
      <c r="D74" s="555">
        <v>4680115884311</v>
      </c>
      <c r="E74" s="555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81</v>
      </c>
      <c r="L74" s="35" t="s">
        <v>45</v>
      </c>
      <c r="M74" s="36" t="s">
        <v>90</v>
      </c>
      <c r="N74" s="36"/>
      <c r="O74" s="35">
        <v>40</v>
      </c>
      <c r="P74" s="7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557"/>
      <c r="R74" s="557"/>
      <c r="S74" s="557"/>
      <c r="T74" s="558"/>
      <c r="U74" s="37" t="s">
        <v>45</v>
      </c>
      <c r="V74" s="37" t="s">
        <v>45</v>
      </c>
      <c r="W74" s="38" t="s">
        <v>0</v>
      </c>
      <c r="X74" s="56">
        <v>0</v>
      </c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1" t="s">
        <v>167</v>
      </c>
      <c r="AG74" s="75"/>
      <c r="AJ74" s="79" t="s">
        <v>45</v>
      </c>
      <c r="AK74" s="79">
        <v>0</v>
      </c>
      <c r="BB74" s="132" t="s">
        <v>66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27" hidden="1" customHeight="1" x14ac:dyDescent="0.25">
      <c r="A75" s="60" t="s">
        <v>168</v>
      </c>
      <c r="B75" s="60" t="s">
        <v>169</v>
      </c>
      <c r="C75" s="34">
        <v>4301051844</v>
      </c>
      <c r="D75" s="555">
        <v>4680115885929</v>
      </c>
      <c r="E75" s="555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81</v>
      </c>
      <c r="L75" s="35" t="s">
        <v>45</v>
      </c>
      <c r="M75" s="36" t="s">
        <v>90</v>
      </c>
      <c r="N75" s="36"/>
      <c r="O75" s="35">
        <v>45</v>
      </c>
      <c r="P75" s="775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557"/>
      <c r="R75" s="557"/>
      <c r="S75" s="557"/>
      <c r="T75" s="558"/>
      <c r="U75" s="37" t="s">
        <v>45</v>
      </c>
      <c r="V75" s="37" t="s">
        <v>45</v>
      </c>
      <c r="W75" s="38" t="s">
        <v>0</v>
      </c>
      <c r="X75" s="56">
        <v>0</v>
      </c>
      <c r="Y75" s="53">
        <f>IFERROR(IF(X75="",0,CEILING((X75/$H75),1)*$H75),"")</f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3" t="s">
        <v>164</v>
      </c>
      <c r="AG75" s="75"/>
      <c r="AJ75" s="79" t="s">
        <v>45</v>
      </c>
      <c r="AK75" s="79">
        <v>0</v>
      </c>
      <c r="BB75" s="134" t="s">
        <v>66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170</v>
      </c>
      <c r="B76" s="60" t="s">
        <v>171</v>
      </c>
      <c r="C76" s="34">
        <v>4301051929</v>
      </c>
      <c r="D76" s="555">
        <v>4680115884403</v>
      </c>
      <c r="E76" s="555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81</v>
      </c>
      <c r="L76" s="35" t="s">
        <v>45</v>
      </c>
      <c r="M76" s="36" t="s">
        <v>90</v>
      </c>
      <c r="N76" s="36"/>
      <c r="O76" s="35">
        <v>40</v>
      </c>
      <c r="P76" s="77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557"/>
      <c r="R76" s="557"/>
      <c r="S76" s="557"/>
      <c r="T76" s="558"/>
      <c r="U76" s="37" t="s">
        <v>45</v>
      </c>
      <c r="V76" s="37" t="s">
        <v>45</v>
      </c>
      <c r="W76" s="38" t="s">
        <v>0</v>
      </c>
      <c r="X76" s="56">
        <v>0</v>
      </c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35" t="s">
        <v>172</v>
      </c>
      <c r="AG76" s="75"/>
      <c r="AJ76" s="79" t="s">
        <v>45</v>
      </c>
      <c r="AK76" s="79">
        <v>0</v>
      </c>
      <c r="BB76" s="136" t="s">
        <v>66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hidden="1" x14ac:dyDescent="0.2">
      <c r="A77" s="562"/>
      <c r="B77" s="562"/>
      <c r="C77" s="562"/>
      <c r="D77" s="562"/>
      <c r="E77" s="562"/>
      <c r="F77" s="562"/>
      <c r="G77" s="562"/>
      <c r="H77" s="562"/>
      <c r="I77" s="562"/>
      <c r="J77" s="562"/>
      <c r="K77" s="562"/>
      <c r="L77" s="562"/>
      <c r="M77" s="562"/>
      <c r="N77" s="562"/>
      <c r="O77" s="563"/>
      <c r="P77" s="559" t="s">
        <v>40</v>
      </c>
      <c r="Q77" s="560"/>
      <c r="R77" s="560"/>
      <c r="S77" s="560"/>
      <c r="T77" s="560"/>
      <c r="U77" s="560"/>
      <c r="V77" s="561"/>
      <c r="W77" s="40" t="s">
        <v>39</v>
      </c>
      <c r="X77" s="41">
        <f>IFERROR(X73/H73,"0")+IFERROR(X74/H74,"0")+IFERROR(X75/H75,"0")+IFERROR(X76/H76,"0")</f>
        <v>0</v>
      </c>
      <c r="Y77" s="41">
        <f>IFERROR(Y73/H73,"0")+IFERROR(Y74/H74,"0")+IFERROR(Y75/H75,"0")+IFERROR(Y76/H76,"0")</f>
        <v>0</v>
      </c>
      <c r="Z77" s="41">
        <f>IFERROR(IF(Z73="",0,Z73),"0")+IFERROR(IF(Z74="",0,Z74),"0")+IFERROR(IF(Z75="",0,Z75),"0")+IFERROR(IF(Z76="",0,Z76),"0")</f>
        <v>0</v>
      </c>
      <c r="AA77" s="64"/>
      <c r="AB77" s="64"/>
      <c r="AC77" s="64"/>
    </row>
    <row r="78" spans="1:68" hidden="1" x14ac:dyDescent="0.2">
      <c r="A78" s="562"/>
      <c r="B78" s="562"/>
      <c r="C78" s="562"/>
      <c r="D78" s="562"/>
      <c r="E78" s="562"/>
      <c r="F78" s="562"/>
      <c r="G78" s="562"/>
      <c r="H78" s="562"/>
      <c r="I78" s="562"/>
      <c r="J78" s="562"/>
      <c r="K78" s="562"/>
      <c r="L78" s="562"/>
      <c r="M78" s="562"/>
      <c r="N78" s="562"/>
      <c r="O78" s="563"/>
      <c r="P78" s="559" t="s">
        <v>40</v>
      </c>
      <c r="Q78" s="560"/>
      <c r="R78" s="560"/>
      <c r="S78" s="560"/>
      <c r="T78" s="560"/>
      <c r="U78" s="560"/>
      <c r="V78" s="561"/>
      <c r="W78" s="40" t="s">
        <v>0</v>
      </c>
      <c r="X78" s="41">
        <f>IFERROR(SUM(X73:X76),"0")</f>
        <v>0</v>
      </c>
      <c r="Y78" s="41">
        <f>IFERROR(SUM(Y73:Y76),"0")</f>
        <v>0</v>
      </c>
      <c r="Z78" s="40"/>
      <c r="AA78" s="64"/>
      <c r="AB78" s="64"/>
      <c r="AC78" s="64"/>
    </row>
    <row r="79" spans="1:68" ht="14.25" hidden="1" customHeight="1" x14ac:dyDescent="0.25">
      <c r="A79" s="554" t="s">
        <v>173</v>
      </c>
      <c r="B79" s="554"/>
      <c r="C79" s="554"/>
      <c r="D79" s="554"/>
      <c r="E79" s="554"/>
      <c r="F79" s="554"/>
      <c r="G79" s="554"/>
      <c r="H79" s="554"/>
      <c r="I79" s="554"/>
      <c r="J79" s="554"/>
      <c r="K79" s="554"/>
      <c r="L79" s="554"/>
      <c r="M79" s="554"/>
      <c r="N79" s="554"/>
      <c r="O79" s="554"/>
      <c r="P79" s="554"/>
      <c r="Q79" s="554"/>
      <c r="R79" s="554"/>
      <c r="S79" s="554"/>
      <c r="T79" s="554"/>
      <c r="U79" s="554"/>
      <c r="V79" s="554"/>
      <c r="W79" s="554"/>
      <c r="X79" s="554"/>
      <c r="Y79" s="554"/>
      <c r="Z79" s="554"/>
      <c r="AA79" s="63"/>
      <c r="AB79" s="63"/>
      <c r="AC79" s="63"/>
    </row>
    <row r="80" spans="1:68" ht="27" customHeight="1" x14ac:dyDescent="0.25">
      <c r="A80" s="60" t="s">
        <v>174</v>
      </c>
      <c r="B80" s="60" t="s">
        <v>175</v>
      </c>
      <c r="C80" s="34">
        <v>4301060455</v>
      </c>
      <c r="D80" s="555">
        <v>4680115881532</v>
      </c>
      <c r="E80" s="555"/>
      <c r="F80" s="59">
        <v>1.3</v>
      </c>
      <c r="G80" s="35">
        <v>6</v>
      </c>
      <c r="H80" s="59">
        <v>7.8</v>
      </c>
      <c r="I80" s="59">
        <v>8.2100000000000009</v>
      </c>
      <c r="J80" s="35">
        <v>64</v>
      </c>
      <c r="K80" s="35" t="s">
        <v>119</v>
      </c>
      <c r="L80" s="35" t="s">
        <v>45</v>
      </c>
      <c r="M80" s="36" t="s">
        <v>96</v>
      </c>
      <c r="N80" s="36"/>
      <c r="O80" s="35">
        <v>30</v>
      </c>
      <c r="P80" s="77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557"/>
      <c r="R80" s="557"/>
      <c r="S80" s="557"/>
      <c r="T80" s="558"/>
      <c r="U80" s="37" t="s">
        <v>45</v>
      </c>
      <c r="V80" s="37" t="s">
        <v>45</v>
      </c>
      <c r="W80" s="38" t="s">
        <v>0</v>
      </c>
      <c r="X80" s="56">
        <v>124.8</v>
      </c>
      <c r="Y80" s="53">
        <f>IFERROR(IF(X80="",0,CEILING((X80/$H80),1)*$H80),"")</f>
        <v>124.8</v>
      </c>
      <c r="Z80" s="39">
        <f>IFERROR(IF(Y80=0,"",ROUNDUP(Y80/H80,0)*0.01898),"")</f>
        <v>0.30368000000000001</v>
      </c>
      <c r="AA80" s="65" t="s">
        <v>45</v>
      </c>
      <c r="AB80" s="66" t="s">
        <v>45</v>
      </c>
      <c r="AC80" s="137" t="s">
        <v>176</v>
      </c>
      <c r="AG80" s="75"/>
      <c r="AJ80" s="79" t="s">
        <v>45</v>
      </c>
      <c r="AK80" s="79">
        <v>0</v>
      </c>
      <c r="BB80" s="138" t="s">
        <v>66</v>
      </c>
      <c r="BM80" s="75">
        <f>IFERROR(X80*I80/H80,"0")</f>
        <v>131.36000000000001</v>
      </c>
      <c r="BN80" s="75">
        <f>IFERROR(Y80*I80/H80,"0")</f>
        <v>131.36000000000001</v>
      </c>
      <c r="BO80" s="75">
        <f>IFERROR(1/J80*(X80/H80),"0")</f>
        <v>0.25</v>
      </c>
      <c r="BP80" s="75">
        <f>IFERROR(1/J80*(Y80/H80),"0")</f>
        <v>0.25</v>
      </c>
    </row>
    <row r="81" spans="1:68" ht="27" hidden="1" customHeight="1" x14ac:dyDescent="0.25">
      <c r="A81" s="60" t="s">
        <v>177</v>
      </c>
      <c r="B81" s="60" t="s">
        <v>178</v>
      </c>
      <c r="C81" s="34">
        <v>4301060351</v>
      </c>
      <c r="D81" s="555">
        <v>4680115881464</v>
      </c>
      <c r="E81" s="555"/>
      <c r="F81" s="59">
        <v>0.4</v>
      </c>
      <c r="G81" s="35">
        <v>6</v>
      </c>
      <c r="H81" s="59">
        <v>2.4</v>
      </c>
      <c r="I81" s="59">
        <v>2.59</v>
      </c>
      <c r="J81" s="35">
        <v>132</v>
      </c>
      <c r="K81" s="35" t="s">
        <v>122</v>
      </c>
      <c r="L81" s="35" t="s">
        <v>45</v>
      </c>
      <c r="M81" s="36" t="s">
        <v>90</v>
      </c>
      <c r="N81" s="36"/>
      <c r="O81" s="35">
        <v>30</v>
      </c>
      <c r="P81" s="77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557"/>
      <c r="R81" s="557"/>
      <c r="S81" s="557"/>
      <c r="T81" s="558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IFERROR(IF(Y81=0,"",ROUNDUP(Y81/H81,0)*0.00902),"")</f>
        <v/>
      </c>
      <c r="AA81" s="65" t="s">
        <v>45</v>
      </c>
      <c r="AB81" s="66" t="s">
        <v>45</v>
      </c>
      <c r="AC81" s="139" t="s">
        <v>179</v>
      </c>
      <c r="AG81" s="75"/>
      <c r="AJ81" s="79" t="s">
        <v>45</v>
      </c>
      <c r="AK81" s="79">
        <v>0</v>
      </c>
      <c r="BB81" s="140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x14ac:dyDescent="0.2">
      <c r="A82" s="562"/>
      <c r="B82" s="562"/>
      <c r="C82" s="562"/>
      <c r="D82" s="562"/>
      <c r="E82" s="562"/>
      <c r="F82" s="562"/>
      <c r="G82" s="562"/>
      <c r="H82" s="562"/>
      <c r="I82" s="562"/>
      <c r="J82" s="562"/>
      <c r="K82" s="562"/>
      <c r="L82" s="562"/>
      <c r="M82" s="562"/>
      <c r="N82" s="562"/>
      <c r="O82" s="563"/>
      <c r="P82" s="559" t="s">
        <v>40</v>
      </c>
      <c r="Q82" s="560"/>
      <c r="R82" s="560"/>
      <c r="S82" s="560"/>
      <c r="T82" s="560"/>
      <c r="U82" s="560"/>
      <c r="V82" s="561"/>
      <c r="W82" s="40" t="s">
        <v>39</v>
      </c>
      <c r="X82" s="41">
        <f>IFERROR(X80/H80,"0")+IFERROR(X81/H81,"0")</f>
        <v>16</v>
      </c>
      <c r="Y82" s="41">
        <f>IFERROR(Y80/H80,"0")+IFERROR(Y81/H81,"0")</f>
        <v>16</v>
      </c>
      <c r="Z82" s="41">
        <f>IFERROR(IF(Z80="",0,Z80),"0")+IFERROR(IF(Z81="",0,Z81),"0")</f>
        <v>0.30368000000000001</v>
      </c>
      <c r="AA82" s="64"/>
      <c r="AB82" s="64"/>
      <c r="AC82" s="64"/>
    </row>
    <row r="83" spans="1:68" x14ac:dyDescent="0.2">
      <c r="A83" s="562"/>
      <c r="B83" s="562"/>
      <c r="C83" s="562"/>
      <c r="D83" s="562"/>
      <c r="E83" s="562"/>
      <c r="F83" s="562"/>
      <c r="G83" s="562"/>
      <c r="H83" s="562"/>
      <c r="I83" s="562"/>
      <c r="J83" s="562"/>
      <c r="K83" s="562"/>
      <c r="L83" s="562"/>
      <c r="M83" s="562"/>
      <c r="N83" s="562"/>
      <c r="O83" s="563"/>
      <c r="P83" s="559" t="s">
        <v>40</v>
      </c>
      <c r="Q83" s="560"/>
      <c r="R83" s="560"/>
      <c r="S83" s="560"/>
      <c r="T83" s="560"/>
      <c r="U83" s="560"/>
      <c r="V83" s="561"/>
      <c r="W83" s="40" t="s">
        <v>0</v>
      </c>
      <c r="X83" s="41">
        <f>IFERROR(SUM(X80:X81),"0")</f>
        <v>124.8</v>
      </c>
      <c r="Y83" s="41">
        <f>IFERROR(SUM(Y80:Y81),"0")</f>
        <v>124.8</v>
      </c>
      <c r="Z83" s="40"/>
      <c r="AA83" s="64"/>
      <c r="AB83" s="64"/>
      <c r="AC83" s="64"/>
    </row>
    <row r="84" spans="1:68" ht="16.5" hidden="1" customHeight="1" x14ac:dyDescent="0.25">
      <c r="A84" s="553" t="s">
        <v>180</v>
      </c>
      <c r="B84" s="553"/>
      <c r="C84" s="553"/>
      <c r="D84" s="553"/>
      <c r="E84" s="553"/>
      <c r="F84" s="553"/>
      <c r="G84" s="553"/>
      <c r="H84" s="553"/>
      <c r="I84" s="553"/>
      <c r="J84" s="553"/>
      <c r="K84" s="553"/>
      <c r="L84" s="553"/>
      <c r="M84" s="553"/>
      <c r="N84" s="553"/>
      <c r="O84" s="553"/>
      <c r="P84" s="553"/>
      <c r="Q84" s="553"/>
      <c r="R84" s="553"/>
      <c r="S84" s="553"/>
      <c r="T84" s="553"/>
      <c r="U84" s="553"/>
      <c r="V84" s="553"/>
      <c r="W84" s="553"/>
      <c r="X84" s="553"/>
      <c r="Y84" s="553"/>
      <c r="Z84" s="553"/>
      <c r="AA84" s="62"/>
      <c r="AB84" s="62"/>
      <c r="AC84" s="62"/>
    </row>
    <row r="85" spans="1:68" ht="14.25" hidden="1" customHeight="1" x14ac:dyDescent="0.25">
      <c r="A85" s="554" t="s">
        <v>114</v>
      </c>
      <c r="B85" s="554"/>
      <c r="C85" s="554"/>
      <c r="D85" s="554"/>
      <c r="E85" s="554"/>
      <c r="F85" s="554"/>
      <c r="G85" s="554"/>
      <c r="H85" s="554"/>
      <c r="I85" s="554"/>
      <c r="J85" s="554"/>
      <c r="K85" s="554"/>
      <c r="L85" s="554"/>
      <c r="M85" s="554"/>
      <c r="N85" s="554"/>
      <c r="O85" s="554"/>
      <c r="P85" s="554"/>
      <c r="Q85" s="554"/>
      <c r="R85" s="554"/>
      <c r="S85" s="554"/>
      <c r="T85" s="554"/>
      <c r="U85" s="554"/>
      <c r="V85" s="554"/>
      <c r="W85" s="554"/>
      <c r="X85" s="554"/>
      <c r="Y85" s="554"/>
      <c r="Z85" s="554"/>
      <c r="AA85" s="63"/>
      <c r="AB85" s="63"/>
      <c r="AC85" s="63"/>
    </row>
    <row r="86" spans="1:68" ht="27" customHeight="1" x14ac:dyDescent="0.25">
      <c r="A86" s="60" t="s">
        <v>181</v>
      </c>
      <c r="B86" s="60" t="s">
        <v>182</v>
      </c>
      <c r="C86" s="34">
        <v>4301011468</v>
      </c>
      <c r="D86" s="555">
        <v>4680115881327</v>
      </c>
      <c r="E86" s="555"/>
      <c r="F86" s="59">
        <v>1.35</v>
      </c>
      <c r="G86" s="35">
        <v>8</v>
      </c>
      <c r="H86" s="59">
        <v>10.8</v>
      </c>
      <c r="I86" s="59">
        <v>11.21</v>
      </c>
      <c r="J86" s="35">
        <v>64</v>
      </c>
      <c r="K86" s="35" t="s">
        <v>119</v>
      </c>
      <c r="L86" s="35" t="s">
        <v>45</v>
      </c>
      <c r="M86" s="36" t="s">
        <v>96</v>
      </c>
      <c r="N86" s="36"/>
      <c r="O86" s="35">
        <v>50</v>
      </c>
      <c r="P86" s="76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557"/>
      <c r="R86" s="557"/>
      <c r="S86" s="557"/>
      <c r="T86" s="558"/>
      <c r="U86" s="37" t="s">
        <v>45</v>
      </c>
      <c r="V86" s="37" t="s">
        <v>45</v>
      </c>
      <c r="W86" s="38" t="s">
        <v>0</v>
      </c>
      <c r="X86" s="56">
        <v>259.2</v>
      </c>
      <c r="Y86" s="53">
        <f>IFERROR(IF(X86="",0,CEILING((X86/$H86),1)*$H86),"")</f>
        <v>259.20000000000005</v>
      </c>
      <c r="Z86" s="39">
        <f>IFERROR(IF(Y86=0,"",ROUNDUP(Y86/H86,0)*0.01898),"")</f>
        <v>0.45552000000000004</v>
      </c>
      <c r="AA86" s="65" t="s">
        <v>45</v>
      </c>
      <c r="AB86" s="66" t="s">
        <v>45</v>
      </c>
      <c r="AC86" s="141" t="s">
        <v>183</v>
      </c>
      <c r="AG86" s="75"/>
      <c r="AJ86" s="79" t="s">
        <v>45</v>
      </c>
      <c r="AK86" s="79">
        <v>0</v>
      </c>
      <c r="BB86" s="142" t="s">
        <v>66</v>
      </c>
      <c r="BM86" s="75">
        <f>IFERROR(X86*I86/H86,"0")</f>
        <v>269.03999999999996</v>
      </c>
      <c r="BN86" s="75">
        <f>IFERROR(Y86*I86/H86,"0")</f>
        <v>269.04000000000002</v>
      </c>
      <c r="BO86" s="75">
        <f>IFERROR(1/J86*(X86/H86),"0")</f>
        <v>0.37499999999999994</v>
      </c>
      <c r="BP86" s="75">
        <f>IFERROR(1/J86*(Y86/H86),"0")</f>
        <v>0.37500000000000006</v>
      </c>
    </row>
    <row r="87" spans="1:68" ht="27" hidden="1" customHeight="1" x14ac:dyDescent="0.25">
      <c r="A87" s="60" t="s">
        <v>184</v>
      </c>
      <c r="B87" s="60" t="s">
        <v>185</v>
      </c>
      <c r="C87" s="34">
        <v>4301011261</v>
      </c>
      <c r="D87" s="555">
        <v>4680115887732</v>
      </c>
      <c r="E87" s="555"/>
      <c r="F87" s="59">
        <v>0.17</v>
      </c>
      <c r="G87" s="35">
        <v>10</v>
      </c>
      <c r="H87" s="59">
        <v>1.7</v>
      </c>
      <c r="I87" s="59">
        <v>1.8</v>
      </c>
      <c r="J87" s="35">
        <v>192</v>
      </c>
      <c r="K87" s="35" t="s">
        <v>156</v>
      </c>
      <c r="L87" s="35" t="s">
        <v>45</v>
      </c>
      <c r="M87" s="36" t="s">
        <v>80</v>
      </c>
      <c r="N87" s="36"/>
      <c r="O87" s="35">
        <v>30</v>
      </c>
      <c r="P87" s="76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7" s="557"/>
      <c r="R87" s="557"/>
      <c r="S87" s="557"/>
      <c r="T87" s="558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IFERROR(IF(Y87=0,"",ROUNDUP(Y87/H87,0)*0.00726),"")</f>
        <v/>
      </c>
      <c r="AA87" s="65" t="s">
        <v>45</v>
      </c>
      <c r="AB87" s="66" t="s">
        <v>45</v>
      </c>
      <c r="AC87" s="143" t="s">
        <v>186</v>
      </c>
      <c r="AG87" s="75"/>
      <c r="AJ87" s="79" t="s">
        <v>45</v>
      </c>
      <c r="AK87" s="79">
        <v>0</v>
      </c>
      <c r="BB87" s="144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27" hidden="1" customHeight="1" x14ac:dyDescent="0.25">
      <c r="A88" s="60" t="s">
        <v>187</v>
      </c>
      <c r="B88" s="60" t="s">
        <v>188</v>
      </c>
      <c r="C88" s="34">
        <v>4301011476</v>
      </c>
      <c r="D88" s="555">
        <v>4680115881518</v>
      </c>
      <c r="E88" s="555"/>
      <c r="F88" s="59">
        <v>0.4</v>
      </c>
      <c r="G88" s="35">
        <v>10</v>
      </c>
      <c r="H88" s="59">
        <v>4</v>
      </c>
      <c r="I88" s="59">
        <v>4.1900000000000004</v>
      </c>
      <c r="J88" s="35">
        <v>132</v>
      </c>
      <c r="K88" s="35" t="s">
        <v>122</v>
      </c>
      <c r="L88" s="35" t="s">
        <v>45</v>
      </c>
      <c r="M88" s="36" t="s">
        <v>90</v>
      </c>
      <c r="N88" s="36"/>
      <c r="O88" s="35">
        <v>50</v>
      </c>
      <c r="P88" s="77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557"/>
      <c r="R88" s="557"/>
      <c r="S88" s="557"/>
      <c r="T88" s="558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45" t="s">
        <v>183</v>
      </c>
      <c r="AG88" s="75"/>
      <c r="AJ88" s="79" t="s">
        <v>45</v>
      </c>
      <c r="AK88" s="79">
        <v>0</v>
      </c>
      <c r="BB88" s="146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hidden="1" customHeight="1" x14ac:dyDescent="0.25">
      <c r="A89" s="60" t="s">
        <v>189</v>
      </c>
      <c r="B89" s="60" t="s">
        <v>190</v>
      </c>
      <c r="C89" s="34">
        <v>4301011443</v>
      </c>
      <c r="D89" s="555">
        <v>4680115881303</v>
      </c>
      <c r="E89" s="555"/>
      <c r="F89" s="59">
        <v>0.45</v>
      </c>
      <c r="G89" s="35">
        <v>10</v>
      </c>
      <c r="H89" s="59">
        <v>4.5</v>
      </c>
      <c r="I89" s="59">
        <v>4.6900000000000004</v>
      </c>
      <c r="J89" s="35">
        <v>132</v>
      </c>
      <c r="K89" s="35" t="s">
        <v>122</v>
      </c>
      <c r="L89" s="35" t="s">
        <v>45</v>
      </c>
      <c r="M89" s="36" t="s">
        <v>96</v>
      </c>
      <c r="N89" s="36"/>
      <c r="O89" s="35">
        <v>50</v>
      </c>
      <c r="P89" s="77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557"/>
      <c r="R89" s="557"/>
      <c r="S89" s="557"/>
      <c r="T89" s="558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47" t="s">
        <v>183</v>
      </c>
      <c r="AG89" s="75"/>
      <c r="AJ89" s="79" t="s">
        <v>45</v>
      </c>
      <c r="AK89" s="79">
        <v>0</v>
      </c>
      <c r="BB89" s="148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562"/>
      <c r="B90" s="562"/>
      <c r="C90" s="562"/>
      <c r="D90" s="562"/>
      <c r="E90" s="562"/>
      <c r="F90" s="562"/>
      <c r="G90" s="562"/>
      <c r="H90" s="562"/>
      <c r="I90" s="562"/>
      <c r="J90" s="562"/>
      <c r="K90" s="562"/>
      <c r="L90" s="562"/>
      <c r="M90" s="562"/>
      <c r="N90" s="562"/>
      <c r="O90" s="563"/>
      <c r="P90" s="559" t="s">
        <v>40</v>
      </c>
      <c r="Q90" s="560"/>
      <c r="R90" s="560"/>
      <c r="S90" s="560"/>
      <c r="T90" s="560"/>
      <c r="U90" s="560"/>
      <c r="V90" s="561"/>
      <c r="W90" s="40" t="s">
        <v>39</v>
      </c>
      <c r="X90" s="41">
        <f>IFERROR(X86/H86,"0")+IFERROR(X87/H87,"0")+IFERROR(X88/H88,"0")+IFERROR(X89/H89,"0")</f>
        <v>23.999999999999996</v>
      </c>
      <c r="Y90" s="41">
        <f>IFERROR(Y86/H86,"0")+IFERROR(Y87/H87,"0")+IFERROR(Y88/H88,"0")+IFERROR(Y89/H89,"0")</f>
        <v>24.000000000000004</v>
      </c>
      <c r="Z90" s="41">
        <f>IFERROR(IF(Z86="",0,Z86),"0")+IFERROR(IF(Z87="",0,Z87),"0")+IFERROR(IF(Z88="",0,Z88),"0")+IFERROR(IF(Z89="",0,Z89),"0")</f>
        <v>0.45552000000000004</v>
      </c>
      <c r="AA90" s="64"/>
      <c r="AB90" s="64"/>
      <c r="AC90" s="64"/>
    </row>
    <row r="91" spans="1:68" x14ac:dyDescent="0.2">
      <c r="A91" s="562"/>
      <c r="B91" s="562"/>
      <c r="C91" s="562"/>
      <c r="D91" s="562"/>
      <c r="E91" s="562"/>
      <c r="F91" s="562"/>
      <c r="G91" s="562"/>
      <c r="H91" s="562"/>
      <c r="I91" s="562"/>
      <c r="J91" s="562"/>
      <c r="K91" s="562"/>
      <c r="L91" s="562"/>
      <c r="M91" s="562"/>
      <c r="N91" s="562"/>
      <c r="O91" s="563"/>
      <c r="P91" s="559" t="s">
        <v>40</v>
      </c>
      <c r="Q91" s="560"/>
      <c r="R91" s="560"/>
      <c r="S91" s="560"/>
      <c r="T91" s="560"/>
      <c r="U91" s="560"/>
      <c r="V91" s="561"/>
      <c r="W91" s="40" t="s">
        <v>0</v>
      </c>
      <c r="X91" s="41">
        <f>IFERROR(SUM(X86:X89),"0")</f>
        <v>259.2</v>
      </c>
      <c r="Y91" s="41">
        <f>IFERROR(SUM(Y86:Y89),"0")</f>
        <v>259.20000000000005</v>
      </c>
      <c r="Z91" s="40"/>
      <c r="AA91" s="64"/>
      <c r="AB91" s="64"/>
      <c r="AC91" s="64"/>
    </row>
    <row r="92" spans="1:68" ht="14.25" hidden="1" customHeight="1" x14ac:dyDescent="0.25">
      <c r="A92" s="554" t="s">
        <v>86</v>
      </c>
      <c r="B92" s="554"/>
      <c r="C92" s="554"/>
      <c r="D92" s="554"/>
      <c r="E92" s="554"/>
      <c r="F92" s="554"/>
      <c r="G92" s="554"/>
      <c r="H92" s="554"/>
      <c r="I92" s="554"/>
      <c r="J92" s="554"/>
      <c r="K92" s="554"/>
      <c r="L92" s="554"/>
      <c r="M92" s="554"/>
      <c r="N92" s="554"/>
      <c r="O92" s="554"/>
      <c r="P92" s="554"/>
      <c r="Q92" s="554"/>
      <c r="R92" s="554"/>
      <c r="S92" s="554"/>
      <c r="T92" s="554"/>
      <c r="U92" s="554"/>
      <c r="V92" s="554"/>
      <c r="W92" s="554"/>
      <c r="X92" s="554"/>
      <c r="Y92" s="554"/>
      <c r="Z92" s="554"/>
      <c r="AA92" s="63"/>
      <c r="AB92" s="63"/>
      <c r="AC92" s="63"/>
    </row>
    <row r="93" spans="1:68" ht="27" customHeight="1" x14ac:dyDescent="0.25">
      <c r="A93" s="60" t="s">
        <v>191</v>
      </c>
      <c r="B93" s="60" t="s">
        <v>192</v>
      </c>
      <c r="C93" s="34">
        <v>4301051712</v>
      </c>
      <c r="D93" s="555">
        <v>4607091386967</v>
      </c>
      <c r="E93" s="555"/>
      <c r="F93" s="59">
        <v>1.35</v>
      </c>
      <c r="G93" s="35">
        <v>6</v>
      </c>
      <c r="H93" s="59">
        <v>8.1</v>
      </c>
      <c r="I93" s="59">
        <v>8.5939999999999994</v>
      </c>
      <c r="J93" s="35">
        <v>64</v>
      </c>
      <c r="K93" s="35" t="s">
        <v>119</v>
      </c>
      <c r="L93" s="35" t="s">
        <v>45</v>
      </c>
      <c r="M93" s="36" t="s">
        <v>96</v>
      </c>
      <c r="N93" s="36"/>
      <c r="O93" s="35">
        <v>45</v>
      </c>
      <c r="P93" s="76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3" s="557"/>
      <c r="R93" s="557"/>
      <c r="S93" s="557"/>
      <c r="T93" s="558"/>
      <c r="U93" s="37" t="s">
        <v>45</v>
      </c>
      <c r="V93" s="37" t="s">
        <v>45</v>
      </c>
      <c r="W93" s="38" t="s">
        <v>0</v>
      </c>
      <c r="X93" s="56">
        <v>129.6</v>
      </c>
      <c r="Y93" s="53">
        <f>IFERROR(IF(X93="",0,CEILING((X93/$H93),1)*$H93),"")</f>
        <v>129.6</v>
      </c>
      <c r="Z93" s="39">
        <f>IFERROR(IF(Y93=0,"",ROUNDUP(Y93/H93,0)*0.01898),"")</f>
        <v>0.30368000000000001</v>
      </c>
      <c r="AA93" s="65" t="s">
        <v>45</v>
      </c>
      <c r="AB93" s="66" t="s">
        <v>45</v>
      </c>
      <c r="AC93" s="149" t="s">
        <v>193</v>
      </c>
      <c r="AG93" s="75"/>
      <c r="AJ93" s="79" t="s">
        <v>45</v>
      </c>
      <c r="AK93" s="79">
        <v>0</v>
      </c>
      <c r="BB93" s="150" t="s">
        <v>66</v>
      </c>
      <c r="BM93" s="75">
        <f>IFERROR(X93*I93/H93,"0")</f>
        <v>137.50399999999999</v>
      </c>
      <c r="BN93" s="75">
        <f>IFERROR(Y93*I93/H93,"0")</f>
        <v>137.50399999999999</v>
      </c>
      <c r="BO93" s="75">
        <f>IFERROR(1/J93*(X93/H93),"0")</f>
        <v>0.25</v>
      </c>
      <c r="BP93" s="75">
        <f>IFERROR(1/J93*(Y93/H93),"0")</f>
        <v>0.25</v>
      </c>
    </row>
    <row r="94" spans="1:68" ht="27" hidden="1" customHeight="1" x14ac:dyDescent="0.25">
      <c r="A94" s="60" t="s">
        <v>194</v>
      </c>
      <c r="B94" s="60" t="s">
        <v>195</v>
      </c>
      <c r="C94" s="34">
        <v>4301051788</v>
      </c>
      <c r="D94" s="555">
        <v>4680115884953</v>
      </c>
      <c r="E94" s="555"/>
      <c r="F94" s="59">
        <v>0.37</v>
      </c>
      <c r="G94" s="35">
        <v>6</v>
      </c>
      <c r="H94" s="59">
        <v>2.2200000000000002</v>
      </c>
      <c r="I94" s="59">
        <v>2.472</v>
      </c>
      <c r="J94" s="35">
        <v>182</v>
      </c>
      <c r="K94" s="35" t="s">
        <v>81</v>
      </c>
      <c r="L94" s="35" t="s">
        <v>45</v>
      </c>
      <c r="M94" s="36" t="s">
        <v>90</v>
      </c>
      <c r="N94" s="36"/>
      <c r="O94" s="35">
        <v>45</v>
      </c>
      <c r="P94" s="766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4" s="557"/>
      <c r="R94" s="557"/>
      <c r="S94" s="557"/>
      <c r="T94" s="558"/>
      <c r="U94" s="37" t="s">
        <v>45</v>
      </c>
      <c r="V94" s="37" t="s">
        <v>45</v>
      </c>
      <c r="W94" s="38" t="s">
        <v>0</v>
      </c>
      <c r="X94" s="56">
        <v>0</v>
      </c>
      <c r="Y94" s="53">
        <f>IFERROR(IF(X94="",0,CEILING((X94/$H94),1)*$H94),"")</f>
        <v>0</v>
      </c>
      <c r="Z94" s="39" t="str">
        <f>IFERROR(IF(Y94=0,"",ROUNDUP(Y94/H94,0)*0.00651),"")</f>
        <v/>
      </c>
      <c r="AA94" s="65" t="s">
        <v>45</v>
      </c>
      <c r="AB94" s="66" t="s">
        <v>45</v>
      </c>
      <c r="AC94" s="151" t="s">
        <v>193</v>
      </c>
      <c r="AG94" s="75"/>
      <c r="AJ94" s="79" t="s">
        <v>45</v>
      </c>
      <c r="AK94" s="79">
        <v>0</v>
      </c>
      <c r="BB94" s="152" t="s">
        <v>66</v>
      </c>
      <c r="BM94" s="75">
        <f>IFERROR(X94*I94/H94,"0")</f>
        <v>0</v>
      </c>
      <c r="BN94" s="75">
        <f>IFERROR(Y94*I94/H94,"0")</f>
        <v>0</v>
      </c>
      <c r="BO94" s="75">
        <f>IFERROR(1/J94*(X94/H94),"0")</f>
        <v>0</v>
      </c>
      <c r="BP94" s="75">
        <f>IFERROR(1/J94*(Y94/H94),"0")</f>
        <v>0</v>
      </c>
    </row>
    <row r="95" spans="1:68" ht="27" customHeight="1" x14ac:dyDescent="0.25">
      <c r="A95" s="60" t="s">
        <v>196</v>
      </c>
      <c r="B95" s="60" t="s">
        <v>197</v>
      </c>
      <c r="C95" s="34">
        <v>4301051718</v>
      </c>
      <c r="D95" s="555">
        <v>4607091385731</v>
      </c>
      <c r="E95" s="555"/>
      <c r="F95" s="59">
        <v>0.45</v>
      </c>
      <c r="G95" s="35">
        <v>6</v>
      </c>
      <c r="H95" s="59">
        <v>2.7</v>
      </c>
      <c r="I95" s="59">
        <v>2.952</v>
      </c>
      <c r="J95" s="35">
        <v>182</v>
      </c>
      <c r="K95" s="35" t="s">
        <v>81</v>
      </c>
      <c r="L95" s="35" t="s">
        <v>45</v>
      </c>
      <c r="M95" s="36" t="s">
        <v>96</v>
      </c>
      <c r="N95" s="36"/>
      <c r="O95" s="35">
        <v>45</v>
      </c>
      <c r="P95" s="76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5" s="557"/>
      <c r="R95" s="557"/>
      <c r="S95" s="557"/>
      <c r="T95" s="558"/>
      <c r="U95" s="37" t="s">
        <v>45</v>
      </c>
      <c r="V95" s="37" t="s">
        <v>45</v>
      </c>
      <c r="W95" s="38" t="s">
        <v>0</v>
      </c>
      <c r="X95" s="56">
        <v>37.799999999999997</v>
      </c>
      <c r="Y95" s="53">
        <f>IFERROR(IF(X95="",0,CEILING((X95/$H95),1)*$H95),"")</f>
        <v>37.800000000000004</v>
      </c>
      <c r="Z95" s="39">
        <f>IFERROR(IF(Y95=0,"",ROUNDUP(Y95/H95,0)*0.00651),"")</f>
        <v>9.1139999999999999E-2</v>
      </c>
      <c r="AA95" s="65" t="s">
        <v>45</v>
      </c>
      <c r="AB95" s="66" t="s">
        <v>45</v>
      </c>
      <c r="AC95" s="153" t="s">
        <v>193</v>
      </c>
      <c r="AG95" s="75"/>
      <c r="AJ95" s="79" t="s">
        <v>45</v>
      </c>
      <c r="AK95" s="79">
        <v>0</v>
      </c>
      <c r="BB95" s="154" t="s">
        <v>66</v>
      </c>
      <c r="BM95" s="75">
        <f>IFERROR(X95*I95/H95,"0")</f>
        <v>41.327999999999989</v>
      </c>
      <c r="BN95" s="75">
        <f>IFERROR(Y95*I95/H95,"0")</f>
        <v>41.328000000000003</v>
      </c>
      <c r="BO95" s="75">
        <f>IFERROR(1/J95*(X95/H95),"0")</f>
        <v>7.6923076923076913E-2</v>
      </c>
      <c r="BP95" s="75">
        <f>IFERROR(1/J95*(Y95/H95),"0")</f>
        <v>7.6923076923076927E-2</v>
      </c>
    </row>
    <row r="96" spans="1:68" ht="16.5" hidden="1" customHeight="1" x14ac:dyDescent="0.25">
      <c r="A96" s="60" t="s">
        <v>198</v>
      </c>
      <c r="B96" s="60" t="s">
        <v>199</v>
      </c>
      <c r="C96" s="34">
        <v>4301051438</v>
      </c>
      <c r="D96" s="555">
        <v>4680115880894</v>
      </c>
      <c r="E96" s="555"/>
      <c r="F96" s="59">
        <v>0.33</v>
      </c>
      <c r="G96" s="35">
        <v>6</v>
      </c>
      <c r="H96" s="59">
        <v>1.98</v>
      </c>
      <c r="I96" s="59">
        <v>2.238</v>
      </c>
      <c r="J96" s="35">
        <v>182</v>
      </c>
      <c r="K96" s="35" t="s">
        <v>81</v>
      </c>
      <c r="L96" s="35" t="s">
        <v>45</v>
      </c>
      <c r="M96" s="36" t="s">
        <v>90</v>
      </c>
      <c r="N96" s="36"/>
      <c r="O96" s="35">
        <v>45</v>
      </c>
      <c r="P96" s="763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6" s="557"/>
      <c r="R96" s="557"/>
      <c r="S96" s="557"/>
      <c r="T96" s="558"/>
      <c r="U96" s="37" t="s">
        <v>45</v>
      </c>
      <c r="V96" s="37" t="s">
        <v>45</v>
      </c>
      <c r="W96" s="38" t="s">
        <v>0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55" t="s">
        <v>200</v>
      </c>
      <c r="AG96" s="75"/>
      <c r="AJ96" s="79" t="s">
        <v>45</v>
      </c>
      <c r="AK96" s="79">
        <v>0</v>
      </c>
      <c r="BB96" s="156" t="s">
        <v>66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x14ac:dyDescent="0.2">
      <c r="A97" s="562"/>
      <c r="B97" s="562"/>
      <c r="C97" s="562"/>
      <c r="D97" s="562"/>
      <c r="E97" s="562"/>
      <c r="F97" s="562"/>
      <c r="G97" s="562"/>
      <c r="H97" s="562"/>
      <c r="I97" s="562"/>
      <c r="J97" s="562"/>
      <c r="K97" s="562"/>
      <c r="L97" s="562"/>
      <c r="M97" s="562"/>
      <c r="N97" s="562"/>
      <c r="O97" s="563"/>
      <c r="P97" s="559" t="s">
        <v>40</v>
      </c>
      <c r="Q97" s="560"/>
      <c r="R97" s="560"/>
      <c r="S97" s="560"/>
      <c r="T97" s="560"/>
      <c r="U97" s="560"/>
      <c r="V97" s="561"/>
      <c r="W97" s="40" t="s">
        <v>39</v>
      </c>
      <c r="X97" s="41">
        <f>IFERROR(X93/H93,"0")+IFERROR(X94/H94,"0")+IFERROR(X95/H95,"0")+IFERROR(X96/H96,"0")</f>
        <v>30</v>
      </c>
      <c r="Y97" s="41">
        <f>IFERROR(Y93/H93,"0")+IFERROR(Y94/H94,"0")+IFERROR(Y95/H95,"0")+IFERROR(Y96/H96,"0")</f>
        <v>30</v>
      </c>
      <c r="Z97" s="41">
        <f>IFERROR(IF(Z93="",0,Z93),"0")+IFERROR(IF(Z94="",0,Z94),"0")+IFERROR(IF(Z95="",0,Z95),"0")+IFERROR(IF(Z96="",0,Z96),"0")</f>
        <v>0.39482</v>
      </c>
      <c r="AA97" s="64"/>
      <c r="AB97" s="64"/>
      <c r="AC97" s="64"/>
    </row>
    <row r="98" spans="1:68" x14ac:dyDescent="0.2">
      <c r="A98" s="562"/>
      <c r="B98" s="562"/>
      <c r="C98" s="562"/>
      <c r="D98" s="562"/>
      <c r="E98" s="562"/>
      <c r="F98" s="562"/>
      <c r="G98" s="562"/>
      <c r="H98" s="562"/>
      <c r="I98" s="562"/>
      <c r="J98" s="562"/>
      <c r="K98" s="562"/>
      <c r="L98" s="562"/>
      <c r="M98" s="562"/>
      <c r="N98" s="562"/>
      <c r="O98" s="563"/>
      <c r="P98" s="559" t="s">
        <v>40</v>
      </c>
      <c r="Q98" s="560"/>
      <c r="R98" s="560"/>
      <c r="S98" s="560"/>
      <c r="T98" s="560"/>
      <c r="U98" s="560"/>
      <c r="V98" s="561"/>
      <c r="W98" s="40" t="s">
        <v>0</v>
      </c>
      <c r="X98" s="41">
        <f>IFERROR(SUM(X93:X96),"0")</f>
        <v>167.39999999999998</v>
      </c>
      <c r="Y98" s="41">
        <f>IFERROR(SUM(Y93:Y96),"0")</f>
        <v>167.4</v>
      </c>
      <c r="Z98" s="40"/>
      <c r="AA98" s="64"/>
      <c r="AB98" s="64"/>
      <c r="AC98" s="64"/>
    </row>
    <row r="99" spans="1:68" ht="16.5" hidden="1" customHeight="1" x14ac:dyDescent="0.25">
      <c r="A99" s="553" t="s">
        <v>201</v>
      </c>
      <c r="B99" s="553"/>
      <c r="C99" s="553"/>
      <c r="D99" s="553"/>
      <c r="E99" s="553"/>
      <c r="F99" s="553"/>
      <c r="G99" s="553"/>
      <c r="H99" s="553"/>
      <c r="I99" s="553"/>
      <c r="J99" s="553"/>
      <c r="K99" s="553"/>
      <c r="L99" s="553"/>
      <c r="M99" s="553"/>
      <c r="N99" s="553"/>
      <c r="O99" s="553"/>
      <c r="P99" s="553"/>
      <c r="Q99" s="553"/>
      <c r="R99" s="553"/>
      <c r="S99" s="553"/>
      <c r="T99" s="553"/>
      <c r="U99" s="553"/>
      <c r="V99" s="553"/>
      <c r="W99" s="553"/>
      <c r="X99" s="553"/>
      <c r="Y99" s="553"/>
      <c r="Z99" s="553"/>
      <c r="AA99" s="62"/>
      <c r="AB99" s="62"/>
      <c r="AC99" s="62"/>
    </row>
    <row r="100" spans="1:68" ht="14.25" hidden="1" customHeight="1" x14ac:dyDescent="0.25">
      <c r="A100" s="554" t="s">
        <v>114</v>
      </c>
      <c r="B100" s="554"/>
      <c r="C100" s="554"/>
      <c r="D100" s="554"/>
      <c r="E100" s="554"/>
      <c r="F100" s="554"/>
      <c r="G100" s="554"/>
      <c r="H100" s="554"/>
      <c r="I100" s="554"/>
      <c r="J100" s="554"/>
      <c r="K100" s="554"/>
      <c r="L100" s="554"/>
      <c r="M100" s="554"/>
      <c r="N100" s="554"/>
      <c r="O100" s="554"/>
      <c r="P100" s="554"/>
      <c r="Q100" s="554"/>
      <c r="R100" s="554"/>
      <c r="S100" s="554"/>
      <c r="T100" s="554"/>
      <c r="U100" s="554"/>
      <c r="V100" s="554"/>
      <c r="W100" s="554"/>
      <c r="X100" s="554"/>
      <c r="Y100" s="554"/>
      <c r="Z100" s="554"/>
      <c r="AA100" s="63"/>
      <c r="AB100" s="63"/>
      <c r="AC100" s="63"/>
    </row>
    <row r="101" spans="1:68" ht="37.5" customHeight="1" x14ac:dyDescent="0.25">
      <c r="A101" s="60" t="s">
        <v>202</v>
      </c>
      <c r="B101" s="60" t="s">
        <v>203</v>
      </c>
      <c r="C101" s="34">
        <v>4301011514</v>
      </c>
      <c r="D101" s="555">
        <v>4680115882133</v>
      </c>
      <c r="E101" s="555"/>
      <c r="F101" s="59">
        <v>1.35</v>
      </c>
      <c r="G101" s="35">
        <v>8</v>
      </c>
      <c r="H101" s="59">
        <v>10.8</v>
      </c>
      <c r="I101" s="59">
        <v>11.21</v>
      </c>
      <c r="J101" s="35">
        <v>64</v>
      </c>
      <c r="K101" s="35" t="s">
        <v>119</v>
      </c>
      <c r="L101" s="35" t="s">
        <v>45</v>
      </c>
      <c r="M101" s="36" t="s">
        <v>118</v>
      </c>
      <c r="N101" s="36"/>
      <c r="O101" s="35">
        <v>50</v>
      </c>
      <c r="P101" s="76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557"/>
      <c r="R101" s="557"/>
      <c r="S101" s="557"/>
      <c r="T101" s="558"/>
      <c r="U101" s="37" t="s">
        <v>45</v>
      </c>
      <c r="V101" s="37" t="s">
        <v>45</v>
      </c>
      <c r="W101" s="38" t="s">
        <v>0</v>
      </c>
      <c r="X101" s="56">
        <v>518.4</v>
      </c>
      <c r="Y101" s="53">
        <f>IFERROR(IF(X101="",0,CEILING((X101/$H101),1)*$H101),"")</f>
        <v>518.40000000000009</v>
      </c>
      <c r="Z101" s="39">
        <f>IFERROR(IF(Y101=0,"",ROUNDUP(Y101/H101,0)*0.01898),"")</f>
        <v>0.91104000000000007</v>
      </c>
      <c r="AA101" s="65" t="s">
        <v>45</v>
      </c>
      <c r="AB101" s="66" t="s">
        <v>45</v>
      </c>
      <c r="AC101" s="157" t="s">
        <v>204</v>
      </c>
      <c r="AG101" s="75"/>
      <c r="AJ101" s="79" t="s">
        <v>45</v>
      </c>
      <c r="AK101" s="79">
        <v>0</v>
      </c>
      <c r="BB101" s="158" t="s">
        <v>66</v>
      </c>
      <c r="BM101" s="75">
        <f>IFERROR(X101*I101/H101,"0")</f>
        <v>538.07999999999993</v>
      </c>
      <c r="BN101" s="75">
        <f>IFERROR(Y101*I101/H101,"0")</f>
        <v>538.08000000000004</v>
      </c>
      <c r="BO101" s="75">
        <f>IFERROR(1/J101*(X101/H101),"0")</f>
        <v>0.74999999999999989</v>
      </c>
      <c r="BP101" s="75">
        <f>IFERROR(1/J101*(Y101/H101),"0")</f>
        <v>0.75000000000000011</v>
      </c>
    </row>
    <row r="102" spans="1:68" ht="27" hidden="1" customHeight="1" x14ac:dyDescent="0.25">
      <c r="A102" s="60" t="s">
        <v>205</v>
      </c>
      <c r="B102" s="60" t="s">
        <v>206</v>
      </c>
      <c r="C102" s="34">
        <v>4301012051</v>
      </c>
      <c r="D102" s="555">
        <v>4680115887718</v>
      </c>
      <c r="E102" s="555"/>
      <c r="F102" s="59">
        <v>0.11</v>
      </c>
      <c r="G102" s="35">
        <v>10</v>
      </c>
      <c r="H102" s="59">
        <v>1.1000000000000001</v>
      </c>
      <c r="I102" s="59">
        <v>1.31</v>
      </c>
      <c r="J102" s="35">
        <v>192</v>
      </c>
      <c r="K102" s="35" t="s">
        <v>156</v>
      </c>
      <c r="L102" s="35" t="s">
        <v>45</v>
      </c>
      <c r="M102" s="36" t="s">
        <v>80</v>
      </c>
      <c r="N102" s="36"/>
      <c r="O102" s="35">
        <v>30</v>
      </c>
      <c r="P102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2" s="557"/>
      <c r="R102" s="557"/>
      <c r="S102" s="557"/>
      <c r="T102" s="558"/>
      <c r="U102" s="37" t="s">
        <v>45</v>
      </c>
      <c r="V102" s="37" t="s">
        <v>45</v>
      </c>
      <c r="W102" s="38" t="s">
        <v>0</v>
      </c>
      <c r="X102" s="56">
        <v>0</v>
      </c>
      <c r="Y102" s="53">
        <f>IFERROR(IF(X102="",0,CEILING((X102/$H102),1)*$H102),"")</f>
        <v>0</v>
      </c>
      <c r="Z102" s="39" t="str">
        <f>IFERROR(IF(Y102=0,"",ROUNDUP(Y102/H102,0)*0.00726),"")</f>
        <v/>
      </c>
      <c r="AA102" s="65" t="s">
        <v>45</v>
      </c>
      <c r="AB102" s="66" t="s">
        <v>45</v>
      </c>
      <c r="AC102" s="159" t="s">
        <v>207</v>
      </c>
      <c r="AG102" s="75"/>
      <c r="AJ102" s="79" t="s">
        <v>45</v>
      </c>
      <c r="AK102" s="79">
        <v>0</v>
      </c>
      <c r="BB102" s="160" t="s">
        <v>66</v>
      </c>
      <c r="BM102" s="75">
        <f>IFERROR(X102*I102/H102,"0")</f>
        <v>0</v>
      </c>
      <c r="BN102" s="75">
        <f>IFERROR(Y102*I102/H102,"0")</f>
        <v>0</v>
      </c>
      <c r="BO102" s="75">
        <f>IFERROR(1/J102*(X102/H102),"0")</f>
        <v>0</v>
      </c>
      <c r="BP102" s="75">
        <f>IFERROR(1/J102*(Y102/H102),"0")</f>
        <v>0</v>
      </c>
    </row>
    <row r="103" spans="1:68" ht="37.5" hidden="1" customHeight="1" x14ac:dyDescent="0.25">
      <c r="A103" s="60" t="s">
        <v>208</v>
      </c>
      <c r="B103" s="60" t="s">
        <v>209</v>
      </c>
      <c r="C103" s="34">
        <v>4301011417</v>
      </c>
      <c r="D103" s="555">
        <v>4680115880269</v>
      </c>
      <c r="E103" s="555"/>
      <c r="F103" s="59">
        <v>0.375</v>
      </c>
      <c r="G103" s="35">
        <v>10</v>
      </c>
      <c r="H103" s="59">
        <v>3.75</v>
      </c>
      <c r="I103" s="59">
        <v>3.94</v>
      </c>
      <c r="J103" s="35">
        <v>132</v>
      </c>
      <c r="K103" s="35" t="s">
        <v>122</v>
      </c>
      <c r="L103" s="35" t="s">
        <v>45</v>
      </c>
      <c r="M103" s="36" t="s">
        <v>90</v>
      </c>
      <c r="N103" s="36"/>
      <c r="O103" s="35">
        <v>50</v>
      </c>
      <c r="P103" s="76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3" s="557"/>
      <c r="R103" s="557"/>
      <c r="S103" s="557"/>
      <c r="T103" s="558"/>
      <c r="U103" s="37" t="s">
        <v>45</v>
      </c>
      <c r="V103" s="37" t="s">
        <v>45</v>
      </c>
      <c r="W103" s="38" t="s">
        <v>0</v>
      </c>
      <c r="X103" s="56">
        <v>0</v>
      </c>
      <c r="Y103" s="53">
        <f>IFERROR(IF(X103="",0,CEILING((X103/$H103),1)*$H103),"")</f>
        <v>0</v>
      </c>
      <c r="Z103" s="39" t="str">
        <f>IFERROR(IF(Y103=0,"",ROUNDUP(Y103/H103,0)*0.00902),"")</f>
        <v/>
      </c>
      <c r="AA103" s="65" t="s">
        <v>45</v>
      </c>
      <c r="AB103" s="66" t="s">
        <v>45</v>
      </c>
      <c r="AC103" s="161" t="s">
        <v>204</v>
      </c>
      <c r="AG103" s="75"/>
      <c r="AJ103" s="79" t="s">
        <v>45</v>
      </c>
      <c r="AK103" s="79">
        <v>0</v>
      </c>
      <c r="BB103" s="162" t="s">
        <v>66</v>
      </c>
      <c r="BM103" s="75">
        <f>IFERROR(X103*I103/H103,"0")</f>
        <v>0</v>
      </c>
      <c r="BN103" s="75">
        <f>IFERROR(Y103*I103/H103,"0")</f>
        <v>0</v>
      </c>
      <c r="BO103" s="75">
        <f>IFERROR(1/J103*(X103/H103),"0")</f>
        <v>0</v>
      </c>
      <c r="BP103" s="75">
        <f>IFERROR(1/J103*(Y103/H103),"0")</f>
        <v>0</v>
      </c>
    </row>
    <row r="104" spans="1:68" ht="37.5" hidden="1" customHeight="1" x14ac:dyDescent="0.25">
      <c r="A104" s="60" t="s">
        <v>210</v>
      </c>
      <c r="B104" s="60" t="s">
        <v>211</v>
      </c>
      <c r="C104" s="34">
        <v>4301011415</v>
      </c>
      <c r="D104" s="555">
        <v>4680115880429</v>
      </c>
      <c r="E104" s="555"/>
      <c r="F104" s="59">
        <v>0.45</v>
      </c>
      <c r="G104" s="35">
        <v>10</v>
      </c>
      <c r="H104" s="59">
        <v>4.5</v>
      </c>
      <c r="I104" s="59">
        <v>4.6900000000000004</v>
      </c>
      <c r="J104" s="35">
        <v>132</v>
      </c>
      <c r="K104" s="35" t="s">
        <v>122</v>
      </c>
      <c r="L104" s="35" t="s">
        <v>45</v>
      </c>
      <c r="M104" s="36" t="s">
        <v>90</v>
      </c>
      <c r="N104" s="36"/>
      <c r="O104" s="35">
        <v>50</v>
      </c>
      <c r="P104" s="761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4" s="557"/>
      <c r="R104" s="557"/>
      <c r="S104" s="557"/>
      <c r="T104" s="558"/>
      <c r="U104" s="37" t="s">
        <v>45</v>
      </c>
      <c r="V104" s="37" t="s">
        <v>45</v>
      </c>
      <c r="W104" s="38" t="s">
        <v>0</v>
      </c>
      <c r="X104" s="56">
        <v>0</v>
      </c>
      <c r="Y104" s="53">
        <f>IFERROR(IF(X104="",0,CEILING((X104/$H104),1)*$H104),"")</f>
        <v>0</v>
      </c>
      <c r="Z104" s="39" t="str">
        <f>IFERROR(IF(Y104=0,"",ROUNDUP(Y104/H104,0)*0.00902),"")</f>
        <v/>
      </c>
      <c r="AA104" s="65" t="s">
        <v>45</v>
      </c>
      <c r="AB104" s="66" t="s">
        <v>45</v>
      </c>
      <c r="AC104" s="163" t="s">
        <v>204</v>
      </c>
      <c r="AG104" s="75"/>
      <c r="AJ104" s="79" t="s">
        <v>45</v>
      </c>
      <c r="AK104" s="79">
        <v>0</v>
      </c>
      <c r="BB104" s="164" t="s">
        <v>66</v>
      </c>
      <c r="BM104" s="75">
        <f>IFERROR(X104*I104/H104,"0")</f>
        <v>0</v>
      </c>
      <c r="BN104" s="75">
        <f>IFERROR(Y104*I104/H104,"0")</f>
        <v>0</v>
      </c>
      <c r="BO104" s="75">
        <f>IFERROR(1/J104*(X104/H104),"0")</f>
        <v>0</v>
      </c>
      <c r="BP104" s="75">
        <f>IFERROR(1/J104*(Y104/H104),"0")</f>
        <v>0</v>
      </c>
    </row>
    <row r="105" spans="1:68" ht="37.5" hidden="1" customHeight="1" x14ac:dyDescent="0.25">
      <c r="A105" s="60" t="s">
        <v>212</v>
      </c>
      <c r="B105" s="60" t="s">
        <v>213</v>
      </c>
      <c r="C105" s="34">
        <v>4301011462</v>
      </c>
      <c r="D105" s="555">
        <v>4680115881457</v>
      </c>
      <c r="E105" s="555"/>
      <c r="F105" s="59">
        <v>0.75</v>
      </c>
      <c r="G105" s="35">
        <v>6</v>
      </c>
      <c r="H105" s="59">
        <v>4.5</v>
      </c>
      <c r="I105" s="59">
        <v>4.6900000000000004</v>
      </c>
      <c r="J105" s="35">
        <v>132</v>
      </c>
      <c r="K105" s="35" t="s">
        <v>122</v>
      </c>
      <c r="L105" s="35" t="s">
        <v>45</v>
      </c>
      <c r="M105" s="36" t="s">
        <v>90</v>
      </c>
      <c r="N105" s="36"/>
      <c r="O105" s="35">
        <v>50</v>
      </c>
      <c r="P105" s="762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5" s="557"/>
      <c r="R105" s="557"/>
      <c r="S105" s="557"/>
      <c r="T105" s="558"/>
      <c r="U105" s="37" t="s">
        <v>45</v>
      </c>
      <c r="V105" s="37" t="s">
        <v>45</v>
      </c>
      <c r="W105" s="38" t="s">
        <v>0</v>
      </c>
      <c r="X105" s="56">
        <v>0</v>
      </c>
      <c r="Y105" s="53">
        <f>IFERROR(IF(X105="",0,CEILING((X105/$H105),1)*$H105),"")</f>
        <v>0</v>
      </c>
      <c r="Z105" s="39" t="str">
        <f>IFERROR(IF(Y105=0,"",ROUNDUP(Y105/H105,0)*0.00902),"")</f>
        <v/>
      </c>
      <c r="AA105" s="65" t="s">
        <v>45</v>
      </c>
      <c r="AB105" s="66" t="s">
        <v>45</v>
      </c>
      <c r="AC105" s="165" t="s">
        <v>204</v>
      </c>
      <c r="AG105" s="75"/>
      <c r="AJ105" s="79" t="s">
        <v>45</v>
      </c>
      <c r="AK105" s="79">
        <v>0</v>
      </c>
      <c r="BB105" s="166" t="s">
        <v>66</v>
      </c>
      <c r="BM105" s="75">
        <f>IFERROR(X105*I105/H105,"0")</f>
        <v>0</v>
      </c>
      <c r="BN105" s="75">
        <f>IFERROR(Y105*I105/H105,"0")</f>
        <v>0</v>
      </c>
      <c r="BO105" s="75">
        <f>IFERROR(1/J105*(X105/H105),"0")</f>
        <v>0</v>
      </c>
      <c r="BP105" s="75">
        <f>IFERROR(1/J105*(Y105/H105),"0")</f>
        <v>0</v>
      </c>
    </row>
    <row r="106" spans="1:68" x14ac:dyDescent="0.2">
      <c r="A106" s="562"/>
      <c r="B106" s="562"/>
      <c r="C106" s="562"/>
      <c r="D106" s="562"/>
      <c r="E106" s="562"/>
      <c r="F106" s="562"/>
      <c r="G106" s="562"/>
      <c r="H106" s="562"/>
      <c r="I106" s="562"/>
      <c r="J106" s="562"/>
      <c r="K106" s="562"/>
      <c r="L106" s="562"/>
      <c r="M106" s="562"/>
      <c r="N106" s="562"/>
      <c r="O106" s="563"/>
      <c r="P106" s="559" t="s">
        <v>40</v>
      </c>
      <c r="Q106" s="560"/>
      <c r="R106" s="560"/>
      <c r="S106" s="560"/>
      <c r="T106" s="560"/>
      <c r="U106" s="560"/>
      <c r="V106" s="561"/>
      <c r="W106" s="40" t="s">
        <v>39</v>
      </c>
      <c r="X106" s="41">
        <f>IFERROR(X101/H101,"0")+IFERROR(X102/H102,"0")+IFERROR(X103/H103,"0")+IFERROR(X104/H104,"0")+IFERROR(X105/H105,"0")</f>
        <v>47.999999999999993</v>
      </c>
      <c r="Y106" s="41">
        <f>IFERROR(Y101/H101,"0")+IFERROR(Y102/H102,"0")+IFERROR(Y103/H103,"0")+IFERROR(Y104/H104,"0")+IFERROR(Y105/H105,"0")</f>
        <v>48.000000000000007</v>
      </c>
      <c r="Z106" s="41">
        <f>IFERROR(IF(Z101="",0,Z101),"0")+IFERROR(IF(Z102="",0,Z102),"0")+IFERROR(IF(Z103="",0,Z103),"0")+IFERROR(IF(Z104="",0,Z104),"0")+IFERROR(IF(Z105="",0,Z105),"0")</f>
        <v>0.91104000000000007</v>
      </c>
      <c r="AA106" s="64"/>
      <c r="AB106" s="64"/>
      <c r="AC106" s="64"/>
    </row>
    <row r="107" spans="1:68" x14ac:dyDescent="0.2">
      <c r="A107" s="562"/>
      <c r="B107" s="562"/>
      <c r="C107" s="562"/>
      <c r="D107" s="562"/>
      <c r="E107" s="562"/>
      <c r="F107" s="562"/>
      <c r="G107" s="562"/>
      <c r="H107" s="562"/>
      <c r="I107" s="562"/>
      <c r="J107" s="562"/>
      <c r="K107" s="562"/>
      <c r="L107" s="562"/>
      <c r="M107" s="562"/>
      <c r="N107" s="562"/>
      <c r="O107" s="563"/>
      <c r="P107" s="559" t="s">
        <v>40</v>
      </c>
      <c r="Q107" s="560"/>
      <c r="R107" s="560"/>
      <c r="S107" s="560"/>
      <c r="T107" s="560"/>
      <c r="U107" s="560"/>
      <c r="V107" s="561"/>
      <c r="W107" s="40" t="s">
        <v>0</v>
      </c>
      <c r="X107" s="41">
        <f>IFERROR(SUM(X101:X105),"0")</f>
        <v>518.4</v>
      </c>
      <c r="Y107" s="41">
        <f>IFERROR(SUM(Y101:Y105),"0")</f>
        <v>518.40000000000009</v>
      </c>
      <c r="Z107" s="40"/>
      <c r="AA107" s="64"/>
      <c r="AB107" s="64"/>
      <c r="AC107" s="64"/>
    </row>
    <row r="108" spans="1:68" ht="14.25" hidden="1" customHeight="1" x14ac:dyDescent="0.25">
      <c r="A108" s="554" t="s">
        <v>147</v>
      </c>
      <c r="B108" s="554"/>
      <c r="C108" s="554"/>
      <c r="D108" s="554"/>
      <c r="E108" s="554"/>
      <c r="F108" s="554"/>
      <c r="G108" s="554"/>
      <c r="H108" s="554"/>
      <c r="I108" s="554"/>
      <c r="J108" s="554"/>
      <c r="K108" s="554"/>
      <c r="L108" s="554"/>
      <c r="M108" s="554"/>
      <c r="N108" s="554"/>
      <c r="O108" s="554"/>
      <c r="P108" s="554"/>
      <c r="Q108" s="554"/>
      <c r="R108" s="554"/>
      <c r="S108" s="554"/>
      <c r="T108" s="554"/>
      <c r="U108" s="554"/>
      <c r="V108" s="554"/>
      <c r="W108" s="554"/>
      <c r="X108" s="554"/>
      <c r="Y108" s="554"/>
      <c r="Z108" s="554"/>
      <c r="AA108" s="63"/>
      <c r="AB108" s="63"/>
      <c r="AC108" s="63"/>
    </row>
    <row r="109" spans="1:68" ht="16.5" hidden="1" customHeight="1" x14ac:dyDescent="0.25">
      <c r="A109" s="60" t="s">
        <v>214</v>
      </c>
      <c r="B109" s="60" t="s">
        <v>215</v>
      </c>
      <c r="C109" s="34">
        <v>4301020345</v>
      </c>
      <c r="D109" s="555">
        <v>4680115881488</v>
      </c>
      <c r="E109" s="555"/>
      <c r="F109" s="59">
        <v>1.35</v>
      </c>
      <c r="G109" s="35">
        <v>8</v>
      </c>
      <c r="H109" s="59">
        <v>10.8</v>
      </c>
      <c r="I109" s="59">
        <v>11.21</v>
      </c>
      <c r="J109" s="35">
        <v>64</v>
      </c>
      <c r="K109" s="35" t="s">
        <v>119</v>
      </c>
      <c r="L109" s="35" t="s">
        <v>45</v>
      </c>
      <c r="M109" s="36" t="s">
        <v>118</v>
      </c>
      <c r="N109" s="36"/>
      <c r="O109" s="35">
        <v>55</v>
      </c>
      <c r="P109" s="755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9" s="557"/>
      <c r="R109" s="557"/>
      <c r="S109" s="557"/>
      <c r="T109" s="558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IFERROR(IF(Y109=0,"",ROUNDUP(Y109/H109,0)*0.01898),"")</f>
        <v/>
      </c>
      <c r="AA109" s="65" t="s">
        <v>45</v>
      </c>
      <c r="AB109" s="66" t="s">
        <v>45</v>
      </c>
      <c r="AC109" s="167" t="s">
        <v>216</v>
      </c>
      <c r="AG109" s="75"/>
      <c r="AJ109" s="79" t="s">
        <v>45</v>
      </c>
      <c r="AK109" s="79">
        <v>0</v>
      </c>
      <c r="BB109" s="168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ht="27" hidden="1" customHeight="1" x14ac:dyDescent="0.25">
      <c r="A110" s="60" t="s">
        <v>217</v>
      </c>
      <c r="B110" s="60" t="s">
        <v>218</v>
      </c>
      <c r="C110" s="34">
        <v>4301020186</v>
      </c>
      <c r="D110" s="555">
        <v>4680115887664</v>
      </c>
      <c r="E110" s="555"/>
      <c r="F110" s="59">
        <v>0.1</v>
      </c>
      <c r="G110" s="35">
        <v>10</v>
      </c>
      <c r="H110" s="59">
        <v>1</v>
      </c>
      <c r="I110" s="59">
        <v>1.21</v>
      </c>
      <c r="J110" s="35">
        <v>392</v>
      </c>
      <c r="K110" s="35" t="s">
        <v>220</v>
      </c>
      <c r="L110" s="35" t="s">
        <v>45</v>
      </c>
      <c r="M110" s="36" t="s">
        <v>80</v>
      </c>
      <c r="N110" s="36"/>
      <c r="O110" s="35">
        <v>30</v>
      </c>
      <c r="P110" s="75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557"/>
      <c r="R110" s="557"/>
      <c r="S110" s="557"/>
      <c r="T110" s="558"/>
      <c r="U110" s="37" t="s">
        <v>45</v>
      </c>
      <c r="V110" s="37" t="s">
        <v>45</v>
      </c>
      <c r="W110" s="38" t="s">
        <v>0</v>
      </c>
      <c r="X110" s="56">
        <v>0</v>
      </c>
      <c r="Y110" s="53">
        <f>IFERROR(IF(X110="",0,CEILING((X110/$H110),1)*$H110),"")</f>
        <v>0</v>
      </c>
      <c r="Z110" s="39" t="str">
        <f>IFERROR(IF(Y110=0,"",ROUNDUP(Y110/H110,0)*0.00358),"")</f>
        <v/>
      </c>
      <c r="AA110" s="65" t="s">
        <v>45</v>
      </c>
      <c r="AB110" s="66" t="s">
        <v>45</v>
      </c>
      <c r="AC110" s="169" t="s">
        <v>219</v>
      </c>
      <c r="AG110" s="75"/>
      <c r="AJ110" s="79" t="s">
        <v>45</v>
      </c>
      <c r="AK110" s="79">
        <v>0</v>
      </c>
      <c r="BB110" s="170" t="s">
        <v>66</v>
      </c>
      <c r="BM110" s="75">
        <f>IFERROR(X110*I110/H110,"0")</f>
        <v>0</v>
      </c>
      <c r="BN110" s="75">
        <f>IFERROR(Y110*I110/H110,"0")</f>
        <v>0</v>
      </c>
      <c r="BO110" s="75">
        <f>IFERROR(1/J110*(X110/H110),"0")</f>
        <v>0</v>
      </c>
      <c r="BP110" s="75">
        <f>IFERROR(1/J110*(Y110/H110),"0")</f>
        <v>0</v>
      </c>
    </row>
    <row r="111" spans="1:68" ht="16.5" hidden="1" customHeight="1" x14ac:dyDescent="0.25">
      <c r="A111" s="60" t="s">
        <v>221</v>
      </c>
      <c r="B111" s="60" t="s">
        <v>222</v>
      </c>
      <c r="C111" s="34">
        <v>4301020346</v>
      </c>
      <c r="D111" s="555">
        <v>4680115882775</v>
      </c>
      <c r="E111" s="555"/>
      <c r="F111" s="59">
        <v>0.3</v>
      </c>
      <c r="G111" s="35">
        <v>8</v>
      </c>
      <c r="H111" s="59">
        <v>2.4</v>
      </c>
      <c r="I111" s="59">
        <v>2.5</v>
      </c>
      <c r="J111" s="35">
        <v>234</v>
      </c>
      <c r="K111" s="35" t="s">
        <v>85</v>
      </c>
      <c r="L111" s="35" t="s">
        <v>45</v>
      </c>
      <c r="M111" s="36" t="s">
        <v>118</v>
      </c>
      <c r="N111" s="36"/>
      <c r="O111" s="35">
        <v>55</v>
      </c>
      <c r="P111" s="757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1" s="557"/>
      <c r="R111" s="557"/>
      <c r="S111" s="557"/>
      <c r="T111" s="558"/>
      <c r="U111" s="37" t="s">
        <v>45</v>
      </c>
      <c r="V111" s="37" t="s">
        <v>45</v>
      </c>
      <c r="W111" s="38" t="s">
        <v>0</v>
      </c>
      <c r="X111" s="56">
        <v>0</v>
      </c>
      <c r="Y111" s="53">
        <f>IFERROR(IF(X111="",0,CEILING((X111/$H111),1)*$H111),"")</f>
        <v>0</v>
      </c>
      <c r="Z111" s="39" t="str">
        <f>IFERROR(IF(Y111=0,"",ROUNDUP(Y111/H111,0)*0.00502),"")</f>
        <v/>
      </c>
      <c r="AA111" s="65" t="s">
        <v>45</v>
      </c>
      <c r="AB111" s="66" t="s">
        <v>45</v>
      </c>
      <c r="AC111" s="171" t="s">
        <v>216</v>
      </c>
      <c r="AG111" s="75"/>
      <c r="AJ111" s="79" t="s">
        <v>45</v>
      </c>
      <c r="AK111" s="79">
        <v>0</v>
      </c>
      <c r="BB111" s="172" t="s">
        <v>66</v>
      </c>
      <c r="BM111" s="75">
        <f>IFERROR(X111*I111/H111,"0")</f>
        <v>0</v>
      </c>
      <c r="BN111" s="75">
        <f>IFERROR(Y111*I111/H111,"0")</f>
        <v>0</v>
      </c>
      <c r="BO111" s="75">
        <f>IFERROR(1/J111*(X111/H111),"0")</f>
        <v>0</v>
      </c>
      <c r="BP111" s="75">
        <f>IFERROR(1/J111*(Y111/H111),"0")</f>
        <v>0</v>
      </c>
    </row>
    <row r="112" spans="1:68" ht="16.5" hidden="1" customHeight="1" x14ac:dyDescent="0.25">
      <c r="A112" s="60" t="s">
        <v>223</v>
      </c>
      <c r="B112" s="60" t="s">
        <v>224</v>
      </c>
      <c r="C112" s="34">
        <v>4301020344</v>
      </c>
      <c r="D112" s="555">
        <v>4680115880658</v>
      </c>
      <c r="E112" s="555"/>
      <c r="F112" s="59">
        <v>0.4</v>
      </c>
      <c r="G112" s="35">
        <v>6</v>
      </c>
      <c r="H112" s="59">
        <v>2.4</v>
      </c>
      <c r="I112" s="59">
        <v>2.58</v>
      </c>
      <c r="J112" s="35">
        <v>182</v>
      </c>
      <c r="K112" s="35" t="s">
        <v>81</v>
      </c>
      <c r="L112" s="35" t="s">
        <v>45</v>
      </c>
      <c r="M112" s="36" t="s">
        <v>118</v>
      </c>
      <c r="N112" s="36"/>
      <c r="O112" s="35">
        <v>55</v>
      </c>
      <c r="P112" s="758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2" s="557"/>
      <c r="R112" s="557"/>
      <c r="S112" s="557"/>
      <c r="T112" s="558"/>
      <c r="U112" s="37" t="s">
        <v>45</v>
      </c>
      <c r="V112" s="37" t="s">
        <v>45</v>
      </c>
      <c r="W112" s="38" t="s">
        <v>0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IFERROR(IF(Y112=0,"",ROUNDUP(Y112/H112,0)*0.00651),"")</f>
        <v/>
      </c>
      <c r="AA112" s="65" t="s">
        <v>45</v>
      </c>
      <c r="AB112" s="66" t="s">
        <v>45</v>
      </c>
      <c r="AC112" s="173" t="s">
        <v>216</v>
      </c>
      <c r="AG112" s="75"/>
      <c r="AJ112" s="79" t="s">
        <v>45</v>
      </c>
      <c r="AK112" s="79">
        <v>0</v>
      </c>
      <c r="BB112" s="174" t="s">
        <v>66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idden="1" x14ac:dyDescent="0.2">
      <c r="A113" s="562"/>
      <c r="B113" s="562"/>
      <c r="C113" s="562"/>
      <c r="D113" s="562"/>
      <c r="E113" s="562"/>
      <c r="F113" s="562"/>
      <c r="G113" s="562"/>
      <c r="H113" s="562"/>
      <c r="I113" s="562"/>
      <c r="J113" s="562"/>
      <c r="K113" s="562"/>
      <c r="L113" s="562"/>
      <c r="M113" s="562"/>
      <c r="N113" s="562"/>
      <c r="O113" s="563"/>
      <c r="P113" s="559" t="s">
        <v>40</v>
      </c>
      <c r="Q113" s="560"/>
      <c r="R113" s="560"/>
      <c r="S113" s="560"/>
      <c r="T113" s="560"/>
      <c r="U113" s="560"/>
      <c r="V113" s="561"/>
      <c r="W113" s="40" t="s">
        <v>39</v>
      </c>
      <c r="X113" s="41">
        <f>IFERROR(X109/H109,"0")+IFERROR(X110/H110,"0")+IFERROR(X111/H111,"0")+IFERROR(X112/H112,"0")</f>
        <v>0</v>
      </c>
      <c r="Y113" s="41">
        <f>IFERROR(Y109/H109,"0")+IFERROR(Y110/H110,"0")+IFERROR(Y111/H111,"0")+IFERROR(Y112/H112,"0")</f>
        <v>0</v>
      </c>
      <c r="Z113" s="41">
        <f>IFERROR(IF(Z109="",0,Z109),"0")+IFERROR(IF(Z110="",0,Z110),"0")+IFERROR(IF(Z111="",0,Z111),"0")+IFERROR(IF(Z112="",0,Z112),"0")</f>
        <v>0</v>
      </c>
      <c r="AA113" s="64"/>
      <c r="AB113" s="64"/>
      <c r="AC113" s="64"/>
    </row>
    <row r="114" spans="1:68" hidden="1" x14ac:dyDescent="0.2">
      <c r="A114" s="562"/>
      <c r="B114" s="562"/>
      <c r="C114" s="562"/>
      <c r="D114" s="562"/>
      <c r="E114" s="562"/>
      <c r="F114" s="562"/>
      <c r="G114" s="562"/>
      <c r="H114" s="562"/>
      <c r="I114" s="562"/>
      <c r="J114" s="562"/>
      <c r="K114" s="562"/>
      <c r="L114" s="562"/>
      <c r="M114" s="562"/>
      <c r="N114" s="562"/>
      <c r="O114" s="563"/>
      <c r="P114" s="559" t="s">
        <v>40</v>
      </c>
      <c r="Q114" s="560"/>
      <c r="R114" s="560"/>
      <c r="S114" s="560"/>
      <c r="T114" s="560"/>
      <c r="U114" s="560"/>
      <c r="V114" s="561"/>
      <c r="W114" s="40" t="s">
        <v>0</v>
      </c>
      <c r="X114" s="41">
        <f>IFERROR(SUM(X109:X112),"0")</f>
        <v>0</v>
      </c>
      <c r="Y114" s="41">
        <f>IFERROR(SUM(Y109:Y112),"0")</f>
        <v>0</v>
      </c>
      <c r="Z114" s="40"/>
      <c r="AA114" s="64"/>
      <c r="AB114" s="64"/>
      <c r="AC114" s="64"/>
    </row>
    <row r="115" spans="1:68" ht="14.25" hidden="1" customHeight="1" x14ac:dyDescent="0.25">
      <c r="A115" s="554" t="s">
        <v>86</v>
      </c>
      <c r="B115" s="554"/>
      <c r="C115" s="554"/>
      <c r="D115" s="554"/>
      <c r="E115" s="554"/>
      <c r="F115" s="554"/>
      <c r="G115" s="554"/>
      <c r="H115" s="554"/>
      <c r="I115" s="554"/>
      <c r="J115" s="554"/>
      <c r="K115" s="554"/>
      <c r="L115" s="554"/>
      <c r="M115" s="554"/>
      <c r="N115" s="554"/>
      <c r="O115" s="554"/>
      <c r="P115" s="554"/>
      <c r="Q115" s="554"/>
      <c r="R115" s="554"/>
      <c r="S115" s="554"/>
      <c r="T115" s="554"/>
      <c r="U115" s="554"/>
      <c r="V115" s="554"/>
      <c r="W115" s="554"/>
      <c r="X115" s="554"/>
      <c r="Y115" s="554"/>
      <c r="Z115" s="554"/>
      <c r="AA115" s="63"/>
      <c r="AB115" s="63"/>
      <c r="AC115" s="63"/>
    </row>
    <row r="116" spans="1:68" ht="27" customHeight="1" x14ac:dyDescent="0.25">
      <c r="A116" s="60" t="s">
        <v>225</v>
      </c>
      <c r="B116" s="60" t="s">
        <v>226</v>
      </c>
      <c r="C116" s="34">
        <v>4301051724</v>
      </c>
      <c r="D116" s="555">
        <v>4607091385168</v>
      </c>
      <c r="E116" s="555"/>
      <c r="F116" s="59">
        <v>1.35</v>
      </c>
      <c r="G116" s="35">
        <v>6</v>
      </c>
      <c r="H116" s="59">
        <v>8.1</v>
      </c>
      <c r="I116" s="59">
        <v>8.5879999999999992</v>
      </c>
      <c r="J116" s="35">
        <v>64</v>
      </c>
      <c r="K116" s="35" t="s">
        <v>119</v>
      </c>
      <c r="L116" s="35" t="s">
        <v>45</v>
      </c>
      <c r="M116" s="36" t="s">
        <v>96</v>
      </c>
      <c r="N116" s="36"/>
      <c r="O116" s="35">
        <v>45</v>
      </c>
      <c r="P116" s="75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557"/>
      <c r="R116" s="557"/>
      <c r="S116" s="557"/>
      <c r="T116" s="558"/>
      <c r="U116" s="37" t="s">
        <v>45</v>
      </c>
      <c r="V116" s="37" t="s">
        <v>45</v>
      </c>
      <c r="W116" s="38" t="s">
        <v>0</v>
      </c>
      <c r="X116" s="56">
        <v>259.2</v>
      </c>
      <c r="Y116" s="53">
        <f>IFERROR(IF(X116="",0,CEILING((X116/$H116),1)*$H116),"")</f>
        <v>259.2</v>
      </c>
      <c r="Z116" s="39">
        <f>IFERROR(IF(Y116=0,"",ROUNDUP(Y116/H116,0)*0.01898),"")</f>
        <v>0.60736000000000001</v>
      </c>
      <c r="AA116" s="65" t="s">
        <v>45</v>
      </c>
      <c r="AB116" s="66" t="s">
        <v>45</v>
      </c>
      <c r="AC116" s="175" t="s">
        <v>227</v>
      </c>
      <c r="AG116" s="75"/>
      <c r="AJ116" s="79" t="s">
        <v>45</v>
      </c>
      <c r="AK116" s="79">
        <v>0</v>
      </c>
      <c r="BB116" s="176" t="s">
        <v>66</v>
      </c>
      <c r="BM116" s="75">
        <f>IFERROR(X116*I116/H116,"0")</f>
        <v>274.81599999999997</v>
      </c>
      <c r="BN116" s="75">
        <f>IFERROR(Y116*I116/H116,"0")</f>
        <v>274.81599999999997</v>
      </c>
      <c r="BO116" s="75">
        <f>IFERROR(1/J116*(X116/H116),"0")</f>
        <v>0.5</v>
      </c>
      <c r="BP116" s="75">
        <f>IFERROR(1/J116*(Y116/H116),"0")</f>
        <v>0.5</v>
      </c>
    </row>
    <row r="117" spans="1:68" ht="27" hidden="1" customHeight="1" x14ac:dyDescent="0.25">
      <c r="A117" s="60" t="s">
        <v>228</v>
      </c>
      <c r="B117" s="60" t="s">
        <v>229</v>
      </c>
      <c r="C117" s="34">
        <v>4301051730</v>
      </c>
      <c r="D117" s="555">
        <v>4607091383256</v>
      </c>
      <c r="E117" s="555"/>
      <c r="F117" s="59">
        <v>0.33</v>
      </c>
      <c r="G117" s="35">
        <v>6</v>
      </c>
      <c r="H117" s="59">
        <v>1.98</v>
      </c>
      <c r="I117" s="59">
        <v>2.226</v>
      </c>
      <c r="J117" s="35">
        <v>182</v>
      </c>
      <c r="K117" s="35" t="s">
        <v>81</v>
      </c>
      <c r="L117" s="35" t="s">
        <v>45</v>
      </c>
      <c r="M117" s="36" t="s">
        <v>96</v>
      </c>
      <c r="N117" s="36"/>
      <c r="O117" s="35">
        <v>45</v>
      </c>
      <c r="P117" s="753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557"/>
      <c r="R117" s="557"/>
      <c r="S117" s="557"/>
      <c r="T117" s="558"/>
      <c r="U117" s="37" t="s">
        <v>45</v>
      </c>
      <c r="V117" s="37" t="s">
        <v>45</v>
      </c>
      <c r="W117" s="38" t="s">
        <v>0</v>
      </c>
      <c r="X117" s="56">
        <v>0</v>
      </c>
      <c r="Y117" s="53">
        <f>IFERROR(IF(X117="",0,CEILING((X117/$H117),1)*$H117),"")</f>
        <v>0</v>
      </c>
      <c r="Z117" s="39" t="str">
        <f>IFERROR(IF(Y117=0,"",ROUNDUP(Y117/H117,0)*0.00651),"")</f>
        <v/>
      </c>
      <c r="AA117" s="65" t="s">
        <v>45</v>
      </c>
      <c r="AB117" s="66" t="s">
        <v>45</v>
      </c>
      <c r="AC117" s="177" t="s">
        <v>227</v>
      </c>
      <c r="AG117" s="75"/>
      <c r="AJ117" s="79" t="s">
        <v>45</v>
      </c>
      <c r="AK117" s="79">
        <v>0</v>
      </c>
      <c r="BB117" s="178" t="s">
        <v>66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customHeight="1" x14ac:dyDescent="0.25">
      <c r="A118" s="60" t="s">
        <v>230</v>
      </c>
      <c r="B118" s="60" t="s">
        <v>231</v>
      </c>
      <c r="C118" s="34">
        <v>4301051721</v>
      </c>
      <c r="D118" s="555">
        <v>4607091385748</v>
      </c>
      <c r="E118" s="555"/>
      <c r="F118" s="59">
        <v>0.45</v>
      </c>
      <c r="G118" s="35">
        <v>6</v>
      </c>
      <c r="H118" s="59">
        <v>2.7</v>
      </c>
      <c r="I118" s="59">
        <v>2.952</v>
      </c>
      <c r="J118" s="35">
        <v>182</v>
      </c>
      <c r="K118" s="35" t="s">
        <v>81</v>
      </c>
      <c r="L118" s="35" t="s">
        <v>45</v>
      </c>
      <c r="M118" s="36" t="s">
        <v>96</v>
      </c>
      <c r="N118" s="36"/>
      <c r="O118" s="35">
        <v>45</v>
      </c>
      <c r="P118" s="75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557"/>
      <c r="R118" s="557"/>
      <c r="S118" s="557"/>
      <c r="T118" s="558"/>
      <c r="U118" s="37" t="s">
        <v>45</v>
      </c>
      <c r="V118" s="37" t="s">
        <v>45</v>
      </c>
      <c r="W118" s="38" t="s">
        <v>0</v>
      </c>
      <c r="X118" s="56">
        <v>32.4</v>
      </c>
      <c r="Y118" s="53">
        <f>IFERROR(IF(X118="",0,CEILING((X118/$H118),1)*$H118),"")</f>
        <v>32.400000000000006</v>
      </c>
      <c r="Z118" s="39">
        <f>IFERROR(IF(Y118=0,"",ROUNDUP(Y118/H118,0)*0.00651),"")</f>
        <v>7.8119999999999995E-2</v>
      </c>
      <c r="AA118" s="65" t="s">
        <v>45</v>
      </c>
      <c r="AB118" s="66" t="s">
        <v>45</v>
      </c>
      <c r="AC118" s="179" t="s">
        <v>227</v>
      </c>
      <c r="AG118" s="75"/>
      <c r="AJ118" s="79" t="s">
        <v>45</v>
      </c>
      <c r="AK118" s="79">
        <v>0</v>
      </c>
      <c r="BB118" s="180" t="s">
        <v>66</v>
      </c>
      <c r="BM118" s="75">
        <f>IFERROR(X118*I118/H118,"0")</f>
        <v>35.423999999999992</v>
      </c>
      <c r="BN118" s="75">
        <f>IFERROR(Y118*I118/H118,"0")</f>
        <v>35.424000000000007</v>
      </c>
      <c r="BO118" s="75">
        <f>IFERROR(1/J118*(X118/H118),"0")</f>
        <v>6.5934065934065936E-2</v>
      </c>
      <c r="BP118" s="75">
        <f>IFERROR(1/J118*(Y118/H118),"0")</f>
        <v>6.593406593406595E-2</v>
      </c>
    </row>
    <row r="119" spans="1:68" ht="16.5" hidden="1" customHeight="1" x14ac:dyDescent="0.25">
      <c r="A119" s="60" t="s">
        <v>232</v>
      </c>
      <c r="B119" s="60" t="s">
        <v>233</v>
      </c>
      <c r="C119" s="34">
        <v>4301051740</v>
      </c>
      <c r="D119" s="555">
        <v>4680115884533</v>
      </c>
      <c r="E119" s="555"/>
      <c r="F119" s="59">
        <v>0.3</v>
      </c>
      <c r="G119" s="35">
        <v>6</v>
      </c>
      <c r="H119" s="59">
        <v>1.8</v>
      </c>
      <c r="I119" s="59">
        <v>1.98</v>
      </c>
      <c r="J119" s="35">
        <v>182</v>
      </c>
      <c r="K119" s="35" t="s">
        <v>81</v>
      </c>
      <c r="L119" s="35" t="s">
        <v>45</v>
      </c>
      <c r="M119" s="36" t="s">
        <v>90</v>
      </c>
      <c r="N119" s="36"/>
      <c r="O119" s="35">
        <v>45</v>
      </c>
      <c r="P119" s="75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557"/>
      <c r="R119" s="557"/>
      <c r="S119" s="557"/>
      <c r="T119" s="558"/>
      <c r="U119" s="37" t="s">
        <v>45</v>
      </c>
      <c r="V119" s="37" t="s">
        <v>45</v>
      </c>
      <c r="W119" s="38" t="s">
        <v>0</v>
      </c>
      <c r="X119" s="56">
        <v>0</v>
      </c>
      <c r="Y119" s="53">
        <f>IFERROR(IF(X119="",0,CEILING((X119/$H119),1)*$H119),"")</f>
        <v>0</v>
      </c>
      <c r="Z119" s="39" t="str">
        <f>IFERROR(IF(Y119=0,"",ROUNDUP(Y119/H119,0)*0.00651),"")</f>
        <v/>
      </c>
      <c r="AA119" s="65" t="s">
        <v>45</v>
      </c>
      <c r="AB119" s="66" t="s">
        <v>45</v>
      </c>
      <c r="AC119" s="181" t="s">
        <v>234</v>
      </c>
      <c r="AG119" s="75"/>
      <c r="AJ119" s="79" t="s">
        <v>45</v>
      </c>
      <c r="AK119" s="79">
        <v>0</v>
      </c>
      <c r="BB119" s="182" t="s">
        <v>66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x14ac:dyDescent="0.2">
      <c r="A120" s="562"/>
      <c r="B120" s="562"/>
      <c r="C120" s="562"/>
      <c r="D120" s="562"/>
      <c r="E120" s="562"/>
      <c r="F120" s="562"/>
      <c r="G120" s="562"/>
      <c r="H120" s="562"/>
      <c r="I120" s="562"/>
      <c r="J120" s="562"/>
      <c r="K120" s="562"/>
      <c r="L120" s="562"/>
      <c r="M120" s="562"/>
      <c r="N120" s="562"/>
      <c r="O120" s="563"/>
      <c r="P120" s="559" t="s">
        <v>40</v>
      </c>
      <c r="Q120" s="560"/>
      <c r="R120" s="560"/>
      <c r="S120" s="560"/>
      <c r="T120" s="560"/>
      <c r="U120" s="560"/>
      <c r="V120" s="561"/>
      <c r="W120" s="40" t="s">
        <v>39</v>
      </c>
      <c r="X120" s="41">
        <f>IFERROR(X116/H116,"0")+IFERROR(X117/H117,"0")+IFERROR(X118/H118,"0")+IFERROR(X119/H119,"0")</f>
        <v>44</v>
      </c>
      <c r="Y120" s="41">
        <f>IFERROR(Y116/H116,"0")+IFERROR(Y117/H117,"0")+IFERROR(Y118/H118,"0")+IFERROR(Y119/H119,"0")</f>
        <v>44</v>
      </c>
      <c r="Z120" s="41">
        <f>IFERROR(IF(Z116="",0,Z116),"0")+IFERROR(IF(Z117="",0,Z117),"0")+IFERROR(IF(Z118="",0,Z118),"0")+IFERROR(IF(Z119="",0,Z119),"0")</f>
        <v>0.68547999999999998</v>
      </c>
      <c r="AA120" s="64"/>
      <c r="AB120" s="64"/>
      <c r="AC120" s="64"/>
    </row>
    <row r="121" spans="1:68" x14ac:dyDescent="0.2">
      <c r="A121" s="562"/>
      <c r="B121" s="562"/>
      <c r="C121" s="562"/>
      <c r="D121" s="562"/>
      <c r="E121" s="562"/>
      <c r="F121" s="562"/>
      <c r="G121" s="562"/>
      <c r="H121" s="562"/>
      <c r="I121" s="562"/>
      <c r="J121" s="562"/>
      <c r="K121" s="562"/>
      <c r="L121" s="562"/>
      <c r="M121" s="562"/>
      <c r="N121" s="562"/>
      <c r="O121" s="563"/>
      <c r="P121" s="559" t="s">
        <v>40</v>
      </c>
      <c r="Q121" s="560"/>
      <c r="R121" s="560"/>
      <c r="S121" s="560"/>
      <c r="T121" s="560"/>
      <c r="U121" s="560"/>
      <c r="V121" s="561"/>
      <c r="W121" s="40" t="s">
        <v>0</v>
      </c>
      <c r="X121" s="41">
        <f>IFERROR(SUM(X116:X119),"0")</f>
        <v>291.59999999999997</v>
      </c>
      <c r="Y121" s="41">
        <f>IFERROR(SUM(Y116:Y119),"0")</f>
        <v>291.60000000000002</v>
      </c>
      <c r="Z121" s="40"/>
      <c r="AA121" s="64"/>
      <c r="AB121" s="64"/>
      <c r="AC121" s="64"/>
    </row>
    <row r="122" spans="1:68" ht="14.25" hidden="1" customHeight="1" x14ac:dyDescent="0.25">
      <c r="A122" s="554" t="s">
        <v>173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63"/>
      <c r="AB122" s="63"/>
      <c r="AC122" s="63"/>
    </row>
    <row r="123" spans="1:68" ht="16.5" hidden="1" customHeight="1" x14ac:dyDescent="0.25">
      <c r="A123" s="60" t="s">
        <v>235</v>
      </c>
      <c r="B123" s="60" t="s">
        <v>236</v>
      </c>
      <c r="C123" s="34">
        <v>4301060317</v>
      </c>
      <c r="D123" s="555">
        <v>4680115880238</v>
      </c>
      <c r="E123" s="555"/>
      <c r="F123" s="59">
        <v>0.33</v>
      </c>
      <c r="G123" s="35">
        <v>6</v>
      </c>
      <c r="H123" s="59">
        <v>1.98</v>
      </c>
      <c r="I123" s="59">
        <v>2.238</v>
      </c>
      <c r="J123" s="35">
        <v>182</v>
      </c>
      <c r="K123" s="35" t="s">
        <v>81</v>
      </c>
      <c r="L123" s="35" t="s">
        <v>45</v>
      </c>
      <c r="M123" s="36" t="s">
        <v>90</v>
      </c>
      <c r="N123" s="36"/>
      <c r="O123" s="35">
        <v>40</v>
      </c>
      <c r="P123" s="75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557"/>
      <c r="R123" s="557"/>
      <c r="S123" s="557"/>
      <c r="T123" s="558"/>
      <c r="U123" s="37" t="s">
        <v>45</v>
      </c>
      <c r="V123" s="37" t="s">
        <v>45</v>
      </c>
      <c r="W123" s="38" t="s">
        <v>0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 t="s">
        <v>45</v>
      </c>
      <c r="AB123" s="66" t="s">
        <v>45</v>
      </c>
      <c r="AC123" s="183" t="s">
        <v>237</v>
      </c>
      <c r="AG123" s="75"/>
      <c r="AJ123" s="79" t="s">
        <v>45</v>
      </c>
      <c r="AK123" s="79">
        <v>0</v>
      </c>
      <c r="BB123" s="184" t="s">
        <v>66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hidden="1" x14ac:dyDescent="0.2">
      <c r="A124" s="562"/>
      <c r="B124" s="562"/>
      <c r="C124" s="562"/>
      <c r="D124" s="562"/>
      <c r="E124" s="562"/>
      <c r="F124" s="562"/>
      <c r="G124" s="562"/>
      <c r="H124" s="562"/>
      <c r="I124" s="562"/>
      <c r="J124" s="562"/>
      <c r="K124" s="562"/>
      <c r="L124" s="562"/>
      <c r="M124" s="562"/>
      <c r="N124" s="562"/>
      <c r="O124" s="563"/>
      <c r="P124" s="559" t="s">
        <v>40</v>
      </c>
      <c r="Q124" s="560"/>
      <c r="R124" s="560"/>
      <c r="S124" s="560"/>
      <c r="T124" s="560"/>
      <c r="U124" s="560"/>
      <c r="V124" s="561"/>
      <c r="W124" s="40" t="s">
        <v>39</v>
      </c>
      <c r="X124" s="41">
        <f>IFERROR(X123/H123,"0")</f>
        <v>0</v>
      </c>
      <c r="Y124" s="41">
        <f>IFERROR(Y123/H123,"0")</f>
        <v>0</v>
      </c>
      <c r="Z124" s="41">
        <f>IFERROR(IF(Z123="",0,Z123),"0")</f>
        <v>0</v>
      </c>
      <c r="AA124" s="64"/>
      <c r="AB124" s="64"/>
      <c r="AC124" s="64"/>
    </row>
    <row r="125" spans="1:68" hidden="1" x14ac:dyDescent="0.2">
      <c r="A125" s="562"/>
      <c r="B125" s="562"/>
      <c r="C125" s="562"/>
      <c r="D125" s="562"/>
      <c r="E125" s="562"/>
      <c r="F125" s="562"/>
      <c r="G125" s="562"/>
      <c r="H125" s="562"/>
      <c r="I125" s="562"/>
      <c r="J125" s="562"/>
      <c r="K125" s="562"/>
      <c r="L125" s="562"/>
      <c r="M125" s="562"/>
      <c r="N125" s="562"/>
      <c r="O125" s="563"/>
      <c r="P125" s="559" t="s">
        <v>40</v>
      </c>
      <c r="Q125" s="560"/>
      <c r="R125" s="560"/>
      <c r="S125" s="560"/>
      <c r="T125" s="560"/>
      <c r="U125" s="560"/>
      <c r="V125" s="561"/>
      <c r="W125" s="40" t="s">
        <v>0</v>
      </c>
      <c r="X125" s="41">
        <f>IFERROR(SUM(X123:X123),"0")</f>
        <v>0</v>
      </c>
      <c r="Y125" s="41">
        <f>IFERROR(SUM(Y123:Y123),"0")</f>
        <v>0</v>
      </c>
      <c r="Z125" s="40"/>
      <c r="AA125" s="64"/>
      <c r="AB125" s="64"/>
      <c r="AC125" s="64"/>
    </row>
    <row r="126" spans="1:68" ht="16.5" hidden="1" customHeight="1" x14ac:dyDescent="0.25">
      <c r="A126" s="553" t="s">
        <v>238</v>
      </c>
      <c r="B126" s="553"/>
      <c r="C126" s="553"/>
      <c r="D126" s="553"/>
      <c r="E126" s="553"/>
      <c r="F126" s="553"/>
      <c r="G126" s="553"/>
      <c r="H126" s="553"/>
      <c r="I126" s="553"/>
      <c r="J126" s="553"/>
      <c r="K126" s="553"/>
      <c r="L126" s="553"/>
      <c r="M126" s="553"/>
      <c r="N126" s="553"/>
      <c r="O126" s="553"/>
      <c r="P126" s="553"/>
      <c r="Q126" s="553"/>
      <c r="R126" s="553"/>
      <c r="S126" s="553"/>
      <c r="T126" s="553"/>
      <c r="U126" s="553"/>
      <c r="V126" s="553"/>
      <c r="W126" s="553"/>
      <c r="X126" s="553"/>
      <c r="Y126" s="553"/>
      <c r="Z126" s="553"/>
      <c r="AA126" s="62"/>
      <c r="AB126" s="62"/>
      <c r="AC126" s="62"/>
    </row>
    <row r="127" spans="1:68" ht="14.25" hidden="1" customHeight="1" x14ac:dyDescent="0.25">
      <c r="A127" s="554" t="s">
        <v>114</v>
      </c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4"/>
      <c r="P127" s="554"/>
      <c r="Q127" s="554"/>
      <c r="R127" s="554"/>
      <c r="S127" s="554"/>
      <c r="T127" s="554"/>
      <c r="U127" s="554"/>
      <c r="V127" s="554"/>
      <c r="W127" s="554"/>
      <c r="X127" s="554"/>
      <c r="Y127" s="554"/>
      <c r="Z127" s="554"/>
      <c r="AA127" s="63"/>
      <c r="AB127" s="63"/>
      <c r="AC127" s="63"/>
    </row>
    <row r="128" spans="1:68" ht="27" hidden="1" customHeight="1" x14ac:dyDescent="0.25">
      <c r="A128" s="60" t="s">
        <v>239</v>
      </c>
      <c r="B128" s="60" t="s">
        <v>240</v>
      </c>
      <c r="C128" s="34">
        <v>4301011564</v>
      </c>
      <c r="D128" s="555">
        <v>4680115882577</v>
      </c>
      <c r="E128" s="555"/>
      <c r="F128" s="59">
        <v>0.4</v>
      </c>
      <c r="G128" s="35">
        <v>8</v>
      </c>
      <c r="H128" s="59">
        <v>3.2</v>
      </c>
      <c r="I128" s="59">
        <v>3.38</v>
      </c>
      <c r="J128" s="35">
        <v>182</v>
      </c>
      <c r="K128" s="35" t="s">
        <v>81</v>
      </c>
      <c r="L128" s="35" t="s">
        <v>45</v>
      </c>
      <c r="M128" s="36" t="s">
        <v>111</v>
      </c>
      <c r="N128" s="36"/>
      <c r="O128" s="35">
        <v>90</v>
      </c>
      <c r="P128" s="74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7"/>
      <c r="R128" s="557"/>
      <c r="S128" s="557"/>
      <c r="T128" s="558"/>
      <c r="U128" s="37" t="s">
        <v>45</v>
      </c>
      <c r="V128" s="37" t="s">
        <v>45</v>
      </c>
      <c r="W128" s="38" t="s">
        <v>0</v>
      </c>
      <c r="X128" s="56">
        <v>0</v>
      </c>
      <c r="Y128" s="53">
        <f>IFERROR(IF(X128="",0,CEILING((X128/$H128),1)*$H128),"")</f>
        <v>0</v>
      </c>
      <c r="Z128" s="39" t="str">
        <f>IFERROR(IF(Y128=0,"",ROUNDUP(Y128/H128,0)*0.00651),"")</f>
        <v/>
      </c>
      <c r="AA128" s="65" t="s">
        <v>45</v>
      </c>
      <c r="AB128" s="66" t="s">
        <v>45</v>
      </c>
      <c r="AC128" s="185" t="s">
        <v>241</v>
      </c>
      <c r="AG128" s="75"/>
      <c r="AJ128" s="79" t="s">
        <v>45</v>
      </c>
      <c r="AK128" s="79">
        <v>0</v>
      </c>
      <c r="BB128" s="186" t="s">
        <v>66</v>
      </c>
      <c r="BM128" s="75">
        <f>IFERROR(X128*I128/H128,"0")</f>
        <v>0</v>
      </c>
      <c r="BN128" s="75">
        <f>IFERROR(Y128*I128/H128,"0")</f>
        <v>0</v>
      </c>
      <c r="BO128" s="75">
        <f>IFERROR(1/J128*(X128/H128),"0")</f>
        <v>0</v>
      </c>
      <c r="BP128" s="75">
        <f>IFERROR(1/J128*(Y128/H128),"0")</f>
        <v>0</v>
      </c>
    </row>
    <row r="129" spans="1:68" ht="27" hidden="1" customHeight="1" x14ac:dyDescent="0.25">
      <c r="A129" s="60" t="s">
        <v>239</v>
      </c>
      <c r="B129" s="60" t="s">
        <v>242</v>
      </c>
      <c r="C129" s="34">
        <v>4301011562</v>
      </c>
      <c r="D129" s="555">
        <v>4680115882577</v>
      </c>
      <c r="E129" s="555"/>
      <c r="F129" s="59">
        <v>0.4</v>
      </c>
      <c r="G129" s="35">
        <v>8</v>
      </c>
      <c r="H129" s="59">
        <v>3.2</v>
      </c>
      <c r="I129" s="59">
        <v>3.38</v>
      </c>
      <c r="J129" s="35">
        <v>182</v>
      </c>
      <c r="K129" s="35" t="s">
        <v>81</v>
      </c>
      <c r="L129" s="35" t="s">
        <v>45</v>
      </c>
      <c r="M129" s="36" t="s">
        <v>111</v>
      </c>
      <c r="N129" s="36"/>
      <c r="O129" s="35">
        <v>90</v>
      </c>
      <c r="P129" s="74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557"/>
      <c r="R129" s="557"/>
      <c r="S129" s="557"/>
      <c r="T129" s="558"/>
      <c r="U129" s="37" t="s">
        <v>45</v>
      </c>
      <c r="V129" s="37" t="s">
        <v>45</v>
      </c>
      <c r="W129" s="38" t="s">
        <v>0</v>
      </c>
      <c r="X129" s="56">
        <v>0</v>
      </c>
      <c r="Y129" s="53">
        <f>IFERROR(IF(X129="",0,CEILING((X129/$H129),1)*$H129),"")</f>
        <v>0</v>
      </c>
      <c r="Z129" s="39" t="str">
        <f>IFERROR(IF(Y129=0,"",ROUNDUP(Y129/H129,0)*0.00651),"")</f>
        <v/>
      </c>
      <c r="AA129" s="65" t="s">
        <v>45</v>
      </c>
      <c r="AB129" s="66" t="s">
        <v>45</v>
      </c>
      <c r="AC129" s="187" t="s">
        <v>241</v>
      </c>
      <c r="AG129" s="75"/>
      <c r="AJ129" s="79" t="s">
        <v>45</v>
      </c>
      <c r="AK129" s="79">
        <v>0</v>
      </c>
      <c r="BB129" s="188" t="s">
        <v>66</v>
      </c>
      <c r="BM129" s="75">
        <f>IFERROR(X129*I129/H129,"0")</f>
        <v>0</v>
      </c>
      <c r="BN129" s="75">
        <f>IFERROR(Y129*I129/H129,"0")</f>
        <v>0</v>
      </c>
      <c r="BO129" s="75">
        <f>IFERROR(1/J129*(X129/H129),"0")</f>
        <v>0</v>
      </c>
      <c r="BP129" s="75">
        <f>IFERROR(1/J129*(Y129/H129),"0")</f>
        <v>0</v>
      </c>
    </row>
    <row r="130" spans="1:68" hidden="1" x14ac:dyDescent="0.2">
      <c r="A130" s="562"/>
      <c r="B130" s="562"/>
      <c r="C130" s="562"/>
      <c r="D130" s="562"/>
      <c r="E130" s="562"/>
      <c r="F130" s="562"/>
      <c r="G130" s="562"/>
      <c r="H130" s="562"/>
      <c r="I130" s="562"/>
      <c r="J130" s="562"/>
      <c r="K130" s="562"/>
      <c r="L130" s="562"/>
      <c r="M130" s="562"/>
      <c r="N130" s="562"/>
      <c r="O130" s="563"/>
      <c r="P130" s="559" t="s">
        <v>40</v>
      </c>
      <c r="Q130" s="560"/>
      <c r="R130" s="560"/>
      <c r="S130" s="560"/>
      <c r="T130" s="560"/>
      <c r="U130" s="560"/>
      <c r="V130" s="561"/>
      <c r="W130" s="40" t="s">
        <v>39</v>
      </c>
      <c r="X130" s="41">
        <f>IFERROR(X128/H128,"0")+IFERROR(X129/H129,"0")</f>
        <v>0</v>
      </c>
      <c r="Y130" s="41">
        <f>IFERROR(Y128/H128,"0")+IFERROR(Y129/H129,"0")</f>
        <v>0</v>
      </c>
      <c r="Z130" s="41">
        <f>IFERROR(IF(Z128="",0,Z128),"0")+IFERROR(IF(Z129="",0,Z129),"0")</f>
        <v>0</v>
      </c>
      <c r="AA130" s="64"/>
      <c r="AB130" s="64"/>
      <c r="AC130" s="64"/>
    </row>
    <row r="131" spans="1:68" hidden="1" x14ac:dyDescent="0.2">
      <c r="A131" s="562"/>
      <c r="B131" s="562"/>
      <c r="C131" s="562"/>
      <c r="D131" s="562"/>
      <c r="E131" s="562"/>
      <c r="F131" s="562"/>
      <c r="G131" s="562"/>
      <c r="H131" s="562"/>
      <c r="I131" s="562"/>
      <c r="J131" s="562"/>
      <c r="K131" s="562"/>
      <c r="L131" s="562"/>
      <c r="M131" s="562"/>
      <c r="N131" s="562"/>
      <c r="O131" s="563"/>
      <c r="P131" s="559" t="s">
        <v>40</v>
      </c>
      <c r="Q131" s="560"/>
      <c r="R131" s="560"/>
      <c r="S131" s="560"/>
      <c r="T131" s="560"/>
      <c r="U131" s="560"/>
      <c r="V131" s="561"/>
      <c r="W131" s="40" t="s">
        <v>0</v>
      </c>
      <c r="X131" s="41">
        <f>IFERROR(SUM(X128:X129),"0")</f>
        <v>0</v>
      </c>
      <c r="Y131" s="41">
        <f>IFERROR(SUM(Y128:Y129),"0")</f>
        <v>0</v>
      </c>
      <c r="Z131" s="40"/>
      <c r="AA131" s="64"/>
      <c r="AB131" s="64"/>
      <c r="AC131" s="64"/>
    </row>
    <row r="132" spans="1:68" ht="14.25" hidden="1" customHeight="1" x14ac:dyDescent="0.25">
      <c r="A132" s="554" t="s">
        <v>76</v>
      </c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4"/>
      <c r="P132" s="554"/>
      <c r="Q132" s="554"/>
      <c r="R132" s="554"/>
      <c r="S132" s="554"/>
      <c r="T132" s="554"/>
      <c r="U132" s="554"/>
      <c r="V132" s="554"/>
      <c r="W132" s="554"/>
      <c r="X132" s="554"/>
      <c r="Y132" s="554"/>
      <c r="Z132" s="554"/>
      <c r="AA132" s="63"/>
      <c r="AB132" s="63"/>
      <c r="AC132" s="63"/>
    </row>
    <row r="133" spans="1:68" ht="27" hidden="1" customHeight="1" x14ac:dyDescent="0.25">
      <c r="A133" s="60" t="s">
        <v>243</v>
      </c>
      <c r="B133" s="60" t="s">
        <v>244</v>
      </c>
      <c r="C133" s="34">
        <v>4301031234</v>
      </c>
      <c r="D133" s="555">
        <v>4680115883444</v>
      </c>
      <c r="E133" s="555"/>
      <c r="F133" s="59">
        <v>0.35</v>
      </c>
      <c r="G133" s="35">
        <v>8</v>
      </c>
      <c r="H133" s="59">
        <v>2.8</v>
      </c>
      <c r="I133" s="59">
        <v>3.0680000000000001</v>
      </c>
      <c r="J133" s="35">
        <v>182</v>
      </c>
      <c r="K133" s="35" t="s">
        <v>81</v>
      </c>
      <c r="L133" s="35" t="s">
        <v>45</v>
      </c>
      <c r="M133" s="36" t="s">
        <v>111</v>
      </c>
      <c r="N133" s="36"/>
      <c r="O133" s="35">
        <v>90</v>
      </c>
      <c r="P133" s="74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7"/>
      <c r="R133" s="557"/>
      <c r="S133" s="557"/>
      <c r="T133" s="558"/>
      <c r="U133" s="37" t="s">
        <v>45</v>
      </c>
      <c r="V133" s="37" t="s">
        <v>45</v>
      </c>
      <c r="W133" s="38" t="s">
        <v>0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 t="s">
        <v>45</v>
      </c>
      <c r="AB133" s="66" t="s">
        <v>45</v>
      </c>
      <c r="AC133" s="189" t="s">
        <v>245</v>
      </c>
      <c r="AG133" s="75"/>
      <c r="AJ133" s="79" t="s">
        <v>45</v>
      </c>
      <c r="AK133" s="79">
        <v>0</v>
      </c>
      <c r="BB133" s="190" t="s">
        <v>66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ht="27" hidden="1" customHeight="1" x14ac:dyDescent="0.25">
      <c r="A134" s="60" t="s">
        <v>243</v>
      </c>
      <c r="B134" s="60" t="s">
        <v>246</v>
      </c>
      <c r="C134" s="34">
        <v>4301031235</v>
      </c>
      <c r="D134" s="555">
        <v>4680115883444</v>
      </c>
      <c r="E134" s="555"/>
      <c r="F134" s="59">
        <v>0.35</v>
      </c>
      <c r="G134" s="35">
        <v>8</v>
      </c>
      <c r="H134" s="59">
        <v>2.8</v>
      </c>
      <c r="I134" s="59">
        <v>3.0680000000000001</v>
      </c>
      <c r="J134" s="35">
        <v>182</v>
      </c>
      <c r="K134" s="35" t="s">
        <v>81</v>
      </c>
      <c r="L134" s="35" t="s">
        <v>45</v>
      </c>
      <c r="M134" s="36" t="s">
        <v>111</v>
      </c>
      <c r="N134" s="36"/>
      <c r="O134" s="35">
        <v>90</v>
      </c>
      <c r="P134" s="7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4" s="557"/>
      <c r="R134" s="557"/>
      <c r="S134" s="557"/>
      <c r="T134" s="558"/>
      <c r="U134" s="37" t="s">
        <v>45</v>
      </c>
      <c r="V134" s="37" t="s">
        <v>45</v>
      </c>
      <c r="W134" s="38" t="s">
        <v>0</v>
      </c>
      <c r="X134" s="56">
        <v>0</v>
      </c>
      <c r="Y134" s="53">
        <f>IFERROR(IF(X134="",0,CEILING((X134/$H134),1)*$H134),"")</f>
        <v>0</v>
      </c>
      <c r="Z134" s="39" t="str">
        <f>IFERROR(IF(Y134=0,"",ROUNDUP(Y134/H134,0)*0.00651),"")</f>
        <v/>
      </c>
      <c r="AA134" s="65" t="s">
        <v>45</v>
      </c>
      <c r="AB134" s="66" t="s">
        <v>45</v>
      </c>
      <c r="AC134" s="191" t="s">
        <v>245</v>
      </c>
      <c r="AG134" s="75"/>
      <c r="AJ134" s="79" t="s">
        <v>45</v>
      </c>
      <c r="AK134" s="79">
        <v>0</v>
      </c>
      <c r="BB134" s="192" t="s">
        <v>66</v>
      </c>
      <c r="BM134" s="75">
        <f>IFERROR(X134*I134/H134,"0")</f>
        <v>0</v>
      </c>
      <c r="BN134" s="75">
        <f>IFERROR(Y134*I134/H134,"0")</f>
        <v>0</v>
      </c>
      <c r="BO134" s="75">
        <f>IFERROR(1/J134*(X134/H134),"0")</f>
        <v>0</v>
      </c>
      <c r="BP134" s="75">
        <f>IFERROR(1/J134*(Y134/H134),"0")</f>
        <v>0</v>
      </c>
    </row>
    <row r="135" spans="1:68" hidden="1" x14ac:dyDescent="0.2">
      <c r="A135" s="562"/>
      <c r="B135" s="562"/>
      <c r="C135" s="562"/>
      <c r="D135" s="562"/>
      <c r="E135" s="562"/>
      <c r="F135" s="562"/>
      <c r="G135" s="562"/>
      <c r="H135" s="562"/>
      <c r="I135" s="562"/>
      <c r="J135" s="562"/>
      <c r="K135" s="562"/>
      <c r="L135" s="562"/>
      <c r="M135" s="562"/>
      <c r="N135" s="562"/>
      <c r="O135" s="563"/>
      <c r="P135" s="559" t="s">
        <v>40</v>
      </c>
      <c r="Q135" s="560"/>
      <c r="R135" s="560"/>
      <c r="S135" s="560"/>
      <c r="T135" s="560"/>
      <c r="U135" s="560"/>
      <c r="V135" s="561"/>
      <c r="W135" s="40" t="s">
        <v>39</v>
      </c>
      <c r="X135" s="41">
        <f>IFERROR(X133/H133,"0")+IFERROR(X134/H134,"0")</f>
        <v>0</v>
      </c>
      <c r="Y135" s="41">
        <f>IFERROR(Y133/H133,"0")+IFERROR(Y134/H134,"0")</f>
        <v>0</v>
      </c>
      <c r="Z135" s="41">
        <f>IFERROR(IF(Z133="",0,Z133),"0")+IFERROR(IF(Z134="",0,Z134),"0")</f>
        <v>0</v>
      </c>
      <c r="AA135" s="64"/>
      <c r="AB135" s="64"/>
      <c r="AC135" s="64"/>
    </row>
    <row r="136" spans="1:68" hidden="1" x14ac:dyDescent="0.2">
      <c r="A136" s="562"/>
      <c r="B136" s="562"/>
      <c r="C136" s="562"/>
      <c r="D136" s="562"/>
      <c r="E136" s="562"/>
      <c r="F136" s="562"/>
      <c r="G136" s="562"/>
      <c r="H136" s="562"/>
      <c r="I136" s="562"/>
      <c r="J136" s="562"/>
      <c r="K136" s="562"/>
      <c r="L136" s="562"/>
      <c r="M136" s="562"/>
      <c r="N136" s="562"/>
      <c r="O136" s="563"/>
      <c r="P136" s="559" t="s">
        <v>40</v>
      </c>
      <c r="Q136" s="560"/>
      <c r="R136" s="560"/>
      <c r="S136" s="560"/>
      <c r="T136" s="560"/>
      <c r="U136" s="560"/>
      <c r="V136" s="561"/>
      <c r="W136" s="40" t="s">
        <v>0</v>
      </c>
      <c r="X136" s="41">
        <f>IFERROR(SUM(X133:X134),"0")</f>
        <v>0</v>
      </c>
      <c r="Y136" s="41">
        <f>IFERROR(SUM(Y133:Y134),"0")</f>
        <v>0</v>
      </c>
      <c r="Z136" s="40"/>
      <c r="AA136" s="64"/>
      <c r="AB136" s="64"/>
      <c r="AC136" s="64"/>
    </row>
    <row r="137" spans="1:68" ht="14.25" hidden="1" customHeight="1" x14ac:dyDescent="0.25">
      <c r="A137" s="554" t="s">
        <v>86</v>
      </c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4"/>
      <c r="P137" s="554"/>
      <c r="Q137" s="554"/>
      <c r="R137" s="554"/>
      <c r="S137" s="554"/>
      <c r="T137" s="554"/>
      <c r="U137" s="554"/>
      <c r="V137" s="554"/>
      <c r="W137" s="554"/>
      <c r="X137" s="554"/>
      <c r="Y137" s="554"/>
      <c r="Z137" s="554"/>
      <c r="AA137" s="63"/>
      <c r="AB137" s="63"/>
      <c r="AC137" s="63"/>
    </row>
    <row r="138" spans="1:68" ht="16.5" hidden="1" customHeight="1" x14ac:dyDescent="0.25">
      <c r="A138" s="60" t="s">
        <v>247</v>
      </c>
      <c r="B138" s="60" t="s">
        <v>248</v>
      </c>
      <c r="C138" s="34">
        <v>4301051477</v>
      </c>
      <c r="D138" s="555">
        <v>4680115882584</v>
      </c>
      <c r="E138" s="555"/>
      <c r="F138" s="59">
        <v>0.33</v>
      </c>
      <c r="G138" s="35">
        <v>8</v>
      </c>
      <c r="H138" s="59">
        <v>2.64</v>
      </c>
      <c r="I138" s="59">
        <v>2.9079999999999999</v>
      </c>
      <c r="J138" s="35">
        <v>182</v>
      </c>
      <c r="K138" s="35" t="s">
        <v>81</v>
      </c>
      <c r="L138" s="35" t="s">
        <v>45</v>
      </c>
      <c r="M138" s="36" t="s">
        <v>111</v>
      </c>
      <c r="N138" s="36"/>
      <c r="O138" s="35">
        <v>60</v>
      </c>
      <c r="P138" s="74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8" s="557"/>
      <c r="R138" s="557"/>
      <c r="S138" s="557"/>
      <c r="T138" s="558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193" t="s">
        <v>241</v>
      </c>
      <c r="AG138" s="75"/>
      <c r="AJ138" s="79" t="s">
        <v>45</v>
      </c>
      <c r="AK138" s="79">
        <v>0</v>
      </c>
      <c r="BB138" s="194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ht="16.5" hidden="1" customHeight="1" x14ac:dyDescent="0.25">
      <c r="A139" s="60" t="s">
        <v>247</v>
      </c>
      <c r="B139" s="60" t="s">
        <v>249</v>
      </c>
      <c r="C139" s="34">
        <v>4301051476</v>
      </c>
      <c r="D139" s="555">
        <v>4680115882584</v>
      </c>
      <c r="E139" s="555"/>
      <c r="F139" s="59">
        <v>0.33</v>
      </c>
      <c r="G139" s="35">
        <v>8</v>
      </c>
      <c r="H139" s="59">
        <v>2.64</v>
      </c>
      <c r="I139" s="59">
        <v>2.9079999999999999</v>
      </c>
      <c r="J139" s="35">
        <v>182</v>
      </c>
      <c r="K139" s="35" t="s">
        <v>81</v>
      </c>
      <c r="L139" s="35" t="s">
        <v>45</v>
      </c>
      <c r="M139" s="36" t="s">
        <v>111</v>
      </c>
      <c r="N139" s="36"/>
      <c r="O139" s="35">
        <v>60</v>
      </c>
      <c r="P139" s="745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9" s="557"/>
      <c r="R139" s="557"/>
      <c r="S139" s="557"/>
      <c r="T139" s="558"/>
      <c r="U139" s="37" t="s">
        <v>45</v>
      </c>
      <c r="V139" s="37" t="s">
        <v>45</v>
      </c>
      <c r="W139" s="38" t="s">
        <v>0</v>
      </c>
      <c r="X139" s="56">
        <v>0</v>
      </c>
      <c r="Y139" s="53">
        <f>IFERROR(IF(X139="",0,CEILING((X139/$H139),1)*$H139),"")</f>
        <v>0</v>
      </c>
      <c r="Z139" s="39" t="str">
        <f>IFERROR(IF(Y139=0,"",ROUNDUP(Y139/H139,0)*0.00651),"")</f>
        <v/>
      </c>
      <c r="AA139" s="65" t="s">
        <v>45</v>
      </c>
      <c r="AB139" s="66" t="s">
        <v>45</v>
      </c>
      <c r="AC139" s="195" t="s">
        <v>241</v>
      </c>
      <c r="AG139" s="75"/>
      <c r="AJ139" s="79" t="s">
        <v>45</v>
      </c>
      <c r="AK139" s="79">
        <v>0</v>
      </c>
      <c r="BB139" s="196" t="s">
        <v>66</v>
      </c>
      <c r="BM139" s="75">
        <f>IFERROR(X139*I139/H139,"0")</f>
        <v>0</v>
      </c>
      <c r="BN139" s="75">
        <f>IFERROR(Y139*I139/H139,"0")</f>
        <v>0</v>
      </c>
      <c r="BO139" s="75">
        <f>IFERROR(1/J139*(X139/H139),"0")</f>
        <v>0</v>
      </c>
      <c r="BP139" s="75">
        <f>IFERROR(1/J139*(Y139/H139),"0")</f>
        <v>0</v>
      </c>
    </row>
    <row r="140" spans="1:68" hidden="1" x14ac:dyDescent="0.2">
      <c r="A140" s="562"/>
      <c r="B140" s="562"/>
      <c r="C140" s="562"/>
      <c r="D140" s="562"/>
      <c r="E140" s="562"/>
      <c r="F140" s="562"/>
      <c r="G140" s="562"/>
      <c r="H140" s="562"/>
      <c r="I140" s="562"/>
      <c r="J140" s="562"/>
      <c r="K140" s="562"/>
      <c r="L140" s="562"/>
      <c r="M140" s="562"/>
      <c r="N140" s="562"/>
      <c r="O140" s="563"/>
      <c r="P140" s="559" t="s">
        <v>40</v>
      </c>
      <c r="Q140" s="560"/>
      <c r="R140" s="560"/>
      <c r="S140" s="560"/>
      <c r="T140" s="560"/>
      <c r="U140" s="560"/>
      <c r="V140" s="561"/>
      <c r="W140" s="40" t="s">
        <v>39</v>
      </c>
      <c r="X140" s="41">
        <f>IFERROR(X138/H138,"0")+IFERROR(X139/H139,"0")</f>
        <v>0</v>
      </c>
      <c r="Y140" s="41">
        <f>IFERROR(Y138/H138,"0")+IFERROR(Y139/H139,"0")</f>
        <v>0</v>
      </c>
      <c r="Z140" s="41">
        <f>IFERROR(IF(Z138="",0,Z138),"0")+IFERROR(IF(Z139="",0,Z139),"0")</f>
        <v>0</v>
      </c>
      <c r="AA140" s="64"/>
      <c r="AB140" s="64"/>
      <c r="AC140" s="64"/>
    </row>
    <row r="141" spans="1:68" hidden="1" x14ac:dyDescent="0.2">
      <c r="A141" s="562"/>
      <c r="B141" s="562"/>
      <c r="C141" s="562"/>
      <c r="D141" s="562"/>
      <c r="E141" s="562"/>
      <c r="F141" s="562"/>
      <c r="G141" s="562"/>
      <c r="H141" s="562"/>
      <c r="I141" s="562"/>
      <c r="J141" s="562"/>
      <c r="K141" s="562"/>
      <c r="L141" s="562"/>
      <c r="M141" s="562"/>
      <c r="N141" s="562"/>
      <c r="O141" s="563"/>
      <c r="P141" s="559" t="s">
        <v>40</v>
      </c>
      <c r="Q141" s="560"/>
      <c r="R141" s="560"/>
      <c r="S141" s="560"/>
      <c r="T141" s="560"/>
      <c r="U141" s="560"/>
      <c r="V141" s="561"/>
      <c r="W141" s="40" t="s">
        <v>0</v>
      </c>
      <c r="X141" s="41">
        <f>IFERROR(SUM(X138:X139),"0")</f>
        <v>0</v>
      </c>
      <c r="Y141" s="41">
        <f>IFERROR(SUM(Y138:Y139),"0")</f>
        <v>0</v>
      </c>
      <c r="Z141" s="40"/>
      <c r="AA141" s="64"/>
      <c r="AB141" s="64"/>
      <c r="AC141" s="64"/>
    </row>
    <row r="142" spans="1:68" ht="16.5" hidden="1" customHeight="1" x14ac:dyDescent="0.25">
      <c r="A142" s="553" t="s">
        <v>112</v>
      </c>
      <c r="B142" s="553"/>
      <c r="C142" s="553"/>
      <c r="D142" s="553"/>
      <c r="E142" s="553"/>
      <c r="F142" s="553"/>
      <c r="G142" s="553"/>
      <c r="H142" s="553"/>
      <c r="I142" s="553"/>
      <c r="J142" s="553"/>
      <c r="K142" s="553"/>
      <c r="L142" s="553"/>
      <c r="M142" s="553"/>
      <c r="N142" s="553"/>
      <c r="O142" s="553"/>
      <c r="P142" s="553"/>
      <c r="Q142" s="553"/>
      <c r="R142" s="553"/>
      <c r="S142" s="553"/>
      <c r="T142" s="553"/>
      <c r="U142" s="553"/>
      <c r="V142" s="553"/>
      <c r="W142" s="553"/>
      <c r="X142" s="553"/>
      <c r="Y142" s="553"/>
      <c r="Z142" s="553"/>
      <c r="AA142" s="62"/>
      <c r="AB142" s="62"/>
      <c r="AC142" s="62"/>
    </row>
    <row r="143" spans="1:68" ht="14.25" hidden="1" customHeight="1" x14ac:dyDescent="0.25">
      <c r="A143" s="554" t="s">
        <v>114</v>
      </c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4"/>
      <c r="P143" s="554"/>
      <c r="Q143" s="554"/>
      <c r="R143" s="554"/>
      <c r="S143" s="554"/>
      <c r="T143" s="554"/>
      <c r="U143" s="554"/>
      <c r="V143" s="554"/>
      <c r="W143" s="554"/>
      <c r="X143" s="554"/>
      <c r="Y143" s="554"/>
      <c r="Z143" s="554"/>
      <c r="AA143" s="63"/>
      <c r="AB143" s="63"/>
      <c r="AC143" s="63"/>
    </row>
    <row r="144" spans="1:68" ht="27" hidden="1" customHeight="1" x14ac:dyDescent="0.25">
      <c r="A144" s="60" t="s">
        <v>250</v>
      </c>
      <c r="B144" s="60" t="s">
        <v>251</v>
      </c>
      <c r="C144" s="34">
        <v>4301012244</v>
      </c>
      <c r="D144" s="555">
        <v>4680115887374</v>
      </c>
      <c r="E144" s="555"/>
      <c r="F144" s="59">
        <v>1.6</v>
      </c>
      <c r="G144" s="35">
        <v>8</v>
      </c>
      <c r="H144" s="59">
        <v>12.8</v>
      </c>
      <c r="I144" s="59">
        <v>13.21</v>
      </c>
      <c r="J144" s="35">
        <v>64</v>
      </c>
      <c r="K144" s="35" t="s">
        <v>119</v>
      </c>
      <c r="L144" s="35" t="s">
        <v>45</v>
      </c>
      <c r="M144" s="36" t="s">
        <v>118</v>
      </c>
      <c r="N144" s="36"/>
      <c r="O144" s="35">
        <v>55</v>
      </c>
      <c r="P144" s="7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4" s="557"/>
      <c r="R144" s="557"/>
      <c r="S144" s="557"/>
      <c r="T144" s="558"/>
      <c r="U144" s="37" t="s">
        <v>45</v>
      </c>
      <c r="V144" s="37" t="s">
        <v>45</v>
      </c>
      <c r="W144" s="38" t="s">
        <v>0</v>
      </c>
      <c r="X144" s="56">
        <v>0</v>
      </c>
      <c r="Y144" s="53">
        <f>IFERROR(IF(X144="",0,CEILING((X144/$H144),1)*$H144),"")</f>
        <v>0</v>
      </c>
      <c r="Z144" s="39" t="str">
        <f>IFERROR(IF(Y144=0,"",ROUNDUP(Y144/H144,0)*0.01898),"")</f>
        <v/>
      </c>
      <c r="AA144" s="65" t="s">
        <v>45</v>
      </c>
      <c r="AB144" s="66" t="s">
        <v>45</v>
      </c>
      <c r="AC144" s="197" t="s">
        <v>252</v>
      </c>
      <c r="AG144" s="75"/>
      <c r="AJ144" s="79" t="s">
        <v>45</v>
      </c>
      <c r="AK144" s="79">
        <v>0</v>
      </c>
      <c r="BB144" s="198" t="s">
        <v>66</v>
      </c>
      <c r="BM144" s="75">
        <f>IFERROR(X144*I144/H144,"0")</f>
        <v>0</v>
      </c>
      <c r="BN144" s="75">
        <f>IFERROR(Y144*I144/H144,"0")</f>
        <v>0</v>
      </c>
      <c r="BO144" s="75">
        <f>IFERROR(1/J144*(X144/H144),"0")</f>
        <v>0</v>
      </c>
      <c r="BP144" s="75">
        <f>IFERROR(1/J144*(Y144/H144),"0")</f>
        <v>0</v>
      </c>
    </row>
    <row r="145" spans="1:68" ht="27" hidden="1" customHeight="1" x14ac:dyDescent="0.25">
      <c r="A145" s="60" t="s">
        <v>253</v>
      </c>
      <c r="B145" s="60" t="s">
        <v>254</v>
      </c>
      <c r="C145" s="34">
        <v>4301011705</v>
      </c>
      <c r="D145" s="555">
        <v>4607091384604</v>
      </c>
      <c r="E145" s="555"/>
      <c r="F145" s="59">
        <v>0.4</v>
      </c>
      <c r="G145" s="35">
        <v>10</v>
      </c>
      <c r="H145" s="59">
        <v>4</v>
      </c>
      <c r="I145" s="59">
        <v>4.1900000000000004</v>
      </c>
      <c r="J145" s="35">
        <v>132</v>
      </c>
      <c r="K145" s="35" t="s">
        <v>122</v>
      </c>
      <c r="L145" s="35" t="s">
        <v>45</v>
      </c>
      <c r="M145" s="36" t="s">
        <v>118</v>
      </c>
      <c r="N145" s="36"/>
      <c r="O145" s="35">
        <v>50</v>
      </c>
      <c r="P145" s="742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5" s="557"/>
      <c r="R145" s="557"/>
      <c r="S145" s="557"/>
      <c r="T145" s="558"/>
      <c r="U145" s="37" t="s">
        <v>45</v>
      </c>
      <c r="V145" s="37" t="s">
        <v>45</v>
      </c>
      <c r="W145" s="38" t="s">
        <v>0</v>
      </c>
      <c r="X145" s="56">
        <v>0</v>
      </c>
      <c r="Y145" s="53">
        <f>IFERROR(IF(X145="",0,CEILING((X145/$H145),1)*$H145),"")</f>
        <v>0</v>
      </c>
      <c r="Z145" s="39" t="str">
        <f>IFERROR(IF(Y145=0,"",ROUNDUP(Y145/H145,0)*0.00902),"")</f>
        <v/>
      </c>
      <c r="AA145" s="65" t="s">
        <v>45</v>
      </c>
      <c r="AB145" s="66" t="s">
        <v>45</v>
      </c>
      <c r="AC145" s="199" t="s">
        <v>255</v>
      </c>
      <c r="AG145" s="75"/>
      <c r="AJ145" s="79" t="s">
        <v>45</v>
      </c>
      <c r="AK145" s="79">
        <v>0</v>
      </c>
      <c r="BB145" s="200" t="s">
        <v>66</v>
      </c>
      <c r="BM145" s="75">
        <f>IFERROR(X145*I145/H145,"0")</f>
        <v>0</v>
      </c>
      <c r="BN145" s="75">
        <f>IFERROR(Y145*I145/H145,"0")</f>
        <v>0</v>
      </c>
      <c r="BO145" s="75">
        <f>IFERROR(1/J145*(X145/H145),"0")</f>
        <v>0</v>
      </c>
      <c r="BP145" s="75">
        <f>IFERROR(1/J145*(Y145/H145),"0")</f>
        <v>0</v>
      </c>
    </row>
    <row r="146" spans="1:68" hidden="1" x14ac:dyDescent="0.2">
      <c r="A146" s="562"/>
      <c r="B146" s="562"/>
      <c r="C146" s="562"/>
      <c r="D146" s="562"/>
      <c r="E146" s="562"/>
      <c r="F146" s="562"/>
      <c r="G146" s="562"/>
      <c r="H146" s="562"/>
      <c r="I146" s="562"/>
      <c r="J146" s="562"/>
      <c r="K146" s="562"/>
      <c r="L146" s="562"/>
      <c r="M146" s="562"/>
      <c r="N146" s="562"/>
      <c r="O146" s="563"/>
      <c r="P146" s="559" t="s">
        <v>40</v>
      </c>
      <c r="Q146" s="560"/>
      <c r="R146" s="560"/>
      <c r="S146" s="560"/>
      <c r="T146" s="560"/>
      <c r="U146" s="560"/>
      <c r="V146" s="561"/>
      <c r="W146" s="40" t="s">
        <v>39</v>
      </c>
      <c r="X146" s="41">
        <f>IFERROR(X144/H144,"0")+IFERROR(X145/H145,"0")</f>
        <v>0</v>
      </c>
      <c r="Y146" s="41">
        <f>IFERROR(Y144/H144,"0")+IFERROR(Y145/H145,"0")</f>
        <v>0</v>
      </c>
      <c r="Z146" s="41">
        <f>IFERROR(IF(Z144="",0,Z144),"0")+IFERROR(IF(Z145="",0,Z145),"0")</f>
        <v>0</v>
      </c>
      <c r="AA146" s="64"/>
      <c r="AB146" s="64"/>
      <c r="AC146" s="64"/>
    </row>
    <row r="147" spans="1:68" hidden="1" x14ac:dyDescent="0.2">
      <c r="A147" s="562"/>
      <c r="B147" s="562"/>
      <c r="C147" s="562"/>
      <c r="D147" s="562"/>
      <c r="E147" s="562"/>
      <c r="F147" s="562"/>
      <c r="G147" s="562"/>
      <c r="H147" s="562"/>
      <c r="I147" s="562"/>
      <c r="J147" s="562"/>
      <c r="K147" s="562"/>
      <c r="L147" s="562"/>
      <c r="M147" s="562"/>
      <c r="N147" s="562"/>
      <c r="O147" s="563"/>
      <c r="P147" s="559" t="s">
        <v>40</v>
      </c>
      <c r="Q147" s="560"/>
      <c r="R147" s="560"/>
      <c r="S147" s="560"/>
      <c r="T147" s="560"/>
      <c r="U147" s="560"/>
      <c r="V147" s="561"/>
      <c r="W147" s="40" t="s">
        <v>0</v>
      </c>
      <c r="X147" s="41">
        <f>IFERROR(SUM(X144:X145),"0")</f>
        <v>0</v>
      </c>
      <c r="Y147" s="41">
        <f>IFERROR(SUM(Y144:Y145),"0")</f>
        <v>0</v>
      </c>
      <c r="Z147" s="40"/>
      <c r="AA147" s="64"/>
      <c r="AB147" s="64"/>
      <c r="AC147" s="64"/>
    </row>
    <row r="148" spans="1:68" ht="14.25" hidden="1" customHeight="1" x14ac:dyDescent="0.25">
      <c r="A148" s="554" t="s">
        <v>76</v>
      </c>
      <c r="B148" s="554"/>
      <c r="C148" s="554"/>
      <c r="D148" s="554"/>
      <c r="E148" s="554"/>
      <c r="F148" s="554"/>
      <c r="G148" s="554"/>
      <c r="H148" s="554"/>
      <c r="I148" s="554"/>
      <c r="J148" s="554"/>
      <c r="K148" s="554"/>
      <c r="L148" s="554"/>
      <c r="M148" s="554"/>
      <c r="N148" s="554"/>
      <c r="O148" s="554"/>
      <c r="P148" s="554"/>
      <c r="Q148" s="554"/>
      <c r="R148" s="554"/>
      <c r="S148" s="554"/>
      <c r="T148" s="554"/>
      <c r="U148" s="554"/>
      <c r="V148" s="554"/>
      <c r="W148" s="554"/>
      <c r="X148" s="554"/>
      <c r="Y148" s="554"/>
      <c r="Z148" s="554"/>
      <c r="AA148" s="63"/>
      <c r="AB148" s="63"/>
      <c r="AC148" s="63"/>
    </row>
    <row r="149" spans="1:68" ht="16.5" hidden="1" customHeight="1" x14ac:dyDescent="0.25">
      <c r="A149" s="60" t="s">
        <v>256</v>
      </c>
      <c r="B149" s="60" t="s">
        <v>257</v>
      </c>
      <c r="C149" s="34">
        <v>4301031450</v>
      </c>
      <c r="D149" s="555">
        <v>4680115887428</v>
      </c>
      <c r="E149" s="555"/>
      <c r="F149" s="59">
        <v>0.7</v>
      </c>
      <c r="G149" s="35">
        <v>6</v>
      </c>
      <c r="H149" s="59">
        <v>4.2</v>
      </c>
      <c r="I149" s="59">
        <v>4.3899999999999997</v>
      </c>
      <c r="J149" s="35">
        <v>132</v>
      </c>
      <c r="K149" s="35" t="s">
        <v>122</v>
      </c>
      <c r="L149" s="35" t="s">
        <v>45</v>
      </c>
      <c r="M149" s="36" t="s">
        <v>80</v>
      </c>
      <c r="N149" s="36"/>
      <c r="O149" s="35">
        <v>40</v>
      </c>
      <c r="P149" s="743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7"/>
      <c r="R149" s="557"/>
      <c r="S149" s="557"/>
      <c r="T149" s="558"/>
      <c r="U149" s="37" t="s">
        <v>45</v>
      </c>
      <c r="V149" s="37" t="s">
        <v>45</v>
      </c>
      <c r="W149" s="38" t="s">
        <v>0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IFERROR(IF(Y149=0,"",ROUNDUP(Y149/H149,0)*0.00902),"")</f>
        <v/>
      </c>
      <c r="AA149" s="65" t="s">
        <v>45</v>
      </c>
      <c r="AB149" s="66" t="s">
        <v>45</v>
      </c>
      <c r="AC149" s="201" t="s">
        <v>258</v>
      </c>
      <c r="AG149" s="75"/>
      <c r="AJ149" s="79" t="s">
        <v>45</v>
      </c>
      <c r="AK149" s="79">
        <v>0</v>
      </c>
      <c r="BB149" s="202" t="s">
        <v>66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hidden="1" customHeight="1" x14ac:dyDescent="0.25">
      <c r="A150" s="60" t="s">
        <v>259</v>
      </c>
      <c r="B150" s="60" t="s">
        <v>260</v>
      </c>
      <c r="C150" s="34">
        <v>4301031453</v>
      </c>
      <c r="D150" s="555">
        <v>4680115887336</v>
      </c>
      <c r="E150" s="555"/>
      <c r="F150" s="59">
        <v>0.7</v>
      </c>
      <c r="G150" s="35">
        <v>6</v>
      </c>
      <c r="H150" s="59">
        <v>4.2</v>
      </c>
      <c r="I150" s="59">
        <v>4.3899999999999997</v>
      </c>
      <c r="J150" s="35">
        <v>132</v>
      </c>
      <c r="K150" s="35" t="s">
        <v>122</v>
      </c>
      <c r="L150" s="35" t="s">
        <v>45</v>
      </c>
      <c r="M150" s="36" t="s">
        <v>80</v>
      </c>
      <c r="N150" s="36"/>
      <c r="O150" s="35">
        <v>40</v>
      </c>
      <c r="P150" s="73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0" s="557"/>
      <c r="R150" s="557"/>
      <c r="S150" s="557"/>
      <c r="T150" s="558"/>
      <c r="U150" s="37" t="s">
        <v>45</v>
      </c>
      <c r="V150" s="37" t="s">
        <v>45</v>
      </c>
      <c r="W150" s="38" t="s">
        <v>0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IFERROR(IF(Y150=0,"",ROUNDUP(Y150/H150,0)*0.00902),"")</f>
        <v/>
      </c>
      <c r="AA150" s="65" t="s">
        <v>45</v>
      </c>
      <c r="AB150" s="66" t="s">
        <v>45</v>
      </c>
      <c r="AC150" s="203" t="s">
        <v>261</v>
      </c>
      <c r="AG150" s="75"/>
      <c r="AJ150" s="79" t="s">
        <v>45</v>
      </c>
      <c r="AK150" s="79">
        <v>0</v>
      </c>
      <c r="BB150" s="204" t="s">
        <v>66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hidden="1" customHeight="1" x14ac:dyDescent="0.25">
      <c r="A151" s="60" t="s">
        <v>262</v>
      </c>
      <c r="B151" s="60" t="s">
        <v>263</v>
      </c>
      <c r="C151" s="34">
        <v>4301030963</v>
      </c>
      <c r="D151" s="555">
        <v>4607091382426</v>
      </c>
      <c r="E151" s="555"/>
      <c r="F151" s="59">
        <v>0.9</v>
      </c>
      <c r="G151" s="35">
        <v>10</v>
      </c>
      <c r="H151" s="59">
        <v>9</v>
      </c>
      <c r="I151" s="59">
        <v>9.56</v>
      </c>
      <c r="J151" s="35">
        <v>64</v>
      </c>
      <c r="K151" s="35" t="s">
        <v>119</v>
      </c>
      <c r="L151" s="35" t="s">
        <v>45</v>
      </c>
      <c r="M151" s="36" t="s">
        <v>80</v>
      </c>
      <c r="N151" s="36"/>
      <c r="O151" s="35">
        <v>40</v>
      </c>
      <c r="P151" s="73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1" s="557"/>
      <c r="R151" s="557"/>
      <c r="S151" s="557"/>
      <c r="T151" s="558"/>
      <c r="U151" s="37" t="s">
        <v>45</v>
      </c>
      <c r="V151" s="37" t="s">
        <v>45</v>
      </c>
      <c r="W151" s="38" t="s">
        <v>0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IFERROR(IF(Y151=0,"",ROUNDUP(Y151/H151,0)*0.01898),"")</f>
        <v/>
      </c>
      <c r="AA151" s="65" t="s">
        <v>45</v>
      </c>
      <c r="AB151" s="66" t="s">
        <v>45</v>
      </c>
      <c r="AC151" s="205" t="s">
        <v>264</v>
      </c>
      <c r="AG151" s="75"/>
      <c r="AJ151" s="79" t="s">
        <v>45</v>
      </c>
      <c r="AK151" s="79">
        <v>0</v>
      </c>
      <c r="BB151" s="206" t="s">
        <v>66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ht="27" hidden="1" customHeight="1" x14ac:dyDescent="0.25">
      <c r="A152" s="60" t="s">
        <v>265</v>
      </c>
      <c r="B152" s="60" t="s">
        <v>266</v>
      </c>
      <c r="C152" s="34">
        <v>4301031456</v>
      </c>
      <c r="D152" s="555">
        <v>4680115887398</v>
      </c>
      <c r="E152" s="555"/>
      <c r="F152" s="59">
        <v>0.7</v>
      </c>
      <c r="G152" s="35">
        <v>6</v>
      </c>
      <c r="H152" s="59">
        <v>4.2</v>
      </c>
      <c r="I152" s="59">
        <v>4.3899999999999997</v>
      </c>
      <c r="J152" s="35">
        <v>132</v>
      </c>
      <c r="K152" s="35" t="s">
        <v>122</v>
      </c>
      <c r="L152" s="35" t="s">
        <v>45</v>
      </c>
      <c r="M152" s="36" t="s">
        <v>80</v>
      </c>
      <c r="N152" s="36"/>
      <c r="O152" s="35">
        <v>40</v>
      </c>
      <c r="P152" s="739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2" s="557"/>
      <c r="R152" s="557"/>
      <c r="S152" s="557"/>
      <c r="T152" s="558"/>
      <c r="U152" s="37" t="s">
        <v>45</v>
      </c>
      <c r="V152" s="37" t="s">
        <v>45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IFERROR(IF(Y152=0,"",ROUNDUP(Y152/H152,0)*0.00902),"")</f>
        <v/>
      </c>
      <c r="AA152" s="65" t="s">
        <v>45</v>
      </c>
      <c r="AB152" s="66" t="s">
        <v>45</v>
      </c>
      <c r="AC152" s="207" t="s">
        <v>267</v>
      </c>
      <c r="AG152" s="75"/>
      <c r="AJ152" s="79" t="s">
        <v>45</v>
      </c>
      <c r="AK152" s="79">
        <v>0</v>
      </c>
      <c r="BB152" s="208" t="s">
        <v>66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268</v>
      </c>
      <c r="B153" s="60" t="s">
        <v>269</v>
      </c>
      <c r="C153" s="34">
        <v>4301031389</v>
      </c>
      <c r="D153" s="555">
        <v>4680115887763</v>
      </c>
      <c r="E153" s="555"/>
      <c r="F153" s="59">
        <v>0.09</v>
      </c>
      <c r="G153" s="35">
        <v>10</v>
      </c>
      <c r="H153" s="59">
        <v>0.9</v>
      </c>
      <c r="I153" s="59">
        <v>1.1100000000000001</v>
      </c>
      <c r="J153" s="35">
        <v>336</v>
      </c>
      <c r="K153" s="35" t="s">
        <v>156</v>
      </c>
      <c r="L153" s="35" t="s">
        <v>45</v>
      </c>
      <c r="M153" s="36" t="s">
        <v>80</v>
      </c>
      <c r="N153" s="36"/>
      <c r="O153" s="35">
        <v>45</v>
      </c>
      <c r="P153" s="740" t="s">
        <v>270</v>
      </c>
      <c r="Q153" s="557"/>
      <c r="R153" s="557"/>
      <c r="S153" s="557"/>
      <c r="T153" s="558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IFERROR(IF(Y153=0,"",ROUNDUP(Y153/H153,0)*0.00417),"")</f>
        <v/>
      </c>
      <c r="AA153" s="65" t="s">
        <v>45</v>
      </c>
      <c r="AB153" s="66" t="s">
        <v>45</v>
      </c>
      <c r="AC153" s="209" t="s">
        <v>271</v>
      </c>
      <c r="AG153" s="75"/>
      <c r="AJ153" s="79" t="s">
        <v>45</v>
      </c>
      <c r="AK153" s="79">
        <v>0</v>
      </c>
      <c r="BB153" s="210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idden="1" x14ac:dyDescent="0.2">
      <c r="A154" s="562"/>
      <c r="B154" s="562"/>
      <c r="C154" s="562"/>
      <c r="D154" s="562"/>
      <c r="E154" s="562"/>
      <c r="F154" s="562"/>
      <c r="G154" s="562"/>
      <c r="H154" s="562"/>
      <c r="I154" s="562"/>
      <c r="J154" s="562"/>
      <c r="K154" s="562"/>
      <c r="L154" s="562"/>
      <c r="M154" s="562"/>
      <c r="N154" s="562"/>
      <c r="O154" s="563"/>
      <c r="P154" s="559" t="s">
        <v>40</v>
      </c>
      <c r="Q154" s="560"/>
      <c r="R154" s="560"/>
      <c r="S154" s="560"/>
      <c r="T154" s="560"/>
      <c r="U154" s="560"/>
      <c r="V154" s="561"/>
      <c r="W154" s="40" t="s">
        <v>39</v>
      </c>
      <c r="X154" s="41">
        <f>IFERROR(X149/H149,"0")+IFERROR(X150/H150,"0")+IFERROR(X151/H151,"0")+IFERROR(X152/H152,"0")+IFERROR(X153/H153,"0")</f>
        <v>0</v>
      </c>
      <c r="Y154" s="41">
        <f>IFERROR(Y149/H149,"0")+IFERROR(Y150/H150,"0")+IFERROR(Y151/H151,"0")+IFERROR(Y152/H152,"0")+IFERROR(Y153/H153,"0")</f>
        <v>0</v>
      </c>
      <c r="Z154" s="41">
        <f>IFERROR(IF(Z149="",0,Z149),"0")+IFERROR(IF(Z150="",0,Z150),"0")+IFERROR(IF(Z151="",0,Z151),"0")+IFERROR(IF(Z152="",0,Z152),"0")+IFERROR(IF(Z153="",0,Z153),"0")</f>
        <v>0</v>
      </c>
      <c r="AA154" s="64"/>
      <c r="AB154" s="64"/>
      <c r="AC154" s="64"/>
    </row>
    <row r="155" spans="1:68" hidden="1" x14ac:dyDescent="0.2">
      <c r="A155" s="562"/>
      <c r="B155" s="562"/>
      <c r="C155" s="562"/>
      <c r="D155" s="562"/>
      <c r="E155" s="562"/>
      <c r="F155" s="562"/>
      <c r="G155" s="562"/>
      <c r="H155" s="562"/>
      <c r="I155" s="562"/>
      <c r="J155" s="562"/>
      <c r="K155" s="562"/>
      <c r="L155" s="562"/>
      <c r="M155" s="562"/>
      <c r="N155" s="562"/>
      <c r="O155" s="563"/>
      <c r="P155" s="559" t="s">
        <v>40</v>
      </c>
      <c r="Q155" s="560"/>
      <c r="R155" s="560"/>
      <c r="S155" s="560"/>
      <c r="T155" s="560"/>
      <c r="U155" s="560"/>
      <c r="V155" s="561"/>
      <c r="W155" s="40" t="s">
        <v>0</v>
      </c>
      <c r="X155" s="41">
        <f>IFERROR(SUM(X149:X153),"0")</f>
        <v>0</v>
      </c>
      <c r="Y155" s="41">
        <f>IFERROR(SUM(Y149:Y153),"0")</f>
        <v>0</v>
      </c>
      <c r="Z155" s="40"/>
      <c r="AA155" s="64"/>
      <c r="AB155" s="64"/>
      <c r="AC155" s="64"/>
    </row>
    <row r="156" spans="1:68" ht="14.25" hidden="1" customHeight="1" x14ac:dyDescent="0.25">
      <c r="A156" s="554" t="s">
        <v>86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63"/>
      <c r="AB156" s="63"/>
      <c r="AC156" s="63"/>
    </row>
    <row r="157" spans="1:68" ht="27" hidden="1" customHeight="1" x14ac:dyDescent="0.25">
      <c r="A157" s="60" t="s">
        <v>272</v>
      </c>
      <c r="B157" s="60" t="s">
        <v>273</v>
      </c>
      <c r="C157" s="34">
        <v>4301052064</v>
      </c>
      <c r="D157" s="555">
        <v>4680115887459</v>
      </c>
      <c r="E157" s="555"/>
      <c r="F157" s="59">
        <v>0.3</v>
      </c>
      <c r="G157" s="35">
        <v>6</v>
      </c>
      <c r="H157" s="59">
        <v>1.8</v>
      </c>
      <c r="I157" s="59">
        <v>2.0579999999999998</v>
      </c>
      <c r="J157" s="35">
        <v>182</v>
      </c>
      <c r="K157" s="35" t="s">
        <v>81</v>
      </c>
      <c r="L157" s="35" t="s">
        <v>45</v>
      </c>
      <c r="M157" s="36" t="s">
        <v>90</v>
      </c>
      <c r="N157" s="36"/>
      <c r="O157" s="35">
        <v>45</v>
      </c>
      <c r="P157" s="73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7"/>
      <c r="R157" s="557"/>
      <c r="S157" s="557"/>
      <c r="T157" s="558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IFERROR(IF(Y157=0,"",ROUNDUP(Y157/H157,0)*0.00651),"")</f>
        <v/>
      </c>
      <c r="AA157" s="65" t="s">
        <v>45</v>
      </c>
      <c r="AB157" s="66" t="s">
        <v>45</v>
      </c>
      <c r="AC157" s="211" t="s">
        <v>274</v>
      </c>
      <c r="AG157" s="75"/>
      <c r="AJ157" s="79" t="s">
        <v>45</v>
      </c>
      <c r="AK157" s="79">
        <v>0</v>
      </c>
      <c r="BB157" s="212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idden="1" x14ac:dyDescent="0.2">
      <c r="A158" s="562"/>
      <c r="B158" s="562"/>
      <c r="C158" s="562"/>
      <c r="D158" s="562"/>
      <c r="E158" s="562"/>
      <c r="F158" s="562"/>
      <c r="G158" s="562"/>
      <c r="H158" s="562"/>
      <c r="I158" s="562"/>
      <c r="J158" s="562"/>
      <c r="K158" s="562"/>
      <c r="L158" s="562"/>
      <c r="M158" s="562"/>
      <c r="N158" s="562"/>
      <c r="O158" s="563"/>
      <c r="P158" s="559" t="s">
        <v>40</v>
      </c>
      <c r="Q158" s="560"/>
      <c r="R158" s="560"/>
      <c r="S158" s="560"/>
      <c r="T158" s="560"/>
      <c r="U158" s="560"/>
      <c r="V158" s="561"/>
      <c r="W158" s="40" t="s">
        <v>39</v>
      </c>
      <c r="X158" s="41">
        <f>IFERROR(X157/H157,"0")</f>
        <v>0</v>
      </c>
      <c r="Y158" s="41">
        <f>IFERROR(Y157/H157,"0")</f>
        <v>0</v>
      </c>
      <c r="Z158" s="41">
        <f>IFERROR(IF(Z157="",0,Z157),"0")</f>
        <v>0</v>
      </c>
      <c r="AA158" s="64"/>
      <c r="AB158" s="64"/>
      <c r="AC158" s="64"/>
    </row>
    <row r="159" spans="1:68" hidden="1" x14ac:dyDescent="0.2">
      <c r="A159" s="562"/>
      <c r="B159" s="562"/>
      <c r="C159" s="562"/>
      <c r="D159" s="562"/>
      <c r="E159" s="562"/>
      <c r="F159" s="562"/>
      <c r="G159" s="562"/>
      <c r="H159" s="562"/>
      <c r="I159" s="562"/>
      <c r="J159" s="562"/>
      <c r="K159" s="562"/>
      <c r="L159" s="562"/>
      <c r="M159" s="562"/>
      <c r="N159" s="562"/>
      <c r="O159" s="563"/>
      <c r="P159" s="559" t="s">
        <v>40</v>
      </c>
      <c r="Q159" s="560"/>
      <c r="R159" s="560"/>
      <c r="S159" s="560"/>
      <c r="T159" s="560"/>
      <c r="U159" s="560"/>
      <c r="V159" s="561"/>
      <c r="W159" s="40" t="s">
        <v>0</v>
      </c>
      <c r="X159" s="41">
        <f>IFERROR(SUM(X157:X157),"0")</f>
        <v>0</v>
      </c>
      <c r="Y159" s="41">
        <f>IFERROR(SUM(Y157:Y157),"0")</f>
        <v>0</v>
      </c>
      <c r="Z159" s="40"/>
      <c r="AA159" s="64"/>
      <c r="AB159" s="64"/>
      <c r="AC159" s="64"/>
    </row>
    <row r="160" spans="1:68" ht="27.75" hidden="1" customHeight="1" x14ac:dyDescent="0.2">
      <c r="A160" s="574" t="s">
        <v>275</v>
      </c>
      <c r="B160" s="574"/>
      <c r="C160" s="574"/>
      <c r="D160" s="574"/>
      <c r="E160" s="574"/>
      <c r="F160" s="574"/>
      <c r="G160" s="574"/>
      <c r="H160" s="574"/>
      <c r="I160" s="574"/>
      <c r="J160" s="574"/>
      <c r="K160" s="574"/>
      <c r="L160" s="574"/>
      <c r="M160" s="574"/>
      <c r="N160" s="574"/>
      <c r="O160" s="574"/>
      <c r="P160" s="574"/>
      <c r="Q160" s="574"/>
      <c r="R160" s="574"/>
      <c r="S160" s="574"/>
      <c r="T160" s="574"/>
      <c r="U160" s="574"/>
      <c r="V160" s="574"/>
      <c r="W160" s="574"/>
      <c r="X160" s="574"/>
      <c r="Y160" s="574"/>
      <c r="Z160" s="574"/>
      <c r="AA160" s="52"/>
      <c r="AB160" s="52"/>
      <c r="AC160" s="52"/>
    </row>
    <row r="161" spans="1:68" ht="16.5" hidden="1" customHeight="1" x14ac:dyDescent="0.25">
      <c r="A161" s="553" t="s">
        <v>276</v>
      </c>
      <c r="B161" s="553"/>
      <c r="C161" s="553"/>
      <c r="D161" s="553"/>
      <c r="E161" s="553"/>
      <c r="F161" s="553"/>
      <c r="G161" s="553"/>
      <c r="H161" s="553"/>
      <c r="I161" s="553"/>
      <c r="J161" s="553"/>
      <c r="K161" s="553"/>
      <c r="L161" s="553"/>
      <c r="M161" s="553"/>
      <c r="N161" s="553"/>
      <c r="O161" s="553"/>
      <c r="P161" s="553"/>
      <c r="Q161" s="553"/>
      <c r="R161" s="553"/>
      <c r="S161" s="553"/>
      <c r="T161" s="553"/>
      <c r="U161" s="553"/>
      <c r="V161" s="553"/>
      <c r="W161" s="553"/>
      <c r="X161" s="553"/>
      <c r="Y161" s="553"/>
      <c r="Z161" s="553"/>
      <c r="AA161" s="62"/>
      <c r="AB161" s="62"/>
      <c r="AC161" s="62"/>
    </row>
    <row r="162" spans="1:68" ht="14.25" hidden="1" customHeight="1" x14ac:dyDescent="0.25">
      <c r="A162" s="554" t="s">
        <v>147</v>
      </c>
      <c r="B162" s="554"/>
      <c r="C162" s="554"/>
      <c r="D162" s="554"/>
      <c r="E162" s="554"/>
      <c r="F162" s="554"/>
      <c r="G162" s="554"/>
      <c r="H162" s="554"/>
      <c r="I162" s="554"/>
      <c r="J162" s="554"/>
      <c r="K162" s="554"/>
      <c r="L162" s="554"/>
      <c r="M162" s="554"/>
      <c r="N162" s="554"/>
      <c r="O162" s="554"/>
      <c r="P162" s="554"/>
      <c r="Q162" s="554"/>
      <c r="R162" s="554"/>
      <c r="S162" s="554"/>
      <c r="T162" s="554"/>
      <c r="U162" s="554"/>
      <c r="V162" s="554"/>
      <c r="W162" s="554"/>
      <c r="X162" s="554"/>
      <c r="Y162" s="554"/>
      <c r="Z162" s="554"/>
      <c r="AA162" s="63"/>
      <c r="AB162" s="63"/>
      <c r="AC162" s="63"/>
    </row>
    <row r="163" spans="1:68" ht="27" hidden="1" customHeight="1" x14ac:dyDescent="0.25">
      <c r="A163" s="60" t="s">
        <v>277</v>
      </c>
      <c r="B163" s="60" t="s">
        <v>278</v>
      </c>
      <c r="C163" s="34">
        <v>4301020323</v>
      </c>
      <c r="D163" s="555">
        <v>4680115886223</v>
      </c>
      <c r="E163" s="555"/>
      <c r="F163" s="59">
        <v>0.33</v>
      </c>
      <c r="G163" s="35">
        <v>6</v>
      </c>
      <c r="H163" s="59">
        <v>1.98</v>
      </c>
      <c r="I163" s="59">
        <v>2.08</v>
      </c>
      <c r="J163" s="35">
        <v>234</v>
      </c>
      <c r="K163" s="35" t="s">
        <v>85</v>
      </c>
      <c r="L163" s="35" t="s">
        <v>45</v>
      </c>
      <c r="M163" s="36" t="s">
        <v>80</v>
      </c>
      <c r="N163" s="36"/>
      <c r="O163" s="35">
        <v>40</v>
      </c>
      <c r="P163" s="73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7"/>
      <c r="R163" s="557"/>
      <c r="S163" s="557"/>
      <c r="T163" s="558"/>
      <c r="U163" s="37" t="s">
        <v>45</v>
      </c>
      <c r="V163" s="37" t="s">
        <v>45</v>
      </c>
      <c r="W163" s="38" t="s">
        <v>0</v>
      </c>
      <c r="X163" s="56">
        <v>0</v>
      </c>
      <c r="Y163" s="53">
        <f>IFERROR(IF(X163="",0,CEILING((X163/$H163),1)*$H163),"")</f>
        <v>0</v>
      </c>
      <c r="Z163" s="39" t="str">
        <f>IFERROR(IF(Y163=0,"",ROUNDUP(Y163/H163,0)*0.00502),"")</f>
        <v/>
      </c>
      <c r="AA163" s="65" t="s">
        <v>45</v>
      </c>
      <c r="AB163" s="66" t="s">
        <v>45</v>
      </c>
      <c r="AC163" s="213" t="s">
        <v>279</v>
      </c>
      <c r="AG163" s="75"/>
      <c r="AJ163" s="79" t="s">
        <v>45</v>
      </c>
      <c r="AK163" s="79">
        <v>0</v>
      </c>
      <c r="BB163" s="214" t="s">
        <v>66</v>
      </c>
      <c r="BM163" s="75">
        <f>IFERROR(X163*I163/H163,"0")</f>
        <v>0</v>
      </c>
      <c r="BN163" s="75">
        <f>IFERROR(Y163*I163/H163,"0")</f>
        <v>0</v>
      </c>
      <c r="BO163" s="75">
        <f>IFERROR(1/J163*(X163/H163),"0")</f>
        <v>0</v>
      </c>
      <c r="BP163" s="75">
        <f>IFERROR(1/J163*(Y163/H163),"0")</f>
        <v>0</v>
      </c>
    </row>
    <row r="164" spans="1:68" hidden="1" x14ac:dyDescent="0.2">
      <c r="A164" s="562"/>
      <c r="B164" s="562"/>
      <c r="C164" s="562"/>
      <c r="D164" s="562"/>
      <c r="E164" s="562"/>
      <c r="F164" s="562"/>
      <c r="G164" s="562"/>
      <c r="H164" s="562"/>
      <c r="I164" s="562"/>
      <c r="J164" s="562"/>
      <c r="K164" s="562"/>
      <c r="L164" s="562"/>
      <c r="M164" s="562"/>
      <c r="N164" s="562"/>
      <c r="O164" s="563"/>
      <c r="P164" s="559" t="s">
        <v>40</v>
      </c>
      <c r="Q164" s="560"/>
      <c r="R164" s="560"/>
      <c r="S164" s="560"/>
      <c r="T164" s="560"/>
      <c r="U164" s="560"/>
      <c r="V164" s="561"/>
      <c r="W164" s="40" t="s">
        <v>39</v>
      </c>
      <c r="X164" s="41">
        <f>IFERROR(X163/H163,"0")</f>
        <v>0</v>
      </c>
      <c r="Y164" s="41">
        <f>IFERROR(Y163/H163,"0")</f>
        <v>0</v>
      </c>
      <c r="Z164" s="41">
        <f>IFERROR(IF(Z163="",0,Z163),"0")</f>
        <v>0</v>
      </c>
      <c r="AA164" s="64"/>
      <c r="AB164" s="64"/>
      <c r="AC164" s="64"/>
    </row>
    <row r="165" spans="1:68" hidden="1" x14ac:dyDescent="0.2">
      <c r="A165" s="562"/>
      <c r="B165" s="562"/>
      <c r="C165" s="562"/>
      <c r="D165" s="562"/>
      <c r="E165" s="562"/>
      <c r="F165" s="562"/>
      <c r="G165" s="562"/>
      <c r="H165" s="562"/>
      <c r="I165" s="562"/>
      <c r="J165" s="562"/>
      <c r="K165" s="562"/>
      <c r="L165" s="562"/>
      <c r="M165" s="562"/>
      <c r="N165" s="562"/>
      <c r="O165" s="563"/>
      <c r="P165" s="559" t="s">
        <v>40</v>
      </c>
      <c r="Q165" s="560"/>
      <c r="R165" s="560"/>
      <c r="S165" s="560"/>
      <c r="T165" s="560"/>
      <c r="U165" s="560"/>
      <c r="V165" s="561"/>
      <c r="W165" s="40" t="s">
        <v>0</v>
      </c>
      <c r="X165" s="41">
        <f>IFERROR(SUM(X163:X163),"0")</f>
        <v>0</v>
      </c>
      <c r="Y165" s="41">
        <f>IFERROR(SUM(Y163:Y163),"0")</f>
        <v>0</v>
      </c>
      <c r="Z165" s="40"/>
      <c r="AA165" s="64"/>
      <c r="AB165" s="64"/>
      <c r="AC165" s="64"/>
    </row>
    <row r="166" spans="1:68" ht="14.25" hidden="1" customHeight="1" x14ac:dyDescent="0.25">
      <c r="A166" s="554" t="s">
        <v>76</v>
      </c>
      <c r="B166" s="554"/>
      <c r="C166" s="554"/>
      <c r="D166" s="554"/>
      <c r="E166" s="554"/>
      <c r="F166" s="554"/>
      <c r="G166" s="554"/>
      <c r="H166" s="554"/>
      <c r="I166" s="554"/>
      <c r="J166" s="554"/>
      <c r="K166" s="554"/>
      <c r="L166" s="554"/>
      <c r="M166" s="554"/>
      <c r="N166" s="554"/>
      <c r="O166" s="554"/>
      <c r="P166" s="554"/>
      <c r="Q166" s="554"/>
      <c r="R166" s="554"/>
      <c r="S166" s="554"/>
      <c r="T166" s="554"/>
      <c r="U166" s="554"/>
      <c r="V166" s="554"/>
      <c r="W166" s="554"/>
      <c r="X166" s="554"/>
      <c r="Y166" s="554"/>
      <c r="Z166" s="554"/>
      <c r="AA166" s="63"/>
      <c r="AB166" s="63"/>
      <c r="AC166" s="63"/>
    </row>
    <row r="167" spans="1:68" ht="27" customHeight="1" x14ac:dyDescent="0.25">
      <c r="A167" s="60" t="s">
        <v>280</v>
      </c>
      <c r="B167" s="60" t="s">
        <v>281</v>
      </c>
      <c r="C167" s="34">
        <v>4301031191</v>
      </c>
      <c r="D167" s="555">
        <v>4680115880993</v>
      </c>
      <c r="E167" s="555"/>
      <c r="F167" s="59">
        <v>0.7</v>
      </c>
      <c r="G167" s="35">
        <v>6</v>
      </c>
      <c r="H167" s="59">
        <v>4.2</v>
      </c>
      <c r="I167" s="59">
        <v>4.45</v>
      </c>
      <c r="J167" s="35">
        <v>132</v>
      </c>
      <c r="K167" s="35" t="s">
        <v>122</v>
      </c>
      <c r="L167" s="35" t="s">
        <v>45</v>
      </c>
      <c r="M167" s="36" t="s">
        <v>80</v>
      </c>
      <c r="N167" s="36"/>
      <c r="O167" s="35">
        <v>40</v>
      </c>
      <c r="P167" s="73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7" s="557"/>
      <c r="R167" s="557"/>
      <c r="S167" s="557"/>
      <c r="T167" s="558"/>
      <c r="U167" s="37" t="s">
        <v>45</v>
      </c>
      <c r="V167" s="37" t="s">
        <v>45</v>
      </c>
      <c r="W167" s="38" t="s">
        <v>0</v>
      </c>
      <c r="X167" s="56">
        <v>50.4</v>
      </c>
      <c r="Y167" s="53">
        <f t="shared" ref="Y167:Y181" si="11">IFERROR(IF(X167="",0,CEILING((X167/$H167),1)*$H167),"")</f>
        <v>50.400000000000006</v>
      </c>
      <c r="Z167" s="39">
        <f>IFERROR(IF(Y167=0,"",ROUNDUP(Y167/H167,0)*0.00902),"")</f>
        <v>0.10824</v>
      </c>
      <c r="AA167" s="65" t="s">
        <v>45</v>
      </c>
      <c r="AB167" s="66" t="s">
        <v>45</v>
      </c>
      <c r="AC167" s="215" t="s">
        <v>282</v>
      </c>
      <c r="AG167" s="75"/>
      <c r="AJ167" s="79" t="s">
        <v>45</v>
      </c>
      <c r="AK167" s="79">
        <v>0</v>
      </c>
      <c r="BB167" s="216" t="s">
        <v>66</v>
      </c>
      <c r="BM167" s="75">
        <f t="shared" ref="BM167:BM181" si="12">IFERROR(X167*I167/H167,"0")</f>
        <v>53.4</v>
      </c>
      <c r="BN167" s="75">
        <f t="shared" ref="BN167:BN181" si="13">IFERROR(Y167*I167/H167,"0")</f>
        <v>53.400000000000006</v>
      </c>
      <c r="BO167" s="75">
        <f t="shared" ref="BO167:BO181" si="14">IFERROR(1/J167*(X167/H167),"0")</f>
        <v>9.0909090909090912E-2</v>
      </c>
      <c r="BP167" s="75">
        <f t="shared" ref="BP167:BP181" si="15">IFERROR(1/J167*(Y167/H167),"0")</f>
        <v>9.0909090909090912E-2</v>
      </c>
    </row>
    <row r="168" spans="1:68" ht="27" hidden="1" customHeight="1" x14ac:dyDescent="0.25">
      <c r="A168" s="60" t="s">
        <v>283</v>
      </c>
      <c r="B168" s="60" t="s">
        <v>284</v>
      </c>
      <c r="C168" s="34">
        <v>4301031204</v>
      </c>
      <c r="D168" s="555">
        <v>4680115881761</v>
      </c>
      <c r="E168" s="555"/>
      <c r="F168" s="59">
        <v>0.7</v>
      </c>
      <c r="G168" s="35">
        <v>6</v>
      </c>
      <c r="H168" s="59">
        <v>4.2</v>
      </c>
      <c r="I168" s="59">
        <v>4.45</v>
      </c>
      <c r="J168" s="35">
        <v>132</v>
      </c>
      <c r="K168" s="35" t="s">
        <v>122</v>
      </c>
      <c r="L168" s="35" t="s">
        <v>45</v>
      </c>
      <c r="M168" s="36" t="s">
        <v>80</v>
      </c>
      <c r="N168" s="36"/>
      <c r="O168" s="35">
        <v>40</v>
      </c>
      <c r="P168" s="73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8" s="557"/>
      <c r="R168" s="557"/>
      <c r="S168" s="557"/>
      <c r="T168" s="558"/>
      <c r="U168" s="37" t="s">
        <v>45</v>
      </c>
      <c r="V168" s="37" t="s">
        <v>45</v>
      </c>
      <c r="W168" s="38" t="s">
        <v>0</v>
      </c>
      <c r="X168" s="56">
        <v>0</v>
      </c>
      <c r="Y168" s="53">
        <f t="shared" si="11"/>
        <v>0</v>
      </c>
      <c r="Z168" s="39" t="str">
        <f>IFERROR(IF(Y168=0,"",ROUNDUP(Y168/H168,0)*0.00902),"")</f>
        <v/>
      </c>
      <c r="AA168" s="65" t="s">
        <v>45</v>
      </c>
      <c r="AB168" s="66" t="s">
        <v>45</v>
      </c>
      <c r="AC168" s="217" t="s">
        <v>285</v>
      </c>
      <c r="AG168" s="75"/>
      <c r="AJ168" s="79" t="s">
        <v>45</v>
      </c>
      <c r="AK168" s="79">
        <v>0</v>
      </c>
      <c r="BB168" s="218" t="s">
        <v>66</v>
      </c>
      <c r="BM168" s="75">
        <f t="shared" si="12"/>
        <v>0</v>
      </c>
      <c r="BN168" s="75">
        <f t="shared" si="13"/>
        <v>0</v>
      </c>
      <c r="BO168" s="75">
        <f t="shared" si="14"/>
        <v>0</v>
      </c>
      <c r="BP168" s="75">
        <f t="shared" si="15"/>
        <v>0</v>
      </c>
    </row>
    <row r="169" spans="1:68" ht="27" customHeight="1" x14ac:dyDescent="0.25">
      <c r="A169" s="60" t="s">
        <v>286</v>
      </c>
      <c r="B169" s="60" t="s">
        <v>287</v>
      </c>
      <c r="C169" s="34">
        <v>4301031201</v>
      </c>
      <c r="D169" s="555">
        <v>4680115881563</v>
      </c>
      <c r="E169" s="555"/>
      <c r="F169" s="59">
        <v>0.7</v>
      </c>
      <c r="G169" s="35">
        <v>6</v>
      </c>
      <c r="H169" s="59">
        <v>4.2</v>
      </c>
      <c r="I169" s="59">
        <v>4.3899999999999997</v>
      </c>
      <c r="J169" s="35">
        <v>132</v>
      </c>
      <c r="K169" s="35" t="s">
        <v>122</v>
      </c>
      <c r="L169" s="35" t="s">
        <v>45</v>
      </c>
      <c r="M169" s="36" t="s">
        <v>80</v>
      </c>
      <c r="N169" s="36"/>
      <c r="O169" s="35">
        <v>40</v>
      </c>
      <c r="P169" s="72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9" s="557"/>
      <c r="R169" s="557"/>
      <c r="S169" s="557"/>
      <c r="T169" s="558"/>
      <c r="U169" s="37" t="s">
        <v>45</v>
      </c>
      <c r="V169" s="37" t="s">
        <v>45</v>
      </c>
      <c r="W169" s="38" t="s">
        <v>0</v>
      </c>
      <c r="X169" s="56">
        <v>201.6</v>
      </c>
      <c r="Y169" s="53">
        <f t="shared" si="11"/>
        <v>201.60000000000002</v>
      </c>
      <c r="Z169" s="39">
        <f>IFERROR(IF(Y169=0,"",ROUNDUP(Y169/H169,0)*0.00902),"")</f>
        <v>0.43296000000000001</v>
      </c>
      <c r="AA169" s="65" t="s">
        <v>45</v>
      </c>
      <c r="AB169" s="66" t="s">
        <v>45</v>
      </c>
      <c r="AC169" s="219" t="s">
        <v>288</v>
      </c>
      <c r="AG169" s="75"/>
      <c r="AJ169" s="79" t="s">
        <v>45</v>
      </c>
      <c r="AK169" s="79">
        <v>0</v>
      </c>
      <c r="BB169" s="220" t="s">
        <v>66</v>
      </c>
      <c r="BM169" s="75">
        <f t="shared" si="12"/>
        <v>210.71999999999997</v>
      </c>
      <c r="BN169" s="75">
        <f t="shared" si="13"/>
        <v>210.72</v>
      </c>
      <c r="BO169" s="75">
        <f t="shared" si="14"/>
        <v>0.36363636363636365</v>
      </c>
      <c r="BP169" s="75">
        <f t="shared" si="15"/>
        <v>0.36363636363636365</v>
      </c>
    </row>
    <row r="170" spans="1:68" ht="37.5" hidden="1" customHeight="1" x14ac:dyDescent="0.25">
      <c r="A170" s="60" t="s">
        <v>289</v>
      </c>
      <c r="B170" s="60" t="s">
        <v>290</v>
      </c>
      <c r="C170" s="34">
        <v>4301031447</v>
      </c>
      <c r="D170" s="555">
        <v>4680115887565</v>
      </c>
      <c r="E170" s="555"/>
      <c r="F170" s="59">
        <v>0.08</v>
      </c>
      <c r="G170" s="35">
        <v>10</v>
      </c>
      <c r="H170" s="59">
        <v>0.8</v>
      </c>
      <c r="I170" s="59">
        <v>0.93</v>
      </c>
      <c r="J170" s="35">
        <v>216</v>
      </c>
      <c r="K170" s="35" t="s">
        <v>85</v>
      </c>
      <c r="L170" s="35" t="s">
        <v>45</v>
      </c>
      <c r="M170" s="36" t="s">
        <v>80</v>
      </c>
      <c r="N170" s="36"/>
      <c r="O170" s="35">
        <v>45</v>
      </c>
      <c r="P170" s="729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0" s="557"/>
      <c r="R170" s="557"/>
      <c r="S170" s="557"/>
      <c r="T170" s="558"/>
      <c r="U170" s="37" t="s">
        <v>45</v>
      </c>
      <c r="V170" s="37" t="s">
        <v>45</v>
      </c>
      <c r="W170" s="38" t="s">
        <v>0</v>
      </c>
      <c r="X170" s="56">
        <v>0</v>
      </c>
      <c r="Y170" s="53">
        <f t="shared" si="11"/>
        <v>0</v>
      </c>
      <c r="Z170" s="39" t="str">
        <f>IFERROR(IF(Y170=0,"",ROUNDUP(Y170/H170,0)*0.00556),"")</f>
        <v/>
      </c>
      <c r="AA170" s="65" t="s">
        <v>45</v>
      </c>
      <c r="AB170" s="66" t="s">
        <v>45</v>
      </c>
      <c r="AC170" s="221" t="s">
        <v>291</v>
      </c>
      <c r="AG170" s="75"/>
      <c r="AJ170" s="79" t="s">
        <v>45</v>
      </c>
      <c r="AK170" s="79">
        <v>0</v>
      </c>
      <c r="BB170" s="222" t="s">
        <v>66</v>
      </c>
      <c r="BM170" s="75">
        <f t="shared" si="12"/>
        <v>0</v>
      </c>
      <c r="BN170" s="75">
        <f t="shared" si="13"/>
        <v>0</v>
      </c>
      <c r="BO170" s="75">
        <f t="shared" si="14"/>
        <v>0</v>
      </c>
      <c r="BP170" s="75">
        <f t="shared" si="15"/>
        <v>0</v>
      </c>
    </row>
    <row r="171" spans="1:68" ht="27" hidden="1" customHeight="1" x14ac:dyDescent="0.25">
      <c r="A171" s="60" t="s">
        <v>292</v>
      </c>
      <c r="B171" s="60" t="s">
        <v>293</v>
      </c>
      <c r="C171" s="34">
        <v>4301031199</v>
      </c>
      <c r="D171" s="555">
        <v>4680115880986</v>
      </c>
      <c r="E171" s="555"/>
      <c r="F171" s="59">
        <v>0.35</v>
      </c>
      <c r="G171" s="35">
        <v>6</v>
      </c>
      <c r="H171" s="59">
        <v>2.1</v>
      </c>
      <c r="I171" s="59">
        <v>2.23</v>
      </c>
      <c r="J171" s="35">
        <v>234</v>
      </c>
      <c r="K171" s="35" t="s">
        <v>85</v>
      </c>
      <c r="L171" s="35" t="s">
        <v>45</v>
      </c>
      <c r="M171" s="36" t="s">
        <v>80</v>
      </c>
      <c r="N171" s="36"/>
      <c r="O171" s="35">
        <v>40</v>
      </c>
      <c r="P171" s="73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1" s="557"/>
      <c r="R171" s="557"/>
      <c r="S171" s="557"/>
      <c r="T171" s="558"/>
      <c r="U171" s="37" t="s">
        <v>45</v>
      </c>
      <c r="V171" s="37" t="s">
        <v>45</v>
      </c>
      <c r="W171" s="38" t="s">
        <v>0</v>
      </c>
      <c r="X171" s="56">
        <v>0</v>
      </c>
      <c r="Y171" s="53">
        <f t="shared" si="11"/>
        <v>0</v>
      </c>
      <c r="Z171" s="39" t="str">
        <f>IFERROR(IF(Y171=0,"",ROUNDUP(Y171/H171,0)*0.00502),"")</f>
        <v/>
      </c>
      <c r="AA171" s="65" t="s">
        <v>45</v>
      </c>
      <c r="AB171" s="66" t="s">
        <v>45</v>
      </c>
      <c r="AC171" s="223" t="s">
        <v>282</v>
      </c>
      <c r="AG171" s="75"/>
      <c r="AJ171" s="79" t="s">
        <v>45</v>
      </c>
      <c r="AK171" s="79">
        <v>0</v>
      </c>
      <c r="BB171" s="224" t="s">
        <v>66</v>
      </c>
      <c r="BM171" s="75">
        <f t="shared" si="12"/>
        <v>0</v>
      </c>
      <c r="BN171" s="75">
        <f t="shared" si="13"/>
        <v>0</v>
      </c>
      <c r="BO171" s="75">
        <f t="shared" si="14"/>
        <v>0</v>
      </c>
      <c r="BP171" s="75">
        <f t="shared" si="15"/>
        <v>0</v>
      </c>
    </row>
    <row r="172" spans="1:68" ht="27" hidden="1" customHeight="1" x14ac:dyDescent="0.25">
      <c r="A172" s="60" t="s">
        <v>294</v>
      </c>
      <c r="B172" s="60" t="s">
        <v>295</v>
      </c>
      <c r="C172" s="34">
        <v>4301031443</v>
      </c>
      <c r="D172" s="555">
        <v>4680115887213</v>
      </c>
      <c r="E172" s="555"/>
      <c r="F172" s="59">
        <v>0.3</v>
      </c>
      <c r="G172" s="35">
        <v>6</v>
      </c>
      <c r="H172" s="59">
        <v>1.8</v>
      </c>
      <c r="I172" s="59">
        <v>1.9</v>
      </c>
      <c r="J172" s="35">
        <v>234</v>
      </c>
      <c r="K172" s="35" t="s">
        <v>85</v>
      </c>
      <c r="L172" s="35" t="s">
        <v>45</v>
      </c>
      <c r="M172" s="36" t="s">
        <v>80</v>
      </c>
      <c r="N172" s="36"/>
      <c r="O172" s="35">
        <v>45</v>
      </c>
      <c r="P172" s="73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2" s="557"/>
      <c r="R172" s="557"/>
      <c r="S172" s="557"/>
      <c r="T172" s="558"/>
      <c r="U172" s="37" t="s">
        <v>45</v>
      </c>
      <c r="V172" s="37" t="s">
        <v>45</v>
      </c>
      <c r="W172" s="38" t="s">
        <v>0</v>
      </c>
      <c r="X172" s="56">
        <v>0</v>
      </c>
      <c r="Y172" s="53">
        <f t="shared" si="11"/>
        <v>0</v>
      </c>
      <c r="Z172" s="39" t="str">
        <f>IFERROR(IF(Y172=0,"",ROUNDUP(Y172/H172,0)*0.00502),"")</f>
        <v/>
      </c>
      <c r="AA172" s="65" t="s">
        <v>45</v>
      </c>
      <c r="AB172" s="66" t="s">
        <v>45</v>
      </c>
      <c r="AC172" s="225" t="s">
        <v>296</v>
      </c>
      <c r="AG172" s="75"/>
      <c r="AJ172" s="79" t="s">
        <v>45</v>
      </c>
      <c r="AK172" s="79">
        <v>0</v>
      </c>
      <c r="BB172" s="226" t="s">
        <v>66</v>
      </c>
      <c r="BM172" s="75">
        <f t="shared" si="12"/>
        <v>0</v>
      </c>
      <c r="BN172" s="75">
        <f t="shared" si="13"/>
        <v>0</v>
      </c>
      <c r="BO172" s="75">
        <f t="shared" si="14"/>
        <v>0</v>
      </c>
      <c r="BP172" s="75">
        <f t="shared" si="15"/>
        <v>0</v>
      </c>
    </row>
    <row r="173" spans="1:68" ht="27" hidden="1" customHeight="1" x14ac:dyDescent="0.25">
      <c r="A173" s="60" t="s">
        <v>297</v>
      </c>
      <c r="B173" s="60" t="s">
        <v>298</v>
      </c>
      <c r="C173" s="34">
        <v>4301031205</v>
      </c>
      <c r="D173" s="555">
        <v>4680115881785</v>
      </c>
      <c r="E173" s="555"/>
      <c r="F173" s="59">
        <v>0.35</v>
      </c>
      <c r="G173" s="35">
        <v>6</v>
      </c>
      <c r="H173" s="59">
        <v>2.1</v>
      </c>
      <c r="I173" s="59">
        <v>2.23</v>
      </c>
      <c r="J173" s="35">
        <v>234</v>
      </c>
      <c r="K173" s="35" t="s">
        <v>85</v>
      </c>
      <c r="L173" s="35" t="s">
        <v>45</v>
      </c>
      <c r="M173" s="36" t="s">
        <v>80</v>
      </c>
      <c r="N173" s="36"/>
      <c r="O173" s="35">
        <v>40</v>
      </c>
      <c r="P173" s="732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3" s="557"/>
      <c r="R173" s="557"/>
      <c r="S173" s="557"/>
      <c r="T173" s="558"/>
      <c r="U173" s="37" t="s">
        <v>45</v>
      </c>
      <c r="V173" s="37" t="s">
        <v>45</v>
      </c>
      <c r="W173" s="38" t="s">
        <v>0</v>
      </c>
      <c r="X173" s="56">
        <v>0</v>
      </c>
      <c r="Y173" s="53">
        <f t="shared" si="11"/>
        <v>0</v>
      </c>
      <c r="Z173" s="39" t="str">
        <f>IFERROR(IF(Y173=0,"",ROUNDUP(Y173/H173,0)*0.00502),"")</f>
        <v/>
      </c>
      <c r="AA173" s="65" t="s">
        <v>45</v>
      </c>
      <c r="AB173" s="66" t="s">
        <v>45</v>
      </c>
      <c r="AC173" s="227" t="s">
        <v>285</v>
      </c>
      <c r="AG173" s="75"/>
      <c r="AJ173" s="79" t="s">
        <v>45</v>
      </c>
      <c r="AK173" s="79">
        <v>0</v>
      </c>
      <c r="BB173" s="228" t="s">
        <v>66</v>
      </c>
      <c r="BM173" s="75">
        <f t="shared" si="12"/>
        <v>0</v>
      </c>
      <c r="BN173" s="75">
        <f t="shared" si="13"/>
        <v>0</v>
      </c>
      <c r="BO173" s="75">
        <f t="shared" si="14"/>
        <v>0</v>
      </c>
      <c r="BP173" s="75">
        <f t="shared" si="15"/>
        <v>0</v>
      </c>
    </row>
    <row r="174" spans="1:68" ht="27" hidden="1" customHeight="1" x14ac:dyDescent="0.25">
      <c r="A174" s="60" t="s">
        <v>299</v>
      </c>
      <c r="B174" s="60" t="s">
        <v>300</v>
      </c>
      <c r="C174" s="34">
        <v>4301031463</v>
      </c>
      <c r="D174" s="555">
        <v>4680115887824</v>
      </c>
      <c r="E174" s="555"/>
      <c r="F174" s="59">
        <v>0.15</v>
      </c>
      <c r="G174" s="35">
        <v>16</v>
      </c>
      <c r="H174" s="59">
        <v>2.4</v>
      </c>
      <c r="I174" s="59">
        <v>2.58</v>
      </c>
      <c r="J174" s="35">
        <v>182</v>
      </c>
      <c r="K174" s="35" t="s">
        <v>81</v>
      </c>
      <c r="L174" s="35" t="s">
        <v>45</v>
      </c>
      <c r="M174" s="36" t="s">
        <v>302</v>
      </c>
      <c r="N174" s="36"/>
      <c r="O174" s="35">
        <v>45</v>
      </c>
      <c r="P174" s="723" t="str">
        <f>HYPERLINK("https://abi.ru/products/Охлажденные/Стародворье/Мясорубская/Копченые колбасы/P005231/","Копченые колбасы «Сервелат Вяленый» Фикс.вес 0,15 фиброуз ТМ «Стародворье»")</f>
        <v>Копченые колбасы «Сервелат Вяленый» Фикс.вес 0,15 фиброуз ТМ «Стародворье»</v>
      </c>
      <c r="Q174" s="557"/>
      <c r="R174" s="557"/>
      <c r="S174" s="557"/>
      <c r="T174" s="558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si="11"/>
        <v>0</v>
      </c>
      <c r="Z174" s="39" t="str">
        <f>IFERROR(IF(Y174=0,"",ROUNDUP(Y174/H174,0)*0.00651),"")</f>
        <v/>
      </c>
      <c r="AA174" s="65" t="s">
        <v>45</v>
      </c>
      <c r="AB174" s="66" t="s">
        <v>45</v>
      </c>
      <c r="AC174" s="229" t="s">
        <v>301</v>
      </c>
      <c r="AG174" s="75"/>
      <c r="AJ174" s="79" t="s">
        <v>45</v>
      </c>
      <c r="AK174" s="79">
        <v>0</v>
      </c>
      <c r="BB174" s="230" t="s">
        <v>66</v>
      </c>
      <c r="BM174" s="75">
        <f t="shared" si="12"/>
        <v>0</v>
      </c>
      <c r="BN174" s="75">
        <f t="shared" si="13"/>
        <v>0</v>
      </c>
      <c r="BO174" s="75">
        <f t="shared" si="14"/>
        <v>0</v>
      </c>
      <c r="BP174" s="75">
        <f t="shared" si="15"/>
        <v>0</v>
      </c>
    </row>
    <row r="175" spans="1:68" ht="27" hidden="1" customHeight="1" x14ac:dyDescent="0.25">
      <c r="A175" s="60" t="s">
        <v>303</v>
      </c>
      <c r="B175" s="60" t="s">
        <v>304</v>
      </c>
      <c r="C175" s="34">
        <v>4301031464</v>
      </c>
      <c r="D175" s="555">
        <v>4680115887701</v>
      </c>
      <c r="E175" s="555"/>
      <c r="F175" s="59">
        <v>0.3</v>
      </c>
      <c r="G175" s="35">
        <v>8</v>
      </c>
      <c r="H175" s="59">
        <v>2.4</v>
      </c>
      <c r="I175" s="59">
        <v>2.58</v>
      </c>
      <c r="J175" s="35">
        <v>182</v>
      </c>
      <c r="K175" s="35" t="s">
        <v>81</v>
      </c>
      <c r="L175" s="35" t="s">
        <v>45</v>
      </c>
      <c r="M175" s="36" t="s">
        <v>302</v>
      </c>
      <c r="N175" s="36"/>
      <c r="O175" s="35">
        <v>60</v>
      </c>
      <c r="P175" s="724" t="str">
        <f>HYPERLINK("https://abi.ru/products/Охлажденные/Стародворье/Мясорубская/Копченые колбасы/P005232/","Копченые колбасы «Сервелат Вяленый» Фикс.вес 0,3 фиброуз ТМ «Стародворье»")</f>
        <v>Копченые колбасы «Сервелат Вяленый» Фикс.вес 0,3 фиброуз ТМ «Стародворье»</v>
      </c>
      <c r="Q175" s="557"/>
      <c r="R175" s="557"/>
      <c r="S175" s="557"/>
      <c r="T175" s="558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11"/>
        <v>0</v>
      </c>
      <c r="Z175" s="39" t="str">
        <f>IFERROR(IF(Y175=0,"",ROUNDUP(Y175/H175,0)*0.00651),"")</f>
        <v/>
      </c>
      <c r="AA175" s="65" t="s">
        <v>45</v>
      </c>
      <c r="AB175" s="66" t="s">
        <v>45</v>
      </c>
      <c r="AC175" s="231" t="s">
        <v>301</v>
      </c>
      <c r="AG175" s="75"/>
      <c r="AJ175" s="79" t="s">
        <v>45</v>
      </c>
      <c r="AK175" s="79">
        <v>0</v>
      </c>
      <c r="BB175" s="232" t="s">
        <v>66</v>
      </c>
      <c r="BM175" s="75">
        <f t="shared" si="12"/>
        <v>0</v>
      </c>
      <c r="BN175" s="75">
        <f t="shared" si="13"/>
        <v>0</v>
      </c>
      <c r="BO175" s="75">
        <f t="shared" si="14"/>
        <v>0</v>
      </c>
      <c r="BP175" s="75">
        <f t="shared" si="15"/>
        <v>0</v>
      </c>
    </row>
    <row r="176" spans="1:68" ht="27" hidden="1" customHeight="1" x14ac:dyDescent="0.25">
      <c r="A176" s="60" t="s">
        <v>305</v>
      </c>
      <c r="B176" s="60" t="s">
        <v>306</v>
      </c>
      <c r="C176" s="34">
        <v>4301031427</v>
      </c>
      <c r="D176" s="555">
        <v>4680115888104</v>
      </c>
      <c r="E176" s="555"/>
      <c r="F176" s="59">
        <v>0.35</v>
      </c>
      <c r="G176" s="35">
        <v>6</v>
      </c>
      <c r="H176" s="59">
        <v>2.1</v>
      </c>
      <c r="I176" s="59">
        <v>2.2000000000000002</v>
      </c>
      <c r="J176" s="35">
        <v>234</v>
      </c>
      <c r="K176" s="35" t="s">
        <v>85</v>
      </c>
      <c r="L176" s="35" t="s">
        <v>45</v>
      </c>
      <c r="M176" s="36" t="s">
        <v>80</v>
      </c>
      <c r="N176" s="36"/>
      <c r="O176" s="35">
        <v>45</v>
      </c>
      <c r="P176" s="725" t="s">
        <v>307</v>
      </c>
      <c r="Q176" s="557"/>
      <c r="R176" s="557"/>
      <c r="S176" s="557"/>
      <c r="T176" s="558"/>
      <c r="U176" s="37" t="s">
        <v>45</v>
      </c>
      <c r="V176" s="37" t="s">
        <v>45</v>
      </c>
      <c r="W176" s="38" t="s">
        <v>0</v>
      </c>
      <c r="X176" s="56">
        <v>0</v>
      </c>
      <c r="Y176" s="53">
        <f t="shared" si="11"/>
        <v>0</v>
      </c>
      <c r="Z176" s="39" t="str">
        <f>IFERROR(IF(Y176=0,"",ROUNDUP(Y176/H176,0)*0.00502),"")</f>
        <v/>
      </c>
      <c r="AA176" s="65" t="s">
        <v>45</v>
      </c>
      <c r="AB176" s="66" t="s">
        <v>45</v>
      </c>
      <c r="AC176" s="233" t="s">
        <v>308</v>
      </c>
      <c r="AG176" s="75"/>
      <c r="AJ176" s="79" t="s">
        <v>45</v>
      </c>
      <c r="AK176" s="79">
        <v>0</v>
      </c>
      <c r="BB176" s="234" t="s">
        <v>66</v>
      </c>
      <c r="BM176" s="75">
        <f t="shared" si="12"/>
        <v>0</v>
      </c>
      <c r="BN176" s="75">
        <f t="shared" si="13"/>
        <v>0</v>
      </c>
      <c r="BO176" s="75">
        <f t="shared" si="14"/>
        <v>0</v>
      </c>
      <c r="BP176" s="75">
        <f t="shared" si="15"/>
        <v>0</v>
      </c>
    </row>
    <row r="177" spans="1:68" ht="27" hidden="1" customHeight="1" x14ac:dyDescent="0.25">
      <c r="A177" s="60" t="s">
        <v>309</v>
      </c>
      <c r="B177" s="60" t="s">
        <v>310</v>
      </c>
      <c r="C177" s="34">
        <v>4301031399</v>
      </c>
      <c r="D177" s="555">
        <v>4680115886537</v>
      </c>
      <c r="E177" s="555"/>
      <c r="F177" s="59">
        <v>0.3</v>
      </c>
      <c r="G177" s="35">
        <v>6</v>
      </c>
      <c r="H177" s="59">
        <v>1.8</v>
      </c>
      <c r="I177" s="59">
        <v>1.93</v>
      </c>
      <c r="J177" s="35">
        <v>234</v>
      </c>
      <c r="K177" s="35" t="s">
        <v>85</v>
      </c>
      <c r="L177" s="35" t="s">
        <v>45</v>
      </c>
      <c r="M177" s="36" t="s">
        <v>80</v>
      </c>
      <c r="N177" s="36"/>
      <c r="O177" s="35">
        <v>40</v>
      </c>
      <c r="P177" s="72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7" s="557"/>
      <c r="R177" s="557"/>
      <c r="S177" s="557"/>
      <c r="T177" s="558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11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35" t="s">
        <v>311</v>
      </c>
      <c r="AG177" s="75"/>
      <c r="AJ177" s="79" t="s">
        <v>45</v>
      </c>
      <c r="AK177" s="79">
        <v>0</v>
      </c>
      <c r="BB177" s="236" t="s">
        <v>66</v>
      </c>
      <c r="BM177" s="75">
        <f t="shared" si="12"/>
        <v>0</v>
      </c>
      <c r="BN177" s="75">
        <f t="shared" si="13"/>
        <v>0</v>
      </c>
      <c r="BO177" s="75">
        <f t="shared" si="14"/>
        <v>0</v>
      </c>
      <c r="BP177" s="75">
        <f t="shared" si="15"/>
        <v>0</v>
      </c>
    </row>
    <row r="178" spans="1:68" ht="27" hidden="1" customHeight="1" x14ac:dyDescent="0.25">
      <c r="A178" s="60" t="s">
        <v>312</v>
      </c>
      <c r="B178" s="60" t="s">
        <v>313</v>
      </c>
      <c r="C178" s="34">
        <v>4301031279</v>
      </c>
      <c r="D178" s="555">
        <v>4680115887596</v>
      </c>
      <c r="E178" s="555"/>
      <c r="F178" s="59">
        <v>0.08</v>
      </c>
      <c r="G178" s="35">
        <v>10</v>
      </c>
      <c r="H178" s="59">
        <v>0.8</v>
      </c>
      <c r="I178" s="59">
        <v>1.01</v>
      </c>
      <c r="J178" s="35">
        <v>336</v>
      </c>
      <c r="K178" s="35" t="s">
        <v>156</v>
      </c>
      <c r="L178" s="35" t="s">
        <v>45</v>
      </c>
      <c r="M178" s="36" t="s">
        <v>80</v>
      </c>
      <c r="N178" s="36"/>
      <c r="O178" s="35">
        <v>45</v>
      </c>
      <c r="P178" s="727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8" s="557"/>
      <c r="R178" s="557"/>
      <c r="S178" s="557"/>
      <c r="T178" s="558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11"/>
        <v>0</v>
      </c>
      <c r="Z178" s="39" t="str">
        <f>IFERROR(IF(Y178=0,"",ROUNDUP(Y178/H178,0)*0.00417),"")</f>
        <v/>
      </c>
      <c r="AA178" s="65" t="s">
        <v>45</v>
      </c>
      <c r="AB178" s="66" t="s">
        <v>45</v>
      </c>
      <c r="AC178" s="237" t="s">
        <v>314</v>
      </c>
      <c r="AG178" s="75"/>
      <c r="AJ178" s="79" t="s">
        <v>45</v>
      </c>
      <c r="AK178" s="79">
        <v>0</v>
      </c>
      <c r="BB178" s="238" t="s">
        <v>66</v>
      </c>
      <c r="BM178" s="75">
        <f t="shared" si="12"/>
        <v>0</v>
      </c>
      <c r="BN178" s="75">
        <f t="shared" si="13"/>
        <v>0</v>
      </c>
      <c r="BO178" s="75">
        <f t="shared" si="14"/>
        <v>0</v>
      </c>
      <c r="BP178" s="75">
        <f t="shared" si="15"/>
        <v>0</v>
      </c>
    </row>
    <row r="179" spans="1:68" ht="37.5" customHeight="1" x14ac:dyDescent="0.25">
      <c r="A179" s="60" t="s">
        <v>315</v>
      </c>
      <c r="B179" s="60" t="s">
        <v>316</v>
      </c>
      <c r="C179" s="34">
        <v>4301031202</v>
      </c>
      <c r="D179" s="555">
        <v>4680115881679</v>
      </c>
      <c r="E179" s="555"/>
      <c r="F179" s="59">
        <v>0.35</v>
      </c>
      <c r="G179" s="35">
        <v>6</v>
      </c>
      <c r="H179" s="59">
        <v>2.1</v>
      </c>
      <c r="I179" s="59">
        <v>2.2000000000000002</v>
      </c>
      <c r="J179" s="35">
        <v>234</v>
      </c>
      <c r="K179" s="35" t="s">
        <v>85</v>
      </c>
      <c r="L179" s="35" t="s">
        <v>45</v>
      </c>
      <c r="M179" s="36" t="s">
        <v>80</v>
      </c>
      <c r="N179" s="36"/>
      <c r="O179" s="35">
        <v>40</v>
      </c>
      <c r="P179" s="72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9" s="557"/>
      <c r="R179" s="557"/>
      <c r="S179" s="557"/>
      <c r="T179" s="558"/>
      <c r="U179" s="37" t="s">
        <v>45</v>
      </c>
      <c r="V179" s="37" t="s">
        <v>45</v>
      </c>
      <c r="W179" s="38" t="s">
        <v>0</v>
      </c>
      <c r="X179" s="56">
        <v>37.799999999999997</v>
      </c>
      <c r="Y179" s="53">
        <f t="shared" si="11"/>
        <v>37.800000000000004</v>
      </c>
      <c r="Z179" s="39">
        <f>IFERROR(IF(Y179=0,"",ROUNDUP(Y179/H179,0)*0.00502),"")</f>
        <v>9.0359999999999996E-2</v>
      </c>
      <c r="AA179" s="65" t="s">
        <v>45</v>
      </c>
      <c r="AB179" s="66" t="s">
        <v>45</v>
      </c>
      <c r="AC179" s="239" t="s">
        <v>288</v>
      </c>
      <c r="AG179" s="75"/>
      <c r="AJ179" s="79" t="s">
        <v>45</v>
      </c>
      <c r="AK179" s="79">
        <v>0</v>
      </c>
      <c r="BB179" s="240" t="s">
        <v>66</v>
      </c>
      <c r="BM179" s="75">
        <f t="shared" si="12"/>
        <v>39.599999999999994</v>
      </c>
      <c r="BN179" s="75">
        <f t="shared" si="13"/>
        <v>39.6</v>
      </c>
      <c r="BO179" s="75">
        <f t="shared" si="14"/>
        <v>7.6923076923076913E-2</v>
      </c>
      <c r="BP179" s="75">
        <f t="shared" si="15"/>
        <v>7.6923076923076927E-2</v>
      </c>
    </row>
    <row r="180" spans="1:68" ht="27" hidden="1" customHeight="1" x14ac:dyDescent="0.25">
      <c r="A180" s="60" t="s">
        <v>317</v>
      </c>
      <c r="B180" s="60" t="s">
        <v>318</v>
      </c>
      <c r="C180" s="34">
        <v>4301031158</v>
      </c>
      <c r="D180" s="555">
        <v>4680115880191</v>
      </c>
      <c r="E180" s="555"/>
      <c r="F180" s="59">
        <v>0.4</v>
      </c>
      <c r="G180" s="35">
        <v>6</v>
      </c>
      <c r="H180" s="59">
        <v>2.4</v>
      </c>
      <c r="I180" s="59">
        <v>2.58</v>
      </c>
      <c r="J180" s="35">
        <v>182</v>
      </c>
      <c r="K180" s="35" t="s">
        <v>81</v>
      </c>
      <c r="L180" s="35" t="s">
        <v>45</v>
      </c>
      <c r="M180" s="36" t="s">
        <v>80</v>
      </c>
      <c r="N180" s="36"/>
      <c r="O180" s="35">
        <v>40</v>
      </c>
      <c r="P180" s="72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0" s="557"/>
      <c r="R180" s="557"/>
      <c r="S180" s="557"/>
      <c r="T180" s="558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11"/>
        <v>0</v>
      </c>
      <c r="Z180" s="39" t="str">
        <f>IFERROR(IF(Y180=0,"",ROUNDUP(Y180/H180,0)*0.00651),"")</f>
        <v/>
      </c>
      <c r="AA180" s="65" t="s">
        <v>45</v>
      </c>
      <c r="AB180" s="66" t="s">
        <v>45</v>
      </c>
      <c r="AC180" s="241" t="s">
        <v>288</v>
      </c>
      <c r="AG180" s="75"/>
      <c r="AJ180" s="79" t="s">
        <v>45</v>
      </c>
      <c r="AK180" s="79">
        <v>0</v>
      </c>
      <c r="BB180" s="242" t="s">
        <v>66</v>
      </c>
      <c r="BM180" s="75">
        <f t="shared" si="12"/>
        <v>0</v>
      </c>
      <c r="BN180" s="75">
        <f t="shared" si="13"/>
        <v>0</v>
      </c>
      <c r="BO180" s="75">
        <f t="shared" si="14"/>
        <v>0</v>
      </c>
      <c r="BP180" s="75">
        <f t="shared" si="15"/>
        <v>0</v>
      </c>
    </row>
    <row r="181" spans="1:68" ht="27" hidden="1" customHeight="1" x14ac:dyDescent="0.25">
      <c r="A181" s="60" t="s">
        <v>319</v>
      </c>
      <c r="B181" s="60" t="s">
        <v>320</v>
      </c>
      <c r="C181" s="34">
        <v>4301031245</v>
      </c>
      <c r="D181" s="555">
        <v>4680115883963</v>
      </c>
      <c r="E181" s="555"/>
      <c r="F181" s="59">
        <v>0.28000000000000003</v>
      </c>
      <c r="G181" s="35">
        <v>6</v>
      </c>
      <c r="H181" s="59">
        <v>1.68</v>
      </c>
      <c r="I181" s="59">
        <v>1.78</v>
      </c>
      <c r="J181" s="35">
        <v>234</v>
      </c>
      <c r="K181" s="35" t="s">
        <v>85</v>
      </c>
      <c r="L181" s="35" t="s">
        <v>45</v>
      </c>
      <c r="M181" s="36" t="s">
        <v>80</v>
      </c>
      <c r="N181" s="36"/>
      <c r="O181" s="35">
        <v>40</v>
      </c>
      <c r="P181" s="7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1" s="557"/>
      <c r="R181" s="557"/>
      <c r="S181" s="557"/>
      <c r="T181" s="558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11"/>
        <v>0</v>
      </c>
      <c r="Z181" s="39" t="str">
        <f>IFERROR(IF(Y181=0,"",ROUNDUP(Y181/H181,0)*0.00502),"")</f>
        <v/>
      </c>
      <c r="AA181" s="65" t="s">
        <v>45</v>
      </c>
      <c r="AB181" s="66" t="s">
        <v>45</v>
      </c>
      <c r="AC181" s="243" t="s">
        <v>321</v>
      </c>
      <c r="AG181" s="75"/>
      <c r="AJ181" s="79" t="s">
        <v>45</v>
      </c>
      <c r="AK181" s="79">
        <v>0</v>
      </c>
      <c r="BB181" s="244" t="s">
        <v>66</v>
      </c>
      <c r="BM181" s="75">
        <f t="shared" si="12"/>
        <v>0</v>
      </c>
      <c r="BN181" s="75">
        <f t="shared" si="13"/>
        <v>0</v>
      </c>
      <c r="BO181" s="75">
        <f t="shared" si="14"/>
        <v>0</v>
      </c>
      <c r="BP181" s="75">
        <f t="shared" si="15"/>
        <v>0</v>
      </c>
    </row>
    <row r="182" spans="1:68" x14ac:dyDescent="0.2">
      <c r="A182" s="562"/>
      <c r="B182" s="562"/>
      <c r="C182" s="562"/>
      <c r="D182" s="562"/>
      <c r="E182" s="562"/>
      <c r="F182" s="562"/>
      <c r="G182" s="562"/>
      <c r="H182" s="562"/>
      <c r="I182" s="562"/>
      <c r="J182" s="562"/>
      <c r="K182" s="562"/>
      <c r="L182" s="562"/>
      <c r="M182" s="562"/>
      <c r="N182" s="562"/>
      <c r="O182" s="563"/>
      <c r="P182" s="559" t="s">
        <v>40</v>
      </c>
      <c r="Q182" s="560"/>
      <c r="R182" s="560"/>
      <c r="S182" s="560"/>
      <c r="T182" s="560"/>
      <c r="U182" s="560"/>
      <c r="V182" s="561"/>
      <c r="W182" s="40" t="s">
        <v>39</v>
      </c>
      <c r="X182" s="41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+IFERROR(X181/H181,"0")</f>
        <v>78</v>
      </c>
      <c r="Y182" s="41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+IFERROR(Y181/H181,"0")</f>
        <v>78</v>
      </c>
      <c r="Z182" s="41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+IFERROR(IF(Z181="",0,Z181),"0")</f>
        <v>0.63156000000000001</v>
      </c>
      <c r="AA182" s="64"/>
      <c r="AB182" s="64"/>
      <c r="AC182" s="64"/>
    </row>
    <row r="183" spans="1:68" x14ac:dyDescent="0.2">
      <c r="A183" s="562"/>
      <c r="B183" s="562"/>
      <c r="C183" s="562"/>
      <c r="D183" s="562"/>
      <c r="E183" s="562"/>
      <c r="F183" s="562"/>
      <c r="G183" s="562"/>
      <c r="H183" s="562"/>
      <c r="I183" s="562"/>
      <c r="J183" s="562"/>
      <c r="K183" s="562"/>
      <c r="L183" s="562"/>
      <c r="M183" s="562"/>
      <c r="N183" s="562"/>
      <c r="O183" s="563"/>
      <c r="P183" s="559" t="s">
        <v>40</v>
      </c>
      <c r="Q183" s="560"/>
      <c r="R183" s="560"/>
      <c r="S183" s="560"/>
      <c r="T183" s="560"/>
      <c r="U183" s="560"/>
      <c r="V183" s="561"/>
      <c r="W183" s="40" t="s">
        <v>0</v>
      </c>
      <c r="X183" s="41">
        <f>IFERROR(SUM(X167:X181),"0")</f>
        <v>289.8</v>
      </c>
      <c r="Y183" s="41">
        <f>IFERROR(SUM(Y167:Y181),"0")</f>
        <v>289.8</v>
      </c>
      <c r="Z183" s="40"/>
      <c r="AA183" s="64"/>
      <c r="AB183" s="64"/>
      <c r="AC183" s="64"/>
    </row>
    <row r="184" spans="1:68" ht="14.25" hidden="1" customHeight="1" x14ac:dyDescent="0.25">
      <c r="A184" s="554" t="s">
        <v>106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63"/>
      <c r="AB184" s="63"/>
      <c r="AC184" s="63"/>
    </row>
    <row r="185" spans="1:68" ht="27" hidden="1" customHeight="1" x14ac:dyDescent="0.25">
      <c r="A185" s="60" t="s">
        <v>322</v>
      </c>
      <c r="B185" s="60" t="s">
        <v>323</v>
      </c>
      <c r="C185" s="34">
        <v>4301032053</v>
      </c>
      <c r="D185" s="555">
        <v>4680115886780</v>
      </c>
      <c r="E185" s="555"/>
      <c r="F185" s="59">
        <v>7.0000000000000007E-2</v>
      </c>
      <c r="G185" s="35">
        <v>18</v>
      </c>
      <c r="H185" s="59">
        <v>1.26</v>
      </c>
      <c r="I185" s="59">
        <v>1.45</v>
      </c>
      <c r="J185" s="35">
        <v>216</v>
      </c>
      <c r="K185" s="35" t="s">
        <v>325</v>
      </c>
      <c r="L185" s="35" t="s">
        <v>45</v>
      </c>
      <c r="M185" s="36" t="s">
        <v>302</v>
      </c>
      <c r="N185" s="36"/>
      <c r="O185" s="35">
        <v>60</v>
      </c>
      <c r="P185" s="71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5" s="557"/>
      <c r="R185" s="557"/>
      <c r="S185" s="557"/>
      <c r="T185" s="558"/>
      <c r="U185" s="37" t="s">
        <v>45</v>
      </c>
      <c r="V185" s="37" t="s">
        <v>45</v>
      </c>
      <c r="W185" s="38" t="s">
        <v>0</v>
      </c>
      <c r="X185" s="56">
        <v>0</v>
      </c>
      <c r="Y185" s="53">
        <f>IFERROR(IF(X185="",0,CEILING((X185/$H185),1)*$H185),"")</f>
        <v>0</v>
      </c>
      <c r="Z185" s="39" t="str">
        <f>IFERROR(IF(Y185=0,"",ROUNDUP(Y185/H185,0)*0.0059),"")</f>
        <v/>
      </c>
      <c r="AA185" s="65" t="s">
        <v>45</v>
      </c>
      <c r="AB185" s="66" t="s">
        <v>45</v>
      </c>
      <c r="AC185" s="245" t="s">
        <v>324</v>
      </c>
      <c r="AG185" s="75"/>
      <c r="AJ185" s="79" t="s">
        <v>45</v>
      </c>
      <c r="AK185" s="79">
        <v>0</v>
      </c>
      <c r="BB185" s="246" t="s">
        <v>66</v>
      </c>
      <c r="BM185" s="75">
        <f>IFERROR(X185*I185/H185,"0")</f>
        <v>0</v>
      </c>
      <c r="BN185" s="75">
        <f>IFERROR(Y185*I185/H185,"0")</f>
        <v>0</v>
      </c>
      <c r="BO185" s="75">
        <f>IFERROR(1/J185*(X185/H185),"0")</f>
        <v>0</v>
      </c>
      <c r="BP185" s="75">
        <f>IFERROR(1/J185*(Y185/H185),"0")</f>
        <v>0</v>
      </c>
    </row>
    <row r="186" spans="1:68" ht="27" hidden="1" customHeight="1" x14ac:dyDescent="0.25">
      <c r="A186" s="60" t="s">
        <v>326</v>
      </c>
      <c r="B186" s="60" t="s">
        <v>327</v>
      </c>
      <c r="C186" s="34">
        <v>4301032051</v>
      </c>
      <c r="D186" s="555">
        <v>4680115886742</v>
      </c>
      <c r="E186" s="555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325</v>
      </c>
      <c r="L186" s="35" t="s">
        <v>45</v>
      </c>
      <c r="M186" s="36" t="s">
        <v>302</v>
      </c>
      <c r="N186" s="36"/>
      <c r="O186" s="35">
        <v>90</v>
      </c>
      <c r="P186" s="718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6" s="557"/>
      <c r="R186" s="557"/>
      <c r="S186" s="557"/>
      <c r="T186" s="558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45</v>
      </c>
      <c r="AC186" s="247" t="s">
        <v>328</v>
      </c>
      <c r="AG186" s="75"/>
      <c r="AJ186" s="79" t="s">
        <v>45</v>
      </c>
      <c r="AK186" s="79">
        <v>0</v>
      </c>
      <c r="BB186" s="248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329</v>
      </c>
      <c r="B187" s="60" t="s">
        <v>330</v>
      </c>
      <c r="C187" s="34">
        <v>4301032052</v>
      </c>
      <c r="D187" s="555">
        <v>4680115886766</v>
      </c>
      <c r="E187" s="555"/>
      <c r="F187" s="59">
        <v>7.0000000000000007E-2</v>
      </c>
      <c r="G187" s="35">
        <v>18</v>
      </c>
      <c r="H187" s="59">
        <v>1.26</v>
      </c>
      <c r="I187" s="59">
        <v>1.45</v>
      </c>
      <c r="J187" s="35">
        <v>216</v>
      </c>
      <c r="K187" s="35" t="s">
        <v>325</v>
      </c>
      <c r="L187" s="35" t="s">
        <v>45</v>
      </c>
      <c r="M187" s="36" t="s">
        <v>302</v>
      </c>
      <c r="N187" s="36"/>
      <c r="O187" s="35">
        <v>90</v>
      </c>
      <c r="P187" s="719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7" s="557"/>
      <c r="R187" s="557"/>
      <c r="S187" s="557"/>
      <c r="T187" s="558"/>
      <c r="U187" s="37" t="s">
        <v>45</v>
      </c>
      <c r="V187" s="37" t="s">
        <v>45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45</v>
      </c>
      <c r="AB187" s="66" t="s">
        <v>45</v>
      </c>
      <c r="AC187" s="249" t="s">
        <v>328</v>
      </c>
      <c r="AG187" s="75"/>
      <c r="AJ187" s="79" t="s">
        <v>45</v>
      </c>
      <c r="AK187" s="79">
        <v>0</v>
      </c>
      <c r="BB187" s="250" t="s">
        <v>66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562"/>
      <c r="B188" s="562"/>
      <c r="C188" s="562"/>
      <c r="D188" s="562"/>
      <c r="E188" s="562"/>
      <c r="F188" s="562"/>
      <c r="G188" s="562"/>
      <c r="H188" s="562"/>
      <c r="I188" s="562"/>
      <c r="J188" s="562"/>
      <c r="K188" s="562"/>
      <c r="L188" s="562"/>
      <c r="M188" s="562"/>
      <c r="N188" s="562"/>
      <c r="O188" s="563"/>
      <c r="P188" s="559" t="s">
        <v>40</v>
      </c>
      <c r="Q188" s="560"/>
      <c r="R188" s="560"/>
      <c r="S188" s="560"/>
      <c r="T188" s="560"/>
      <c r="U188" s="560"/>
      <c r="V188" s="561"/>
      <c r="W188" s="40" t="s">
        <v>39</v>
      </c>
      <c r="X188" s="41">
        <f>IFERROR(X185/H185,"0")+IFERROR(X186/H186,"0")+IFERROR(X187/H187,"0")</f>
        <v>0</v>
      </c>
      <c r="Y188" s="41">
        <f>IFERROR(Y185/H185,"0")+IFERROR(Y186/H186,"0")+IFERROR(Y187/H187,"0")</f>
        <v>0</v>
      </c>
      <c r="Z188" s="41">
        <f>IFERROR(IF(Z185="",0,Z185),"0")+IFERROR(IF(Z186="",0,Z186),"0")+IFERROR(IF(Z187="",0,Z187),"0")</f>
        <v>0</v>
      </c>
      <c r="AA188" s="64"/>
      <c r="AB188" s="64"/>
      <c r="AC188" s="64"/>
    </row>
    <row r="189" spans="1:68" hidden="1" x14ac:dyDescent="0.2">
      <c r="A189" s="562"/>
      <c r="B189" s="562"/>
      <c r="C189" s="562"/>
      <c r="D189" s="562"/>
      <c r="E189" s="562"/>
      <c r="F189" s="562"/>
      <c r="G189" s="562"/>
      <c r="H189" s="562"/>
      <c r="I189" s="562"/>
      <c r="J189" s="562"/>
      <c r="K189" s="562"/>
      <c r="L189" s="562"/>
      <c r="M189" s="562"/>
      <c r="N189" s="562"/>
      <c r="O189" s="563"/>
      <c r="P189" s="559" t="s">
        <v>40</v>
      </c>
      <c r="Q189" s="560"/>
      <c r="R189" s="560"/>
      <c r="S189" s="560"/>
      <c r="T189" s="560"/>
      <c r="U189" s="560"/>
      <c r="V189" s="561"/>
      <c r="W189" s="40" t="s">
        <v>0</v>
      </c>
      <c r="X189" s="41">
        <f>IFERROR(SUM(X185:X187),"0")</f>
        <v>0</v>
      </c>
      <c r="Y189" s="41">
        <f>IFERROR(SUM(Y185:Y187),"0")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554" t="s">
        <v>331</v>
      </c>
      <c r="B190" s="554"/>
      <c r="C190" s="554"/>
      <c r="D190" s="554"/>
      <c r="E190" s="554"/>
      <c r="F190" s="554"/>
      <c r="G190" s="554"/>
      <c r="H190" s="554"/>
      <c r="I190" s="554"/>
      <c r="J190" s="554"/>
      <c r="K190" s="554"/>
      <c r="L190" s="554"/>
      <c r="M190" s="554"/>
      <c r="N190" s="554"/>
      <c r="O190" s="554"/>
      <c r="P190" s="554"/>
      <c r="Q190" s="554"/>
      <c r="R190" s="554"/>
      <c r="S190" s="554"/>
      <c r="T190" s="554"/>
      <c r="U190" s="554"/>
      <c r="V190" s="554"/>
      <c r="W190" s="554"/>
      <c r="X190" s="554"/>
      <c r="Y190" s="554"/>
      <c r="Z190" s="554"/>
      <c r="AA190" s="63"/>
      <c r="AB190" s="63"/>
      <c r="AC190" s="63"/>
    </row>
    <row r="191" spans="1:68" ht="27" hidden="1" customHeight="1" x14ac:dyDescent="0.25">
      <c r="A191" s="60" t="s">
        <v>332</v>
      </c>
      <c r="B191" s="60" t="s">
        <v>333</v>
      </c>
      <c r="C191" s="34">
        <v>4301170013</v>
      </c>
      <c r="D191" s="555">
        <v>4680115886797</v>
      </c>
      <c r="E191" s="555"/>
      <c r="F191" s="59">
        <v>7.0000000000000007E-2</v>
      </c>
      <c r="G191" s="35">
        <v>18</v>
      </c>
      <c r="H191" s="59">
        <v>1.26</v>
      </c>
      <c r="I191" s="59">
        <v>1.45</v>
      </c>
      <c r="J191" s="35">
        <v>216</v>
      </c>
      <c r="K191" s="35" t="s">
        <v>325</v>
      </c>
      <c r="L191" s="35" t="s">
        <v>45</v>
      </c>
      <c r="M191" s="36" t="s">
        <v>302</v>
      </c>
      <c r="N191" s="36"/>
      <c r="O191" s="35">
        <v>90</v>
      </c>
      <c r="P191" s="71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1" s="557"/>
      <c r="R191" s="557"/>
      <c r="S191" s="557"/>
      <c r="T191" s="558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45</v>
      </c>
      <c r="AB191" s="66" t="s">
        <v>45</v>
      </c>
      <c r="AC191" s="251" t="s">
        <v>328</v>
      </c>
      <c r="AG191" s="75"/>
      <c r="AJ191" s="79" t="s">
        <v>45</v>
      </c>
      <c r="AK191" s="79">
        <v>0</v>
      </c>
      <c r="BB191" s="252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562"/>
      <c r="B192" s="562"/>
      <c r="C192" s="562"/>
      <c r="D192" s="562"/>
      <c r="E192" s="562"/>
      <c r="F192" s="562"/>
      <c r="G192" s="562"/>
      <c r="H192" s="562"/>
      <c r="I192" s="562"/>
      <c r="J192" s="562"/>
      <c r="K192" s="562"/>
      <c r="L192" s="562"/>
      <c r="M192" s="562"/>
      <c r="N192" s="562"/>
      <c r="O192" s="563"/>
      <c r="P192" s="559" t="s">
        <v>40</v>
      </c>
      <c r="Q192" s="560"/>
      <c r="R192" s="560"/>
      <c r="S192" s="560"/>
      <c r="T192" s="560"/>
      <c r="U192" s="560"/>
      <c r="V192" s="561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hidden="1" x14ac:dyDescent="0.2">
      <c r="A193" s="562"/>
      <c r="B193" s="562"/>
      <c r="C193" s="562"/>
      <c r="D193" s="562"/>
      <c r="E193" s="562"/>
      <c r="F193" s="562"/>
      <c r="G193" s="562"/>
      <c r="H193" s="562"/>
      <c r="I193" s="562"/>
      <c r="J193" s="562"/>
      <c r="K193" s="562"/>
      <c r="L193" s="562"/>
      <c r="M193" s="562"/>
      <c r="N193" s="562"/>
      <c r="O193" s="563"/>
      <c r="P193" s="559" t="s">
        <v>40</v>
      </c>
      <c r="Q193" s="560"/>
      <c r="R193" s="560"/>
      <c r="S193" s="560"/>
      <c r="T193" s="560"/>
      <c r="U193" s="560"/>
      <c r="V193" s="561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16.5" hidden="1" customHeight="1" x14ac:dyDescent="0.25">
      <c r="A194" s="553" t="s">
        <v>334</v>
      </c>
      <c r="B194" s="553"/>
      <c r="C194" s="553"/>
      <c r="D194" s="553"/>
      <c r="E194" s="553"/>
      <c r="F194" s="553"/>
      <c r="G194" s="553"/>
      <c r="H194" s="553"/>
      <c r="I194" s="553"/>
      <c r="J194" s="553"/>
      <c r="K194" s="553"/>
      <c r="L194" s="553"/>
      <c r="M194" s="553"/>
      <c r="N194" s="553"/>
      <c r="O194" s="553"/>
      <c r="P194" s="553"/>
      <c r="Q194" s="553"/>
      <c r="R194" s="553"/>
      <c r="S194" s="553"/>
      <c r="T194" s="553"/>
      <c r="U194" s="553"/>
      <c r="V194" s="553"/>
      <c r="W194" s="553"/>
      <c r="X194" s="553"/>
      <c r="Y194" s="553"/>
      <c r="Z194" s="553"/>
      <c r="AA194" s="62"/>
      <c r="AB194" s="62"/>
      <c r="AC194" s="62"/>
    </row>
    <row r="195" spans="1:68" ht="14.25" hidden="1" customHeight="1" x14ac:dyDescent="0.25">
      <c r="A195" s="554" t="s">
        <v>114</v>
      </c>
      <c r="B195" s="554"/>
      <c r="C195" s="554"/>
      <c r="D195" s="554"/>
      <c r="E195" s="554"/>
      <c r="F195" s="554"/>
      <c r="G195" s="554"/>
      <c r="H195" s="554"/>
      <c r="I195" s="554"/>
      <c r="J195" s="554"/>
      <c r="K195" s="554"/>
      <c r="L195" s="554"/>
      <c r="M195" s="554"/>
      <c r="N195" s="554"/>
      <c r="O195" s="554"/>
      <c r="P195" s="554"/>
      <c r="Q195" s="554"/>
      <c r="R195" s="554"/>
      <c r="S195" s="554"/>
      <c r="T195" s="554"/>
      <c r="U195" s="554"/>
      <c r="V195" s="554"/>
      <c r="W195" s="554"/>
      <c r="X195" s="554"/>
      <c r="Y195" s="554"/>
      <c r="Z195" s="554"/>
      <c r="AA195" s="63"/>
      <c r="AB195" s="63"/>
      <c r="AC195" s="63"/>
    </row>
    <row r="196" spans="1:68" ht="27" hidden="1" customHeight="1" x14ac:dyDescent="0.25">
      <c r="A196" s="60" t="s">
        <v>335</v>
      </c>
      <c r="B196" s="60" t="s">
        <v>336</v>
      </c>
      <c r="C196" s="34">
        <v>4301011450</v>
      </c>
      <c r="D196" s="555">
        <v>4680115881402</v>
      </c>
      <c r="E196" s="555"/>
      <c r="F196" s="59">
        <v>1.35</v>
      </c>
      <c r="G196" s="35">
        <v>8</v>
      </c>
      <c r="H196" s="59">
        <v>10.8</v>
      </c>
      <c r="I196" s="59">
        <v>11.21</v>
      </c>
      <c r="J196" s="35">
        <v>64</v>
      </c>
      <c r="K196" s="35" t="s">
        <v>119</v>
      </c>
      <c r="L196" s="35" t="s">
        <v>45</v>
      </c>
      <c r="M196" s="36" t="s">
        <v>118</v>
      </c>
      <c r="N196" s="36"/>
      <c r="O196" s="35">
        <v>55</v>
      </c>
      <c r="P196" s="71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6" s="557"/>
      <c r="R196" s="557"/>
      <c r="S196" s="557"/>
      <c r="T196" s="558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3" t="s">
        <v>337</v>
      </c>
      <c r="AG196" s="75"/>
      <c r="AJ196" s="79" t="s">
        <v>45</v>
      </c>
      <c r="AK196" s="79">
        <v>0</v>
      </c>
      <c r="BB196" s="254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27" hidden="1" customHeight="1" x14ac:dyDescent="0.25">
      <c r="A197" s="60" t="s">
        <v>338</v>
      </c>
      <c r="B197" s="60" t="s">
        <v>339</v>
      </c>
      <c r="C197" s="34">
        <v>4301011768</v>
      </c>
      <c r="D197" s="555">
        <v>4680115881396</v>
      </c>
      <c r="E197" s="555"/>
      <c r="F197" s="59">
        <v>0.45</v>
      </c>
      <c r="G197" s="35">
        <v>6</v>
      </c>
      <c r="H197" s="59">
        <v>2.7</v>
      </c>
      <c r="I197" s="59">
        <v>2.88</v>
      </c>
      <c r="J197" s="35">
        <v>182</v>
      </c>
      <c r="K197" s="35" t="s">
        <v>81</v>
      </c>
      <c r="L197" s="35" t="s">
        <v>45</v>
      </c>
      <c r="M197" s="36" t="s">
        <v>118</v>
      </c>
      <c r="N197" s="36"/>
      <c r="O197" s="35">
        <v>55</v>
      </c>
      <c r="P197" s="71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7" s="557"/>
      <c r="R197" s="557"/>
      <c r="S197" s="557"/>
      <c r="T197" s="558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55" t="s">
        <v>337</v>
      </c>
      <c r="AG197" s="75"/>
      <c r="AJ197" s="79" t="s">
        <v>45</v>
      </c>
      <c r="AK197" s="79">
        <v>0</v>
      </c>
      <c r="BB197" s="256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idden="1" x14ac:dyDescent="0.2">
      <c r="A198" s="562"/>
      <c r="B198" s="562"/>
      <c r="C198" s="562"/>
      <c r="D198" s="562"/>
      <c r="E198" s="562"/>
      <c r="F198" s="562"/>
      <c r="G198" s="562"/>
      <c r="H198" s="562"/>
      <c r="I198" s="562"/>
      <c r="J198" s="562"/>
      <c r="K198" s="562"/>
      <c r="L198" s="562"/>
      <c r="M198" s="562"/>
      <c r="N198" s="562"/>
      <c r="O198" s="563"/>
      <c r="P198" s="559" t="s">
        <v>40</v>
      </c>
      <c r="Q198" s="560"/>
      <c r="R198" s="560"/>
      <c r="S198" s="560"/>
      <c r="T198" s="560"/>
      <c r="U198" s="560"/>
      <c r="V198" s="561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hidden="1" x14ac:dyDescent="0.2">
      <c r="A199" s="562"/>
      <c r="B199" s="562"/>
      <c r="C199" s="562"/>
      <c r="D199" s="562"/>
      <c r="E199" s="562"/>
      <c r="F199" s="562"/>
      <c r="G199" s="562"/>
      <c r="H199" s="562"/>
      <c r="I199" s="562"/>
      <c r="J199" s="562"/>
      <c r="K199" s="562"/>
      <c r="L199" s="562"/>
      <c r="M199" s="562"/>
      <c r="N199" s="562"/>
      <c r="O199" s="563"/>
      <c r="P199" s="559" t="s">
        <v>40</v>
      </c>
      <c r="Q199" s="560"/>
      <c r="R199" s="560"/>
      <c r="S199" s="560"/>
      <c r="T199" s="560"/>
      <c r="U199" s="560"/>
      <c r="V199" s="561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hidden="1" customHeight="1" x14ac:dyDescent="0.25">
      <c r="A200" s="554" t="s">
        <v>147</v>
      </c>
      <c r="B200" s="554"/>
      <c r="C200" s="554"/>
      <c r="D200" s="554"/>
      <c r="E200" s="554"/>
      <c r="F200" s="554"/>
      <c r="G200" s="554"/>
      <c r="H200" s="554"/>
      <c r="I200" s="554"/>
      <c r="J200" s="554"/>
      <c r="K200" s="554"/>
      <c r="L200" s="554"/>
      <c r="M200" s="554"/>
      <c r="N200" s="554"/>
      <c r="O200" s="554"/>
      <c r="P200" s="554"/>
      <c r="Q200" s="554"/>
      <c r="R200" s="554"/>
      <c r="S200" s="554"/>
      <c r="T200" s="554"/>
      <c r="U200" s="554"/>
      <c r="V200" s="554"/>
      <c r="W200" s="554"/>
      <c r="X200" s="554"/>
      <c r="Y200" s="554"/>
      <c r="Z200" s="554"/>
      <c r="AA200" s="63"/>
      <c r="AB200" s="63"/>
      <c r="AC200" s="63"/>
    </row>
    <row r="201" spans="1:68" ht="16.5" hidden="1" customHeight="1" x14ac:dyDescent="0.25">
      <c r="A201" s="60" t="s">
        <v>340</v>
      </c>
      <c r="B201" s="60" t="s">
        <v>341</v>
      </c>
      <c r="C201" s="34">
        <v>4301020261</v>
      </c>
      <c r="D201" s="555">
        <v>4680115882935</v>
      </c>
      <c r="E201" s="555"/>
      <c r="F201" s="59">
        <v>1.35</v>
      </c>
      <c r="G201" s="35">
        <v>8</v>
      </c>
      <c r="H201" s="59">
        <v>10.8</v>
      </c>
      <c r="I201" s="59">
        <v>11.21</v>
      </c>
      <c r="J201" s="35">
        <v>64</v>
      </c>
      <c r="K201" s="35" t="s">
        <v>119</v>
      </c>
      <c r="L201" s="35" t="s">
        <v>45</v>
      </c>
      <c r="M201" s="36" t="s">
        <v>118</v>
      </c>
      <c r="N201" s="36"/>
      <c r="O201" s="35">
        <v>50</v>
      </c>
      <c r="P201" s="71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1" s="557"/>
      <c r="R201" s="557"/>
      <c r="S201" s="557"/>
      <c r="T201" s="558"/>
      <c r="U201" s="37" t="s">
        <v>45</v>
      </c>
      <c r="V201" s="37" t="s">
        <v>45</v>
      </c>
      <c r="W201" s="38" t="s">
        <v>0</v>
      </c>
      <c r="X201" s="56">
        <v>0</v>
      </c>
      <c r="Y201" s="53">
        <f>IFERROR(IF(X201="",0,CEILING((X201/$H201),1)*$H201),"")</f>
        <v>0</v>
      </c>
      <c r="Z201" s="39" t="str">
        <f>IFERROR(IF(Y201=0,"",ROUNDUP(Y201/H201,0)*0.01898),"")</f>
        <v/>
      </c>
      <c r="AA201" s="65" t="s">
        <v>45</v>
      </c>
      <c r="AB201" s="66" t="s">
        <v>45</v>
      </c>
      <c r="AC201" s="257" t="s">
        <v>342</v>
      </c>
      <c r="AG201" s="75"/>
      <c r="AJ201" s="79" t="s">
        <v>45</v>
      </c>
      <c r="AK201" s="79">
        <v>0</v>
      </c>
      <c r="BB201" s="258" t="s">
        <v>66</v>
      </c>
      <c r="BM201" s="75">
        <f>IFERROR(X201*I201/H201,"0")</f>
        <v>0</v>
      </c>
      <c r="BN201" s="75">
        <f>IFERROR(Y201*I201/H201,"0")</f>
        <v>0</v>
      </c>
      <c r="BO201" s="75">
        <f>IFERROR(1/J201*(X201/H201),"0")</f>
        <v>0</v>
      </c>
      <c r="BP201" s="75">
        <f>IFERROR(1/J201*(Y201/H201),"0")</f>
        <v>0</v>
      </c>
    </row>
    <row r="202" spans="1:68" ht="16.5" hidden="1" customHeight="1" x14ac:dyDescent="0.25">
      <c r="A202" s="60" t="s">
        <v>343</v>
      </c>
      <c r="B202" s="60" t="s">
        <v>344</v>
      </c>
      <c r="C202" s="34">
        <v>4301020220</v>
      </c>
      <c r="D202" s="555">
        <v>4680115880764</v>
      </c>
      <c r="E202" s="555"/>
      <c r="F202" s="59">
        <v>0.35</v>
      </c>
      <c r="G202" s="35">
        <v>6</v>
      </c>
      <c r="H202" s="59">
        <v>2.1</v>
      </c>
      <c r="I202" s="59">
        <v>2.2799999999999998</v>
      </c>
      <c r="J202" s="35">
        <v>182</v>
      </c>
      <c r="K202" s="35" t="s">
        <v>81</v>
      </c>
      <c r="L202" s="35" t="s">
        <v>45</v>
      </c>
      <c r="M202" s="36" t="s">
        <v>118</v>
      </c>
      <c r="N202" s="36"/>
      <c r="O202" s="35">
        <v>50</v>
      </c>
      <c r="P202" s="7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2" s="557"/>
      <c r="R202" s="557"/>
      <c r="S202" s="557"/>
      <c r="T202" s="558"/>
      <c r="U202" s="37" t="s">
        <v>45</v>
      </c>
      <c r="V202" s="37" t="s">
        <v>45</v>
      </c>
      <c r="W202" s="38" t="s">
        <v>0</v>
      </c>
      <c r="X202" s="56">
        <v>0</v>
      </c>
      <c r="Y202" s="53">
        <f>IFERROR(IF(X202="",0,CEILING((X202/$H202),1)*$H202),"")</f>
        <v>0</v>
      </c>
      <c r="Z202" s="39" t="str">
        <f>IFERROR(IF(Y202=0,"",ROUNDUP(Y202/H202,0)*0.00651),"")</f>
        <v/>
      </c>
      <c r="AA202" s="65" t="s">
        <v>45</v>
      </c>
      <c r="AB202" s="66" t="s">
        <v>45</v>
      </c>
      <c r="AC202" s="259" t="s">
        <v>342</v>
      </c>
      <c r="AG202" s="75"/>
      <c r="AJ202" s="79" t="s">
        <v>45</v>
      </c>
      <c r="AK202" s="79">
        <v>0</v>
      </c>
      <c r="BB202" s="260" t="s">
        <v>66</v>
      </c>
      <c r="BM202" s="75">
        <f>IFERROR(X202*I202/H202,"0")</f>
        <v>0</v>
      </c>
      <c r="BN202" s="75">
        <f>IFERROR(Y202*I202/H202,"0")</f>
        <v>0</v>
      </c>
      <c r="BO202" s="75">
        <f>IFERROR(1/J202*(X202/H202),"0")</f>
        <v>0</v>
      </c>
      <c r="BP202" s="75">
        <f>IFERROR(1/J202*(Y202/H202),"0")</f>
        <v>0</v>
      </c>
    </row>
    <row r="203" spans="1:68" hidden="1" x14ac:dyDescent="0.2">
      <c r="A203" s="562"/>
      <c r="B203" s="562"/>
      <c r="C203" s="562"/>
      <c r="D203" s="562"/>
      <c r="E203" s="562"/>
      <c r="F203" s="562"/>
      <c r="G203" s="562"/>
      <c r="H203" s="562"/>
      <c r="I203" s="562"/>
      <c r="J203" s="562"/>
      <c r="K203" s="562"/>
      <c r="L203" s="562"/>
      <c r="M203" s="562"/>
      <c r="N203" s="562"/>
      <c r="O203" s="563"/>
      <c r="P203" s="559" t="s">
        <v>40</v>
      </c>
      <c r="Q203" s="560"/>
      <c r="R203" s="560"/>
      <c r="S203" s="560"/>
      <c r="T203" s="560"/>
      <c r="U203" s="560"/>
      <c r="V203" s="561"/>
      <c r="W203" s="40" t="s">
        <v>39</v>
      </c>
      <c r="X203" s="41">
        <f>IFERROR(X201/H201,"0")+IFERROR(X202/H202,"0")</f>
        <v>0</v>
      </c>
      <c r="Y203" s="41">
        <f>IFERROR(Y201/H201,"0")+IFERROR(Y202/H202,"0")</f>
        <v>0</v>
      </c>
      <c r="Z203" s="41">
        <f>IFERROR(IF(Z201="",0,Z201),"0")+IFERROR(IF(Z202="",0,Z202),"0")</f>
        <v>0</v>
      </c>
      <c r="AA203" s="64"/>
      <c r="AB203" s="64"/>
      <c r="AC203" s="64"/>
    </row>
    <row r="204" spans="1:68" hidden="1" x14ac:dyDescent="0.2">
      <c r="A204" s="562"/>
      <c r="B204" s="562"/>
      <c r="C204" s="562"/>
      <c r="D204" s="562"/>
      <c r="E204" s="562"/>
      <c r="F204" s="562"/>
      <c r="G204" s="562"/>
      <c r="H204" s="562"/>
      <c r="I204" s="562"/>
      <c r="J204" s="562"/>
      <c r="K204" s="562"/>
      <c r="L204" s="562"/>
      <c r="M204" s="562"/>
      <c r="N204" s="562"/>
      <c r="O204" s="563"/>
      <c r="P204" s="559" t="s">
        <v>40</v>
      </c>
      <c r="Q204" s="560"/>
      <c r="R204" s="560"/>
      <c r="S204" s="560"/>
      <c r="T204" s="560"/>
      <c r="U204" s="560"/>
      <c r="V204" s="561"/>
      <c r="W204" s="40" t="s">
        <v>0</v>
      </c>
      <c r="X204" s="41">
        <f>IFERROR(SUM(X201:X202),"0")</f>
        <v>0</v>
      </c>
      <c r="Y204" s="41">
        <f>IFERROR(SUM(Y201:Y202),"0")</f>
        <v>0</v>
      </c>
      <c r="Z204" s="40"/>
      <c r="AA204" s="64"/>
      <c r="AB204" s="64"/>
      <c r="AC204" s="64"/>
    </row>
    <row r="205" spans="1:68" ht="14.25" hidden="1" customHeight="1" x14ac:dyDescent="0.25">
      <c r="A205" s="554" t="s">
        <v>76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63"/>
      <c r="AB205" s="63"/>
      <c r="AC205" s="63"/>
    </row>
    <row r="206" spans="1:68" ht="27" customHeight="1" x14ac:dyDescent="0.25">
      <c r="A206" s="60" t="s">
        <v>345</v>
      </c>
      <c r="B206" s="60" t="s">
        <v>346</v>
      </c>
      <c r="C206" s="34">
        <v>4301031224</v>
      </c>
      <c r="D206" s="555">
        <v>4680115882683</v>
      </c>
      <c r="E206" s="555"/>
      <c r="F206" s="59">
        <v>0.9</v>
      </c>
      <c r="G206" s="35">
        <v>6</v>
      </c>
      <c r="H206" s="59">
        <v>5.4</v>
      </c>
      <c r="I206" s="59">
        <v>5.59</v>
      </c>
      <c r="J206" s="35">
        <v>132</v>
      </c>
      <c r="K206" s="35" t="s">
        <v>122</v>
      </c>
      <c r="L206" s="35" t="s">
        <v>45</v>
      </c>
      <c r="M206" s="36" t="s">
        <v>80</v>
      </c>
      <c r="N206" s="36"/>
      <c r="O206" s="35">
        <v>40</v>
      </c>
      <c r="P206" s="70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6" s="557"/>
      <c r="R206" s="557"/>
      <c r="S206" s="557"/>
      <c r="T206" s="558"/>
      <c r="U206" s="37" t="s">
        <v>45</v>
      </c>
      <c r="V206" s="37" t="s">
        <v>45</v>
      </c>
      <c r="W206" s="38" t="s">
        <v>0</v>
      </c>
      <c r="X206" s="56">
        <v>129.6</v>
      </c>
      <c r="Y206" s="53">
        <f t="shared" ref="Y206:Y213" si="16">IFERROR(IF(X206="",0,CEILING((X206/$H206),1)*$H206),"")</f>
        <v>129.60000000000002</v>
      </c>
      <c r="Z206" s="39">
        <f>IFERROR(IF(Y206=0,"",ROUNDUP(Y206/H206,0)*0.00902),"")</f>
        <v>0.21648000000000001</v>
      </c>
      <c r="AA206" s="65" t="s">
        <v>45</v>
      </c>
      <c r="AB206" s="66" t="s">
        <v>45</v>
      </c>
      <c r="AC206" s="261" t="s">
        <v>347</v>
      </c>
      <c r="AG206" s="75"/>
      <c r="AJ206" s="79" t="s">
        <v>45</v>
      </c>
      <c r="AK206" s="79">
        <v>0</v>
      </c>
      <c r="BB206" s="262" t="s">
        <v>66</v>
      </c>
      <c r="BM206" s="75">
        <f t="shared" ref="BM206:BM213" si="17">IFERROR(X206*I206/H206,"0")</f>
        <v>134.15999999999997</v>
      </c>
      <c r="BN206" s="75">
        <f t="shared" ref="BN206:BN213" si="18">IFERROR(Y206*I206/H206,"0")</f>
        <v>134.16</v>
      </c>
      <c r="BO206" s="75">
        <f t="shared" ref="BO206:BO213" si="19">IFERROR(1/J206*(X206/H206),"0")</f>
        <v>0.1818181818181818</v>
      </c>
      <c r="BP206" s="75">
        <f t="shared" ref="BP206:BP213" si="20">IFERROR(1/J206*(Y206/H206),"0")</f>
        <v>0.18181818181818185</v>
      </c>
    </row>
    <row r="207" spans="1:68" ht="27" customHeight="1" x14ac:dyDescent="0.25">
      <c r="A207" s="60" t="s">
        <v>348</v>
      </c>
      <c r="B207" s="60" t="s">
        <v>349</v>
      </c>
      <c r="C207" s="34">
        <v>4301031230</v>
      </c>
      <c r="D207" s="555">
        <v>4680115882690</v>
      </c>
      <c r="E207" s="555"/>
      <c r="F207" s="59">
        <v>0.9</v>
      </c>
      <c r="G207" s="35">
        <v>6</v>
      </c>
      <c r="H207" s="59">
        <v>5.4</v>
      </c>
      <c r="I207" s="59">
        <v>5.59</v>
      </c>
      <c r="J207" s="35">
        <v>132</v>
      </c>
      <c r="K207" s="35" t="s">
        <v>122</v>
      </c>
      <c r="L207" s="35" t="s">
        <v>45</v>
      </c>
      <c r="M207" s="36" t="s">
        <v>80</v>
      </c>
      <c r="N207" s="36"/>
      <c r="O207" s="35">
        <v>40</v>
      </c>
      <c r="P207" s="71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7" s="557"/>
      <c r="R207" s="557"/>
      <c r="S207" s="557"/>
      <c r="T207" s="558"/>
      <c r="U207" s="37" t="s">
        <v>45</v>
      </c>
      <c r="V207" s="37" t="s">
        <v>45</v>
      </c>
      <c r="W207" s="38" t="s">
        <v>0</v>
      </c>
      <c r="X207" s="56">
        <v>129.6</v>
      </c>
      <c r="Y207" s="53">
        <f t="shared" si="16"/>
        <v>129.60000000000002</v>
      </c>
      <c r="Z207" s="39">
        <f>IFERROR(IF(Y207=0,"",ROUNDUP(Y207/H207,0)*0.00902),"")</f>
        <v>0.21648000000000001</v>
      </c>
      <c r="AA207" s="65" t="s">
        <v>45</v>
      </c>
      <c r="AB207" s="66" t="s">
        <v>45</v>
      </c>
      <c r="AC207" s="263" t="s">
        <v>350</v>
      </c>
      <c r="AG207" s="75"/>
      <c r="AJ207" s="79" t="s">
        <v>45</v>
      </c>
      <c r="AK207" s="79">
        <v>0</v>
      </c>
      <c r="BB207" s="264" t="s">
        <v>66</v>
      </c>
      <c r="BM207" s="75">
        <f t="shared" si="17"/>
        <v>134.15999999999997</v>
      </c>
      <c r="BN207" s="75">
        <f t="shared" si="18"/>
        <v>134.16</v>
      </c>
      <c r="BO207" s="75">
        <f t="shared" si="19"/>
        <v>0.1818181818181818</v>
      </c>
      <c r="BP207" s="75">
        <f t="shared" si="20"/>
        <v>0.18181818181818185</v>
      </c>
    </row>
    <row r="208" spans="1:68" ht="27" customHeight="1" x14ac:dyDescent="0.25">
      <c r="A208" s="60" t="s">
        <v>351</v>
      </c>
      <c r="B208" s="60" t="s">
        <v>352</v>
      </c>
      <c r="C208" s="34">
        <v>4301031220</v>
      </c>
      <c r="D208" s="555">
        <v>4680115882669</v>
      </c>
      <c r="E208" s="555"/>
      <c r="F208" s="59">
        <v>0.9</v>
      </c>
      <c r="G208" s="35">
        <v>6</v>
      </c>
      <c r="H208" s="59">
        <v>5.4</v>
      </c>
      <c r="I208" s="59">
        <v>5.59</v>
      </c>
      <c r="J208" s="35">
        <v>132</v>
      </c>
      <c r="K208" s="35" t="s">
        <v>122</v>
      </c>
      <c r="L208" s="35" t="s">
        <v>45</v>
      </c>
      <c r="M208" s="36" t="s">
        <v>80</v>
      </c>
      <c r="N208" s="36"/>
      <c r="O208" s="35">
        <v>40</v>
      </c>
      <c r="P208" s="71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8" s="557"/>
      <c r="R208" s="557"/>
      <c r="S208" s="557"/>
      <c r="T208" s="558"/>
      <c r="U208" s="37" t="s">
        <v>45</v>
      </c>
      <c r="V208" s="37" t="s">
        <v>45</v>
      </c>
      <c r="W208" s="38" t="s">
        <v>0</v>
      </c>
      <c r="X208" s="56">
        <v>129.6</v>
      </c>
      <c r="Y208" s="53">
        <f t="shared" si="16"/>
        <v>129.60000000000002</v>
      </c>
      <c r="Z208" s="39">
        <f>IFERROR(IF(Y208=0,"",ROUNDUP(Y208/H208,0)*0.00902),"")</f>
        <v>0.21648000000000001</v>
      </c>
      <c r="AA208" s="65" t="s">
        <v>45</v>
      </c>
      <c r="AB208" s="66" t="s">
        <v>45</v>
      </c>
      <c r="AC208" s="265" t="s">
        <v>353</v>
      </c>
      <c r="AG208" s="75"/>
      <c r="AJ208" s="79" t="s">
        <v>45</v>
      </c>
      <c r="AK208" s="79">
        <v>0</v>
      </c>
      <c r="BB208" s="266" t="s">
        <v>66</v>
      </c>
      <c r="BM208" s="75">
        <f t="shared" si="17"/>
        <v>134.15999999999997</v>
      </c>
      <c r="BN208" s="75">
        <f t="shared" si="18"/>
        <v>134.16</v>
      </c>
      <c r="BO208" s="75">
        <f t="shared" si="19"/>
        <v>0.1818181818181818</v>
      </c>
      <c r="BP208" s="75">
        <f t="shared" si="20"/>
        <v>0.18181818181818185</v>
      </c>
    </row>
    <row r="209" spans="1:68" ht="27" customHeight="1" x14ac:dyDescent="0.25">
      <c r="A209" s="60" t="s">
        <v>354</v>
      </c>
      <c r="B209" s="60" t="s">
        <v>355</v>
      </c>
      <c r="C209" s="34">
        <v>4301031221</v>
      </c>
      <c r="D209" s="555">
        <v>4680115882676</v>
      </c>
      <c r="E209" s="555"/>
      <c r="F209" s="59">
        <v>0.9</v>
      </c>
      <c r="G209" s="35">
        <v>6</v>
      </c>
      <c r="H209" s="59">
        <v>5.4</v>
      </c>
      <c r="I209" s="59">
        <v>5.59</v>
      </c>
      <c r="J209" s="35">
        <v>132</v>
      </c>
      <c r="K209" s="35" t="s">
        <v>122</v>
      </c>
      <c r="L209" s="35" t="s">
        <v>45</v>
      </c>
      <c r="M209" s="36" t="s">
        <v>80</v>
      </c>
      <c r="N209" s="36"/>
      <c r="O209" s="35">
        <v>40</v>
      </c>
      <c r="P209" s="70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9" s="557"/>
      <c r="R209" s="557"/>
      <c r="S209" s="557"/>
      <c r="T209" s="558"/>
      <c r="U209" s="37" t="s">
        <v>45</v>
      </c>
      <c r="V209" s="37" t="s">
        <v>45</v>
      </c>
      <c r="W209" s="38" t="s">
        <v>0</v>
      </c>
      <c r="X209" s="56">
        <v>194.4</v>
      </c>
      <c r="Y209" s="53">
        <f t="shared" si="16"/>
        <v>194.4</v>
      </c>
      <c r="Z209" s="39">
        <f>IFERROR(IF(Y209=0,"",ROUNDUP(Y209/H209,0)*0.00902),"")</f>
        <v>0.32472000000000001</v>
      </c>
      <c r="AA209" s="65" t="s">
        <v>45</v>
      </c>
      <c r="AB209" s="66" t="s">
        <v>45</v>
      </c>
      <c r="AC209" s="267" t="s">
        <v>356</v>
      </c>
      <c r="AG209" s="75"/>
      <c r="AJ209" s="79" t="s">
        <v>45</v>
      </c>
      <c r="AK209" s="79">
        <v>0</v>
      </c>
      <c r="BB209" s="268" t="s">
        <v>66</v>
      </c>
      <c r="BM209" s="75">
        <f t="shared" si="17"/>
        <v>201.23999999999998</v>
      </c>
      <c r="BN209" s="75">
        <f t="shared" si="18"/>
        <v>201.23999999999998</v>
      </c>
      <c r="BO209" s="75">
        <f t="shared" si="19"/>
        <v>0.27272727272727271</v>
      </c>
      <c r="BP209" s="75">
        <f t="shared" si="20"/>
        <v>0.27272727272727271</v>
      </c>
    </row>
    <row r="210" spans="1:68" ht="27" hidden="1" customHeight="1" x14ac:dyDescent="0.25">
      <c r="A210" s="60" t="s">
        <v>357</v>
      </c>
      <c r="B210" s="60" t="s">
        <v>358</v>
      </c>
      <c r="C210" s="34">
        <v>4301031223</v>
      </c>
      <c r="D210" s="555">
        <v>4680115884014</v>
      </c>
      <c r="E210" s="555"/>
      <c r="F210" s="59">
        <v>0.3</v>
      </c>
      <c r="G210" s="35">
        <v>6</v>
      </c>
      <c r="H210" s="59">
        <v>1.8</v>
      </c>
      <c r="I210" s="59">
        <v>1.93</v>
      </c>
      <c r="J210" s="35">
        <v>234</v>
      </c>
      <c r="K210" s="35" t="s">
        <v>85</v>
      </c>
      <c r="L210" s="35" t="s">
        <v>45</v>
      </c>
      <c r="M210" s="36" t="s">
        <v>80</v>
      </c>
      <c r="N210" s="36"/>
      <c r="O210" s="35">
        <v>40</v>
      </c>
      <c r="P210" s="7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10" s="557"/>
      <c r="R210" s="557"/>
      <c r="S210" s="557"/>
      <c r="T210" s="558"/>
      <c r="U210" s="37" t="s">
        <v>45</v>
      </c>
      <c r="V210" s="37" t="s">
        <v>45</v>
      </c>
      <c r="W210" s="38" t="s">
        <v>0</v>
      </c>
      <c r="X210" s="56">
        <v>0</v>
      </c>
      <c r="Y210" s="53">
        <f t="shared" si="16"/>
        <v>0</v>
      </c>
      <c r="Z210" s="39" t="str">
        <f>IFERROR(IF(Y210=0,"",ROUNDUP(Y210/H210,0)*0.00502),"")</f>
        <v/>
      </c>
      <c r="AA210" s="65" t="s">
        <v>45</v>
      </c>
      <c r="AB210" s="66" t="s">
        <v>45</v>
      </c>
      <c r="AC210" s="269" t="s">
        <v>347</v>
      </c>
      <c r="AG210" s="75"/>
      <c r="AJ210" s="79" t="s">
        <v>45</v>
      </c>
      <c r="AK210" s="79">
        <v>0</v>
      </c>
      <c r="BB210" s="270" t="s">
        <v>66</v>
      </c>
      <c r="BM210" s="75">
        <f t="shared" si="17"/>
        <v>0</v>
      </c>
      <c r="BN210" s="75">
        <f t="shared" si="18"/>
        <v>0</v>
      </c>
      <c r="BO210" s="75">
        <f t="shared" si="19"/>
        <v>0</v>
      </c>
      <c r="BP210" s="75">
        <f t="shared" si="20"/>
        <v>0</v>
      </c>
    </row>
    <row r="211" spans="1:68" ht="27" hidden="1" customHeight="1" x14ac:dyDescent="0.25">
      <c r="A211" s="60" t="s">
        <v>359</v>
      </c>
      <c r="B211" s="60" t="s">
        <v>360</v>
      </c>
      <c r="C211" s="34">
        <v>4301031222</v>
      </c>
      <c r="D211" s="555">
        <v>4680115884007</v>
      </c>
      <c r="E211" s="555"/>
      <c r="F211" s="59">
        <v>0.3</v>
      </c>
      <c r="G211" s="35">
        <v>6</v>
      </c>
      <c r="H211" s="59">
        <v>1.8</v>
      </c>
      <c r="I211" s="59">
        <v>1.9</v>
      </c>
      <c r="J211" s="35">
        <v>234</v>
      </c>
      <c r="K211" s="35" t="s">
        <v>85</v>
      </c>
      <c r="L211" s="35" t="s">
        <v>45</v>
      </c>
      <c r="M211" s="36" t="s">
        <v>80</v>
      </c>
      <c r="N211" s="36"/>
      <c r="O211" s="35">
        <v>40</v>
      </c>
      <c r="P211" s="70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1" s="557"/>
      <c r="R211" s="557"/>
      <c r="S211" s="557"/>
      <c r="T211" s="558"/>
      <c r="U211" s="37" t="s">
        <v>45</v>
      </c>
      <c r="V211" s="37" t="s">
        <v>45</v>
      </c>
      <c r="W211" s="38" t="s">
        <v>0</v>
      </c>
      <c r="X211" s="56">
        <v>0</v>
      </c>
      <c r="Y211" s="53">
        <f t="shared" si="16"/>
        <v>0</v>
      </c>
      <c r="Z211" s="39" t="str">
        <f>IFERROR(IF(Y211=0,"",ROUNDUP(Y211/H211,0)*0.00502),"")</f>
        <v/>
      </c>
      <c r="AA211" s="65" t="s">
        <v>45</v>
      </c>
      <c r="AB211" s="66" t="s">
        <v>45</v>
      </c>
      <c r="AC211" s="271" t="s">
        <v>350</v>
      </c>
      <c r="AG211" s="75"/>
      <c r="AJ211" s="79" t="s">
        <v>45</v>
      </c>
      <c r="AK211" s="79">
        <v>0</v>
      </c>
      <c r="BB211" s="272" t="s">
        <v>66</v>
      </c>
      <c r="BM211" s="75">
        <f t="shared" si="17"/>
        <v>0</v>
      </c>
      <c r="BN211" s="75">
        <f t="shared" si="18"/>
        <v>0</v>
      </c>
      <c r="BO211" s="75">
        <f t="shared" si="19"/>
        <v>0</v>
      </c>
      <c r="BP211" s="75">
        <f t="shared" si="20"/>
        <v>0</v>
      </c>
    </row>
    <row r="212" spans="1:68" ht="27" hidden="1" customHeight="1" x14ac:dyDescent="0.25">
      <c r="A212" s="60" t="s">
        <v>361</v>
      </c>
      <c r="B212" s="60" t="s">
        <v>362</v>
      </c>
      <c r="C212" s="34">
        <v>4301031229</v>
      </c>
      <c r="D212" s="555">
        <v>4680115884038</v>
      </c>
      <c r="E212" s="555"/>
      <c r="F212" s="59">
        <v>0.3</v>
      </c>
      <c r="G212" s="35">
        <v>6</v>
      </c>
      <c r="H212" s="59">
        <v>1.8</v>
      </c>
      <c r="I212" s="59">
        <v>1.9</v>
      </c>
      <c r="J212" s="35">
        <v>234</v>
      </c>
      <c r="K212" s="35" t="s">
        <v>85</v>
      </c>
      <c r="L212" s="35" t="s">
        <v>45</v>
      </c>
      <c r="M212" s="36" t="s">
        <v>80</v>
      </c>
      <c r="N212" s="36"/>
      <c r="O212" s="35">
        <v>40</v>
      </c>
      <c r="P212" s="707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2" s="557"/>
      <c r="R212" s="557"/>
      <c r="S212" s="557"/>
      <c r="T212" s="558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si="16"/>
        <v>0</v>
      </c>
      <c r="Z212" s="39" t="str">
        <f>IFERROR(IF(Y212=0,"",ROUNDUP(Y212/H212,0)*0.00502),"")</f>
        <v/>
      </c>
      <c r="AA212" s="65" t="s">
        <v>45</v>
      </c>
      <c r="AB212" s="66" t="s">
        <v>45</v>
      </c>
      <c r="AC212" s="273" t="s">
        <v>353</v>
      </c>
      <c r="AG212" s="75"/>
      <c r="AJ212" s="79" t="s">
        <v>45</v>
      </c>
      <c r="AK212" s="79">
        <v>0</v>
      </c>
      <c r="BB212" s="274" t="s">
        <v>66</v>
      </c>
      <c r="BM212" s="75">
        <f t="shared" si="17"/>
        <v>0</v>
      </c>
      <c r="BN212" s="75">
        <f t="shared" si="18"/>
        <v>0</v>
      </c>
      <c r="BO212" s="75">
        <f t="shared" si="19"/>
        <v>0</v>
      </c>
      <c r="BP212" s="75">
        <f t="shared" si="20"/>
        <v>0</v>
      </c>
    </row>
    <row r="213" spans="1:68" ht="27" hidden="1" customHeight="1" x14ac:dyDescent="0.25">
      <c r="A213" s="60" t="s">
        <v>363</v>
      </c>
      <c r="B213" s="60" t="s">
        <v>364</v>
      </c>
      <c r="C213" s="34">
        <v>4301031225</v>
      </c>
      <c r="D213" s="555">
        <v>4680115884021</v>
      </c>
      <c r="E213" s="555"/>
      <c r="F213" s="59">
        <v>0.3</v>
      </c>
      <c r="G213" s="35">
        <v>6</v>
      </c>
      <c r="H213" s="59">
        <v>1.8</v>
      </c>
      <c r="I213" s="59">
        <v>1.9</v>
      </c>
      <c r="J213" s="35">
        <v>234</v>
      </c>
      <c r="K213" s="35" t="s">
        <v>85</v>
      </c>
      <c r="L213" s="35" t="s">
        <v>45</v>
      </c>
      <c r="M213" s="36" t="s">
        <v>80</v>
      </c>
      <c r="N213" s="36"/>
      <c r="O213" s="35">
        <v>40</v>
      </c>
      <c r="P213" s="70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3" s="557"/>
      <c r="R213" s="557"/>
      <c r="S213" s="557"/>
      <c r="T213" s="558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16"/>
        <v>0</v>
      </c>
      <c r="Z213" s="39" t="str">
        <f>IFERROR(IF(Y213=0,"",ROUNDUP(Y213/H213,0)*0.00502),"")</f>
        <v/>
      </c>
      <c r="AA213" s="65" t="s">
        <v>45</v>
      </c>
      <c r="AB213" s="66" t="s">
        <v>45</v>
      </c>
      <c r="AC213" s="275" t="s">
        <v>356</v>
      </c>
      <c r="AG213" s="75"/>
      <c r="AJ213" s="79" t="s">
        <v>45</v>
      </c>
      <c r="AK213" s="79">
        <v>0</v>
      </c>
      <c r="BB213" s="276" t="s">
        <v>66</v>
      </c>
      <c r="BM213" s="75">
        <f t="shared" si="17"/>
        <v>0</v>
      </c>
      <c r="BN213" s="75">
        <f t="shared" si="18"/>
        <v>0</v>
      </c>
      <c r="BO213" s="75">
        <f t="shared" si="19"/>
        <v>0</v>
      </c>
      <c r="BP213" s="75">
        <f t="shared" si="20"/>
        <v>0</v>
      </c>
    </row>
    <row r="214" spans="1:68" x14ac:dyDescent="0.2">
      <c r="A214" s="562"/>
      <c r="B214" s="562"/>
      <c r="C214" s="562"/>
      <c r="D214" s="562"/>
      <c r="E214" s="562"/>
      <c r="F214" s="562"/>
      <c r="G214" s="562"/>
      <c r="H214" s="562"/>
      <c r="I214" s="562"/>
      <c r="J214" s="562"/>
      <c r="K214" s="562"/>
      <c r="L214" s="562"/>
      <c r="M214" s="562"/>
      <c r="N214" s="562"/>
      <c r="O214" s="563"/>
      <c r="P214" s="559" t="s">
        <v>40</v>
      </c>
      <c r="Q214" s="560"/>
      <c r="R214" s="560"/>
      <c r="S214" s="560"/>
      <c r="T214" s="560"/>
      <c r="U214" s="560"/>
      <c r="V214" s="561"/>
      <c r="W214" s="40" t="s">
        <v>39</v>
      </c>
      <c r="X214" s="41">
        <f>IFERROR(X206/H206,"0")+IFERROR(X207/H207,"0")+IFERROR(X208/H208,"0")+IFERROR(X209/H209,"0")+IFERROR(X210/H210,"0")+IFERROR(X211/H211,"0")+IFERROR(X212/H212,"0")+IFERROR(X213/H213,"0")</f>
        <v>107.99999999999999</v>
      </c>
      <c r="Y214" s="41">
        <f>IFERROR(Y206/H206,"0")+IFERROR(Y207/H207,"0")+IFERROR(Y208/H208,"0")+IFERROR(Y209/H209,"0")+IFERROR(Y210/H210,"0")+IFERROR(Y211/H211,"0")+IFERROR(Y212/H212,"0")+IFERROR(Y213/H213,"0")</f>
        <v>108.00000000000001</v>
      </c>
      <c r="Z214" s="41">
        <f>IFERROR(IF(Z206="",0,Z206),"0")+IFERROR(IF(Z207="",0,Z207),"0")+IFERROR(IF(Z208="",0,Z208),"0")+IFERROR(IF(Z209="",0,Z209),"0")+IFERROR(IF(Z210="",0,Z210),"0")+IFERROR(IF(Z211="",0,Z211),"0")+IFERROR(IF(Z212="",0,Z212),"0")+IFERROR(IF(Z213="",0,Z213),"0")</f>
        <v>0.97416000000000003</v>
      </c>
      <c r="AA214" s="64"/>
      <c r="AB214" s="64"/>
      <c r="AC214" s="64"/>
    </row>
    <row r="215" spans="1:68" x14ac:dyDescent="0.2">
      <c r="A215" s="562"/>
      <c r="B215" s="562"/>
      <c r="C215" s="562"/>
      <c r="D215" s="562"/>
      <c r="E215" s="562"/>
      <c r="F215" s="562"/>
      <c r="G215" s="562"/>
      <c r="H215" s="562"/>
      <c r="I215" s="562"/>
      <c r="J215" s="562"/>
      <c r="K215" s="562"/>
      <c r="L215" s="562"/>
      <c r="M215" s="562"/>
      <c r="N215" s="562"/>
      <c r="O215" s="563"/>
      <c r="P215" s="559" t="s">
        <v>40</v>
      </c>
      <c r="Q215" s="560"/>
      <c r="R215" s="560"/>
      <c r="S215" s="560"/>
      <c r="T215" s="560"/>
      <c r="U215" s="560"/>
      <c r="V215" s="561"/>
      <c r="W215" s="40" t="s">
        <v>0</v>
      </c>
      <c r="X215" s="41">
        <f>IFERROR(SUM(X206:X213),"0")</f>
        <v>583.19999999999993</v>
      </c>
      <c r="Y215" s="41">
        <f>IFERROR(SUM(Y206:Y213),"0")</f>
        <v>583.20000000000005</v>
      </c>
      <c r="Z215" s="40"/>
      <c r="AA215" s="64"/>
      <c r="AB215" s="64"/>
      <c r="AC215" s="64"/>
    </row>
    <row r="216" spans="1:68" ht="14.25" hidden="1" customHeight="1" x14ac:dyDescent="0.25">
      <c r="A216" s="554" t="s">
        <v>86</v>
      </c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4"/>
      <c r="P216" s="554"/>
      <c r="Q216" s="554"/>
      <c r="R216" s="554"/>
      <c r="S216" s="554"/>
      <c r="T216" s="554"/>
      <c r="U216" s="554"/>
      <c r="V216" s="554"/>
      <c r="W216" s="554"/>
      <c r="X216" s="554"/>
      <c r="Y216" s="554"/>
      <c r="Z216" s="554"/>
      <c r="AA216" s="63"/>
      <c r="AB216" s="63"/>
      <c r="AC216" s="63"/>
    </row>
    <row r="217" spans="1:68" ht="37.5" hidden="1" customHeight="1" x14ac:dyDescent="0.25">
      <c r="A217" s="60" t="s">
        <v>365</v>
      </c>
      <c r="B217" s="60" t="s">
        <v>366</v>
      </c>
      <c r="C217" s="34">
        <v>4301051408</v>
      </c>
      <c r="D217" s="555">
        <v>4680115881594</v>
      </c>
      <c r="E217" s="555"/>
      <c r="F217" s="59">
        <v>1.35</v>
      </c>
      <c r="G217" s="35">
        <v>6</v>
      </c>
      <c r="H217" s="59">
        <v>8.1</v>
      </c>
      <c r="I217" s="59">
        <v>8.5939999999999994</v>
      </c>
      <c r="J217" s="35">
        <v>64</v>
      </c>
      <c r="K217" s="35" t="s">
        <v>119</v>
      </c>
      <c r="L217" s="35" t="s">
        <v>45</v>
      </c>
      <c r="M217" s="36" t="s">
        <v>90</v>
      </c>
      <c r="N217" s="36"/>
      <c r="O217" s="35">
        <v>40</v>
      </c>
      <c r="P217" s="701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7" s="557"/>
      <c r="R217" s="557"/>
      <c r="S217" s="557"/>
      <c r="T217" s="558"/>
      <c r="U217" s="37" t="s">
        <v>45</v>
      </c>
      <c r="V217" s="37" t="s">
        <v>45</v>
      </c>
      <c r="W217" s="38" t="s">
        <v>0</v>
      </c>
      <c r="X217" s="56">
        <v>0</v>
      </c>
      <c r="Y217" s="53">
        <f t="shared" ref="Y217:Y225" si="21">IFERROR(IF(X217="",0,CEILING((X217/$H217),1)*$H217),"")</f>
        <v>0</v>
      </c>
      <c r="Z217" s="39" t="str">
        <f>IFERROR(IF(Y217=0,"",ROUNDUP(Y217/H217,0)*0.01898),"")</f>
        <v/>
      </c>
      <c r="AA217" s="65" t="s">
        <v>45</v>
      </c>
      <c r="AB217" s="66" t="s">
        <v>45</v>
      </c>
      <c r="AC217" s="277" t="s">
        <v>367</v>
      </c>
      <c r="AG217" s="75"/>
      <c r="AJ217" s="79" t="s">
        <v>45</v>
      </c>
      <c r="AK217" s="79">
        <v>0</v>
      </c>
      <c r="BB217" s="278" t="s">
        <v>66</v>
      </c>
      <c r="BM217" s="75">
        <f t="shared" ref="BM217:BM225" si="22">IFERROR(X217*I217/H217,"0")</f>
        <v>0</v>
      </c>
      <c r="BN217" s="75">
        <f t="shared" ref="BN217:BN225" si="23">IFERROR(Y217*I217/H217,"0")</f>
        <v>0</v>
      </c>
      <c r="BO217" s="75">
        <f t="shared" ref="BO217:BO225" si="24">IFERROR(1/J217*(X217/H217),"0")</f>
        <v>0</v>
      </c>
      <c r="BP217" s="75">
        <f t="shared" ref="BP217:BP225" si="25">IFERROR(1/J217*(Y217/H217),"0")</f>
        <v>0</v>
      </c>
    </row>
    <row r="218" spans="1:68" ht="27" hidden="1" customHeight="1" x14ac:dyDescent="0.25">
      <c r="A218" s="60" t="s">
        <v>368</v>
      </c>
      <c r="B218" s="60" t="s">
        <v>369</v>
      </c>
      <c r="C218" s="34">
        <v>4301051411</v>
      </c>
      <c r="D218" s="555">
        <v>4680115881617</v>
      </c>
      <c r="E218" s="555"/>
      <c r="F218" s="59">
        <v>1.35</v>
      </c>
      <c r="G218" s="35">
        <v>6</v>
      </c>
      <c r="H218" s="59">
        <v>8.1</v>
      </c>
      <c r="I218" s="59">
        <v>8.5760000000000005</v>
      </c>
      <c r="J218" s="35">
        <v>64</v>
      </c>
      <c r="K218" s="35" t="s">
        <v>119</v>
      </c>
      <c r="L218" s="35" t="s">
        <v>45</v>
      </c>
      <c r="M218" s="36" t="s">
        <v>90</v>
      </c>
      <c r="N218" s="36"/>
      <c r="O218" s="35">
        <v>40</v>
      </c>
      <c r="P218" s="70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8" s="557"/>
      <c r="R218" s="557"/>
      <c r="S218" s="557"/>
      <c r="T218" s="558"/>
      <c r="U218" s="37" t="s">
        <v>45</v>
      </c>
      <c r="V218" s="37" t="s">
        <v>45</v>
      </c>
      <c r="W218" s="38" t="s">
        <v>0</v>
      </c>
      <c r="X218" s="56">
        <v>0</v>
      </c>
      <c r="Y218" s="53">
        <f t="shared" si="21"/>
        <v>0</v>
      </c>
      <c r="Z218" s="39" t="str">
        <f>IFERROR(IF(Y218=0,"",ROUNDUP(Y218/H218,0)*0.01898),"")</f>
        <v/>
      </c>
      <c r="AA218" s="65" t="s">
        <v>45</v>
      </c>
      <c r="AB218" s="66" t="s">
        <v>45</v>
      </c>
      <c r="AC218" s="279" t="s">
        <v>370</v>
      </c>
      <c r="AG218" s="75"/>
      <c r="AJ218" s="79" t="s">
        <v>45</v>
      </c>
      <c r="AK218" s="79">
        <v>0</v>
      </c>
      <c r="BB218" s="280" t="s">
        <v>66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371</v>
      </c>
      <c r="B219" s="60" t="s">
        <v>372</v>
      </c>
      <c r="C219" s="34">
        <v>4301051656</v>
      </c>
      <c r="D219" s="555">
        <v>4680115880573</v>
      </c>
      <c r="E219" s="555"/>
      <c r="F219" s="59">
        <v>1.45</v>
      </c>
      <c r="G219" s="35">
        <v>6</v>
      </c>
      <c r="H219" s="59">
        <v>8.6999999999999993</v>
      </c>
      <c r="I219" s="59">
        <v>9.1940000000000008</v>
      </c>
      <c r="J219" s="35">
        <v>64</v>
      </c>
      <c r="K219" s="35" t="s">
        <v>119</v>
      </c>
      <c r="L219" s="35" t="s">
        <v>45</v>
      </c>
      <c r="M219" s="36" t="s">
        <v>90</v>
      </c>
      <c r="N219" s="36"/>
      <c r="O219" s="35">
        <v>45</v>
      </c>
      <c r="P219" s="703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9" s="557"/>
      <c r="R219" s="557"/>
      <c r="S219" s="557"/>
      <c r="T219" s="558"/>
      <c r="U219" s="37" t="s">
        <v>45</v>
      </c>
      <c r="V219" s="37" t="s">
        <v>45</v>
      </c>
      <c r="W219" s="38" t="s">
        <v>0</v>
      </c>
      <c r="X219" s="56">
        <v>417.6</v>
      </c>
      <c r="Y219" s="53">
        <f t="shared" si="21"/>
        <v>417.59999999999997</v>
      </c>
      <c r="Z219" s="39">
        <f>IFERROR(IF(Y219=0,"",ROUNDUP(Y219/H219,0)*0.01898),"")</f>
        <v>0.91104000000000007</v>
      </c>
      <c r="AA219" s="65" t="s">
        <v>45</v>
      </c>
      <c r="AB219" s="66" t="s">
        <v>45</v>
      </c>
      <c r="AC219" s="281" t="s">
        <v>373</v>
      </c>
      <c r="AG219" s="75"/>
      <c r="AJ219" s="79" t="s">
        <v>45</v>
      </c>
      <c r="AK219" s="79">
        <v>0</v>
      </c>
      <c r="BB219" s="282" t="s">
        <v>66</v>
      </c>
      <c r="BM219" s="75">
        <f t="shared" si="22"/>
        <v>441.31200000000013</v>
      </c>
      <c r="BN219" s="75">
        <f t="shared" si="23"/>
        <v>441.31200000000007</v>
      </c>
      <c r="BO219" s="75">
        <f t="shared" si="24"/>
        <v>0.75000000000000011</v>
      </c>
      <c r="BP219" s="75">
        <f t="shared" si="25"/>
        <v>0.75</v>
      </c>
    </row>
    <row r="220" spans="1:68" ht="37.5" customHeight="1" x14ac:dyDescent="0.25">
      <c r="A220" s="60" t="s">
        <v>374</v>
      </c>
      <c r="B220" s="60" t="s">
        <v>375</v>
      </c>
      <c r="C220" s="34">
        <v>4301051407</v>
      </c>
      <c r="D220" s="555">
        <v>4680115882195</v>
      </c>
      <c r="E220" s="555"/>
      <c r="F220" s="59">
        <v>0.4</v>
      </c>
      <c r="G220" s="35">
        <v>6</v>
      </c>
      <c r="H220" s="59">
        <v>2.4</v>
      </c>
      <c r="I220" s="59">
        <v>2.67</v>
      </c>
      <c r="J220" s="35">
        <v>182</v>
      </c>
      <c r="K220" s="35" t="s">
        <v>81</v>
      </c>
      <c r="L220" s="35" t="s">
        <v>45</v>
      </c>
      <c r="M220" s="36" t="s">
        <v>90</v>
      </c>
      <c r="N220" s="36"/>
      <c r="O220" s="35">
        <v>40</v>
      </c>
      <c r="P220" s="696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20" s="557"/>
      <c r="R220" s="557"/>
      <c r="S220" s="557"/>
      <c r="T220" s="558"/>
      <c r="U220" s="37" t="s">
        <v>45</v>
      </c>
      <c r="V220" s="37" t="s">
        <v>45</v>
      </c>
      <c r="W220" s="38" t="s">
        <v>0</v>
      </c>
      <c r="X220" s="56">
        <v>144</v>
      </c>
      <c r="Y220" s="53">
        <f t="shared" si="21"/>
        <v>144</v>
      </c>
      <c r="Z220" s="39">
        <f t="shared" ref="Z220:Z225" si="26">IFERROR(IF(Y220=0,"",ROUNDUP(Y220/H220,0)*0.00651),"")</f>
        <v>0.3906</v>
      </c>
      <c r="AA220" s="65" t="s">
        <v>45</v>
      </c>
      <c r="AB220" s="66" t="s">
        <v>45</v>
      </c>
      <c r="AC220" s="283" t="s">
        <v>367</v>
      </c>
      <c r="AG220" s="75"/>
      <c r="AJ220" s="79" t="s">
        <v>45</v>
      </c>
      <c r="AK220" s="79">
        <v>0</v>
      </c>
      <c r="BB220" s="284" t="s">
        <v>66</v>
      </c>
      <c r="BM220" s="75">
        <f t="shared" si="22"/>
        <v>160.20000000000002</v>
      </c>
      <c r="BN220" s="75">
        <f t="shared" si="23"/>
        <v>160.20000000000002</v>
      </c>
      <c r="BO220" s="75">
        <f t="shared" si="24"/>
        <v>0.32967032967032972</v>
      </c>
      <c r="BP220" s="75">
        <f t="shared" si="25"/>
        <v>0.32967032967032972</v>
      </c>
    </row>
    <row r="221" spans="1:68" ht="27" hidden="1" customHeight="1" x14ac:dyDescent="0.25">
      <c r="A221" s="60" t="s">
        <v>376</v>
      </c>
      <c r="B221" s="60" t="s">
        <v>377</v>
      </c>
      <c r="C221" s="34">
        <v>4301051752</v>
      </c>
      <c r="D221" s="555">
        <v>4680115882607</v>
      </c>
      <c r="E221" s="555"/>
      <c r="F221" s="59">
        <v>0.3</v>
      </c>
      <c r="G221" s="35">
        <v>6</v>
      </c>
      <c r="H221" s="59">
        <v>1.8</v>
      </c>
      <c r="I221" s="59">
        <v>2.052</v>
      </c>
      <c r="J221" s="35">
        <v>182</v>
      </c>
      <c r="K221" s="35" t="s">
        <v>81</v>
      </c>
      <c r="L221" s="35" t="s">
        <v>45</v>
      </c>
      <c r="M221" s="36" t="s">
        <v>96</v>
      </c>
      <c r="N221" s="36"/>
      <c r="O221" s="35">
        <v>45</v>
      </c>
      <c r="P221" s="697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1" s="557"/>
      <c r="R221" s="557"/>
      <c r="S221" s="557"/>
      <c r="T221" s="558"/>
      <c r="U221" s="37" t="s">
        <v>45</v>
      </c>
      <c r="V221" s="37" t="s">
        <v>45</v>
      </c>
      <c r="W221" s="38" t="s">
        <v>0</v>
      </c>
      <c r="X221" s="56">
        <v>0</v>
      </c>
      <c r="Y221" s="53">
        <f t="shared" si="21"/>
        <v>0</v>
      </c>
      <c r="Z221" s="39" t="str">
        <f t="shared" si="26"/>
        <v/>
      </c>
      <c r="AA221" s="65" t="s">
        <v>45</v>
      </c>
      <c r="AB221" s="66" t="s">
        <v>45</v>
      </c>
      <c r="AC221" s="285" t="s">
        <v>373</v>
      </c>
      <c r="AG221" s="75"/>
      <c r="AJ221" s="79" t="s">
        <v>45</v>
      </c>
      <c r="AK221" s="79">
        <v>0</v>
      </c>
      <c r="BB221" s="286" t="s">
        <v>66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4301051666</v>
      </c>
      <c r="D222" s="555">
        <v>4680115880092</v>
      </c>
      <c r="E222" s="555"/>
      <c r="F222" s="59">
        <v>0.4</v>
      </c>
      <c r="G222" s="35">
        <v>6</v>
      </c>
      <c r="H222" s="59">
        <v>2.4</v>
      </c>
      <c r="I222" s="59">
        <v>2.6520000000000001</v>
      </c>
      <c r="J222" s="35">
        <v>182</v>
      </c>
      <c r="K222" s="35" t="s">
        <v>81</v>
      </c>
      <c r="L222" s="35" t="s">
        <v>45</v>
      </c>
      <c r="M222" s="36" t="s">
        <v>90</v>
      </c>
      <c r="N222" s="36"/>
      <c r="O222" s="35">
        <v>45</v>
      </c>
      <c r="P222" s="698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2" s="557"/>
      <c r="R222" s="557"/>
      <c r="S222" s="557"/>
      <c r="T222" s="558"/>
      <c r="U222" s="37" t="s">
        <v>45</v>
      </c>
      <c r="V222" s="37" t="s">
        <v>45</v>
      </c>
      <c r="W222" s="38" t="s">
        <v>0</v>
      </c>
      <c r="X222" s="56">
        <v>86.4</v>
      </c>
      <c r="Y222" s="53">
        <f t="shared" si="21"/>
        <v>86.399999999999991</v>
      </c>
      <c r="Z222" s="39">
        <f t="shared" si="26"/>
        <v>0.23436000000000001</v>
      </c>
      <c r="AA222" s="65" t="s">
        <v>45</v>
      </c>
      <c r="AB222" s="66" t="s">
        <v>45</v>
      </c>
      <c r="AC222" s="287" t="s">
        <v>373</v>
      </c>
      <c r="AG222" s="75"/>
      <c r="AJ222" s="79" t="s">
        <v>45</v>
      </c>
      <c r="AK222" s="79">
        <v>0</v>
      </c>
      <c r="BB222" s="288" t="s">
        <v>66</v>
      </c>
      <c r="BM222" s="75">
        <f t="shared" si="22"/>
        <v>95.472000000000023</v>
      </c>
      <c r="BN222" s="75">
        <f t="shared" si="23"/>
        <v>95.472000000000008</v>
      </c>
      <c r="BO222" s="75">
        <f t="shared" si="24"/>
        <v>0.19780219780219785</v>
      </c>
      <c r="BP222" s="75">
        <f t="shared" si="25"/>
        <v>0.19780219780219782</v>
      </c>
    </row>
    <row r="223" spans="1:68" ht="27" customHeight="1" x14ac:dyDescent="0.25">
      <c r="A223" s="60" t="s">
        <v>380</v>
      </c>
      <c r="B223" s="60" t="s">
        <v>381</v>
      </c>
      <c r="C223" s="34">
        <v>4301051668</v>
      </c>
      <c r="D223" s="555">
        <v>4680115880221</v>
      </c>
      <c r="E223" s="555"/>
      <c r="F223" s="59">
        <v>0.4</v>
      </c>
      <c r="G223" s="35">
        <v>6</v>
      </c>
      <c r="H223" s="59">
        <v>2.4</v>
      </c>
      <c r="I223" s="59">
        <v>2.6520000000000001</v>
      </c>
      <c r="J223" s="35">
        <v>182</v>
      </c>
      <c r="K223" s="35" t="s">
        <v>81</v>
      </c>
      <c r="L223" s="35" t="s">
        <v>45</v>
      </c>
      <c r="M223" s="36" t="s">
        <v>90</v>
      </c>
      <c r="N223" s="36"/>
      <c r="O223" s="35">
        <v>45</v>
      </c>
      <c r="P223" s="699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3" s="557"/>
      <c r="R223" s="557"/>
      <c r="S223" s="557"/>
      <c r="T223" s="558"/>
      <c r="U223" s="37" t="s">
        <v>45</v>
      </c>
      <c r="V223" s="37" t="s">
        <v>45</v>
      </c>
      <c r="W223" s="38" t="s">
        <v>0</v>
      </c>
      <c r="X223" s="56">
        <v>86.4</v>
      </c>
      <c r="Y223" s="53">
        <f t="shared" si="21"/>
        <v>86.399999999999991</v>
      </c>
      <c r="Z223" s="39">
        <f t="shared" si="26"/>
        <v>0.23436000000000001</v>
      </c>
      <c r="AA223" s="65" t="s">
        <v>45</v>
      </c>
      <c r="AB223" s="66" t="s">
        <v>45</v>
      </c>
      <c r="AC223" s="289" t="s">
        <v>373</v>
      </c>
      <c r="AG223" s="75"/>
      <c r="AJ223" s="79" t="s">
        <v>45</v>
      </c>
      <c r="AK223" s="79">
        <v>0</v>
      </c>
      <c r="BB223" s="290" t="s">
        <v>66</v>
      </c>
      <c r="BM223" s="75">
        <f t="shared" si="22"/>
        <v>95.472000000000023</v>
      </c>
      <c r="BN223" s="75">
        <f t="shared" si="23"/>
        <v>95.472000000000008</v>
      </c>
      <c r="BO223" s="75">
        <f t="shared" si="24"/>
        <v>0.19780219780219785</v>
      </c>
      <c r="BP223" s="75">
        <f t="shared" si="25"/>
        <v>0.19780219780219782</v>
      </c>
    </row>
    <row r="224" spans="1:68" ht="27" hidden="1" customHeight="1" x14ac:dyDescent="0.25">
      <c r="A224" s="60" t="s">
        <v>382</v>
      </c>
      <c r="B224" s="60" t="s">
        <v>383</v>
      </c>
      <c r="C224" s="34">
        <v>4301051945</v>
      </c>
      <c r="D224" s="555">
        <v>4680115880504</v>
      </c>
      <c r="E224" s="555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81</v>
      </c>
      <c r="L224" s="35" t="s">
        <v>45</v>
      </c>
      <c r="M224" s="36" t="s">
        <v>96</v>
      </c>
      <c r="N224" s="36"/>
      <c r="O224" s="35">
        <v>40</v>
      </c>
      <c r="P224" s="700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4" s="557"/>
      <c r="R224" s="557"/>
      <c r="S224" s="557"/>
      <c r="T224" s="558"/>
      <c r="U224" s="37" t="s">
        <v>45</v>
      </c>
      <c r="V224" s="37" t="s">
        <v>45</v>
      </c>
      <c r="W224" s="38" t="s">
        <v>0</v>
      </c>
      <c r="X224" s="56">
        <v>0</v>
      </c>
      <c r="Y224" s="53">
        <f t="shared" si="21"/>
        <v>0</v>
      </c>
      <c r="Z224" s="39" t="str">
        <f t="shared" si="26"/>
        <v/>
      </c>
      <c r="AA224" s="65" t="s">
        <v>45</v>
      </c>
      <c r="AB224" s="66" t="s">
        <v>45</v>
      </c>
      <c r="AC224" s="291" t="s">
        <v>384</v>
      </c>
      <c r="AG224" s="75"/>
      <c r="AJ224" s="79" t="s">
        <v>45</v>
      </c>
      <c r="AK224" s="79">
        <v>0</v>
      </c>
      <c r="BB224" s="292" t="s">
        <v>66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385</v>
      </c>
      <c r="B225" s="60" t="s">
        <v>386</v>
      </c>
      <c r="C225" s="34">
        <v>4301051410</v>
      </c>
      <c r="D225" s="555">
        <v>4680115882164</v>
      </c>
      <c r="E225" s="555"/>
      <c r="F225" s="59">
        <v>0.4</v>
      </c>
      <c r="G225" s="35">
        <v>6</v>
      </c>
      <c r="H225" s="59">
        <v>2.4</v>
      </c>
      <c r="I225" s="59">
        <v>2.6579999999999999</v>
      </c>
      <c r="J225" s="35">
        <v>182</v>
      </c>
      <c r="K225" s="35" t="s">
        <v>81</v>
      </c>
      <c r="L225" s="35" t="s">
        <v>45</v>
      </c>
      <c r="M225" s="36" t="s">
        <v>90</v>
      </c>
      <c r="N225" s="36"/>
      <c r="O225" s="35">
        <v>40</v>
      </c>
      <c r="P225" s="69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5" s="557"/>
      <c r="R225" s="557"/>
      <c r="S225" s="557"/>
      <c r="T225" s="558"/>
      <c r="U225" s="37" t="s">
        <v>45</v>
      </c>
      <c r="V225" s="37" t="s">
        <v>45</v>
      </c>
      <c r="W225" s="38" t="s">
        <v>0</v>
      </c>
      <c r="X225" s="56">
        <v>86.4</v>
      </c>
      <c r="Y225" s="53">
        <f t="shared" si="21"/>
        <v>86.399999999999991</v>
      </c>
      <c r="Z225" s="39">
        <f t="shared" si="26"/>
        <v>0.23436000000000001</v>
      </c>
      <c r="AA225" s="65" t="s">
        <v>45</v>
      </c>
      <c r="AB225" s="66" t="s">
        <v>45</v>
      </c>
      <c r="AC225" s="293" t="s">
        <v>370</v>
      </c>
      <c r="AG225" s="75"/>
      <c r="AJ225" s="79" t="s">
        <v>45</v>
      </c>
      <c r="AK225" s="79">
        <v>0</v>
      </c>
      <c r="BB225" s="294" t="s">
        <v>66</v>
      </c>
      <c r="BM225" s="75">
        <f t="shared" si="22"/>
        <v>95.688000000000017</v>
      </c>
      <c r="BN225" s="75">
        <f t="shared" si="23"/>
        <v>95.687999999999988</v>
      </c>
      <c r="BO225" s="75">
        <f t="shared" si="24"/>
        <v>0.19780219780219785</v>
      </c>
      <c r="BP225" s="75">
        <f t="shared" si="25"/>
        <v>0.19780219780219782</v>
      </c>
    </row>
    <row r="226" spans="1:68" x14ac:dyDescent="0.2">
      <c r="A226" s="562"/>
      <c r="B226" s="562"/>
      <c r="C226" s="562"/>
      <c r="D226" s="562"/>
      <c r="E226" s="562"/>
      <c r="F226" s="562"/>
      <c r="G226" s="562"/>
      <c r="H226" s="562"/>
      <c r="I226" s="562"/>
      <c r="J226" s="562"/>
      <c r="K226" s="562"/>
      <c r="L226" s="562"/>
      <c r="M226" s="562"/>
      <c r="N226" s="562"/>
      <c r="O226" s="563"/>
      <c r="P226" s="559" t="s">
        <v>40</v>
      </c>
      <c r="Q226" s="560"/>
      <c r="R226" s="560"/>
      <c r="S226" s="560"/>
      <c r="T226" s="560"/>
      <c r="U226" s="560"/>
      <c r="V226" s="561"/>
      <c r="W226" s="40" t="s">
        <v>39</v>
      </c>
      <c r="X226" s="41">
        <f>IFERROR(X217/H217,"0")+IFERROR(X218/H218,"0")+IFERROR(X219/H219,"0")+IFERROR(X220/H220,"0")+IFERROR(X221/H221,"0")+IFERROR(X222/H222,"0")+IFERROR(X223/H223,"0")+IFERROR(X224/H224,"0")+IFERROR(X225/H225,"0")</f>
        <v>216</v>
      </c>
      <c r="Y226" s="41">
        <f>IFERROR(Y217/H217,"0")+IFERROR(Y218/H218,"0")+IFERROR(Y219/H219,"0")+IFERROR(Y220/H220,"0")+IFERROR(Y221/H221,"0")+IFERROR(Y222/H222,"0")+IFERROR(Y223/H223,"0")+IFERROR(Y224/H224,"0")+IFERROR(Y225/H225,"0")</f>
        <v>216</v>
      </c>
      <c r="Z226" s="41">
        <f>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</f>
        <v>2.0047200000000003</v>
      </c>
      <c r="AA226" s="64"/>
      <c r="AB226" s="64"/>
      <c r="AC226" s="64"/>
    </row>
    <row r="227" spans="1:68" x14ac:dyDescent="0.2">
      <c r="A227" s="562"/>
      <c r="B227" s="562"/>
      <c r="C227" s="562"/>
      <c r="D227" s="562"/>
      <c r="E227" s="562"/>
      <c r="F227" s="562"/>
      <c r="G227" s="562"/>
      <c r="H227" s="562"/>
      <c r="I227" s="562"/>
      <c r="J227" s="562"/>
      <c r="K227" s="562"/>
      <c r="L227" s="562"/>
      <c r="M227" s="562"/>
      <c r="N227" s="562"/>
      <c r="O227" s="563"/>
      <c r="P227" s="559" t="s">
        <v>40</v>
      </c>
      <c r="Q227" s="560"/>
      <c r="R227" s="560"/>
      <c r="S227" s="560"/>
      <c r="T227" s="560"/>
      <c r="U227" s="560"/>
      <c r="V227" s="561"/>
      <c r="W227" s="40" t="s">
        <v>0</v>
      </c>
      <c r="X227" s="41">
        <f>IFERROR(SUM(X217:X225),"0")</f>
        <v>820.8</v>
      </c>
      <c r="Y227" s="41">
        <f>IFERROR(SUM(Y217:Y225),"0")</f>
        <v>820.79999999999984</v>
      </c>
      <c r="Z227" s="40"/>
      <c r="AA227" s="64"/>
      <c r="AB227" s="64"/>
      <c r="AC227" s="64"/>
    </row>
    <row r="228" spans="1:68" ht="14.25" hidden="1" customHeight="1" x14ac:dyDescent="0.25">
      <c r="A228" s="554" t="s">
        <v>173</v>
      </c>
      <c r="B228" s="554"/>
      <c r="C228" s="554"/>
      <c r="D228" s="554"/>
      <c r="E228" s="554"/>
      <c r="F228" s="554"/>
      <c r="G228" s="554"/>
      <c r="H228" s="554"/>
      <c r="I228" s="554"/>
      <c r="J228" s="554"/>
      <c r="K228" s="554"/>
      <c r="L228" s="554"/>
      <c r="M228" s="554"/>
      <c r="N228" s="554"/>
      <c r="O228" s="554"/>
      <c r="P228" s="554"/>
      <c r="Q228" s="554"/>
      <c r="R228" s="554"/>
      <c r="S228" s="554"/>
      <c r="T228" s="554"/>
      <c r="U228" s="554"/>
      <c r="V228" s="554"/>
      <c r="W228" s="554"/>
      <c r="X228" s="554"/>
      <c r="Y228" s="554"/>
      <c r="Z228" s="554"/>
      <c r="AA228" s="63"/>
      <c r="AB228" s="63"/>
      <c r="AC228" s="63"/>
    </row>
    <row r="229" spans="1:68" ht="27" hidden="1" customHeight="1" x14ac:dyDescent="0.25">
      <c r="A229" s="60" t="s">
        <v>387</v>
      </c>
      <c r="B229" s="60" t="s">
        <v>388</v>
      </c>
      <c r="C229" s="34">
        <v>4301060463</v>
      </c>
      <c r="D229" s="555">
        <v>4680115880818</v>
      </c>
      <c r="E229" s="555"/>
      <c r="F229" s="59">
        <v>0.4</v>
      </c>
      <c r="G229" s="35">
        <v>6</v>
      </c>
      <c r="H229" s="59">
        <v>2.4</v>
      </c>
      <c r="I229" s="59">
        <v>2.6520000000000001</v>
      </c>
      <c r="J229" s="35">
        <v>182</v>
      </c>
      <c r="K229" s="35" t="s">
        <v>81</v>
      </c>
      <c r="L229" s="35" t="s">
        <v>45</v>
      </c>
      <c r="M229" s="36" t="s">
        <v>96</v>
      </c>
      <c r="N229" s="36"/>
      <c r="O229" s="35">
        <v>40</v>
      </c>
      <c r="P229" s="69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9" s="557"/>
      <c r="R229" s="557"/>
      <c r="S229" s="557"/>
      <c r="T229" s="558"/>
      <c r="U229" s="37" t="s">
        <v>45</v>
      </c>
      <c r="V229" s="37" t="s">
        <v>45</v>
      </c>
      <c r="W229" s="38" t="s">
        <v>0</v>
      </c>
      <c r="X229" s="56">
        <v>0</v>
      </c>
      <c r="Y229" s="53">
        <f>IFERROR(IF(X229="",0,CEILING((X229/$H229),1)*$H229),"")</f>
        <v>0</v>
      </c>
      <c r="Z229" s="39" t="str">
        <f>IFERROR(IF(Y229=0,"",ROUNDUP(Y229/H229,0)*0.00651),"")</f>
        <v/>
      </c>
      <c r="AA229" s="65" t="s">
        <v>45</v>
      </c>
      <c r="AB229" s="66" t="s">
        <v>45</v>
      </c>
      <c r="AC229" s="295" t="s">
        <v>389</v>
      </c>
      <c r="AG229" s="75"/>
      <c r="AJ229" s="79" t="s">
        <v>45</v>
      </c>
      <c r="AK229" s="79">
        <v>0</v>
      </c>
      <c r="BB229" s="296" t="s">
        <v>66</v>
      </c>
      <c r="BM229" s="75">
        <f>IFERROR(X229*I229/H229,"0")</f>
        <v>0</v>
      </c>
      <c r="BN229" s="75">
        <f>IFERROR(Y229*I229/H229,"0")</f>
        <v>0</v>
      </c>
      <c r="BO229" s="75">
        <f>IFERROR(1/J229*(X229/H229),"0")</f>
        <v>0</v>
      </c>
      <c r="BP229" s="75">
        <f>IFERROR(1/J229*(Y229/H229),"0")</f>
        <v>0</v>
      </c>
    </row>
    <row r="230" spans="1:68" ht="37.5" hidden="1" customHeight="1" x14ac:dyDescent="0.25">
      <c r="A230" s="60" t="s">
        <v>390</v>
      </c>
      <c r="B230" s="60" t="s">
        <v>391</v>
      </c>
      <c r="C230" s="34">
        <v>4301060389</v>
      </c>
      <c r="D230" s="555">
        <v>4680115880801</v>
      </c>
      <c r="E230" s="555"/>
      <c r="F230" s="59">
        <v>0.4</v>
      </c>
      <c r="G230" s="35">
        <v>6</v>
      </c>
      <c r="H230" s="59">
        <v>2.4</v>
      </c>
      <c r="I230" s="59">
        <v>2.6520000000000001</v>
      </c>
      <c r="J230" s="35">
        <v>182</v>
      </c>
      <c r="K230" s="35" t="s">
        <v>81</v>
      </c>
      <c r="L230" s="35" t="s">
        <v>45</v>
      </c>
      <c r="M230" s="36" t="s">
        <v>90</v>
      </c>
      <c r="N230" s="36"/>
      <c r="O230" s="35">
        <v>40</v>
      </c>
      <c r="P230" s="695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30" s="557"/>
      <c r="R230" s="557"/>
      <c r="S230" s="557"/>
      <c r="T230" s="558"/>
      <c r="U230" s="37" t="s">
        <v>45</v>
      </c>
      <c r="V230" s="37" t="s">
        <v>45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IFERROR(IF(Y230=0,"",ROUNDUP(Y230/H230,0)*0.00651),"")</f>
        <v/>
      </c>
      <c r="AA230" s="65" t="s">
        <v>45</v>
      </c>
      <c r="AB230" s="66" t="s">
        <v>45</v>
      </c>
      <c r="AC230" s="297" t="s">
        <v>392</v>
      </c>
      <c r="AG230" s="75"/>
      <c r="AJ230" s="79" t="s">
        <v>45</v>
      </c>
      <c r="AK230" s="79">
        <v>0</v>
      </c>
      <c r="BB230" s="298" t="s">
        <v>66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idden="1" x14ac:dyDescent="0.2">
      <c r="A231" s="562"/>
      <c r="B231" s="562"/>
      <c r="C231" s="562"/>
      <c r="D231" s="562"/>
      <c r="E231" s="562"/>
      <c r="F231" s="562"/>
      <c r="G231" s="562"/>
      <c r="H231" s="562"/>
      <c r="I231" s="562"/>
      <c r="J231" s="562"/>
      <c r="K231" s="562"/>
      <c r="L231" s="562"/>
      <c r="M231" s="562"/>
      <c r="N231" s="562"/>
      <c r="O231" s="563"/>
      <c r="P231" s="559" t="s">
        <v>40</v>
      </c>
      <c r="Q231" s="560"/>
      <c r="R231" s="560"/>
      <c r="S231" s="560"/>
      <c r="T231" s="560"/>
      <c r="U231" s="560"/>
      <c r="V231" s="561"/>
      <c r="W231" s="40" t="s">
        <v>39</v>
      </c>
      <c r="X231" s="41">
        <f>IFERROR(X229/H229,"0")+IFERROR(X230/H230,"0")</f>
        <v>0</v>
      </c>
      <c r="Y231" s="41">
        <f>IFERROR(Y229/H229,"0")+IFERROR(Y230/H230,"0")</f>
        <v>0</v>
      </c>
      <c r="Z231" s="41">
        <f>IFERROR(IF(Z229="",0,Z229),"0")+IFERROR(IF(Z230="",0,Z230),"0")</f>
        <v>0</v>
      </c>
      <c r="AA231" s="64"/>
      <c r="AB231" s="64"/>
      <c r="AC231" s="64"/>
    </row>
    <row r="232" spans="1:68" hidden="1" x14ac:dyDescent="0.2">
      <c r="A232" s="562"/>
      <c r="B232" s="562"/>
      <c r="C232" s="562"/>
      <c r="D232" s="562"/>
      <c r="E232" s="562"/>
      <c r="F232" s="562"/>
      <c r="G232" s="562"/>
      <c r="H232" s="562"/>
      <c r="I232" s="562"/>
      <c r="J232" s="562"/>
      <c r="K232" s="562"/>
      <c r="L232" s="562"/>
      <c r="M232" s="562"/>
      <c r="N232" s="562"/>
      <c r="O232" s="563"/>
      <c r="P232" s="559" t="s">
        <v>40</v>
      </c>
      <c r="Q232" s="560"/>
      <c r="R232" s="560"/>
      <c r="S232" s="560"/>
      <c r="T232" s="560"/>
      <c r="U232" s="560"/>
      <c r="V232" s="561"/>
      <c r="W232" s="40" t="s">
        <v>0</v>
      </c>
      <c r="X232" s="41">
        <f>IFERROR(SUM(X229:X230),"0")</f>
        <v>0</v>
      </c>
      <c r="Y232" s="41">
        <f>IFERROR(SUM(Y229:Y230),"0")</f>
        <v>0</v>
      </c>
      <c r="Z232" s="40"/>
      <c r="AA232" s="64"/>
      <c r="AB232" s="64"/>
      <c r="AC232" s="64"/>
    </row>
    <row r="233" spans="1:68" ht="16.5" hidden="1" customHeight="1" x14ac:dyDescent="0.25">
      <c r="A233" s="553" t="s">
        <v>393</v>
      </c>
      <c r="B233" s="553"/>
      <c r="C233" s="553"/>
      <c r="D233" s="553"/>
      <c r="E233" s="553"/>
      <c r="F233" s="553"/>
      <c r="G233" s="553"/>
      <c r="H233" s="553"/>
      <c r="I233" s="553"/>
      <c r="J233" s="553"/>
      <c r="K233" s="553"/>
      <c r="L233" s="553"/>
      <c r="M233" s="553"/>
      <c r="N233" s="553"/>
      <c r="O233" s="553"/>
      <c r="P233" s="553"/>
      <c r="Q233" s="553"/>
      <c r="R233" s="553"/>
      <c r="S233" s="553"/>
      <c r="T233" s="553"/>
      <c r="U233" s="553"/>
      <c r="V233" s="553"/>
      <c r="W233" s="553"/>
      <c r="X233" s="553"/>
      <c r="Y233" s="553"/>
      <c r="Z233" s="553"/>
      <c r="AA233" s="62"/>
      <c r="AB233" s="62"/>
      <c r="AC233" s="62"/>
    </row>
    <row r="234" spans="1:68" ht="14.25" hidden="1" customHeight="1" x14ac:dyDescent="0.25">
      <c r="A234" s="554" t="s">
        <v>114</v>
      </c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4"/>
      <c r="P234" s="554"/>
      <c r="Q234" s="554"/>
      <c r="R234" s="554"/>
      <c r="S234" s="554"/>
      <c r="T234" s="554"/>
      <c r="U234" s="554"/>
      <c r="V234" s="554"/>
      <c r="W234" s="554"/>
      <c r="X234" s="554"/>
      <c r="Y234" s="554"/>
      <c r="Z234" s="554"/>
      <c r="AA234" s="63"/>
      <c r="AB234" s="63"/>
      <c r="AC234" s="63"/>
    </row>
    <row r="235" spans="1:68" ht="27" hidden="1" customHeight="1" x14ac:dyDescent="0.25">
      <c r="A235" s="60" t="s">
        <v>394</v>
      </c>
      <c r="B235" s="60" t="s">
        <v>395</v>
      </c>
      <c r="C235" s="34">
        <v>4301011826</v>
      </c>
      <c r="D235" s="555">
        <v>4680115884137</v>
      </c>
      <c r="E235" s="555"/>
      <c r="F235" s="59">
        <v>1.45</v>
      </c>
      <c r="G235" s="35">
        <v>8</v>
      </c>
      <c r="H235" s="59">
        <v>11.6</v>
      </c>
      <c r="I235" s="59">
        <v>12.01</v>
      </c>
      <c r="J235" s="35">
        <v>64</v>
      </c>
      <c r="K235" s="35" t="s">
        <v>119</v>
      </c>
      <c r="L235" s="35" t="s">
        <v>45</v>
      </c>
      <c r="M235" s="36" t="s">
        <v>118</v>
      </c>
      <c r="N235" s="36"/>
      <c r="O235" s="35">
        <v>55</v>
      </c>
      <c r="P235" s="69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5" s="557"/>
      <c r="R235" s="557"/>
      <c r="S235" s="557"/>
      <c r="T235" s="558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ref="Y235:Y241" si="27">IFERROR(IF(X235="",0,CEILING((X235/$H235),1)*$H235),"")</f>
        <v>0</v>
      </c>
      <c r="Z235" s="39" t="str">
        <f>IFERROR(IF(Y235=0,"",ROUNDUP(Y235/H235,0)*0.01898),"")</f>
        <v/>
      </c>
      <c r="AA235" s="65" t="s">
        <v>45</v>
      </c>
      <c r="AB235" s="66" t="s">
        <v>45</v>
      </c>
      <c r="AC235" s="299" t="s">
        <v>396</v>
      </c>
      <c r="AG235" s="75"/>
      <c r="AJ235" s="79" t="s">
        <v>45</v>
      </c>
      <c r="AK235" s="79">
        <v>0</v>
      </c>
      <c r="BB235" s="300" t="s">
        <v>66</v>
      </c>
      <c r="BM235" s="75">
        <f t="shared" ref="BM235:BM241" si="28">IFERROR(X235*I235/H235,"0")</f>
        <v>0</v>
      </c>
      <c r="BN235" s="75">
        <f t="shared" ref="BN235:BN241" si="29">IFERROR(Y235*I235/H235,"0")</f>
        <v>0</v>
      </c>
      <c r="BO235" s="75">
        <f t="shared" ref="BO235:BO241" si="30">IFERROR(1/J235*(X235/H235),"0")</f>
        <v>0</v>
      </c>
      <c r="BP235" s="75">
        <f t="shared" ref="BP235:BP241" si="31">IFERROR(1/J235*(Y235/H235),"0")</f>
        <v>0</v>
      </c>
    </row>
    <row r="236" spans="1:68" ht="27" hidden="1" customHeight="1" x14ac:dyDescent="0.25">
      <c r="A236" s="60" t="s">
        <v>397</v>
      </c>
      <c r="B236" s="60" t="s">
        <v>398</v>
      </c>
      <c r="C236" s="34">
        <v>4301011724</v>
      </c>
      <c r="D236" s="555">
        <v>4680115884236</v>
      </c>
      <c r="E236" s="555"/>
      <c r="F236" s="59">
        <v>1.45</v>
      </c>
      <c r="G236" s="35">
        <v>8</v>
      </c>
      <c r="H236" s="59">
        <v>11.6</v>
      </c>
      <c r="I236" s="59">
        <v>12.01</v>
      </c>
      <c r="J236" s="35">
        <v>64</v>
      </c>
      <c r="K236" s="35" t="s">
        <v>119</v>
      </c>
      <c r="L236" s="35" t="s">
        <v>45</v>
      </c>
      <c r="M236" s="36" t="s">
        <v>118</v>
      </c>
      <c r="N236" s="36"/>
      <c r="O236" s="35">
        <v>55</v>
      </c>
      <c r="P236" s="69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6" s="557"/>
      <c r="R236" s="557"/>
      <c r="S236" s="557"/>
      <c r="T236" s="558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27"/>
        <v>0</v>
      </c>
      <c r="Z236" s="39" t="str">
        <f>IFERROR(IF(Y236=0,"",ROUNDUP(Y236/H236,0)*0.01898),"")</f>
        <v/>
      </c>
      <c r="AA236" s="65" t="s">
        <v>45</v>
      </c>
      <c r="AB236" s="66" t="s">
        <v>45</v>
      </c>
      <c r="AC236" s="301" t="s">
        <v>399</v>
      </c>
      <c r="AG236" s="75"/>
      <c r="AJ236" s="79" t="s">
        <v>45</v>
      </c>
      <c r="AK236" s="79">
        <v>0</v>
      </c>
      <c r="BB236" s="302" t="s">
        <v>66</v>
      </c>
      <c r="BM236" s="75">
        <f t="shared" si="28"/>
        <v>0</v>
      </c>
      <c r="BN236" s="75">
        <f t="shared" si="29"/>
        <v>0</v>
      </c>
      <c r="BO236" s="75">
        <f t="shared" si="30"/>
        <v>0</v>
      </c>
      <c r="BP236" s="75">
        <f t="shared" si="31"/>
        <v>0</v>
      </c>
    </row>
    <row r="237" spans="1:68" ht="27" hidden="1" customHeight="1" x14ac:dyDescent="0.25">
      <c r="A237" s="60" t="s">
        <v>400</v>
      </c>
      <c r="B237" s="60" t="s">
        <v>401</v>
      </c>
      <c r="C237" s="34">
        <v>4301011721</v>
      </c>
      <c r="D237" s="555">
        <v>4680115884175</v>
      </c>
      <c r="E237" s="555"/>
      <c r="F237" s="59">
        <v>1.45</v>
      </c>
      <c r="G237" s="35">
        <v>8</v>
      </c>
      <c r="H237" s="59">
        <v>11.6</v>
      </c>
      <c r="I237" s="59">
        <v>12.01</v>
      </c>
      <c r="J237" s="35">
        <v>64</v>
      </c>
      <c r="K237" s="35" t="s">
        <v>119</v>
      </c>
      <c r="L237" s="35" t="s">
        <v>45</v>
      </c>
      <c r="M237" s="36" t="s">
        <v>118</v>
      </c>
      <c r="N237" s="36"/>
      <c r="O237" s="35">
        <v>55</v>
      </c>
      <c r="P237" s="68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7" s="557"/>
      <c r="R237" s="557"/>
      <c r="S237" s="557"/>
      <c r="T237" s="558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27"/>
        <v>0</v>
      </c>
      <c r="Z237" s="39" t="str">
        <f>IFERROR(IF(Y237=0,"",ROUNDUP(Y237/H237,0)*0.01898),"")</f>
        <v/>
      </c>
      <c r="AA237" s="65" t="s">
        <v>45</v>
      </c>
      <c r="AB237" s="66" t="s">
        <v>45</v>
      </c>
      <c r="AC237" s="303" t="s">
        <v>402</v>
      </c>
      <c r="AG237" s="75"/>
      <c r="AJ237" s="79" t="s">
        <v>45</v>
      </c>
      <c r="AK237" s="79">
        <v>0</v>
      </c>
      <c r="BB237" s="304" t="s">
        <v>66</v>
      </c>
      <c r="BM237" s="75">
        <f t="shared" si="28"/>
        <v>0</v>
      </c>
      <c r="BN237" s="75">
        <f t="shared" si="29"/>
        <v>0</v>
      </c>
      <c r="BO237" s="75">
        <f t="shared" si="30"/>
        <v>0</v>
      </c>
      <c r="BP237" s="75">
        <f t="shared" si="31"/>
        <v>0</v>
      </c>
    </row>
    <row r="238" spans="1:68" ht="27" hidden="1" customHeight="1" x14ac:dyDescent="0.25">
      <c r="A238" s="60" t="s">
        <v>403</v>
      </c>
      <c r="B238" s="60" t="s">
        <v>404</v>
      </c>
      <c r="C238" s="34">
        <v>4301011824</v>
      </c>
      <c r="D238" s="555">
        <v>4680115884144</v>
      </c>
      <c r="E238" s="555"/>
      <c r="F238" s="59">
        <v>0.4</v>
      </c>
      <c r="G238" s="35">
        <v>10</v>
      </c>
      <c r="H238" s="59">
        <v>4</v>
      </c>
      <c r="I238" s="59">
        <v>4.1900000000000004</v>
      </c>
      <c r="J238" s="35">
        <v>132</v>
      </c>
      <c r="K238" s="35" t="s">
        <v>122</v>
      </c>
      <c r="L238" s="35" t="s">
        <v>45</v>
      </c>
      <c r="M238" s="36" t="s">
        <v>118</v>
      </c>
      <c r="N238" s="36"/>
      <c r="O238" s="35">
        <v>55</v>
      </c>
      <c r="P238" s="68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8" s="557"/>
      <c r="R238" s="557"/>
      <c r="S238" s="557"/>
      <c r="T238" s="558"/>
      <c r="U238" s="37" t="s">
        <v>45</v>
      </c>
      <c r="V238" s="37" t="s">
        <v>45</v>
      </c>
      <c r="W238" s="38" t="s">
        <v>0</v>
      </c>
      <c r="X238" s="56">
        <v>0</v>
      </c>
      <c r="Y238" s="53">
        <f t="shared" si="27"/>
        <v>0</v>
      </c>
      <c r="Z238" s="39" t="str">
        <f>IFERROR(IF(Y238=0,"",ROUNDUP(Y238/H238,0)*0.00902),"")</f>
        <v/>
      </c>
      <c r="AA238" s="65" t="s">
        <v>45</v>
      </c>
      <c r="AB238" s="66" t="s">
        <v>45</v>
      </c>
      <c r="AC238" s="305" t="s">
        <v>396</v>
      </c>
      <c r="AG238" s="75"/>
      <c r="AJ238" s="79" t="s">
        <v>45</v>
      </c>
      <c r="AK238" s="79">
        <v>0</v>
      </c>
      <c r="BB238" s="306" t="s">
        <v>66</v>
      </c>
      <c r="BM238" s="75">
        <f t="shared" si="28"/>
        <v>0</v>
      </c>
      <c r="BN238" s="75">
        <f t="shared" si="29"/>
        <v>0</v>
      </c>
      <c r="BO238" s="75">
        <f t="shared" si="30"/>
        <v>0</v>
      </c>
      <c r="BP238" s="75">
        <f t="shared" si="31"/>
        <v>0</v>
      </c>
    </row>
    <row r="239" spans="1:68" ht="27" hidden="1" customHeight="1" x14ac:dyDescent="0.25">
      <c r="A239" s="60" t="s">
        <v>405</v>
      </c>
      <c r="B239" s="60" t="s">
        <v>406</v>
      </c>
      <c r="C239" s="34">
        <v>4301012149</v>
      </c>
      <c r="D239" s="555">
        <v>4680115886551</v>
      </c>
      <c r="E239" s="555"/>
      <c r="F239" s="59">
        <v>0.4</v>
      </c>
      <c r="G239" s="35">
        <v>10</v>
      </c>
      <c r="H239" s="59">
        <v>4</v>
      </c>
      <c r="I239" s="59">
        <v>4.1900000000000004</v>
      </c>
      <c r="J239" s="35">
        <v>132</v>
      </c>
      <c r="K239" s="35" t="s">
        <v>122</v>
      </c>
      <c r="L239" s="35" t="s">
        <v>45</v>
      </c>
      <c r="M239" s="36" t="s">
        <v>118</v>
      </c>
      <c r="N239" s="36"/>
      <c r="O239" s="35">
        <v>55</v>
      </c>
      <c r="P239" s="68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7"/>
      <c r="R239" s="557"/>
      <c r="S239" s="557"/>
      <c r="T239" s="558"/>
      <c r="U239" s="37" t="s">
        <v>45</v>
      </c>
      <c r="V239" s="37" t="s">
        <v>45</v>
      </c>
      <c r="W239" s="38" t="s">
        <v>0</v>
      </c>
      <c r="X239" s="56">
        <v>0</v>
      </c>
      <c r="Y239" s="53">
        <f t="shared" si="27"/>
        <v>0</v>
      </c>
      <c r="Z239" s="39" t="str">
        <f>IFERROR(IF(Y239=0,"",ROUNDUP(Y239/H239,0)*0.00902),"")</f>
        <v/>
      </c>
      <c r="AA239" s="65" t="s">
        <v>45</v>
      </c>
      <c r="AB239" s="66" t="s">
        <v>45</v>
      </c>
      <c r="AC239" s="307" t="s">
        <v>407</v>
      </c>
      <c r="AG239" s="75"/>
      <c r="AJ239" s="79" t="s">
        <v>45</v>
      </c>
      <c r="AK239" s="79">
        <v>0</v>
      </c>
      <c r="BB239" s="308" t="s">
        <v>66</v>
      </c>
      <c r="BM239" s="75">
        <f t="shared" si="28"/>
        <v>0</v>
      </c>
      <c r="BN239" s="75">
        <f t="shared" si="29"/>
        <v>0</v>
      </c>
      <c r="BO239" s="75">
        <f t="shared" si="30"/>
        <v>0</v>
      </c>
      <c r="BP239" s="75">
        <f t="shared" si="31"/>
        <v>0</v>
      </c>
    </row>
    <row r="240" spans="1:68" ht="27" hidden="1" customHeight="1" x14ac:dyDescent="0.25">
      <c r="A240" s="60" t="s">
        <v>408</v>
      </c>
      <c r="B240" s="60" t="s">
        <v>409</v>
      </c>
      <c r="C240" s="34">
        <v>4301012228</v>
      </c>
      <c r="D240" s="555">
        <v>4680115887282</v>
      </c>
      <c r="E240" s="555"/>
      <c r="F240" s="59">
        <v>0.4</v>
      </c>
      <c r="G240" s="35">
        <v>6</v>
      </c>
      <c r="H240" s="59">
        <v>2.4</v>
      </c>
      <c r="I240" s="59">
        <v>2.58</v>
      </c>
      <c r="J240" s="35">
        <v>182</v>
      </c>
      <c r="K240" s="35" t="s">
        <v>81</v>
      </c>
      <c r="L240" s="35" t="s">
        <v>45</v>
      </c>
      <c r="M240" s="36" t="s">
        <v>118</v>
      </c>
      <c r="N240" s="36"/>
      <c r="O240" s="35">
        <v>55</v>
      </c>
      <c r="P240" s="68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7"/>
      <c r="R240" s="557"/>
      <c r="S240" s="557"/>
      <c r="T240" s="558"/>
      <c r="U240" s="37" t="s">
        <v>45</v>
      </c>
      <c r="V240" s="37" t="s">
        <v>45</v>
      </c>
      <c r="W240" s="38" t="s">
        <v>0</v>
      </c>
      <c r="X240" s="56">
        <v>0</v>
      </c>
      <c r="Y240" s="53">
        <f t="shared" si="27"/>
        <v>0</v>
      </c>
      <c r="Z240" s="39" t="str">
        <f>IFERROR(IF(Y240=0,"",ROUNDUP(Y240/H240,0)*0.00651),"")</f>
        <v/>
      </c>
      <c r="AA240" s="65" t="s">
        <v>45</v>
      </c>
      <c r="AB240" s="66" t="s">
        <v>45</v>
      </c>
      <c r="AC240" s="309" t="s">
        <v>410</v>
      </c>
      <c r="AG240" s="75"/>
      <c r="AJ240" s="79" t="s">
        <v>45</v>
      </c>
      <c r="AK240" s="79">
        <v>0</v>
      </c>
      <c r="BB240" s="310" t="s">
        <v>66</v>
      </c>
      <c r="BM240" s="75">
        <f t="shared" si="28"/>
        <v>0</v>
      </c>
      <c r="BN240" s="75">
        <f t="shared" si="29"/>
        <v>0</v>
      </c>
      <c r="BO240" s="75">
        <f t="shared" si="30"/>
        <v>0</v>
      </c>
      <c r="BP240" s="75">
        <f t="shared" si="31"/>
        <v>0</v>
      </c>
    </row>
    <row r="241" spans="1:68" ht="27" hidden="1" customHeight="1" x14ac:dyDescent="0.25">
      <c r="A241" s="60" t="s">
        <v>411</v>
      </c>
      <c r="B241" s="60" t="s">
        <v>412</v>
      </c>
      <c r="C241" s="34">
        <v>4301011722</v>
      </c>
      <c r="D241" s="555">
        <v>4680115884205</v>
      </c>
      <c r="E241" s="555"/>
      <c r="F241" s="59">
        <v>0.4</v>
      </c>
      <c r="G241" s="35">
        <v>10</v>
      </c>
      <c r="H241" s="59">
        <v>4</v>
      </c>
      <c r="I241" s="59">
        <v>4.1900000000000004</v>
      </c>
      <c r="J241" s="35">
        <v>132</v>
      </c>
      <c r="K241" s="35" t="s">
        <v>122</v>
      </c>
      <c r="L241" s="35" t="s">
        <v>45</v>
      </c>
      <c r="M241" s="36" t="s">
        <v>118</v>
      </c>
      <c r="N241" s="36"/>
      <c r="O241" s="35">
        <v>55</v>
      </c>
      <c r="P241" s="69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7"/>
      <c r="R241" s="557"/>
      <c r="S241" s="557"/>
      <c r="T241" s="558"/>
      <c r="U241" s="37" t="s">
        <v>45</v>
      </c>
      <c r="V241" s="37" t="s">
        <v>45</v>
      </c>
      <c r="W241" s="38" t="s">
        <v>0</v>
      </c>
      <c r="X241" s="56">
        <v>0</v>
      </c>
      <c r="Y241" s="53">
        <f t="shared" si="27"/>
        <v>0</v>
      </c>
      <c r="Z241" s="39" t="str">
        <f>IFERROR(IF(Y241=0,"",ROUNDUP(Y241/H241,0)*0.00902),"")</f>
        <v/>
      </c>
      <c r="AA241" s="65" t="s">
        <v>45</v>
      </c>
      <c r="AB241" s="66" t="s">
        <v>45</v>
      </c>
      <c r="AC241" s="311" t="s">
        <v>402</v>
      </c>
      <c r="AG241" s="75"/>
      <c r="AJ241" s="79" t="s">
        <v>45</v>
      </c>
      <c r="AK241" s="79">
        <v>0</v>
      </c>
      <c r="BB241" s="312" t="s">
        <v>66</v>
      </c>
      <c r="BM241" s="75">
        <f t="shared" si="28"/>
        <v>0</v>
      </c>
      <c r="BN241" s="75">
        <f t="shared" si="29"/>
        <v>0</v>
      </c>
      <c r="BO241" s="75">
        <f t="shared" si="30"/>
        <v>0</v>
      </c>
      <c r="BP241" s="75">
        <f t="shared" si="31"/>
        <v>0</v>
      </c>
    </row>
    <row r="242" spans="1:68" hidden="1" x14ac:dyDescent="0.2">
      <c r="A242" s="562"/>
      <c r="B242" s="562"/>
      <c r="C242" s="562"/>
      <c r="D242" s="562"/>
      <c r="E242" s="562"/>
      <c r="F242" s="562"/>
      <c r="G242" s="562"/>
      <c r="H242" s="562"/>
      <c r="I242" s="562"/>
      <c r="J242" s="562"/>
      <c r="K242" s="562"/>
      <c r="L242" s="562"/>
      <c r="M242" s="562"/>
      <c r="N242" s="562"/>
      <c r="O242" s="563"/>
      <c r="P242" s="559" t="s">
        <v>40</v>
      </c>
      <c r="Q242" s="560"/>
      <c r="R242" s="560"/>
      <c r="S242" s="560"/>
      <c r="T242" s="560"/>
      <c r="U242" s="560"/>
      <c r="V242" s="561"/>
      <c r="W242" s="40" t="s">
        <v>39</v>
      </c>
      <c r="X242" s="41">
        <f>IFERROR(X235/H235,"0")+IFERROR(X236/H236,"0")+IFERROR(X237/H237,"0")+IFERROR(X238/H238,"0")+IFERROR(X239/H239,"0")+IFERROR(X240/H240,"0")+IFERROR(X241/H241,"0")</f>
        <v>0</v>
      </c>
      <c r="Y242" s="41">
        <f>IFERROR(Y235/H235,"0")+IFERROR(Y236/H236,"0")+IFERROR(Y237/H237,"0")+IFERROR(Y238/H238,"0")+IFERROR(Y239/H239,"0")+IFERROR(Y240/H240,"0")+IFERROR(Y241/H241,"0")</f>
        <v>0</v>
      </c>
      <c r="Z242" s="41">
        <f>IFERROR(IF(Z235="",0,Z235),"0")+IFERROR(IF(Z236="",0,Z236),"0")+IFERROR(IF(Z237="",0,Z237),"0")+IFERROR(IF(Z238="",0,Z238),"0")+IFERROR(IF(Z239="",0,Z239),"0")+IFERROR(IF(Z240="",0,Z240),"0")+IFERROR(IF(Z241="",0,Z241),"0")</f>
        <v>0</v>
      </c>
      <c r="AA242" s="64"/>
      <c r="AB242" s="64"/>
      <c r="AC242" s="64"/>
    </row>
    <row r="243" spans="1:68" hidden="1" x14ac:dyDescent="0.2">
      <c r="A243" s="562"/>
      <c r="B243" s="562"/>
      <c r="C243" s="562"/>
      <c r="D243" s="562"/>
      <c r="E243" s="562"/>
      <c r="F243" s="562"/>
      <c r="G243" s="562"/>
      <c r="H243" s="562"/>
      <c r="I243" s="562"/>
      <c r="J243" s="562"/>
      <c r="K243" s="562"/>
      <c r="L243" s="562"/>
      <c r="M243" s="562"/>
      <c r="N243" s="562"/>
      <c r="O243" s="563"/>
      <c r="P243" s="559" t="s">
        <v>40</v>
      </c>
      <c r="Q243" s="560"/>
      <c r="R243" s="560"/>
      <c r="S243" s="560"/>
      <c r="T243" s="560"/>
      <c r="U243" s="560"/>
      <c r="V243" s="561"/>
      <c r="W243" s="40" t="s">
        <v>0</v>
      </c>
      <c r="X243" s="41">
        <f>IFERROR(SUM(X235:X241),"0")</f>
        <v>0</v>
      </c>
      <c r="Y243" s="41">
        <f>IFERROR(SUM(Y235:Y241),"0")</f>
        <v>0</v>
      </c>
      <c r="Z243" s="40"/>
      <c r="AA243" s="64"/>
      <c r="AB243" s="64"/>
      <c r="AC243" s="64"/>
    </row>
    <row r="244" spans="1:68" ht="14.25" hidden="1" customHeight="1" x14ac:dyDescent="0.25">
      <c r="A244" s="554" t="s">
        <v>147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63"/>
      <c r="AB244" s="63"/>
      <c r="AC244" s="63"/>
    </row>
    <row r="245" spans="1:68" ht="27" hidden="1" customHeight="1" x14ac:dyDescent="0.25">
      <c r="A245" s="60" t="s">
        <v>413</v>
      </c>
      <c r="B245" s="60" t="s">
        <v>414</v>
      </c>
      <c r="C245" s="34">
        <v>4301020377</v>
      </c>
      <c r="D245" s="555">
        <v>4680115885981</v>
      </c>
      <c r="E245" s="555"/>
      <c r="F245" s="59">
        <v>0.33</v>
      </c>
      <c r="G245" s="35">
        <v>6</v>
      </c>
      <c r="H245" s="59">
        <v>1.98</v>
      </c>
      <c r="I245" s="59">
        <v>2.08</v>
      </c>
      <c r="J245" s="35">
        <v>234</v>
      </c>
      <c r="K245" s="35" t="s">
        <v>85</v>
      </c>
      <c r="L245" s="35" t="s">
        <v>45</v>
      </c>
      <c r="M245" s="36" t="s">
        <v>90</v>
      </c>
      <c r="N245" s="36"/>
      <c r="O245" s="35">
        <v>50</v>
      </c>
      <c r="P245" s="68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5" s="557"/>
      <c r="R245" s="557"/>
      <c r="S245" s="557"/>
      <c r="T245" s="558"/>
      <c r="U245" s="37" t="s">
        <v>45</v>
      </c>
      <c r="V245" s="37" t="s">
        <v>45</v>
      </c>
      <c r="W245" s="38" t="s">
        <v>0</v>
      </c>
      <c r="X245" s="56">
        <v>0</v>
      </c>
      <c r="Y245" s="53">
        <f>IFERROR(IF(X245="",0,CEILING((X245/$H245),1)*$H245),"")</f>
        <v>0</v>
      </c>
      <c r="Z245" s="39" t="str">
        <f>IFERROR(IF(Y245=0,"",ROUNDUP(Y245/H245,0)*0.00502),"")</f>
        <v/>
      </c>
      <c r="AA245" s="65" t="s">
        <v>45</v>
      </c>
      <c r="AB245" s="66" t="s">
        <v>45</v>
      </c>
      <c r="AC245" s="313" t="s">
        <v>415</v>
      </c>
      <c r="AG245" s="75"/>
      <c r="AJ245" s="79" t="s">
        <v>45</v>
      </c>
      <c r="AK245" s="79">
        <v>0</v>
      </c>
      <c r="BB245" s="314" t="s">
        <v>66</v>
      </c>
      <c r="BM245" s="75">
        <f>IFERROR(X245*I245/H245,"0")</f>
        <v>0</v>
      </c>
      <c r="BN245" s="75">
        <f>IFERROR(Y245*I245/H245,"0")</f>
        <v>0</v>
      </c>
      <c r="BO245" s="75">
        <f>IFERROR(1/J245*(X245/H245),"0")</f>
        <v>0</v>
      </c>
      <c r="BP245" s="75">
        <f>IFERROR(1/J245*(Y245/H245),"0")</f>
        <v>0</v>
      </c>
    </row>
    <row r="246" spans="1:68" hidden="1" x14ac:dyDescent="0.2">
      <c r="A246" s="562"/>
      <c r="B246" s="562"/>
      <c r="C246" s="562"/>
      <c r="D246" s="562"/>
      <c r="E246" s="562"/>
      <c r="F246" s="562"/>
      <c r="G246" s="562"/>
      <c r="H246" s="562"/>
      <c r="I246" s="562"/>
      <c r="J246" s="562"/>
      <c r="K246" s="562"/>
      <c r="L246" s="562"/>
      <c r="M246" s="562"/>
      <c r="N246" s="562"/>
      <c r="O246" s="563"/>
      <c r="P246" s="559" t="s">
        <v>40</v>
      </c>
      <c r="Q246" s="560"/>
      <c r="R246" s="560"/>
      <c r="S246" s="560"/>
      <c r="T246" s="560"/>
      <c r="U246" s="560"/>
      <c r="V246" s="561"/>
      <c r="W246" s="40" t="s">
        <v>39</v>
      </c>
      <c r="X246" s="41">
        <f>IFERROR(X245/H245,"0")</f>
        <v>0</v>
      </c>
      <c r="Y246" s="41">
        <f>IFERROR(Y245/H245,"0")</f>
        <v>0</v>
      </c>
      <c r="Z246" s="41">
        <f>IFERROR(IF(Z245="",0,Z245),"0")</f>
        <v>0</v>
      </c>
      <c r="AA246" s="64"/>
      <c r="AB246" s="64"/>
      <c r="AC246" s="64"/>
    </row>
    <row r="247" spans="1:68" hidden="1" x14ac:dyDescent="0.2">
      <c r="A247" s="562"/>
      <c r="B247" s="562"/>
      <c r="C247" s="562"/>
      <c r="D247" s="562"/>
      <c r="E247" s="562"/>
      <c r="F247" s="562"/>
      <c r="G247" s="562"/>
      <c r="H247" s="562"/>
      <c r="I247" s="562"/>
      <c r="J247" s="562"/>
      <c r="K247" s="562"/>
      <c r="L247" s="562"/>
      <c r="M247" s="562"/>
      <c r="N247" s="562"/>
      <c r="O247" s="563"/>
      <c r="P247" s="559" t="s">
        <v>40</v>
      </c>
      <c r="Q247" s="560"/>
      <c r="R247" s="560"/>
      <c r="S247" s="560"/>
      <c r="T247" s="560"/>
      <c r="U247" s="560"/>
      <c r="V247" s="561"/>
      <c r="W247" s="40" t="s">
        <v>0</v>
      </c>
      <c r="X247" s="41">
        <f>IFERROR(SUM(X245:X245),"0")</f>
        <v>0</v>
      </c>
      <c r="Y247" s="41">
        <f>IFERROR(SUM(Y245:Y245),"0")</f>
        <v>0</v>
      </c>
      <c r="Z247" s="40"/>
      <c r="AA247" s="64"/>
      <c r="AB247" s="64"/>
      <c r="AC247" s="64"/>
    </row>
    <row r="248" spans="1:68" ht="14.25" hidden="1" customHeight="1" x14ac:dyDescent="0.25">
      <c r="A248" s="554" t="s">
        <v>416</v>
      </c>
      <c r="B248" s="554"/>
      <c r="C248" s="554"/>
      <c r="D248" s="554"/>
      <c r="E248" s="554"/>
      <c r="F248" s="554"/>
      <c r="G248" s="554"/>
      <c r="H248" s="554"/>
      <c r="I248" s="554"/>
      <c r="J248" s="554"/>
      <c r="K248" s="554"/>
      <c r="L248" s="554"/>
      <c r="M248" s="554"/>
      <c r="N248" s="554"/>
      <c r="O248" s="554"/>
      <c r="P248" s="554"/>
      <c r="Q248" s="554"/>
      <c r="R248" s="554"/>
      <c r="S248" s="554"/>
      <c r="T248" s="554"/>
      <c r="U248" s="554"/>
      <c r="V248" s="554"/>
      <c r="W248" s="554"/>
      <c r="X248" s="554"/>
      <c r="Y248" s="554"/>
      <c r="Z248" s="554"/>
      <c r="AA248" s="63"/>
      <c r="AB248" s="63"/>
      <c r="AC248" s="63"/>
    </row>
    <row r="249" spans="1:68" ht="27" hidden="1" customHeight="1" x14ac:dyDescent="0.25">
      <c r="A249" s="60" t="s">
        <v>417</v>
      </c>
      <c r="B249" s="60" t="s">
        <v>418</v>
      </c>
      <c r="C249" s="34">
        <v>4301040362</v>
      </c>
      <c r="D249" s="555">
        <v>4680115886803</v>
      </c>
      <c r="E249" s="555"/>
      <c r="F249" s="59">
        <v>0.12</v>
      </c>
      <c r="G249" s="35">
        <v>15</v>
      </c>
      <c r="H249" s="59">
        <v>1.8</v>
      </c>
      <c r="I249" s="59">
        <v>1.9750000000000001</v>
      </c>
      <c r="J249" s="35">
        <v>216</v>
      </c>
      <c r="K249" s="35" t="s">
        <v>325</v>
      </c>
      <c r="L249" s="35" t="s">
        <v>45</v>
      </c>
      <c r="M249" s="36" t="s">
        <v>302</v>
      </c>
      <c r="N249" s="36"/>
      <c r="O249" s="35">
        <v>45</v>
      </c>
      <c r="P249" s="683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9" s="557"/>
      <c r="R249" s="557"/>
      <c r="S249" s="557"/>
      <c r="T249" s="558"/>
      <c r="U249" s="37" t="s">
        <v>45</v>
      </c>
      <c r="V249" s="37" t="s">
        <v>45</v>
      </c>
      <c r="W249" s="38" t="s">
        <v>0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IFERROR(IF(Y249=0,"",ROUNDUP(Y249/H249,0)*0.0059),"")</f>
        <v/>
      </c>
      <c r="AA249" s="65" t="s">
        <v>45</v>
      </c>
      <c r="AB249" s="66" t="s">
        <v>45</v>
      </c>
      <c r="AC249" s="315" t="s">
        <v>419</v>
      </c>
      <c r="AG249" s="75"/>
      <c r="AJ249" s="79" t="s">
        <v>45</v>
      </c>
      <c r="AK249" s="79">
        <v>0</v>
      </c>
      <c r="BB249" s="316" t="s">
        <v>66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idden="1" x14ac:dyDescent="0.2">
      <c r="A250" s="562"/>
      <c r="B250" s="562"/>
      <c r="C250" s="562"/>
      <c r="D250" s="562"/>
      <c r="E250" s="562"/>
      <c r="F250" s="562"/>
      <c r="G250" s="562"/>
      <c r="H250" s="562"/>
      <c r="I250" s="562"/>
      <c r="J250" s="562"/>
      <c r="K250" s="562"/>
      <c r="L250" s="562"/>
      <c r="M250" s="562"/>
      <c r="N250" s="562"/>
      <c r="O250" s="563"/>
      <c r="P250" s="559" t="s">
        <v>40</v>
      </c>
      <c r="Q250" s="560"/>
      <c r="R250" s="560"/>
      <c r="S250" s="560"/>
      <c r="T250" s="560"/>
      <c r="U250" s="560"/>
      <c r="V250" s="561"/>
      <c r="W250" s="40" t="s">
        <v>39</v>
      </c>
      <c r="X250" s="41">
        <f>IFERROR(X249/H249,"0")</f>
        <v>0</v>
      </c>
      <c r="Y250" s="41">
        <f>IFERROR(Y249/H249,"0")</f>
        <v>0</v>
      </c>
      <c r="Z250" s="41">
        <f>IFERROR(IF(Z249="",0,Z249),"0")</f>
        <v>0</v>
      </c>
      <c r="AA250" s="64"/>
      <c r="AB250" s="64"/>
      <c r="AC250" s="64"/>
    </row>
    <row r="251" spans="1:68" hidden="1" x14ac:dyDescent="0.2">
      <c r="A251" s="562"/>
      <c r="B251" s="562"/>
      <c r="C251" s="562"/>
      <c r="D251" s="562"/>
      <c r="E251" s="562"/>
      <c r="F251" s="562"/>
      <c r="G251" s="562"/>
      <c r="H251" s="562"/>
      <c r="I251" s="562"/>
      <c r="J251" s="562"/>
      <c r="K251" s="562"/>
      <c r="L251" s="562"/>
      <c r="M251" s="562"/>
      <c r="N251" s="562"/>
      <c r="O251" s="563"/>
      <c r="P251" s="559" t="s">
        <v>40</v>
      </c>
      <c r="Q251" s="560"/>
      <c r="R251" s="560"/>
      <c r="S251" s="560"/>
      <c r="T251" s="560"/>
      <c r="U251" s="560"/>
      <c r="V251" s="561"/>
      <c r="W251" s="40" t="s">
        <v>0</v>
      </c>
      <c r="X251" s="41">
        <f>IFERROR(SUM(X249:X249),"0")</f>
        <v>0</v>
      </c>
      <c r="Y251" s="41">
        <f>IFERROR(SUM(Y249:Y249),"0")</f>
        <v>0</v>
      </c>
      <c r="Z251" s="40"/>
      <c r="AA251" s="64"/>
      <c r="AB251" s="64"/>
      <c r="AC251" s="64"/>
    </row>
    <row r="252" spans="1:68" ht="14.25" hidden="1" customHeight="1" x14ac:dyDescent="0.25">
      <c r="A252" s="554" t="s">
        <v>420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63"/>
      <c r="AB252" s="63"/>
      <c r="AC252" s="63"/>
    </row>
    <row r="253" spans="1:68" ht="27" hidden="1" customHeight="1" x14ac:dyDescent="0.25">
      <c r="A253" s="60" t="s">
        <v>421</v>
      </c>
      <c r="B253" s="60" t="s">
        <v>422</v>
      </c>
      <c r="C253" s="34">
        <v>4301041004</v>
      </c>
      <c r="D253" s="555">
        <v>4680115886704</v>
      </c>
      <c r="E253" s="555"/>
      <c r="F253" s="59">
        <v>5.5E-2</v>
      </c>
      <c r="G253" s="35">
        <v>18</v>
      </c>
      <c r="H253" s="59">
        <v>0.99</v>
      </c>
      <c r="I253" s="59">
        <v>1.18</v>
      </c>
      <c r="J253" s="35">
        <v>216</v>
      </c>
      <c r="K253" s="35" t="s">
        <v>325</v>
      </c>
      <c r="L253" s="35" t="s">
        <v>45</v>
      </c>
      <c r="M253" s="36" t="s">
        <v>302</v>
      </c>
      <c r="N253" s="36"/>
      <c r="O253" s="35">
        <v>90</v>
      </c>
      <c r="P253" s="6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3" s="557"/>
      <c r="R253" s="557"/>
      <c r="S253" s="557"/>
      <c r="T253" s="558"/>
      <c r="U253" s="37" t="s">
        <v>45</v>
      </c>
      <c r="V253" s="37" t="s">
        <v>45</v>
      </c>
      <c r="W253" s="38" t="s">
        <v>0</v>
      </c>
      <c r="X253" s="56">
        <v>0</v>
      </c>
      <c r="Y253" s="53">
        <f>IFERROR(IF(X253="",0,CEILING((X253/$H253),1)*$H253),"")</f>
        <v>0</v>
      </c>
      <c r="Z253" s="39" t="str">
        <f>IFERROR(IF(Y253=0,"",ROUNDUP(Y253/H253,0)*0.0059),"")</f>
        <v/>
      </c>
      <c r="AA253" s="65" t="s">
        <v>45</v>
      </c>
      <c r="AB253" s="66" t="s">
        <v>45</v>
      </c>
      <c r="AC253" s="317" t="s">
        <v>423</v>
      </c>
      <c r="AG253" s="75"/>
      <c r="AJ253" s="79" t="s">
        <v>45</v>
      </c>
      <c r="AK253" s="79">
        <v>0</v>
      </c>
      <c r="BB253" s="318" t="s">
        <v>66</v>
      </c>
      <c r="BM253" s="75">
        <f>IFERROR(X253*I253/H253,"0")</f>
        <v>0</v>
      </c>
      <c r="BN253" s="75">
        <f>IFERROR(Y253*I253/H253,"0")</f>
        <v>0</v>
      </c>
      <c r="BO253" s="75">
        <f>IFERROR(1/J253*(X253/H253),"0")</f>
        <v>0</v>
      </c>
      <c r="BP253" s="75">
        <f>IFERROR(1/J253*(Y253/H253),"0")</f>
        <v>0</v>
      </c>
    </row>
    <row r="254" spans="1:68" ht="27" hidden="1" customHeight="1" x14ac:dyDescent="0.25">
      <c r="A254" s="60" t="s">
        <v>424</v>
      </c>
      <c r="B254" s="60" t="s">
        <v>425</v>
      </c>
      <c r="C254" s="34">
        <v>4301041008</v>
      </c>
      <c r="D254" s="555">
        <v>4680115886681</v>
      </c>
      <c r="E254" s="555"/>
      <c r="F254" s="59">
        <v>0.12</v>
      </c>
      <c r="G254" s="35">
        <v>15</v>
      </c>
      <c r="H254" s="59">
        <v>1.8</v>
      </c>
      <c r="I254" s="59">
        <v>1.9750000000000001</v>
      </c>
      <c r="J254" s="35">
        <v>216</v>
      </c>
      <c r="K254" s="35" t="s">
        <v>325</v>
      </c>
      <c r="L254" s="35" t="s">
        <v>45</v>
      </c>
      <c r="M254" s="36" t="s">
        <v>302</v>
      </c>
      <c r="N254" s="36"/>
      <c r="O254" s="35">
        <v>90</v>
      </c>
      <c r="P254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4" s="557"/>
      <c r="R254" s="557"/>
      <c r="S254" s="557"/>
      <c r="T254" s="558"/>
      <c r="U254" s="37" t="s">
        <v>45</v>
      </c>
      <c r="V254" s="37" t="s">
        <v>45</v>
      </c>
      <c r="W254" s="38" t="s">
        <v>0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IFERROR(IF(Y254=0,"",ROUNDUP(Y254/H254,0)*0.0059),"")</f>
        <v/>
      </c>
      <c r="AA254" s="65" t="s">
        <v>45</v>
      </c>
      <c r="AB254" s="66" t="s">
        <v>45</v>
      </c>
      <c r="AC254" s="319" t="s">
        <v>423</v>
      </c>
      <c r="AG254" s="75"/>
      <c r="AJ254" s="79" t="s">
        <v>45</v>
      </c>
      <c r="AK254" s="79">
        <v>0</v>
      </c>
      <c r="BB254" s="320" t="s">
        <v>66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27" hidden="1" customHeight="1" x14ac:dyDescent="0.25">
      <c r="A255" s="60" t="s">
        <v>426</v>
      </c>
      <c r="B255" s="60" t="s">
        <v>427</v>
      </c>
      <c r="C255" s="34">
        <v>4301041007</v>
      </c>
      <c r="D255" s="555">
        <v>4680115886735</v>
      </c>
      <c r="E255" s="555"/>
      <c r="F255" s="59">
        <v>0.05</v>
      </c>
      <c r="G255" s="35">
        <v>18</v>
      </c>
      <c r="H255" s="59">
        <v>0.9</v>
      </c>
      <c r="I255" s="59">
        <v>1.0900000000000001</v>
      </c>
      <c r="J255" s="35">
        <v>216</v>
      </c>
      <c r="K255" s="35" t="s">
        <v>325</v>
      </c>
      <c r="L255" s="35" t="s">
        <v>45</v>
      </c>
      <c r="M255" s="36" t="s">
        <v>302</v>
      </c>
      <c r="N255" s="36"/>
      <c r="O255" s="35">
        <v>90</v>
      </c>
      <c r="P255" s="680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5" s="557"/>
      <c r="R255" s="557"/>
      <c r="S255" s="557"/>
      <c r="T255" s="558"/>
      <c r="U255" s="37" t="s">
        <v>45</v>
      </c>
      <c r="V255" s="37" t="s">
        <v>45</v>
      </c>
      <c r="W255" s="38" t="s">
        <v>0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IFERROR(IF(Y255=0,"",ROUNDUP(Y255/H255,0)*0.0059),"")</f>
        <v/>
      </c>
      <c r="AA255" s="65" t="s">
        <v>45</v>
      </c>
      <c r="AB255" s="66" t="s">
        <v>45</v>
      </c>
      <c r="AC255" s="321" t="s">
        <v>423</v>
      </c>
      <c r="AG255" s="75"/>
      <c r="AJ255" s="79" t="s">
        <v>45</v>
      </c>
      <c r="AK255" s="79">
        <v>0</v>
      </c>
      <c r="BB255" s="322" t="s">
        <v>66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ht="27" hidden="1" customHeight="1" x14ac:dyDescent="0.25">
      <c r="A256" s="60" t="s">
        <v>428</v>
      </c>
      <c r="B256" s="60" t="s">
        <v>429</v>
      </c>
      <c r="C256" s="34">
        <v>4301041006</v>
      </c>
      <c r="D256" s="555">
        <v>4680115886728</v>
      </c>
      <c r="E256" s="555"/>
      <c r="F256" s="59">
        <v>5.5E-2</v>
      </c>
      <c r="G256" s="35">
        <v>18</v>
      </c>
      <c r="H256" s="59">
        <v>0.99</v>
      </c>
      <c r="I256" s="59">
        <v>1.18</v>
      </c>
      <c r="J256" s="35">
        <v>216</v>
      </c>
      <c r="K256" s="35" t="s">
        <v>325</v>
      </c>
      <c r="L256" s="35" t="s">
        <v>45</v>
      </c>
      <c r="M256" s="36" t="s">
        <v>302</v>
      </c>
      <c r="N256" s="36"/>
      <c r="O256" s="35">
        <v>90</v>
      </c>
      <c r="P256" s="681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6" s="557"/>
      <c r="R256" s="557"/>
      <c r="S256" s="557"/>
      <c r="T256" s="558"/>
      <c r="U256" s="37" t="s">
        <v>45</v>
      </c>
      <c r="V256" s="37" t="s">
        <v>45</v>
      </c>
      <c r="W256" s="38" t="s">
        <v>0</v>
      </c>
      <c r="X256" s="56">
        <v>0</v>
      </c>
      <c r="Y256" s="53">
        <f>IFERROR(IF(X256="",0,CEILING((X256/$H256),1)*$H256),"")</f>
        <v>0</v>
      </c>
      <c r="Z256" s="39" t="str">
        <f>IFERROR(IF(Y256=0,"",ROUNDUP(Y256/H256,0)*0.0059),"")</f>
        <v/>
      </c>
      <c r="AA256" s="65" t="s">
        <v>45</v>
      </c>
      <c r="AB256" s="66" t="s">
        <v>45</v>
      </c>
      <c r="AC256" s="323" t="s">
        <v>423</v>
      </c>
      <c r="AG256" s="75"/>
      <c r="AJ256" s="79" t="s">
        <v>45</v>
      </c>
      <c r="AK256" s="79">
        <v>0</v>
      </c>
      <c r="BB256" s="324" t="s">
        <v>66</v>
      </c>
      <c r="BM256" s="75">
        <f>IFERROR(X256*I256/H256,"0")</f>
        <v>0</v>
      </c>
      <c r="BN256" s="75">
        <f>IFERROR(Y256*I256/H256,"0")</f>
        <v>0</v>
      </c>
      <c r="BO256" s="75">
        <f>IFERROR(1/J256*(X256/H256),"0")</f>
        <v>0</v>
      </c>
      <c r="BP256" s="75">
        <f>IFERROR(1/J256*(Y256/H256),"0")</f>
        <v>0</v>
      </c>
    </row>
    <row r="257" spans="1:68" ht="27" hidden="1" customHeight="1" x14ac:dyDescent="0.25">
      <c r="A257" s="60" t="s">
        <v>430</v>
      </c>
      <c r="B257" s="60" t="s">
        <v>431</v>
      </c>
      <c r="C257" s="34">
        <v>4301041005</v>
      </c>
      <c r="D257" s="555">
        <v>4680115886711</v>
      </c>
      <c r="E257" s="555"/>
      <c r="F257" s="59">
        <v>5.5E-2</v>
      </c>
      <c r="G257" s="35">
        <v>18</v>
      </c>
      <c r="H257" s="59">
        <v>0.99</v>
      </c>
      <c r="I257" s="59">
        <v>1.18</v>
      </c>
      <c r="J257" s="35">
        <v>216</v>
      </c>
      <c r="K257" s="35" t="s">
        <v>325</v>
      </c>
      <c r="L257" s="35" t="s">
        <v>45</v>
      </c>
      <c r="M257" s="36" t="s">
        <v>302</v>
      </c>
      <c r="N257" s="36"/>
      <c r="O257" s="35">
        <v>90</v>
      </c>
      <c r="P257" s="682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7" s="557"/>
      <c r="R257" s="557"/>
      <c r="S257" s="557"/>
      <c r="T257" s="558"/>
      <c r="U257" s="37" t="s">
        <v>45</v>
      </c>
      <c r="V257" s="37" t="s">
        <v>45</v>
      </c>
      <c r="W257" s="38" t="s">
        <v>0</v>
      </c>
      <c r="X257" s="56">
        <v>0</v>
      </c>
      <c r="Y257" s="53">
        <f>IFERROR(IF(X257="",0,CEILING((X257/$H257),1)*$H257),"")</f>
        <v>0</v>
      </c>
      <c r="Z257" s="39" t="str">
        <f>IFERROR(IF(Y257=0,"",ROUNDUP(Y257/H257,0)*0.0059),"")</f>
        <v/>
      </c>
      <c r="AA257" s="65" t="s">
        <v>45</v>
      </c>
      <c r="AB257" s="66" t="s">
        <v>45</v>
      </c>
      <c r="AC257" s="325" t="s">
        <v>423</v>
      </c>
      <c r="AG257" s="75"/>
      <c r="AJ257" s="79" t="s">
        <v>45</v>
      </c>
      <c r="AK257" s="79">
        <v>0</v>
      </c>
      <c r="BB257" s="326" t="s">
        <v>66</v>
      </c>
      <c r="BM257" s="75">
        <f>IFERROR(X257*I257/H257,"0")</f>
        <v>0</v>
      </c>
      <c r="BN257" s="75">
        <f>IFERROR(Y257*I257/H257,"0")</f>
        <v>0</v>
      </c>
      <c r="BO257" s="75">
        <f>IFERROR(1/J257*(X257/H257),"0")</f>
        <v>0</v>
      </c>
      <c r="BP257" s="75">
        <f>IFERROR(1/J257*(Y257/H257),"0")</f>
        <v>0</v>
      </c>
    </row>
    <row r="258" spans="1:68" hidden="1" x14ac:dyDescent="0.2">
      <c r="A258" s="562"/>
      <c r="B258" s="562"/>
      <c r="C258" s="562"/>
      <c r="D258" s="562"/>
      <c r="E258" s="562"/>
      <c r="F258" s="562"/>
      <c r="G258" s="562"/>
      <c r="H258" s="562"/>
      <c r="I258" s="562"/>
      <c r="J258" s="562"/>
      <c r="K258" s="562"/>
      <c r="L258" s="562"/>
      <c r="M258" s="562"/>
      <c r="N258" s="562"/>
      <c r="O258" s="563"/>
      <c r="P258" s="559" t="s">
        <v>40</v>
      </c>
      <c r="Q258" s="560"/>
      <c r="R258" s="560"/>
      <c r="S258" s="560"/>
      <c r="T258" s="560"/>
      <c r="U258" s="560"/>
      <c r="V258" s="561"/>
      <c r="W258" s="40" t="s">
        <v>39</v>
      </c>
      <c r="X258" s="41">
        <f>IFERROR(X253/H253,"0")+IFERROR(X254/H254,"0")+IFERROR(X255/H255,"0")+IFERROR(X256/H256,"0")+IFERROR(X257/H257,"0")</f>
        <v>0</v>
      </c>
      <c r="Y258" s="41">
        <f>IFERROR(Y253/H253,"0")+IFERROR(Y254/H254,"0")+IFERROR(Y255/H255,"0")+IFERROR(Y256/H256,"0")+IFERROR(Y257/H257,"0")</f>
        <v>0</v>
      </c>
      <c r="Z258" s="41">
        <f>IFERROR(IF(Z253="",0,Z253),"0")+IFERROR(IF(Z254="",0,Z254),"0")+IFERROR(IF(Z255="",0,Z255),"0")+IFERROR(IF(Z256="",0,Z256),"0")+IFERROR(IF(Z257="",0,Z257),"0")</f>
        <v>0</v>
      </c>
      <c r="AA258" s="64"/>
      <c r="AB258" s="64"/>
      <c r="AC258" s="64"/>
    </row>
    <row r="259" spans="1:68" hidden="1" x14ac:dyDescent="0.2">
      <c r="A259" s="562"/>
      <c r="B259" s="562"/>
      <c r="C259" s="562"/>
      <c r="D259" s="562"/>
      <c r="E259" s="562"/>
      <c r="F259" s="562"/>
      <c r="G259" s="562"/>
      <c r="H259" s="562"/>
      <c r="I259" s="562"/>
      <c r="J259" s="562"/>
      <c r="K259" s="562"/>
      <c r="L259" s="562"/>
      <c r="M259" s="562"/>
      <c r="N259" s="562"/>
      <c r="O259" s="563"/>
      <c r="P259" s="559" t="s">
        <v>40</v>
      </c>
      <c r="Q259" s="560"/>
      <c r="R259" s="560"/>
      <c r="S259" s="560"/>
      <c r="T259" s="560"/>
      <c r="U259" s="560"/>
      <c r="V259" s="561"/>
      <c r="W259" s="40" t="s">
        <v>0</v>
      </c>
      <c r="X259" s="41">
        <f>IFERROR(SUM(X253:X257),"0")</f>
        <v>0</v>
      </c>
      <c r="Y259" s="41">
        <f>IFERROR(SUM(Y253:Y257),"0")</f>
        <v>0</v>
      </c>
      <c r="Z259" s="40"/>
      <c r="AA259" s="64"/>
      <c r="AB259" s="64"/>
      <c r="AC259" s="64"/>
    </row>
    <row r="260" spans="1:68" ht="16.5" hidden="1" customHeight="1" x14ac:dyDescent="0.25">
      <c r="A260" s="553" t="s">
        <v>432</v>
      </c>
      <c r="B260" s="553"/>
      <c r="C260" s="553"/>
      <c r="D260" s="553"/>
      <c r="E260" s="553"/>
      <c r="F260" s="553"/>
      <c r="G260" s="553"/>
      <c r="H260" s="553"/>
      <c r="I260" s="553"/>
      <c r="J260" s="553"/>
      <c r="K260" s="553"/>
      <c r="L260" s="553"/>
      <c r="M260" s="553"/>
      <c r="N260" s="553"/>
      <c r="O260" s="553"/>
      <c r="P260" s="553"/>
      <c r="Q260" s="553"/>
      <c r="R260" s="553"/>
      <c r="S260" s="553"/>
      <c r="T260" s="553"/>
      <c r="U260" s="553"/>
      <c r="V260" s="553"/>
      <c r="W260" s="553"/>
      <c r="X260" s="553"/>
      <c r="Y260" s="553"/>
      <c r="Z260" s="553"/>
      <c r="AA260" s="62"/>
      <c r="AB260" s="62"/>
      <c r="AC260" s="62"/>
    </row>
    <row r="261" spans="1:68" ht="14.25" hidden="1" customHeight="1" x14ac:dyDescent="0.25">
      <c r="A261" s="554" t="s">
        <v>114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63"/>
      <c r="AB261" s="63"/>
      <c r="AC261" s="63"/>
    </row>
    <row r="262" spans="1:68" ht="27" hidden="1" customHeight="1" x14ac:dyDescent="0.25">
      <c r="A262" s="60" t="s">
        <v>433</v>
      </c>
      <c r="B262" s="60" t="s">
        <v>434</v>
      </c>
      <c r="C262" s="34">
        <v>4301011855</v>
      </c>
      <c r="D262" s="555">
        <v>4680115885837</v>
      </c>
      <c r="E262" s="555"/>
      <c r="F262" s="59">
        <v>1.35</v>
      </c>
      <c r="G262" s="35">
        <v>8</v>
      </c>
      <c r="H262" s="59">
        <v>10.8</v>
      </c>
      <c r="I262" s="59">
        <v>11.21</v>
      </c>
      <c r="J262" s="35">
        <v>64</v>
      </c>
      <c r="K262" s="35" t="s">
        <v>119</v>
      </c>
      <c r="L262" s="35" t="s">
        <v>45</v>
      </c>
      <c r="M262" s="36" t="s">
        <v>118</v>
      </c>
      <c r="N262" s="36"/>
      <c r="O262" s="35">
        <v>55</v>
      </c>
      <c r="P262" s="675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2" s="557"/>
      <c r="R262" s="557"/>
      <c r="S262" s="557"/>
      <c r="T262" s="558"/>
      <c r="U262" s="37" t="s">
        <v>45</v>
      </c>
      <c r="V262" s="37" t="s">
        <v>45</v>
      </c>
      <c r="W262" s="38" t="s">
        <v>0</v>
      </c>
      <c r="X262" s="56">
        <v>0</v>
      </c>
      <c r="Y262" s="53">
        <f>IFERROR(IF(X262="",0,CEILING((X262/$H262),1)*$H262),"")</f>
        <v>0</v>
      </c>
      <c r="Z262" s="39" t="str">
        <f>IFERROR(IF(Y262=0,"",ROUNDUP(Y262/H262,0)*0.01898),"")</f>
        <v/>
      </c>
      <c r="AA262" s="65" t="s">
        <v>45</v>
      </c>
      <c r="AB262" s="66" t="s">
        <v>45</v>
      </c>
      <c r="AC262" s="327" t="s">
        <v>435</v>
      </c>
      <c r="AG262" s="75"/>
      <c r="AJ262" s="79" t="s">
        <v>45</v>
      </c>
      <c r="AK262" s="79">
        <v>0</v>
      </c>
      <c r="BB262" s="328" t="s">
        <v>66</v>
      </c>
      <c r="BM262" s="75">
        <f>IFERROR(X262*I262/H262,"0")</f>
        <v>0</v>
      </c>
      <c r="BN262" s="75">
        <f>IFERROR(Y262*I262/H262,"0")</f>
        <v>0</v>
      </c>
      <c r="BO262" s="75">
        <f>IFERROR(1/J262*(X262/H262),"0")</f>
        <v>0</v>
      </c>
      <c r="BP262" s="75">
        <f>IFERROR(1/J262*(Y262/H262),"0")</f>
        <v>0</v>
      </c>
    </row>
    <row r="263" spans="1:68" ht="37.5" hidden="1" customHeight="1" x14ac:dyDescent="0.25">
      <c r="A263" s="60" t="s">
        <v>436</v>
      </c>
      <c r="B263" s="60" t="s">
        <v>437</v>
      </c>
      <c r="C263" s="34">
        <v>4301011853</v>
      </c>
      <c r="D263" s="555">
        <v>4680115885851</v>
      </c>
      <c r="E263" s="555"/>
      <c r="F263" s="59">
        <v>1.35</v>
      </c>
      <c r="G263" s="35">
        <v>8</v>
      </c>
      <c r="H263" s="59">
        <v>10.8</v>
      </c>
      <c r="I263" s="59">
        <v>11.21</v>
      </c>
      <c r="J263" s="35">
        <v>64</v>
      </c>
      <c r="K263" s="35" t="s">
        <v>119</v>
      </c>
      <c r="L263" s="35" t="s">
        <v>45</v>
      </c>
      <c r="M263" s="36" t="s">
        <v>118</v>
      </c>
      <c r="N263" s="36"/>
      <c r="O263" s="35">
        <v>55</v>
      </c>
      <c r="P263" s="676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3" s="557"/>
      <c r="R263" s="557"/>
      <c r="S263" s="557"/>
      <c r="T263" s="558"/>
      <c r="U263" s="37" t="s">
        <v>45</v>
      </c>
      <c r="V263" s="37" t="s">
        <v>45</v>
      </c>
      <c r="W263" s="38" t="s">
        <v>0</v>
      </c>
      <c r="X263" s="56">
        <v>0</v>
      </c>
      <c r="Y263" s="53">
        <f>IFERROR(IF(X263="",0,CEILING((X263/$H263),1)*$H263),"")</f>
        <v>0</v>
      </c>
      <c r="Z263" s="39" t="str">
        <f>IFERROR(IF(Y263=0,"",ROUNDUP(Y263/H263,0)*0.01898),"")</f>
        <v/>
      </c>
      <c r="AA263" s="65" t="s">
        <v>45</v>
      </c>
      <c r="AB263" s="66" t="s">
        <v>45</v>
      </c>
      <c r="AC263" s="329" t="s">
        <v>438</v>
      </c>
      <c r="AG263" s="75"/>
      <c r="AJ263" s="79" t="s">
        <v>45</v>
      </c>
      <c r="AK263" s="79">
        <v>0</v>
      </c>
      <c r="BB263" s="330" t="s">
        <v>66</v>
      </c>
      <c r="BM263" s="75">
        <f>IFERROR(X263*I263/H263,"0")</f>
        <v>0</v>
      </c>
      <c r="BN263" s="75">
        <f>IFERROR(Y263*I263/H263,"0")</f>
        <v>0</v>
      </c>
      <c r="BO263" s="75">
        <f>IFERROR(1/J263*(X263/H263),"0")</f>
        <v>0</v>
      </c>
      <c r="BP263" s="75">
        <f>IFERROR(1/J263*(Y263/H263),"0")</f>
        <v>0</v>
      </c>
    </row>
    <row r="264" spans="1:68" ht="27" hidden="1" customHeight="1" x14ac:dyDescent="0.25">
      <c r="A264" s="60" t="s">
        <v>439</v>
      </c>
      <c r="B264" s="60" t="s">
        <v>440</v>
      </c>
      <c r="C264" s="34">
        <v>4301011850</v>
      </c>
      <c r="D264" s="555">
        <v>4680115885806</v>
      </c>
      <c r="E264" s="555"/>
      <c r="F264" s="59">
        <v>1.35</v>
      </c>
      <c r="G264" s="35">
        <v>8</v>
      </c>
      <c r="H264" s="59">
        <v>10.8</v>
      </c>
      <c r="I264" s="59">
        <v>11.21</v>
      </c>
      <c r="J264" s="35">
        <v>64</v>
      </c>
      <c r="K264" s="35" t="s">
        <v>119</v>
      </c>
      <c r="L264" s="35" t="s">
        <v>45</v>
      </c>
      <c r="M264" s="36" t="s">
        <v>118</v>
      </c>
      <c r="N264" s="36"/>
      <c r="O264" s="35">
        <v>55</v>
      </c>
      <c r="P264" s="67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4" s="557"/>
      <c r="R264" s="557"/>
      <c r="S264" s="557"/>
      <c r="T264" s="558"/>
      <c r="U264" s="37" t="s">
        <v>45</v>
      </c>
      <c r="V264" s="37" t="s">
        <v>45</v>
      </c>
      <c r="W264" s="38" t="s">
        <v>0</v>
      </c>
      <c r="X264" s="56">
        <v>0</v>
      </c>
      <c r="Y264" s="53">
        <f>IFERROR(IF(X264="",0,CEILING((X264/$H264),1)*$H264),"")</f>
        <v>0</v>
      </c>
      <c r="Z264" s="39" t="str">
        <f>IFERROR(IF(Y264=0,"",ROUNDUP(Y264/H264,0)*0.01898),"")</f>
        <v/>
      </c>
      <c r="AA264" s="65" t="s">
        <v>45</v>
      </c>
      <c r="AB264" s="66" t="s">
        <v>45</v>
      </c>
      <c r="AC264" s="331" t="s">
        <v>441</v>
      </c>
      <c r="AG264" s="75"/>
      <c r="AJ264" s="79" t="s">
        <v>45</v>
      </c>
      <c r="AK264" s="79">
        <v>0</v>
      </c>
      <c r="BB264" s="332" t="s">
        <v>66</v>
      </c>
      <c r="BM264" s="75">
        <f>IFERROR(X264*I264/H264,"0")</f>
        <v>0</v>
      </c>
      <c r="BN264" s="75">
        <f>IFERROR(Y264*I264/H264,"0")</f>
        <v>0</v>
      </c>
      <c r="BO264" s="75">
        <f>IFERROR(1/J264*(X264/H264),"0")</f>
        <v>0</v>
      </c>
      <c r="BP264" s="75">
        <f>IFERROR(1/J264*(Y264/H264),"0")</f>
        <v>0</v>
      </c>
    </row>
    <row r="265" spans="1:68" ht="27" hidden="1" customHeight="1" x14ac:dyDescent="0.25">
      <c r="A265" s="60" t="s">
        <v>442</v>
      </c>
      <c r="B265" s="60" t="s">
        <v>443</v>
      </c>
      <c r="C265" s="34">
        <v>4301011852</v>
      </c>
      <c r="D265" s="555">
        <v>4680115885844</v>
      </c>
      <c r="E265" s="555"/>
      <c r="F265" s="59">
        <v>0.4</v>
      </c>
      <c r="G265" s="35">
        <v>10</v>
      </c>
      <c r="H265" s="59">
        <v>4</v>
      </c>
      <c r="I265" s="59">
        <v>4.1900000000000004</v>
      </c>
      <c r="J265" s="35">
        <v>132</v>
      </c>
      <c r="K265" s="35" t="s">
        <v>122</v>
      </c>
      <c r="L265" s="35" t="s">
        <v>45</v>
      </c>
      <c r="M265" s="36" t="s">
        <v>118</v>
      </c>
      <c r="N265" s="36"/>
      <c r="O265" s="35">
        <v>55</v>
      </c>
      <c r="P265" s="67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5" s="557"/>
      <c r="R265" s="557"/>
      <c r="S265" s="557"/>
      <c r="T265" s="558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IFERROR(IF(Y265=0,"",ROUNDUP(Y265/H265,0)*0.00902),"")</f>
        <v/>
      </c>
      <c r="AA265" s="65" t="s">
        <v>45</v>
      </c>
      <c r="AB265" s="66" t="s">
        <v>45</v>
      </c>
      <c r="AC265" s="333" t="s">
        <v>444</v>
      </c>
      <c r="AG265" s="75"/>
      <c r="AJ265" s="79" t="s">
        <v>45</v>
      </c>
      <c r="AK265" s="79">
        <v>0</v>
      </c>
      <c r="BB265" s="334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ht="37.5" hidden="1" customHeight="1" x14ac:dyDescent="0.25">
      <c r="A266" s="60" t="s">
        <v>445</v>
      </c>
      <c r="B266" s="60" t="s">
        <v>446</v>
      </c>
      <c r="C266" s="34">
        <v>4301011851</v>
      </c>
      <c r="D266" s="555">
        <v>4680115885820</v>
      </c>
      <c r="E266" s="555"/>
      <c r="F266" s="59">
        <v>0.4</v>
      </c>
      <c r="G266" s="35">
        <v>10</v>
      </c>
      <c r="H266" s="59">
        <v>4</v>
      </c>
      <c r="I266" s="59">
        <v>4.1900000000000004</v>
      </c>
      <c r="J266" s="35">
        <v>132</v>
      </c>
      <c r="K266" s="35" t="s">
        <v>122</v>
      </c>
      <c r="L266" s="35" t="s">
        <v>45</v>
      </c>
      <c r="M266" s="36" t="s">
        <v>118</v>
      </c>
      <c r="N266" s="36"/>
      <c r="O266" s="35">
        <v>55</v>
      </c>
      <c r="P266" s="67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6" s="557"/>
      <c r="R266" s="557"/>
      <c r="S266" s="557"/>
      <c r="T266" s="558"/>
      <c r="U266" s="37" t="s">
        <v>45</v>
      </c>
      <c r="V266" s="37" t="s">
        <v>45</v>
      </c>
      <c r="W266" s="38" t="s">
        <v>0</v>
      </c>
      <c r="X266" s="56">
        <v>0</v>
      </c>
      <c r="Y266" s="53">
        <f>IFERROR(IF(X266="",0,CEILING((X266/$H266),1)*$H266),"")</f>
        <v>0</v>
      </c>
      <c r="Z266" s="39" t="str">
        <f>IFERROR(IF(Y266=0,"",ROUNDUP(Y266/H266,0)*0.00902),"")</f>
        <v/>
      </c>
      <c r="AA266" s="65" t="s">
        <v>45</v>
      </c>
      <c r="AB266" s="66" t="s">
        <v>45</v>
      </c>
      <c r="AC266" s="335" t="s">
        <v>447</v>
      </c>
      <c r="AG266" s="75"/>
      <c r="AJ266" s="79" t="s">
        <v>45</v>
      </c>
      <c r="AK266" s="79">
        <v>0</v>
      </c>
      <c r="BB266" s="336" t="s">
        <v>66</v>
      </c>
      <c r="BM266" s="75">
        <f>IFERROR(X266*I266/H266,"0")</f>
        <v>0</v>
      </c>
      <c r="BN266" s="75">
        <f>IFERROR(Y266*I266/H266,"0")</f>
        <v>0</v>
      </c>
      <c r="BO266" s="75">
        <f>IFERROR(1/J266*(X266/H266),"0")</f>
        <v>0</v>
      </c>
      <c r="BP266" s="75">
        <f>IFERROR(1/J266*(Y266/H266),"0")</f>
        <v>0</v>
      </c>
    </row>
    <row r="267" spans="1:68" hidden="1" x14ac:dyDescent="0.2">
      <c r="A267" s="562"/>
      <c r="B267" s="562"/>
      <c r="C267" s="562"/>
      <c r="D267" s="562"/>
      <c r="E267" s="562"/>
      <c r="F267" s="562"/>
      <c r="G267" s="562"/>
      <c r="H267" s="562"/>
      <c r="I267" s="562"/>
      <c r="J267" s="562"/>
      <c r="K267" s="562"/>
      <c r="L267" s="562"/>
      <c r="M267" s="562"/>
      <c r="N267" s="562"/>
      <c r="O267" s="563"/>
      <c r="P267" s="559" t="s">
        <v>40</v>
      </c>
      <c r="Q267" s="560"/>
      <c r="R267" s="560"/>
      <c r="S267" s="560"/>
      <c r="T267" s="560"/>
      <c r="U267" s="560"/>
      <c r="V267" s="561"/>
      <c r="W267" s="40" t="s">
        <v>39</v>
      </c>
      <c r="X267" s="41">
        <f>IFERROR(X262/H262,"0")+IFERROR(X263/H263,"0")+IFERROR(X264/H264,"0")+IFERROR(X265/H265,"0")+IFERROR(X266/H266,"0")</f>
        <v>0</v>
      </c>
      <c r="Y267" s="41">
        <f>IFERROR(Y262/H262,"0")+IFERROR(Y263/H263,"0")+IFERROR(Y264/H264,"0")+IFERROR(Y265/H265,"0")+IFERROR(Y266/H266,"0")</f>
        <v>0</v>
      </c>
      <c r="Z267" s="41">
        <f>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hidden="1" x14ac:dyDescent="0.2">
      <c r="A268" s="562"/>
      <c r="B268" s="562"/>
      <c r="C268" s="562"/>
      <c r="D268" s="562"/>
      <c r="E268" s="562"/>
      <c r="F268" s="562"/>
      <c r="G268" s="562"/>
      <c r="H268" s="562"/>
      <c r="I268" s="562"/>
      <c r="J268" s="562"/>
      <c r="K268" s="562"/>
      <c r="L268" s="562"/>
      <c r="M268" s="562"/>
      <c r="N268" s="562"/>
      <c r="O268" s="563"/>
      <c r="P268" s="559" t="s">
        <v>40</v>
      </c>
      <c r="Q268" s="560"/>
      <c r="R268" s="560"/>
      <c r="S268" s="560"/>
      <c r="T268" s="560"/>
      <c r="U268" s="560"/>
      <c r="V268" s="561"/>
      <c r="W268" s="40" t="s">
        <v>0</v>
      </c>
      <c r="X268" s="41">
        <f>IFERROR(SUM(X262:X266),"0")</f>
        <v>0</v>
      </c>
      <c r="Y268" s="41">
        <f>IFERROR(SUM(Y262:Y266),"0")</f>
        <v>0</v>
      </c>
      <c r="Z268" s="40"/>
      <c r="AA268" s="64"/>
      <c r="AB268" s="64"/>
      <c r="AC268" s="64"/>
    </row>
    <row r="269" spans="1:68" ht="16.5" hidden="1" customHeight="1" x14ac:dyDescent="0.25">
      <c r="A269" s="553" t="s">
        <v>448</v>
      </c>
      <c r="B269" s="553"/>
      <c r="C269" s="553"/>
      <c r="D269" s="553"/>
      <c r="E269" s="553"/>
      <c r="F269" s="553"/>
      <c r="G269" s="553"/>
      <c r="H269" s="553"/>
      <c r="I269" s="553"/>
      <c r="J269" s="553"/>
      <c r="K269" s="553"/>
      <c r="L269" s="553"/>
      <c r="M269" s="553"/>
      <c r="N269" s="553"/>
      <c r="O269" s="553"/>
      <c r="P269" s="553"/>
      <c r="Q269" s="553"/>
      <c r="R269" s="553"/>
      <c r="S269" s="553"/>
      <c r="T269" s="553"/>
      <c r="U269" s="553"/>
      <c r="V269" s="553"/>
      <c r="W269" s="553"/>
      <c r="X269" s="553"/>
      <c r="Y269" s="553"/>
      <c r="Z269" s="553"/>
      <c r="AA269" s="62"/>
      <c r="AB269" s="62"/>
      <c r="AC269" s="62"/>
    </row>
    <row r="270" spans="1:68" ht="14.25" hidden="1" customHeight="1" x14ac:dyDescent="0.25">
      <c r="A270" s="554" t="s">
        <v>114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63"/>
      <c r="AB270" s="63"/>
      <c r="AC270" s="63"/>
    </row>
    <row r="271" spans="1:68" ht="27" hidden="1" customHeight="1" x14ac:dyDescent="0.25">
      <c r="A271" s="60" t="s">
        <v>449</v>
      </c>
      <c r="B271" s="60" t="s">
        <v>450</v>
      </c>
      <c r="C271" s="34">
        <v>4301011223</v>
      </c>
      <c r="D271" s="555">
        <v>4607091383423</v>
      </c>
      <c r="E271" s="555"/>
      <c r="F271" s="59">
        <v>1.35</v>
      </c>
      <c r="G271" s="35">
        <v>8</v>
      </c>
      <c r="H271" s="59">
        <v>10.8</v>
      </c>
      <c r="I271" s="59">
        <v>11.305999999999999</v>
      </c>
      <c r="J271" s="35">
        <v>64</v>
      </c>
      <c r="K271" s="35" t="s">
        <v>119</v>
      </c>
      <c r="L271" s="35" t="s">
        <v>45</v>
      </c>
      <c r="M271" s="36" t="s">
        <v>90</v>
      </c>
      <c r="N271" s="36"/>
      <c r="O271" s="35">
        <v>35</v>
      </c>
      <c r="P271" s="674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1" s="557"/>
      <c r="R271" s="557"/>
      <c r="S271" s="557"/>
      <c r="T271" s="558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37" t="s">
        <v>117</v>
      </c>
      <c r="AG271" s="75"/>
      <c r="AJ271" s="79" t="s">
        <v>45</v>
      </c>
      <c r="AK271" s="79">
        <v>0</v>
      </c>
      <c r="BB271" s="338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37.5" hidden="1" customHeight="1" x14ac:dyDescent="0.25">
      <c r="A272" s="60" t="s">
        <v>451</v>
      </c>
      <c r="B272" s="60" t="s">
        <v>452</v>
      </c>
      <c r="C272" s="34">
        <v>4301012199</v>
      </c>
      <c r="D272" s="555">
        <v>4680115886957</v>
      </c>
      <c r="E272" s="555"/>
      <c r="F272" s="59">
        <v>1.35</v>
      </c>
      <c r="G272" s="35">
        <v>8</v>
      </c>
      <c r="H272" s="59">
        <v>10.8</v>
      </c>
      <c r="I272" s="59">
        <v>11.21</v>
      </c>
      <c r="J272" s="35">
        <v>64</v>
      </c>
      <c r="K272" s="35" t="s">
        <v>119</v>
      </c>
      <c r="L272" s="35" t="s">
        <v>45</v>
      </c>
      <c r="M272" s="36" t="s">
        <v>90</v>
      </c>
      <c r="N272" s="36"/>
      <c r="O272" s="35">
        <v>30</v>
      </c>
      <c r="P272" s="670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2" s="557"/>
      <c r="R272" s="557"/>
      <c r="S272" s="557"/>
      <c r="T272" s="558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39" t="s">
        <v>453</v>
      </c>
      <c r="AG272" s="75"/>
      <c r="AJ272" s="79" t="s">
        <v>45</v>
      </c>
      <c r="AK272" s="79">
        <v>0</v>
      </c>
      <c r="BB272" s="340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ht="27" hidden="1" customHeight="1" x14ac:dyDescent="0.25">
      <c r="A273" s="60" t="s">
        <v>454</v>
      </c>
      <c r="B273" s="60" t="s">
        <v>455</v>
      </c>
      <c r="C273" s="34">
        <v>4301012098</v>
      </c>
      <c r="D273" s="555">
        <v>4680115885660</v>
      </c>
      <c r="E273" s="555"/>
      <c r="F273" s="59">
        <v>1.35</v>
      </c>
      <c r="G273" s="35">
        <v>8</v>
      </c>
      <c r="H273" s="59">
        <v>10.8</v>
      </c>
      <c r="I273" s="59">
        <v>11.21</v>
      </c>
      <c r="J273" s="35">
        <v>64</v>
      </c>
      <c r="K273" s="35" t="s">
        <v>119</v>
      </c>
      <c r="L273" s="35" t="s">
        <v>45</v>
      </c>
      <c r="M273" s="36" t="s">
        <v>90</v>
      </c>
      <c r="N273" s="36"/>
      <c r="O273" s="35">
        <v>35</v>
      </c>
      <c r="P273" s="671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3" s="557"/>
      <c r="R273" s="557"/>
      <c r="S273" s="557"/>
      <c r="T273" s="558"/>
      <c r="U273" s="37" t="s">
        <v>45</v>
      </c>
      <c r="V273" s="37" t="s">
        <v>45</v>
      </c>
      <c r="W273" s="38" t="s">
        <v>0</v>
      </c>
      <c r="X273" s="56">
        <v>0</v>
      </c>
      <c r="Y273" s="53">
        <f>IFERROR(IF(X273="",0,CEILING((X273/$H273),1)*$H273),"")</f>
        <v>0</v>
      </c>
      <c r="Z273" s="39" t="str">
        <f>IFERROR(IF(Y273=0,"",ROUNDUP(Y273/H273,0)*0.01898),"")</f>
        <v/>
      </c>
      <c r="AA273" s="65" t="s">
        <v>45</v>
      </c>
      <c r="AB273" s="66" t="s">
        <v>45</v>
      </c>
      <c r="AC273" s="341" t="s">
        <v>402</v>
      </c>
      <c r="AG273" s="75"/>
      <c r="AJ273" s="79" t="s">
        <v>45</v>
      </c>
      <c r="AK273" s="79">
        <v>0</v>
      </c>
      <c r="BB273" s="342" t="s">
        <v>66</v>
      </c>
      <c r="BM273" s="75">
        <f>IFERROR(X273*I273/H273,"0")</f>
        <v>0</v>
      </c>
      <c r="BN273" s="75">
        <f>IFERROR(Y273*I273/H273,"0")</f>
        <v>0</v>
      </c>
      <c r="BO273" s="75">
        <f>IFERROR(1/J273*(X273/H273),"0")</f>
        <v>0</v>
      </c>
      <c r="BP273" s="75">
        <f>IFERROR(1/J273*(Y273/H273),"0")</f>
        <v>0</v>
      </c>
    </row>
    <row r="274" spans="1:68" ht="37.5" hidden="1" customHeight="1" x14ac:dyDescent="0.25">
      <c r="A274" s="60" t="s">
        <v>456</v>
      </c>
      <c r="B274" s="60" t="s">
        <v>457</v>
      </c>
      <c r="C274" s="34">
        <v>4301012176</v>
      </c>
      <c r="D274" s="555">
        <v>4680115886773</v>
      </c>
      <c r="E274" s="555"/>
      <c r="F274" s="59">
        <v>0.9</v>
      </c>
      <c r="G274" s="35">
        <v>10</v>
      </c>
      <c r="H274" s="59">
        <v>9</v>
      </c>
      <c r="I274" s="59">
        <v>9.41</v>
      </c>
      <c r="J274" s="35">
        <v>64</v>
      </c>
      <c r="K274" s="35" t="s">
        <v>119</v>
      </c>
      <c r="L274" s="35" t="s">
        <v>45</v>
      </c>
      <c r="M274" s="36" t="s">
        <v>118</v>
      </c>
      <c r="N274" s="36"/>
      <c r="O274" s="35">
        <v>31</v>
      </c>
      <c r="P274" s="672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4" s="557"/>
      <c r="R274" s="557"/>
      <c r="S274" s="557"/>
      <c r="T274" s="558"/>
      <c r="U274" s="37" t="s">
        <v>45</v>
      </c>
      <c r="V274" s="37" t="s">
        <v>45</v>
      </c>
      <c r="W274" s="38" t="s">
        <v>0</v>
      </c>
      <c r="X274" s="56">
        <v>0</v>
      </c>
      <c r="Y274" s="53">
        <f>IFERROR(IF(X274="",0,CEILING((X274/$H274),1)*$H274),"")</f>
        <v>0</v>
      </c>
      <c r="Z274" s="39" t="str">
        <f>IFERROR(IF(Y274=0,"",ROUNDUP(Y274/H274,0)*0.01898),"")</f>
        <v/>
      </c>
      <c r="AA274" s="65" t="s">
        <v>45</v>
      </c>
      <c r="AB274" s="66" t="s">
        <v>45</v>
      </c>
      <c r="AC274" s="343" t="s">
        <v>458</v>
      </c>
      <c r="AG274" s="75"/>
      <c r="AJ274" s="79" t="s">
        <v>45</v>
      </c>
      <c r="AK274" s="79">
        <v>0</v>
      </c>
      <c r="BB274" s="344" t="s">
        <v>66</v>
      </c>
      <c r="BM274" s="75">
        <f>IFERROR(X274*I274/H274,"0")</f>
        <v>0</v>
      </c>
      <c r="BN274" s="75">
        <f>IFERROR(Y274*I274/H274,"0")</f>
        <v>0</v>
      </c>
      <c r="BO274" s="75">
        <f>IFERROR(1/J274*(X274/H274),"0")</f>
        <v>0</v>
      </c>
      <c r="BP274" s="75">
        <f>IFERROR(1/J274*(Y274/H274),"0")</f>
        <v>0</v>
      </c>
    </row>
    <row r="275" spans="1:68" hidden="1" x14ac:dyDescent="0.2">
      <c r="A275" s="562"/>
      <c r="B275" s="562"/>
      <c r="C275" s="562"/>
      <c r="D275" s="562"/>
      <c r="E275" s="562"/>
      <c r="F275" s="562"/>
      <c r="G275" s="562"/>
      <c r="H275" s="562"/>
      <c r="I275" s="562"/>
      <c r="J275" s="562"/>
      <c r="K275" s="562"/>
      <c r="L275" s="562"/>
      <c r="M275" s="562"/>
      <c r="N275" s="562"/>
      <c r="O275" s="563"/>
      <c r="P275" s="559" t="s">
        <v>40</v>
      </c>
      <c r="Q275" s="560"/>
      <c r="R275" s="560"/>
      <c r="S275" s="560"/>
      <c r="T275" s="560"/>
      <c r="U275" s="560"/>
      <c r="V275" s="561"/>
      <c r="W275" s="40" t="s">
        <v>39</v>
      </c>
      <c r="X275" s="41">
        <f>IFERROR(X271/H271,"0")+IFERROR(X272/H272,"0")+IFERROR(X273/H273,"0")+IFERROR(X274/H274,"0")</f>
        <v>0</v>
      </c>
      <c r="Y275" s="41">
        <f>IFERROR(Y271/H271,"0")+IFERROR(Y272/H272,"0")+IFERROR(Y273/H273,"0")+IFERROR(Y274/H274,"0")</f>
        <v>0</v>
      </c>
      <c r="Z275" s="41">
        <f>IFERROR(IF(Z271="",0,Z271),"0")+IFERROR(IF(Z272="",0,Z272),"0")+IFERROR(IF(Z273="",0,Z273),"0")+IFERROR(IF(Z274="",0,Z274),"0")</f>
        <v>0</v>
      </c>
      <c r="AA275" s="64"/>
      <c r="AB275" s="64"/>
      <c r="AC275" s="64"/>
    </row>
    <row r="276" spans="1:68" hidden="1" x14ac:dyDescent="0.2">
      <c r="A276" s="562"/>
      <c r="B276" s="562"/>
      <c r="C276" s="562"/>
      <c r="D276" s="562"/>
      <c r="E276" s="562"/>
      <c r="F276" s="562"/>
      <c r="G276" s="562"/>
      <c r="H276" s="562"/>
      <c r="I276" s="562"/>
      <c r="J276" s="562"/>
      <c r="K276" s="562"/>
      <c r="L276" s="562"/>
      <c r="M276" s="562"/>
      <c r="N276" s="562"/>
      <c r="O276" s="563"/>
      <c r="P276" s="559" t="s">
        <v>40</v>
      </c>
      <c r="Q276" s="560"/>
      <c r="R276" s="560"/>
      <c r="S276" s="560"/>
      <c r="T276" s="560"/>
      <c r="U276" s="560"/>
      <c r="V276" s="561"/>
      <c r="W276" s="40" t="s">
        <v>0</v>
      </c>
      <c r="X276" s="41">
        <f>IFERROR(SUM(X271:X274),"0")</f>
        <v>0</v>
      </c>
      <c r="Y276" s="41">
        <f>IFERROR(SUM(Y271:Y274),"0")</f>
        <v>0</v>
      </c>
      <c r="Z276" s="40"/>
      <c r="AA276" s="64"/>
      <c r="AB276" s="64"/>
      <c r="AC276" s="64"/>
    </row>
    <row r="277" spans="1:68" ht="16.5" hidden="1" customHeight="1" x14ac:dyDescent="0.25">
      <c r="A277" s="553" t="s">
        <v>459</v>
      </c>
      <c r="B277" s="553"/>
      <c r="C277" s="553"/>
      <c r="D277" s="553"/>
      <c r="E277" s="553"/>
      <c r="F277" s="553"/>
      <c r="G277" s="553"/>
      <c r="H277" s="553"/>
      <c r="I277" s="553"/>
      <c r="J277" s="553"/>
      <c r="K277" s="553"/>
      <c r="L277" s="553"/>
      <c r="M277" s="553"/>
      <c r="N277" s="553"/>
      <c r="O277" s="553"/>
      <c r="P277" s="553"/>
      <c r="Q277" s="553"/>
      <c r="R277" s="553"/>
      <c r="S277" s="553"/>
      <c r="T277" s="553"/>
      <c r="U277" s="553"/>
      <c r="V277" s="553"/>
      <c r="W277" s="553"/>
      <c r="X277" s="553"/>
      <c r="Y277" s="553"/>
      <c r="Z277" s="553"/>
      <c r="AA277" s="62"/>
      <c r="AB277" s="62"/>
      <c r="AC277" s="62"/>
    </row>
    <row r="278" spans="1:68" ht="14.25" hidden="1" customHeight="1" x14ac:dyDescent="0.25">
      <c r="A278" s="554" t="s">
        <v>86</v>
      </c>
      <c r="B278" s="554"/>
      <c r="C278" s="554"/>
      <c r="D278" s="554"/>
      <c r="E278" s="554"/>
      <c r="F278" s="554"/>
      <c r="G278" s="554"/>
      <c r="H278" s="554"/>
      <c r="I278" s="554"/>
      <c r="J278" s="554"/>
      <c r="K278" s="554"/>
      <c r="L278" s="554"/>
      <c r="M278" s="554"/>
      <c r="N278" s="554"/>
      <c r="O278" s="554"/>
      <c r="P278" s="554"/>
      <c r="Q278" s="554"/>
      <c r="R278" s="554"/>
      <c r="S278" s="554"/>
      <c r="T278" s="554"/>
      <c r="U278" s="554"/>
      <c r="V278" s="554"/>
      <c r="W278" s="554"/>
      <c r="X278" s="554"/>
      <c r="Y278" s="554"/>
      <c r="Z278" s="554"/>
      <c r="AA278" s="63"/>
      <c r="AB278" s="63"/>
      <c r="AC278" s="63"/>
    </row>
    <row r="279" spans="1:68" ht="27" hidden="1" customHeight="1" x14ac:dyDescent="0.25">
      <c r="A279" s="60" t="s">
        <v>460</v>
      </c>
      <c r="B279" s="60" t="s">
        <v>461</v>
      </c>
      <c r="C279" s="34">
        <v>4301051893</v>
      </c>
      <c r="D279" s="555">
        <v>4680115886186</v>
      </c>
      <c r="E279" s="555"/>
      <c r="F279" s="59">
        <v>0.3</v>
      </c>
      <c r="G279" s="35">
        <v>6</v>
      </c>
      <c r="H279" s="59">
        <v>1.8</v>
      </c>
      <c r="I279" s="59">
        <v>1.98</v>
      </c>
      <c r="J279" s="35">
        <v>182</v>
      </c>
      <c r="K279" s="35" t="s">
        <v>81</v>
      </c>
      <c r="L279" s="35" t="s">
        <v>45</v>
      </c>
      <c r="M279" s="36" t="s">
        <v>90</v>
      </c>
      <c r="N279" s="36"/>
      <c r="O279" s="35">
        <v>45</v>
      </c>
      <c r="P279" s="66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9" s="557"/>
      <c r="R279" s="557"/>
      <c r="S279" s="557"/>
      <c r="T279" s="558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5" t="s">
        <v>462</v>
      </c>
      <c r="AG279" s="75"/>
      <c r="AJ279" s="79" t="s">
        <v>45</v>
      </c>
      <c r="AK279" s="79">
        <v>0</v>
      </c>
      <c r="BB279" s="346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27" customHeight="1" x14ac:dyDescent="0.25">
      <c r="A280" s="60" t="s">
        <v>463</v>
      </c>
      <c r="B280" s="60" t="s">
        <v>464</v>
      </c>
      <c r="C280" s="34">
        <v>4301051795</v>
      </c>
      <c r="D280" s="555">
        <v>4680115881228</v>
      </c>
      <c r="E280" s="555"/>
      <c r="F280" s="59">
        <v>0.4</v>
      </c>
      <c r="G280" s="35">
        <v>6</v>
      </c>
      <c r="H280" s="59">
        <v>2.4</v>
      </c>
      <c r="I280" s="59">
        <v>2.6520000000000001</v>
      </c>
      <c r="J280" s="35">
        <v>182</v>
      </c>
      <c r="K280" s="35" t="s">
        <v>81</v>
      </c>
      <c r="L280" s="35" t="s">
        <v>45</v>
      </c>
      <c r="M280" s="36" t="s">
        <v>96</v>
      </c>
      <c r="N280" s="36"/>
      <c r="O280" s="35">
        <v>40</v>
      </c>
      <c r="P280" s="66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0" s="557"/>
      <c r="R280" s="557"/>
      <c r="S280" s="557"/>
      <c r="T280" s="558"/>
      <c r="U280" s="37" t="s">
        <v>45</v>
      </c>
      <c r="V280" s="37" t="s">
        <v>45</v>
      </c>
      <c r="W280" s="38" t="s">
        <v>0</v>
      </c>
      <c r="X280" s="56">
        <v>86.4</v>
      </c>
      <c r="Y280" s="53">
        <f>IFERROR(IF(X280="",0,CEILING((X280/$H280),1)*$H280),"")</f>
        <v>86.399999999999991</v>
      </c>
      <c r="Z280" s="39">
        <f>IFERROR(IF(Y280=0,"",ROUNDUP(Y280/H280,0)*0.00651),"")</f>
        <v>0.23436000000000001</v>
      </c>
      <c r="AA280" s="65" t="s">
        <v>45</v>
      </c>
      <c r="AB280" s="66" t="s">
        <v>45</v>
      </c>
      <c r="AC280" s="347" t="s">
        <v>465</v>
      </c>
      <c r="AG280" s="75"/>
      <c r="AJ280" s="79" t="s">
        <v>45</v>
      </c>
      <c r="AK280" s="79">
        <v>0</v>
      </c>
      <c r="BB280" s="348" t="s">
        <v>66</v>
      </c>
      <c r="BM280" s="75">
        <f>IFERROR(X280*I280/H280,"0")</f>
        <v>95.472000000000023</v>
      </c>
      <c r="BN280" s="75">
        <f>IFERROR(Y280*I280/H280,"0")</f>
        <v>95.472000000000008</v>
      </c>
      <c r="BO280" s="75">
        <f>IFERROR(1/J280*(X280/H280),"0")</f>
        <v>0.19780219780219785</v>
      </c>
      <c r="BP280" s="75">
        <f>IFERROR(1/J280*(Y280/H280),"0")</f>
        <v>0.19780219780219782</v>
      </c>
    </row>
    <row r="281" spans="1:68" ht="27" customHeight="1" x14ac:dyDescent="0.25">
      <c r="A281" s="60" t="s">
        <v>466</v>
      </c>
      <c r="B281" s="60" t="s">
        <v>467</v>
      </c>
      <c r="C281" s="34">
        <v>4301051388</v>
      </c>
      <c r="D281" s="555">
        <v>4680115881211</v>
      </c>
      <c r="E281" s="555"/>
      <c r="F281" s="59">
        <v>0.4</v>
      </c>
      <c r="G281" s="35">
        <v>6</v>
      </c>
      <c r="H281" s="59">
        <v>2.4</v>
      </c>
      <c r="I281" s="59">
        <v>2.58</v>
      </c>
      <c r="J281" s="35">
        <v>182</v>
      </c>
      <c r="K281" s="35" t="s">
        <v>81</v>
      </c>
      <c r="L281" s="35" t="s">
        <v>45</v>
      </c>
      <c r="M281" s="36" t="s">
        <v>90</v>
      </c>
      <c r="N281" s="36"/>
      <c r="O281" s="35">
        <v>45</v>
      </c>
      <c r="P281" s="66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1" s="557"/>
      <c r="R281" s="557"/>
      <c r="S281" s="557"/>
      <c r="T281" s="558"/>
      <c r="U281" s="37" t="s">
        <v>45</v>
      </c>
      <c r="V281" s="37" t="s">
        <v>45</v>
      </c>
      <c r="W281" s="38" t="s">
        <v>0</v>
      </c>
      <c r="X281" s="56">
        <v>28.8</v>
      </c>
      <c r="Y281" s="53">
        <f>IFERROR(IF(X281="",0,CEILING((X281/$H281),1)*$H281),"")</f>
        <v>28.799999999999997</v>
      </c>
      <c r="Z281" s="39">
        <f>IFERROR(IF(Y281=0,"",ROUNDUP(Y281/H281,0)*0.00651),"")</f>
        <v>7.8119999999999995E-2</v>
      </c>
      <c r="AA281" s="65" t="s">
        <v>45</v>
      </c>
      <c r="AB281" s="66" t="s">
        <v>45</v>
      </c>
      <c r="AC281" s="349" t="s">
        <v>462</v>
      </c>
      <c r="AG281" s="75"/>
      <c r="AJ281" s="79" t="s">
        <v>45</v>
      </c>
      <c r="AK281" s="79">
        <v>0</v>
      </c>
      <c r="BB281" s="350" t="s">
        <v>66</v>
      </c>
      <c r="BM281" s="75">
        <f>IFERROR(X281*I281/H281,"0")</f>
        <v>30.96</v>
      </c>
      <c r="BN281" s="75">
        <f>IFERROR(Y281*I281/H281,"0")</f>
        <v>30.959999999999997</v>
      </c>
      <c r="BO281" s="75">
        <f>IFERROR(1/J281*(X281/H281),"0")</f>
        <v>6.5934065934065936E-2</v>
      </c>
      <c r="BP281" s="75">
        <f>IFERROR(1/J281*(Y281/H281),"0")</f>
        <v>6.5934065934065936E-2</v>
      </c>
    </row>
    <row r="282" spans="1:68" x14ac:dyDescent="0.2">
      <c r="A282" s="562"/>
      <c r="B282" s="562"/>
      <c r="C282" s="562"/>
      <c r="D282" s="562"/>
      <c r="E282" s="562"/>
      <c r="F282" s="562"/>
      <c r="G282" s="562"/>
      <c r="H282" s="562"/>
      <c r="I282" s="562"/>
      <c r="J282" s="562"/>
      <c r="K282" s="562"/>
      <c r="L282" s="562"/>
      <c r="M282" s="562"/>
      <c r="N282" s="562"/>
      <c r="O282" s="563"/>
      <c r="P282" s="559" t="s">
        <v>40</v>
      </c>
      <c r="Q282" s="560"/>
      <c r="R282" s="560"/>
      <c r="S282" s="560"/>
      <c r="T282" s="560"/>
      <c r="U282" s="560"/>
      <c r="V282" s="561"/>
      <c r="W282" s="40" t="s">
        <v>39</v>
      </c>
      <c r="X282" s="41">
        <f>IFERROR(X279/H279,"0")+IFERROR(X280/H280,"0")+IFERROR(X281/H281,"0")</f>
        <v>48.000000000000007</v>
      </c>
      <c r="Y282" s="41">
        <f>IFERROR(Y279/H279,"0")+IFERROR(Y280/H280,"0")+IFERROR(Y281/H281,"0")</f>
        <v>48</v>
      </c>
      <c r="Z282" s="41">
        <f>IFERROR(IF(Z279="",0,Z279),"0")+IFERROR(IF(Z280="",0,Z280),"0")+IFERROR(IF(Z281="",0,Z281),"0")</f>
        <v>0.31247999999999998</v>
      </c>
      <c r="AA282" s="64"/>
      <c r="AB282" s="64"/>
      <c r="AC282" s="64"/>
    </row>
    <row r="283" spans="1:68" x14ac:dyDescent="0.2">
      <c r="A283" s="562"/>
      <c r="B283" s="562"/>
      <c r="C283" s="562"/>
      <c r="D283" s="562"/>
      <c r="E283" s="562"/>
      <c r="F283" s="562"/>
      <c r="G283" s="562"/>
      <c r="H283" s="562"/>
      <c r="I283" s="562"/>
      <c r="J283" s="562"/>
      <c r="K283" s="562"/>
      <c r="L283" s="562"/>
      <c r="M283" s="562"/>
      <c r="N283" s="562"/>
      <c r="O283" s="563"/>
      <c r="P283" s="559" t="s">
        <v>40</v>
      </c>
      <c r="Q283" s="560"/>
      <c r="R283" s="560"/>
      <c r="S283" s="560"/>
      <c r="T283" s="560"/>
      <c r="U283" s="560"/>
      <c r="V283" s="561"/>
      <c r="W283" s="40" t="s">
        <v>0</v>
      </c>
      <c r="X283" s="41">
        <f>IFERROR(SUM(X279:X281),"0")</f>
        <v>115.2</v>
      </c>
      <c r="Y283" s="41">
        <f>IFERROR(SUM(Y279:Y281),"0")</f>
        <v>115.19999999999999</v>
      </c>
      <c r="Z283" s="40"/>
      <c r="AA283" s="64"/>
      <c r="AB283" s="64"/>
      <c r="AC283" s="64"/>
    </row>
    <row r="284" spans="1:68" ht="16.5" hidden="1" customHeight="1" x14ac:dyDescent="0.25">
      <c r="A284" s="553" t="s">
        <v>468</v>
      </c>
      <c r="B284" s="553"/>
      <c r="C284" s="553"/>
      <c r="D284" s="553"/>
      <c r="E284" s="553"/>
      <c r="F284" s="553"/>
      <c r="G284" s="553"/>
      <c r="H284" s="553"/>
      <c r="I284" s="553"/>
      <c r="J284" s="553"/>
      <c r="K284" s="553"/>
      <c r="L284" s="553"/>
      <c r="M284" s="553"/>
      <c r="N284" s="553"/>
      <c r="O284" s="553"/>
      <c r="P284" s="553"/>
      <c r="Q284" s="553"/>
      <c r="R284" s="553"/>
      <c r="S284" s="553"/>
      <c r="T284" s="553"/>
      <c r="U284" s="553"/>
      <c r="V284" s="553"/>
      <c r="W284" s="553"/>
      <c r="X284" s="553"/>
      <c r="Y284" s="553"/>
      <c r="Z284" s="553"/>
      <c r="AA284" s="62"/>
      <c r="AB284" s="62"/>
      <c r="AC284" s="62"/>
    </row>
    <row r="285" spans="1:68" ht="14.25" hidden="1" customHeight="1" x14ac:dyDescent="0.25">
      <c r="A285" s="554" t="s">
        <v>76</v>
      </c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4"/>
      <c r="P285" s="554"/>
      <c r="Q285" s="554"/>
      <c r="R285" s="554"/>
      <c r="S285" s="554"/>
      <c r="T285" s="554"/>
      <c r="U285" s="554"/>
      <c r="V285" s="554"/>
      <c r="W285" s="554"/>
      <c r="X285" s="554"/>
      <c r="Y285" s="554"/>
      <c r="Z285" s="554"/>
      <c r="AA285" s="63"/>
      <c r="AB285" s="63"/>
      <c r="AC285" s="63"/>
    </row>
    <row r="286" spans="1:68" ht="27" hidden="1" customHeight="1" x14ac:dyDescent="0.25">
      <c r="A286" s="60" t="s">
        <v>469</v>
      </c>
      <c r="B286" s="60" t="s">
        <v>470</v>
      </c>
      <c r="C286" s="34">
        <v>4301031307</v>
      </c>
      <c r="D286" s="555">
        <v>4680115880344</v>
      </c>
      <c r="E286" s="555"/>
      <c r="F286" s="59">
        <v>0.28000000000000003</v>
      </c>
      <c r="G286" s="35">
        <v>6</v>
      </c>
      <c r="H286" s="59">
        <v>1.68</v>
      </c>
      <c r="I286" s="59">
        <v>1.78</v>
      </c>
      <c r="J286" s="35">
        <v>234</v>
      </c>
      <c r="K286" s="35" t="s">
        <v>85</v>
      </c>
      <c r="L286" s="35" t="s">
        <v>45</v>
      </c>
      <c r="M286" s="36" t="s">
        <v>80</v>
      </c>
      <c r="N286" s="36"/>
      <c r="O286" s="35">
        <v>40</v>
      </c>
      <c r="P286" s="66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6" s="557"/>
      <c r="R286" s="557"/>
      <c r="S286" s="557"/>
      <c r="T286" s="558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IFERROR(IF(Y286=0,"",ROUNDUP(Y286/H286,0)*0.00502),"")</f>
        <v/>
      </c>
      <c r="AA286" s="65" t="s">
        <v>45</v>
      </c>
      <c r="AB286" s="66" t="s">
        <v>45</v>
      </c>
      <c r="AC286" s="351" t="s">
        <v>471</v>
      </c>
      <c r="AG286" s="75"/>
      <c r="AJ286" s="79" t="s">
        <v>45</v>
      </c>
      <c r="AK286" s="79">
        <v>0</v>
      </c>
      <c r="BB286" s="352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ht="27" hidden="1" customHeight="1" x14ac:dyDescent="0.25">
      <c r="A287" s="60" t="s">
        <v>472</v>
      </c>
      <c r="B287" s="60" t="s">
        <v>473</v>
      </c>
      <c r="C287" s="34">
        <v>4301031429</v>
      </c>
      <c r="D287" s="555">
        <v>4680115886919</v>
      </c>
      <c r="E287" s="555"/>
      <c r="F287" s="59">
        <v>0.4</v>
      </c>
      <c r="G287" s="35">
        <v>6</v>
      </c>
      <c r="H287" s="59">
        <v>2.4</v>
      </c>
      <c r="I287" s="59">
        <v>2.58</v>
      </c>
      <c r="J287" s="35">
        <v>182</v>
      </c>
      <c r="K287" s="35" t="s">
        <v>81</v>
      </c>
      <c r="L287" s="35" t="s">
        <v>45</v>
      </c>
      <c r="M287" s="36" t="s">
        <v>80</v>
      </c>
      <c r="N287" s="36"/>
      <c r="O287" s="35">
        <v>40</v>
      </c>
      <c r="P287" s="6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7" s="557"/>
      <c r="R287" s="557"/>
      <c r="S287" s="557"/>
      <c r="T287" s="558"/>
      <c r="U287" s="37" t="s">
        <v>45</v>
      </c>
      <c r="V287" s="37" t="s">
        <v>45</v>
      </c>
      <c r="W287" s="38" t="s">
        <v>0</v>
      </c>
      <c r="X287" s="56">
        <v>0</v>
      </c>
      <c r="Y287" s="53">
        <f>IFERROR(IF(X287="",0,CEILING((X287/$H287),1)*$H287),"")</f>
        <v>0</v>
      </c>
      <c r="Z287" s="39" t="str">
        <f>IFERROR(IF(Y287=0,"",ROUNDUP(Y287/H287,0)*0.00651),"")</f>
        <v/>
      </c>
      <c r="AA287" s="65" t="s">
        <v>45</v>
      </c>
      <c r="AB287" s="66" t="s">
        <v>45</v>
      </c>
      <c r="AC287" s="353" t="s">
        <v>474</v>
      </c>
      <c r="AG287" s="75"/>
      <c r="AJ287" s="79" t="s">
        <v>45</v>
      </c>
      <c r="AK287" s="79">
        <v>0</v>
      </c>
      <c r="BB287" s="354" t="s">
        <v>66</v>
      </c>
      <c r="BM287" s="75">
        <f>IFERROR(X287*I287/H287,"0")</f>
        <v>0</v>
      </c>
      <c r="BN287" s="75">
        <f>IFERROR(Y287*I287/H287,"0")</f>
        <v>0</v>
      </c>
      <c r="BO287" s="75">
        <f>IFERROR(1/J287*(X287/H287),"0")</f>
        <v>0</v>
      </c>
      <c r="BP287" s="75">
        <f>IFERROR(1/J287*(Y287/H287),"0")</f>
        <v>0</v>
      </c>
    </row>
    <row r="288" spans="1:68" hidden="1" x14ac:dyDescent="0.2">
      <c r="A288" s="562"/>
      <c r="B288" s="562"/>
      <c r="C288" s="562"/>
      <c r="D288" s="562"/>
      <c r="E288" s="562"/>
      <c r="F288" s="562"/>
      <c r="G288" s="562"/>
      <c r="H288" s="562"/>
      <c r="I288" s="562"/>
      <c r="J288" s="562"/>
      <c r="K288" s="562"/>
      <c r="L288" s="562"/>
      <c r="M288" s="562"/>
      <c r="N288" s="562"/>
      <c r="O288" s="563"/>
      <c r="P288" s="559" t="s">
        <v>40</v>
      </c>
      <c r="Q288" s="560"/>
      <c r="R288" s="560"/>
      <c r="S288" s="560"/>
      <c r="T288" s="560"/>
      <c r="U288" s="560"/>
      <c r="V288" s="561"/>
      <c r="W288" s="40" t="s">
        <v>39</v>
      </c>
      <c r="X288" s="41">
        <f>IFERROR(X286/H286,"0")+IFERROR(X287/H287,"0")</f>
        <v>0</v>
      </c>
      <c r="Y288" s="41">
        <f>IFERROR(Y286/H286,"0")+IFERROR(Y287/H287,"0")</f>
        <v>0</v>
      </c>
      <c r="Z288" s="41">
        <f>IFERROR(IF(Z286="",0,Z286),"0")+IFERROR(IF(Z287="",0,Z287),"0")</f>
        <v>0</v>
      </c>
      <c r="AA288" s="64"/>
      <c r="AB288" s="64"/>
      <c r="AC288" s="64"/>
    </row>
    <row r="289" spans="1:68" hidden="1" x14ac:dyDescent="0.2">
      <c r="A289" s="562"/>
      <c r="B289" s="562"/>
      <c r="C289" s="562"/>
      <c r="D289" s="562"/>
      <c r="E289" s="562"/>
      <c r="F289" s="562"/>
      <c r="G289" s="562"/>
      <c r="H289" s="562"/>
      <c r="I289" s="562"/>
      <c r="J289" s="562"/>
      <c r="K289" s="562"/>
      <c r="L289" s="562"/>
      <c r="M289" s="562"/>
      <c r="N289" s="562"/>
      <c r="O289" s="563"/>
      <c r="P289" s="559" t="s">
        <v>40</v>
      </c>
      <c r="Q289" s="560"/>
      <c r="R289" s="560"/>
      <c r="S289" s="560"/>
      <c r="T289" s="560"/>
      <c r="U289" s="560"/>
      <c r="V289" s="561"/>
      <c r="W289" s="40" t="s">
        <v>0</v>
      </c>
      <c r="X289" s="41">
        <f>IFERROR(SUM(X286:X287),"0")</f>
        <v>0</v>
      </c>
      <c r="Y289" s="41">
        <f>IFERROR(SUM(Y286:Y287),"0")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554" t="s">
        <v>86</v>
      </c>
      <c r="B290" s="554"/>
      <c r="C290" s="554"/>
      <c r="D290" s="554"/>
      <c r="E290" s="554"/>
      <c r="F290" s="554"/>
      <c r="G290" s="554"/>
      <c r="H290" s="554"/>
      <c r="I290" s="554"/>
      <c r="J290" s="554"/>
      <c r="K290" s="554"/>
      <c r="L290" s="554"/>
      <c r="M290" s="554"/>
      <c r="N290" s="554"/>
      <c r="O290" s="554"/>
      <c r="P290" s="554"/>
      <c r="Q290" s="554"/>
      <c r="R290" s="554"/>
      <c r="S290" s="554"/>
      <c r="T290" s="554"/>
      <c r="U290" s="554"/>
      <c r="V290" s="554"/>
      <c r="W290" s="554"/>
      <c r="X290" s="554"/>
      <c r="Y290" s="554"/>
      <c r="Z290" s="554"/>
      <c r="AA290" s="63"/>
      <c r="AB290" s="63"/>
      <c r="AC290" s="63"/>
    </row>
    <row r="291" spans="1:68" ht="37.5" hidden="1" customHeight="1" x14ac:dyDescent="0.25">
      <c r="A291" s="60" t="s">
        <v>475</v>
      </c>
      <c r="B291" s="60" t="s">
        <v>476</v>
      </c>
      <c r="C291" s="34">
        <v>4301051782</v>
      </c>
      <c r="D291" s="555">
        <v>4680115884618</v>
      </c>
      <c r="E291" s="555"/>
      <c r="F291" s="59">
        <v>0.6</v>
      </c>
      <c r="G291" s="35">
        <v>6</v>
      </c>
      <c r="H291" s="59">
        <v>3.6</v>
      </c>
      <c r="I291" s="59">
        <v>3.79</v>
      </c>
      <c r="J291" s="35">
        <v>132</v>
      </c>
      <c r="K291" s="35" t="s">
        <v>122</v>
      </c>
      <c r="L291" s="35" t="s">
        <v>45</v>
      </c>
      <c r="M291" s="36" t="s">
        <v>90</v>
      </c>
      <c r="N291" s="36"/>
      <c r="O291" s="35">
        <v>45</v>
      </c>
      <c r="P291" s="66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1" s="557"/>
      <c r="R291" s="557"/>
      <c r="S291" s="557"/>
      <c r="T291" s="558"/>
      <c r="U291" s="37" t="s">
        <v>45</v>
      </c>
      <c r="V291" s="37" t="s">
        <v>45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IFERROR(IF(Y291=0,"",ROUNDUP(Y291/H291,0)*0.00902),"")</f>
        <v/>
      </c>
      <c r="AA291" s="65" t="s">
        <v>45</v>
      </c>
      <c r="AB291" s="66" t="s">
        <v>45</v>
      </c>
      <c r="AC291" s="355" t="s">
        <v>477</v>
      </c>
      <c r="AG291" s="75"/>
      <c r="AJ291" s="79" t="s">
        <v>45</v>
      </c>
      <c r="AK291" s="79">
        <v>0</v>
      </c>
      <c r="BB291" s="356" t="s">
        <v>66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t="27" hidden="1" customHeight="1" x14ac:dyDescent="0.25">
      <c r="A292" s="60" t="s">
        <v>478</v>
      </c>
      <c r="B292" s="60" t="s">
        <v>479</v>
      </c>
      <c r="C292" s="34">
        <v>4301052057</v>
      </c>
      <c r="D292" s="555">
        <v>4680115887114</v>
      </c>
      <c r="E292" s="555"/>
      <c r="F292" s="59">
        <v>0.55000000000000004</v>
      </c>
      <c r="G292" s="35">
        <v>6</v>
      </c>
      <c r="H292" s="59">
        <v>3.3</v>
      </c>
      <c r="I292" s="59">
        <v>3.49</v>
      </c>
      <c r="J292" s="35">
        <v>132</v>
      </c>
      <c r="K292" s="35" t="s">
        <v>122</v>
      </c>
      <c r="L292" s="35" t="s">
        <v>45</v>
      </c>
      <c r="M292" s="36" t="s">
        <v>90</v>
      </c>
      <c r="N292" s="36"/>
      <c r="O292" s="35">
        <v>45</v>
      </c>
      <c r="P292" s="66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2" s="557"/>
      <c r="R292" s="557"/>
      <c r="S292" s="557"/>
      <c r="T292" s="558"/>
      <c r="U292" s="37" t="s">
        <v>45</v>
      </c>
      <c r="V292" s="37" t="s">
        <v>45</v>
      </c>
      <c r="W292" s="38" t="s">
        <v>0</v>
      </c>
      <c r="X292" s="56">
        <v>0</v>
      </c>
      <c r="Y292" s="53">
        <f>IFERROR(IF(X292="",0,CEILING((X292/$H292),1)*$H292),"")</f>
        <v>0</v>
      </c>
      <c r="Z292" s="39" t="str">
        <f>IFERROR(IF(Y292=0,"",ROUNDUP(Y292/H292,0)*0.00902),"")</f>
        <v/>
      </c>
      <c r="AA292" s="65" t="s">
        <v>45</v>
      </c>
      <c r="AB292" s="66" t="s">
        <v>45</v>
      </c>
      <c r="AC292" s="357" t="s">
        <v>480</v>
      </c>
      <c r="AG292" s="75"/>
      <c r="AJ292" s="79" t="s">
        <v>45</v>
      </c>
      <c r="AK292" s="79">
        <v>0</v>
      </c>
      <c r="BB292" s="358" t="s">
        <v>66</v>
      </c>
      <c r="BM292" s="75">
        <f>IFERROR(X292*I292/H292,"0")</f>
        <v>0</v>
      </c>
      <c r="BN292" s="75">
        <f>IFERROR(Y292*I292/H292,"0")</f>
        <v>0</v>
      </c>
      <c r="BO292" s="75">
        <f>IFERROR(1/J292*(X292/H292),"0")</f>
        <v>0</v>
      </c>
      <c r="BP292" s="75">
        <f>IFERROR(1/J292*(Y292/H292),"0")</f>
        <v>0</v>
      </c>
    </row>
    <row r="293" spans="1:68" hidden="1" x14ac:dyDescent="0.2">
      <c r="A293" s="562"/>
      <c r="B293" s="562"/>
      <c r="C293" s="562"/>
      <c r="D293" s="562"/>
      <c r="E293" s="562"/>
      <c r="F293" s="562"/>
      <c r="G293" s="562"/>
      <c r="H293" s="562"/>
      <c r="I293" s="562"/>
      <c r="J293" s="562"/>
      <c r="K293" s="562"/>
      <c r="L293" s="562"/>
      <c r="M293" s="562"/>
      <c r="N293" s="562"/>
      <c r="O293" s="563"/>
      <c r="P293" s="559" t="s">
        <v>40</v>
      </c>
      <c r="Q293" s="560"/>
      <c r="R293" s="560"/>
      <c r="S293" s="560"/>
      <c r="T293" s="560"/>
      <c r="U293" s="560"/>
      <c r="V293" s="561"/>
      <c r="W293" s="40" t="s">
        <v>39</v>
      </c>
      <c r="X293" s="41">
        <f>IFERROR(X291/H291,"0")+IFERROR(X292/H292,"0")</f>
        <v>0</v>
      </c>
      <c r="Y293" s="41">
        <f>IFERROR(Y291/H291,"0")+IFERROR(Y292/H292,"0")</f>
        <v>0</v>
      </c>
      <c r="Z293" s="41">
        <f>IFERROR(IF(Z291="",0,Z291),"0")+IFERROR(IF(Z292="",0,Z292),"0")</f>
        <v>0</v>
      </c>
      <c r="AA293" s="64"/>
      <c r="AB293" s="64"/>
      <c r="AC293" s="64"/>
    </row>
    <row r="294" spans="1:68" hidden="1" x14ac:dyDescent="0.2">
      <c r="A294" s="562"/>
      <c r="B294" s="562"/>
      <c r="C294" s="562"/>
      <c r="D294" s="562"/>
      <c r="E294" s="562"/>
      <c r="F294" s="562"/>
      <c r="G294" s="562"/>
      <c r="H294" s="562"/>
      <c r="I294" s="562"/>
      <c r="J294" s="562"/>
      <c r="K294" s="562"/>
      <c r="L294" s="562"/>
      <c r="M294" s="562"/>
      <c r="N294" s="562"/>
      <c r="O294" s="563"/>
      <c r="P294" s="559" t="s">
        <v>40</v>
      </c>
      <c r="Q294" s="560"/>
      <c r="R294" s="560"/>
      <c r="S294" s="560"/>
      <c r="T294" s="560"/>
      <c r="U294" s="560"/>
      <c r="V294" s="561"/>
      <c r="W294" s="40" t="s">
        <v>0</v>
      </c>
      <c r="X294" s="41">
        <f>IFERROR(SUM(X291:X292),"0")</f>
        <v>0</v>
      </c>
      <c r="Y294" s="41">
        <f>IFERROR(SUM(Y291:Y292),"0")</f>
        <v>0</v>
      </c>
      <c r="Z294" s="40"/>
      <c r="AA294" s="64"/>
      <c r="AB294" s="64"/>
      <c r="AC294" s="64"/>
    </row>
    <row r="295" spans="1:68" ht="16.5" hidden="1" customHeight="1" x14ac:dyDescent="0.25">
      <c r="A295" s="553" t="s">
        <v>481</v>
      </c>
      <c r="B295" s="553"/>
      <c r="C295" s="553"/>
      <c r="D295" s="553"/>
      <c r="E295" s="553"/>
      <c r="F295" s="553"/>
      <c r="G295" s="553"/>
      <c r="H295" s="553"/>
      <c r="I295" s="553"/>
      <c r="J295" s="553"/>
      <c r="K295" s="553"/>
      <c r="L295" s="553"/>
      <c r="M295" s="553"/>
      <c r="N295" s="553"/>
      <c r="O295" s="553"/>
      <c r="P295" s="553"/>
      <c r="Q295" s="553"/>
      <c r="R295" s="553"/>
      <c r="S295" s="553"/>
      <c r="T295" s="553"/>
      <c r="U295" s="553"/>
      <c r="V295" s="553"/>
      <c r="W295" s="553"/>
      <c r="X295" s="553"/>
      <c r="Y295" s="553"/>
      <c r="Z295" s="553"/>
      <c r="AA295" s="62"/>
      <c r="AB295" s="62"/>
      <c r="AC295" s="62"/>
    </row>
    <row r="296" spans="1:68" ht="14.25" hidden="1" customHeight="1" x14ac:dyDescent="0.25">
      <c r="A296" s="554" t="s">
        <v>114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63"/>
      <c r="AB296" s="63"/>
      <c r="AC296" s="63"/>
    </row>
    <row r="297" spans="1:68" ht="27" hidden="1" customHeight="1" x14ac:dyDescent="0.25">
      <c r="A297" s="60" t="s">
        <v>482</v>
      </c>
      <c r="B297" s="60" t="s">
        <v>483</v>
      </c>
      <c r="C297" s="34">
        <v>4301012024</v>
      </c>
      <c r="D297" s="555">
        <v>4680115885615</v>
      </c>
      <c r="E297" s="555"/>
      <c r="F297" s="59">
        <v>1.35</v>
      </c>
      <c r="G297" s="35">
        <v>8</v>
      </c>
      <c r="H297" s="59">
        <v>10.8</v>
      </c>
      <c r="I297" s="59">
        <v>11.21</v>
      </c>
      <c r="J297" s="35">
        <v>64</v>
      </c>
      <c r="K297" s="35" t="s">
        <v>119</v>
      </c>
      <c r="L297" s="35" t="s">
        <v>45</v>
      </c>
      <c r="M297" s="36" t="s">
        <v>90</v>
      </c>
      <c r="N297" s="36"/>
      <c r="O297" s="35">
        <v>55</v>
      </c>
      <c r="P297" s="659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7" s="557"/>
      <c r="R297" s="557"/>
      <c r="S297" s="557"/>
      <c r="T297" s="558"/>
      <c r="U297" s="37" t="s">
        <v>45</v>
      </c>
      <c r="V297" s="37" t="s">
        <v>45</v>
      </c>
      <c r="W297" s="38" t="s">
        <v>0</v>
      </c>
      <c r="X297" s="56">
        <v>0</v>
      </c>
      <c r="Y297" s="53">
        <f>IFERROR(IF(X297="",0,CEILING((X297/$H297),1)*$H297),"")</f>
        <v>0</v>
      </c>
      <c r="Z297" s="39" t="str">
        <f>IFERROR(IF(Y297=0,"",ROUNDUP(Y297/H297,0)*0.01898),"")</f>
        <v/>
      </c>
      <c r="AA297" s="65" t="s">
        <v>45</v>
      </c>
      <c r="AB297" s="66" t="s">
        <v>45</v>
      </c>
      <c r="AC297" s="359" t="s">
        <v>484</v>
      </c>
      <c r="AG297" s="75"/>
      <c r="AJ297" s="79" t="s">
        <v>45</v>
      </c>
      <c r="AK297" s="79">
        <v>0</v>
      </c>
      <c r="BB297" s="360" t="s">
        <v>66</v>
      </c>
      <c r="BM297" s="75">
        <f>IFERROR(X297*I297/H297,"0")</f>
        <v>0</v>
      </c>
      <c r="BN297" s="75">
        <f>IFERROR(Y297*I297/H297,"0")</f>
        <v>0</v>
      </c>
      <c r="BO297" s="75">
        <f>IFERROR(1/J297*(X297/H297),"0")</f>
        <v>0</v>
      </c>
      <c r="BP297" s="75">
        <f>IFERROR(1/J297*(Y297/H297),"0")</f>
        <v>0</v>
      </c>
    </row>
    <row r="298" spans="1:68" ht="37.5" hidden="1" customHeight="1" x14ac:dyDescent="0.25">
      <c r="A298" s="60" t="s">
        <v>485</v>
      </c>
      <c r="B298" s="60" t="s">
        <v>486</v>
      </c>
      <c r="C298" s="34">
        <v>4301011858</v>
      </c>
      <c r="D298" s="555">
        <v>4680115885646</v>
      </c>
      <c r="E298" s="555"/>
      <c r="F298" s="59">
        <v>1.35</v>
      </c>
      <c r="G298" s="35">
        <v>8</v>
      </c>
      <c r="H298" s="59">
        <v>10.8</v>
      </c>
      <c r="I298" s="59">
        <v>11.21</v>
      </c>
      <c r="J298" s="35">
        <v>64</v>
      </c>
      <c r="K298" s="35" t="s">
        <v>119</v>
      </c>
      <c r="L298" s="35" t="s">
        <v>45</v>
      </c>
      <c r="M298" s="36" t="s">
        <v>118</v>
      </c>
      <c r="N298" s="36"/>
      <c r="O298" s="35">
        <v>55</v>
      </c>
      <c r="P298" s="660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8" s="557"/>
      <c r="R298" s="557"/>
      <c r="S298" s="557"/>
      <c r="T298" s="558"/>
      <c r="U298" s="37" t="s">
        <v>45</v>
      </c>
      <c r="V298" s="37" t="s">
        <v>45</v>
      </c>
      <c r="W298" s="38" t="s">
        <v>0</v>
      </c>
      <c r="X298" s="56">
        <v>0</v>
      </c>
      <c r="Y298" s="53">
        <f>IFERROR(IF(X298="",0,CEILING((X298/$H298),1)*$H298),"")</f>
        <v>0</v>
      </c>
      <c r="Z298" s="39" t="str">
        <f>IFERROR(IF(Y298=0,"",ROUNDUP(Y298/H298,0)*0.01898),"")</f>
        <v/>
      </c>
      <c r="AA298" s="65" t="s">
        <v>45</v>
      </c>
      <c r="AB298" s="66" t="s">
        <v>45</v>
      </c>
      <c r="AC298" s="361" t="s">
        <v>487</v>
      </c>
      <c r="AG298" s="75"/>
      <c r="AJ298" s="79" t="s">
        <v>45</v>
      </c>
      <c r="AK298" s="79">
        <v>0</v>
      </c>
      <c r="BB298" s="362" t="s">
        <v>66</v>
      </c>
      <c r="BM298" s="75">
        <f>IFERROR(X298*I298/H298,"0")</f>
        <v>0</v>
      </c>
      <c r="BN298" s="75">
        <f>IFERROR(Y298*I298/H298,"0")</f>
        <v>0</v>
      </c>
      <c r="BO298" s="75">
        <f>IFERROR(1/J298*(X298/H298),"0")</f>
        <v>0</v>
      </c>
      <c r="BP298" s="75">
        <f>IFERROR(1/J298*(Y298/H298),"0")</f>
        <v>0</v>
      </c>
    </row>
    <row r="299" spans="1:68" ht="27" hidden="1" customHeight="1" x14ac:dyDescent="0.25">
      <c r="A299" s="60" t="s">
        <v>488</v>
      </c>
      <c r="B299" s="60" t="s">
        <v>489</v>
      </c>
      <c r="C299" s="34">
        <v>4301012016</v>
      </c>
      <c r="D299" s="555">
        <v>4680115885554</v>
      </c>
      <c r="E299" s="555"/>
      <c r="F299" s="59">
        <v>1.35</v>
      </c>
      <c r="G299" s="35">
        <v>8</v>
      </c>
      <c r="H299" s="59">
        <v>10.8</v>
      </c>
      <c r="I299" s="59">
        <v>11.21</v>
      </c>
      <c r="J299" s="35">
        <v>64</v>
      </c>
      <c r="K299" s="35" t="s">
        <v>119</v>
      </c>
      <c r="L299" s="35" t="s">
        <v>45</v>
      </c>
      <c r="M299" s="36" t="s">
        <v>90</v>
      </c>
      <c r="N299" s="36"/>
      <c r="O299" s="35">
        <v>55</v>
      </c>
      <c r="P299" s="66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9" s="557"/>
      <c r="R299" s="557"/>
      <c r="S299" s="557"/>
      <c r="T299" s="558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IFERROR(IF(Y299=0,"",ROUNDUP(Y299/H299,0)*0.01898),"")</f>
        <v/>
      </c>
      <c r="AA299" s="65" t="s">
        <v>45</v>
      </c>
      <c r="AB299" s="66" t="s">
        <v>45</v>
      </c>
      <c r="AC299" s="363" t="s">
        <v>490</v>
      </c>
      <c r="AG299" s="75"/>
      <c r="AJ299" s="79" t="s">
        <v>45</v>
      </c>
      <c r="AK299" s="79">
        <v>0</v>
      </c>
      <c r="BB299" s="364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hidden="1" customHeight="1" x14ac:dyDescent="0.25">
      <c r="A300" s="60" t="s">
        <v>491</v>
      </c>
      <c r="B300" s="60" t="s">
        <v>492</v>
      </c>
      <c r="C300" s="34">
        <v>4301011857</v>
      </c>
      <c r="D300" s="555">
        <v>4680115885622</v>
      </c>
      <c r="E300" s="555"/>
      <c r="F300" s="59">
        <v>0.4</v>
      </c>
      <c r="G300" s="35">
        <v>10</v>
      </c>
      <c r="H300" s="59">
        <v>4</v>
      </c>
      <c r="I300" s="59">
        <v>4.1900000000000004</v>
      </c>
      <c r="J300" s="35">
        <v>132</v>
      </c>
      <c r="K300" s="35" t="s">
        <v>122</v>
      </c>
      <c r="L300" s="35" t="s">
        <v>45</v>
      </c>
      <c r="M300" s="36" t="s">
        <v>118</v>
      </c>
      <c r="N300" s="36"/>
      <c r="O300" s="35">
        <v>55</v>
      </c>
      <c r="P300" s="662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0" s="557"/>
      <c r="R300" s="557"/>
      <c r="S300" s="557"/>
      <c r="T300" s="558"/>
      <c r="U300" s="37" t="s">
        <v>45</v>
      </c>
      <c r="V300" s="37" t="s">
        <v>45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IFERROR(IF(Y300=0,"",ROUNDUP(Y300/H300,0)*0.00902),"")</f>
        <v/>
      </c>
      <c r="AA300" s="65" t="s">
        <v>45</v>
      </c>
      <c r="AB300" s="66" t="s">
        <v>45</v>
      </c>
      <c r="AC300" s="365" t="s">
        <v>484</v>
      </c>
      <c r="AG300" s="75"/>
      <c r="AJ300" s="79" t="s">
        <v>45</v>
      </c>
      <c r="AK300" s="79">
        <v>0</v>
      </c>
      <c r="BB300" s="366" t="s">
        <v>66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hidden="1" customHeight="1" x14ac:dyDescent="0.25">
      <c r="A301" s="60" t="s">
        <v>493</v>
      </c>
      <c r="B301" s="60" t="s">
        <v>494</v>
      </c>
      <c r="C301" s="34">
        <v>4301011859</v>
      </c>
      <c r="D301" s="555">
        <v>4680115885608</v>
      </c>
      <c r="E301" s="555"/>
      <c r="F301" s="59">
        <v>0.4</v>
      </c>
      <c r="G301" s="35">
        <v>10</v>
      </c>
      <c r="H301" s="59">
        <v>4</v>
      </c>
      <c r="I301" s="59">
        <v>4.1900000000000004</v>
      </c>
      <c r="J301" s="35">
        <v>132</v>
      </c>
      <c r="K301" s="35" t="s">
        <v>122</v>
      </c>
      <c r="L301" s="35" t="s">
        <v>45</v>
      </c>
      <c r="M301" s="36" t="s">
        <v>118</v>
      </c>
      <c r="N301" s="36"/>
      <c r="O301" s="35">
        <v>55</v>
      </c>
      <c r="P301" s="65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1" s="557"/>
      <c r="R301" s="557"/>
      <c r="S301" s="557"/>
      <c r="T301" s="558"/>
      <c r="U301" s="37" t="s">
        <v>45</v>
      </c>
      <c r="V301" s="37" t="s">
        <v>45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IFERROR(IF(Y301=0,"",ROUNDUP(Y301/H301,0)*0.00902),"")</f>
        <v/>
      </c>
      <c r="AA301" s="65" t="s">
        <v>45</v>
      </c>
      <c r="AB301" s="66" t="s">
        <v>45</v>
      </c>
      <c r="AC301" s="367" t="s">
        <v>495</v>
      </c>
      <c r="AG301" s="75"/>
      <c r="AJ301" s="79" t="s">
        <v>45</v>
      </c>
      <c r="AK301" s="79">
        <v>0</v>
      </c>
      <c r="BB301" s="368" t="s">
        <v>66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idden="1" x14ac:dyDescent="0.2">
      <c r="A302" s="562"/>
      <c r="B302" s="562"/>
      <c r="C302" s="562"/>
      <c r="D302" s="562"/>
      <c r="E302" s="562"/>
      <c r="F302" s="562"/>
      <c r="G302" s="562"/>
      <c r="H302" s="562"/>
      <c r="I302" s="562"/>
      <c r="J302" s="562"/>
      <c r="K302" s="562"/>
      <c r="L302" s="562"/>
      <c r="M302" s="562"/>
      <c r="N302" s="562"/>
      <c r="O302" s="563"/>
      <c r="P302" s="559" t="s">
        <v>40</v>
      </c>
      <c r="Q302" s="560"/>
      <c r="R302" s="560"/>
      <c r="S302" s="560"/>
      <c r="T302" s="560"/>
      <c r="U302" s="560"/>
      <c r="V302" s="561"/>
      <c r="W302" s="40" t="s">
        <v>39</v>
      </c>
      <c r="X302" s="41">
        <f>IFERROR(X297/H297,"0")+IFERROR(X298/H298,"0")+IFERROR(X299/H299,"0")+IFERROR(X300/H300,"0")+IFERROR(X301/H301,"0")</f>
        <v>0</v>
      </c>
      <c r="Y302" s="41">
        <f>IFERROR(Y297/H297,"0")+IFERROR(Y298/H298,"0")+IFERROR(Y299/H299,"0")+IFERROR(Y300/H300,"0")+IFERROR(Y301/H301,"0")</f>
        <v>0</v>
      </c>
      <c r="Z302" s="41">
        <f>IFERROR(IF(Z297="",0,Z297),"0")+IFERROR(IF(Z298="",0,Z298),"0")+IFERROR(IF(Z299="",0,Z299),"0")+IFERROR(IF(Z300="",0,Z300),"0")+IFERROR(IF(Z301="",0,Z301),"0")</f>
        <v>0</v>
      </c>
      <c r="AA302" s="64"/>
      <c r="AB302" s="64"/>
      <c r="AC302" s="64"/>
    </row>
    <row r="303" spans="1:68" hidden="1" x14ac:dyDescent="0.2">
      <c r="A303" s="562"/>
      <c r="B303" s="562"/>
      <c r="C303" s="562"/>
      <c r="D303" s="562"/>
      <c r="E303" s="562"/>
      <c r="F303" s="562"/>
      <c r="G303" s="562"/>
      <c r="H303" s="562"/>
      <c r="I303" s="562"/>
      <c r="J303" s="562"/>
      <c r="K303" s="562"/>
      <c r="L303" s="562"/>
      <c r="M303" s="562"/>
      <c r="N303" s="562"/>
      <c r="O303" s="563"/>
      <c r="P303" s="559" t="s">
        <v>40</v>
      </c>
      <c r="Q303" s="560"/>
      <c r="R303" s="560"/>
      <c r="S303" s="560"/>
      <c r="T303" s="560"/>
      <c r="U303" s="560"/>
      <c r="V303" s="561"/>
      <c r="W303" s="40" t="s">
        <v>0</v>
      </c>
      <c r="X303" s="41">
        <f>IFERROR(SUM(X297:X301),"0")</f>
        <v>0</v>
      </c>
      <c r="Y303" s="41">
        <f>IFERROR(SUM(Y297:Y301),"0")</f>
        <v>0</v>
      </c>
      <c r="Z303" s="40"/>
      <c r="AA303" s="64"/>
      <c r="AB303" s="64"/>
      <c r="AC303" s="64"/>
    </row>
    <row r="304" spans="1:68" ht="14.25" hidden="1" customHeight="1" x14ac:dyDescent="0.25">
      <c r="A304" s="554" t="s">
        <v>76</v>
      </c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4"/>
      <c r="P304" s="554"/>
      <c r="Q304" s="554"/>
      <c r="R304" s="554"/>
      <c r="S304" s="554"/>
      <c r="T304" s="554"/>
      <c r="U304" s="554"/>
      <c r="V304" s="554"/>
      <c r="W304" s="554"/>
      <c r="X304" s="554"/>
      <c r="Y304" s="554"/>
      <c r="Z304" s="554"/>
      <c r="AA304" s="63"/>
      <c r="AB304" s="63"/>
      <c r="AC304" s="63"/>
    </row>
    <row r="305" spans="1:68" ht="27" hidden="1" customHeight="1" x14ac:dyDescent="0.25">
      <c r="A305" s="60" t="s">
        <v>496</v>
      </c>
      <c r="B305" s="60" t="s">
        <v>497</v>
      </c>
      <c r="C305" s="34">
        <v>4301030878</v>
      </c>
      <c r="D305" s="555">
        <v>4607091387193</v>
      </c>
      <c r="E305" s="555"/>
      <c r="F305" s="59">
        <v>0.7</v>
      </c>
      <c r="G305" s="35">
        <v>6</v>
      </c>
      <c r="H305" s="59">
        <v>4.2</v>
      </c>
      <c r="I305" s="59">
        <v>4.45</v>
      </c>
      <c r="J305" s="35">
        <v>132</v>
      </c>
      <c r="K305" s="35" t="s">
        <v>122</v>
      </c>
      <c r="L305" s="35" t="s">
        <v>45</v>
      </c>
      <c r="M305" s="36" t="s">
        <v>80</v>
      </c>
      <c r="N305" s="36"/>
      <c r="O305" s="35">
        <v>35</v>
      </c>
      <c r="P305" s="65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5" s="557"/>
      <c r="R305" s="557"/>
      <c r="S305" s="557"/>
      <c r="T305" s="558"/>
      <c r="U305" s="37" t="s">
        <v>45</v>
      </c>
      <c r="V305" s="37" t="s">
        <v>45</v>
      </c>
      <c r="W305" s="38" t="s">
        <v>0</v>
      </c>
      <c r="X305" s="56">
        <v>0</v>
      </c>
      <c r="Y305" s="53">
        <f t="shared" ref="Y305:Y311" si="32">IFERROR(IF(X305="",0,CEILING((X305/$H305),1)*$H305),"")</f>
        <v>0</v>
      </c>
      <c r="Z305" s="39" t="str">
        <f>IFERROR(IF(Y305=0,"",ROUNDUP(Y305/H305,0)*0.00902),"")</f>
        <v/>
      </c>
      <c r="AA305" s="65" t="s">
        <v>45</v>
      </c>
      <c r="AB305" s="66" t="s">
        <v>45</v>
      </c>
      <c r="AC305" s="369" t="s">
        <v>498</v>
      </c>
      <c r="AG305" s="75"/>
      <c r="AJ305" s="79" t="s">
        <v>45</v>
      </c>
      <c r="AK305" s="79">
        <v>0</v>
      </c>
      <c r="BB305" s="370" t="s">
        <v>66</v>
      </c>
      <c r="BM305" s="75">
        <f t="shared" ref="BM305:BM311" si="33">IFERROR(X305*I305/H305,"0")</f>
        <v>0</v>
      </c>
      <c r="BN305" s="75">
        <f t="shared" ref="BN305:BN311" si="34">IFERROR(Y305*I305/H305,"0")</f>
        <v>0</v>
      </c>
      <c r="BO305" s="75">
        <f t="shared" ref="BO305:BO311" si="35">IFERROR(1/J305*(X305/H305),"0")</f>
        <v>0</v>
      </c>
      <c r="BP305" s="75">
        <f t="shared" ref="BP305:BP311" si="36">IFERROR(1/J305*(Y305/H305),"0")</f>
        <v>0</v>
      </c>
    </row>
    <row r="306" spans="1:68" ht="27" hidden="1" customHeight="1" x14ac:dyDescent="0.25">
      <c r="A306" s="60" t="s">
        <v>499</v>
      </c>
      <c r="B306" s="60" t="s">
        <v>500</v>
      </c>
      <c r="C306" s="34">
        <v>4301031153</v>
      </c>
      <c r="D306" s="555">
        <v>4607091387230</v>
      </c>
      <c r="E306" s="555"/>
      <c r="F306" s="59">
        <v>0.7</v>
      </c>
      <c r="G306" s="35">
        <v>6</v>
      </c>
      <c r="H306" s="59">
        <v>4.2</v>
      </c>
      <c r="I306" s="59">
        <v>4.45</v>
      </c>
      <c r="J306" s="35">
        <v>132</v>
      </c>
      <c r="K306" s="35" t="s">
        <v>122</v>
      </c>
      <c r="L306" s="35" t="s">
        <v>45</v>
      </c>
      <c r="M306" s="36" t="s">
        <v>80</v>
      </c>
      <c r="N306" s="36"/>
      <c r="O306" s="35">
        <v>40</v>
      </c>
      <c r="P306" s="65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6" s="557"/>
      <c r="R306" s="557"/>
      <c r="S306" s="557"/>
      <c r="T306" s="558"/>
      <c r="U306" s="37" t="s">
        <v>45</v>
      </c>
      <c r="V306" s="37" t="s">
        <v>45</v>
      </c>
      <c r="W306" s="38" t="s">
        <v>0</v>
      </c>
      <c r="X306" s="56">
        <v>0</v>
      </c>
      <c r="Y306" s="53">
        <f t="shared" si="32"/>
        <v>0</v>
      </c>
      <c r="Z306" s="39" t="str">
        <f>IFERROR(IF(Y306=0,"",ROUNDUP(Y306/H306,0)*0.00902),"")</f>
        <v/>
      </c>
      <c r="AA306" s="65" t="s">
        <v>45</v>
      </c>
      <c r="AB306" s="66" t="s">
        <v>45</v>
      </c>
      <c r="AC306" s="371" t="s">
        <v>501</v>
      </c>
      <c r="AG306" s="75"/>
      <c r="AJ306" s="79" t="s">
        <v>45</v>
      </c>
      <c r="AK306" s="79">
        <v>0</v>
      </c>
      <c r="BB306" s="372" t="s">
        <v>66</v>
      </c>
      <c r="BM306" s="75">
        <f t="shared" si="33"/>
        <v>0</v>
      </c>
      <c r="BN306" s="75">
        <f t="shared" si="34"/>
        <v>0</v>
      </c>
      <c r="BO306" s="75">
        <f t="shared" si="35"/>
        <v>0</v>
      </c>
      <c r="BP306" s="75">
        <f t="shared" si="36"/>
        <v>0</v>
      </c>
    </row>
    <row r="307" spans="1:68" ht="27" hidden="1" customHeight="1" x14ac:dyDescent="0.25">
      <c r="A307" s="60" t="s">
        <v>502</v>
      </c>
      <c r="B307" s="60" t="s">
        <v>503</v>
      </c>
      <c r="C307" s="34">
        <v>4301031154</v>
      </c>
      <c r="D307" s="555">
        <v>4607091387292</v>
      </c>
      <c r="E307" s="555"/>
      <c r="F307" s="59">
        <v>0.73</v>
      </c>
      <c r="G307" s="35">
        <v>6</v>
      </c>
      <c r="H307" s="59">
        <v>4.38</v>
      </c>
      <c r="I307" s="59">
        <v>4.63</v>
      </c>
      <c r="J307" s="35">
        <v>132</v>
      </c>
      <c r="K307" s="35" t="s">
        <v>122</v>
      </c>
      <c r="L307" s="35" t="s">
        <v>45</v>
      </c>
      <c r="M307" s="36" t="s">
        <v>80</v>
      </c>
      <c r="N307" s="36"/>
      <c r="O307" s="35">
        <v>45</v>
      </c>
      <c r="P307" s="651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7" s="557"/>
      <c r="R307" s="557"/>
      <c r="S307" s="557"/>
      <c r="T307" s="558"/>
      <c r="U307" s="37" t="s">
        <v>45</v>
      </c>
      <c r="V307" s="37" t="s">
        <v>45</v>
      </c>
      <c r="W307" s="38" t="s">
        <v>0</v>
      </c>
      <c r="X307" s="56">
        <v>0</v>
      </c>
      <c r="Y307" s="53">
        <f t="shared" si="32"/>
        <v>0</v>
      </c>
      <c r="Z307" s="39" t="str">
        <f>IFERROR(IF(Y307=0,"",ROUNDUP(Y307/H307,0)*0.00902),"")</f>
        <v/>
      </c>
      <c r="AA307" s="65" t="s">
        <v>45</v>
      </c>
      <c r="AB307" s="66" t="s">
        <v>45</v>
      </c>
      <c r="AC307" s="373" t="s">
        <v>504</v>
      </c>
      <c r="AG307" s="75"/>
      <c r="AJ307" s="79" t="s">
        <v>45</v>
      </c>
      <c r="AK307" s="79">
        <v>0</v>
      </c>
      <c r="BB307" s="374" t="s">
        <v>66</v>
      </c>
      <c r="BM307" s="75">
        <f t="shared" si="33"/>
        <v>0</v>
      </c>
      <c r="BN307" s="75">
        <f t="shared" si="34"/>
        <v>0</v>
      </c>
      <c r="BO307" s="75">
        <f t="shared" si="35"/>
        <v>0</v>
      </c>
      <c r="BP307" s="75">
        <f t="shared" si="36"/>
        <v>0</v>
      </c>
    </row>
    <row r="308" spans="1:68" ht="27" hidden="1" customHeight="1" x14ac:dyDescent="0.25">
      <c r="A308" s="60" t="s">
        <v>505</v>
      </c>
      <c r="B308" s="60" t="s">
        <v>506</v>
      </c>
      <c r="C308" s="34">
        <v>4301031152</v>
      </c>
      <c r="D308" s="555">
        <v>4607091387285</v>
      </c>
      <c r="E308" s="555"/>
      <c r="F308" s="59">
        <v>0.35</v>
      </c>
      <c r="G308" s="35">
        <v>6</v>
      </c>
      <c r="H308" s="59">
        <v>2.1</v>
      </c>
      <c r="I308" s="59">
        <v>2.23</v>
      </c>
      <c r="J308" s="35">
        <v>234</v>
      </c>
      <c r="K308" s="35" t="s">
        <v>85</v>
      </c>
      <c r="L308" s="35" t="s">
        <v>45</v>
      </c>
      <c r="M308" s="36" t="s">
        <v>80</v>
      </c>
      <c r="N308" s="36"/>
      <c r="O308" s="35">
        <v>40</v>
      </c>
      <c r="P308" s="652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8" s="557"/>
      <c r="R308" s="557"/>
      <c r="S308" s="557"/>
      <c r="T308" s="558"/>
      <c r="U308" s="37" t="s">
        <v>45</v>
      </c>
      <c r="V308" s="37" t="s">
        <v>45</v>
      </c>
      <c r="W308" s="38" t="s">
        <v>0</v>
      </c>
      <c r="X308" s="56">
        <v>0</v>
      </c>
      <c r="Y308" s="53">
        <f t="shared" si="32"/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75" t="s">
        <v>501</v>
      </c>
      <c r="AG308" s="75"/>
      <c r="AJ308" s="79" t="s">
        <v>45</v>
      </c>
      <c r="AK308" s="79">
        <v>0</v>
      </c>
      <c r="BB308" s="376" t="s">
        <v>66</v>
      </c>
      <c r="BM308" s="75">
        <f t="shared" si="33"/>
        <v>0</v>
      </c>
      <c r="BN308" s="75">
        <f t="shared" si="34"/>
        <v>0</v>
      </c>
      <c r="BO308" s="75">
        <f t="shared" si="35"/>
        <v>0</v>
      </c>
      <c r="BP308" s="75">
        <f t="shared" si="36"/>
        <v>0</v>
      </c>
    </row>
    <row r="309" spans="1:68" ht="27" hidden="1" customHeight="1" x14ac:dyDescent="0.25">
      <c r="A309" s="60" t="s">
        <v>507</v>
      </c>
      <c r="B309" s="60" t="s">
        <v>508</v>
      </c>
      <c r="C309" s="34">
        <v>4301031305</v>
      </c>
      <c r="D309" s="555">
        <v>4607091389845</v>
      </c>
      <c r="E309" s="555"/>
      <c r="F309" s="59">
        <v>0.35</v>
      </c>
      <c r="G309" s="35">
        <v>6</v>
      </c>
      <c r="H309" s="59">
        <v>2.1</v>
      </c>
      <c r="I309" s="59">
        <v>2.2000000000000002</v>
      </c>
      <c r="J309" s="35">
        <v>234</v>
      </c>
      <c r="K309" s="35" t="s">
        <v>85</v>
      </c>
      <c r="L309" s="35" t="s">
        <v>45</v>
      </c>
      <c r="M309" s="36" t="s">
        <v>80</v>
      </c>
      <c r="N309" s="36"/>
      <c r="O309" s="35">
        <v>40</v>
      </c>
      <c r="P309" s="65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9" s="557"/>
      <c r="R309" s="557"/>
      <c r="S309" s="557"/>
      <c r="T309" s="558"/>
      <c r="U309" s="37" t="s">
        <v>45</v>
      </c>
      <c r="V309" s="37" t="s">
        <v>45</v>
      </c>
      <c r="W309" s="38" t="s">
        <v>0</v>
      </c>
      <c r="X309" s="56">
        <v>0</v>
      </c>
      <c r="Y309" s="53">
        <f t="shared" si="32"/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77" t="s">
        <v>509</v>
      </c>
      <c r="AG309" s="75"/>
      <c r="AJ309" s="79" t="s">
        <v>45</v>
      </c>
      <c r="AK309" s="79">
        <v>0</v>
      </c>
      <c r="BB309" s="378" t="s">
        <v>66</v>
      </c>
      <c r="BM309" s="75">
        <f t="shared" si="33"/>
        <v>0</v>
      </c>
      <c r="BN309" s="75">
        <f t="shared" si="34"/>
        <v>0</v>
      </c>
      <c r="BO309" s="75">
        <f t="shared" si="35"/>
        <v>0</v>
      </c>
      <c r="BP309" s="75">
        <f t="shared" si="36"/>
        <v>0</v>
      </c>
    </row>
    <row r="310" spans="1:68" ht="27" hidden="1" customHeight="1" x14ac:dyDescent="0.25">
      <c r="A310" s="60" t="s">
        <v>510</v>
      </c>
      <c r="B310" s="60" t="s">
        <v>511</v>
      </c>
      <c r="C310" s="34">
        <v>4301031460</v>
      </c>
      <c r="D310" s="555">
        <v>4680115887442</v>
      </c>
      <c r="E310" s="555"/>
      <c r="F310" s="59">
        <v>0.73</v>
      </c>
      <c r="G310" s="35">
        <v>6</v>
      </c>
      <c r="H310" s="59">
        <v>4.38</v>
      </c>
      <c r="I310" s="59">
        <v>4.63</v>
      </c>
      <c r="J310" s="35">
        <v>132</v>
      </c>
      <c r="K310" s="35" t="s">
        <v>122</v>
      </c>
      <c r="L310" s="35" t="s">
        <v>45</v>
      </c>
      <c r="M310" s="36" t="s">
        <v>80</v>
      </c>
      <c r="N310" s="36"/>
      <c r="O310" s="35">
        <v>45</v>
      </c>
      <c r="P310" s="654" t="s">
        <v>512</v>
      </c>
      <c r="Q310" s="557"/>
      <c r="R310" s="557"/>
      <c r="S310" s="557"/>
      <c r="T310" s="558"/>
      <c r="U310" s="37" t="s">
        <v>45</v>
      </c>
      <c r="V310" s="37" t="s">
        <v>45</v>
      </c>
      <c r="W310" s="38" t="s">
        <v>0</v>
      </c>
      <c r="X310" s="56">
        <v>0</v>
      </c>
      <c r="Y310" s="53">
        <f t="shared" si="32"/>
        <v>0</v>
      </c>
      <c r="Z310" s="39" t="str">
        <f>IFERROR(IF(Y310=0,"",ROUNDUP(Y310/H310,0)*0.00902),"")</f>
        <v/>
      </c>
      <c r="AA310" s="65" t="s">
        <v>45</v>
      </c>
      <c r="AB310" s="66" t="s">
        <v>45</v>
      </c>
      <c r="AC310" s="379" t="s">
        <v>504</v>
      </c>
      <c r="AG310" s="75"/>
      <c r="AJ310" s="79" t="s">
        <v>45</v>
      </c>
      <c r="AK310" s="79">
        <v>0</v>
      </c>
      <c r="BB310" s="380" t="s">
        <v>66</v>
      </c>
      <c r="BM310" s="75">
        <f t="shared" si="33"/>
        <v>0</v>
      </c>
      <c r="BN310" s="75">
        <f t="shared" si="34"/>
        <v>0</v>
      </c>
      <c r="BO310" s="75">
        <f t="shared" si="35"/>
        <v>0</v>
      </c>
      <c r="BP310" s="75">
        <f t="shared" si="36"/>
        <v>0</v>
      </c>
    </row>
    <row r="311" spans="1:68" ht="27" hidden="1" customHeight="1" x14ac:dyDescent="0.25">
      <c r="A311" s="60" t="s">
        <v>513</v>
      </c>
      <c r="B311" s="60" t="s">
        <v>514</v>
      </c>
      <c r="C311" s="34">
        <v>4301031066</v>
      </c>
      <c r="D311" s="555">
        <v>4607091383836</v>
      </c>
      <c r="E311" s="555"/>
      <c r="F311" s="59">
        <v>0.3</v>
      </c>
      <c r="G311" s="35">
        <v>6</v>
      </c>
      <c r="H311" s="59">
        <v>1.8</v>
      </c>
      <c r="I311" s="59">
        <v>2.028</v>
      </c>
      <c r="J311" s="35">
        <v>182</v>
      </c>
      <c r="K311" s="35" t="s">
        <v>81</v>
      </c>
      <c r="L311" s="35" t="s">
        <v>45</v>
      </c>
      <c r="M311" s="36" t="s">
        <v>80</v>
      </c>
      <c r="N311" s="36"/>
      <c r="O311" s="35">
        <v>40</v>
      </c>
      <c r="P311" s="65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7"/>
      <c r="R311" s="557"/>
      <c r="S311" s="557"/>
      <c r="T311" s="558"/>
      <c r="U311" s="37" t="s">
        <v>45</v>
      </c>
      <c r="V311" s="37" t="s">
        <v>45</v>
      </c>
      <c r="W311" s="38" t="s">
        <v>0</v>
      </c>
      <c r="X311" s="56">
        <v>0</v>
      </c>
      <c r="Y311" s="53">
        <f t="shared" si="32"/>
        <v>0</v>
      </c>
      <c r="Z311" s="39" t="str">
        <f>IFERROR(IF(Y311=0,"",ROUNDUP(Y311/H311,0)*0.00651),"")</f>
        <v/>
      </c>
      <c r="AA311" s="65" t="s">
        <v>45</v>
      </c>
      <c r="AB311" s="66" t="s">
        <v>45</v>
      </c>
      <c r="AC311" s="381" t="s">
        <v>515</v>
      </c>
      <c r="AG311" s="75"/>
      <c r="AJ311" s="79" t="s">
        <v>45</v>
      </c>
      <c r="AK311" s="79">
        <v>0</v>
      </c>
      <c r="BB311" s="382" t="s">
        <v>66</v>
      </c>
      <c r="BM311" s="75">
        <f t="shared" si="33"/>
        <v>0</v>
      </c>
      <c r="BN311" s="75">
        <f t="shared" si="34"/>
        <v>0</v>
      </c>
      <c r="BO311" s="75">
        <f t="shared" si="35"/>
        <v>0</v>
      </c>
      <c r="BP311" s="75">
        <f t="shared" si="36"/>
        <v>0</v>
      </c>
    </row>
    <row r="312" spans="1:68" hidden="1" x14ac:dyDescent="0.2">
      <c r="A312" s="562"/>
      <c r="B312" s="562"/>
      <c r="C312" s="562"/>
      <c r="D312" s="562"/>
      <c r="E312" s="562"/>
      <c r="F312" s="562"/>
      <c r="G312" s="562"/>
      <c r="H312" s="562"/>
      <c r="I312" s="562"/>
      <c r="J312" s="562"/>
      <c r="K312" s="562"/>
      <c r="L312" s="562"/>
      <c r="M312" s="562"/>
      <c r="N312" s="562"/>
      <c r="O312" s="563"/>
      <c r="P312" s="559" t="s">
        <v>40</v>
      </c>
      <c r="Q312" s="560"/>
      <c r="R312" s="560"/>
      <c r="S312" s="560"/>
      <c r="T312" s="560"/>
      <c r="U312" s="560"/>
      <c r="V312" s="561"/>
      <c r="W312" s="40" t="s">
        <v>39</v>
      </c>
      <c r="X312" s="41">
        <f>IFERROR(X305/H305,"0")+IFERROR(X306/H306,"0")+IFERROR(X307/H307,"0")+IFERROR(X308/H308,"0")+IFERROR(X309/H309,"0")+IFERROR(X310/H310,"0")+IFERROR(X311/H311,"0")</f>
        <v>0</v>
      </c>
      <c r="Y312" s="41">
        <f>IFERROR(Y305/H305,"0")+IFERROR(Y306/H306,"0")+IFERROR(Y307/H307,"0")+IFERROR(Y308/H308,"0")+IFERROR(Y309/H309,"0")+IFERROR(Y310/H310,"0")+IFERROR(Y311/H311,"0")</f>
        <v>0</v>
      </c>
      <c r="Z312" s="41">
        <f>IFERROR(IF(Z305="",0,Z305),"0")+IFERROR(IF(Z306="",0,Z306),"0")+IFERROR(IF(Z307="",0,Z307),"0")+IFERROR(IF(Z308="",0,Z308),"0")+IFERROR(IF(Z309="",0,Z309),"0")+IFERROR(IF(Z310="",0,Z310),"0")+IFERROR(IF(Z311="",0,Z311),"0")</f>
        <v>0</v>
      </c>
      <c r="AA312" s="64"/>
      <c r="AB312" s="64"/>
      <c r="AC312" s="64"/>
    </row>
    <row r="313" spans="1:68" hidden="1" x14ac:dyDescent="0.2">
      <c r="A313" s="562"/>
      <c r="B313" s="562"/>
      <c r="C313" s="562"/>
      <c r="D313" s="562"/>
      <c r="E313" s="562"/>
      <c r="F313" s="562"/>
      <c r="G313" s="562"/>
      <c r="H313" s="562"/>
      <c r="I313" s="562"/>
      <c r="J313" s="562"/>
      <c r="K313" s="562"/>
      <c r="L313" s="562"/>
      <c r="M313" s="562"/>
      <c r="N313" s="562"/>
      <c r="O313" s="563"/>
      <c r="P313" s="559" t="s">
        <v>40</v>
      </c>
      <c r="Q313" s="560"/>
      <c r="R313" s="560"/>
      <c r="S313" s="560"/>
      <c r="T313" s="560"/>
      <c r="U313" s="560"/>
      <c r="V313" s="561"/>
      <c r="W313" s="40" t="s">
        <v>0</v>
      </c>
      <c r="X313" s="41">
        <f>IFERROR(SUM(X305:X311),"0")</f>
        <v>0</v>
      </c>
      <c r="Y313" s="41">
        <f>IFERROR(SUM(Y305:Y311),"0")</f>
        <v>0</v>
      </c>
      <c r="Z313" s="40"/>
      <c r="AA313" s="64"/>
      <c r="AB313" s="64"/>
      <c r="AC313" s="64"/>
    </row>
    <row r="314" spans="1:68" ht="14.25" hidden="1" customHeight="1" x14ac:dyDescent="0.25">
      <c r="A314" s="554" t="s">
        <v>86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63"/>
      <c r="AB314" s="63"/>
      <c r="AC314" s="63"/>
    </row>
    <row r="315" spans="1:68" ht="27" hidden="1" customHeight="1" x14ac:dyDescent="0.25">
      <c r="A315" s="60" t="s">
        <v>516</v>
      </c>
      <c r="B315" s="60" t="s">
        <v>517</v>
      </c>
      <c r="C315" s="34">
        <v>4301051100</v>
      </c>
      <c r="D315" s="555">
        <v>4607091387766</v>
      </c>
      <c r="E315" s="555"/>
      <c r="F315" s="59">
        <v>1.3</v>
      </c>
      <c r="G315" s="35">
        <v>6</v>
      </c>
      <c r="H315" s="59">
        <v>7.8</v>
      </c>
      <c r="I315" s="59">
        <v>8.2880000000000003</v>
      </c>
      <c r="J315" s="35">
        <v>64</v>
      </c>
      <c r="K315" s="35" t="s">
        <v>119</v>
      </c>
      <c r="L315" s="35" t="s">
        <v>45</v>
      </c>
      <c r="M315" s="36" t="s">
        <v>90</v>
      </c>
      <c r="N315" s="36"/>
      <c r="O315" s="35">
        <v>40</v>
      </c>
      <c r="P315" s="64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7"/>
      <c r="R315" s="557"/>
      <c r="S315" s="557"/>
      <c r="T315" s="558"/>
      <c r="U315" s="37" t="s">
        <v>45</v>
      </c>
      <c r="V315" s="37" t="s">
        <v>45</v>
      </c>
      <c r="W315" s="38" t="s">
        <v>0</v>
      </c>
      <c r="X315" s="56">
        <v>0</v>
      </c>
      <c r="Y315" s="53">
        <f>IFERROR(IF(X315="",0,CEILING((X315/$H315),1)*$H315),"")</f>
        <v>0</v>
      </c>
      <c r="Z315" s="39" t="str">
        <f>IFERROR(IF(Y315=0,"",ROUNDUP(Y315/H315,0)*0.01898),"")</f>
        <v/>
      </c>
      <c r="AA315" s="65" t="s">
        <v>45</v>
      </c>
      <c r="AB315" s="66" t="s">
        <v>45</v>
      </c>
      <c r="AC315" s="383" t="s">
        <v>518</v>
      </c>
      <c r="AG315" s="75"/>
      <c r="AJ315" s="79" t="s">
        <v>45</v>
      </c>
      <c r="AK315" s="79">
        <v>0</v>
      </c>
      <c r="BB315" s="384" t="s">
        <v>66</v>
      </c>
      <c r="BM315" s="75">
        <f>IFERROR(X315*I315/H315,"0")</f>
        <v>0</v>
      </c>
      <c r="BN315" s="75">
        <f>IFERROR(Y315*I315/H315,"0")</f>
        <v>0</v>
      </c>
      <c r="BO315" s="75">
        <f>IFERROR(1/J315*(X315/H315),"0")</f>
        <v>0</v>
      </c>
      <c r="BP315" s="75">
        <f>IFERROR(1/J315*(Y315/H315),"0")</f>
        <v>0</v>
      </c>
    </row>
    <row r="316" spans="1:68" ht="27" hidden="1" customHeight="1" x14ac:dyDescent="0.25">
      <c r="A316" s="60" t="s">
        <v>519</v>
      </c>
      <c r="B316" s="60" t="s">
        <v>520</v>
      </c>
      <c r="C316" s="34">
        <v>4301051818</v>
      </c>
      <c r="D316" s="555">
        <v>4607091387957</v>
      </c>
      <c r="E316" s="555"/>
      <c r="F316" s="59">
        <v>1.3</v>
      </c>
      <c r="G316" s="35">
        <v>6</v>
      </c>
      <c r="H316" s="59">
        <v>7.8</v>
      </c>
      <c r="I316" s="59">
        <v>8.2940000000000005</v>
      </c>
      <c r="J316" s="35">
        <v>64</v>
      </c>
      <c r="K316" s="35" t="s">
        <v>119</v>
      </c>
      <c r="L316" s="35" t="s">
        <v>45</v>
      </c>
      <c r="M316" s="36" t="s">
        <v>90</v>
      </c>
      <c r="N316" s="36"/>
      <c r="O316" s="35">
        <v>40</v>
      </c>
      <c r="P316" s="64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7"/>
      <c r="R316" s="557"/>
      <c r="S316" s="557"/>
      <c r="T316" s="558"/>
      <c r="U316" s="37" t="s">
        <v>45</v>
      </c>
      <c r="V316" s="37" t="s">
        <v>45</v>
      </c>
      <c r="W316" s="38" t="s">
        <v>0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 t="s">
        <v>45</v>
      </c>
      <c r="AB316" s="66" t="s">
        <v>45</v>
      </c>
      <c r="AC316" s="385" t="s">
        <v>521</v>
      </c>
      <c r="AG316" s="75"/>
      <c r="AJ316" s="79" t="s">
        <v>45</v>
      </c>
      <c r="AK316" s="79">
        <v>0</v>
      </c>
      <c r="BB316" s="386" t="s">
        <v>66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27" hidden="1" customHeight="1" x14ac:dyDescent="0.25">
      <c r="A317" s="60" t="s">
        <v>522</v>
      </c>
      <c r="B317" s="60" t="s">
        <v>523</v>
      </c>
      <c r="C317" s="34">
        <v>4301051819</v>
      </c>
      <c r="D317" s="555">
        <v>4607091387964</v>
      </c>
      <c r="E317" s="555"/>
      <c r="F317" s="59">
        <v>1.35</v>
      </c>
      <c r="G317" s="35">
        <v>6</v>
      </c>
      <c r="H317" s="59">
        <v>8.1</v>
      </c>
      <c r="I317" s="59">
        <v>8.5760000000000005</v>
      </c>
      <c r="J317" s="35">
        <v>64</v>
      </c>
      <c r="K317" s="35" t="s">
        <v>119</v>
      </c>
      <c r="L317" s="35" t="s">
        <v>45</v>
      </c>
      <c r="M317" s="36" t="s">
        <v>90</v>
      </c>
      <c r="N317" s="36"/>
      <c r="O317" s="35">
        <v>40</v>
      </c>
      <c r="P317" s="65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7"/>
      <c r="R317" s="557"/>
      <c r="S317" s="557"/>
      <c r="T317" s="558"/>
      <c r="U317" s="37" t="s">
        <v>45</v>
      </c>
      <c r="V317" s="37" t="s">
        <v>45</v>
      </c>
      <c r="W317" s="38" t="s">
        <v>0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 t="s">
        <v>45</v>
      </c>
      <c r="AB317" s="66" t="s">
        <v>45</v>
      </c>
      <c r="AC317" s="387" t="s">
        <v>524</v>
      </c>
      <c r="AG317" s="75"/>
      <c r="AJ317" s="79" t="s">
        <v>45</v>
      </c>
      <c r="AK317" s="79">
        <v>0</v>
      </c>
      <c r="BB317" s="388" t="s">
        <v>66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hidden="1" customHeight="1" x14ac:dyDescent="0.25">
      <c r="A318" s="60" t="s">
        <v>525</v>
      </c>
      <c r="B318" s="60" t="s">
        <v>526</v>
      </c>
      <c r="C318" s="34">
        <v>4301051734</v>
      </c>
      <c r="D318" s="555">
        <v>4680115884588</v>
      </c>
      <c r="E318" s="555"/>
      <c r="F318" s="59">
        <v>0.5</v>
      </c>
      <c r="G318" s="35">
        <v>6</v>
      </c>
      <c r="H318" s="59">
        <v>3</v>
      </c>
      <c r="I318" s="59">
        <v>3.246</v>
      </c>
      <c r="J318" s="35">
        <v>182</v>
      </c>
      <c r="K318" s="35" t="s">
        <v>81</v>
      </c>
      <c r="L318" s="35" t="s">
        <v>45</v>
      </c>
      <c r="M318" s="36" t="s">
        <v>90</v>
      </c>
      <c r="N318" s="36"/>
      <c r="O318" s="35">
        <v>40</v>
      </c>
      <c r="P318" s="645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7"/>
      <c r="R318" s="557"/>
      <c r="S318" s="557"/>
      <c r="T318" s="558"/>
      <c r="U318" s="37" t="s">
        <v>45</v>
      </c>
      <c r="V318" s="37" t="s">
        <v>45</v>
      </c>
      <c r="W318" s="38" t="s">
        <v>0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IFERROR(IF(Y318=0,"",ROUNDUP(Y318/H318,0)*0.00651),"")</f>
        <v/>
      </c>
      <c r="AA318" s="65" t="s">
        <v>45</v>
      </c>
      <c r="AB318" s="66" t="s">
        <v>45</v>
      </c>
      <c r="AC318" s="389" t="s">
        <v>527</v>
      </c>
      <c r="AG318" s="75"/>
      <c r="AJ318" s="79" t="s">
        <v>45</v>
      </c>
      <c r="AK318" s="79">
        <v>0</v>
      </c>
      <c r="BB318" s="390" t="s">
        <v>66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idden="1" x14ac:dyDescent="0.2">
      <c r="A319" s="562"/>
      <c r="B319" s="562"/>
      <c r="C319" s="562"/>
      <c r="D319" s="562"/>
      <c r="E319" s="562"/>
      <c r="F319" s="562"/>
      <c r="G319" s="562"/>
      <c r="H319" s="562"/>
      <c r="I319" s="562"/>
      <c r="J319" s="562"/>
      <c r="K319" s="562"/>
      <c r="L319" s="562"/>
      <c r="M319" s="562"/>
      <c r="N319" s="562"/>
      <c r="O319" s="563"/>
      <c r="P319" s="559" t="s">
        <v>40</v>
      </c>
      <c r="Q319" s="560"/>
      <c r="R319" s="560"/>
      <c r="S319" s="560"/>
      <c r="T319" s="560"/>
      <c r="U319" s="560"/>
      <c r="V319" s="561"/>
      <c r="W319" s="40" t="s">
        <v>39</v>
      </c>
      <c r="X319" s="41">
        <f>IFERROR(X315/H315,"0")+IFERROR(X316/H316,"0")+IFERROR(X317/H317,"0")+IFERROR(X318/H318,"0")</f>
        <v>0</v>
      </c>
      <c r="Y319" s="41">
        <f>IFERROR(Y315/H315,"0")+IFERROR(Y316/H316,"0")+IFERROR(Y317/H317,"0")+IFERROR(Y318/H318,"0")</f>
        <v>0</v>
      </c>
      <c r="Z319" s="41">
        <f>IFERROR(IF(Z315="",0,Z315),"0")+IFERROR(IF(Z316="",0,Z316),"0")+IFERROR(IF(Z317="",0,Z317),"0")+IFERROR(IF(Z318="",0,Z318),"0")</f>
        <v>0</v>
      </c>
      <c r="AA319" s="64"/>
      <c r="AB319" s="64"/>
      <c r="AC319" s="64"/>
    </row>
    <row r="320" spans="1:68" hidden="1" x14ac:dyDescent="0.2">
      <c r="A320" s="562"/>
      <c r="B320" s="562"/>
      <c r="C320" s="562"/>
      <c r="D320" s="562"/>
      <c r="E320" s="562"/>
      <c r="F320" s="562"/>
      <c r="G320" s="562"/>
      <c r="H320" s="562"/>
      <c r="I320" s="562"/>
      <c r="J320" s="562"/>
      <c r="K320" s="562"/>
      <c r="L320" s="562"/>
      <c r="M320" s="562"/>
      <c r="N320" s="562"/>
      <c r="O320" s="563"/>
      <c r="P320" s="559" t="s">
        <v>40</v>
      </c>
      <c r="Q320" s="560"/>
      <c r="R320" s="560"/>
      <c r="S320" s="560"/>
      <c r="T320" s="560"/>
      <c r="U320" s="560"/>
      <c r="V320" s="561"/>
      <c r="W320" s="40" t="s">
        <v>0</v>
      </c>
      <c r="X320" s="41">
        <f>IFERROR(SUM(X315:X318),"0")</f>
        <v>0</v>
      </c>
      <c r="Y320" s="41">
        <f>IFERROR(SUM(Y315:Y318),"0")</f>
        <v>0</v>
      </c>
      <c r="Z320" s="40"/>
      <c r="AA320" s="64"/>
      <c r="AB320" s="64"/>
      <c r="AC320" s="64"/>
    </row>
    <row r="321" spans="1:68" ht="14.25" hidden="1" customHeight="1" x14ac:dyDescent="0.25">
      <c r="A321" s="554" t="s">
        <v>173</v>
      </c>
      <c r="B321" s="554"/>
      <c r="C321" s="554"/>
      <c r="D321" s="554"/>
      <c r="E321" s="554"/>
      <c r="F321" s="554"/>
      <c r="G321" s="554"/>
      <c r="H321" s="554"/>
      <c r="I321" s="554"/>
      <c r="J321" s="554"/>
      <c r="K321" s="554"/>
      <c r="L321" s="554"/>
      <c r="M321" s="554"/>
      <c r="N321" s="554"/>
      <c r="O321" s="554"/>
      <c r="P321" s="554"/>
      <c r="Q321" s="554"/>
      <c r="R321" s="554"/>
      <c r="S321" s="554"/>
      <c r="T321" s="554"/>
      <c r="U321" s="554"/>
      <c r="V321" s="554"/>
      <c r="W321" s="554"/>
      <c r="X321" s="554"/>
      <c r="Y321" s="554"/>
      <c r="Z321" s="554"/>
      <c r="AA321" s="63"/>
      <c r="AB321" s="63"/>
      <c r="AC321" s="63"/>
    </row>
    <row r="322" spans="1:68" ht="27" customHeight="1" x14ac:dyDescent="0.25">
      <c r="A322" s="60" t="s">
        <v>528</v>
      </c>
      <c r="B322" s="60" t="s">
        <v>529</v>
      </c>
      <c r="C322" s="34">
        <v>4301060387</v>
      </c>
      <c r="D322" s="555">
        <v>4607091380880</v>
      </c>
      <c r="E322" s="555"/>
      <c r="F322" s="59">
        <v>1.4</v>
      </c>
      <c r="G322" s="35">
        <v>6</v>
      </c>
      <c r="H322" s="59">
        <v>8.4</v>
      </c>
      <c r="I322" s="59">
        <v>8.8940000000000001</v>
      </c>
      <c r="J322" s="35">
        <v>64</v>
      </c>
      <c r="K322" s="35" t="s">
        <v>119</v>
      </c>
      <c r="L322" s="35" t="s">
        <v>45</v>
      </c>
      <c r="M322" s="36" t="s">
        <v>90</v>
      </c>
      <c r="N322" s="36"/>
      <c r="O322" s="35">
        <v>30</v>
      </c>
      <c r="P322" s="64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7"/>
      <c r="R322" s="557"/>
      <c r="S322" s="557"/>
      <c r="T322" s="558"/>
      <c r="U322" s="37" t="s">
        <v>45</v>
      </c>
      <c r="V322" s="37" t="s">
        <v>45</v>
      </c>
      <c r="W322" s="38" t="s">
        <v>0</v>
      </c>
      <c r="X322" s="56">
        <v>201.6</v>
      </c>
      <c r="Y322" s="53">
        <f>IFERROR(IF(X322="",0,CEILING((X322/$H322),1)*$H322),"")</f>
        <v>201.60000000000002</v>
      </c>
      <c r="Z322" s="39">
        <f>IFERROR(IF(Y322=0,"",ROUNDUP(Y322/H322,0)*0.01898),"")</f>
        <v>0.45552000000000004</v>
      </c>
      <c r="AA322" s="65" t="s">
        <v>45</v>
      </c>
      <c r="AB322" s="66" t="s">
        <v>45</v>
      </c>
      <c r="AC322" s="391" t="s">
        <v>530</v>
      </c>
      <c r="AG322" s="75"/>
      <c r="AJ322" s="79" t="s">
        <v>45</v>
      </c>
      <c r="AK322" s="79">
        <v>0</v>
      </c>
      <c r="BB322" s="392" t="s">
        <v>66</v>
      </c>
      <c r="BM322" s="75">
        <f>IFERROR(X322*I322/H322,"0")</f>
        <v>213.45599999999999</v>
      </c>
      <c r="BN322" s="75">
        <f>IFERROR(Y322*I322/H322,"0")</f>
        <v>213.45600000000002</v>
      </c>
      <c r="BO322" s="75">
        <f>IFERROR(1/J322*(X322/H322),"0")</f>
        <v>0.375</v>
      </c>
      <c r="BP322" s="75">
        <f>IFERROR(1/J322*(Y322/H322),"0")</f>
        <v>0.375</v>
      </c>
    </row>
    <row r="323" spans="1:68" ht="27" customHeight="1" x14ac:dyDescent="0.25">
      <c r="A323" s="60" t="s">
        <v>531</v>
      </c>
      <c r="B323" s="60" t="s">
        <v>532</v>
      </c>
      <c r="C323" s="34">
        <v>4301060406</v>
      </c>
      <c r="D323" s="555">
        <v>4607091384482</v>
      </c>
      <c r="E323" s="555"/>
      <c r="F323" s="59">
        <v>1.3</v>
      </c>
      <c r="G323" s="35">
        <v>6</v>
      </c>
      <c r="H323" s="59">
        <v>7.8</v>
      </c>
      <c r="I323" s="59">
        <v>8.2940000000000005</v>
      </c>
      <c r="J323" s="35">
        <v>64</v>
      </c>
      <c r="K323" s="35" t="s">
        <v>119</v>
      </c>
      <c r="L323" s="35" t="s">
        <v>45</v>
      </c>
      <c r="M323" s="36" t="s">
        <v>90</v>
      </c>
      <c r="N323" s="36"/>
      <c r="O323" s="35">
        <v>30</v>
      </c>
      <c r="P323" s="647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7"/>
      <c r="R323" s="557"/>
      <c r="S323" s="557"/>
      <c r="T323" s="558"/>
      <c r="U323" s="37" t="s">
        <v>45</v>
      </c>
      <c r="V323" s="37" t="s">
        <v>45</v>
      </c>
      <c r="W323" s="38" t="s">
        <v>0</v>
      </c>
      <c r="X323" s="56">
        <v>499.2</v>
      </c>
      <c r="Y323" s="53">
        <f>IFERROR(IF(X323="",0,CEILING((X323/$H323),1)*$H323),"")</f>
        <v>499.2</v>
      </c>
      <c r="Z323" s="39">
        <f>IFERROR(IF(Y323=0,"",ROUNDUP(Y323/H323,0)*0.01898),"")</f>
        <v>1.21472</v>
      </c>
      <c r="AA323" s="65" t="s">
        <v>45</v>
      </c>
      <c r="AB323" s="66" t="s">
        <v>45</v>
      </c>
      <c r="AC323" s="393" t="s">
        <v>533</v>
      </c>
      <c r="AG323" s="75"/>
      <c r="AJ323" s="79" t="s">
        <v>45</v>
      </c>
      <c r="AK323" s="79">
        <v>0</v>
      </c>
      <c r="BB323" s="394" t="s">
        <v>66</v>
      </c>
      <c r="BM323" s="75">
        <f>IFERROR(X323*I323/H323,"0")</f>
        <v>530.81600000000003</v>
      </c>
      <c r="BN323" s="75">
        <f>IFERROR(Y323*I323/H323,"0")</f>
        <v>530.81600000000003</v>
      </c>
      <c r="BO323" s="75">
        <f>IFERROR(1/J323*(X323/H323),"0")</f>
        <v>1</v>
      </c>
      <c r="BP323" s="75">
        <f>IFERROR(1/J323*(Y323/H323),"0")</f>
        <v>1</v>
      </c>
    </row>
    <row r="324" spans="1:68" ht="16.5" customHeight="1" x14ac:dyDescent="0.25">
      <c r="A324" s="60" t="s">
        <v>534</v>
      </c>
      <c r="B324" s="60" t="s">
        <v>535</v>
      </c>
      <c r="C324" s="34">
        <v>4301060484</v>
      </c>
      <c r="D324" s="555">
        <v>4607091380897</v>
      </c>
      <c r="E324" s="555"/>
      <c r="F324" s="59">
        <v>1.4</v>
      </c>
      <c r="G324" s="35">
        <v>6</v>
      </c>
      <c r="H324" s="59">
        <v>8.4</v>
      </c>
      <c r="I324" s="59">
        <v>8.8940000000000001</v>
      </c>
      <c r="J324" s="35">
        <v>64</v>
      </c>
      <c r="K324" s="35" t="s">
        <v>119</v>
      </c>
      <c r="L324" s="35" t="s">
        <v>45</v>
      </c>
      <c r="M324" s="36" t="s">
        <v>96</v>
      </c>
      <c r="N324" s="36"/>
      <c r="O324" s="35">
        <v>30</v>
      </c>
      <c r="P324" s="642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7"/>
      <c r="R324" s="557"/>
      <c r="S324" s="557"/>
      <c r="T324" s="558"/>
      <c r="U324" s="37" t="s">
        <v>45</v>
      </c>
      <c r="V324" s="37" t="s">
        <v>45</v>
      </c>
      <c r="W324" s="38" t="s">
        <v>0</v>
      </c>
      <c r="X324" s="56">
        <v>67.2</v>
      </c>
      <c r="Y324" s="53">
        <f>IFERROR(IF(X324="",0,CEILING((X324/$H324),1)*$H324),"")</f>
        <v>67.2</v>
      </c>
      <c r="Z324" s="39">
        <f>IFERROR(IF(Y324=0,"",ROUNDUP(Y324/H324,0)*0.01898),"")</f>
        <v>0.15184</v>
      </c>
      <c r="AA324" s="65" t="s">
        <v>45</v>
      </c>
      <c r="AB324" s="66" t="s">
        <v>45</v>
      </c>
      <c r="AC324" s="395" t="s">
        <v>536</v>
      </c>
      <c r="AG324" s="75"/>
      <c r="AJ324" s="79" t="s">
        <v>45</v>
      </c>
      <c r="AK324" s="79">
        <v>0</v>
      </c>
      <c r="BB324" s="396" t="s">
        <v>66</v>
      </c>
      <c r="BM324" s="75">
        <f>IFERROR(X324*I324/H324,"0")</f>
        <v>71.152000000000001</v>
      </c>
      <c r="BN324" s="75">
        <f>IFERROR(Y324*I324/H324,"0")</f>
        <v>71.152000000000001</v>
      </c>
      <c r="BO324" s="75">
        <f>IFERROR(1/J324*(X324/H324),"0")</f>
        <v>0.125</v>
      </c>
      <c r="BP324" s="75">
        <f>IFERROR(1/J324*(Y324/H324),"0")</f>
        <v>0.125</v>
      </c>
    </row>
    <row r="325" spans="1:68" x14ac:dyDescent="0.2">
      <c r="A325" s="562"/>
      <c r="B325" s="562"/>
      <c r="C325" s="562"/>
      <c r="D325" s="562"/>
      <c r="E325" s="562"/>
      <c r="F325" s="562"/>
      <c r="G325" s="562"/>
      <c r="H325" s="562"/>
      <c r="I325" s="562"/>
      <c r="J325" s="562"/>
      <c r="K325" s="562"/>
      <c r="L325" s="562"/>
      <c r="M325" s="562"/>
      <c r="N325" s="562"/>
      <c r="O325" s="563"/>
      <c r="P325" s="559" t="s">
        <v>40</v>
      </c>
      <c r="Q325" s="560"/>
      <c r="R325" s="560"/>
      <c r="S325" s="560"/>
      <c r="T325" s="560"/>
      <c r="U325" s="560"/>
      <c r="V325" s="561"/>
      <c r="W325" s="40" t="s">
        <v>39</v>
      </c>
      <c r="X325" s="41">
        <f>IFERROR(X322/H322,"0")+IFERROR(X323/H323,"0")+IFERROR(X324/H324,"0")</f>
        <v>96</v>
      </c>
      <c r="Y325" s="41">
        <f>IFERROR(Y322/H322,"0")+IFERROR(Y323/H323,"0")+IFERROR(Y324/H324,"0")</f>
        <v>96</v>
      </c>
      <c r="Z325" s="41">
        <f>IFERROR(IF(Z322="",0,Z322),"0")+IFERROR(IF(Z323="",0,Z323),"0")+IFERROR(IF(Z324="",0,Z324),"0")</f>
        <v>1.8220800000000001</v>
      </c>
      <c r="AA325" s="64"/>
      <c r="AB325" s="64"/>
      <c r="AC325" s="64"/>
    </row>
    <row r="326" spans="1:68" x14ac:dyDescent="0.2">
      <c r="A326" s="562"/>
      <c r="B326" s="562"/>
      <c r="C326" s="562"/>
      <c r="D326" s="562"/>
      <c r="E326" s="562"/>
      <c r="F326" s="562"/>
      <c r="G326" s="562"/>
      <c r="H326" s="562"/>
      <c r="I326" s="562"/>
      <c r="J326" s="562"/>
      <c r="K326" s="562"/>
      <c r="L326" s="562"/>
      <c r="M326" s="562"/>
      <c r="N326" s="562"/>
      <c r="O326" s="563"/>
      <c r="P326" s="559" t="s">
        <v>40</v>
      </c>
      <c r="Q326" s="560"/>
      <c r="R326" s="560"/>
      <c r="S326" s="560"/>
      <c r="T326" s="560"/>
      <c r="U326" s="560"/>
      <c r="V326" s="561"/>
      <c r="W326" s="40" t="s">
        <v>0</v>
      </c>
      <c r="X326" s="41">
        <f>IFERROR(SUM(X322:X324),"0")</f>
        <v>768</v>
      </c>
      <c r="Y326" s="41">
        <f>IFERROR(SUM(Y322:Y324),"0")</f>
        <v>768</v>
      </c>
      <c r="Z326" s="40"/>
      <c r="AA326" s="64"/>
      <c r="AB326" s="64"/>
      <c r="AC326" s="64"/>
    </row>
    <row r="327" spans="1:68" ht="14.25" hidden="1" customHeight="1" x14ac:dyDescent="0.25">
      <c r="A327" s="554" t="s">
        <v>106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63"/>
      <c r="AB327" s="63"/>
      <c r="AC327" s="63"/>
    </row>
    <row r="328" spans="1:68" ht="27" hidden="1" customHeight="1" x14ac:dyDescent="0.25">
      <c r="A328" s="60" t="s">
        <v>537</v>
      </c>
      <c r="B328" s="60" t="s">
        <v>538</v>
      </c>
      <c r="C328" s="34">
        <v>4301030235</v>
      </c>
      <c r="D328" s="555">
        <v>4607091388381</v>
      </c>
      <c r="E328" s="555"/>
      <c r="F328" s="59">
        <v>0.38</v>
      </c>
      <c r="G328" s="35">
        <v>8</v>
      </c>
      <c r="H328" s="59">
        <v>3.04</v>
      </c>
      <c r="I328" s="59">
        <v>3.31</v>
      </c>
      <c r="J328" s="35">
        <v>132</v>
      </c>
      <c r="K328" s="35" t="s">
        <v>122</v>
      </c>
      <c r="L328" s="35" t="s">
        <v>45</v>
      </c>
      <c r="M328" s="36" t="s">
        <v>111</v>
      </c>
      <c r="N328" s="36"/>
      <c r="O328" s="35">
        <v>180</v>
      </c>
      <c r="P328" s="64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7"/>
      <c r="R328" s="557"/>
      <c r="S328" s="557"/>
      <c r="T328" s="558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97" t="s">
        <v>539</v>
      </c>
      <c r="AG328" s="75"/>
      <c r="AJ328" s="79" t="s">
        <v>45</v>
      </c>
      <c r="AK328" s="79">
        <v>0</v>
      </c>
      <c r="BB328" s="398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hidden="1" customHeight="1" x14ac:dyDescent="0.25">
      <c r="A329" s="60" t="s">
        <v>540</v>
      </c>
      <c r="B329" s="60" t="s">
        <v>541</v>
      </c>
      <c r="C329" s="34">
        <v>4301030232</v>
      </c>
      <c r="D329" s="555">
        <v>4607091388374</v>
      </c>
      <c r="E329" s="555"/>
      <c r="F329" s="59">
        <v>0.38</v>
      </c>
      <c r="G329" s="35">
        <v>8</v>
      </c>
      <c r="H329" s="59">
        <v>3.04</v>
      </c>
      <c r="I329" s="59">
        <v>3.27</v>
      </c>
      <c r="J329" s="35">
        <v>132</v>
      </c>
      <c r="K329" s="35" t="s">
        <v>122</v>
      </c>
      <c r="L329" s="35" t="s">
        <v>45</v>
      </c>
      <c r="M329" s="36" t="s">
        <v>111</v>
      </c>
      <c r="N329" s="36"/>
      <c r="O329" s="35">
        <v>180</v>
      </c>
      <c r="P329" s="644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7"/>
      <c r="R329" s="557"/>
      <c r="S329" s="557"/>
      <c r="T329" s="558"/>
      <c r="U329" s="37" t="s">
        <v>45</v>
      </c>
      <c r="V329" s="37" t="s">
        <v>45</v>
      </c>
      <c r="W329" s="38" t="s">
        <v>0</v>
      </c>
      <c r="X329" s="56">
        <v>0</v>
      </c>
      <c r="Y329" s="53">
        <f>IFERROR(IF(X329="",0,CEILING((X329/$H329),1)*$H329),"")</f>
        <v>0</v>
      </c>
      <c r="Z329" s="39" t="str">
        <f>IFERROR(IF(Y329=0,"",ROUNDUP(Y329/H329,0)*0.00902),"")</f>
        <v/>
      </c>
      <c r="AA329" s="65" t="s">
        <v>45</v>
      </c>
      <c r="AB329" s="66" t="s">
        <v>45</v>
      </c>
      <c r="AC329" s="399" t="s">
        <v>539</v>
      </c>
      <c r="AG329" s="75"/>
      <c r="AJ329" s="79" t="s">
        <v>45</v>
      </c>
      <c r="AK329" s="79">
        <v>0</v>
      </c>
      <c r="BB329" s="400" t="s">
        <v>66</v>
      </c>
      <c r="BM329" s="75">
        <f>IFERROR(X329*I329/H329,"0")</f>
        <v>0</v>
      </c>
      <c r="BN329" s="75">
        <f>IFERROR(Y329*I329/H329,"0")</f>
        <v>0</v>
      </c>
      <c r="BO329" s="75">
        <f>IFERROR(1/J329*(X329/H329),"0")</f>
        <v>0</v>
      </c>
      <c r="BP329" s="75">
        <f>IFERROR(1/J329*(Y329/H329),"0")</f>
        <v>0</v>
      </c>
    </row>
    <row r="330" spans="1:68" ht="27" hidden="1" customHeight="1" x14ac:dyDescent="0.25">
      <c r="A330" s="60" t="s">
        <v>542</v>
      </c>
      <c r="B330" s="60" t="s">
        <v>543</v>
      </c>
      <c r="C330" s="34">
        <v>4301032015</v>
      </c>
      <c r="D330" s="555">
        <v>4607091383102</v>
      </c>
      <c r="E330" s="555"/>
      <c r="F330" s="59">
        <v>0.17</v>
      </c>
      <c r="G330" s="35">
        <v>15</v>
      </c>
      <c r="H330" s="59">
        <v>2.5499999999999998</v>
      </c>
      <c r="I330" s="59">
        <v>2.9550000000000001</v>
      </c>
      <c r="J330" s="35">
        <v>182</v>
      </c>
      <c r="K330" s="35" t="s">
        <v>81</v>
      </c>
      <c r="L330" s="35" t="s">
        <v>45</v>
      </c>
      <c r="M330" s="36" t="s">
        <v>111</v>
      </c>
      <c r="N330" s="36"/>
      <c r="O330" s="35">
        <v>180</v>
      </c>
      <c r="P330" s="63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7"/>
      <c r="R330" s="557"/>
      <c r="S330" s="557"/>
      <c r="T330" s="558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IFERROR(IF(Y330=0,"",ROUNDUP(Y330/H330,0)*0.00651),"")</f>
        <v/>
      </c>
      <c r="AA330" s="65" t="s">
        <v>45</v>
      </c>
      <c r="AB330" s="66" t="s">
        <v>45</v>
      </c>
      <c r="AC330" s="401" t="s">
        <v>539</v>
      </c>
      <c r="AG330" s="75"/>
      <c r="AJ330" s="79" t="s">
        <v>45</v>
      </c>
      <c r="AK330" s="79">
        <v>0</v>
      </c>
      <c r="BB330" s="402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hidden="1" customHeight="1" x14ac:dyDescent="0.25">
      <c r="A331" s="60" t="s">
        <v>544</v>
      </c>
      <c r="B331" s="60" t="s">
        <v>545</v>
      </c>
      <c r="C331" s="34">
        <v>4301030233</v>
      </c>
      <c r="D331" s="555">
        <v>4607091388404</v>
      </c>
      <c r="E331" s="555"/>
      <c r="F331" s="59">
        <v>0.17</v>
      </c>
      <c r="G331" s="35">
        <v>15</v>
      </c>
      <c r="H331" s="59">
        <v>2.5499999999999998</v>
      </c>
      <c r="I331" s="59">
        <v>2.88</v>
      </c>
      <c r="J331" s="35">
        <v>182</v>
      </c>
      <c r="K331" s="35" t="s">
        <v>81</v>
      </c>
      <c r="L331" s="35" t="s">
        <v>45</v>
      </c>
      <c r="M331" s="36" t="s">
        <v>111</v>
      </c>
      <c r="N331" s="36"/>
      <c r="O331" s="35">
        <v>180</v>
      </c>
      <c r="P331" s="64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7"/>
      <c r="R331" s="557"/>
      <c r="S331" s="557"/>
      <c r="T331" s="558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IFERROR(IF(Y331=0,"",ROUNDUP(Y331/H331,0)*0.00651),"")</f>
        <v/>
      </c>
      <c r="AA331" s="65" t="s">
        <v>45</v>
      </c>
      <c r="AB331" s="66" t="s">
        <v>45</v>
      </c>
      <c r="AC331" s="403" t="s">
        <v>539</v>
      </c>
      <c r="AG331" s="75"/>
      <c r="AJ331" s="79" t="s">
        <v>45</v>
      </c>
      <c r="AK331" s="79">
        <v>0</v>
      </c>
      <c r="BB331" s="404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hidden="1" x14ac:dyDescent="0.2">
      <c r="A332" s="562"/>
      <c r="B332" s="562"/>
      <c r="C332" s="562"/>
      <c r="D332" s="562"/>
      <c r="E332" s="562"/>
      <c r="F332" s="562"/>
      <c r="G332" s="562"/>
      <c r="H332" s="562"/>
      <c r="I332" s="562"/>
      <c r="J332" s="562"/>
      <c r="K332" s="562"/>
      <c r="L332" s="562"/>
      <c r="M332" s="562"/>
      <c r="N332" s="562"/>
      <c r="O332" s="563"/>
      <c r="P332" s="559" t="s">
        <v>40</v>
      </c>
      <c r="Q332" s="560"/>
      <c r="R332" s="560"/>
      <c r="S332" s="560"/>
      <c r="T332" s="560"/>
      <c r="U332" s="560"/>
      <c r="V332" s="561"/>
      <c r="W332" s="40" t="s">
        <v>39</v>
      </c>
      <c r="X332" s="41">
        <f>IFERROR(X328/H328,"0")+IFERROR(X329/H329,"0")+IFERROR(X330/H330,"0")+IFERROR(X331/H331,"0")</f>
        <v>0</v>
      </c>
      <c r="Y332" s="41">
        <f>IFERROR(Y328/H328,"0")+IFERROR(Y329/H329,"0")+IFERROR(Y330/H330,"0")+IFERROR(Y331/H331,"0")</f>
        <v>0</v>
      </c>
      <c r="Z332" s="41">
        <f>IFERROR(IF(Z328="",0,Z328),"0")+IFERROR(IF(Z329="",0,Z329),"0")+IFERROR(IF(Z330="",0,Z330),"0")+IFERROR(IF(Z331="",0,Z331),"0")</f>
        <v>0</v>
      </c>
      <c r="AA332" s="64"/>
      <c r="AB332" s="64"/>
      <c r="AC332" s="64"/>
    </row>
    <row r="333" spans="1:68" hidden="1" x14ac:dyDescent="0.2">
      <c r="A333" s="562"/>
      <c r="B333" s="562"/>
      <c r="C333" s="562"/>
      <c r="D333" s="562"/>
      <c r="E333" s="562"/>
      <c r="F333" s="562"/>
      <c r="G333" s="562"/>
      <c r="H333" s="562"/>
      <c r="I333" s="562"/>
      <c r="J333" s="562"/>
      <c r="K333" s="562"/>
      <c r="L333" s="562"/>
      <c r="M333" s="562"/>
      <c r="N333" s="562"/>
      <c r="O333" s="563"/>
      <c r="P333" s="559" t="s">
        <v>40</v>
      </c>
      <c r="Q333" s="560"/>
      <c r="R333" s="560"/>
      <c r="S333" s="560"/>
      <c r="T333" s="560"/>
      <c r="U333" s="560"/>
      <c r="V333" s="561"/>
      <c r="W333" s="40" t="s">
        <v>0</v>
      </c>
      <c r="X333" s="41">
        <f>IFERROR(SUM(X328:X331),"0")</f>
        <v>0</v>
      </c>
      <c r="Y333" s="41">
        <f>IFERROR(SUM(Y328:Y331),"0")</f>
        <v>0</v>
      </c>
      <c r="Z333" s="40"/>
      <c r="AA333" s="64"/>
      <c r="AB333" s="64"/>
      <c r="AC333" s="64"/>
    </row>
    <row r="334" spans="1:68" ht="14.25" hidden="1" customHeight="1" x14ac:dyDescent="0.25">
      <c r="A334" s="554" t="s">
        <v>546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63"/>
      <c r="AB334" s="63"/>
      <c r="AC334" s="63"/>
    </row>
    <row r="335" spans="1:68" ht="16.5" hidden="1" customHeight="1" x14ac:dyDescent="0.25">
      <c r="A335" s="60" t="s">
        <v>547</v>
      </c>
      <c r="B335" s="60" t="s">
        <v>548</v>
      </c>
      <c r="C335" s="34">
        <v>4301180007</v>
      </c>
      <c r="D335" s="555">
        <v>4680115881808</v>
      </c>
      <c r="E335" s="555"/>
      <c r="F335" s="59">
        <v>0.1</v>
      </c>
      <c r="G335" s="35">
        <v>20</v>
      </c>
      <c r="H335" s="59">
        <v>2</v>
      </c>
      <c r="I335" s="59">
        <v>2.2400000000000002</v>
      </c>
      <c r="J335" s="35">
        <v>238</v>
      </c>
      <c r="K335" s="35" t="s">
        <v>81</v>
      </c>
      <c r="L335" s="35" t="s">
        <v>45</v>
      </c>
      <c r="M335" s="36" t="s">
        <v>550</v>
      </c>
      <c r="N335" s="36"/>
      <c r="O335" s="35">
        <v>730</v>
      </c>
      <c r="P335" s="641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7"/>
      <c r="R335" s="557"/>
      <c r="S335" s="557"/>
      <c r="T335" s="558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IFERROR(IF(Y335=0,"",ROUNDUP(Y335/H335,0)*0.00474),"")</f>
        <v/>
      </c>
      <c r="AA335" s="65" t="s">
        <v>45</v>
      </c>
      <c r="AB335" s="66" t="s">
        <v>45</v>
      </c>
      <c r="AC335" s="405" t="s">
        <v>549</v>
      </c>
      <c r="AG335" s="75"/>
      <c r="AJ335" s="79" t="s">
        <v>45</v>
      </c>
      <c r="AK335" s="79">
        <v>0</v>
      </c>
      <c r="BB335" s="406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hidden="1" customHeight="1" x14ac:dyDescent="0.25">
      <c r="A336" s="60" t="s">
        <v>551</v>
      </c>
      <c r="B336" s="60" t="s">
        <v>552</v>
      </c>
      <c r="C336" s="34">
        <v>4301180006</v>
      </c>
      <c r="D336" s="555">
        <v>4680115881822</v>
      </c>
      <c r="E336" s="555"/>
      <c r="F336" s="59">
        <v>0.1</v>
      </c>
      <c r="G336" s="35">
        <v>20</v>
      </c>
      <c r="H336" s="59">
        <v>2</v>
      </c>
      <c r="I336" s="59">
        <v>2.2400000000000002</v>
      </c>
      <c r="J336" s="35">
        <v>238</v>
      </c>
      <c r="K336" s="35" t="s">
        <v>81</v>
      </c>
      <c r="L336" s="35" t="s">
        <v>45</v>
      </c>
      <c r="M336" s="36" t="s">
        <v>550</v>
      </c>
      <c r="N336" s="36"/>
      <c r="O336" s="35">
        <v>730</v>
      </c>
      <c r="P336" s="637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7"/>
      <c r="R336" s="557"/>
      <c r="S336" s="557"/>
      <c r="T336" s="558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IFERROR(IF(Y336=0,"",ROUNDUP(Y336/H336,0)*0.00474),"")</f>
        <v/>
      </c>
      <c r="AA336" s="65" t="s">
        <v>45</v>
      </c>
      <c r="AB336" s="66" t="s">
        <v>45</v>
      </c>
      <c r="AC336" s="407" t="s">
        <v>549</v>
      </c>
      <c r="AG336" s="75"/>
      <c r="AJ336" s="79" t="s">
        <v>45</v>
      </c>
      <c r="AK336" s="79">
        <v>0</v>
      </c>
      <c r="BB336" s="408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hidden="1" customHeight="1" x14ac:dyDescent="0.25">
      <c r="A337" s="60" t="s">
        <v>553</v>
      </c>
      <c r="B337" s="60" t="s">
        <v>554</v>
      </c>
      <c r="C337" s="34">
        <v>4301180001</v>
      </c>
      <c r="D337" s="555">
        <v>4680115880016</v>
      </c>
      <c r="E337" s="555"/>
      <c r="F337" s="59">
        <v>0.1</v>
      </c>
      <c r="G337" s="35">
        <v>20</v>
      </c>
      <c r="H337" s="59">
        <v>2</v>
      </c>
      <c r="I337" s="59">
        <v>2.2400000000000002</v>
      </c>
      <c r="J337" s="35">
        <v>238</v>
      </c>
      <c r="K337" s="35" t="s">
        <v>81</v>
      </c>
      <c r="L337" s="35" t="s">
        <v>45</v>
      </c>
      <c r="M337" s="36" t="s">
        <v>550</v>
      </c>
      <c r="N337" s="36"/>
      <c r="O337" s="35">
        <v>730</v>
      </c>
      <c r="P337" s="638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7"/>
      <c r="R337" s="557"/>
      <c r="S337" s="557"/>
      <c r="T337" s="558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IFERROR(IF(Y337=0,"",ROUNDUP(Y337/H337,0)*0.00474),"")</f>
        <v/>
      </c>
      <c r="AA337" s="65" t="s">
        <v>45</v>
      </c>
      <c r="AB337" s="66" t="s">
        <v>45</v>
      </c>
      <c r="AC337" s="409" t="s">
        <v>549</v>
      </c>
      <c r="AG337" s="75"/>
      <c r="AJ337" s="79" t="s">
        <v>45</v>
      </c>
      <c r="AK337" s="79">
        <v>0</v>
      </c>
      <c r="BB337" s="410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idden="1" x14ac:dyDescent="0.2">
      <c r="A338" s="562"/>
      <c r="B338" s="562"/>
      <c r="C338" s="562"/>
      <c r="D338" s="562"/>
      <c r="E338" s="562"/>
      <c r="F338" s="562"/>
      <c r="G338" s="562"/>
      <c r="H338" s="562"/>
      <c r="I338" s="562"/>
      <c r="J338" s="562"/>
      <c r="K338" s="562"/>
      <c r="L338" s="562"/>
      <c r="M338" s="562"/>
      <c r="N338" s="562"/>
      <c r="O338" s="563"/>
      <c r="P338" s="559" t="s">
        <v>40</v>
      </c>
      <c r="Q338" s="560"/>
      <c r="R338" s="560"/>
      <c r="S338" s="560"/>
      <c r="T338" s="560"/>
      <c r="U338" s="560"/>
      <c r="V338" s="561"/>
      <c r="W338" s="40" t="s">
        <v>39</v>
      </c>
      <c r="X338" s="41">
        <f>IFERROR(X335/H335,"0")+IFERROR(X336/H336,"0")+IFERROR(X337/H337,"0")</f>
        <v>0</v>
      </c>
      <c r="Y338" s="41">
        <f>IFERROR(Y335/H335,"0")+IFERROR(Y336/H336,"0")+IFERROR(Y337/H337,"0")</f>
        <v>0</v>
      </c>
      <c r="Z338" s="41">
        <f>IFERROR(IF(Z335="",0,Z335),"0")+IFERROR(IF(Z336="",0,Z336),"0")+IFERROR(IF(Z337="",0,Z337),"0")</f>
        <v>0</v>
      </c>
      <c r="AA338" s="64"/>
      <c r="AB338" s="64"/>
      <c r="AC338" s="64"/>
    </row>
    <row r="339" spans="1:68" hidden="1" x14ac:dyDescent="0.2">
      <c r="A339" s="562"/>
      <c r="B339" s="562"/>
      <c r="C339" s="562"/>
      <c r="D339" s="562"/>
      <c r="E339" s="562"/>
      <c r="F339" s="562"/>
      <c r="G339" s="562"/>
      <c r="H339" s="562"/>
      <c r="I339" s="562"/>
      <c r="J339" s="562"/>
      <c r="K339" s="562"/>
      <c r="L339" s="562"/>
      <c r="M339" s="562"/>
      <c r="N339" s="562"/>
      <c r="O339" s="563"/>
      <c r="P339" s="559" t="s">
        <v>40</v>
      </c>
      <c r="Q339" s="560"/>
      <c r="R339" s="560"/>
      <c r="S339" s="560"/>
      <c r="T339" s="560"/>
      <c r="U339" s="560"/>
      <c r="V339" s="561"/>
      <c r="W339" s="40" t="s">
        <v>0</v>
      </c>
      <c r="X339" s="41">
        <f>IFERROR(SUM(X335:X337),"0")</f>
        <v>0</v>
      </c>
      <c r="Y339" s="41">
        <f>IFERROR(SUM(Y335:Y337),"0")</f>
        <v>0</v>
      </c>
      <c r="Z339" s="40"/>
      <c r="AA339" s="64"/>
      <c r="AB339" s="64"/>
      <c r="AC339" s="64"/>
    </row>
    <row r="340" spans="1:68" ht="16.5" hidden="1" customHeight="1" x14ac:dyDescent="0.25">
      <c r="A340" s="553" t="s">
        <v>555</v>
      </c>
      <c r="B340" s="553"/>
      <c r="C340" s="553"/>
      <c r="D340" s="553"/>
      <c r="E340" s="553"/>
      <c r="F340" s="553"/>
      <c r="G340" s="553"/>
      <c r="H340" s="553"/>
      <c r="I340" s="553"/>
      <c r="J340" s="553"/>
      <c r="K340" s="553"/>
      <c r="L340" s="553"/>
      <c r="M340" s="553"/>
      <c r="N340" s="553"/>
      <c r="O340" s="553"/>
      <c r="P340" s="553"/>
      <c r="Q340" s="553"/>
      <c r="R340" s="553"/>
      <c r="S340" s="553"/>
      <c r="T340" s="553"/>
      <c r="U340" s="553"/>
      <c r="V340" s="553"/>
      <c r="W340" s="553"/>
      <c r="X340" s="553"/>
      <c r="Y340" s="553"/>
      <c r="Z340" s="553"/>
      <c r="AA340" s="62"/>
      <c r="AB340" s="62"/>
      <c r="AC340" s="62"/>
    </row>
    <row r="341" spans="1:68" ht="14.25" hidden="1" customHeight="1" x14ac:dyDescent="0.25">
      <c r="A341" s="554" t="s">
        <v>86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63"/>
      <c r="AB341" s="63"/>
      <c r="AC341" s="63"/>
    </row>
    <row r="342" spans="1:68" ht="27" hidden="1" customHeight="1" x14ac:dyDescent="0.25">
      <c r="A342" s="60" t="s">
        <v>556</v>
      </c>
      <c r="B342" s="60" t="s">
        <v>557</v>
      </c>
      <c r="C342" s="34">
        <v>4301051489</v>
      </c>
      <c r="D342" s="555">
        <v>4607091387919</v>
      </c>
      <c r="E342" s="555"/>
      <c r="F342" s="59">
        <v>1.35</v>
      </c>
      <c r="G342" s="35">
        <v>6</v>
      </c>
      <c r="H342" s="59">
        <v>8.1</v>
      </c>
      <c r="I342" s="59">
        <v>8.5939999999999994</v>
      </c>
      <c r="J342" s="35">
        <v>64</v>
      </c>
      <c r="K342" s="35" t="s">
        <v>119</v>
      </c>
      <c r="L342" s="35" t="s">
        <v>45</v>
      </c>
      <c r="M342" s="36" t="s">
        <v>96</v>
      </c>
      <c r="N342" s="36"/>
      <c r="O342" s="35">
        <v>45</v>
      </c>
      <c r="P342" s="634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7"/>
      <c r="R342" s="557"/>
      <c r="S342" s="557"/>
      <c r="T342" s="558"/>
      <c r="U342" s="37" t="s">
        <v>45</v>
      </c>
      <c r="V342" s="37" t="s">
        <v>45</v>
      </c>
      <c r="W342" s="38" t="s">
        <v>0</v>
      </c>
      <c r="X342" s="56">
        <v>0</v>
      </c>
      <c r="Y342" s="53">
        <f>IFERROR(IF(X342="",0,CEILING((X342/$H342),1)*$H342),"")</f>
        <v>0</v>
      </c>
      <c r="Z342" s="39" t="str">
        <f>IFERROR(IF(Y342=0,"",ROUNDUP(Y342/H342,0)*0.01898),"")</f>
        <v/>
      </c>
      <c r="AA342" s="65" t="s">
        <v>45</v>
      </c>
      <c r="AB342" s="66" t="s">
        <v>45</v>
      </c>
      <c r="AC342" s="411" t="s">
        <v>558</v>
      </c>
      <c r="AG342" s="75"/>
      <c r="AJ342" s="79" t="s">
        <v>45</v>
      </c>
      <c r="AK342" s="79">
        <v>0</v>
      </c>
      <c r="BB342" s="412" t="s">
        <v>66</v>
      </c>
      <c r="BM342" s="75">
        <f>IFERROR(X342*I342/H342,"0")</f>
        <v>0</v>
      </c>
      <c r="BN342" s="75">
        <f>IFERROR(Y342*I342/H342,"0")</f>
        <v>0</v>
      </c>
      <c r="BO342" s="75">
        <f>IFERROR(1/J342*(X342/H342),"0")</f>
        <v>0</v>
      </c>
      <c r="BP342" s="75">
        <f>IFERROR(1/J342*(Y342/H342),"0")</f>
        <v>0</v>
      </c>
    </row>
    <row r="343" spans="1:68" ht="27" hidden="1" customHeight="1" x14ac:dyDescent="0.25">
      <c r="A343" s="60" t="s">
        <v>559</v>
      </c>
      <c r="B343" s="60" t="s">
        <v>560</v>
      </c>
      <c r="C343" s="34">
        <v>4301051461</v>
      </c>
      <c r="D343" s="555">
        <v>4680115883604</v>
      </c>
      <c r="E343" s="555"/>
      <c r="F343" s="59">
        <v>0.35</v>
      </c>
      <c r="G343" s="35">
        <v>6</v>
      </c>
      <c r="H343" s="59">
        <v>2.1</v>
      </c>
      <c r="I343" s="59">
        <v>2.3519999999999999</v>
      </c>
      <c r="J343" s="35">
        <v>182</v>
      </c>
      <c r="K343" s="35" t="s">
        <v>81</v>
      </c>
      <c r="L343" s="35" t="s">
        <v>45</v>
      </c>
      <c r="M343" s="36" t="s">
        <v>90</v>
      </c>
      <c r="N343" s="36"/>
      <c r="O343" s="35">
        <v>45</v>
      </c>
      <c r="P343" s="635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7"/>
      <c r="R343" s="557"/>
      <c r="S343" s="557"/>
      <c r="T343" s="558"/>
      <c r="U343" s="37" t="s">
        <v>45</v>
      </c>
      <c r="V343" s="37" t="s">
        <v>45</v>
      </c>
      <c r="W343" s="38" t="s">
        <v>0</v>
      </c>
      <c r="X343" s="56">
        <v>0</v>
      </c>
      <c r="Y343" s="53">
        <f>IFERROR(IF(X343="",0,CEILING((X343/$H343),1)*$H343),"")</f>
        <v>0</v>
      </c>
      <c r="Z343" s="39" t="str">
        <f>IFERROR(IF(Y343=0,"",ROUNDUP(Y343/H343,0)*0.00651),"")</f>
        <v/>
      </c>
      <c r="AA343" s="65" t="s">
        <v>45</v>
      </c>
      <c r="AB343" s="66" t="s">
        <v>45</v>
      </c>
      <c r="AC343" s="413" t="s">
        <v>561</v>
      </c>
      <c r="AG343" s="75"/>
      <c r="AJ343" s="79" t="s">
        <v>45</v>
      </c>
      <c r="AK343" s="79">
        <v>0</v>
      </c>
      <c r="BB343" s="414" t="s">
        <v>66</v>
      </c>
      <c r="BM343" s="75">
        <f>IFERROR(X343*I343/H343,"0")</f>
        <v>0</v>
      </c>
      <c r="BN343" s="75">
        <f>IFERROR(Y343*I343/H343,"0")</f>
        <v>0</v>
      </c>
      <c r="BO343" s="75">
        <f>IFERROR(1/J343*(X343/H343),"0")</f>
        <v>0</v>
      </c>
      <c r="BP343" s="75">
        <f>IFERROR(1/J343*(Y343/H343),"0")</f>
        <v>0</v>
      </c>
    </row>
    <row r="344" spans="1:68" ht="27" hidden="1" customHeight="1" x14ac:dyDescent="0.25">
      <c r="A344" s="60" t="s">
        <v>562</v>
      </c>
      <c r="B344" s="60" t="s">
        <v>563</v>
      </c>
      <c r="C344" s="34">
        <v>4301051864</v>
      </c>
      <c r="D344" s="555">
        <v>4680115883567</v>
      </c>
      <c r="E344" s="555"/>
      <c r="F344" s="59">
        <v>0.35</v>
      </c>
      <c r="G344" s="35">
        <v>6</v>
      </c>
      <c r="H344" s="59">
        <v>2.1</v>
      </c>
      <c r="I344" s="59">
        <v>2.34</v>
      </c>
      <c r="J344" s="35">
        <v>182</v>
      </c>
      <c r="K344" s="35" t="s">
        <v>81</v>
      </c>
      <c r="L344" s="35" t="s">
        <v>45</v>
      </c>
      <c r="M344" s="36" t="s">
        <v>96</v>
      </c>
      <c r="N344" s="36"/>
      <c r="O344" s="35">
        <v>40</v>
      </c>
      <c r="P344" s="636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7"/>
      <c r="R344" s="557"/>
      <c r="S344" s="557"/>
      <c r="T344" s="558"/>
      <c r="U344" s="37" t="s">
        <v>45</v>
      </c>
      <c r="V344" s="37" t="s">
        <v>45</v>
      </c>
      <c r="W344" s="38" t="s">
        <v>0</v>
      </c>
      <c r="X344" s="56">
        <v>0</v>
      </c>
      <c r="Y344" s="53">
        <f>IFERROR(IF(X344="",0,CEILING((X344/$H344),1)*$H344),"")</f>
        <v>0</v>
      </c>
      <c r="Z344" s="39" t="str">
        <f>IFERROR(IF(Y344=0,"",ROUNDUP(Y344/H344,0)*0.00651),"")</f>
        <v/>
      </c>
      <c r="AA344" s="65" t="s">
        <v>45</v>
      </c>
      <c r="AB344" s="66" t="s">
        <v>45</v>
      </c>
      <c r="AC344" s="415" t="s">
        <v>564</v>
      </c>
      <c r="AG344" s="75"/>
      <c r="AJ344" s="79" t="s">
        <v>45</v>
      </c>
      <c r="AK344" s="79">
        <v>0</v>
      </c>
      <c r="BB344" s="416" t="s">
        <v>66</v>
      </c>
      <c r="BM344" s="75">
        <f>IFERROR(X344*I344/H344,"0")</f>
        <v>0</v>
      </c>
      <c r="BN344" s="75">
        <f>IFERROR(Y344*I344/H344,"0")</f>
        <v>0</v>
      </c>
      <c r="BO344" s="75">
        <f>IFERROR(1/J344*(X344/H344),"0")</f>
        <v>0</v>
      </c>
      <c r="BP344" s="75">
        <f>IFERROR(1/J344*(Y344/H344),"0")</f>
        <v>0</v>
      </c>
    </row>
    <row r="345" spans="1:68" hidden="1" x14ac:dyDescent="0.2">
      <c r="A345" s="562"/>
      <c r="B345" s="562"/>
      <c r="C345" s="562"/>
      <c r="D345" s="562"/>
      <c r="E345" s="562"/>
      <c r="F345" s="562"/>
      <c r="G345" s="562"/>
      <c r="H345" s="562"/>
      <c r="I345" s="562"/>
      <c r="J345" s="562"/>
      <c r="K345" s="562"/>
      <c r="L345" s="562"/>
      <c r="M345" s="562"/>
      <c r="N345" s="562"/>
      <c r="O345" s="563"/>
      <c r="P345" s="559" t="s">
        <v>40</v>
      </c>
      <c r="Q345" s="560"/>
      <c r="R345" s="560"/>
      <c r="S345" s="560"/>
      <c r="T345" s="560"/>
      <c r="U345" s="560"/>
      <c r="V345" s="561"/>
      <c r="W345" s="40" t="s">
        <v>39</v>
      </c>
      <c r="X345" s="41">
        <f>IFERROR(X342/H342,"0")+IFERROR(X343/H343,"0")+IFERROR(X344/H344,"0")</f>
        <v>0</v>
      </c>
      <c r="Y345" s="41">
        <f>IFERROR(Y342/H342,"0")+IFERROR(Y343/H343,"0")+IFERROR(Y344/H344,"0")</f>
        <v>0</v>
      </c>
      <c r="Z345" s="41">
        <f>IFERROR(IF(Z342="",0,Z342),"0")+IFERROR(IF(Z343="",0,Z343),"0")+IFERROR(IF(Z344="",0,Z344),"0")</f>
        <v>0</v>
      </c>
      <c r="AA345" s="64"/>
      <c r="AB345" s="64"/>
      <c r="AC345" s="64"/>
    </row>
    <row r="346" spans="1:68" hidden="1" x14ac:dyDescent="0.2">
      <c r="A346" s="562"/>
      <c r="B346" s="562"/>
      <c r="C346" s="562"/>
      <c r="D346" s="562"/>
      <c r="E346" s="562"/>
      <c r="F346" s="562"/>
      <c r="G346" s="562"/>
      <c r="H346" s="562"/>
      <c r="I346" s="562"/>
      <c r="J346" s="562"/>
      <c r="K346" s="562"/>
      <c r="L346" s="562"/>
      <c r="M346" s="562"/>
      <c r="N346" s="562"/>
      <c r="O346" s="563"/>
      <c r="P346" s="559" t="s">
        <v>40</v>
      </c>
      <c r="Q346" s="560"/>
      <c r="R346" s="560"/>
      <c r="S346" s="560"/>
      <c r="T346" s="560"/>
      <c r="U346" s="560"/>
      <c r="V346" s="561"/>
      <c r="W346" s="40" t="s">
        <v>0</v>
      </c>
      <c r="X346" s="41">
        <f>IFERROR(SUM(X342:X344),"0")</f>
        <v>0</v>
      </c>
      <c r="Y346" s="41">
        <f>IFERROR(SUM(Y342:Y344),"0")</f>
        <v>0</v>
      </c>
      <c r="Z346" s="40"/>
      <c r="AA346" s="64"/>
      <c r="AB346" s="64"/>
      <c r="AC346" s="64"/>
    </row>
    <row r="347" spans="1:68" ht="27.75" hidden="1" customHeight="1" x14ac:dyDescent="0.2">
      <c r="A347" s="574" t="s">
        <v>565</v>
      </c>
      <c r="B347" s="574"/>
      <c r="C347" s="574"/>
      <c r="D347" s="574"/>
      <c r="E347" s="574"/>
      <c r="F347" s="574"/>
      <c r="G347" s="574"/>
      <c r="H347" s="574"/>
      <c r="I347" s="574"/>
      <c r="J347" s="574"/>
      <c r="K347" s="574"/>
      <c r="L347" s="574"/>
      <c r="M347" s="574"/>
      <c r="N347" s="574"/>
      <c r="O347" s="574"/>
      <c r="P347" s="574"/>
      <c r="Q347" s="574"/>
      <c r="R347" s="574"/>
      <c r="S347" s="574"/>
      <c r="T347" s="574"/>
      <c r="U347" s="574"/>
      <c r="V347" s="574"/>
      <c r="W347" s="574"/>
      <c r="X347" s="574"/>
      <c r="Y347" s="574"/>
      <c r="Z347" s="574"/>
      <c r="AA347" s="52"/>
      <c r="AB347" s="52"/>
      <c r="AC347" s="52"/>
    </row>
    <row r="348" spans="1:68" ht="16.5" hidden="1" customHeight="1" x14ac:dyDescent="0.25">
      <c r="A348" s="553" t="s">
        <v>566</v>
      </c>
      <c r="B348" s="553"/>
      <c r="C348" s="553"/>
      <c r="D348" s="553"/>
      <c r="E348" s="553"/>
      <c r="F348" s="553"/>
      <c r="G348" s="553"/>
      <c r="H348" s="553"/>
      <c r="I348" s="553"/>
      <c r="J348" s="553"/>
      <c r="K348" s="553"/>
      <c r="L348" s="553"/>
      <c r="M348" s="553"/>
      <c r="N348" s="553"/>
      <c r="O348" s="553"/>
      <c r="P348" s="553"/>
      <c r="Q348" s="553"/>
      <c r="R348" s="553"/>
      <c r="S348" s="553"/>
      <c r="T348" s="553"/>
      <c r="U348" s="553"/>
      <c r="V348" s="553"/>
      <c r="W348" s="553"/>
      <c r="X348" s="553"/>
      <c r="Y348" s="553"/>
      <c r="Z348" s="553"/>
      <c r="AA348" s="62"/>
      <c r="AB348" s="62"/>
      <c r="AC348" s="62"/>
    </row>
    <row r="349" spans="1:68" ht="14.25" hidden="1" customHeight="1" x14ac:dyDescent="0.25">
      <c r="A349" s="554" t="s">
        <v>114</v>
      </c>
      <c r="B349" s="554"/>
      <c r="C349" s="554"/>
      <c r="D349" s="554"/>
      <c r="E349" s="554"/>
      <c r="F349" s="554"/>
      <c r="G349" s="554"/>
      <c r="H349" s="554"/>
      <c r="I349" s="554"/>
      <c r="J349" s="554"/>
      <c r="K349" s="554"/>
      <c r="L349" s="554"/>
      <c r="M349" s="554"/>
      <c r="N349" s="554"/>
      <c r="O349" s="554"/>
      <c r="P349" s="554"/>
      <c r="Q349" s="554"/>
      <c r="R349" s="554"/>
      <c r="S349" s="554"/>
      <c r="T349" s="554"/>
      <c r="U349" s="554"/>
      <c r="V349" s="554"/>
      <c r="W349" s="554"/>
      <c r="X349" s="554"/>
      <c r="Y349" s="554"/>
      <c r="Z349" s="554"/>
      <c r="AA349" s="63"/>
      <c r="AB349" s="63"/>
      <c r="AC349" s="63"/>
    </row>
    <row r="350" spans="1:68" ht="37.5" customHeight="1" x14ac:dyDescent="0.25">
      <c r="A350" s="60" t="s">
        <v>567</v>
      </c>
      <c r="B350" s="60" t="s">
        <v>568</v>
      </c>
      <c r="C350" s="34">
        <v>4301011869</v>
      </c>
      <c r="D350" s="555">
        <v>4680115884847</v>
      </c>
      <c r="E350" s="555"/>
      <c r="F350" s="59">
        <v>2.5</v>
      </c>
      <c r="G350" s="35">
        <v>6</v>
      </c>
      <c r="H350" s="59">
        <v>15</v>
      </c>
      <c r="I350" s="59">
        <v>15.47</v>
      </c>
      <c r="J350" s="35">
        <v>48</v>
      </c>
      <c r="K350" s="35" t="s">
        <v>119</v>
      </c>
      <c r="L350" s="35" t="s">
        <v>45</v>
      </c>
      <c r="M350" s="36" t="s">
        <v>80</v>
      </c>
      <c r="N350" s="36"/>
      <c r="O350" s="35">
        <v>60</v>
      </c>
      <c r="P350" s="63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7"/>
      <c r="R350" s="557"/>
      <c r="S350" s="557"/>
      <c r="T350" s="558"/>
      <c r="U350" s="37" t="s">
        <v>45</v>
      </c>
      <c r="V350" s="37" t="s">
        <v>45</v>
      </c>
      <c r="W350" s="38" t="s">
        <v>0</v>
      </c>
      <c r="X350" s="56">
        <v>360</v>
      </c>
      <c r="Y350" s="53">
        <f t="shared" ref="Y350:Y356" si="37">IFERROR(IF(X350="",0,CEILING((X350/$H350),1)*$H350),"")</f>
        <v>360</v>
      </c>
      <c r="Z350" s="39">
        <f>IFERROR(IF(Y350=0,"",ROUNDUP(Y350/H350,0)*0.02175),"")</f>
        <v>0.52200000000000002</v>
      </c>
      <c r="AA350" s="65" t="s">
        <v>45</v>
      </c>
      <c r="AB350" s="66" t="s">
        <v>45</v>
      </c>
      <c r="AC350" s="417" t="s">
        <v>569</v>
      </c>
      <c r="AG350" s="75"/>
      <c r="AJ350" s="79" t="s">
        <v>45</v>
      </c>
      <c r="AK350" s="79">
        <v>0</v>
      </c>
      <c r="BB350" s="418" t="s">
        <v>66</v>
      </c>
      <c r="BM350" s="75">
        <f t="shared" ref="BM350:BM356" si="38">IFERROR(X350*I350/H350,"0")</f>
        <v>371.28</v>
      </c>
      <c r="BN350" s="75">
        <f t="shared" ref="BN350:BN356" si="39">IFERROR(Y350*I350/H350,"0")</f>
        <v>371.28</v>
      </c>
      <c r="BO350" s="75">
        <f t="shared" ref="BO350:BO356" si="40">IFERROR(1/J350*(X350/H350),"0")</f>
        <v>0.5</v>
      </c>
      <c r="BP350" s="75">
        <f t="shared" ref="BP350:BP356" si="41">IFERROR(1/J350*(Y350/H350),"0")</f>
        <v>0.5</v>
      </c>
    </row>
    <row r="351" spans="1:68" ht="27" customHeight="1" x14ac:dyDescent="0.25">
      <c r="A351" s="60" t="s">
        <v>570</v>
      </c>
      <c r="B351" s="60" t="s">
        <v>571</v>
      </c>
      <c r="C351" s="34">
        <v>4301012083</v>
      </c>
      <c r="D351" s="555">
        <v>4680115884854</v>
      </c>
      <c r="E351" s="555"/>
      <c r="F351" s="59">
        <v>2.5</v>
      </c>
      <c r="G351" s="35">
        <v>6</v>
      </c>
      <c r="H351" s="59">
        <v>15</v>
      </c>
      <c r="I351" s="59">
        <v>15.47</v>
      </c>
      <c r="J351" s="35">
        <v>48</v>
      </c>
      <c r="K351" s="35" t="s">
        <v>119</v>
      </c>
      <c r="L351" s="35" t="s">
        <v>45</v>
      </c>
      <c r="M351" s="36" t="s">
        <v>118</v>
      </c>
      <c r="N351" s="36"/>
      <c r="O351" s="35">
        <v>60</v>
      </c>
      <c r="P351" s="63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7"/>
      <c r="R351" s="557"/>
      <c r="S351" s="557"/>
      <c r="T351" s="558"/>
      <c r="U351" s="37" t="s">
        <v>45</v>
      </c>
      <c r="V351" s="37" t="s">
        <v>45</v>
      </c>
      <c r="W351" s="38" t="s">
        <v>0</v>
      </c>
      <c r="X351" s="56">
        <v>120</v>
      </c>
      <c r="Y351" s="53">
        <f t="shared" si="37"/>
        <v>120</v>
      </c>
      <c r="Z351" s="39">
        <f>IFERROR(IF(Y351=0,"",ROUNDUP(Y351/H351,0)*0.02175),"")</f>
        <v>0.17399999999999999</v>
      </c>
      <c r="AA351" s="65" t="s">
        <v>45</v>
      </c>
      <c r="AB351" s="66" t="s">
        <v>45</v>
      </c>
      <c r="AC351" s="419" t="s">
        <v>572</v>
      </c>
      <c r="AG351" s="75"/>
      <c r="AJ351" s="79" t="s">
        <v>45</v>
      </c>
      <c r="AK351" s="79">
        <v>0</v>
      </c>
      <c r="BB351" s="420" t="s">
        <v>66</v>
      </c>
      <c r="BM351" s="75">
        <f t="shared" si="38"/>
        <v>123.76</v>
      </c>
      <c r="BN351" s="75">
        <f t="shared" si="39"/>
        <v>123.76</v>
      </c>
      <c r="BO351" s="75">
        <f t="shared" si="40"/>
        <v>0.16666666666666666</v>
      </c>
      <c r="BP351" s="75">
        <f t="shared" si="41"/>
        <v>0.16666666666666666</v>
      </c>
    </row>
    <row r="352" spans="1:68" ht="37.5" customHeight="1" x14ac:dyDescent="0.25">
      <c r="A352" s="60" t="s">
        <v>573</v>
      </c>
      <c r="B352" s="60" t="s">
        <v>574</v>
      </c>
      <c r="C352" s="34">
        <v>4301011867</v>
      </c>
      <c r="D352" s="555">
        <v>4680115884830</v>
      </c>
      <c r="E352" s="555"/>
      <c r="F352" s="59">
        <v>2.5</v>
      </c>
      <c r="G352" s="35">
        <v>6</v>
      </c>
      <c r="H352" s="59">
        <v>15</v>
      </c>
      <c r="I352" s="59">
        <v>15.47</v>
      </c>
      <c r="J352" s="35">
        <v>48</v>
      </c>
      <c r="K352" s="35" t="s">
        <v>119</v>
      </c>
      <c r="L352" s="35" t="s">
        <v>45</v>
      </c>
      <c r="M352" s="36" t="s">
        <v>80</v>
      </c>
      <c r="N352" s="36"/>
      <c r="O352" s="35">
        <v>60</v>
      </c>
      <c r="P352" s="63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7"/>
      <c r="R352" s="557"/>
      <c r="S352" s="557"/>
      <c r="T352" s="558"/>
      <c r="U352" s="37" t="s">
        <v>45</v>
      </c>
      <c r="V352" s="37" t="s">
        <v>45</v>
      </c>
      <c r="W352" s="38" t="s">
        <v>0</v>
      </c>
      <c r="X352" s="56">
        <v>270</v>
      </c>
      <c r="Y352" s="53">
        <f t="shared" si="37"/>
        <v>270</v>
      </c>
      <c r="Z352" s="39">
        <f>IFERROR(IF(Y352=0,"",ROUNDUP(Y352/H352,0)*0.02175),"")</f>
        <v>0.39149999999999996</v>
      </c>
      <c r="AA352" s="65" t="s">
        <v>45</v>
      </c>
      <c r="AB352" s="66" t="s">
        <v>45</v>
      </c>
      <c r="AC352" s="421" t="s">
        <v>575</v>
      </c>
      <c r="AG352" s="75"/>
      <c r="AJ352" s="79" t="s">
        <v>45</v>
      </c>
      <c r="AK352" s="79">
        <v>0</v>
      </c>
      <c r="BB352" s="422" t="s">
        <v>66</v>
      </c>
      <c r="BM352" s="75">
        <f t="shared" si="38"/>
        <v>278.46000000000004</v>
      </c>
      <c r="BN352" s="75">
        <f t="shared" si="39"/>
        <v>278.46000000000004</v>
      </c>
      <c r="BO352" s="75">
        <f t="shared" si="40"/>
        <v>0.375</v>
      </c>
      <c r="BP352" s="75">
        <f t="shared" si="41"/>
        <v>0.375</v>
      </c>
    </row>
    <row r="353" spans="1:68" ht="27" hidden="1" customHeight="1" x14ac:dyDescent="0.25">
      <c r="A353" s="60" t="s">
        <v>576</v>
      </c>
      <c r="B353" s="60" t="s">
        <v>577</v>
      </c>
      <c r="C353" s="34">
        <v>4301012215</v>
      </c>
      <c r="D353" s="555">
        <v>4680115887046</v>
      </c>
      <c r="E353" s="555"/>
      <c r="F353" s="59">
        <v>2.5</v>
      </c>
      <c r="G353" s="35">
        <v>6</v>
      </c>
      <c r="H353" s="59">
        <v>15</v>
      </c>
      <c r="I353" s="59">
        <v>15.47</v>
      </c>
      <c r="J353" s="35">
        <v>48</v>
      </c>
      <c r="K353" s="35" t="s">
        <v>119</v>
      </c>
      <c r="L353" s="35" t="s">
        <v>45</v>
      </c>
      <c r="M353" s="36" t="s">
        <v>96</v>
      </c>
      <c r="N353" s="36"/>
      <c r="O353" s="35">
        <v>60</v>
      </c>
      <c r="P353" s="627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7"/>
      <c r="R353" s="557"/>
      <c r="S353" s="557"/>
      <c r="T353" s="558"/>
      <c r="U353" s="37" t="s">
        <v>45</v>
      </c>
      <c r="V353" s="37" t="s">
        <v>45</v>
      </c>
      <c r="W353" s="38" t="s">
        <v>0</v>
      </c>
      <c r="X353" s="56">
        <v>0</v>
      </c>
      <c r="Y353" s="53">
        <f t="shared" si="37"/>
        <v>0</v>
      </c>
      <c r="Z353" s="39" t="str">
        <f>IFERROR(IF(Y353=0,"",ROUNDUP(Y353/H353,0)*0.02175),"")</f>
        <v/>
      </c>
      <c r="AA353" s="65" t="s">
        <v>45</v>
      </c>
      <c r="AB353" s="66" t="s">
        <v>45</v>
      </c>
      <c r="AC353" s="423" t="s">
        <v>578</v>
      </c>
      <c r="AG353" s="75"/>
      <c r="AJ353" s="79" t="s">
        <v>45</v>
      </c>
      <c r="AK353" s="79">
        <v>0</v>
      </c>
      <c r="BB353" s="424" t="s">
        <v>66</v>
      </c>
      <c r="BM353" s="75">
        <f t="shared" si="38"/>
        <v>0</v>
      </c>
      <c r="BN353" s="75">
        <f t="shared" si="39"/>
        <v>0</v>
      </c>
      <c r="BO353" s="75">
        <f t="shared" si="40"/>
        <v>0</v>
      </c>
      <c r="BP353" s="75">
        <f t="shared" si="41"/>
        <v>0</v>
      </c>
    </row>
    <row r="354" spans="1:68" ht="27" hidden="1" customHeight="1" x14ac:dyDescent="0.25">
      <c r="A354" s="60" t="s">
        <v>579</v>
      </c>
      <c r="B354" s="60" t="s">
        <v>580</v>
      </c>
      <c r="C354" s="34">
        <v>4301011433</v>
      </c>
      <c r="D354" s="555">
        <v>4680115882638</v>
      </c>
      <c r="E354" s="555"/>
      <c r="F354" s="59">
        <v>0.4</v>
      </c>
      <c r="G354" s="35">
        <v>10</v>
      </c>
      <c r="H354" s="59">
        <v>4</v>
      </c>
      <c r="I354" s="59">
        <v>4.1900000000000004</v>
      </c>
      <c r="J354" s="35">
        <v>132</v>
      </c>
      <c r="K354" s="35" t="s">
        <v>122</v>
      </c>
      <c r="L354" s="35" t="s">
        <v>45</v>
      </c>
      <c r="M354" s="36" t="s">
        <v>118</v>
      </c>
      <c r="N354" s="36"/>
      <c r="O354" s="35">
        <v>90</v>
      </c>
      <c r="P354" s="62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7"/>
      <c r="R354" s="557"/>
      <c r="S354" s="557"/>
      <c r="T354" s="558"/>
      <c r="U354" s="37" t="s">
        <v>45</v>
      </c>
      <c r="V354" s="37" t="s">
        <v>45</v>
      </c>
      <c r="W354" s="38" t="s">
        <v>0</v>
      </c>
      <c r="X354" s="56">
        <v>0</v>
      </c>
      <c r="Y354" s="53">
        <f t="shared" si="37"/>
        <v>0</v>
      </c>
      <c r="Z354" s="39" t="str">
        <f>IFERROR(IF(Y354=0,"",ROUNDUP(Y354/H354,0)*0.00902),"")</f>
        <v/>
      </c>
      <c r="AA354" s="65" t="s">
        <v>45</v>
      </c>
      <c r="AB354" s="66" t="s">
        <v>45</v>
      </c>
      <c r="AC354" s="425" t="s">
        <v>581</v>
      </c>
      <c r="AG354" s="75"/>
      <c r="AJ354" s="79" t="s">
        <v>45</v>
      </c>
      <c r="AK354" s="79">
        <v>0</v>
      </c>
      <c r="BB354" s="426" t="s">
        <v>66</v>
      </c>
      <c r="BM354" s="75">
        <f t="shared" si="38"/>
        <v>0</v>
      </c>
      <c r="BN354" s="75">
        <f t="shared" si="39"/>
        <v>0</v>
      </c>
      <c r="BO354" s="75">
        <f t="shared" si="40"/>
        <v>0</v>
      </c>
      <c r="BP354" s="75">
        <f t="shared" si="41"/>
        <v>0</v>
      </c>
    </row>
    <row r="355" spans="1:68" ht="27" hidden="1" customHeight="1" x14ac:dyDescent="0.25">
      <c r="A355" s="60" t="s">
        <v>582</v>
      </c>
      <c r="B355" s="60" t="s">
        <v>583</v>
      </c>
      <c r="C355" s="34">
        <v>4301011952</v>
      </c>
      <c r="D355" s="555">
        <v>4680115884922</v>
      </c>
      <c r="E355" s="555"/>
      <c r="F355" s="59">
        <v>0.5</v>
      </c>
      <c r="G355" s="35">
        <v>10</v>
      </c>
      <c r="H355" s="59">
        <v>5</v>
      </c>
      <c r="I355" s="59">
        <v>5.19</v>
      </c>
      <c r="J355" s="35">
        <v>132</v>
      </c>
      <c r="K355" s="35" t="s">
        <v>122</v>
      </c>
      <c r="L355" s="35" t="s">
        <v>45</v>
      </c>
      <c r="M355" s="36" t="s">
        <v>80</v>
      </c>
      <c r="N355" s="36"/>
      <c r="O355" s="35">
        <v>60</v>
      </c>
      <c r="P355" s="62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7"/>
      <c r="R355" s="557"/>
      <c r="S355" s="557"/>
      <c r="T355" s="558"/>
      <c r="U355" s="37" t="s">
        <v>45</v>
      </c>
      <c r="V355" s="37" t="s">
        <v>45</v>
      </c>
      <c r="W355" s="38" t="s">
        <v>0</v>
      </c>
      <c r="X355" s="56">
        <v>0</v>
      </c>
      <c r="Y355" s="53">
        <f t="shared" si="37"/>
        <v>0</v>
      </c>
      <c r="Z355" s="39" t="str">
        <f>IFERROR(IF(Y355=0,"",ROUNDUP(Y355/H355,0)*0.00902),"")</f>
        <v/>
      </c>
      <c r="AA355" s="65" t="s">
        <v>45</v>
      </c>
      <c r="AB355" s="66" t="s">
        <v>45</v>
      </c>
      <c r="AC355" s="427" t="s">
        <v>584</v>
      </c>
      <c r="AG355" s="75"/>
      <c r="AJ355" s="79" t="s">
        <v>45</v>
      </c>
      <c r="AK355" s="79">
        <v>0</v>
      </c>
      <c r="BB355" s="428" t="s">
        <v>66</v>
      </c>
      <c r="BM355" s="75">
        <f t="shared" si="38"/>
        <v>0</v>
      </c>
      <c r="BN355" s="75">
        <f t="shared" si="39"/>
        <v>0</v>
      </c>
      <c r="BO355" s="75">
        <f t="shared" si="40"/>
        <v>0</v>
      </c>
      <c r="BP355" s="75">
        <f t="shared" si="41"/>
        <v>0</v>
      </c>
    </row>
    <row r="356" spans="1:68" ht="37.5" hidden="1" customHeight="1" x14ac:dyDescent="0.25">
      <c r="A356" s="60" t="s">
        <v>585</v>
      </c>
      <c r="B356" s="60" t="s">
        <v>586</v>
      </c>
      <c r="C356" s="34">
        <v>4301011868</v>
      </c>
      <c r="D356" s="555">
        <v>4680115884861</v>
      </c>
      <c r="E356" s="555"/>
      <c r="F356" s="59">
        <v>0.5</v>
      </c>
      <c r="G356" s="35">
        <v>10</v>
      </c>
      <c r="H356" s="59">
        <v>5</v>
      </c>
      <c r="I356" s="59">
        <v>5.19</v>
      </c>
      <c r="J356" s="35">
        <v>132</v>
      </c>
      <c r="K356" s="35" t="s">
        <v>122</v>
      </c>
      <c r="L356" s="35" t="s">
        <v>45</v>
      </c>
      <c r="M356" s="36" t="s">
        <v>80</v>
      </c>
      <c r="N356" s="36"/>
      <c r="O356" s="35">
        <v>60</v>
      </c>
      <c r="P356" s="63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7"/>
      <c r="R356" s="557"/>
      <c r="S356" s="557"/>
      <c r="T356" s="558"/>
      <c r="U356" s="37" t="s">
        <v>45</v>
      </c>
      <c r="V356" s="37" t="s">
        <v>45</v>
      </c>
      <c r="W356" s="38" t="s">
        <v>0</v>
      </c>
      <c r="X356" s="56">
        <v>0</v>
      </c>
      <c r="Y356" s="53">
        <f t="shared" si="37"/>
        <v>0</v>
      </c>
      <c r="Z356" s="39" t="str">
        <f>IFERROR(IF(Y356=0,"",ROUNDUP(Y356/H356,0)*0.00902),"")</f>
        <v/>
      </c>
      <c r="AA356" s="65" t="s">
        <v>45</v>
      </c>
      <c r="AB356" s="66" t="s">
        <v>45</v>
      </c>
      <c r="AC356" s="429" t="s">
        <v>575</v>
      </c>
      <c r="AG356" s="75"/>
      <c r="AJ356" s="79" t="s">
        <v>45</v>
      </c>
      <c r="AK356" s="79">
        <v>0</v>
      </c>
      <c r="BB356" s="430" t="s">
        <v>66</v>
      </c>
      <c r="BM356" s="75">
        <f t="shared" si="38"/>
        <v>0</v>
      </c>
      <c r="BN356" s="75">
        <f t="shared" si="39"/>
        <v>0</v>
      </c>
      <c r="BO356" s="75">
        <f t="shared" si="40"/>
        <v>0</v>
      </c>
      <c r="BP356" s="75">
        <f t="shared" si="41"/>
        <v>0</v>
      </c>
    </row>
    <row r="357" spans="1:68" x14ac:dyDescent="0.2">
      <c r="A357" s="562"/>
      <c r="B357" s="562"/>
      <c r="C357" s="562"/>
      <c r="D357" s="562"/>
      <c r="E357" s="562"/>
      <c r="F357" s="562"/>
      <c r="G357" s="562"/>
      <c r="H357" s="562"/>
      <c r="I357" s="562"/>
      <c r="J357" s="562"/>
      <c r="K357" s="562"/>
      <c r="L357" s="562"/>
      <c r="M357" s="562"/>
      <c r="N357" s="562"/>
      <c r="O357" s="563"/>
      <c r="P357" s="559" t="s">
        <v>40</v>
      </c>
      <c r="Q357" s="560"/>
      <c r="R357" s="560"/>
      <c r="S357" s="560"/>
      <c r="T357" s="560"/>
      <c r="U357" s="560"/>
      <c r="V357" s="561"/>
      <c r="W357" s="40" t="s">
        <v>39</v>
      </c>
      <c r="X357" s="41">
        <f>IFERROR(X350/H350,"0")+IFERROR(X351/H351,"0")+IFERROR(X352/H352,"0")+IFERROR(X353/H353,"0")+IFERROR(X354/H354,"0")+IFERROR(X355/H355,"0")+IFERROR(X356/H356,"0")</f>
        <v>50</v>
      </c>
      <c r="Y357" s="41">
        <f>IFERROR(Y350/H350,"0")+IFERROR(Y351/H351,"0")+IFERROR(Y352/H352,"0")+IFERROR(Y353/H353,"0")+IFERROR(Y354/H354,"0")+IFERROR(Y355/H355,"0")+IFERROR(Y356/H356,"0")</f>
        <v>50</v>
      </c>
      <c r="Z357" s="41">
        <f>IFERROR(IF(Z350="",0,Z350),"0")+IFERROR(IF(Z351="",0,Z351),"0")+IFERROR(IF(Z352="",0,Z352),"0")+IFERROR(IF(Z353="",0,Z353),"0")+IFERROR(IF(Z354="",0,Z354),"0")+IFERROR(IF(Z355="",0,Z355),"0")+IFERROR(IF(Z356="",0,Z356),"0")</f>
        <v>1.0874999999999999</v>
      </c>
      <c r="AA357" s="64"/>
      <c r="AB357" s="64"/>
      <c r="AC357" s="64"/>
    </row>
    <row r="358" spans="1:68" x14ac:dyDescent="0.2">
      <c r="A358" s="562"/>
      <c r="B358" s="562"/>
      <c r="C358" s="562"/>
      <c r="D358" s="562"/>
      <c r="E358" s="562"/>
      <c r="F358" s="562"/>
      <c r="G358" s="562"/>
      <c r="H358" s="562"/>
      <c r="I358" s="562"/>
      <c r="J358" s="562"/>
      <c r="K358" s="562"/>
      <c r="L358" s="562"/>
      <c r="M358" s="562"/>
      <c r="N358" s="562"/>
      <c r="O358" s="563"/>
      <c r="P358" s="559" t="s">
        <v>40</v>
      </c>
      <c r="Q358" s="560"/>
      <c r="R358" s="560"/>
      <c r="S358" s="560"/>
      <c r="T358" s="560"/>
      <c r="U358" s="560"/>
      <c r="V358" s="561"/>
      <c r="W358" s="40" t="s">
        <v>0</v>
      </c>
      <c r="X358" s="41">
        <f>IFERROR(SUM(X350:X356),"0")</f>
        <v>750</v>
      </c>
      <c r="Y358" s="41">
        <f>IFERROR(SUM(Y350:Y356),"0")</f>
        <v>750</v>
      </c>
      <c r="Z358" s="40"/>
      <c r="AA358" s="64"/>
      <c r="AB358" s="64"/>
      <c r="AC358" s="64"/>
    </row>
    <row r="359" spans="1:68" ht="14.25" hidden="1" customHeight="1" x14ac:dyDescent="0.25">
      <c r="A359" s="554" t="s">
        <v>147</v>
      </c>
      <c r="B359" s="554"/>
      <c r="C359" s="554"/>
      <c r="D359" s="554"/>
      <c r="E359" s="554"/>
      <c r="F359" s="554"/>
      <c r="G359" s="554"/>
      <c r="H359" s="554"/>
      <c r="I359" s="554"/>
      <c r="J359" s="554"/>
      <c r="K359" s="554"/>
      <c r="L359" s="554"/>
      <c r="M359" s="554"/>
      <c r="N359" s="554"/>
      <c r="O359" s="554"/>
      <c r="P359" s="554"/>
      <c r="Q359" s="554"/>
      <c r="R359" s="554"/>
      <c r="S359" s="554"/>
      <c r="T359" s="554"/>
      <c r="U359" s="554"/>
      <c r="V359" s="554"/>
      <c r="W359" s="554"/>
      <c r="X359" s="554"/>
      <c r="Y359" s="554"/>
      <c r="Z359" s="554"/>
      <c r="AA359" s="63"/>
      <c r="AB359" s="63"/>
      <c r="AC359" s="63"/>
    </row>
    <row r="360" spans="1:68" ht="27" customHeight="1" x14ac:dyDescent="0.25">
      <c r="A360" s="60" t="s">
        <v>587</v>
      </c>
      <c r="B360" s="60" t="s">
        <v>588</v>
      </c>
      <c r="C360" s="34">
        <v>4301020178</v>
      </c>
      <c r="D360" s="555">
        <v>4607091383980</v>
      </c>
      <c r="E360" s="555"/>
      <c r="F360" s="59">
        <v>2.5</v>
      </c>
      <c r="G360" s="35">
        <v>6</v>
      </c>
      <c r="H360" s="59">
        <v>15</v>
      </c>
      <c r="I360" s="59">
        <v>15.47</v>
      </c>
      <c r="J360" s="35">
        <v>48</v>
      </c>
      <c r="K360" s="35" t="s">
        <v>119</v>
      </c>
      <c r="L360" s="35" t="s">
        <v>45</v>
      </c>
      <c r="M360" s="36" t="s">
        <v>118</v>
      </c>
      <c r="N360" s="36"/>
      <c r="O360" s="35">
        <v>50</v>
      </c>
      <c r="P360" s="62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7"/>
      <c r="R360" s="557"/>
      <c r="S360" s="557"/>
      <c r="T360" s="558"/>
      <c r="U360" s="37" t="s">
        <v>45</v>
      </c>
      <c r="V360" s="37" t="s">
        <v>45</v>
      </c>
      <c r="W360" s="38" t="s">
        <v>0</v>
      </c>
      <c r="X360" s="56">
        <v>480</v>
      </c>
      <c r="Y360" s="53">
        <f>IFERROR(IF(X360="",0,CEILING((X360/$H360),1)*$H360),"")</f>
        <v>480</v>
      </c>
      <c r="Z360" s="39">
        <f>IFERROR(IF(Y360=0,"",ROUNDUP(Y360/H360,0)*0.02175),"")</f>
        <v>0.69599999999999995</v>
      </c>
      <c r="AA360" s="65" t="s">
        <v>45</v>
      </c>
      <c r="AB360" s="66" t="s">
        <v>45</v>
      </c>
      <c r="AC360" s="431" t="s">
        <v>589</v>
      </c>
      <c r="AG360" s="75"/>
      <c r="AJ360" s="79" t="s">
        <v>45</v>
      </c>
      <c r="AK360" s="79">
        <v>0</v>
      </c>
      <c r="BB360" s="432" t="s">
        <v>66</v>
      </c>
      <c r="BM360" s="75">
        <f>IFERROR(X360*I360/H360,"0")</f>
        <v>495.04</v>
      </c>
      <c r="BN360" s="75">
        <f>IFERROR(Y360*I360/H360,"0")</f>
        <v>495.04</v>
      </c>
      <c r="BO360" s="75">
        <f>IFERROR(1/J360*(X360/H360),"0")</f>
        <v>0.66666666666666663</v>
      </c>
      <c r="BP360" s="75">
        <f>IFERROR(1/J360*(Y360/H360),"0")</f>
        <v>0.66666666666666663</v>
      </c>
    </row>
    <row r="361" spans="1:68" ht="27" hidden="1" customHeight="1" x14ac:dyDescent="0.25">
      <c r="A361" s="60" t="s">
        <v>590</v>
      </c>
      <c r="B361" s="60" t="s">
        <v>591</v>
      </c>
      <c r="C361" s="34">
        <v>4301020179</v>
      </c>
      <c r="D361" s="555">
        <v>4607091384178</v>
      </c>
      <c r="E361" s="555"/>
      <c r="F361" s="59">
        <v>0.4</v>
      </c>
      <c r="G361" s="35">
        <v>10</v>
      </c>
      <c r="H361" s="59">
        <v>4</v>
      </c>
      <c r="I361" s="59">
        <v>4.1900000000000004</v>
      </c>
      <c r="J361" s="35">
        <v>132</v>
      </c>
      <c r="K361" s="35" t="s">
        <v>122</v>
      </c>
      <c r="L361" s="35" t="s">
        <v>45</v>
      </c>
      <c r="M361" s="36" t="s">
        <v>118</v>
      </c>
      <c r="N361" s="36"/>
      <c r="O361" s="35">
        <v>50</v>
      </c>
      <c r="P361" s="62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7"/>
      <c r="R361" s="557"/>
      <c r="S361" s="557"/>
      <c r="T361" s="558"/>
      <c r="U361" s="37" t="s">
        <v>45</v>
      </c>
      <c r="V361" s="37" t="s">
        <v>45</v>
      </c>
      <c r="W361" s="38" t="s">
        <v>0</v>
      </c>
      <c r="X361" s="56">
        <v>0</v>
      </c>
      <c r="Y361" s="53">
        <f>IFERROR(IF(X361="",0,CEILING((X361/$H361),1)*$H361),"")</f>
        <v>0</v>
      </c>
      <c r="Z361" s="39" t="str">
        <f>IFERROR(IF(Y361=0,"",ROUNDUP(Y361/H361,0)*0.00902),"")</f>
        <v/>
      </c>
      <c r="AA361" s="65" t="s">
        <v>45</v>
      </c>
      <c r="AB361" s="66" t="s">
        <v>45</v>
      </c>
      <c r="AC361" s="433" t="s">
        <v>592</v>
      </c>
      <c r="AG361" s="75"/>
      <c r="AJ361" s="79" t="s">
        <v>45</v>
      </c>
      <c r="AK361" s="79">
        <v>0</v>
      </c>
      <c r="BB361" s="434" t="s">
        <v>66</v>
      </c>
      <c r="BM361" s="75">
        <f>IFERROR(X361*I361/H361,"0")</f>
        <v>0</v>
      </c>
      <c r="BN361" s="75">
        <f>IFERROR(Y361*I361/H361,"0")</f>
        <v>0</v>
      </c>
      <c r="BO361" s="75">
        <f>IFERROR(1/J361*(X361/H361),"0")</f>
        <v>0</v>
      </c>
      <c r="BP361" s="75">
        <f>IFERROR(1/J361*(Y361/H361),"0")</f>
        <v>0</v>
      </c>
    </row>
    <row r="362" spans="1:68" x14ac:dyDescent="0.2">
      <c r="A362" s="562"/>
      <c r="B362" s="562"/>
      <c r="C362" s="562"/>
      <c r="D362" s="562"/>
      <c r="E362" s="562"/>
      <c r="F362" s="562"/>
      <c r="G362" s="562"/>
      <c r="H362" s="562"/>
      <c r="I362" s="562"/>
      <c r="J362" s="562"/>
      <c r="K362" s="562"/>
      <c r="L362" s="562"/>
      <c r="M362" s="562"/>
      <c r="N362" s="562"/>
      <c r="O362" s="563"/>
      <c r="P362" s="559" t="s">
        <v>40</v>
      </c>
      <c r="Q362" s="560"/>
      <c r="R362" s="560"/>
      <c r="S362" s="560"/>
      <c r="T362" s="560"/>
      <c r="U362" s="560"/>
      <c r="V362" s="561"/>
      <c r="W362" s="40" t="s">
        <v>39</v>
      </c>
      <c r="X362" s="41">
        <f>IFERROR(X360/H360,"0")+IFERROR(X361/H361,"0")</f>
        <v>32</v>
      </c>
      <c r="Y362" s="41">
        <f>IFERROR(Y360/H360,"0")+IFERROR(Y361/H361,"0")</f>
        <v>32</v>
      </c>
      <c r="Z362" s="41">
        <f>IFERROR(IF(Z360="",0,Z360),"0")+IFERROR(IF(Z361="",0,Z361),"0")</f>
        <v>0.69599999999999995</v>
      </c>
      <c r="AA362" s="64"/>
      <c r="AB362" s="64"/>
      <c r="AC362" s="64"/>
    </row>
    <row r="363" spans="1:68" x14ac:dyDescent="0.2">
      <c r="A363" s="562"/>
      <c r="B363" s="562"/>
      <c r="C363" s="562"/>
      <c r="D363" s="562"/>
      <c r="E363" s="562"/>
      <c r="F363" s="562"/>
      <c r="G363" s="562"/>
      <c r="H363" s="562"/>
      <c r="I363" s="562"/>
      <c r="J363" s="562"/>
      <c r="K363" s="562"/>
      <c r="L363" s="562"/>
      <c r="M363" s="562"/>
      <c r="N363" s="562"/>
      <c r="O363" s="563"/>
      <c r="P363" s="559" t="s">
        <v>40</v>
      </c>
      <c r="Q363" s="560"/>
      <c r="R363" s="560"/>
      <c r="S363" s="560"/>
      <c r="T363" s="560"/>
      <c r="U363" s="560"/>
      <c r="V363" s="561"/>
      <c r="W363" s="40" t="s">
        <v>0</v>
      </c>
      <c r="X363" s="41">
        <f>IFERROR(SUM(X360:X361),"0")</f>
        <v>480</v>
      </c>
      <c r="Y363" s="41">
        <f>IFERROR(SUM(Y360:Y361),"0")</f>
        <v>480</v>
      </c>
      <c r="Z363" s="40"/>
      <c r="AA363" s="64"/>
      <c r="AB363" s="64"/>
      <c r="AC363" s="64"/>
    </row>
    <row r="364" spans="1:68" ht="14.25" hidden="1" customHeight="1" x14ac:dyDescent="0.25">
      <c r="A364" s="554" t="s">
        <v>86</v>
      </c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4"/>
      <c r="P364" s="554"/>
      <c r="Q364" s="554"/>
      <c r="R364" s="554"/>
      <c r="S364" s="554"/>
      <c r="T364" s="554"/>
      <c r="U364" s="554"/>
      <c r="V364" s="554"/>
      <c r="W364" s="554"/>
      <c r="X364" s="554"/>
      <c r="Y364" s="554"/>
      <c r="Z364" s="554"/>
      <c r="AA364" s="63"/>
      <c r="AB364" s="63"/>
      <c r="AC364" s="63"/>
    </row>
    <row r="365" spans="1:68" ht="27" hidden="1" customHeight="1" x14ac:dyDescent="0.25">
      <c r="A365" s="60" t="s">
        <v>593</v>
      </c>
      <c r="B365" s="60" t="s">
        <v>594</v>
      </c>
      <c r="C365" s="34">
        <v>4301051903</v>
      </c>
      <c r="D365" s="555">
        <v>4607091383928</v>
      </c>
      <c r="E365" s="555"/>
      <c r="F365" s="59">
        <v>1.5</v>
      </c>
      <c r="G365" s="35">
        <v>6</v>
      </c>
      <c r="H365" s="59">
        <v>9</v>
      </c>
      <c r="I365" s="59">
        <v>9.5</v>
      </c>
      <c r="J365" s="35">
        <v>64</v>
      </c>
      <c r="K365" s="35" t="s">
        <v>119</v>
      </c>
      <c r="L365" s="35" t="s">
        <v>45</v>
      </c>
      <c r="M365" s="36" t="s">
        <v>90</v>
      </c>
      <c r="N365" s="36"/>
      <c r="O365" s="35">
        <v>40</v>
      </c>
      <c r="P365" s="622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7"/>
      <c r="R365" s="557"/>
      <c r="S365" s="557"/>
      <c r="T365" s="558"/>
      <c r="U365" s="37" t="s">
        <v>45</v>
      </c>
      <c r="V365" s="37" t="s">
        <v>45</v>
      </c>
      <c r="W365" s="38" t="s">
        <v>0</v>
      </c>
      <c r="X365" s="56">
        <v>0</v>
      </c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45</v>
      </c>
      <c r="AB365" s="66" t="s">
        <v>45</v>
      </c>
      <c r="AC365" s="435" t="s">
        <v>595</v>
      </c>
      <c r="AG365" s="75"/>
      <c r="AJ365" s="79" t="s">
        <v>45</v>
      </c>
      <c r="AK365" s="79">
        <v>0</v>
      </c>
      <c r="BB365" s="436" t="s">
        <v>66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27" hidden="1" customHeight="1" x14ac:dyDescent="0.25">
      <c r="A366" s="60" t="s">
        <v>596</v>
      </c>
      <c r="B366" s="60" t="s">
        <v>597</v>
      </c>
      <c r="C366" s="34">
        <v>4301051897</v>
      </c>
      <c r="D366" s="555">
        <v>4607091384260</v>
      </c>
      <c r="E366" s="555"/>
      <c r="F366" s="59">
        <v>1.5</v>
      </c>
      <c r="G366" s="35">
        <v>6</v>
      </c>
      <c r="H366" s="59">
        <v>9</v>
      </c>
      <c r="I366" s="59">
        <v>9.4939999999999998</v>
      </c>
      <c r="J366" s="35">
        <v>64</v>
      </c>
      <c r="K366" s="35" t="s">
        <v>119</v>
      </c>
      <c r="L366" s="35" t="s">
        <v>45</v>
      </c>
      <c r="M366" s="36" t="s">
        <v>90</v>
      </c>
      <c r="N366" s="36"/>
      <c r="O366" s="35">
        <v>40</v>
      </c>
      <c r="P366" s="623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7"/>
      <c r="R366" s="557"/>
      <c r="S366" s="557"/>
      <c r="T366" s="558"/>
      <c r="U366" s="37" t="s">
        <v>45</v>
      </c>
      <c r="V366" s="37" t="s">
        <v>45</v>
      </c>
      <c r="W366" s="38" t="s">
        <v>0</v>
      </c>
      <c r="X366" s="56">
        <v>0</v>
      </c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45</v>
      </c>
      <c r="AB366" s="66" t="s">
        <v>45</v>
      </c>
      <c r="AC366" s="437" t="s">
        <v>598</v>
      </c>
      <c r="AG366" s="75"/>
      <c r="AJ366" s="79" t="s">
        <v>45</v>
      </c>
      <c r="AK366" s="79">
        <v>0</v>
      </c>
      <c r="BB366" s="438" t="s">
        <v>66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idden="1" x14ac:dyDescent="0.2">
      <c r="A367" s="562"/>
      <c r="B367" s="562"/>
      <c r="C367" s="562"/>
      <c r="D367" s="562"/>
      <c r="E367" s="562"/>
      <c r="F367" s="562"/>
      <c r="G367" s="562"/>
      <c r="H367" s="562"/>
      <c r="I367" s="562"/>
      <c r="J367" s="562"/>
      <c r="K367" s="562"/>
      <c r="L367" s="562"/>
      <c r="M367" s="562"/>
      <c r="N367" s="562"/>
      <c r="O367" s="563"/>
      <c r="P367" s="559" t="s">
        <v>40</v>
      </c>
      <c r="Q367" s="560"/>
      <c r="R367" s="560"/>
      <c r="S367" s="560"/>
      <c r="T367" s="560"/>
      <c r="U367" s="560"/>
      <c r="V367" s="561"/>
      <c r="W367" s="40" t="s">
        <v>39</v>
      </c>
      <c r="X367" s="41">
        <f>IFERROR(X365/H365,"0")+IFERROR(X366/H366,"0")</f>
        <v>0</v>
      </c>
      <c r="Y367" s="41">
        <f>IFERROR(Y365/H365,"0")+IFERROR(Y366/H366,"0")</f>
        <v>0</v>
      </c>
      <c r="Z367" s="41">
        <f>IFERROR(IF(Z365="",0,Z365),"0")+IFERROR(IF(Z366="",0,Z366),"0")</f>
        <v>0</v>
      </c>
      <c r="AA367" s="64"/>
      <c r="AB367" s="64"/>
      <c r="AC367" s="64"/>
    </row>
    <row r="368" spans="1:68" hidden="1" x14ac:dyDescent="0.2">
      <c r="A368" s="562"/>
      <c r="B368" s="562"/>
      <c r="C368" s="562"/>
      <c r="D368" s="562"/>
      <c r="E368" s="562"/>
      <c r="F368" s="562"/>
      <c r="G368" s="562"/>
      <c r="H368" s="562"/>
      <c r="I368" s="562"/>
      <c r="J368" s="562"/>
      <c r="K368" s="562"/>
      <c r="L368" s="562"/>
      <c r="M368" s="562"/>
      <c r="N368" s="562"/>
      <c r="O368" s="563"/>
      <c r="P368" s="559" t="s">
        <v>40</v>
      </c>
      <c r="Q368" s="560"/>
      <c r="R368" s="560"/>
      <c r="S368" s="560"/>
      <c r="T368" s="560"/>
      <c r="U368" s="560"/>
      <c r="V368" s="561"/>
      <c r="W368" s="40" t="s">
        <v>0</v>
      </c>
      <c r="X368" s="41">
        <f>IFERROR(SUM(X365:X366),"0")</f>
        <v>0</v>
      </c>
      <c r="Y368" s="41">
        <f>IFERROR(SUM(Y365:Y366),"0")</f>
        <v>0</v>
      </c>
      <c r="Z368" s="40"/>
      <c r="AA368" s="64"/>
      <c r="AB368" s="64"/>
      <c r="AC368" s="64"/>
    </row>
    <row r="369" spans="1:68" ht="14.25" hidden="1" customHeight="1" x14ac:dyDescent="0.25">
      <c r="A369" s="554" t="s">
        <v>173</v>
      </c>
      <c r="B369" s="554"/>
      <c r="C369" s="554"/>
      <c r="D369" s="554"/>
      <c r="E369" s="554"/>
      <c r="F369" s="554"/>
      <c r="G369" s="554"/>
      <c r="H369" s="554"/>
      <c r="I369" s="554"/>
      <c r="J369" s="554"/>
      <c r="K369" s="554"/>
      <c r="L369" s="554"/>
      <c r="M369" s="554"/>
      <c r="N369" s="554"/>
      <c r="O369" s="554"/>
      <c r="P369" s="554"/>
      <c r="Q369" s="554"/>
      <c r="R369" s="554"/>
      <c r="S369" s="554"/>
      <c r="T369" s="554"/>
      <c r="U369" s="554"/>
      <c r="V369" s="554"/>
      <c r="W369" s="554"/>
      <c r="X369" s="554"/>
      <c r="Y369" s="554"/>
      <c r="Z369" s="554"/>
      <c r="AA369" s="63"/>
      <c r="AB369" s="63"/>
      <c r="AC369" s="63"/>
    </row>
    <row r="370" spans="1:68" ht="16.5" customHeight="1" x14ac:dyDescent="0.25">
      <c r="A370" s="60" t="s">
        <v>599</v>
      </c>
      <c r="B370" s="60" t="s">
        <v>600</v>
      </c>
      <c r="C370" s="34">
        <v>4301060524</v>
      </c>
      <c r="D370" s="555">
        <v>4607091384673</v>
      </c>
      <c r="E370" s="555"/>
      <c r="F370" s="59">
        <v>1.5</v>
      </c>
      <c r="G370" s="35">
        <v>6</v>
      </c>
      <c r="H370" s="59">
        <v>9</v>
      </c>
      <c r="I370" s="59">
        <v>9.4939999999999998</v>
      </c>
      <c r="J370" s="35">
        <v>64</v>
      </c>
      <c r="K370" s="35" t="s">
        <v>119</v>
      </c>
      <c r="L370" s="35" t="s">
        <v>45</v>
      </c>
      <c r="M370" s="36" t="s">
        <v>90</v>
      </c>
      <c r="N370" s="36"/>
      <c r="O370" s="35">
        <v>40</v>
      </c>
      <c r="P370" s="62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7"/>
      <c r="R370" s="557"/>
      <c r="S370" s="557"/>
      <c r="T370" s="558"/>
      <c r="U370" s="37" t="s">
        <v>45</v>
      </c>
      <c r="V370" s="37" t="s">
        <v>45</v>
      </c>
      <c r="W370" s="38" t="s">
        <v>0</v>
      </c>
      <c r="X370" s="56">
        <v>288</v>
      </c>
      <c r="Y370" s="53">
        <f>IFERROR(IF(X370="",0,CEILING((X370/$H370),1)*$H370),"")</f>
        <v>288</v>
      </c>
      <c r="Z370" s="39">
        <f>IFERROR(IF(Y370=0,"",ROUNDUP(Y370/H370,0)*0.01898),"")</f>
        <v>0.60736000000000001</v>
      </c>
      <c r="AA370" s="65" t="s">
        <v>45</v>
      </c>
      <c r="AB370" s="66" t="s">
        <v>45</v>
      </c>
      <c r="AC370" s="439" t="s">
        <v>601</v>
      </c>
      <c r="AG370" s="75"/>
      <c r="AJ370" s="79" t="s">
        <v>45</v>
      </c>
      <c r="AK370" s="79">
        <v>0</v>
      </c>
      <c r="BB370" s="440" t="s">
        <v>66</v>
      </c>
      <c r="BM370" s="75">
        <f>IFERROR(X370*I370/H370,"0")</f>
        <v>303.80799999999999</v>
      </c>
      <c r="BN370" s="75">
        <f>IFERROR(Y370*I370/H370,"0")</f>
        <v>303.80799999999999</v>
      </c>
      <c r="BO370" s="75">
        <f>IFERROR(1/J370*(X370/H370),"0")</f>
        <v>0.5</v>
      </c>
      <c r="BP370" s="75">
        <f>IFERROR(1/J370*(Y370/H370),"0")</f>
        <v>0.5</v>
      </c>
    </row>
    <row r="371" spans="1:68" x14ac:dyDescent="0.2">
      <c r="A371" s="562"/>
      <c r="B371" s="562"/>
      <c r="C371" s="562"/>
      <c r="D371" s="562"/>
      <c r="E371" s="562"/>
      <c r="F371" s="562"/>
      <c r="G371" s="562"/>
      <c r="H371" s="562"/>
      <c r="I371" s="562"/>
      <c r="J371" s="562"/>
      <c r="K371" s="562"/>
      <c r="L371" s="562"/>
      <c r="M371" s="562"/>
      <c r="N371" s="562"/>
      <c r="O371" s="563"/>
      <c r="P371" s="559" t="s">
        <v>40</v>
      </c>
      <c r="Q371" s="560"/>
      <c r="R371" s="560"/>
      <c r="S371" s="560"/>
      <c r="T371" s="560"/>
      <c r="U371" s="560"/>
      <c r="V371" s="561"/>
      <c r="W371" s="40" t="s">
        <v>39</v>
      </c>
      <c r="X371" s="41">
        <f>IFERROR(X370/H370,"0")</f>
        <v>32</v>
      </c>
      <c r="Y371" s="41">
        <f>IFERROR(Y370/H370,"0")</f>
        <v>32</v>
      </c>
      <c r="Z371" s="41">
        <f>IFERROR(IF(Z370="",0,Z370),"0")</f>
        <v>0.60736000000000001</v>
      </c>
      <c r="AA371" s="64"/>
      <c r="AB371" s="64"/>
      <c r="AC371" s="64"/>
    </row>
    <row r="372" spans="1:68" x14ac:dyDescent="0.2">
      <c r="A372" s="562"/>
      <c r="B372" s="562"/>
      <c r="C372" s="562"/>
      <c r="D372" s="562"/>
      <c r="E372" s="562"/>
      <c r="F372" s="562"/>
      <c r="G372" s="562"/>
      <c r="H372" s="562"/>
      <c r="I372" s="562"/>
      <c r="J372" s="562"/>
      <c r="K372" s="562"/>
      <c r="L372" s="562"/>
      <c r="M372" s="562"/>
      <c r="N372" s="562"/>
      <c r="O372" s="563"/>
      <c r="P372" s="559" t="s">
        <v>40</v>
      </c>
      <c r="Q372" s="560"/>
      <c r="R372" s="560"/>
      <c r="S372" s="560"/>
      <c r="T372" s="560"/>
      <c r="U372" s="560"/>
      <c r="V372" s="561"/>
      <c r="W372" s="40" t="s">
        <v>0</v>
      </c>
      <c r="X372" s="41">
        <f>IFERROR(SUM(X370:X370),"0")</f>
        <v>288</v>
      </c>
      <c r="Y372" s="41">
        <f>IFERROR(SUM(Y370:Y370),"0")</f>
        <v>288</v>
      </c>
      <c r="Z372" s="40"/>
      <c r="AA372" s="64"/>
      <c r="AB372" s="64"/>
      <c r="AC372" s="64"/>
    </row>
    <row r="373" spans="1:68" ht="16.5" hidden="1" customHeight="1" x14ac:dyDescent="0.25">
      <c r="A373" s="553" t="s">
        <v>602</v>
      </c>
      <c r="B373" s="553"/>
      <c r="C373" s="553"/>
      <c r="D373" s="553"/>
      <c r="E373" s="553"/>
      <c r="F373" s="553"/>
      <c r="G373" s="553"/>
      <c r="H373" s="553"/>
      <c r="I373" s="553"/>
      <c r="J373" s="553"/>
      <c r="K373" s="553"/>
      <c r="L373" s="553"/>
      <c r="M373" s="553"/>
      <c r="N373" s="553"/>
      <c r="O373" s="553"/>
      <c r="P373" s="553"/>
      <c r="Q373" s="553"/>
      <c r="R373" s="553"/>
      <c r="S373" s="553"/>
      <c r="T373" s="553"/>
      <c r="U373" s="553"/>
      <c r="V373" s="553"/>
      <c r="W373" s="553"/>
      <c r="X373" s="553"/>
      <c r="Y373" s="553"/>
      <c r="Z373" s="553"/>
      <c r="AA373" s="62"/>
      <c r="AB373" s="62"/>
      <c r="AC373" s="62"/>
    </row>
    <row r="374" spans="1:68" ht="14.25" hidden="1" customHeight="1" x14ac:dyDescent="0.25">
      <c r="A374" s="554" t="s">
        <v>114</v>
      </c>
      <c r="B374" s="554"/>
      <c r="C374" s="554"/>
      <c r="D374" s="554"/>
      <c r="E374" s="554"/>
      <c r="F374" s="554"/>
      <c r="G374" s="554"/>
      <c r="H374" s="554"/>
      <c r="I374" s="554"/>
      <c r="J374" s="554"/>
      <c r="K374" s="554"/>
      <c r="L374" s="554"/>
      <c r="M374" s="554"/>
      <c r="N374" s="554"/>
      <c r="O374" s="554"/>
      <c r="P374" s="554"/>
      <c r="Q374" s="554"/>
      <c r="R374" s="554"/>
      <c r="S374" s="554"/>
      <c r="T374" s="554"/>
      <c r="U374" s="554"/>
      <c r="V374" s="554"/>
      <c r="W374" s="554"/>
      <c r="X374" s="554"/>
      <c r="Y374" s="554"/>
      <c r="Z374" s="554"/>
      <c r="AA374" s="63"/>
      <c r="AB374" s="63"/>
      <c r="AC374" s="63"/>
    </row>
    <row r="375" spans="1:68" ht="37.5" hidden="1" customHeight="1" x14ac:dyDescent="0.25">
      <c r="A375" s="60" t="s">
        <v>603</v>
      </c>
      <c r="B375" s="60" t="s">
        <v>604</v>
      </c>
      <c r="C375" s="34">
        <v>4301011875</v>
      </c>
      <c r="D375" s="555">
        <v>4680115884885</v>
      </c>
      <c r="E375" s="555"/>
      <c r="F375" s="59">
        <v>0.8</v>
      </c>
      <c r="G375" s="35">
        <v>15</v>
      </c>
      <c r="H375" s="59">
        <v>12</v>
      </c>
      <c r="I375" s="59">
        <v>12.41</v>
      </c>
      <c r="J375" s="35">
        <v>64</v>
      </c>
      <c r="K375" s="35" t="s">
        <v>119</v>
      </c>
      <c r="L375" s="35" t="s">
        <v>45</v>
      </c>
      <c r="M375" s="36" t="s">
        <v>80</v>
      </c>
      <c r="N375" s="36"/>
      <c r="O375" s="35">
        <v>60</v>
      </c>
      <c r="P375" s="62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7"/>
      <c r="R375" s="557"/>
      <c r="S375" s="557"/>
      <c r="T375" s="558"/>
      <c r="U375" s="37" t="s">
        <v>45</v>
      </c>
      <c r="V375" s="37" t="s">
        <v>45</v>
      </c>
      <c r="W375" s="38" t="s">
        <v>0</v>
      </c>
      <c r="X375" s="56">
        <v>0</v>
      </c>
      <c r="Y375" s="53">
        <f>IFERROR(IF(X375="",0,CEILING((X375/$H375),1)*$H375),"")</f>
        <v>0</v>
      </c>
      <c r="Z375" s="39" t="str">
        <f>IFERROR(IF(Y375=0,"",ROUNDUP(Y375/H375,0)*0.01898),"")</f>
        <v/>
      </c>
      <c r="AA375" s="65" t="s">
        <v>45</v>
      </c>
      <c r="AB375" s="66" t="s">
        <v>45</v>
      </c>
      <c r="AC375" s="441" t="s">
        <v>605</v>
      </c>
      <c r="AG375" s="75"/>
      <c r="AJ375" s="79" t="s">
        <v>45</v>
      </c>
      <c r="AK375" s="79">
        <v>0</v>
      </c>
      <c r="BB375" s="442" t="s">
        <v>66</v>
      </c>
      <c r="BM375" s="75">
        <f>IFERROR(X375*I375/H375,"0")</f>
        <v>0</v>
      </c>
      <c r="BN375" s="75">
        <f>IFERROR(Y375*I375/H375,"0")</f>
        <v>0</v>
      </c>
      <c r="BO375" s="75">
        <f>IFERROR(1/J375*(X375/H375),"0")</f>
        <v>0</v>
      </c>
      <c r="BP375" s="75">
        <f>IFERROR(1/J375*(Y375/H375),"0")</f>
        <v>0</v>
      </c>
    </row>
    <row r="376" spans="1:68" ht="37.5" hidden="1" customHeight="1" x14ac:dyDescent="0.25">
      <c r="A376" s="60" t="s">
        <v>606</v>
      </c>
      <c r="B376" s="60" t="s">
        <v>607</v>
      </c>
      <c r="C376" s="34">
        <v>4301011871</v>
      </c>
      <c r="D376" s="555">
        <v>4680115884908</v>
      </c>
      <c r="E376" s="555"/>
      <c r="F376" s="59">
        <v>0.4</v>
      </c>
      <c r="G376" s="35">
        <v>10</v>
      </c>
      <c r="H376" s="59">
        <v>4</v>
      </c>
      <c r="I376" s="59">
        <v>4.1900000000000004</v>
      </c>
      <c r="J376" s="35">
        <v>132</v>
      </c>
      <c r="K376" s="35" t="s">
        <v>122</v>
      </c>
      <c r="L376" s="35" t="s">
        <v>45</v>
      </c>
      <c r="M376" s="36" t="s">
        <v>80</v>
      </c>
      <c r="N376" s="36"/>
      <c r="O376" s="35">
        <v>60</v>
      </c>
      <c r="P376" s="6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7"/>
      <c r="R376" s="557"/>
      <c r="S376" s="557"/>
      <c r="T376" s="558"/>
      <c r="U376" s="37" t="s">
        <v>45</v>
      </c>
      <c r="V376" s="37" t="s">
        <v>45</v>
      </c>
      <c r="W376" s="38" t="s">
        <v>0</v>
      </c>
      <c r="X376" s="56">
        <v>0</v>
      </c>
      <c r="Y376" s="53">
        <f>IFERROR(IF(X376="",0,CEILING((X376/$H376),1)*$H376),"")</f>
        <v>0</v>
      </c>
      <c r="Z376" s="39" t="str">
        <f>IFERROR(IF(Y376=0,"",ROUNDUP(Y376/H376,0)*0.00902),"")</f>
        <v/>
      </c>
      <c r="AA376" s="65" t="s">
        <v>45</v>
      </c>
      <c r="AB376" s="66" t="s">
        <v>45</v>
      </c>
      <c r="AC376" s="443" t="s">
        <v>605</v>
      </c>
      <c r="AG376" s="75"/>
      <c r="AJ376" s="79" t="s">
        <v>45</v>
      </c>
      <c r="AK376" s="79">
        <v>0</v>
      </c>
      <c r="BB376" s="444" t="s">
        <v>66</v>
      </c>
      <c r="BM376" s="75">
        <f>IFERROR(X376*I376/H376,"0")</f>
        <v>0</v>
      </c>
      <c r="BN376" s="75">
        <f>IFERROR(Y376*I376/H376,"0")</f>
        <v>0</v>
      </c>
      <c r="BO376" s="75">
        <f>IFERROR(1/J376*(X376/H376),"0")</f>
        <v>0</v>
      </c>
      <c r="BP376" s="75">
        <f>IFERROR(1/J376*(Y376/H376),"0")</f>
        <v>0</v>
      </c>
    </row>
    <row r="377" spans="1:68" hidden="1" x14ac:dyDescent="0.2">
      <c r="A377" s="562"/>
      <c r="B377" s="562"/>
      <c r="C377" s="562"/>
      <c r="D377" s="562"/>
      <c r="E377" s="562"/>
      <c r="F377" s="562"/>
      <c r="G377" s="562"/>
      <c r="H377" s="562"/>
      <c r="I377" s="562"/>
      <c r="J377" s="562"/>
      <c r="K377" s="562"/>
      <c r="L377" s="562"/>
      <c r="M377" s="562"/>
      <c r="N377" s="562"/>
      <c r="O377" s="563"/>
      <c r="P377" s="559" t="s">
        <v>40</v>
      </c>
      <c r="Q377" s="560"/>
      <c r="R377" s="560"/>
      <c r="S377" s="560"/>
      <c r="T377" s="560"/>
      <c r="U377" s="560"/>
      <c r="V377" s="561"/>
      <c r="W377" s="40" t="s">
        <v>39</v>
      </c>
      <c r="X377" s="41">
        <f>IFERROR(X375/H375,"0")+IFERROR(X376/H376,"0")</f>
        <v>0</v>
      </c>
      <c r="Y377" s="41">
        <f>IFERROR(Y375/H375,"0")+IFERROR(Y376/H376,"0")</f>
        <v>0</v>
      </c>
      <c r="Z377" s="41">
        <f>IFERROR(IF(Z375="",0,Z375),"0")+IFERROR(IF(Z376="",0,Z376),"0")</f>
        <v>0</v>
      </c>
      <c r="AA377" s="64"/>
      <c r="AB377" s="64"/>
      <c r="AC377" s="64"/>
    </row>
    <row r="378" spans="1:68" hidden="1" x14ac:dyDescent="0.2">
      <c r="A378" s="562"/>
      <c r="B378" s="562"/>
      <c r="C378" s="562"/>
      <c r="D378" s="562"/>
      <c r="E378" s="562"/>
      <c r="F378" s="562"/>
      <c r="G378" s="562"/>
      <c r="H378" s="562"/>
      <c r="I378" s="562"/>
      <c r="J378" s="562"/>
      <c r="K378" s="562"/>
      <c r="L378" s="562"/>
      <c r="M378" s="562"/>
      <c r="N378" s="562"/>
      <c r="O378" s="563"/>
      <c r="P378" s="559" t="s">
        <v>40</v>
      </c>
      <c r="Q378" s="560"/>
      <c r="R378" s="560"/>
      <c r="S378" s="560"/>
      <c r="T378" s="560"/>
      <c r="U378" s="560"/>
      <c r="V378" s="561"/>
      <c r="W378" s="40" t="s">
        <v>0</v>
      </c>
      <c r="X378" s="41">
        <f>IFERROR(SUM(X375:X376),"0")</f>
        <v>0</v>
      </c>
      <c r="Y378" s="41">
        <f>IFERROR(SUM(Y375:Y376),"0")</f>
        <v>0</v>
      </c>
      <c r="Z378" s="40"/>
      <c r="AA378" s="64"/>
      <c r="AB378" s="64"/>
      <c r="AC378" s="64"/>
    </row>
    <row r="379" spans="1:68" ht="14.25" hidden="1" customHeight="1" x14ac:dyDescent="0.25">
      <c r="A379" s="554" t="s">
        <v>76</v>
      </c>
      <c r="B379" s="554"/>
      <c r="C379" s="554"/>
      <c r="D379" s="554"/>
      <c r="E379" s="554"/>
      <c r="F379" s="554"/>
      <c r="G379" s="554"/>
      <c r="H379" s="554"/>
      <c r="I379" s="554"/>
      <c r="J379" s="554"/>
      <c r="K379" s="554"/>
      <c r="L379" s="554"/>
      <c r="M379" s="554"/>
      <c r="N379" s="554"/>
      <c r="O379" s="554"/>
      <c r="P379" s="554"/>
      <c r="Q379" s="554"/>
      <c r="R379" s="554"/>
      <c r="S379" s="554"/>
      <c r="T379" s="554"/>
      <c r="U379" s="554"/>
      <c r="V379" s="554"/>
      <c r="W379" s="554"/>
      <c r="X379" s="554"/>
      <c r="Y379" s="554"/>
      <c r="Z379" s="554"/>
      <c r="AA379" s="63"/>
      <c r="AB379" s="63"/>
      <c r="AC379" s="63"/>
    </row>
    <row r="380" spans="1:68" ht="27" hidden="1" customHeight="1" x14ac:dyDescent="0.25">
      <c r="A380" s="60" t="s">
        <v>608</v>
      </c>
      <c r="B380" s="60" t="s">
        <v>609</v>
      </c>
      <c r="C380" s="34">
        <v>4301031457</v>
      </c>
      <c r="D380" s="555">
        <v>4607091384802</v>
      </c>
      <c r="E380" s="555"/>
      <c r="F380" s="59">
        <v>0.7</v>
      </c>
      <c r="G380" s="35">
        <v>6</v>
      </c>
      <c r="H380" s="59">
        <v>4.2</v>
      </c>
      <c r="I380" s="59">
        <v>4.45</v>
      </c>
      <c r="J380" s="35">
        <v>132</v>
      </c>
      <c r="K380" s="35" t="s">
        <v>122</v>
      </c>
      <c r="L380" s="35" t="s">
        <v>45</v>
      </c>
      <c r="M380" s="36" t="s">
        <v>80</v>
      </c>
      <c r="N380" s="36"/>
      <c r="O380" s="35">
        <v>50</v>
      </c>
      <c r="P380" s="61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0" s="557"/>
      <c r="R380" s="557"/>
      <c r="S380" s="557"/>
      <c r="T380" s="558"/>
      <c r="U380" s="37" t="s">
        <v>45</v>
      </c>
      <c r="V380" s="37" t="s">
        <v>45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IFERROR(IF(Y380=0,"",ROUNDUP(Y380/H380,0)*0.00902),"")</f>
        <v/>
      </c>
      <c r="AA380" s="65" t="s">
        <v>45</v>
      </c>
      <c r="AB380" s="66" t="s">
        <v>45</v>
      </c>
      <c r="AC380" s="445" t="s">
        <v>610</v>
      </c>
      <c r="AG380" s="75"/>
      <c r="AJ380" s="79" t="s">
        <v>45</v>
      </c>
      <c r="AK380" s="79">
        <v>0</v>
      </c>
      <c r="BB380" s="446" t="s">
        <v>66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562"/>
      <c r="B381" s="562"/>
      <c r="C381" s="562"/>
      <c r="D381" s="562"/>
      <c r="E381" s="562"/>
      <c r="F381" s="562"/>
      <c r="G381" s="562"/>
      <c r="H381" s="562"/>
      <c r="I381" s="562"/>
      <c r="J381" s="562"/>
      <c r="K381" s="562"/>
      <c r="L381" s="562"/>
      <c r="M381" s="562"/>
      <c r="N381" s="562"/>
      <c r="O381" s="563"/>
      <c r="P381" s="559" t="s">
        <v>40</v>
      </c>
      <c r="Q381" s="560"/>
      <c r="R381" s="560"/>
      <c r="S381" s="560"/>
      <c r="T381" s="560"/>
      <c r="U381" s="560"/>
      <c r="V381" s="561"/>
      <c r="W381" s="40" t="s">
        <v>39</v>
      </c>
      <c r="X381" s="41">
        <f>IFERROR(X380/H380,"0")</f>
        <v>0</v>
      </c>
      <c r="Y381" s="41">
        <f>IFERROR(Y380/H380,"0")</f>
        <v>0</v>
      </c>
      <c r="Z381" s="41">
        <f>IFERROR(IF(Z380="",0,Z380),"0")</f>
        <v>0</v>
      </c>
      <c r="AA381" s="64"/>
      <c r="AB381" s="64"/>
      <c r="AC381" s="64"/>
    </row>
    <row r="382" spans="1:68" hidden="1" x14ac:dyDescent="0.2">
      <c r="A382" s="562"/>
      <c r="B382" s="562"/>
      <c r="C382" s="562"/>
      <c r="D382" s="562"/>
      <c r="E382" s="562"/>
      <c r="F382" s="562"/>
      <c r="G382" s="562"/>
      <c r="H382" s="562"/>
      <c r="I382" s="562"/>
      <c r="J382" s="562"/>
      <c r="K382" s="562"/>
      <c r="L382" s="562"/>
      <c r="M382" s="562"/>
      <c r="N382" s="562"/>
      <c r="O382" s="563"/>
      <c r="P382" s="559" t="s">
        <v>40</v>
      </c>
      <c r="Q382" s="560"/>
      <c r="R382" s="560"/>
      <c r="S382" s="560"/>
      <c r="T382" s="560"/>
      <c r="U382" s="560"/>
      <c r="V382" s="561"/>
      <c r="W382" s="40" t="s">
        <v>0</v>
      </c>
      <c r="X382" s="41">
        <f>IFERROR(SUM(X380:X380),"0")</f>
        <v>0</v>
      </c>
      <c r="Y382" s="41">
        <f>IFERROR(SUM(Y380:Y380),"0")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554" t="s">
        <v>86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63"/>
      <c r="AB383" s="63"/>
      <c r="AC383" s="63"/>
    </row>
    <row r="384" spans="1:68" ht="27" customHeight="1" x14ac:dyDescent="0.25">
      <c r="A384" s="60" t="s">
        <v>611</v>
      </c>
      <c r="B384" s="60" t="s">
        <v>612</v>
      </c>
      <c r="C384" s="34">
        <v>4301051899</v>
      </c>
      <c r="D384" s="555">
        <v>4607091384246</v>
      </c>
      <c r="E384" s="555"/>
      <c r="F384" s="59">
        <v>1.5</v>
      </c>
      <c r="G384" s="35">
        <v>6</v>
      </c>
      <c r="H384" s="59">
        <v>9</v>
      </c>
      <c r="I384" s="59">
        <v>9.4939999999999998</v>
      </c>
      <c r="J384" s="35">
        <v>64</v>
      </c>
      <c r="K384" s="35" t="s">
        <v>119</v>
      </c>
      <c r="L384" s="35" t="s">
        <v>45</v>
      </c>
      <c r="M384" s="36" t="s">
        <v>90</v>
      </c>
      <c r="N384" s="36"/>
      <c r="O384" s="35">
        <v>40</v>
      </c>
      <c r="P384" s="616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4" s="557"/>
      <c r="R384" s="557"/>
      <c r="S384" s="557"/>
      <c r="T384" s="558"/>
      <c r="U384" s="37" t="s">
        <v>45</v>
      </c>
      <c r="V384" s="37" t="s">
        <v>45</v>
      </c>
      <c r="W384" s="38" t="s">
        <v>0</v>
      </c>
      <c r="X384" s="56">
        <v>144</v>
      </c>
      <c r="Y384" s="53">
        <f>IFERROR(IF(X384="",0,CEILING((X384/$H384),1)*$H384),"")</f>
        <v>144</v>
      </c>
      <c r="Z384" s="39">
        <f>IFERROR(IF(Y384=0,"",ROUNDUP(Y384/H384,0)*0.01898),"")</f>
        <v>0.30368000000000001</v>
      </c>
      <c r="AA384" s="65" t="s">
        <v>45</v>
      </c>
      <c r="AB384" s="66" t="s">
        <v>45</v>
      </c>
      <c r="AC384" s="447" t="s">
        <v>613</v>
      </c>
      <c r="AG384" s="75"/>
      <c r="AJ384" s="79" t="s">
        <v>45</v>
      </c>
      <c r="AK384" s="79">
        <v>0</v>
      </c>
      <c r="BB384" s="448" t="s">
        <v>66</v>
      </c>
      <c r="BM384" s="75">
        <f>IFERROR(X384*I384/H384,"0")</f>
        <v>151.904</v>
      </c>
      <c r="BN384" s="75">
        <f>IFERROR(Y384*I384/H384,"0")</f>
        <v>151.904</v>
      </c>
      <c r="BO384" s="75">
        <f>IFERROR(1/J384*(X384/H384),"0")</f>
        <v>0.25</v>
      </c>
      <c r="BP384" s="75">
        <f>IFERROR(1/J384*(Y384/H384),"0")</f>
        <v>0.25</v>
      </c>
    </row>
    <row r="385" spans="1:68" ht="27" customHeight="1" x14ac:dyDescent="0.25">
      <c r="A385" s="60" t="s">
        <v>614</v>
      </c>
      <c r="B385" s="60" t="s">
        <v>615</v>
      </c>
      <c r="C385" s="34">
        <v>4301051660</v>
      </c>
      <c r="D385" s="555">
        <v>4607091384253</v>
      </c>
      <c r="E385" s="555"/>
      <c r="F385" s="59">
        <v>0.4</v>
      </c>
      <c r="G385" s="35">
        <v>6</v>
      </c>
      <c r="H385" s="59">
        <v>2.4</v>
      </c>
      <c r="I385" s="59">
        <v>2.6640000000000001</v>
      </c>
      <c r="J385" s="35">
        <v>182</v>
      </c>
      <c r="K385" s="35" t="s">
        <v>81</v>
      </c>
      <c r="L385" s="35" t="s">
        <v>45</v>
      </c>
      <c r="M385" s="36" t="s">
        <v>90</v>
      </c>
      <c r="N385" s="36"/>
      <c r="O385" s="35">
        <v>40</v>
      </c>
      <c r="P385" s="617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5" s="557"/>
      <c r="R385" s="557"/>
      <c r="S385" s="557"/>
      <c r="T385" s="558"/>
      <c r="U385" s="37" t="s">
        <v>45</v>
      </c>
      <c r="V385" s="37" t="s">
        <v>45</v>
      </c>
      <c r="W385" s="38" t="s">
        <v>0</v>
      </c>
      <c r="X385" s="56">
        <v>86.4</v>
      </c>
      <c r="Y385" s="53">
        <f>IFERROR(IF(X385="",0,CEILING((X385/$H385),1)*$H385),"")</f>
        <v>86.399999999999991</v>
      </c>
      <c r="Z385" s="39">
        <f>IFERROR(IF(Y385=0,"",ROUNDUP(Y385/H385,0)*0.00651),"")</f>
        <v>0.23436000000000001</v>
      </c>
      <c r="AA385" s="65" t="s">
        <v>45</v>
      </c>
      <c r="AB385" s="66" t="s">
        <v>45</v>
      </c>
      <c r="AC385" s="449" t="s">
        <v>613</v>
      </c>
      <c r="AG385" s="75"/>
      <c r="AJ385" s="79" t="s">
        <v>45</v>
      </c>
      <c r="AK385" s="79">
        <v>0</v>
      </c>
      <c r="BB385" s="450" t="s">
        <v>66</v>
      </c>
      <c r="BM385" s="75">
        <f>IFERROR(X385*I385/H385,"0")</f>
        <v>95.904000000000011</v>
      </c>
      <c r="BN385" s="75">
        <f>IFERROR(Y385*I385/H385,"0")</f>
        <v>95.904000000000011</v>
      </c>
      <c r="BO385" s="75">
        <f>IFERROR(1/J385*(X385/H385),"0")</f>
        <v>0.19780219780219785</v>
      </c>
      <c r="BP385" s="75">
        <f>IFERROR(1/J385*(Y385/H385),"0")</f>
        <v>0.19780219780219782</v>
      </c>
    </row>
    <row r="386" spans="1:68" ht="27" hidden="1" customHeight="1" x14ac:dyDescent="0.25">
      <c r="A386" s="60" t="s">
        <v>614</v>
      </c>
      <c r="B386" s="60" t="s">
        <v>616</v>
      </c>
      <c r="C386" s="34">
        <v>4301052069</v>
      </c>
      <c r="D386" s="555">
        <v>4607091384253</v>
      </c>
      <c r="E386" s="555"/>
      <c r="F386" s="59">
        <v>0.4</v>
      </c>
      <c r="G386" s="35">
        <v>6</v>
      </c>
      <c r="H386" s="59">
        <v>2.4</v>
      </c>
      <c r="I386" s="59">
        <v>2.6640000000000001</v>
      </c>
      <c r="J386" s="35">
        <v>182</v>
      </c>
      <c r="K386" s="35" t="s">
        <v>81</v>
      </c>
      <c r="L386" s="35" t="s">
        <v>45</v>
      </c>
      <c r="M386" s="36" t="s">
        <v>90</v>
      </c>
      <c r="N386" s="36"/>
      <c r="O386" s="35">
        <v>40</v>
      </c>
      <c r="P386" s="618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6" s="557"/>
      <c r="R386" s="557"/>
      <c r="S386" s="557"/>
      <c r="T386" s="558"/>
      <c r="U386" s="37" t="s">
        <v>45</v>
      </c>
      <c r="V386" s="37" t="s">
        <v>45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 t="s">
        <v>45</v>
      </c>
      <c r="AB386" s="66" t="s">
        <v>45</v>
      </c>
      <c r="AC386" s="451" t="s">
        <v>617</v>
      </c>
      <c r="AG386" s="75"/>
      <c r="AJ386" s="79" t="s">
        <v>45</v>
      </c>
      <c r="AK386" s="79">
        <v>0</v>
      </c>
      <c r="BB386" s="452" t="s">
        <v>66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x14ac:dyDescent="0.2">
      <c r="A387" s="562"/>
      <c r="B387" s="562"/>
      <c r="C387" s="562"/>
      <c r="D387" s="562"/>
      <c r="E387" s="562"/>
      <c r="F387" s="562"/>
      <c r="G387" s="562"/>
      <c r="H387" s="562"/>
      <c r="I387" s="562"/>
      <c r="J387" s="562"/>
      <c r="K387" s="562"/>
      <c r="L387" s="562"/>
      <c r="M387" s="562"/>
      <c r="N387" s="562"/>
      <c r="O387" s="563"/>
      <c r="P387" s="559" t="s">
        <v>40</v>
      </c>
      <c r="Q387" s="560"/>
      <c r="R387" s="560"/>
      <c r="S387" s="560"/>
      <c r="T387" s="560"/>
      <c r="U387" s="560"/>
      <c r="V387" s="561"/>
      <c r="W387" s="40" t="s">
        <v>39</v>
      </c>
      <c r="X387" s="41">
        <f>IFERROR(X384/H384,"0")+IFERROR(X385/H385,"0")+IFERROR(X386/H386,"0")</f>
        <v>52.000000000000007</v>
      </c>
      <c r="Y387" s="41">
        <f>IFERROR(Y384/H384,"0")+IFERROR(Y385/H385,"0")+IFERROR(Y386/H386,"0")</f>
        <v>52</v>
      </c>
      <c r="Z387" s="41">
        <f>IFERROR(IF(Z384="",0,Z384),"0")+IFERROR(IF(Z385="",0,Z385),"0")+IFERROR(IF(Z386="",0,Z386),"0")</f>
        <v>0.53804000000000007</v>
      </c>
      <c r="AA387" s="64"/>
      <c r="AB387" s="64"/>
      <c r="AC387" s="64"/>
    </row>
    <row r="388" spans="1:68" x14ac:dyDescent="0.2">
      <c r="A388" s="562"/>
      <c r="B388" s="562"/>
      <c r="C388" s="562"/>
      <c r="D388" s="562"/>
      <c r="E388" s="562"/>
      <c r="F388" s="562"/>
      <c r="G388" s="562"/>
      <c r="H388" s="562"/>
      <c r="I388" s="562"/>
      <c r="J388" s="562"/>
      <c r="K388" s="562"/>
      <c r="L388" s="562"/>
      <c r="M388" s="562"/>
      <c r="N388" s="562"/>
      <c r="O388" s="563"/>
      <c r="P388" s="559" t="s">
        <v>40</v>
      </c>
      <c r="Q388" s="560"/>
      <c r="R388" s="560"/>
      <c r="S388" s="560"/>
      <c r="T388" s="560"/>
      <c r="U388" s="560"/>
      <c r="V388" s="561"/>
      <c r="W388" s="40" t="s">
        <v>0</v>
      </c>
      <c r="X388" s="41">
        <f>IFERROR(SUM(X384:X386),"0")</f>
        <v>230.4</v>
      </c>
      <c r="Y388" s="41">
        <f>IFERROR(SUM(Y384:Y386),"0")</f>
        <v>230.39999999999998</v>
      </c>
      <c r="Z388" s="40"/>
      <c r="AA388" s="64"/>
      <c r="AB388" s="64"/>
      <c r="AC388" s="64"/>
    </row>
    <row r="389" spans="1:68" ht="27.75" hidden="1" customHeight="1" x14ac:dyDescent="0.2">
      <c r="A389" s="574" t="s">
        <v>618</v>
      </c>
      <c r="B389" s="574"/>
      <c r="C389" s="574"/>
      <c r="D389" s="574"/>
      <c r="E389" s="574"/>
      <c r="F389" s="574"/>
      <c r="G389" s="574"/>
      <c r="H389" s="574"/>
      <c r="I389" s="574"/>
      <c r="J389" s="574"/>
      <c r="K389" s="574"/>
      <c r="L389" s="574"/>
      <c r="M389" s="574"/>
      <c r="N389" s="574"/>
      <c r="O389" s="574"/>
      <c r="P389" s="574"/>
      <c r="Q389" s="574"/>
      <c r="R389" s="574"/>
      <c r="S389" s="574"/>
      <c r="T389" s="574"/>
      <c r="U389" s="574"/>
      <c r="V389" s="574"/>
      <c r="W389" s="574"/>
      <c r="X389" s="574"/>
      <c r="Y389" s="574"/>
      <c r="Z389" s="574"/>
      <c r="AA389" s="52"/>
      <c r="AB389" s="52"/>
      <c r="AC389" s="52"/>
    </row>
    <row r="390" spans="1:68" ht="16.5" hidden="1" customHeight="1" x14ac:dyDescent="0.25">
      <c r="A390" s="553" t="s">
        <v>619</v>
      </c>
      <c r="B390" s="553"/>
      <c r="C390" s="553"/>
      <c r="D390" s="553"/>
      <c r="E390" s="553"/>
      <c r="F390" s="553"/>
      <c r="G390" s="553"/>
      <c r="H390" s="553"/>
      <c r="I390" s="553"/>
      <c r="J390" s="553"/>
      <c r="K390" s="553"/>
      <c r="L390" s="553"/>
      <c r="M390" s="553"/>
      <c r="N390" s="553"/>
      <c r="O390" s="553"/>
      <c r="P390" s="553"/>
      <c r="Q390" s="553"/>
      <c r="R390" s="553"/>
      <c r="S390" s="553"/>
      <c r="T390" s="553"/>
      <c r="U390" s="553"/>
      <c r="V390" s="553"/>
      <c r="W390" s="553"/>
      <c r="X390" s="553"/>
      <c r="Y390" s="553"/>
      <c r="Z390" s="553"/>
      <c r="AA390" s="62"/>
      <c r="AB390" s="62"/>
      <c r="AC390" s="62"/>
    </row>
    <row r="391" spans="1:68" ht="14.25" hidden="1" customHeight="1" x14ac:dyDescent="0.25">
      <c r="A391" s="554" t="s">
        <v>76</v>
      </c>
      <c r="B391" s="554"/>
      <c r="C391" s="554"/>
      <c r="D391" s="554"/>
      <c r="E391" s="554"/>
      <c r="F391" s="554"/>
      <c r="G391" s="554"/>
      <c r="H391" s="554"/>
      <c r="I391" s="554"/>
      <c r="J391" s="554"/>
      <c r="K391" s="554"/>
      <c r="L391" s="554"/>
      <c r="M391" s="554"/>
      <c r="N391" s="554"/>
      <c r="O391" s="554"/>
      <c r="P391" s="554"/>
      <c r="Q391" s="554"/>
      <c r="R391" s="554"/>
      <c r="S391" s="554"/>
      <c r="T391" s="554"/>
      <c r="U391" s="554"/>
      <c r="V391" s="554"/>
      <c r="W391" s="554"/>
      <c r="X391" s="554"/>
      <c r="Y391" s="554"/>
      <c r="Z391" s="554"/>
      <c r="AA391" s="63"/>
      <c r="AB391" s="63"/>
      <c r="AC391" s="63"/>
    </row>
    <row r="392" spans="1:68" ht="27" hidden="1" customHeight="1" x14ac:dyDescent="0.25">
      <c r="A392" s="60" t="s">
        <v>620</v>
      </c>
      <c r="B392" s="60" t="s">
        <v>621</v>
      </c>
      <c r="C392" s="34">
        <v>4301031405</v>
      </c>
      <c r="D392" s="555">
        <v>4680115886100</v>
      </c>
      <c r="E392" s="555"/>
      <c r="F392" s="59">
        <v>0.9</v>
      </c>
      <c r="G392" s="35">
        <v>6</v>
      </c>
      <c r="H392" s="59">
        <v>5.4</v>
      </c>
      <c r="I392" s="59">
        <v>5.59</v>
      </c>
      <c r="J392" s="35">
        <v>132</v>
      </c>
      <c r="K392" s="35" t="s">
        <v>122</v>
      </c>
      <c r="L392" s="35" t="s">
        <v>45</v>
      </c>
      <c r="M392" s="36" t="s">
        <v>80</v>
      </c>
      <c r="N392" s="36"/>
      <c r="O392" s="35">
        <v>50</v>
      </c>
      <c r="P392" s="613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2" s="557"/>
      <c r="R392" s="557"/>
      <c r="S392" s="557"/>
      <c r="T392" s="558"/>
      <c r="U392" s="37" t="s">
        <v>45</v>
      </c>
      <c r="V392" s="37" t="s">
        <v>45</v>
      </c>
      <c r="W392" s="38" t="s">
        <v>0</v>
      </c>
      <c r="X392" s="56">
        <v>0</v>
      </c>
      <c r="Y392" s="53">
        <f t="shared" ref="Y392:Y400" si="42">IFERROR(IF(X392="",0,CEILING((X392/$H392),1)*$H392),"")</f>
        <v>0</v>
      </c>
      <c r="Z392" s="39" t="str">
        <f>IFERROR(IF(Y392=0,"",ROUNDUP(Y392/H392,0)*0.00902),"")</f>
        <v/>
      </c>
      <c r="AA392" s="65" t="s">
        <v>45</v>
      </c>
      <c r="AB392" s="66" t="s">
        <v>45</v>
      </c>
      <c r="AC392" s="453" t="s">
        <v>622</v>
      </c>
      <c r="AG392" s="75"/>
      <c r="AJ392" s="79" t="s">
        <v>45</v>
      </c>
      <c r="AK392" s="79">
        <v>0</v>
      </c>
      <c r="BB392" s="454" t="s">
        <v>66</v>
      </c>
      <c r="BM392" s="75">
        <f t="shared" ref="BM392:BM400" si="43">IFERROR(X392*I392/H392,"0")</f>
        <v>0</v>
      </c>
      <c r="BN392" s="75">
        <f t="shared" ref="BN392:BN400" si="44">IFERROR(Y392*I392/H392,"0")</f>
        <v>0</v>
      </c>
      <c r="BO392" s="75">
        <f t="shared" ref="BO392:BO400" si="45">IFERROR(1/J392*(X392/H392),"0")</f>
        <v>0</v>
      </c>
      <c r="BP392" s="75">
        <f t="shared" ref="BP392:BP400" si="46">IFERROR(1/J392*(Y392/H392),"0")</f>
        <v>0</v>
      </c>
    </row>
    <row r="393" spans="1:68" ht="27" hidden="1" customHeight="1" x14ac:dyDescent="0.25">
      <c r="A393" s="60" t="s">
        <v>623</v>
      </c>
      <c r="B393" s="60" t="s">
        <v>624</v>
      </c>
      <c r="C393" s="34">
        <v>4301031406</v>
      </c>
      <c r="D393" s="555">
        <v>4680115886117</v>
      </c>
      <c r="E393" s="555"/>
      <c r="F393" s="59">
        <v>0.9</v>
      </c>
      <c r="G393" s="35">
        <v>6</v>
      </c>
      <c r="H393" s="59">
        <v>5.4</v>
      </c>
      <c r="I393" s="59">
        <v>5.59</v>
      </c>
      <c r="J393" s="35">
        <v>132</v>
      </c>
      <c r="K393" s="35" t="s">
        <v>122</v>
      </c>
      <c r="L393" s="35" t="s">
        <v>45</v>
      </c>
      <c r="M393" s="36" t="s">
        <v>80</v>
      </c>
      <c r="N393" s="36"/>
      <c r="O393" s="35">
        <v>50</v>
      </c>
      <c r="P393" s="614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3" s="557"/>
      <c r="R393" s="557"/>
      <c r="S393" s="557"/>
      <c r="T393" s="558"/>
      <c r="U393" s="37" t="s">
        <v>45</v>
      </c>
      <c r="V393" s="37" t="s">
        <v>45</v>
      </c>
      <c r="W393" s="38" t="s">
        <v>0</v>
      </c>
      <c r="X393" s="56">
        <v>0</v>
      </c>
      <c r="Y393" s="53">
        <f t="shared" si="42"/>
        <v>0</v>
      </c>
      <c r="Z393" s="39" t="str">
        <f>IFERROR(IF(Y393=0,"",ROUNDUP(Y393/H393,0)*0.00902),"")</f>
        <v/>
      </c>
      <c r="AA393" s="65" t="s">
        <v>45</v>
      </c>
      <c r="AB393" s="66" t="s">
        <v>45</v>
      </c>
      <c r="AC393" s="455" t="s">
        <v>625</v>
      </c>
      <c r="AG393" s="75"/>
      <c r="AJ393" s="79" t="s">
        <v>45</v>
      </c>
      <c r="AK393" s="79">
        <v>0</v>
      </c>
      <c r="BB393" s="456" t="s">
        <v>66</v>
      </c>
      <c r="BM393" s="75">
        <f t="shared" si="43"/>
        <v>0</v>
      </c>
      <c r="BN393" s="75">
        <f t="shared" si="44"/>
        <v>0</v>
      </c>
      <c r="BO393" s="75">
        <f t="shared" si="45"/>
        <v>0</v>
      </c>
      <c r="BP393" s="75">
        <f t="shared" si="46"/>
        <v>0</v>
      </c>
    </row>
    <row r="394" spans="1:68" ht="27" hidden="1" customHeight="1" x14ac:dyDescent="0.25">
      <c r="A394" s="60" t="s">
        <v>626</v>
      </c>
      <c r="B394" s="60" t="s">
        <v>627</v>
      </c>
      <c r="C394" s="34">
        <v>4301031402</v>
      </c>
      <c r="D394" s="555">
        <v>4680115886124</v>
      </c>
      <c r="E394" s="555"/>
      <c r="F394" s="59">
        <v>0.9</v>
      </c>
      <c r="G394" s="35">
        <v>6</v>
      </c>
      <c r="H394" s="59">
        <v>5.4</v>
      </c>
      <c r="I394" s="59">
        <v>5.59</v>
      </c>
      <c r="J394" s="35">
        <v>132</v>
      </c>
      <c r="K394" s="35" t="s">
        <v>122</v>
      </c>
      <c r="L394" s="35" t="s">
        <v>45</v>
      </c>
      <c r="M394" s="36" t="s">
        <v>80</v>
      </c>
      <c r="N394" s="36"/>
      <c r="O394" s="35">
        <v>50</v>
      </c>
      <c r="P394" s="615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4" s="557"/>
      <c r="R394" s="557"/>
      <c r="S394" s="557"/>
      <c r="T394" s="558"/>
      <c r="U394" s="37" t="s">
        <v>45</v>
      </c>
      <c r="V394" s="37" t="s">
        <v>45</v>
      </c>
      <c r="W394" s="38" t="s">
        <v>0</v>
      </c>
      <c r="X394" s="56">
        <v>0</v>
      </c>
      <c r="Y394" s="53">
        <f t="shared" si="42"/>
        <v>0</v>
      </c>
      <c r="Z394" s="39" t="str">
        <f>IFERROR(IF(Y394=0,"",ROUNDUP(Y394/H394,0)*0.00902),"")</f>
        <v/>
      </c>
      <c r="AA394" s="65" t="s">
        <v>45</v>
      </c>
      <c r="AB394" s="66" t="s">
        <v>45</v>
      </c>
      <c r="AC394" s="457" t="s">
        <v>628</v>
      </c>
      <c r="AG394" s="75"/>
      <c r="AJ394" s="79" t="s">
        <v>45</v>
      </c>
      <c r="AK394" s="79">
        <v>0</v>
      </c>
      <c r="BB394" s="458" t="s">
        <v>66</v>
      </c>
      <c r="BM394" s="75">
        <f t="shared" si="43"/>
        <v>0</v>
      </c>
      <c r="BN394" s="75">
        <f t="shared" si="44"/>
        <v>0</v>
      </c>
      <c r="BO394" s="75">
        <f t="shared" si="45"/>
        <v>0</v>
      </c>
      <c r="BP394" s="75">
        <f t="shared" si="46"/>
        <v>0</v>
      </c>
    </row>
    <row r="395" spans="1:68" ht="27" hidden="1" customHeight="1" x14ac:dyDescent="0.25">
      <c r="A395" s="60" t="s">
        <v>629</v>
      </c>
      <c r="B395" s="60" t="s">
        <v>630</v>
      </c>
      <c r="C395" s="34">
        <v>4301031366</v>
      </c>
      <c r="D395" s="555">
        <v>4680115883147</v>
      </c>
      <c r="E395" s="555"/>
      <c r="F395" s="59">
        <v>0.28000000000000003</v>
      </c>
      <c r="G395" s="35">
        <v>6</v>
      </c>
      <c r="H395" s="59">
        <v>1.68</v>
      </c>
      <c r="I395" s="59">
        <v>1.81</v>
      </c>
      <c r="J395" s="35">
        <v>234</v>
      </c>
      <c r="K395" s="35" t="s">
        <v>85</v>
      </c>
      <c r="L395" s="35" t="s">
        <v>45</v>
      </c>
      <c r="M395" s="36" t="s">
        <v>80</v>
      </c>
      <c r="N395" s="36"/>
      <c r="O395" s="35">
        <v>50</v>
      </c>
      <c r="P395" s="608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5" s="557"/>
      <c r="R395" s="557"/>
      <c r="S395" s="557"/>
      <c r="T395" s="558"/>
      <c r="U395" s="37" t="s">
        <v>45</v>
      </c>
      <c r="V395" s="37" t="s">
        <v>45</v>
      </c>
      <c r="W395" s="38" t="s">
        <v>0</v>
      </c>
      <c r="X395" s="56">
        <v>0</v>
      </c>
      <c r="Y395" s="53">
        <f t="shared" si="42"/>
        <v>0</v>
      </c>
      <c r="Z395" s="39" t="str">
        <f t="shared" ref="Z395:Z400" si="47">IFERROR(IF(Y395=0,"",ROUNDUP(Y395/H395,0)*0.00502),"")</f>
        <v/>
      </c>
      <c r="AA395" s="65" t="s">
        <v>45</v>
      </c>
      <c r="AB395" s="66" t="s">
        <v>45</v>
      </c>
      <c r="AC395" s="459" t="s">
        <v>622</v>
      </c>
      <c r="AG395" s="75"/>
      <c r="AJ395" s="79" t="s">
        <v>45</v>
      </c>
      <c r="AK395" s="79">
        <v>0</v>
      </c>
      <c r="BB395" s="460" t="s">
        <v>66</v>
      </c>
      <c r="BM395" s="75">
        <f t="shared" si="43"/>
        <v>0</v>
      </c>
      <c r="BN395" s="75">
        <f t="shared" si="44"/>
        <v>0</v>
      </c>
      <c r="BO395" s="75">
        <f t="shared" si="45"/>
        <v>0</v>
      </c>
      <c r="BP395" s="75">
        <f t="shared" si="46"/>
        <v>0</v>
      </c>
    </row>
    <row r="396" spans="1:68" ht="27" hidden="1" customHeight="1" x14ac:dyDescent="0.25">
      <c r="A396" s="60" t="s">
        <v>631</v>
      </c>
      <c r="B396" s="60" t="s">
        <v>632</v>
      </c>
      <c r="C396" s="34">
        <v>4301031362</v>
      </c>
      <c r="D396" s="555">
        <v>4607091384338</v>
      </c>
      <c r="E396" s="555"/>
      <c r="F396" s="59">
        <v>0.35</v>
      </c>
      <c r="G396" s="35">
        <v>6</v>
      </c>
      <c r="H396" s="59">
        <v>2.1</v>
      </c>
      <c r="I396" s="59">
        <v>2.23</v>
      </c>
      <c r="J396" s="35">
        <v>234</v>
      </c>
      <c r="K396" s="35" t="s">
        <v>85</v>
      </c>
      <c r="L396" s="35" t="s">
        <v>45</v>
      </c>
      <c r="M396" s="36" t="s">
        <v>80</v>
      </c>
      <c r="N396" s="36"/>
      <c r="O396" s="35">
        <v>50</v>
      </c>
      <c r="P396" s="60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6" s="557"/>
      <c r="R396" s="557"/>
      <c r="S396" s="557"/>
      <c r="T396" s="558"/>
      <c r="U396" s="37" t="s">
        <v>45</v>
      </c>
      <c r="V396" s="37" t="s">
        <v>45</v>
      </c>
      <c r="W396" s="38" t="s">
        <v>0</v>
      </c>
      <c r="X396" s="56">
        <v>0</v>
      </c>
      <c r="Y396" s="53">
        <f t="shared" si="42"/>
        <v>0</v>
      </c>
      <c r="Z396" s="39" t="str">
        <f t="shared" si="47"/>
        <v/>
      </c>
      <c r="AA396" s="65" t="s">
        <v>45</v>
      </c>
      <c r="AB396" s="66" t="s">
        <v>45</v>
      </c>
      <c r="AC396" s="461" t="s">
        <v>622</v>
      </c>
      <c r="AG396" s="75"/>
      <c r="AJ396" s="79" t="s">
        <v>45</v>
      </c>
      <c r="AK396" s="79">
        <v>0</v>
      </c>
      <c r="BB396" s="462" t="s">
        <v>66</v>
      </c>
      <c r="BM396" s="75">
        <f t="shared" si="43"/>
        <v>0</v>
      </c>
      <c r="BN396" s="75">
        <f t="shared" si="44"/>
        <v>0</v>
      </c>
      <c r="BO396" s="75">
        <f t="shared" si="45"/>
        <v>0</v>
      </c>
      <c r="BP396" s="75">
        <f t="shared" si="46"/>
        <v>0</v>
      </c>
    </row>
    <row r="397" spans="1:68" ht="37.5" hidden="1" customHeight="1" x14ac:dyDescent="0.25">
      <c r="A397" s="60" t="s">
        <v>633</v>
      </c>
      <c r="B397" s="60" t="s">
        <v>634</v>
      </c>
      <c r="C397" s="34">
        <v>4301031361</v>
      </c>
      <c r="D397" s="555">
        <v>4607091389524</v>
      </c>
      <c r="E397" s="555"/>
      <c r="F397" s="59">
        <v>0.35</v>
      </c>
      <c r="G397" s="35">
        <v>6</v>
      </c>
      <c r="H397" s="59">
        <v>2.1</v>
      </c>
      <c r="I397" s="59">
        <v>2.23</v>
      </c>
      <c r="J397" s="35">
        <v>234</v>
      </c>
      <c r="K397" s="35" t="s">
        <v>85</v>
      </c>
      <c r="L397" s="35" t="s">
        <v>45</v>
      </c>
      <c r="M397" s="36" t="s">
        <v>80</v>
      </c>
      <c r="N397" s="36"/>
      <c r="O397" s="35">
        <v>50</v>
      </c>
      <c r="P397" s="610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7" s="557"/>
      <c r="R397" s="557"/>
      <c r="S397" s="557"/>
      <c r="T397" s="558"/>
      <c r="U397" s="37" t="s">
        <v>45</v>
      </c>
      <c r="V397" s="37" t="s">
        <v>45</v>
      </c>
      <c r="W397" s="38" t="s">
        <v>0</v>
      </c>
      <c r="X397" s="56">
        <v>0</v>
      </c>
      <c r="Y397" s="53">
        <f t="shared" si="42"/>
        <v>0</v>
      </c>
      <c r="Z397" s="39" t="str">
        <f t="shared" si="47"/>
        <v/>
      </c>
      <c r="AA397" s="65" t="s">
        <v>45</v>
      </c>
      <c r="AB397" s="66" t="s">
        <v>45</v>
      </c>
      <c r="AC397" s="463" t="s">
        <v>635</v>
      </c>
      <c r="AG397" s="75"/>
      <c r="AJ397" s="79" t="s">
        <v>45</v>
      </c>
      <c r="AK397" s="79">
        <v>0</v>
      </c>
      <c r="BB397" s="464" t="s">
        <v>66</v>
      </c>
      <c r="BM397" s="75">
        <f t="shared" si="43"/>
        <v>0</v>
      </c>
      <c r="BN397" s="75">
        <f t="shared" si="44"/>
        <v>0</v>
      </c>
      <c r="BO397" s="75">
        <f t="shared" si="45"/>
        <v>0</v>
      </c>
      <c r="BP397" s="75">
        <f t="shared" si="46"/>
        <v>0</v>
      </c>
    </row>
    <row r="398" spans="1:68" ht="27" hidden="1" customHeight="1" x14ac:dyDescent="0.25">
      <c r="A398" s="60" t="s">
        <v>636</v>
      </c>
      <c r="B398" s="60" t="s">
        <v>637</v>
      </c>
      <c r="C398" s="34">
        <v>4301031364</v>
      </c>
      <c r="D398" s="555">
        <v>4680115883161</v>
      </c>
      <c r="E398" s="555"/>
      <c r="F398" s="59">
        <v>0.28000000000000003</v>
      </c>
      <c r="G398" s="35">
        <v>6</v>
      </c>
      <c r="H398" s="59">
        <v>1.68</v>
      </c>
      <c r="I398" s="59">
        <v>1.81</v>
      </c>
      <c r="J398" s="35">
        <v>234</v>
      </c>
      <c r="K398" s="35" t="s">
        <v>85</v>
      </c>
      <c r="L398" s="35" t="s">
        <v>45</v>
      </c>
      <c r="M398" s="36" t="s">
        <v>80</v>
      </c>
      <c r="N398" s="36"/>
      <c r="O398" s="35">
        <v>50</v>
      </c>
      <c r="P398" s="61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8" s="557"/>
      <c r="R398" s="557"/>
      <c r="S398" s="557"/>
      <c r="T398" s="558"/>
      <c r="U398" s="37" t="s">
        <v>45</v>
      </c>
      <c r="V398" s="37" t="s">
        <v>45</v>
      </c>
      <c r="W398" s="38" t="s">
        <v>0</v>
      </c>
      <c r="X398" s="56">
        <v>0</v>
      </c>
      <c r="Y398" s="53">
        <f t="shared" si="42"/>
        <v>0</v>
      </c>
      <c r="Z398" s="39" t="str">
        <f t="shared" si="47"/>
        <v/>
      </c>
      <c r="AA398" s="65" t="s">
        <v>45</v>
      </c>
      <c r="AB398" s="66" t="s">
        <v>45</v>
      </c>
      <c r="AC398" s="465" t="s">
        <v>638</v>
      </c>
      <c r="AG398" s="75"/>
      <c r="AJ398" s="79" t="s">
        <v>45</v>
      </c>
      <c r="AK398" s="79">
        <v>0</v>
      </c>
      <c r="BB398" s="466" t="s">
        <v>66</v>
      </c>
      <c r="BM398" s="75">
        <f t="shared" si="43"/>
        <v>0</v>
      </c>
      <c r="BN398" s="75">
        <f t="shared" si="44"/>
        <v>0</v>
      </c>
      <c r="BO398" s="75">
        <f t="shared" si="45"/>
        <v>0</v>
      </c>
      <c r="BP398" s="75">
        <f t="shared" si="46"/>
        <v>0</v>
      </c>
    </row>
    <row r="399" spans="1:68" ht="27" hidden="1" customHeight="1" x14ac:dyDescent="0.25">
      <c r="A399" s="60" t="s">
        <v>639</v>
      </c>
      <c r="B399" s="60" t="s">
        <v>640</v>
      </c>
      <c r="C399" s="34">
        <v>4301031358</v>
      </c>
      <c r="D399" s="555">
        <v>4607091389531</v>
      </c>
      <c r="E399" s="555"/>
      <c r="F399" s="59">
        <v>0.35</v>
      </c>
      <c r="G399" s="35">
        <v>6</v>
      </c>
      <c r="H399" s="59">
        <v>2.1</v>
      </c>
      <c r="I399" s="59">
        <v>2.23</v>
      </c>
      <c r="J399" s="35">
        <v>234</v>
      </c>
      <c r="K399" s="35" t="s">
        <v>85</v>
      </c>
      <c r="L399" s="35" t="s">
        <v>45</v>
      </c>
      <c r="M399" s="36" t="s">
        <v>80</v>
      </c>
      <c r="N399" s="36"/>
      <c r="O399" s="35">
        <v>50</v>
      </c>
      <c r="P399" s="61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9" s="557"/>
      <c r="R399" s="557"/>
      <c r="S399" s="557"/>
      <c r="T399" s="558"/>
      <c r="U399" s="37" t="s">
        <v>45</v>
      </c>
      <c r="V399" s="37" t="s">
        <v>45</v>
      </c>
      <c r="W399" s="38" t="s">
        <v>0</v>
      </c>
      <c r="X399" s="56">
        <v>0</v>
      </c>
      <c r="Y399" s="53">
        <f t="shared" si="42"/>
        <v>0</v>
      </c>
      <c r="Z399" s="39" t="str">
        <f t="shared" si="47"/>
        <v/>
      </c>
      <c r="AA399" s="65" t="s">
        <v>45</v>
      </c>
      <c r="AB399" s="66" t="s">
        <v>45</v>
      </c>
      <c r="AC399" s="467" t="s">
        <v>641</v>
      </c>
      <c r="AG399" s="75"/>
      <c r="AJ399" s="79" t="s">
        <v>45</v>
      </c>
      <c r="AK399" s="79">
        <v>0</v>
      </c>
      <c r="BB399" s="468" t="s">
        <v>66</v>
      </c>
      <c r="BM399" s="75">
        <f t="shared" si="43"/>
        <v>0</v>
      </c>
      <c r="BN399" s="75">
        <f t="shared" si="44"/>
        <v>0</v>
      </c>
      <c r="BO399" s="75">
        <f t="shared" si="45"/>
        <v>0</v>
      </c>
      <c r="BP399" s="75">
        <f t="shared" si="46"/>
        <v>0</v>
      </c>
    </row>
    <row r="400" spans="1:68" ht="37.5" hidden="1" customHeight="1" x14ac:dyDescent="0.25">
      <c r="A400" s="60" t="s">
        <v>642</v>
      </c>
      <c r="B400" s="60" t="s">
        <v>643</v>
      </c>
      <c r="C400" s="34">
        <v>4301031360</v>
      </c>
      <c r="D400" s="555">
        <v>4607091384345</v>
      </c>
      <c r="E400" s="555"/>
      <c r="F400" s="59">
        <v>0.35</v>
      </c>
      <c r="G400" s="35">
        <v>6</v>
      </c>
      <c r="H400" s="59">
        <v>2.1</v>
      </c>
      <c r="I400" s="59">
        <v>2.23</v>
      </c>
      <c r="J400" s="35">
        <v>234</v>
      </c>
      <c r="K400" s="35" t="s">
        <v>85</v>
      </c>
      <c r="L400" s="35" t="s">
        <v>45</v>
      </c>
      <c r="M400" s="36" t="s">
        <v>80</v>
      </c>
      <c r="N400" s="36"/>
      <c r="O400" s="35">
        <v>50</v>
      </c>
      <c r="P400" s="60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0" s="557"/>
      <c r="R400" s="557"/>
      <c r="S400" s="557"/>
      <c r="T400" s="558"/>
      <c r="U400" s="37" t="s">
        <v>45</v>
      </c>
      <c r="V400" s="37" t="s">
        <v>45</v>
      </c>
      <c r="W400" s="38" t="s">
        <v>0</v>
      </c>
      <c r="X400" s="56">
        <v>0</v>
      </c>
      <c r="Y400" s="53">
        <f t="shared" si="42"/>
        <v>0</v>
      </c>
      <c r="Z400" s="39" t="str">
        <f t="shared" si="47"/>
        <v/>
      </c>
      <c r="AA400" s="65" t="s">
        <v>45</v>
      </c>
      <c r="AB400" s="66" t="s">
        <v>45</v>
      </c>
      <c r="AC400" s="469" t="s">
        <v>638</v>
      </c>
      <c r="AG400" s="75"/>
      <c r="AJ400" s="79" t="s">
        <v>45</v>
      </c>
      <c r="AK400" s="79">
        <v>0</v>
      </c>
      <c r="BB400" s="470" t="s">
        <v>66</v>
      </c>
      <c r="BM400" s="75">
        <f t="shared" si="43"/>
        <v>0</v>
      </c>
      <c r="BN400" s="75">
        <f t="shared" si="44"/>
        <v>0</v>
      </c>
      <c r="BO400" s="75">
        <f t="shared" si="45"/>
        <v>0</v>
      </c>
      <c r="BP400" s="75">
        <f t="shared" si="46"/>
        <v>0</v>
      </c>
    </row>
    <row r="401" spans="1:68" hidden="1" x14ac:dyDescent="0.2">
      <c r="A401" s="562"/>
      <c r="B401" s="562"/>
      <c r="C401" s="562"/>
      <c r="D401" s="562"/>
      <c r="E401" s="562"/>
      <c r="F401" s="562"/>
      <c r="G401" s="562"/>
      <c r="H401" s="562"/>
      <c r="I401" s="562"/>
      <c r="J401" s="562"/>
      <c r="K401" s="562"/>
      <c r="L401" s="562"/>
      <c r="M401" s="562"/>
      <c r="N401" s="562"/>
      <c r="O401" s="563"/>
      <c r="P401" s="559" t="s">
        <v>40</v>
      </c>
      <c r="Q401" s="560"/>
      <c r="R401" s="560"/>
      <c r="S401" s="560"/>
      <c r="T401" s="560"/>
      <c r="U401" s="560"/>
      <c r="V401" s="561"/>
      <c r="W401" s="40" t="s">
        <v>39</v>
      </c>
      <c r="X401" s="41">
        <f>IFERROR(X392/H392,"0")+IFERROR(X393/H393,"0")+IFERROR(X394/H394,"0")+IFERROR(X395/H395,"0")+IFERROR(X396/H396,"0")+IFERROR(X397/H397,"0")+IFERROR(X398/H398,"0")+IFERROR(X399/H399,"0")+IFERROR(X400/H400,"0")</f>
        <v>0</v>
      </c>
      <c r="Y401" s="41">
        <f>IFERROR(Y392/H392,"0")+IFERROR(Y393/H393,"0")+IFERROR(Y394/H394,"0")+IFERROR(Y395/H395,"0")+IFERROR(Y396/H396,"0")+IFERROR(Y397/H397,"0")+IFERROR(Y398/H398,"0")+IFERROR(Y399/H399,"0")+IFERROR(Y400/H400,"0")</f>
        <v>0</v>
      </c>
      <c r="Z401" s="41">
        <f>IFERROR(IF(Z392="",0,Z392),"0")+IFERROR(IF(Z393="",0,Z393),"0")+IFERROR(IF(Z394="",0,Z394),"0")+IFERROR(IF(Z395="",0,Z395),"0")+IFERROR(IF(Z396="",0,Z396),"0")+IFERROR(IF(Z397="",0,Z397),"0")+IFERROR(IF(Z398="",0,Z398),"0")+IFERROR(IF(Z399="",0,Z399),"0")+IFERROR(IF(Z400="",0,Z400),"0")</f>
        <v>0</v>
      </c>
      <c r="AA401" s="64"/>
      <c r="AB401" s="64"/>
      <c r="AC401" s="64"/>
    </row>
    <row r="402" spans="1:68" hidden="1" x14ac:dyDescent="0.2">
      <c r="A402" s="562"/>
      <c r="B402" s="562"/>
      <c r="C402" s="562"/>
      <c r="D402" s="562"/>
      <c r="E402" s="562"/>
      <c r="F402" s="562"/>
      <c r="G402" s="562"/>
      <c r="H402" s="562"/>
      <c r="I402" s="562"/>
      <c r="J402" s="562"/>
      <c r="K402" s="562"/>
      <c r="L402" s="562"/>
      <c r="M402" s="562"/>
      <c r="N402" s="562"/>
      <c r="O402" s="563"/>
      <c r="P402" s="559" t="s">
        <v>40</v>
      </c>
      <c r="Q402" s="560"/>
      <c r="R402" s="560"/>
      <c r="S402" s="560"/>
      <c r="T402" s="560"/>
      <c r="U402" s="560"/>
      <c r="V402" s="561"/>
      <c r="W402" s="40" t="s">
        <v>0</v>
      </c>
      <c r="X402" s="41">
        <f>IFERROR(SUM(X392:X400),"0")</f>
        <v>0</v>
      </c>
      <c r="Y402" s="41">
        <f>IFERROR(SUM(Y392:Y400),"0")</f>
        <v>0</v>
      </c>
      <c r="Z402" s="40"/>
      <c r="AA402" s="64"/>
      <c r="AB402" s="64"/>
      <c r="AC402" s="64"/>
    </row>
    <row r="403" spans="1:68" ht="14.25" hidden="1" customHeight="1" x14ac:dyDescent="0.25">
      <c r="A403" s="554" t="s">
        <v>86</v>
      </c>
      <c r="B403" s="554"/>
      <c r="C403" s="554"/>
      <c r="D403" s="554"/>
      <c r="E403" s="554"/>
      <c r="F403" s="554"/>
      <c r="G403" s="554"/>
      <c r="H403" s="554"/>
      <c r="I403" s="554"/>
      <c r="J403" s="554"/>
      <c r="K403" s="554"/>
      <c r="L403" s="554"/>
      <c r="M403" s="554"/>
      <c r="N403" s="554"/>
      <c r="O403" s="554"/>
      <c r="P403" s="554"/>
      <c r="Q403" s="554"/>
      <c r="R403" s="554"/>
      <c r="S403" s="554"/>
      <c r="T403" s="554"/>
      <c r="U403" s="554"/>
      <c r="V403" s="554"/>
      <c r="W403" s="554"/>
      <c r="X403" s="554"/>
      <c r="Y403" s="554"/>
      <c r="Z403" s="554"/>
      <c r="AA403" s="63"/>
      <c r="AB403" s="63"/>
      <c r="AC403" s="63"/>
    </row>
    <row r="404" spans="1:68" ht="27" hidden="1" customHeight="1" x14ac:dyDescent="0.25">
      <c r="A404" s="60" t="s">
        <v>644</v>
      </c>
      <c r="B404" s="60" t="s">
        <v>645</v>
      </c>
      <c r="C404" s="34">
        <v>4301051284</v>
      </c>
      <c r="D404" s="555">
        <v>4607091384352</v>
      </c>
      <c r="E404" s="555"/>
      <c r="F404" s="59">
        <v>0.6</v>
      </c>
      <c r="G404" s="35">
        <v>4</v>
      </c>
      <c r="H404" s="59">
        <v>2.4</v>
      </c>
      <c r="I404" s="59">
        <v>2.6259999999999999</v>
      </c>
      <c r="J404" s="35">
        <v>132</v>
      </c>
      <c r="K404" s="35" t="s">
        <v>122</v>
      </c>
      <c r="L404" s="35" t="s">
        <v>45</v>
      </c>
      <c r="M404" s="36" t="s">
        <v>90</v>
      </c>
      <c r="N404" s="36"/>
      <c r="O404" s="35">
        <v>45</v>
      </c>
      <c r="P404" s="60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4" s="557"/>
      <c r="R404" s="557"/>
      <c r="S404" s="557"/>
      <c r="T404" s="558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IFERROR(IF(Y404=0,"",ROUNDUP(Y404/H404,0)*0.00902),"")</f>
        <v/>
      </c>
      <c r="AA404" s="65" t="s">
        <v>45</v>
      </c>
      <c r="AB404" s="66" t="s">
        <v>45</v>
      </c>
      <c r="AC404" s="471" t="s">
        <v>646</v>
      </c>
      <c r="AG404" s="75"/>
      <c r="AJ404" s="79" t="s">
        <v>45</v>
      </c>
      <c r="AK404" s="79">
        <v>0</v>
      </c>
      <c r="BB404" s="47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hidden="1" customHeight="1" x14ac:dyDescent="0.25">
      <c r="A405" s="60" t="s">
        <v>647</v>
      </c>
      <c r="B405" s="60" t="s">
        <v>648</v>
      </c>
      <c r="C405" s="34">
        <v>4301051431</v>
      </c>
      <c r="D405" s="555">
        <v>4607091389654</v>
      </c>
      <c r="E405" s="555"/>
      <c r="F405" s="59">
        <v>0.33</v>
      </c>
      <c r="G405" s="35">
        <v>6</v>
      </c>
      <c r="H405" s="59">
        <v>1.98</v>
      </c>
      <c r="I405" s="59">
        <v>2.238</v>
      </c>
      <c r="J405" s="35">
        <v>182</v>
      </c>
      <c r="K405" s="35" t="s">
        <v>81</v>
      </c>
      <c r="L405" s="35" t="s">
        <v>45</v>
      </c>
      <c r="M405" s="36" t="s">
        <v>90</v>
      </c>
      <c r="N405" s="36"/>
      <c r="O405" s="35">
        <v>45</v>
      </c>
      <c r="P405" s="60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5" s="557"/>
      <c r="R405" s="557"/>
      <c r="S405" s="557"/>
      <c r="T405" s="558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 t="s">
        <v>45</v>
      </c>
      <c r="AB405" s="66" t="s">
        <v>45</v>
      </c>
      <c r="AC405" s="473" t="s">
        <v>649</v>
      </c>
      <c r="AG405" s="75"/>
      <c r="AJ405" s="79" t="s">
        <v>45</v>
      </c>
      <c r="AK405" s="79">
        <v>0</v>
      </c>
      <c r="BB405" s="47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idden="1" x14ac:dyDescent="0.2">
      <c r="A406" s="562"/>
      <c r="B406" s="562"/>
      <c r="C406" s="562"/>
      <c r="D406" s="562"/>
      <c r="E406" s="562"/>
      <c r="F406" s="562"/>
      <c r="G406" s="562"/>
      <c r="H406" s="562"/>
      <c r="I406" s="562"/>
      <c r="J406" s="562"/>
      <c r="K406" s="562"/>
      <c r="L406" s="562"/>
      <c r="M406" s="562"/>
      <c r="N406" s="562"/>
      <c r="O406" s="563"/>
      <c r="P406" s="559" t="s">
        <v>40</v>
      </c>
      <c r="Q406" s="560"/>
      <c r="R406" s="560"/>
      <c r="S406" s="560"/>
      <c r="T406" s="560"/>
      <c r="U406" s="560"/>
      <c r="V406" s="561"/>
      <c r="W406" s="40" t="s">
        <v>39</v>
      </c>
      <c r="X406" s="41">
        <f>IFERROR(X404/H404,"0")+IFERROR(X405/H405,"0")</f>
        <v>0</v>
      </c>
      <c r="Y406" s="41">
        <f>IFERROR(Y404/H404,"0")+IFERROR(Y405/H405,"0")</f>
        <v>0</v>
      </c>
      <c r="Z406" s="41">
        <f>IFERROR(IF(Z404="",0,Z404),"0")+IFERROR(IF(Z405="",0,Z405),"0")</f>
        <v>0</v>
      </c>
      <c r="AA406" s="64"/>
      <c r="AB406" s="64"/>
      <c r="AC406" s="64"/>
    </row>
    <row r="407" spans="1:68" hidden="1" x14ac:dyDescent="0.2">
      <c r="A407" s="562"/>
      <c r="B407" s="562"/>
      <c r="C407" s="562"/>
      <c r="D407" s="562"/>
      <c r="E407" s="562"/>
      <c r="F407" s="562"/>
      <c r="G407" s="562"/>
      <c r="H407" s="562"/>
      <c r="I407" s="562"/>
      <c r="J407" s="562"/>
      <c r="K407" s="562"/>
      <c r="L407" s="562"/>
      <c r="M407" s="562"/>
      <c r="N407" s="562"/>
      <c r="O407" s="563"/>
      <c r="P407" s="559" t="s">
        <v>40</v>
      </c>
      <c r="Q407" s="560"/>
      <c r="R407" s="560"/>
      <c r="S407" s="560"/>
      <c r="T407" s="560"/>
      <c r="U407" s="560"/>
      <c r="V407" s="561"/>
      <c r="W407" s="40" t="s">
        <v>0</v>
      </c>
      <c r="X407" s="41">
        <f>IFERROR(SUM(X404:X405),"0")</f>
        <v>0</v>
      </c>
      <c r="Y407" s="41">
        <f>IFERROR(SUM(Y404:Y405),"0")</f>
        <v>0</v>
      </c>
      <c r="Z407" s="40"/>
      <c r="AA407" s="64"/>
      <c r="AB407" s="64"/>
      <c r="AC407" s="64"/>
    </row>
    <row r="408" spans="1:68" ht="16.5" hidden="1" customHeight="1" x14ac:dyDescent="0.25">
      <c r="A408" s="553" t="s">
        <v>650</v>
      </c>
      <c r="B408" s="553"/>
      <c r="C408" s="553"/>
      <c r="D408" s="553"/>
      <c r="E408" s="553"/>
      <c r="F408" s="553"/>
      <c r="G408" s="553"/>
      <c r="H408" s="553"/>
      <c r="I408" s="553"/>
      <c r="J408" s="553"/>
      <c r="K408" s="553"/>
      <c r="L408" s="553"/>
      <c r="M408" s="553"/>
      <c r="N408" s="553"/>
      <c r="O408" s="553"/>
      <c r="P408" s="553"/>
      <c r="Q408" s="553"/>
      <c r="R408" s="553"/>
      <c r="S408" s="553"/>
      <c r="T408" s="553"/>
      <c r="U408" s="553"/>
      <c r="V408" s="553"/>
      <c r="W408" s="553"/>
      <c r="X408" s="553"/>
      <c r="Y408" s="553"/>
      <c r="Z408" s="553"/>
      <c r="AA408" s="62"/>
      <c r="AB408" s="62"/>
      <c r="AC408" s="62"/>
    </row>
    <row r="409" spans="1:68" ht="14.25" hidden="1" customHeight="1" x14ac:dyDescent="0.25">
      <c r="A409" s="554" t="s">
        <v>147</v>
      </c>
      <c r="B409" s="554"/>
      <c r="C409" s="554"/>
      <c r="D409" s="554"/>
      <c r="E409" s="554"/>
      <c r="F409" s="554"/>
      <c r="G409" s="554"/>
      <c r="H409" s="554"/>
      <c r="I409" s="554"/>
      <c r="J409" s="554"/>
      <c r="K409" s="554"/>
      <c r="L409" s="554"/>
      <c r="M409" s="554"/>
      <c r="N409" s="554"/>
      <c r="O409" s="554"/>
      <c r="P409" s="554"/>
      <c r="Q409" s="554"/>
      <c r="R409" s="554"/>
      <c r="S409" s="554"/>
      <c r="T409" s="554"/>
      <c r="U409" s="554"/>
      <c r="V409" s="554"/>
      <c r="W409" s="554"/>
      <c r="X409" s="554"/>
      <c r="Y409" s="554"/>
      <c r="Z409" s="554"/>
      <c r="AA409" s="63"/>
      <c r="AB409" s="63"/>
      <c r="AC409" s="63"/>
    </row>
    <row r="410" spans="1:68" ht="27" hidden="1" customHeight="1" x14ac:dyDescent="0.25">
      <c r="A410" s="60" t="s">
        <v>651</v>
      </c>
      <c r="B410" s="60" t="s">
        <v>652</v>
      </c>
      <c r="C410" s="34">
        <v>4301020319</v>
      </c>
      <c r="D410" s="555">
        <v>4680115885240</v>
      </c>
      <c r="E410" s="555"/>
      <c r="F410" s="59">
        <v>0.35</v>
      </c>
      <c r="G410" s="35">
        <v>6</v>
      </c>
      <c r="H410" s="59">
        <v>2.1</v>
      </c>
      <c r="I410" s="59">
        <v>2.31</v>
      </c>
      <c r="J410" s="35">
        <v>182</v>
      </c>
      <c r="K410" s="35" t="s">
        <v>81</v>
      </c>
      <c r="L410" s="35" t="s">
        <v>45</v>
      </c>
      <c r="M410" s="36" t="s">
        <v>80</v>
      </c>
      <c r="N410" s="36"/>
      <c r="O410" s="35">
        <v>40</v>
      </c>
      <c r="P410" s="604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0" s="557"/>
      <c r="R410" s="557"/>
      <c r="S410" s="557"/>
      <c r="T410" s="558"/>
      <c r="U410" s="37" t="s">
        <v>45</v>
      </c>
      <c r="V410" s="37" t="s">
        <v>45</v>
      </c>
      <c r="W410" s="38" t="s">
        <v>0</v>
      </c>
      <c r="X410" s="56">
        <v>0</v>
      </c>
      <c r="Y410" s="53">
        <f>IFERROR(IF(X410="",0,CEILING((X410/$H410),1)*$H410),"")</f>
        <v>0</v>
      </c>
      <c r="Z410" s="39" t="str">
        <f>IFERROR(IF(Y410=0,"",ROUNDUP(Y410/H410,0)*0.00651),"")</f>
        <v/>
      </c>
      <c r="AA410" s="65" t="s">
        <v>45</v>
      </c>
      <c r="AB410" s="66" t="s">
        <v>45</v>
      </c>
      <c r="AC410" s="475" t="s">
        <v>653</v>
      </c>
      <c r="AG410" s="75"/>
      <c r="AJ410" s="79" t="s">
        <v>45</v>
      </c>
      <c r="AK410" s="79">
        <v>0</v>
      </c>
      <c r="BB410" s="476" t="s">
        <v>66</v>
      </c>
      <c r="BM410" s="75">
        <f>IFERROR(X410*I410/H410,"0")</f>
        <v>0</v>
      </c>
      <c r="BN410" s="75">
        <f>IFERROR(Y410*I410/H410,"0")</f>
        <v>0</v>
      </c>
      <c r="BO410" s="75">
        <f>IFERROR(1/J410*(X410/H410),"0")</f>
        <v>0</v>
      </c>
      <c r="BP410" s="75">
        <f>IFERROR(1/J410*(Y410/H410),"0")</f>
        <v>0</v>
      </c>
    </row>
    <row r="411" spans="1:68" hidden="1" x14ac:dyDescent="0.2">
      <c r="A411" s="562"/>
      <c r="B411" s="562"/>
      <c r="C411" s="562"/>
      <c r="D411" s="562"/>
      <c r="E411" s="562"/>
      <c r="F411" s="562"/>
      <c r="G411" s="562"/>
      <c r="H411" s="562"/>
      <c r="I411" s="562"/>
      <c r="J411" s="562"/>
      <c r="K411" s="562"/>
      <c r="L411" s="562"/>
      <c r="M411" s="562"/>
      <c r="N411" s="562"/>
      <c r="O411" s="563"/>
      <c r="P411" s="559" t="s">
        <v>40</v>
      </c>
      <c r="Q411" s="560"/>
      <c r="R411" s="560"/>
      <c r="S411" s="560"/>
      <c r="T411" s="560"/>
      <c r="U411" s="560"/>
      <c r="V411" s="561"/>
      <c r="W411" s="40" t="s">
        <v>39</v>
      </c>
      <c r="X411" s="41">
        <f>IFERROR(X410/H410,"0")</f>
        <v>0</v>
      </c>
      <c r="Y411" s="41">
        <f>IFERROR(Y410/H410,"0")</f>
        <v>0</v>
      </c>
      <c r="Z411" s="41">
        <f>IFERROR(IF(Z410="",0,Z410),"0")</f>
        <v>0</v>
      </c>
      <c r="AA411" s="64"/>
      <c r="AB411" s="64"/>
      <c r="AC411" s="64"/>
    </row>
    <row r="412" spans="1:68" hidden="1" x14ac:dyDescent="0.2">
      <c r="A412" s="562"/>
      <c r="B412" s="562"/>
      <c r="C412" s="562"/>
      <c r="D412" s="562"/>
      <c r="E412" s="562"/>
      <c r="F412" s="562"/>
      <c r="G412" s="562"/>
      <c r="H412" s="562"/>
      <c r="I412" s="562"/>
      <c r="J412" s="562"/>
      <c r="K412" s="562"/>
      <c r="L412" s="562"/>
      <c r="M412" s="562"/>
      <c r="N412" s="562"/>
      <c r="O412" s="563"/>
      <c r="P412" s="559" t="s">
        <v>40</v>
      </c>
      <c r="Q412" s="560"/>
      <c r="R412" s="560"/>
      <c r="S412" s="560"/>
      <c r="T412" s="560"/>
      <c r="U412" s="560"/>
      <c r="V412" s="561"/>
      <c r="W412" s="40" t="s">
        <v>0</v>
      </c>
      <c r="X412" s="41">
        <f>IFERROR(SUM(X410:X410),"0")</f>
        <v>0</v>
      </c>
      <c r="Y412" s="41">
        <f>IFERROR(SUM(Y410:Y410),"0")</f>
        <v>0</v>
      </c>
      <c r="Z412" s="40"/>
      <c r="AA412" s="64"/>
      <c r="AB412" s="64"/>
      <c r="AC412" s="64"/>
    </row>
    <row r="413" spans="1:68" ht="14.25" hidden="1" customHeight="1" x14ac:dyDescent="0.25">
      <c r="A413" s="554" t="s">
        <v>76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63"/>
      <c r="AB413" s="63"/>
      <c r="AC413" s="63"/>
    </row>
    <row r="414" spans="1:68" ht="27" hidden="1" customHeight="1" x14ac:dyDescent="0.25">
      <c r="A414" s="60" t="s">
        <v>654</v>
      </c>
      <c r="B414" s="60" t="s">
        <v>655</v>
      </c>
      <c r="C414" s="34">
        <v>4301031403</v>
      </c>
      <c r="D414" s="555">
        <v>4680115886094</v>
      </c>
      <c r="E414" s="555"/>
      <c r="F414" s="59">
        <v>0.9</v>
      </c>
      <c r="G414" s="35">
        <v>6</v>
      </c>
      <c r="H414" s="59">
        <v>5.4</v>
      </c>
      <c r="I414" s="59">
        <v>5.59</v>
      </c>
      <c r="J414" s="35">
        <v>132</v>
      </c>
      <c r="K414" s="35" t="s">
        <v>122</v>
      </c>
      <c r="L414" s="35" t="s">
        <v>45</v>
      </c>
      <c r="M414" s="36" t="s">
        <v>118</v>
      </c>
      <c r="N414" s="36"/>
      <c r="O414" s="35">
        <v>50</v>
      </c>
      <c r="P414" s="60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4" s="557"/>
      <c r="R414" s="557"/>
      <c r="S414" s="557"/>
      <c r="T414" s="558"/>
      <c r="U414" s="37" t="s">
        <v>45</v>
      </c>
      <c r="V414" s="37" t="s">
        <v>45</v>
      </c>
      <c r="W414" s="38" t="s">
        <v>0</v>
      </c>
      <c r="X414" s="56">
        <v>0</v>
      </c>
      <c r="Y414" s="53">
        <f>IFERROR(IF(X414="",0,CEILING((X414/$H414),1)*$H414),"")</f>
        <v>0</v>
      </c>
      <c r="Z414" s="39" t="str">
        <f>IFERROR(IF(Y414=0,"",ROUNDUP(Y414/H414,0)*0.00902),"")</f>
        <v/>
      </c>
      <c r="AA414" s="65" t="s">
        <v>45</v>
      </c>
      <c r="AB414" s="66" t="s">
        <v>45</v>
      </c>
      <c r="AC414" s="477" t="s">
        <v>656</v>
      </c>
      <c r="AG414" s="75"/>
      <c r="AJ414" s="79" t="s">
        <v>45</v>
      </c>
      <c r="AK414" s="79">
        <v>0</v>
      </c>
      <c r="BB414" s="478" t="s">
        <v>66</v>
      </c>
      <c r="BM414" s="75">
        <f>IFERROR(X414*I414/H414,"0")</f>
        <v>0</v>
      </c>
      <c r="BN414" s="75">
        <f>IFERROR(Y414*I414/H414,"0")</f>
        <v>0</v>
      </c>
      <c r="BO414" s="75">
        <f>IFERROR(1/J414*(X414/H414),"0")</f>
        <v>0</v>
      </c>
      <c r="BP414" s="75">
        <f>IFERROR(1/J414*(Y414/H414),"0")</f>
        <v>0</v>
      </c>
    </row>
    <row r="415" spans="1:68" ht="27" hidden="1" customHeight="1" x14ac:dyDescent="0.25">
      <c r="A415" s="60" t="s">
        <v>657</v>
      </c>
      <c r="B415" s="60" t="s">
        <v>658</v>
      </c>
      <c r="C415" s="34">
        <v>4301031373</v>
      </c>
      <c r="D415" s="555">
        <v>4680115880771</v>
      </c>
      <c r="E415" s="555"/>
      <c r="F415" s="59">
        <v>0.28000000000000003</v>
      </c>
      <c r="G415" s="35">
        <v>6</v>
      </c>
      <c r="H415" s="59">
        <v>1.68</v>
      </c>
      <c r="I415" s="59">
        <v>1.81</v>
      </c>
      <c r="J415" s="35">
        <v>234</v>
      </c>
      <c r="K415" s="35" t="s">
        <v>85</v>
      </c>
      <c r="L415" s="35" t="s">
        <v>45</v>
      </c>
      <c r="M415" s="36" t="s">
        <v>80</v>
      </c>
      <c r="N415" s="36"/>
      <c r="O415" s="35">
        <v>50</v>
      </c>
      <c r="P415" s="60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5" s="557"/>
      <c r="R415" s="557"/>
      <c r="S415" s="557"/>
      <c r="T415" s="558"/>
      <c r="U415" s="37" t="s">
        <v>45</v>
      </c>
      <c r="V415" s="37" t="s">
        <v>45</v>
      </c>
      <c r="W415" s="38" t="s">
        <v>0</v>
      </c>
      <c r="X415" s="56">
        <v>0</v>
      </c>
      <c r="Y415" s="53">
        <f>IFERROR(IF(X415="",0,CEILING((X415/$H415),1)*$H415),"")</f>
        <v>0</v>
      </c>
      <c r="Z415" s="39" t="str">
        <f>IFERROR(IF(Y415=0,"",ROUNDUP(Y415/H415,0)*0.00502),"")</f>
        <v/>
      </c>
      <c r="AA415" s="65" t="s">
        <v>45</v>
      </c>
      <c r="AB415" s="66" t="s">
        <v>45</v>
      </c>
      <c r="AC415" s="479" t="s">
        <v>659</v>
      </c>
      <c r="AG415" s="75"/>
      <c r="AJ415" s="79" t="s">
        <v>45</v>
      </c>
      <c r="AK415" s="79">
        <v>0</v>
      </c>
      <c r="BB415" s="480" t="s">
        <v>66</v>
      </c>
      <c r="BM415" s="75">
        <f>IFERROR(X415*I415/H415,"0")</f>
        <v>0</v>
      </c>
      <c r="BN415" s="75">
        <f>IFERROR(Y415*I415/H415,"0")</f>
        <v>0</v>
      </c>
      <c r="BO415" s="75">
        <f>IFERROR(1/J415*(X415/H415),"0")</f>
        <v>0</v>
      </c>
      <c r="BP415" s="75">
        <f>IFERROR(1/J415*(Y415/H415),"0")</f>
        <v>0</v>
      </c>
    </row>
    <row r="416" spans="1:68" ht="27" hidden="1" customHeight="1" x14ac:dyDescent="0.25">
      <c r="A416" s="60" t="s">
        <v>660</v>
      </c>
      <c r="B416" s="60" t="s">
        <v>661</v>
      </c>
      <c r="C416" s="34">
        <v>4301031359</v>
      </c>
      <c r="D416" s="555">
        <v>4607091389500</v>
      </c>
      <c r="E416" s="555"/>
      <c r="F416" s="59">
        <v>0.35</v>
      </c>
      <c r="G416" s="35">
        <v>6</v>
      </c>
      <c r="H416" s="59">
        <v>2.1</v>
      </c>
      <c r="I416" s="59">
        <v>2.23</v>
      </c>
      <c r="J416" s="35">
        <v>234</v>
      </c>
      <c r="K416" s="35" t="s">
        <v>85</v>
      </c>
      <c r="L416" s="35" t="s">
        <v>45</v>
      </c>
      <c r="M416" s="36" t="s">
        <v>80</v>
      </c>
      <c r="N416" s="36"/>
      <c r="O416" s="35">
        <v>50</v>
      </c>
      <c r="P416" s="60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6" s="557"/>
      <c r="R416" s="557"/>
      <c r="S416" s="557"/>
      <c r="T416" s="558"/>
      <c r="U416" s="37" t="s">
        <v>45</v>
      </c>
      <c r="V416" s="37" t="s">
        <v>45</v>
      </c>
      <c r="W416" s="38" t="s">
        <v>0</v>
      </c>
      <c r="X416" s="56">
        <v>0</v>
      </c>
      <c r="Y416" s="53">
        <f>IFERROR(IF(X416="",0,CEILING((X416/$H416),1)*$H416),"")</f>
        <v>0</v>
      </c>
      <c r="Z416" s="39" t="str">
        <f>IFERROR(IF(Y416=0,"",ROUNDUP(Y416/H416,0)*0.00502),"")</f>
        <v/>
      </c>
      <c r="AA416" s="65" t="s">
        <v>45</v>
      </c>
      <c r="AB416" s="66" t="s">
        <v>45</v>
      </c>
      <c r="AC416" s="481" t="s">
        <v>659</v>
      </c>
      <c r="AG416" s="75"/>
      <c r="AJ416" s="79" t="s">
        <v>45</v>
      </c>
      <c r="AK416" s="79">
        <v>0</v>
      </c>
      <c r="BB416" s="482" t="s">
        <v>66</v>
      </c>
      <c r="BM416" s="75">
        <f>IFERROR(X416*I416/H416,"0")</f>
        <v>0</v>
      </c>
      <c r="BN416" s="75">
        <f>IFERROR(Y416*I416/H416,"0")</f>
        <v>0</v>
      </c>
      <c r="BO416" s="75">
        <f>IFERROR(1/J416*(X416/H416),"0")</f>
        <v>0</v>
      </c>
      <c r="BP416" s="75">
        <f>IFERROR(1/J416*(Y416/H416),"0")</f>
        <v>0</v>
      </c>
    </row>
    <row r="417" spans="1:68" hidden="1" x14ac:dyDescent="0.2">
      <c r="A417" s="562"/>
      <c r="B417" s="562"/>
      <c r="C417" s="562"/>
      <c r="D417" s="562"/>
      <c r="E417" s="562"/>
      <c r="F417" s="562"/>
      <c r="G417" s="562"/>
      <c r="H417" s="562"/>
      <c r="I417" s="562"/>
      <c r="J417" s="562"/>
      <c r="K417" s="562"/>
      <c r="L417" s="562"/>
      <c r="M417" s="562"/>
      <c r="N417" s="562"/>
      <c r="O417" s="563"/>
      <c r="P417" s="559" t="s">
        <v>40</v>
      </c>
      <c r="Q417" s="560"/>
      <c r="R417" s="560"/>
      <c r="S417" s="560"/>
      <c r="T417" s="560"/>
      <c r="U417" s="560"/>
      <c r="V417" s="561"/>
      <c r="W417" s="40" t="s">
        <v>39</v>
      </c>
      <c r="X417" s="41">
        <f>IFERROR(X414/H414,"0")+IFERROR(X415/H415,"0")+IFERROR(X416/H416,"0")</f>
        <v>0</v>
      </c>
      <c r="Y417" s="41">
        <f>IFERROR(Y414/H414,"0")+IFERROR(Y415/H415,"0")+IFERROR(Y416/H416,"0")</f>
        <v>0</v>
      </c>
      <c r="Z417" s="41">
        <f>IFERROR(IF(Z414="",0,Z414),"0")+IFERROR(IF(Z415="",0,Z415),"0")+IFERROR(IF(Z416="",0,Z416),"0")</f>
        <v>0</v>
      </c>
      <c r="AA417" s="64"/>
      <c r="AB417" s="64"/>
      <c r="AC417" s="64"/>
    </row>
    <row r="418" spans="1:68" hidden="1" x14ac:dyDescent="0.2">
      <c r="A418" s="562"/>
      <c r="B418" s="562"/>
      <c r="C418" s="562"/>
      <c r="D418" s="562"/>
      <c r="E418" s="562"/>
      <c r="F418" s="562"/>
      <c r="G418" s="562"/>
      <c r="H418" s="562"/>
      <c r="I418" s="562"/>
      <c r="J418" s="562"/>
      <c r="K418" s="562"/>
      <c r="L418" s="562"/>
      <c r="M418" s="562"/>
      <c r="N418" s="562"/>
      <c r="O418" s="563"/>
      <c r="P418" s="559" t="s">
        <v>40</v>
      </c>
      <c r="Q418" s="560"/>
      <c r="R418" s="560"/>
      <c r="S418" s="560"/>
      <c r="T418" s="560"/>
      <c r="U418" s="560"/>
      <c r="V418" s="561"/>
      <c r="W418" s="40" t="s">
        <v>0</v>
      </c>
      <c r="X418" s="41">
        <f>IFERROR(SUM(X414:X416),"0")</f>
        <v>0</v>
      </c>
      <c r="Y418" s="41">
        <f>IFERROR(SUM(Y414:Y416),"0")</f>
        <v>0</v>
      </c>
      <c r="Z418" s="40"/>
      <c r="AA418" s="64"/>
      <c r="AB418" s="64"/>
      <c r="AC418" s="64"/>
    </row>
    <row r="419" spans="1:68" ht="16.5" hidden="1" customHeight="1" x14ac:dyDescent="0.25">
      <c r="A419" s="553" t="s">
        <v>662</v>
      </c>
      <c r="B419" s="553"/>
      <c r="C419" s="553"/>
      <c r="D419" s="553"/>
      <c r="E419" s="553"/>
      <c r="F419" s="553"/>
      <c r="G419" s="553"/>
      <c r="H419" s="553"/>
      <c r="I419" s="553"/>
      <c r="J419" s="553"/>
      <c r="K419" s="553"/>
      <c r="L419" s="553"/>
      <c r="M419" s="553"/>
      <c r="N419" s="553"/>
      <c r="O419" s="553"/>
      <c r="P419" s="553"/>
      <c r="Q419" s="553"/>
      <c r="R419" s="553"/>
      <c r="S419" s="553"/>
      <c r="T419" s="553"/>
      <c r="U419" s="553"/>
      <c r="V419" s="553"/>
      <c r="W419" s="553"/>
      <c r="X419" s="553"/>
      <c r="Y419" s="553"/>
      <c r="Z419" s="553"/>
      <c r="AA419" s="62"/>
      <c r="AB419" s="62"/>
      <c r="AC419" s="62"/>
    </row>
    <row r="420" spans="1:68" ht="14.25" hidden="1" customHeight="1" x14ac:dyDescent="0.25">
      <c r="A420" s="554" t="s">
        <v>76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63"/>
      <c r="AB420" s="63"/>
      <c r="AC420" s="63"/>
    </row>
    <row r="421" spans="1:68" ht="27" hidden="1" customHeight="1" x14ac:dyDescent="0.25">
      <c r="A421" s="60" t="s">
        <v>663</v>
      </c>
      <c r="B421" s="60" t="s">
        <v>664</v>
      </c>
      <c r="C421" s="34">
        <v>4301031347</v>
      </c>
      <c r="D421" s="555">
        <v>4680115885110</v>
      </c>
      <c r="E421" s="555"/>
      <c r="F421" s="59">
        <v>0.2</v>
      </c>
      <c r="G421" s="35">
        <v>6</v>
      </c>
      <c r="H421" s="59">
        <v>1.2</v>
      </c>
      <c r="I421" s="59">
        <v>2.1</v>
      </c>
      <c r="J421" s="35">
        <v>182</v>
      </c>
      <c r="K421" s="35" t="s">
        <v>81</v>
      </c>
      <c r="L421" s="35" t="s">
        <v>45</v>
      </c>
      <c r="M421" s="36" t="s">
        <v>80</v>
      </c>
      <c r="N421" s="36"/>
      <c r="O421" s="35">
        <v>50</v>
      </c>
      <c r="P421" s="60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1" s="557"/>
      <c r="R421" s="557"/>
      <c r="S421" s="557"/>
      <c r="T421" s="558"/>
      <c r="U421" s="37" t="s">
        <v>45</v>
      </c>
      <c r="V421" s="37" t="s">
        <v>45</v>
      </c>
      <c r="W421" s="38" t="s">
        <v>0</v>
      </c>
      <c r="X421" s="56">
        <v>0</v>
      </c>
      <c r="Y421" s="53">
        <f>IFERROR(IF(X421="",0,CEILING((X421/$H421),1)*$H421),"")</f>
        <v>0</v>
      </c>
      <c r="Z421" s="39" t="str">
        <f>IFERROR(IF(Y421=0,"",ROUNDUP(Y421/H421,0)*0.00651),"")</f>
        <v/>
      </c>
      <c r="AA421" s="65" t="s">
        <v>45</v>
      </c>
      <c r="AB421" s="66" t="s">
        <v>45</v>
      </c>
      <c r="AC421" s="483" t="s">
        <v>665</v>
      </c>
      <c r="AG421" s="75"/>
      <c r="AJ421" s="79" t="s">
        <v>45</v>
      </c>
      <c r="AK421" s="79">
        <v>0</v>
      </c>
      <c r="BB421" s="484" t="s">
        <v>66</v>
      </c>
      <c r="BM421" s="75">
        <f>IFERROR(X421*I421/H421,"0")</f>
        <v>0</v>
      </c>
      <c r="BN421" s="75">
        <f>IFERROR(Y421*I421/H421,"0")</f>
        <v>0</v>
      </c>
      <c r="BO421" s="75">
        <f>IFERROR(1/J421*(X421/H421),"0")</f>
        <v>0</v>
      </c>
      <c r="BP421" s="75">
        <f>IFERROR(1/J421*(Y421/H421),"0")</f>
        <v>0</v>
      </c>
    </row>
    <row r="422" spans="1:68" hidden="1" x14ac:dyDescent="0.2">
      <c r="A422" s="562"/>
      <c r="B422" s="562"/>
      <c r="C422" s="562"/>
      <c r="D422" s="562"/>
      <c r="E422" s="562"/>
      <c r="F422" s="562"/>
      <c r="G422" s="562"/>
      <c r="H422" s="562"/>
      <c r="I422" s="562"/>
      <c r="J422" s="562"/>
      <c r="K422" s="562"/>
      <c r="L422" s="562"/>
      <c r="M422" s="562"/>
      <c r="N422" s="562"/>
      <c r="O422" s="563"/>
      <c r="P422" s="559" t="s">
        <v>40</v>
      </c>
      <c r="Q422" s="560"/>
      <c r="R422" s="560"/>
      <c r="S422" s="560"/>
      <c r="T422" s="560"/>
      <c r="U422" s="560"/>
      <c r="V422" s="561"/>
      <c r="W422" s="40" t="s">
        <v>39</v>
      </c>
      <c r="X422" s="41">
        <f>IFERROR(X421/H421,"0")</f>
        <v>0</v>
      </c>
      <c r="Y422" s="41">
        <f>IFERROR(Y421/H421,"0")</f>
        <v>0</v>
      </c>
      <c r="Z422" s="41">
        <f>IFERROR(IF(Z421="",0,Z421),"0")</f>
        <v>0</v>
      </c>
      <c r="AA422" s="64"/>
      <c r="AB422" s="64"/>
      <c r="AC422" s="64"/>
    </row>
    <row r="423" spans="1:68" hidden="1" x14ac:dyDescent="0.2">
      <c r="A423" s="562"/>
      <c r="B423" s="562"/>
      <c r="C423" s="562"/>
      <c r="D423" s="562"/>
      <c r="E423" s="562"/>
      <c r="F423" s="562"/>
      <c r="G423" s="562"/>
      <c r="H423" s="562"/>
      <c r="I423" s="562"/>
      <c r="J423" s="562"/>
      <c r="K423" s="562"/>
      <c r="L423" s="562"/>
      <c r="M423" s="562"/>
      <c r="N423" s="562"/>
      <c r="O423" s="563"/>
      <c r="P423" s="559" t="s">
        <v>40</v>
      </c>
      <c r="Q423" s="560"/>
      <c r="R423" s="560"/>
      <c r="S423" s="560"/>
      <c r="T423" s="560"/>
      <c r="U423" s="560"/>
      <c r="V423" s="561"/>
      <c r="W423" s="40" t="s">
        <v>0</v>
      </c>
      <c r="X423" s="41">
        <f>IFERROR(SUM(X421:X421),"0")</f>
        <v>0</v>
      </c>
      <c r="Y423" s="41">
        <f>IFERROR(SUM(Y421:Y421),"0")</f>
        <v>0</v>
      </c>
      <c r="Z423" s="40"/>
      <c r="AA423" s="64"/>
      <c r="AB423" s="64"/>
      <c r="AC423" s="64"/>
    </row>
    <row r="424" spans="1:68" ht="27.75" hidden="1" customHeight="1" x14ac:dyDescent="0.2">
      <c r="A424" s="574" t="s">
        <v>666</v>
      </c>
      <c r="B424" s="574"/>
      <c r="C424" s="574"/>
      <c r="D424" s="574"/>
      <c r="E424" s="574"/>
      <c r="F424" s="574"/>
      <c r="G424" s="574"/>
      <c r="H424" s="574"/>
      <c r="I424" s="574"/>
      <c r="J424" s="574"/>
      <c r="K424" s="574"/>
      <c r="L424" s="574"/>
      <c r="M424" s="574"/>
      <c r="N424" s="574"/>
      <c r="O424" s="574"/>
      <c r="P424" s="574"/>
      <c r="Q424" s="574"/>
      <c r="R424" s="574"/>
      <c r="S424" s="574"/>
      <c r="T424" s="574"/>
      <c r="U424" s="574"/>
      <c r="V424" s="574"/>
      <c r="W424" s="574"/>
      <c r="X424" s="574"/>
      <c r="Y424" s="574"/>
      <c r="Z424" s="574"/>
      <c r="AA424" s="52"/>
      <c r="AB424" s="52"/>
      <c r="AC424" s="52"/>
    </row>
    <row r="425" spans="1:68" ht="16.5" hidden="1" customHeight="1" x14ac:dyDescent="0.25">
      <c r="A425" s="553" t="s">
        <v>666</v>
      </c>
      <c r="B425" s="553"/>
      <c r="C425" s="553"/>
      <c r="D425" s="553"/>
      <c r="E425" s="553"/>
      <c r="F425" s="553"/>
      <c r="G425" s="553"/>
      <c r="H425" s="553"/>
      <c r="I425" s="553"/>
      <c r="J425" s="553"/>
      <c r="K425" s="553"/>
      <c r="L425" s="553"/>
      <c r="M425" s="553"/>
      <c r="N425" s="553"/>
      <c r="O425" s="553"/>
      <c r="P425" s="553"/>
      <c r="Q425" s="553"/>
      <c r="R425" s="553"/>
      <c r="S425" s="553"/>
      <c r="T425" s="553"/>
      <c r="U425" s="553"/>
      <c r="V425" s="553"/>
      <c r="W425" s="553"/>
      <c r="X425" s="553"/>
      <c r="Y425" s="553"/>
      <c r="Z425" s="553"/>
      <c r="AA425" s="62"/>
      <c r="AB425" s="62"/>
      <c r="AC425" s="62"/>
    </row>
    <row r="426" spans="1:68" ht="14.25" hidden="1" customHeight="1" x14ac:dyDescent="0.25">
      <c r="A426" s="554" t="s">
        <v>114</v>
      </c>
      <c r="B426" s="554"/>
      <c r="C426" s="554"/>
      <c r="D426" s="554"/>
      <c r="E426" s="554"/>
      <c r="F426" s="554"/>
      <c r="G426" s="554"/>
      <c r="H426" s="554"/>
      <c r="I426" s="554"/>
      <c r="J426" s="554"/>
      <c r="K426" s="554"/>
      <c r="L426" s="554"/>
      <c r="M426" s="554"/>
      <c r="N426" s="554"/>
      <c r="O426" s="554"/>
      <c r="P426" s="554"/>
      <c r="Q426" s="554"/>
      <c r="R426" s="554"/>
      <c r="S426" s="554"/>
      <c r="T426" s="554"/>
      <c r="U426" s="554"/>
      <c r="V426" s="554"/>
      <c r="W426" s="554"/>
      <c r="X426" s="554"/>
      <c r="Y426" s="554"/>
      <c r="Z426" s="554"/>
      <c r="AA426" s="63"/>
      <c r="AB426" s="63"/>
      <c r="AC426" s="63"/>
    </row>
    <row r="427" spans="1:68" ht="27" hidden="1" customHeight="1" x14ac:dyDescent="0.25">
      <c r="A427" s="60" t="s">
        <v>667</v>
      </c>
      <c r="B427" s="60" t="s">
        <v>668</v>
      </c>
      <c r="C427" s="34">
        <v>4301011795</v>
      </c>
      <c r="D427" s="555">
        <v>4607091389067</v>
      </c>
      <c r="E427" s="555"/>
      <c r="F427" s="59">
        <v>0.88</v>
      </c>
      <c r="G427" s="35">
        <v>6</v>
      </c>
      <c r="H427" s="59">
        <v>5.28</v>
      </c>
      <c r="I427" s="59">
        <v>5.63</v>
      </c>
      <c r="J427" s="35">
        <v>104</v>
      </c>
      <c r="K427" s="35" t="s">
        <v>119</v>
      </c>
      <c r="L427" s="35" t="s">
        <v>45</v>
      </c>
      <c r="M427" s="36" t="s">
        <v>118</v>
      </c>
      <c r="N427" s="36"/>
      <c r="O427" s="35">
        <v>60</v>
      </c>
      <c r="P427" s="596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7" s="557"/>
      <c r="R427" s="557"/>
      <c r="S427" s="557"/>
      <c r="T427" s="558"/>
      <c r="U427" s="37" t="s">
        <v>45</v>
      </c>
      <c r="V427" s="37" t="s">
        <v>45</v>
      </c>
      <c r="W427" s="38" t="s">
        <v>0</v>
      </c>
      <c r="X427" s="56">
        <v>0</v>
      </c>
      <c r="Y427" s="53">
        <f t="shared" ref="Y427:Y438" si="48">IFERROR(IF(X427="",0,CEILING((X427/$H427),1)*$H427),"")</f>
        <v>0</v>
      </c>
      <c r="Z427" s="39" t="str">
        <f t="shared" ref="Z427:Z433" si="49">IFERROR(IF(Y427=0,"",ROUNDUP(Y427/H427,0)*0.01196),"")</f>
        <v/>
      </c>
      <c r="AA427" s="65" t="s">
        <v>45</v>
      </c>
      <c r="AB427" s="66" t="s">
        <v>45</v>
      </c>
      <c r="AC427" s="485" t="s">
        <v>117</v>
      </c>
      <c r="AG427" s="75"/>
      <c r="AJ427" s="79" t="s">
        <v>45</v>
      </c>
      <c r="AK427" s="79">
        <v>0</v>
      </c>
      <c r="BB427" s="486" t="s">
        <v>66</v>
      </c>
      <c r="BM427" s="75">
        <f t="shared" ref="BM427:BM438" si="50">IFERROR(X427*I427/H427,"0")</f>
        <v>0</v>
      </c>
      <c r="BN427" s="75">
        <f t="shared" ref="BN427:BN438" si="51">IFERROR(Y427*I427/H427,"0")</f>
        <v>0</v>
      </c>
      <c r="BO427" s="75">
        <f t="shared" ref="BO427:BO438" si="52">IFERROR(1/J427*(X427/H427),"0")</f>
        <v>0</v>
      </c>
      <c r="BP427" s="75">
        <f t="shared" ref="BP427:BP438" si="53">IFERROR(1/J427*(Y427/H427),"0")</f>
        <v>0</v>
      </c>
    </row>
    <row r="428" spans="1:68" ht="27" hidden="1" customHeight="1" x14ac:dyDescent="0.25">
      <c r="A428" s="60" t="s">
        <v>669</v>
      </c>
      <c r="B428" s="60" t="s">
        <v>670</v>
      </c>
      <c r="C428" s="34">
        <v>4301012145</v>
      </c>
      <c r="D428" s="555">
        <v>4607091383522</v>
      </c>
      <c r="E428" s="555"/>
      <c r="F428" s="59">
        <v>0.88</v>
      </c>
      <c r="G428" s="35">
        <v>6</v>
      </c>
      <c r="H428" s="59">
        <v>5.28</v>
      </c>
      <c r="I428" s="59">
        <v>5.63</v>
      </c>
      <c r="J428" s="35">
        <v>104</v>
      </c>
      <c r="K428" s="35" t="s">
        <v>119</v>
      </c>
      <c r="L428" s="35" t="s">
        <v>45</v>
      </c>
      <c r="M428" s="36" t="s">
        <v>118</v>
      </c>
      <c r="N428" s="36"/>
      <c r="O428" s="35">
        <v>60</v>
      </c>
      <c r="P428" s="5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8" s="557"/>
      <c r="R428" s="557"/>
      <c r="S428" s="557"/>
      <c r="T428" s="558"/>
      <c r="U428" s="37" t="s">
        <v>45</v>
      </c>
      <c r="V428" s="37" t="s">
        <v>45</v>
      </c>
      <c r="W428" s="38" t="s">
        <v>0</v>
      </c>
      <c r="X428" s="56">
        <v>0</v>
      </c>
      <c r="Y428" s="53">
        <f t="shared" si="48"/>
        <v>0</v>
      </c>
      <c r="Z428" s="39" t="str">
        <f t="shared" si="49"/>
        <v/>
      </c>
      <c r="AA428" s="65" t="s">
        <v>45</v>
      </c>
      <c r="AB428" s="66" t="s">
        <v>45</v>
      </c>
      <c r="AC428" s="487" t="s">
        <v>671</v>
      </c>
      <c r="AG428" s="75"/>
      <c r="AJ428" s="79" t="s">
        <v>45</v>
      </c>
      <c r="AK428" s="79">
        <v>0</v>
      </c>
      <c r="BB428" s="488" t="s">
        <v>66</v>
      </c>
      <c r="BM428" s="75">
        <f t="shared" si="50"/>
        <v>0</v>
      </c>
      <c r="BN428" s="75">
        <f t="shared" si="51"/>
        <v>0</v>
      </c>
      <c r="BO428" s="75">
        <f t="shared" si="52"/>
        <v>0</v>
      </c>
      <c r="BP428" s="75">
        <f t="shared" si="53"/>
        <v>0</v>
      </c>
    </row>
    <row r="429" spans="1:68" ht="27" hidden="1" customHeight="1" x14ac:dyDescent="0.25">
      <c r="A429" s="60" t="s">
        <v>669</v>
      </c>
      <c r="B429" s="60" t="s">
        <v>672</v>
      </c>
      <c r="C429" s="34">
        <v>4301012210</v>
      </c>
      <c r="D429" s="555">
        <v>4607091383522</v>
      </c>
      <c r="E429" s="555"/>
      <c r="F429" s="59">
        <v>0.88</v>
      </c>
      <c r="G429" s="35">
        <v>6</v>
      </c>
      <c r="H429" s="59">
        <v>5.28</v>
      </c>
      <c r="I429" s="59">
        <v>5.63</v>
      </c>
      <c r="J429" s="35">
        <v>104</v>
      </c>
      <c r="K429" s="35" t="s">
        <v>119</v>
      </c>
      <c r="L429" s="35" t="s">
        <v>45</v>
      </c>
      <c r="M429" s="36" t="s">
        <v>118</v>
      </c>
      <c r="N429" s="36"/>
      <c r="O429" s="35">
        <v>60</v>
      </c>
      <c r="P429" s="598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29" s="557"/>
      <c r="R429" s="557"/>
      <c r="S429" s="557"/>
      <c r="T429" s="558"/>
      <c r="U429" s="37" t="s">
        <v>45</v>
      </c>
      <c r="V429" s="37" t="s">
        <v>45</v>
      </c>
      <c r="W429" s="38" t="s">
        <v>0</v>
      </c>
      <c r="X429" s="56">
        <v>0</v>
      </c>
      <c r="Y429" s="53">
        <f t="shared" si="48"/>
        <v>0</v>
      </c>
      <c r="Z429" s="39" t="str">
        <f t="shared" si="49"/>
        <v/>
      </c>
      <c r="AA429" s="65" t="s">
        <v>45</v>
      </c>
      <c r="AB429" s="66" t="s">
        <v>45</v>
      </c>
      <c r="AC429" s="489" t="s">
        <v>671</v>
      </c>
      <c r="AG429" s="75"/>
      <c r="AJ429" s="79" t="s">
        <v>45</v>
      </c>
      <c r="AK429" s="79">
        <v>0</v>
      </c>
      <c r="BB429" s="490" t="s">
        <v>66</v>
      </c>
      <c r="BM429" s="75">
        <f t="shared" si="50"/>
        <v>0</v>
      </c>
      <c r="BN429" s="75">
        <f t="shared" si="51"/>
        <v>0</v>
      </c>
      <c r="BO429" s="75">
        <f t="shared" si="52"/>
        <v>0</v>
      </c>
      <c r="BP429" s="75">
        <f t="shared" si="53"/>
        <v>0</v>
      </c>
    </row>
    <row r="430" spans="1:68" ht="27" hidden="1" customHeight="1" x14ac:dyDescent="0.25">
      <c r="A430" s="60" t="s">
        <v>673</v>
      </c>
      <c r="B430" s="60" t="s">
        <v>674</v>
      </c>
      <c r="C430" s="34">
        <v>4301011961</v>
      </c>
      <c r="D430" s="555">
        <v>4680115885271</v>
      </c>
      <c r="E430" s="555"/>
      <c r="F430" s="59">
        <v>0.88</v>
      </c>
      <c r="G430" s="35">
        <v>6</v>
      </c>
      <c r="H430" s="59">
        <v>5.28</v>
      </c>
      <c r="I430" s="59">
        <v>5.63</v>
      </c>
      <c r="J430" s="35">
        <v>104</v>
      </c>
      <c r="K430" s="35" t="s">
        <v>119</v>
      </c>
      <c r="L430" s="35" t="s">
        <v>45</v>
      </c>
      <c r="M430" s="36" t="s">
        <v>118</v>
      </c>
      <c r="N430" s="36"/>
      <c r="O430" s="35">
        <v>60</v>
      </c>
      <c r="P430" s="59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0" s="557"/>
      <c r="R430" s="557"/>
      <c r="S430" s="557"/>
      <c r="T430" s="558"/>
      <c r="U430" s="37" t="s">
        <v>45</v>
      </c>
      <c r="V430" s="37" t="s">
        <v>45</v>
      </c>
      <c r="W430" s="38" t="s">
        <v>0</v>
      </c>
      <c r="X430" s="56">
        <v>0</v>
      </c>
      <c r="Y430" s="53">
        <f t="shared" si="48"/>
        <v>0</v>
      </c>
      <c r="Z430" s="39" t="str">
        <f t="shared" si="49"/>
        <v/>
      </c>
      <c r="AA430" s="65" t="s">
        <v>45</v>
      </c>
      <c r="AB430" s="66" t="s">
        <v>45</v>
      </c>
      <c r="AC430" s="491" t="s">
        <v>675</v>
      </c>
      <c r="AG430" s="75"/>
      <c r="AJ430" s="79" t="s">
        <v>45</v>
      </c>
      <c r="AK430" s="79">
        <v>0</v>
      </c>
      <c r="BB430" s="492" t="s">
        <v>66</v>
      </c>
      <c r="BM430" s="75">
        <f t="shared" si="50"/>
        <v>0</v>
      </c>
      <c r="BN430" s="75">
        <f t="shared" si="51"/>
        <v>0</v>
      </c>
      <c r="BO430" s="75">
        <f t="shared" si="52"/>
        <v>0</v>
      </c>
      <c r="BP430" s="75">
        <f t="shared" si="53"/>
        <v>0</v>
      </c>
    </row>
    <row r="431" spans="1:68" ht="27" customHeight="1" x14ac:dyDescent="0.25">
      <c r="A431" s="60" t="s">
        <v>676</v>
      </c>
      <c r="B431" s="60" t="s">
        <v>677</v>
      </c>
      <c r="C431" s="34">
        <v>4301011376</v>
      </c>
      <c r="D431" s="555">
        <v>4680115885226</v>
      </c>
      <c r="E431" s="555"/>
      <c r="F431" s="59">
        <v>0.88</v>
      </c>
      <c r="G431" s="35">
        <v>6</v>
      </c>
      <c r="H431" s="59">
        <v>5.28</v>
      </c>
      <c r="I431" s="59">
        <v>5.63</v>
      </c>
      <c r="J431" s="35">
        <v>104</v>
      </c>
      <c r="K431" s="35" t="s">
        <v>119</v>
      </c>
      <c r="L431" s="35" t="s">
        <v>45</v>
      </c>
      <c r="M431" s="36" t="s">
        <v>90</v>
      </c>
      <c r="N431" s="36"/>
      <c r="O431" s="35">
        <v>60</v>
      </c>
      <c r="P431" s="59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1" s="557"/>
      <c r="R431" s="557"/>
      <c r="S431" s="557"/>
      <c r="T431" s="558"/>
      <c r="U431" s="37" t="s">
        <v>45</v>
      </c>
      <c r="V431" s="37" t="s">
        <v>45</v>
      </c>
      <c r="W431" s="38" t="s">
        <v>0</v>
      </c>
      <c r="X431" s="56">
        <v>84.48</v>
      </c>
      <c r="Y431" s="53">
        <f t="shared" si="48"/>
        <v>84.48</v>
      </c>
      <c r="Z431" s="39">
        <f t="shared" si="49"/>
        <v>0.19136</v>
      </c>
      <c r="AA431" s="65" t="s">
        <v>45</v>
      </c>
      <c r="AB431" s="66" t="s">
        <v>45</v>
      </c>
      <c r="AC431" s="493" t="s">
        <v>678</v>
      </c>
      <c r="AG431" s="75"/>
      <c r="AJ431" s="79" t="s">
        <v>45</v>
      </c>
      <c r="AK431" s="79">
        <v>0</v>
      </c>
      <c r="BB431" s="494" t="s">
        <v>66</v>
      </c>
      <c r="BM431" s="75">
        <f t="shared" si="50"/>
        <v>90.08</v>
      </c>
      <c r="BN431" s="75">
        <f t="shared" si="51"/>
        <v>90.08</v>
      </c>
      <c r="BO431" s="75">
        <f t="shared" si="52"/>
        <v>0.15384615384615385</v>
      </c>
      <c r="BP431" s="75">
        <f t="shared" si="53"/>
        <v>0.15384615384615385</v>
      </c>
    </row>
    <row r="432" spans="1:68" ht="16.5" hidden="1" customHeight="1" x14ac:dyDescent="0.25">
      <c r="A432" s="60" t="s">
        <v>679</v>
      </c>
      <c r="B432" s="60" t="s">
        <v>680</v>
      </c>
      <c r="C432" s="34">
        <v>4301011774</v>
      </c>
      <c r="D432" s="555">
        <v>4680115884502</v>
      </c>
      <c r="E432" s="555"/>
      <c r="F432" s="59">
        <v>0.88</v>
      </c>
      <c r="G432" s="35">
        <v>6</v>
      </c>
      <c r="H432" s="59">
        <v>5.28</v>
      </c>
      <c r="I432" s="59">
        <v>5.63</v>
      </c>
      <c r="J432" s="35">
        <v>104</v>
      </c>
      <c r="K432" s="35" t="s">
        <v>119</v>
      </c>
      <c r="L432" s="35" t="s">
        <v>45</v>
      </c>
      <c r="M432" s="36" t="s">
        <v>118</v>
      </c>
      <c r="N432" s="36"/>
      <c r="O432" s="35">
        <v>60</v>
      </c>
      <c r="P432" s="59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2" s="557"/>
      <c r="R432" s="557"/>
      <c r="S432" s="557"/>
      <c r="T432" s="558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48"/>
        <v>0</v>
      </c>
      <c r="Z432" s="39" t="str">
        <f t="shared" si="49"/>
        <v/>
      </c>
      <c r="AA432" s="65" t="s">
        <v>45</v>
      </c>
      <c r="AB432" s="66" t="s">
        <v>45</v>
      </c>
      <c r="AC432" s="495" t="s">
        <v>681</v>
      </c>
      <c r="AG432" s="75"/>
      <c r="AJ432" s="79" t="s">
        <v>45</v>
      </c>
      <c r="AK432" s="79">
        <v>0</v>
      </c>
      <c r="BB432" s="496" t="s">
        <v>66</v>
      </c>
      <c r="BM432" s="75">
        <f t="shared" si="50"/>
        <v>0</v>
      </c>
      <c r="BN432" s="75">
        <f t="shared" si="51"/>
        <v>0</v>
      </c>
      <c r="BO432" s="75">
        <f t="shared" si="52"/>
        <v>0</v>
      </c>
      <c r="BP432" s="75">
        <f t="shared" si="53"/>
        <v>0</v>
      </c>
    </row>
    <row r="433" spans="1:68" ht="27" customHeight="1" x14ac:dyDescent="0.25">
      <c r="A433" s="60" t="s">
        <v>682</v>
      </c>
      <c r="B433" s="60" t="s">
        <v>683</v>
      </c>
      <c r="C433" s="34">
        <v>4301011771</v>
      </c>
      <c r="D433" s="555">
        <v>4607091389104</v>
      </c>
      <c r="E433" s="555"/>
      <c r="F433" s="59">
        <v>0.88</v>
      </c>
      <c r="G433" s="35">
        <v>6</v>
      </c>
      <c r="H433" s="59">
        <v>5.28</v>
      </c>
      <c r="I433" s="59">
        <v>5.63</v>
      </c>
      <c r="J433" s="35">
        <v>104</v>
      </c>
      <c r="K433" s="35" t="s">
        <v>119</v>
      </c>
      <c r="L433" s="35" t="s">
        <v>45</v>
      </c>
      <c r="M433" s="36" t="s">
        <v>118</v>
      </c>
      <c r="N433" s="36"/>
      <c r="O433" s="35">
        <v>60</v>
      </c>
      <c r="P433" s="59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3" s="557"/>
      <c r="R433" s="557"/>
      <c r="S433" s="557"/>
      <c r="T433" s="558"/>
      <c r="U433" s="37" t="s">
        <v>45</v>
      </c>
      <c r="V433" s="37" t="s">
        <v>45</v>
      </c>
      <c r="W433" s="38" t="s">
        <v>0</v>
      </c>
      <c r="X433" s="56">
        <v>126.72</v>
      </c>
      <c r="Y433" s="53">
        <f t="shared" si="48"/>
        <v>126.72</v>
      </c>
      <c r="Z433" s="39">
        <f t="shared" si="49"/>
        <v>0.28704000000000002</v>
      </c>
      <c r="AA433" s="65" t="s">
        <v>45</v>
      </c>
      <c r="AB433" s="66" t="s">
        <v>45</v>
      </c>
      <c r="AC433" s="497" t="s">
        <v>684</v>
      </c>
      <c r="AG433" s="75"/>
      <c r="AJ433" s="79" t="s">
        <v>45</v>
      </c>
      <c r="AK433" s="79">
        <v>0</v>
      </c>
      <c r="BB433" s="498" t="s">
        <v>66</v>
      </c>
      <c r="BM433" s="75">
        <f t="shared" si="50"/>
        <v>135.11999999999998</v>
      </c>
      <c r="BN433" s="75">
        <f t="shared" si="51"/>
        <v>135.11999999999998</v>
      </c>
      <c r="BO433" s="75">
        <f t="shared" si="52"/>
        <v>0.23076923076923078</v>
      </c>
      <c r="BP433" s="75">
        <f t="shared" si="53"/>
        <v>0.23076923076923078</v>
      </c>
    </row>
    <row r="434" spans="1:68" ht="27" hidden="1" customHeight="1" x14ac:dyDescent="0.25">
      <c r="A434" s="60" t="s">
        <v>685</v>
      </c>
      <c r="B434" s="60" t="s">
        <v>686</v>
      </c>
      <c r="C434" s="34">
        <v>4301012125</v>
      </c>
      <c r="D434" s="555">
        <v>4680115886391</v>
      </c>
      <c r="E434" s="555"/>
      <c r="F434" s="59">
        <v>0.4</v>
      </c>
      <c r="G434" s="35">
        <v>6</v>
      </c>
      <c r="H434" s="59">
        <v>2.4</v>
      </c>
      <c r="I434" s="59">
        <v>2.58</v>
      </c>
      <c r="J434" s="35">
        <v>182</v>
      </c>
      <c r="K434" s="35" t="s">
        <v>81</v>
      </c>
      <c r="L434" s="35" t="s">
        <v>45</v>
      </c>
      <c r="M434" s="36" t="s">
        <v>90</v>
      </c>
      <c r="N434" s="36"/>
      <c r="O434" s="35">
        <v>60</v>
      </c>
      <c r="P434" s="59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4" s="557"/>
      <c r="R434" s="557"/>
      <c r="S434" s="557"/>
      <c r="T434" s="558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48"/>
        <v>0</v>
      </c>
      <c r="Z434" s="39" t="str">
        <f>IFERROR(IF(Y434=0,"",ROUNDUP(Y434/H434,0)*0.00651),"")</f>
        <v/>
      </c>
      <c r="AA434" s="65" t="s">
        <v>45</v>
      </c>
      <c r="AB434" s="66" t="s">
        <v>45</v>
      </c>
      <c r="AC434" s="499" t="s">
        <v>117</v>
      </c>
      <c r="AG434" s="75"/>
      <c r="AJ434" s="79" t="s">
        <v>45</v>
      </c>
      <c r="AK434" s="79">
        <v>0</v>
      </c>
      <c r="BB434" s="500" t="s">
        <v>66</v>
      </c>
      <c r="BM434" s="75">
        <f t="shared" si="50"/>
        <v>0</v>
      </c>
      <c r="BN434" s="75">
        <f t="shared" si="51"/>
        <v>0</v>
      </c>
      <c r="BO434" s="75">
        <f t="shared" si="52"/>
        <v>0</v>
      </c>
      <c r="BP434" s="75">
        <f t="shared" si="53"/>
        <v>0</v>
      </c>
    </row>
    <row r="435" spans="1:68" ht="27" hidden="1" customHeight="1" x14ac:dyDescent="0.25">
      <c r="A435" s="60" t="s">
        <v>687</v>
      </c>
      <c r="B435" s="60" t="s">
        <v>688</v>
      </c>
      <c r="C435" s="34">
        <v>4301012035</v>
      </c>
      <c r="D435" s="555">
        <v>4680115880603</v>
      </c>
      <c r="E435" s="555"/>
      <c r="F435" s="59">
        <v>0.6</v>
      </c>
      <c r="G435" s="35">
        <v>8</v>
      </c>
      <c r="H435" s="59">
        <v>4.8</v>
      </c>
      <c r="I435" s="59">
        <v>6.91</v>
      </c>
      <c r="J435" s="35">
        <v>132</v>
      </c>
      <c r="K435" s="35" t="s">
        <v>122</v>
      </c>
      <c r="L435" s="35" t="s">
        <v>45</v>
      </c>
      <c r="M435" s="36" t="s">
        <v>118</v>
      </c>
      <c r="N435" s="36"/>
      <c r="O435" s="35">
        <v>60</v>
      </c>
      <c r="P435" s="59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5" s="557"/>
      <c r="R435" s="557"/>
      <c r="S435" s="557"/>
      <c r="T435" s="558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48"/>
        <v>0</v>
      </c>
      <c r="Z435" s="39" t="str">
        <f>IFERROR(IF(Y435=0,"",ROUNDUP(Y435/H435,0)*0.00902),"")</f>
        <v/>
      </c>
      <c r="AA435" s="65" t="s">
        <v>45</v>
      </c>
      <c r="AB435" s="66" t="s">
        <v>45</v>
      </c>
      <c r="AC435" s="501" t="s">
        <v>117</v>
      </c>
      <c r="AG435" s="75"/>
      <c r="AJ435" s="79" t="s">
        <v>45</v>
      </c>
      <c r="AK435" s="79">
        <v>0</v>
      </c>
      <c r="BB435" s="502" t="s">
        <v>66</v>
      </c>
      <c r="BM435" s="75">
        <f t="shared" si="50"/>
        <v>0</v>
      </c>
      <c r="BN435" s="75">
        <f t="shared" si="51"/>
        <v>0</v>
      </c>
      <c r="BO435" s="75">
        <f t="shared" si="52"/>
        <v>0</v>
      </c>
      <c r="BP435" s="75">
        <f t="shared" si="53"/>
        <v>0</v>
      </c>
    </row>
    <row r="436" spans="1:68" ht="27" hidden="1" customHeight="1" x14ac:dyDescent="0.25">
      <c r="A436" s="60" t="s">
        <v>689</v>
      </c>
      <c r="B436" s="60" t="s">
        <v>690</v>
      </c>
      <c r="C436" s="34">
        <v>4301012036</v>
      </c>
      <c r="D436" s="555">
        <v>4680115882782</v>
      </c>
      <c r="E436" s="555"/>
      <c r="F436" s="59">
        <v>0.6</v>
      </c>
      <c r="G436" s="35">
        <v>8</v>
      </c>
      <c r="H436" s="59">
        <v>4.8</v>
      </c>
      <c r="I436" s="59">
        <v>6.91</v>
      </c>
      <c r="J436" s="35">
        <v>132</v>
      </c>
      <c r="K436" s="35" t="s">
        <v>122</v>
      </c>
      <c r="L436" s="35" t="s">
        <v>45</v>
      </c>
      <c r="M436" s="36" t="s">
        <v>118</v>
      </c>
      <c r="N436" s="36"/>
      <c r="O436" s="35">
        <v>60</v>
      </c>
      <c r="P436" s="58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6" s="557"/>
      <c r="R436" s="557"/>
      <c r="S436" s="557"/>
      <c r="T436" s="558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48"/>
        <v>0</v>
      </c>
      <c r="Z436" s="39" t="str">
        <f>IFERROR(IF(Y436=0,"",ROUNDUP(Y436/H436,0)*0.00902),"")</f>
        <v/>
      </c>
      <c r="AA436" s="65" t="s">
        <v>45</v>
      </c>
      <c r="AB436" s="66" t="s">
        <v>45</v>
      </c>
      <c r="AC436" s="503" t="s">
        <v>675</v>
      </c>
      <c r="AG436" s="75"/>
      <c r="AJ436" s="79" t="s">
        <v>45</v>
      </c>
      <c r="AK436" s="79">
        <v>0</v>
      </c>
      <c r="BB436" s="504" t="s">
        <v>66</v>
      </c>
      <c r="BM436" s="75">
        <f t="shared" si="50"/>
        <v>0</v>
      </c>
      <c r="BN436" s="75">
        <f t="shared" si="51"/>
        <v>0</v>
      </c>
      <c r="BO436" s="75">
        <f t="shared" si="52"/>
        <v>0</v>
      </c>
      <c r="BP436" s="75">
        <f t="shared" si="53"/>
        <v>0</v>
      </c>
    </row>
    <row r="437" spans="1:68" ht="27" hidden="1" customHeight="1" x14ac:dyDescent="0.25">
      <c r="A437" s="60" t="s">
        <v>691</v>
      </c>
      <c r="B437" s="60" t="s">
        <v>692</v>
      </c>
      <c r="C437" s="34">
        <v>4301012050</v>
      </c>
      <c r="D437" s="555">
        <v>4680115885479</v>
      </c>
      <c r="E437" s="555"/>
      <c r="F437" s="59">
        <v>0.4</v>
      </c>
      <c r="G437" s="35">
        <v>6</v>
      </c>
      <c r="H437" s="59">
        <v>2.4</v>
      </c>
      <c r="I437" s="59">
        <v>2.58</v>
      </c>
      <c r="J437" s="35">
        <v>182</v>
      </c>
      <c r="K437" s="35" t="s">
        <v>81</v>
      </c>
      <c r="L437" s="35" t="s">
        <v>45</v>
      </c>
      <c r="M437" s="36" t="s">
        <v>118</v>
      </c>
      <c r="N437" s="36"/>
      <c r="O437" s="35">
        <v>60</v>
      </c>
      <c r="P437" s="58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7" s="557"/>
      <c r="R437" s="557"/>
      <c r="S437" s="557"/>
      <c r="T437" s="558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48"/>
        <v>0</v>
      </c>
      <c r="Z437" s="39" t="str">
        <f>IFERROR(IF(Y437=0,"",ROUNDUP(Y437/H437,0)*0.00651),"")</f>
        <v/>
      </c>
      <c r="AA437" s="65" t="s">
        <v>45</v>
      </c>
      <c r="AB437" s="66" t="s">
        <v>45</v>
      </c>
      <c r="AC437" s="505" t="s">
        <v>684</v>
      </c>
      <c r="AG437" s="75"/>
      <c r="AJ437" s="79" t="s">
        <v>45</v>
      </c>
      <c r="AK437" s="79">
        <v>0</v>
      </c>
      <c r="BB437" s="506" t="s">
        <v>66</v>
      </c>
      <c r="BM437" s="75">
        <f t="shared" si="50"/>
        <v>0</v>
      </c>
      <c r="BN437" s="75">
        <f t="shared" si="51"/>
        <v>0</v>
      </c>
      <c r="BO437" s="75">
        <f t="shared" si="52"/>
        <v>0</v>
      </c>
      <c r="BP437" s="75">
        <f t="shared" si="53"/>
        <v>0</v>
      </c>
    </row>
    <row r="438" spans="1:68" ht="27" hidden="1" customHeight="1" x14ac:dyDescent="0.25">
      <c r="A438" s="60" t="s">
        <v>693</v>
      </c>
      <c r="B438" s="60" t="s">
        <v>694</v>
      </c>
      <c r="C438" s="34">
        <v>4301012034</v>
      </c>
      <c r="D438" s="555">
        <v>4607091389982</v>
      </c>
      <c r="E438" s="555"/>
      <c r="F438" s="59">
        <v>0.6</v>
      </c>
      <c r="G438" s="35">
        <v>8</v>
      </c>
      <c r="H438" s="59">
        <v>4.8</v>
      </c>
      <c r="I438" s="59">
        <v>6.91</v>
      </c>
      <c r="J438" s="35">
        <v>132</v>
      </c>
      <c r="K438" s="35" t="s">
        <v>122</v>
      </c>
      <c r="L438" s="35" t="s">
        <v>45</v>
      </c>
      <c r="M438" s="36" t="s">
        <v>118</v>
      </c>
      <c r="N438" s="36"/>
      <c r="O438" s="35">
        <v>60</v>
      </c>
      <c r="P438" s="590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8" s="557"/>
      <c r="R438" s="557"/>
      <c r="S438" s="557"/>
      <c r="T438" s="558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48"/>
        <v>0</v>
      </c>
      <c r="Z438" s="39" t="str">
        <f>IFERROR(IF(Y438=0,"",ROUNDUP(Y438/H438,0)*0.00902),"")</f>
        <v/>
      </c>
      <c r="AA438" s="65" t="s">
        <v>45</v>
      </c>
      <c r="AB438" s="66" t="s">
        <v>45</v>
      </c>
      <c r="AC438" s="507" t="s">
        <v>684</v>
      </c>
      <c r="AG438" s="75"/>
      <c r="AJ438" s="79" t="s">
        <v>45</v>
      </c>
      <c r="AK438" s="79">
        <v>0</v>
      </c>
      <c r="BB438" s="508" t="s">
        <v>66</v>
      </c>
      <c r="BM438" s="75">
        <f t="shared" si="50"/>
        <v>0</v>
      </c>
      <c r="BN438" s="75">
        <f t="shared" si="51"/>
        <v>0</v>
      </c>
      <c r="BO438" s="75">
        <f t="shared" si="52"/>
        <v>0</v>
      </c>
      <c r="BP438" s="75">
        <f t="shared" si="53"/>
        <v>0</v>
      </c>
    </row>
    <row r="439" spans="1:68" x14ac:dyDescent="0.2">
      <c r="A439" s="562"/>
      <c r="B439" s="562"/>
      <c r="C439" s="562"/>
      <c r="D439" s="562"/>
      <c r="E439" s="562"/>
      <c r="F439" s="562"/>
      <c r="G439" s="562"/>
      <c r="H439" s="562"/>
      <c r="I439" s="562"/>
      <c r="J439" s="562"/>
      <c r="K439" s="562"/>
      <c r="L439" s="562"/>
      <c r="M439" s="562"/>
      <c r="N439" s="562"/>
      <c r="O439" s="563"/>
      <c r="P439" s="559" t="s">
        <v>40</v>
      </c>
      <c r="Q439" s="560"/>
      <c r="R439" s="560"/>
      <c r="S439" s="560"/>
      <c r="T439" s="560"/>
      <c r="U439" s="560"/>
      <c r="V439" s="561"/>
      <c r="W439" s="40" t="s">
        <v>39</v>
      </c>
      <c r="X439" s="41">
        <f>IFERROR(X427/H427,"0")+IFERROR(X428/H428,"0")+IFERROR(X429/H429,"0")+IFERROR(X430/H430,"0")+IFERROR(X431/H431,"0")+IFERROR(X432/H432,"0")+IFERROR(X433/H433,"0")+IFERROR(X434/H434,"0")+IFERROR(X435/H435,"0")+IFERROR(X436/H436,"0")+IFERROR(X437/H437,"0")+IFERROR(X438/H438,"0")</f>
        <v>40</v>
      </c>
      <c r="Y439" s="41">
        <f>IFERROR(Y427/H427,"0")+IFERROR(Y428/H428,"0")+IFERROR(Y429/H429,"0")+IFERROR(Y430/H430,"0")+IFERROR(Y431/H431,"0")+IFERROR(Y432/H432,"0")+IFERROR(Y433/H433,"0")+IFERROR(Y434/H434,"0")+IFERROR(Y435/H435,"0")+IFERROR(Y436/H436,"0")+IFERROR(Y437/H437,"0")+IFERROR(Y438/H438,"0")</f>
        <v>40</v>
      </c>
      <c r="Z439" s="41">
        <f>IFERROR(IF(Z427="",0,Z427),"0")+IFERROR(IF(Z428="",0,Z428),"0")+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</f>
        <v>0.47840000000000005</v>
      </c>
      <c r="AA439" s="64"/>
      <c r="AB439" s="64"/>
      <c r="AC439" s="64"/>
    </row>
    <row r="440" spans="1:68" x14ac:dyDescent="0.2">
      <c r="A440" s="562"/>
      <c r="B440" s="562"/>
      <c r="C440" s="562"/>
      <c r="D440" s="562"/>
      <c r="E440" s="562"/>
      <c r="F440" s="562"/>
      <c r="G440" s="562"/>
      <c r="H440" s="562"/>
      <c r="I440" s="562"/>
      <c r="J440" s="562"/>
      <c r="K440" s="562"/>
      <c r="L440" s="562"/>
      <c r="M440" s="562"/>
      <c r="N440" s="562"/>
      <c r="O440" s="563"/>
      <c r="P440" s="559" t="s">
        <v>40</v>
      </c>
      <c r="Q440" s="560"/>
      <c r="R440" s="560"/>
      <c r="S440" s="560"/>
      <c r="T440" s="560"/>
      <c r="U440" s="560"/>
      <c r="V440" s="561"/>
      <c r="W440" s="40" t="s">
        <v>0</v>
      </c>
      <c r="X440" s="41">
        <f>IFERROR(SUM(X427:X438),"0")</f>
        <v>211.2</v>
      </c>
      <c r="Y440" s="41">
        <f>IFERROR(SUM(Y427:Y438),"0")</f>
        <v>211.2</v>
      </c>
      <c r="Z440" s="40"/>
      <c r="AA440" s="64"/>
      <c r="AB440" s="64"/>
      <c r="AC440" s="64"/>
    </row>
    <row r="441" spans="1:68" ht="14.25" hidden="1" customHeight="1" x14ac:dyDescent="0.25">
      <c r="A441" s="554" t="s">
        <v>147</v>
      </c>
      <c r="B441" s="554"/>
      <c r="C441" s="554"/>
      <c r="D441" s="554"/>
      <c r="E441" s="554"/>
      <c r="F441" s="554"/>
      <c r="G441" s="554"/>
      <c r="H441" s="554"/>
      <c r="I441" s="554"/>
      <c r="J441" s="554"/>
      <c r="K441" s="554"/>
      <c r="L441" s="554"/>
      <c r="M441" s="554"/>
      <c r="N441" s="554"/>
      <c r="O441" s="554"/>
      <c r="P441" s="554"/>
      <c r="Q441" s="554"/>
      <c r="R441" s="554"/>
      <c r="S441" s="554"/>
      <c r="T441" s="554"/>
      <c r="U441" s="554"/>
      <c r="V441" s="554"/>
      <c r="W441" s="554"/>
      <c r="X441" s="554"/>
      <c r="Y441" s="554"/>
      <c r="Z441" s="554"/>
      <c r="AA441" s="63"/>
      <c r="AB441" s="63"/>
      <c r="AC441" s="63"/>
    </row>
    <row r="442" spans="1:68" ht="16.5" hidden="1" customHeight="1" x14ac:dyDescent="0.25">
      <c r="A442" s="60" t="s">
        <v>695</v>
      </c>
      <c r="B442" s="60" t="s">
        <v>696</v>
      </c>
      <c r="C442" s="34">
        <v>4301020334</v>
      </c>
      <c r="D442" s="555">
        <v>4607091388930</v>
      </c>
      <c r="E442" s="555"/>
      <c r="F442" s="59">
        <v>0.88</v>
      </c>
      <c r="G442" s="35">
        <v>6</v>
      </c>
      <c r="H442" s="59">
        <v>5.28</v>
      </c>
      <c r="I442" s="59">
        <v>5.63</v>
      </c>
      <c r="J442" s="35">
        <v>104</v>
      </c>
      <c r="K442" s="35" t="s">
        <v>119</v>
      </c>
      <c r="L442" s="35" t="s">
        <v>45</v>
      </c>
      <c r="M442" s="36" t="s">
        <v>90</v>
      </c>
      <c r="N442" s="36"/>
      <c r="O442" s="35">
        <v>70</v>
      </c>
      <c r="P442" s="585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2" s="557"/>
      <c r="R442" s="557"/>
      <c r="S442" s="557"/>
      <c r="T442" s="558"/>
      <c r="U442" s="37" t="s">
        <v>45</v>
      </c>
      <c r="V442" s="37" t="s">
        <v>45</v>
      </c>
      <c r="W442" s="38" t="s">
        <v>0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IFERROR(IF(Y442=0,"",ROUNDUP(Y442/H442,0)*0.01196),"")</f>
        <v/>
      </c>
      <c r="AA442" s="65" t="s">
        <v>45</v>
      </c>
      <c r="AB442" s="66" t="s">
        <v>45</v>
      </c>
      <c r="AC442" s="509" t="s">
        <v>697</v>
      </c>
      <c r="AG442" s="75"/>
      <c r="AJ442" s="79" t="s">
        <v>45</v>
      </c>
      <c r="AK442" s="79">
        <v>0</v>
      </c>
      <c r="BB442" s="510" t="s">
        <v>66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ht="16.5" hidden="1" customHeight="1" x14ac:dyDescent="0.25">
      <c r="A443" s="60" t="s">
        <v>698</v>
      </c>
      <c r="B443" s="60" t="s">
        <v>699</v>
      </c>
      <c r="C443" s="34">
        <v>4301020374</v>
      </c>
      <c r="D443" s="555">
        <v>4680115886407</v>
      </c>
      <c r="E443" s="555"/>
      <c r="F443" s="59">
        <v>0.4</v>
      </c>
      <c r="G443" s="35">
        <v>6</v>
      </c>
      <c r="H443" s="59">
        <v>2.4</v>
      </c>
      <c r="I443" s="59">
        <v>2.58</v>
      </c>
      <c r="J443" s="35">
        <v>182</v>
      </c>
      <c r="K443" s="35" t="s">
        <v>81</v>
      </c>
      <c r="L443" s="35" t="s">
        <v>45</v>
      </c>
      <c r="M443" s="36" t="s">
        <v>118</v>
      </c>
      <c r="N443" s="36"/>
      <c r="O443" s="35">
        <v>70</v>
      </c>
      <c r="P443" s="586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3" s="557"/>
      <c r="R443" s="557"/>
      <c r="S443" s="557"/>
      <c r="T443" s="558"/>
      <c r="U443" s="37" t="s">
        <v>45</v>
      </c>
      <c r="V443" s="37" t="s">
        <v>45</v>
      </c>
      <c r="W443" s="38" t="s">
        <v>0</v>
      </c>
      <c r="X443" s="56">
        <v>0</v>
      </c>
      <c r="Y443" s="53">
        <f>IFERROR(IF(X443="",0,CEILING((X443/$H443),1)*$H443),"")</f>
        <v>0</v>
      </c>
      <c r="Z443" s="39" t="str">
        <f>IFERROR(IF(Y443=0,"",ROUNDUP(Y443/H443,0)*0.00651),"")</f>
        <v/>
      </c>
      <c r="AA443" s="65" t="s">
        <v>45</v>
      </c>
      <c r="AB443" s="66" t="s">
        <v>45</v>
      </c>
      <c r="AC443" s="511" t="s">
        <v>697</v>
      </c>
      <c r="AG443" s="75"/>
      <c r="AJ443" s="79" t="s">
        <v>45</v>
      </c>
      <c r="AK443" s="79">
        <v>0</v>
      </c>
      <c r="BB443" s="512" t="s">
        <v>66</v>
      </c>
      <c r="BM443" s="75">
        <f>IFERROR(X443*I443/H443,"0")</f>
        <v>0</v>
      </c>
      <c r="BN443" s="75">
        <f>IFERROR(Y443*I443/H443,"0")</f>
        <v>0</v>
      </c>
      <c r="BO443" s="75">
        <f>IFERROR(1/J443*(X443/H443),"0")</f>
        <v>0</v>
      </c>
      <c r="BP443" s="75">
        <f>IFERROR(1/J443*(Y443/H443),"0")</f>
        <v>0</v>
      </c>
    </row>
    <row r="444" spans="1:68" ht="16.5" hidden="1" customHeight="1" x14ac:dyDescent="0.25">
      <c r="A444" s="60" t="s">
        <v>700</v>
      </c>
      <c r="B444" s="60" t="s">
        <v>701</v>
      </c>
      <c r="C444" s="34">
        <v>4301020385</v>
      </c>
      <c r="D444" s="555">
        <v>4680115880054</v>
      </c>
      <c r="E444" s="555"/>
      <c r="F444" s="59">
        <v>0.6</v>
      </c>
      <c r="G444" s="35">
        <v>8</v>
      </c>
      <c r="H444" s="59">
        <v>4.8</v>
      </c>
      <c r="I444" s="59">
        <v>6.91</v>
      </c>
      <c r="J444" s="35">
        <v>132</v>
      </c>
      <c r="K444" s="35" t="s">
        <v>122</v>
      </c>
      <c r="L444" s="35" t="s">
        <v>45</v>
      </c>
      <c r="M444" s="36" t="s">
        <v>118</v>
      </c>
      <c r="N444" s="36"/>
      <c r="O444" s="35">
        <v>70</v>
      </c>
      <c r="P444" s="587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4" s="557"/>
      <c r="R444" s="557"/>
      <c r="S444" s="557"/>
      <c r="T444" s="558"/>
      <c r="U444" s="37" t="s">
        <v>45</v>
      </c>
      <c r="V444" s="37" t="s">
        <v>45</v>
      </c>
      <c r="W444" s="38" t="s">
        <v>0</v>
      </c>
      <c r="X444" s="56">
        <v>0</v>
      </c>
      <c r="Y444" s="53">
        <f>IFERROR(IF(X444="",0,CEILING((X444/$H444),1)*$H444),"")</f>
        <v>0</v>
      </c>
      <c r="Z444" s="39" t="str">
        <f>IFERROR(IF(Y444=0,"",ROUNDUP(Y444/H444,0)*0.00902),"")</f>
        <v/>
      </c>
      <c r="AA444" s="65" t="s">
        <v>45</v>
      </c>
      <c r="AB444" s="66" t="s">
        <v>45</v>
      </c>
      <c r="AC444" s="513" t="s">
        <v>697</v>
      </c>
      <c r="AG444" s="75"/>
      <c r="AJ444" s="79" t="s">
        <v>45</v>
      </c>
      <c r="AK444" s="79">
        <v>0</v>
      </c>
      <c r="BB444" s="514" t="s">
        <v>66</v>
      </c>
      <c r="BM444" s="75">
        <f>IFERROR(X444*I444/H444,"0")</f>
        <v>0</v>
      </c>
      <c r="BN444" s="75">
        <f>IFERROR(Y444*I444/H444,"0")</f>
        <v>0</v>
      </c>
      <c r="BO444" s="75">
        <f>IFERROR(1/J444*(X444/H444),"0")</f>
        <v>0</v>
      </c>
      <c r="BP444" s="75">
        <f>IFERROR(1/J444*(Y444/H444),"0")</f>
        <v>0</v>
      </c>
    </row>
    <row r="445" spans="1:68" hidden="1" x14ac:dyDescent="0.2">
      <c r="A445" s="562"/>
      <c r="B445" s="562"/>
      <c r="C445" s="562"/>
      <c r="D445" s="562"/>
      <c r="E445" s="562"/>
      <c r="F445" s="562"/>
      <c r="G445" s="562"/>
      <c r="H445" s="562"/>
      <c r="I445" s="562"/>
      <c r="J445" s="562"/>
      <c r="K445" s="562"/>
      <c r="L445" s="562"/>
      <c r="M445" s="562"/>
      <c r="N445" s="562"/>
      <c r="O445" s="563"/>
      <c r="P445" s="559" t="s">
        <v>40</v>
      </c>
      <c r="Q445" s="560"/>
      <c r="R445" s="560"/>
      <c r="S445" s="560"/>
      <c r="T445" s="560"/>
      <c r="U445" s="560"/>
      <c r="V445" s="561"/>
      <c r="W445" s="40" t="s">
        <v>39</v>
      </c>
      <c r="X445" s="41">
        <f>IFERROR(X442/H442,"0")+IFERROR(X443/H443,"0")+IFERROR(X444/H444,"0")</f>
        <v>0</v>
      </c>
      <c r="Y445" s="41">
        <f>IFERROR(Y442/H442,"0")+IFERROR(Y443/H443,"0")+IFERROR(Y444/H444,"0")</f>
        <v>0</v>
      </c>
      <c r="Z445" s="41">
        <f>IFERROR(IF(Z442="",0,Z442),"0")+IFERROR(IF(Z443="",0,Z443),"0")+IFERROR(IF(Z444="",0,Z444),"0")</f>
        <v>0</v>
      </c>
      <c r="AA445" s="64"/>
      <c r="AB445" s="64"/>
      <c r="AC445" s="64"/>
    </row>
    <row r="446" spans="1:68" hidden="1" x14ac:dyDescent="0.2">
      <c r="A446" s="562"/>
      <c r="B446" s="562"/>
      <c r="C446" s="562"/>
      <c r="D446" s="562"/>
      <c r="E446" s="562"/>
      <c r="F446" s="562"/>
      <c r="G446" s="562"/>
      <c r="H446" s="562"/>
      <c r="I446" s="562"/>
      <c r="J446" s="562"/>
      <c r="K446" s="562"/>
      <c r="L446" s="562"/>
      <c r="M446" s="562"/>
      <c r="N446" s="562"/>
      <c r="O446" s="563"/>
      <c r="P446" s="559" t="s">
        <v>40</v>
      </c>
      <c r="Q446" s="560"/>
      <c r="R446" s="560"/>
      <c r="S446" s="560"/>
      <c r="T446" s="560"/>
      <c r="U446" s="560"/>
      <c r="V446" s="561"/>
      <c r="W446" s="40" t="s">
        <v>0</v>
      </c>
      <c r="X446" s="41">
        <f>IFERROR(SUM(X442:X444),"0")</f>
        <v>0</v>
      </c>
      <c r="Y446" s="41">
        <f>IFERROR(SUM(Y442:Y444),"0")</f>
        <v>0</v>
      </c>
      <c r="Z446" s="40"/>
      <c r="AA446" s="64"/>
      <c r="AB446" s="64"/>
      <c r="AC446" s="64"/>
    </row>
    <row r="447" spans="1:68" ht="14.25" hidden="1" customHeight="1" x14ac:dyDescent="0.25">
      <c r="A447" s="554" t="s">
        <v>76</v>
      </c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4"/>
      <c r="P447" s="554"/>
      <c r="Q447" s="554"/>
      <c r="R447" s="554"/>
      <c r="S447" s="554"/>
      <c r="T447" s="554"/>
      <c r="U447" s="554"/>
      <c r="V447" s="554"/>
      <c r="W447" s="554"/>
      <c r="X447" s="554"/>
      <c r="Y447" s="554"/>
      <c r="Z447" s="554"/>
      <c r="AA447" s="63"/>
      <c r="AB447" s="63"/>
      <c r="AC447" s="63"/>
    </row>
    <row r="448" spans="1:68" ht="27" customHeight="1" x14ac:dyDescent="0.25">
      <c r="A448" s="60" t="s">
        <v>702</v>
      </c>
      <c r="B448" s="60" t="s">
        <v>703</v>
      </c>
      <c r="C448" s="34">
        <v>4301031349</v>
      </c>
      <c r="D448" s="555">
        <v>4680115883116</v>
      </c>
      <c r="E448" s="555"/>
      <c r="F448" s="59">
        <v>0.88</v>
      </c>
      <c r="G448" s="35">
        <v>6</v>
      </c>
      <c r="H448" s="59">
        <v>5.28</v>
      </c>
      <c r="I448" s="59">
        <v>5.63</v>
      </c>
      <c r="J448" s="35">
        <v>104</v>
      </c>
      <c r="K448" s="35" t="s">
        <v>119</v>
      </c>
      <c r="L448" s="35" t="s">
        <v>45</v>
      </c>
      <c r="M448" s="36" t="s">
        <v>118</v>
      </c>
      <c r="N448" s="36"/>
      <c r="O448" s="35">
        <v>70</v>
      </c>
      <c r="P448" s="58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8" s="557"/>
      <c r="R448" s="557"/>
      <c r="S448" s="557"/>
      <c r="T448" s="558"/>
      <c r="U448" s="37" t="s">
        <v>45</v>
      </c>
      <c r="V448" s="37" t="s">
        <v>45</v>
      </c>
      <c r="W448" s="38" t="s">
        <v>0</v>
      </c>
      <c r="X448" s="56">
        <v>126.72</v>
      </c>
      <c r="Y448" s="53">
        <f t="shared" ref="Y448:Y454" si="54">IFERROR(IF(X448="",0,CEILING((X448/$H448),1)*$H448),"")</f>
        <v>126.72</v>
      </c>
      <c r="Z448" s="39">
        <f>IFERROR(IF(Y448=0,"",ROUNDUP(Y448/H448,0)*0.01196),"")</f>
        <v>0.28704000000000002</v>
      </c>
      <c r="AA448" s="65" t="s">
        <v>45</v>
      </c>
      <c r="AB448" s="66" t="s">
        <v>45</v>
      </c>
      <c r="AC448" s="515" t="s">
        <v>704</v>
      </c>
      <c r="AG448" s="75"/>
      <c r="AJ448" s="79" t="s">
        <v>45</v>
      </c>
      <c r="AK448" s="79">
        <v>0</v>
      </c>
      <c r="BB448" s="516" t="s">
        <v>66</v>
      </c>
      <c r="BM448" s="75">
        <f t="shared" ref="BM448:BM454" si="55">IFERROR(X448*I448/H448,"0")</f>
        <v>135.11999999999998</v>
      </c>
      <c r="BN448" s="75">
        <f t="shared" ref="BN448:BN454" si="56">IFERROR(Y448*I448/H448,"0")</f>
        <v>135.11999999999998</v>
      </c>
      <c r="BO448" s="75">
        <f t="shared" ref="BO448:BO454" si="57">IFERROR(1/J448*(X448/H448),"0")</f>
        <v>0.23076923076923078</v>
      </c>
      <c r="BP448" s="75">
        <f t="shared" ref="BP448:BP454" si="58">IFERROR(1/J448*(Y448/H448),"0")</f>
        <v>0.23076923076923078</v>
      </c>
    </row>
    <row r="449" spans="1:68" ht="27" customHeight="1" x14ac:dyDescent="0.25">
      <c r="A449" s="60" t="s">
        <v>705</v>
      </c>
      <c r="B449" s="60" t="s">
        <v>706</v>
      </c>
      <c r="C449" s="34">
        <v>4301031350</v>
      </c>
      <c r="D449" s="555">
        <v>4680115883093</v>
      </c>
      <c r="E449" s="555"/>
      <c r="F449" s="59">
        <v>0.88</v>
      </c>
      <c r="G449" s="35">
        <v>6</v>
      </c>
      <c r="H449" s="59">
        <v>5.28</v>
      </c>
      <c r="I449" s="59">
        <v>5.63</v>
      </c>
      <c r="J449" s="35">
        <v>104</v>
      </c>
      <c r="K449" s="35" t="s">
        <v>119</v>
      </c>
      <c r="L449" s="35" t="s">
        <v>45</v>
      </c>
      <c r="M449" s="36" t="s">
        <v>80</v>
      </c>
      <c r="N449" s="36"/>
      <c r="O449" s="35">
        <v>70</v>
      </c>
      <c r="P449" s="58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9" s="557"/>
      <c r="R449" s="557"/>
      <c r="S449" s="557"/>
      <c r="T449" s="558"/>
      <c r="U449" s="37" t="s">
        <v>45</v>
      </c>
      <c r="V449" s="37" t="s">
        <v>45</v>
      </c>
      <c r="W449" s="38" t="s">
        <v>0</v>
      </c>
      <c r="X449" s="56">
        <v>126.72</v>
      </c>
      <c r="Y449" s="53">
        <f t="shared" si="54"/>
        <v>126.72</v>
      </c>
      <c r="Z449" s="39">
        <f>IFERROR(IF(Y449=0,"",ROUNDUP(Y449/H449,0)*0.01196),"")</f>
        <v>0.28704000000000002</v>
      </c>
      <c r="AA449" s="65" t="s">
        <v>45</v>
      </c>
      <c r="AB449" s="66" t="s">
        <v>45</v>
      </c>
      <c r="AC449" s="517" t="s">
        <v>707</v>
      </c>
      <c r="AG449" s="75"/>
      <c r="AJ449" s="79" t="s">
        <v>45</v>
      </c>
      <c r="AK449" s="79">
        <v>0</v>
      </c>
      <c r="BB449" s="518" t="s">
        <v>66</v>
      </c>
      <c r="BM449" s="75">
        <f t="shared" si="55"/>
        <v>135.11999999999998</v>
      </c>
      <c r="BN449" s="75">
        <f t="shared" si="56"/>
        <v>135.11999999999998</v>
      </c>
      <c r="BO449" s="75">
        <f t="shared" si="57"/>
        <v>0.23076923076923078</v>
      </c>
      <c r="BP449" s="75">
        <f t="shared" si="58"/>
        <v>0.23076923076923078</v>
      </c>
    </row>
    <row r="450" spans="1:68" ht="27" customHeight="1" x14ac:dyDescent="0.25">
      <c r="A450" s="60" t="s">
        <v>708</v>
      </c>
      <c r="B450" s="60" t="s">
        <v>709</v>
      </c>
      <c r="C450" s="34">
        <v>4301031353</v>
      </c>
      <c r="D450" s="555">
        <v>4680115883109</v>
      </c>
      <c r="E450" s="555"/>
      <c r="F450" s="59">
        <v>0.88</v>
      </c>
      <c r="G450" s="35">
        <v>6</v>
      </c>
      <c r="H450" s="59">
        <v>5.28</v>
      </c>
      <c r="I450" s="59">
        <v>5.63</v>
      </c>
      <c r="J450" s="35">
        <v>104</v>
      </c>
      <c r="K450" s="35" t="s">
        <v>119</v>
      </c>
      <c r="L450" s="35" t="s">
        <v>45</v>
      </c>
      <c r="M450" s="36" t="s">
        <v>80</v>
      </c>
      <c r="N450" s="36"/>
      <c r="O450" s="35">
        <v>70</v>
      </c>
      <c r="P450" s="58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0" s="557"/>
      <c r="R450" s="557"/>
      <c r="S450" s="557"/>
      <c r="T450" s="558"/>
      <c r="U450" s="37" t="s">
        <v>45</v>
      </c>
      <c r="V450" s="37" t="s">
        <v>45</v>
      </c>
      <c r="W450" s="38" t="s">
        <v>0</v>
      </c>
      <c r="X450" s="56">
        <v>84.48</v>
      </c>
      <c r="Y450" s="53">
        <f t="shared" si="54"/>
        <v>84.48</v>
      </c>
      <c r="Z450" s="39">
        <f>IFERROR(IF(Y450=0,"",ROUNDUP(Y450/H450,0)*0.01196),"")</f>
        <v>0.19136</v>
      </c>
      <c r="AA450" s="65" t="s">
        <v>45</v>
      </c>
      <c r="AB450" s="66" t="s">
        <v>45</v>
      </c>
      <c r="AC450" s="519" t="s">
        <v>710</v>
      </c>
      <c r="AG450" s="75"/>
      <c r="AJ450" s="79" t="s">
        <v>45</v>
      </c>
      <c r="AK450" s="79">
        <v>0</v>
      </c>
      <c r="BB450" s="520" t="s">
        <v>66</v>
      </c>
      <c r="BM450" s="75">
        <f t="shared" si="55"/>
        <v>90.08</v>
      </c>
      <c r="BN450" s="75">
        <f t="shared" si="56"/>
        <v>90.08</v>
      </c>
      <c r="BO450" s="75">
        <f t="shared" si="57"/>
        <v>0.15384615384615385</v>
      </c>
      <c r="BP450" s="75">
        <f t="shared" si="58"/>
        <v>0.15384615384615385</v>
      </c>
    </row>
    <row r="451" spans="1:68" ht="27" hidden="1" customHeight="1" x14ac:dyDescent="0.25">
      <c r="A451" s="60" t="s">
        <v>711</v>
      </c>
      <c r="B451" s="60" t="s">
        <v>712</v>
      </c>
      <c r="C451" s="34">
        <v>4301031419</v>
      </c>
      <c r="D451" s="555">
        <v>4680115882072</v>
      </c>
      <c r="E451" s="555"/>
      <c r="F451" s="59">
        <v>0.6</v>
      </c>
      <c r="G451" s="35">
        <v>8</v>
      </c>
      <c r="H451" s="59">
        <v>4.8</v>
      </c>
      <c r="I451" s="59">
        <v>6.91</v>
      </c>
      <c r="J451" s="35">
        <v>132</v>
      </c>
      <c r="K451" s="35" t="s">
        <v>122</v>
      </c>
      <c r="L451" s="35" t="s">
        <v>45</v>
      </c>
      <c r="M451" s="36" t="s">
        <v>118</v>
      </c>
      <c r="N451" s="36"/>
      <c r="O451" s="35">
        <v>70</v>
      </c>
      <c r="P451" s="58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1" s="557"/>
      <c r="R451" s="557"/>
      <c r="S451" s="557"/>
      <c r="T451" s="558"/>
      <c r="U451" s="37" t="s">
        <v>45</v>
      </c>
      <c r="V451" s="37" t="s">
        <v>45</v>
      </c>
      <c r="W451" s="38" t="s">
        <v>0</v>
      </c>
      <c r="X451" s="56">
        <v>0</v>
      </c>
      <c r="Y451" s="53">
        <f t="shared" si="54"/>
        <v>0</v>
      </c>
      <c r="Z451" s="39" t="str">
        <f>IFERROR(IF(Y451=0,"",ROUNDUP(Y451/H451,0)*0.00902),"")</f>
        <v/>
      </c>
      <c r="AA451" s="65" t="s">
        <v>45</v>
      </c>
      <c r="AB451" s="66" t="s">
        <v>45</v>
      </c>
      <c r="AC451" s="521" t="s">
        <v>704</v>
      </c>
      <c r="AG451" s="75"/>
      <c r="AJ451" s="79" t="s">
        <v>45</v>
      </c>
      <c r="AK451" s="79">
        <v>0</v>
      </c>
      <c r="BB451" s="522" t="s">
        <v>66</v>
      </c>
      <c r="BM451" s="75">
        <f t="shared" si="55"/>
        <v>0</v>
      </c>
      <c r="BN451" s="75">
        <f t="shared" si="56"/>
        <v>0</v>
      </c>
      <c r="BO451" s="75">
        <f t="shared" si="57"/>
        <v>0</v>
      </c>
      <c r="BP451" s="75">
        <f t="shared" si="58"/>
        <v>0</v>
      </c>
    </row>
    <row r="452" spans="1:68" ht="27" hidden="1" customHeight="1" x14ac:dyDescent="0.25">
      <c r="A452" s="60" t="s">
        <v>713</v>
      </c>
      <c r="B452" s="60" t="s">
        <v>714</v>
      </c>
      <c r="C452" s="34">
        <v>4301031352</v>
      </c>
      <c r="D452" s="555">
        <v>4680115882102</v>
      </c>
      <c r="E452" s="555"/>
      <c r="F452" s="59">
        <v>0.6</v>
      </c>
      <c r="G452" s="35">
        <v>6</v>
      </c>
      <c r="H452" s="59">
        <v>3.6</v>
      </c>
      <c r="I452" s="59">
        <v>3.79</v>
      </c>
      <c r="J452" s="35">
        <v>132</v>
      </c>
      <c r="K452" s="35" t="s">
        <v>122</v>
      </c>
      <c r="L452" s="35" t="s">
        <v>45</v>
      </c>
      <c r="M452" s="36" t="s">
        <v>80</v>
      </c>
      <c r="N452" s="36"/>
      <c r="O452" s="35">
        <v>70</v>
      </c>
      <c r="P452" s="578" t="str">
        <f>HYPERLINK("https://abi.ru/products/Охлажденные/Дугушка/Дугушка/Копченые колбасы/P004469/","В/к колбасы «Салями Запеченая» Фикс.вес 0,6 Вектор ТМ «Дугушка»")</f>
        <v>В/к колбасы «Салями Запеченая» Фикс.вес 0,6 Вектор ТМ «Дугушка»</v>
      </c>
      <c r="Q452" s="557"/>
      <c r="R452" s="557"/>
      <c r="S452" s="557"/>
      <c r="T452" s="558"/>
      <c r="U452" s="37" t="s">
        <v>45</v>
      </c>
      <c r="V452" s="37" t="s">
        <v>45</v>
      </c>
      <c r="W452" s="38" t="s">
        <v>0</v>
      </c>
      <c r="X452" s="56">
        <v>0</v>
      </c>
      <c r="Y452" s="53">
        <f t="shared" si="54"/>
        <v>0</v>
      </c>
      <c r="Z452" s="39" t="str">
        <f>IFERROR(IF(Y452=0,"",ROUNDUP(Y452/H452,0)*0.00902),"")</f>
        <v/>
      </c>
      <c r="AA452" s="65" t="s">
        <v>45</v>
      </c>
      <c r="AB452" s="66" t="s">
        <v>45</v>
      </c>
      <c r="AC452" s="523" t="s">
        <v>707</v>
      </c>
      <c r="AG452" s="75"/>
      <c r="AJ452" s="79" t="s">
        <v>45</v>
      </c>
      <c r="AK452" s="79">
        <v>0</v>
      </c>
      <c r="BB452" s="524" t="s">
        <v>66</v>
      </c>
      <c r="BM452" s="75">
        <f t="shared" si="55"/>
        <v>0</v>
      </c>
      <c r="BN452" s="75">
        <f t="shared" si="56"/>
        <v>0</v>
      </c>
      <c r="BO452" s="75">
        <f t="shared" si="57"/>
        <v>0</v>
      </c>
      <c r="BP452" s="75">
        <f t="shared" si="58"/>
        <v>0</v>
      </c>
    </row>
    <row r="453" spans="1:68" ht="27" hidden="1" customHeight="1" x14ac:dyDescent="0.25">
      <c r="A453" s="60" t="s">
        <v>713</v>
      </c>
      <c r="B453" s="60" t="s">
        <v>715</v>
      </c>
      <c r="C453" s="34">
        <v>4301031418</v>
      </c>
      <c r="D453" s="555">
        <v>4680115882102</v>
      </c>
      <c r="E453" s="555"/>
      <c r="F453" s="59">
        <v>0.6</v>
      </c>
      <c r="G453" s="35">
        <v>8</v>
      </c>
      <c r="H453" s="59">
        <v>4.8</v>
      </c>
      <c r="I453" s="59">
        <v>6.67</v>
      </c>
      <c r="J453" s="35">
        <v>132</v>
      </c>
      <c r="K453" s="35" t="s">
        <v>122</v>
      </c>
      <c r="L453" s="35" t="s">
        <v>45</v>
      </c>
      <c r="M453" s="36" t="s">
        <v>80</v>
      </c>
      <c r="N453" s="36"/>
      <c r="O453" s="35">
        <v>70</v>
      </c>
      <c r="P453" s="579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3" s="557"/>
      <c r="R453" s="557"/>
      <c r="S453" s="557"/>
      <c r="T453" s="558"/>
      <c r="U453" s="37" t="s">
        <v>45</v>
      </c>
      <c r="V453" s="37" t="s">
        <v>45</v>
      </c>
      <c r="W453" s="38" t="s">
        <v>0</v>
      </c>
      <c r="X453" s="56">
        <v>0</v>
      </c>
      <c r="Y453" s="53">
        <f t="shared" si="54"/>
        <v>0</v>
      </c>
      <c r="Z453" s="39" t="str">
        <f>IFERROR(IF(Y453=0,"",ROUNDUP(Y453/H453,0)*0.00902),"")</f>
        <v/>
      </c>
      <c r="AA453" s="65" t="s">
        <v>45</v>
      </c>
      <c r="AB453" s="66" t="s">
        <v>45</v>
      </c>
      <c r="AC453" s="525" t="s">
        <v>707</v>
      </c>
      <c r="AG453" s="75"/>
      <c r="AJ453" s="79" t="s">
        <v>45</v>
      </c>
      <c r="AK453" s="79">
        <v>0</v>
      </c>
      <c r="BB453" s="526" t="s">
        <v>66</v>
      </c>
      <c r="BM453" s="75">
        <f t="shared" si="55"/>
        <v>0</v>
      </c>
      <c r="BN453" s="75">
        <f t="shared" si="56"/>
        <v>0</v>
      </c>
      <c r="BO453" s="75">
        <f t="shared" si="57"/>
        <v>0</v>
      </c>
      <c r="BP453" s="75">
        <f t="shared" si="58"/>
        <v>0</v>
      </c>
    </row>
    <row r="454" spans="1:68" ht="27" hidden="1" customHeight="1" x14ac:dyDescent="0.25">
      <c r="A454" s="60" t="s">
        <v>716</v>
      </c>
      <c r="B454" s="60" t="s">
        <v>717</v>
      </c>
      <c r="C454" s="34">
        <v>4301031417</v>
      </c>
      <c r="D454" s="555">
        <v>4680115882096</v>
      </c>
      <c r="E454" s="555"/>
      <c r="F454" s="59">
        <v>0.6</v>
      </c>
      <c r="G454" s="35">
        <v>8</v>
      </c>
      <c r="H454" s="59">
        <v>4.8</v>
      </c>
      <c r="I454" s="59">
        <v>6.67</v>
      </c>
      <c r="J454" s="35">
        <v>132</v>
      </c>
      <c r="K454" s="35" t="s">
        <v>122</v>
      </c>
      <c r="L454" s="35" t="s">
        <v>45</v>
      </c>
      <c r="M454" s="36" t="s">
        <v>80</v>
      </c>
      <c r="N454" s="36"/>
      <c r="O454" s="35">
        <v>70</v>
      </c>
      <c r="P454" s="580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4" s="557"/>
      <c r="R454" s="557"/>
      <c r="S454" s="557"/>
      <c r="T454" s="558"/>
      <c r="U454" s="37" t="s">
        <v>45</v>
      </c>
      <c r="V454" s="37" t="s">
        <v>45</v>
      </c>
      <c r="W454" s="38" t="s">
        <v>0</v>
      </c>
      <c r="X454" s="56">
        <v>0</v>
      </c>
      <c r="Y454" s="53">
        <f t="shared" si="54"/>
        <v>0</v>
      </c>
      <c r="Z454" s="39" t="str">
        <f>IFERROR(IF(Y454=0,"",ROUNDUP(Y454/H454,0)*0.00902),"")</f>
        <v/>
      </c>
      <c r="AA454" s="65" t="s">
        <v>45</v>
      </c>
      <c r="AB454" s="66" t="s">
        <v>45</v>
      </c>
      <c r="AC454" s="527" t="s">
        <v>710</v>
      </c>
      <c r="AG454" s="75"/>
      <c r="AJ454" s="79" t="s">
        <v>45</v>
      </c>
      <c r="AK454" s="79">
        <v>0</v>
      </c>
      <c r="BB454" s="528" t="s">
        <v>66</v>
      </c>
      <c r="BM454" s="75">
        <f t="shared" si="55"/>
        <v>0</v>
      </c>
      <c r="BN454" s="75">
        <f t="shared" si="56"/>
        <v>0</v>
      </c>
      <c r="BO454" s="75">
        <f t="shared" si="57"/>
        <v>0</v>
      </c>
      <c r="BP454" s="75">
        <f t="shared" si="58"/>
        <v>0</v>
      </c>
    </row>
    <row r="455" spans="1:68" x14ac:dyDescent="0.2">
      <c r="A455" s="562"/>
      <c r="B455" s="562"/>
      <c r="C455" s="562"/>
      <c r="D455" s="562"/>
      <c r="E455" s="562"/>
      <c r="F455" s="562"/>
      <c r="G455" s="562"/>
      <c r="H455" s="562"/>
      <c r="I455" s="562"/>
      <c r="J455" s="562"/>
      <c r="K455" s="562"/>
      <c r="L455" s="562"/>
      <c r="M455" s="562"/>
      <c r="N455" s="562"/>
      <c r="O455" s="563"/>
      <c r="P455" s="559" t="s">
        <v>40</v>
      </c>
      <c r="Q455" s="560"/>
      <c r="R455" s="560"/>
      <c r="S455" s="560"/>
      <c r="T455" s="560"/>
      <c r="U455" s="560"/>
      <c r="V455" s="561"/>
      <c r="W455" s="40" t="s">
        <v>39</v>
      </c>
      <c r="X455" s="41">
        <f>IFERROR(X448/H448,"0")+IFERROR(X449/H449,"0")+IFERROR(X450/H450,"0")+IFERROR(X451/H451,"0")+IFERROR(X452/H452,"0")+IFERROR(X453/H453,"0")+IFERROR(X454/H454,"0")</f>
        <v>64</v>
      </c>
      <c r="Y455" s="41">
        <f>IFERROR(Y448/H448,"0")+IFERROR(Y449/H449,"0")+IFERROR(Y450/H450,"0")+IFERROR(Y451/H451,"0")+IFERROR(Y452/H452,"0")+IFERROR(Y453/H453,"0")+IFERROR(Y454/H454,"0")</f>
        <v>64</v>
      </c>
      <c r="Z455" s="41">
        <f>IFERROR(IF(Z448="",0,Z448),"0")+IFERROR(IF(Z449="",0,Z449),"0")+IFERROR(IF(Z450="",0,Z450),"0")+IFERROR(IF(Z451="",0,Z451),"0")+IFERROR(IF(Z452="",0,Z452),"0")+IFERROR(IF(Z453="",0,Z453),"0")+IFERROR(IF(Z454="",0,Z454),"0")</f>
        <v>0.76544000000000001</v>
      </c>
      <c r="AA455" s="64"/>
      <c r="AB455" s="64"/>
      <c r="AC455" s="64"/>
    </row>
    <row r="456" spans="1:68" x14ac:dyDescent="0.2">
      <c r="A456" s="562"/>
      <c r="B456" s="562"/>
      <c r="C456" s="562"/>
      <c r="D456" s="562"/>
      <c r="E456" s="562"/>
      <c r="F456" s="562"/>
      <c r="G456" s="562"/>
      <c r="H456" s="562"/>
      <c r="I456" s="562"/>
      <c r="J456" s="562"/>
      <c r="K456" s="562"/>
      <c r="L456" s="562"/>
      <c r="M456" s="562"/>
      <c r="N456" s="562"/>
      <c r="O456" s="563"/>
      <c r="P456" s="559" t="s">
        <v>40</v>
      </c>
      <c r="Q456" s="560"/>
      <c r="R456" s="560"/>
      <c r="S456" s="560"/>
      <c r="T456" s="560"/>
      <c r="U456" s="560"/>
      <c r="V456" s="561"/>
      <c r="W456" s="40" t="s">
        <v>0</v>
      </c>
      <c r="X456" s="41">
        <f>IFERROR(SUM(X448:X454),"0")</f>
        <v>337.92</v>
      </c>
      <c r="Y456" s="41">
        <f>IFERROR(SUM(Y448:Y454),"0")</f>
        <v>337.92</v>
      </c>
      <c r="Z456" s="40"/>
      <c r="AA456" s="64"/>
      <c r="AB456" s="64"/>
      <c r="AC456" s="64"/>
    </row>
    <row r="457" spans="1:68" ht="27.75" hidden="1" customHeight="1" x14ac:dyDescent="0.2">
      <c r="A457" s="574" t="s">
        <v>718</v>
      </c>
      <c r="B457" s="574"/>
      <c r="C457" s="574"/>
      <c r="D457" s="574"/>
      <c r="E457" s="574"/>
      <c r="F457" s="574"/>
      <c r="G457" s="574"/>
      <c r="H457" s="574"/>
      <c r="I457" s="574"/>
      <c r="J457" s="574"/>
      <c r="K457" s="574"/>
      <c r="L457" s="574"/>
      <c r="M457" s="574"/>
      <c r="N457" s="574"/>
      <c r="O457" s="574"/>
      <c r="P457" s="574"/>
      <c r="Q457" s="574"/>
      <c r="R457" s="574"/>
      <c r="S457" s="574"/>
      <c r="T457" s="574"/>
      <c r="U457" s="574"/>
      <c r="V457" s="574"/>
      <c r="W457" s="574"/>
      <c r="X457" s="574"/>
      <c r="Y457" s="574"/>
      <c r="Z457" s="574"/>
      <c r="AA457" s="52"/>
      <c r="AB457" s="52"/>
      <c r="AC457" s="52"/>
    </row>
    <row r="458" spans="1:68" ht="16.5" hidden="1" customHeight="1" x14ac:dyDescent="0.25">
      <c r="A458" s="553" t="s">
        <v>718</v>
      </c>
      <c r="B458" s="553"/>
      <c r="C458" s="553"/>
      <c r="D458" s="553"/>
      <c r="E458" s="553"/>
      <c r="F458" s="553"/>
      <c r="G458" s="553"/>
      <c r="H458" s="553"/>
      <c r="I458" s="553"/>
      <c r="J458" s="553"/>
      <c r="K458" s="553"/>
      <c r="L458" s="553"/>
      <c r="M458" s="553"/>
      <c r="N458" s="553"/>
      <c r="O458" s="553"/>
      <c r="P458" s="553"/>
      <c r="Q458" s="553"/>
      <c r="R458" s="553"/>
      <c r="S458" s="553"/>
      <c r="T458" s="553"/>
      <c r="U458" s="553"/>
      <c r="V458" s="553"/>
      <c r="W458" s="553"/>
      <c r="X458" s="553"/>
      <c r="Y458" s="553"/>
      <c r="Z458" s="553"/>
      <c r="AA458" s="62"/>
      <c r="AB458" s="62"/>
      <c r="AC458" s="62"/>
    </row>
    <row r="459" spans="1:68" ht="14.25" hidden="1" customHeight="1" x14ac:dyDescent="0.25">
      <c r="A459" s="554" t="s">
        <v>114</v>
      </c>
      <c r="B459" s="554"/>
      <c r="C459" s="554"/>
      <c r="D459" s="554"/>
      <c r="E459" s="554"/>
      <c r="F459" s="554"/>
      <c r="G459" s="554"/>
      <c r="H459" s="554"/>
      <c r="I459" s="554"/>
      <c r="J459" s="554"/>
      <c r="K459" s="554"/>
      <c r="L459" s="554"/>
      <c r="M459" s="554"/>
      <c r="N459" s="554"/>
      <c r="O459" s="554"/>
      <c r="P459" s="554"/>
      <c r="Q459" s="554"/>
      <c r="R459" s="554"/>
      <c r="S459" s="554"/>
      <c r="T459" s="554"/>
      <c r="U459" s="554"/>
      <c r="V459" s="554"/>
      <c r="W459" s="554"/>
      <c r="X459" s="554"/>
      <c r="Y459" s="554"/>
      <c r="Z459" s="554"/>
      <c r="AA459" s="63"/>
      <c r="AB459" s="63"/>
      <c r="AC459" s="63"/>
    </row>
    <row r="460" spans="1:68" ht="27" hidden="1" customHeight="1" x14ac:dyDescent="0.25">
      <c r="A460" s="60" t="s">
        <v>719</v>
      </c>
      <c r="B460" s="60" t="s">
        <v>720</v>
      </c>
      <c r="C460" s="34">
        <v>4301011763</v>
      </c>
      <c r="D460" s="555">
        <v>4640242181011</v>
      </c>
      <c r="E460" s="555"/>
      <c r="F460" s="59">
        <v>1.35</v>
      </c>
      <c r="G460" s="35">
        <v>8</v>
      </c>
      <c r="H460" s="59">
        <v>10.8</v>
      </c>
      <c r="I460" s="59">
        <v>11.21</v>
      </c>
      <c r="J460" s="35">
        <v>64</v>
      </c>
      <c r="K460" s="35" t="s">
        <v>119</v>
      </c>
      <c r="L460" s="35" t="s">
        <v>45</v>
      </c>
      <c r="M460" s="36" t="s">
        <v>90</v>
      </c>
      <c r="N460" s="36"/>
      <c r="O460" s="35">
        <v>55</v>
      </c>
      <c r="P460" s="575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0" s="557"/>
      <c r="R460" s="557"/>
      <c r="S460" s="557"/>
      <c r="T460" s="558"/>
      <c r="U460" s="37" t="s">
        <v>45</v>
      </c>
      <c r="V460" s="37" t="s">
        <v>45</v>
      </c>
      <c r="W460" s="38" t="s">
        <v>0</v>
      </c>
      <c r="X460" s="56">
        <v>0</v>
      </c>
      <c r="Y460" s="53">
        <f>IFERROR(IF(X460="",0,CEILING((X460/$H460),1)*$H460),"")</f>
        <v>0</v>
      </c>
      <c r="Z460" s="39" t="str">
        <f>IFERROR(IF(Y460=0,"",ROUNDUP(Y460/H460,0)*0.01898),"")</f>
        <v/>
      </c>
      <c r="AA460" s="65" t="s">
        <v>45</v>
      </c>
      <c r="AB460" s="66" t="s">
        <v>45</v>
      </c>
      <c r="AC460" s="529" t="s">
        <v>721</v>
      </c>
      <c r="AG460" s="75"/>
      <c r="AJ460" s="79" t="s">
        <v>45</v>
      </c>
      <c r="AK460" s="79">
        <v>0</v>
      </c>
      <c r="BB460" s="530" t="s">
        <v>66</v>
      </c>
      <c r="BM460" s="75">
        <f>IFERROR(X460*I460/H460,"0")</f>
        <v>0</v>
      </c>
      <c r="BN460" s="75">
        <f>IFERROR(Y460*I460/H460,"0")</f>
        <v>0</v>
      </c>
      <c r="BO460" s="75">
        <f>IFERROR(1/J460*(X460/H460),"0")</f>
        <v>0</v>
      </c>
      <c r="BP460" s="75">
        <f>IFERROR(1/J460*(Y460/H460),"0")</f>
        <v>0</v>
      </c>
    </row>
    <row r="461" spans="1:68" ht="27" hidden="1" customHeight="1" x14ac:dyDescent="0.25">
      <c r="A461" s="60" t="s">
        <v>722</v>
      </c>
      <c r="B461" s="60" t="s">
        <v>723</v>
      </c>
      <c r="C461" s="34">
        <v>4301011585</v>
      </c>
      <c r="D461" s="555">
        <v>4640242180441</v>
      </c>
      <c r="E461" s="555"/>
      <c r="F461" s="59">
        <v>1.5</v>
      </c>
      <c r="G461" s="35">
        <v>8</v>
      </c>
      <c r="H461" s="59">
        <v>12</v>
      </c>
      <c r="I461" s="59">
        <v>12.41</v>
      </c>
      <c r="J461" s="35">
        <v>64</v>
      </c>
      <c r="K461" s="35" t="s">
        <v>119</v>
      </c>
      <c r="L461" s="35" t="s">
        <v>45</v>
      </c>
      <c r="M461" s="36" t="s">
        <v>118</v>
      </c>
      <c r="N461" s="36"/>
      <c r="O461" s="35">
        <v>50</v>
      </c>
      <c r="P461" s="5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1" s="557"/>
      <c r="R461" s="557"/>
      <c r="S461" s="557"/>
      <c r="T461" s="558"/>
      <c r="U461" s="37" t="s">
        <v>45</v>
      </c>
      <c r="V461" s="37" t="s">
        <v>45</v>
      </c>
      <c r="W461" s="38" t="s">
        <v>0</v>
      </c>
      <c r="X461" s="56">
        <v>0</v>
      </c>
      <c r="Y461" s="53">
        <f>IFERROR(IF(X461="",0,CEILING((X461/$H461),1)*$H461),"")</f>
        <v>0</v>
      </c>
      <c r="Z461" s="39" t="str">
        <f>IFERROR(IF(Y461=0,"",ROUNDUP(Y461/H461,0)*0.01898),"")</f>
        <v/>
      </c>
      <c r="AA461" s="65" t="s">
        <v>45</v>
      </c>
      <c r="AB461" s="66" t="s">
        <v>45</v>
      </c>
      <c r="AC461" s="531" t="s">
        <v>724</v>
      </c>
      <c r="AG461" s="75"/>
      <c r="AJ461" s="79" t="s">
        <v>45</v>
      </c>
      <c r="AK461" s="79">
        <v>0</v>
      </c>
      <c r="BB461" s="532" t="s">
        <v>66</v>
      </c>
      <c r="BM461" s="75">
        <f>IFERROR(X461*I461/H461,"0")</f>
        <v>0</v>
      </c>
      <c r="BN461" s="75">
        <f>IFERROR(Y461*I461/H461,"0")</f>
        <v>0</v>
      </c>
      <c r="BO461" s="75">
        <f>IFERROR(1/J461*(X461/H461),"0")</f>
        <v>0</v>
      </c>
      <c r="BP461" s="75">
        <f>IFERROR(1/J461*(Y461/H461),"0")</f>
        <v>0</v>
      </c>
    </row>
    <row r="462" spans="1:68" ht="27" hidden="1" customHeight="1" x14ac:dyDescent="0.25">
      <c r="A462" s="60" t="s">
        <v>725</v>
      </c>
      <c r="B462" s="60" t="s">
        <v>726</v>
      </c>
      <c r="C462" s="34">
        <v>4301011584</v>
      </c>
      <c r="D462" s="555">
        <v>4640242180564</v>
      </c>
      <c r="E462" s="555"/>
      <c r="F462" s="59">
        <v>1.5</v>
      </c>
      <c r="G462" s="35">
        <v>8</v>
      </c>
      <c r="H462" s="59">
        <v>12</v>
      </c>
      <c r="I462" s="59">
        <v>12.41</v>
      </c>
      <c r="J462" s="35">
        <v>64</v>
      </c>
      <c r="K462" s="35" t="s">
        <v>119</v>
      </c>
      <c r="L462" s="35" t="s">
        <v>45</v>
      </c>
      <c r="M462" s="36" t="s">
        <v>118</v>
      </c>
      <c r="N462" s="36"/>
      <c r="O462" s="35">
        <v>50</v>
      </c>
      <c r="P462" s="57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2" s="557"/>
      <c r="R462" s="557"/>
      <c r="S462" s="557"/>
      <c r="T462" s="558"/>
      <c r="U462" s="37" t="s">
        <v>45</v>
      </c>
      <c r="V462" s="37" t="s">
        <v>45</v>
      </c>
      <c r="W462" s="38" t="s">
        <v>0</v>
      </c>
      <c r="X462" s="56">
        <v>0</v>
      </c>
      <c r="Y462" s="53">
        <f>IFERROR(IF(X462="",0,CEILING((X462/$H462),1)*$H462),"")</f>
        <v>0</v>
      </c>
      <c r="Z462" s="39" t="str">
        <f>IFERROR(IF(Y462=0,"",ROUNDUP(Y462/H462,0)*0.01898),"")</f>
        <v/>
      </c>
      <c r="AA462" s="65" t="s">
        <v>45</v>
      </c>
      <c r="AB462" s="66" t="s">
        <v>45</v>
      </c>
      <c r="AC462" s="533" t="s">
        <v>727</v>
      </c>
      <c r="AG462" s="75"/>
      <c r="AJ462" s="79" t="s">
        <v>45</v>
      </c>
      <c r="AK462" s="79">
        <v>0</v>
      </c>
      <c r="BB462" s="534" t="s">
        <v>66</v>
      </c>
      <c r="BM462" s="75">
        <f>IFERROR(X462*I462/H462,"0")</f>
        <v>0</v>
      </c>
      <c r="BN462" s="75">
        <f>IFERROR(Y462*I462/H462,"0")</f>
        <v>0</v>
      </c>
      <c r="BO462" s="75">
        <f>IFERROR(1/J462*(X462/H462),"0")</f>
        <v>0</v>
      </c>
      <c r="BP462" s="75">
        <f>IFERROR(1/J462*(Y462/H462),"0")</f>
        <v>0</v>
      </c>
    </row>
    <row r="463" spans="1:68" ht="27" hidden="1" customHeight="1" x14ac:dyDescent="0.25">
      <c r="A463" s="60" t="s">
        <v>728</v>
      </c>
      <c r="B463" s="60" t="s">
        <v>729</v>
      </c>
      <c r="C463" s="34">
        <v>4301011764</v>
      </c>
      <c r="D463" s="555">
        <v>4640242181189</v>
      </c>
      <c r="E463" s="555"/>
      <c r="F463" s="59">
        <v>0.4</v>
      </c>
      <c r="G463" s="35">
        <v>10</v>
      </c>
      <c r="H463" s="59">
        <v>4</v>
      </c>
      <c r="I463" s="59">
        <v>4.1900000000000004</v>
      </c>
      <c r="J463" s="35">
        <v>132</v>
      </c>
      <c r="K463" s="35" t="s">
        <v>122</v>
      </c>
      <c r="L463" s="35" t="s">
        <v>45</v>
      </c>
      <c r="M463" s="36" t="s">
        <v>90</v>
      </c>
      <c r="N463" s="36"/>
      <c r="O463" s="35">
        <v>55</v>
      </c>
      <c r="P463" s="57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3" s="557"/>
      <c r="R463" s="557"/>
      <c r="S463" s="557"/>
      <c r="T463" s="558"/>
      <c r="U463" s="37" t="s">
        <v>45</v>
      </c>
      <c r="V463" s="37" t="s">
        <v>45</v>
      </c>
      <c r="W463" s="38" t="s">
        <v>0</v>
      </c>
      <c r="X463" s="56">
        <v>0</v>
      </c>
      <c r="Y463" s="53">
        <f>IFERROR(IF(X463="",0,CEILING((X463/$H463),1)*$H463),"")</f>
        <v>0</v>
      </c>
      <c r="Z463" s="39" t="str">
        <f>IFERROR(IF(Y463=0,"",ROUNDUP(Y463/H463,0)*0.00902),"")</f>
        <v/>
      </c>
      <c r="AA463" s="65" t="s">
        <v>45</v>
      </c>
      <c r="AB463" s="66" t="s">
        <v>45</v>
      </c>
      <c r="AC463" s="535" t="s">
        <v>721</v>
      </c>
      <c r="AG463" s="75"/>
      <c r="AJ463" s="79" t="s">
        <v>45</v>
      </c>
      <c r="AK463" s="79">
        <v>0</v>
      </c>
      <c r="BB463" s="536" t="s">
        <v>66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idden="1" x14ac:dyDescent="0.2">
      <c r="A464" s="562"/>
      <c r="B464" s="562"/>
      <c r="C464" s="562"/>
      <c r="D464" s="562"/>
      <c r="E464" s="562"/>
      <c r="F464" s="562"/>
      <c r="G464" s="562"/>
      <c r="H464" s="562"/>
      <c r="I464" s="562"/>
      <c r="J464" s="562"/>
      <c r="K464" s="562"/>
      <c r="L464" s="562"/>
      <c r="M464" s="562"/>
      <c r="N464" s="562"/>
      <c r="O464" s="563"/>
      <c r="P464" s="559" t="s">
        <v>40</v>
      </c>
      <c r="Q464" s="560"/>
      <c r="R464" s="560"/>
      <c r="S464" s="560"/>
      <c r="T464" s="560"/>
      <c r="U464" s="560"/>
      <c r="V464" s="561"/>
      <c r="W464" s="40" t="s">
        <v>39</v>
      </c>
      <c r="X464" s="41">
        <f>IFERROR(X460/H460,"0")+IFERROR(X461/H461,"0")+IFERROR(X462/H462,"0")+IFERROR(X463/H463,"0")</f>
        <v>0</v>
      </c>
      <c r="Y464" s="41">
        <f>IFERROR(Y460/H460,"0")+IFERROR(Y461/H461,"0")+IFERROR(Y462/H462,"0")+IFERROR(Y463/H463,"0")</f>
        <v>0</v>
      </c>
      <c r="Z464" s="41">
        <f>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hidden="1" x14ac:dyDescent="0.2">
      <c r="A465" s="562"/>
      <c r="B465" s="562"/>
      <c r="C465" s="562"/>
      <c r="D465" s="562"/>
      <c r="E465" s="562"/>
      <c r="F465" s="562"/>
      <c r="G465" s="562"/>
      <c r="H465" s="562"/>
      <c r="I465" s="562"/>
      <c r="J465" s="562"/>
      <c r="K465" s="562"/>
      <c r="L465" s="562"/>
      <c r="M465" s="562"/>
      <c r="N465" s="562"/>
      <c r="O465" s="563"/>
      <c r="P465" s="559" t="s">
        <v>40</v>
      </c>
      <c r="Q465" s="560"/>
      <c r="R465" s="560"/>
      <c r="S465" s="560"/>
      <c r="T465" s="560"/>
      <c r="U465" s="560"/>
      <c r="V465" s="561"/>
      <c r="W465" s="40" t="s">
        <v>0</v>
      </c>
      <c r="X465" s="41">
        <f>IFERROR(SUM(X460:X463),"0")</f>
        <v>0</v>
      </c>
      <c r="Y465" s="41">
        <f>IFERROR(SUM(Y460:Y463),"0")</f>
        <v>0</v>
      </c>
      <c r="Z465" s="40"/>
      <c r="AA465" s="64"/>
      <c r="AB465" s="64"/>
      <c r="AC465" s="64"/>
    </row>
    <row r="466" spans="1:68" ht="14.25" hidden="1" customHeight="1" x14ac:dyDescent="0.25">
      <c r="A466" s="554" t="s">
        <v>147</v>
      </c>
      <c r="B466" s="554"/>
      <c r="C466" s="554"/>
      <c r="D466" s="554"/>
      <c r="E466" s="554"/>
      <c r="F466" s="554"/>
      <c r="G466" s="554"/>
      <c r="H466" s="554"/>
      <c r="I466" s="554"/>
      <c r="J466" s="554"/>
      <c r="K466" s="554"/>
      <c r="L466" s="554"/>
      <c r="M466" s="554"/>
      <c r="N466" s="554"/>
      <c r="O466" s="554"/>
      <c r="P466" s="554"/>
      <c r="Q466" s="554"/>
      <c r="R466" s="554"/>
      <c r="S466" s="554"/>
      <c r="T466" s="554"/>
      <c r="U466" s="554"/>
      <c r="V466" s="554"/>
      <c r="W466" s="554"/>
      <c r="X466" s="554"/>
      <c r="Y466" s="554"/>
      <c r="Z466" s="554"/>
      <c r="AA466" s="63"/>
      <c r="AB466" s="63"/>
      <c r="AC466" s="63"/>
    </row>
    <row r="467" spans="1:68" ht="27" hidden="1" customHeight="1" x14ac:dyDescent="0.25">
      <c r="A467" s="60" t="s">
        <v>730</v>
      </c>
      <c r="B467" s="60" t="s">
        <v>731</v>
      </c>
      <c r="C467" s="34">
        <v>4301020400</v>
      </c>
      <c r="D467" s="555">
        <v>4640242180519</v>
      </c>
      <c r="E467" s="555"/>
      <c r="F467" s="59">
        <v>1.5</v>
      </c>
      <c r="G467" s="35">
        <v>8</v>
      </c>
      <c r="H467" s="59">
        <v>12</v>
      </c>
      <c r="I467" s="59">
        <v>12.41</v>
      </c>
      <c r="J467" s="35">
        <v>64</v>
      </c>
      <c r="K467" s="35" t="s">
        <v>119</v>
      </c>
      <c r="L467" s="35" t="s">
        <v>45</v>
      </c>
      <c r="M467" s="36" t="s">
        <v>118</v>
      </c>
      <c r="N467" s="36"/>
      <c r="O467" s="35">
        <v>50</v>
      </c>
      <c r="P467" s="57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7" s="557"/>
      <c r="R467" s="557"/>
      <c r="S467" s="557"/>
      <c r="T467" s="558"/>
      <c r="U467" s="37" t="s">
        <v>45</v>
      </c>
      <c r="V467" s="37" t="s">
        <v>45</v>
      </c>
      <c r="W467" s="38" t="s">
        <v>0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IFERROR(IF(Y467=0,"",ROUNDUP(Y467/H467,0)*0.01898),"")</f>
        <v/>
      </c>
      <c r="AA467" s="65" t="s">
        <v>45</v>
      </c>
      <c r="AB467" s="66" t="s">
        <v>45</v>
      </c>
      <c r="AC467" s="537" t="s">
        <v>732</v>
      </c>
      <c r="AG467" s="75"/>
      <c r="AJ467" s="79" t="s">
        <v>45</v>
      </c>
      <c r="AK467" s="79">
        <v>0</v>
      </c>
      <c r="BB467" s="538" t="s">
        <v>66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idden="1" x14ac:dyDescent="0.2">
      <c r="A468" s="562"/>
      <c r="B468" s="562"/>
      <c r="C468" s="562"/>
      <c r="D468" s="562"/>
      <c r="E468" s="562"/>
      <c r="F468" s="562"/>
      <c r="G468" s="562"/>
      <c r="H468" s="562"/>
      <c r="I468" s="562"/>
      <c r="J468" s="562"/>
      <c r="K468" s="562"/>
      <c r="L468" s="562"/>
      <c r="M468" s="562"/>
      <c r="N468" s="562"/>
      <c r="O468" s="563"/>
      <c r="P468" s="559" t="s">
        <v>40</v>
      </c>
      <c r="Q468" s="560"/>
      <c r="R468" s="560"/>
      <c r="S468" s="560"/>
      <c r="T468" s="560"/>
      <c r="U468" s="560"/>
      <c r="V468" s="561"/>
      <c r="W468" s="40" t="s">
        <v>39</v>
      </c>
      <c r="X468" s="41">
        <f>IFERROR(X467/H467,"0")</f>
        <v>0</v>
      </c>
      <c r="Y468" s="41">
        <f>IFERROR(Y467/H467,"0")</f>
        <v>0</v>
      </c>
      <c r="Z468" s="41">
        <f>IFERROR(IF(Z467="",0,Z467),"0")</f>
        <v>0</v>
      </c>
      <c r="AA468" s="64"/>
      <c r="AB468" s="64"/>
      <c r="AC468" s="64"/>
    </row>
    <row r="469" spans="1:68" hidden="1" x14ac:dyDescent="0.2">
      <c r="A469" s="562"/>
      <c r="B469" s="562"/>
      <c r="C469" s="562"/>
      <c r="D469" s="562"/>
      <c r="E469" s="562"/>
      <c r="F469" s="562"/>
      <c r="G469" s="562"/>
      <c r="H469" s="562"/>
      <c r="I469" s="562"/>
      <c r="J469" s="562"/>
      <c r="K469" s="562"/>
      <c r="L469" s="562"/>
      <c r="M469" s="562"/>
      <c r="N469" s="562"/>
      <c r="O469" s="563"/>
      <c r="P469" s="559" t="s">
        <v>40</v>
      </c>
      <c r="Q469" s="560"/>
      <c r="R469" s="560"/>
      <c r="S469" s="560"/>
      <c r="T469" s="560"/>
      <c r="U469" s="560"/>
      <c r="V469" s="561"/>
      <c r="W469" s="40" t="s">
        <v>0</v>
      </c>
      <c r="X469" s="41">
        <f>IFERROR(SUM(X467:X467),"0")</f>
        <v>0</v>
      </c>
      <c r="Y469" s="41">
        <f>IFERROR(SUM(Y467:Y467),"0")</f>
        <v>0</v>
      </c>
      <c r="Z469" s="40"/>
      <c r="AA469" s="64"/>
      <c r="AB469" s="64"/>
      <c r="AC469" s="64"/>
    </row>
    <row r="470" spans="1:68" ht="14.25" hidden="1" customHeight="1" x14ac:dyDescent="0.25">
      <c r="A470" s="554" t="s">
        <v>76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63"/>
      <c r="AB470" s="63"/>
      <c r="AC470" s="63"/>
    </row>
    <row r="471" spans="1:68" ht="27" hidden="1" customHeight="1" x14ac:dyDescent="0.25">
      <c r="A471" s="60" t="s">
        <v>733</v>
      </c>
      <c r="B471" s="60" t="s">
        <v>734</v>
      </c>
      <c r="C471" s="34">
        <v>4301031467</v>
      </c>
      <c r="D471" s="555">
        <v>4640242180595</v>
      </c>
      <c r="E471" s="555"/>
      <c r="F471" s="59">
        <v>0.8</v>
      </c>
      <c r="G471" s="35">
        <v>6</v>
      </c>
      <c r="H471" s="59">
        <v>4.8</v>
      </c>
      <c r="I471" s="59">
        <v>5.05</v>
      </c>
      <c r="J471" s="35">
        <v>132</v>
      </c>
      <c r="K471" s="35" t="s">
        <v>122</v>
      </c>
      <c r="L471" s="35" t="s">
        <v>45</v>
      </c>
      <c r="M471" s="36" t="s">
        <v>80</v>
      </c>
      <c r="N471" s="36"/>
      <c r="O471" s="35">
        <v>40</v>
      </c>
      <c r="P471" s="570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1" s="557"/>
      <c r="R471" s="557"/>
      <c r="S471" s="557"/>
      <c r="T471" s="558"/>
      <c r="U471" s="37" t="s">
        <v>45</v>
      </c>
      <c r="V471" s="37" t="s">
        <v>45</v>
      </c>
      <c r="W471" s="38" t="s">
        <v>0</v>
      </c>
      <c r="X471" s="56">
        <v>0</v>
      </c>
      <c r="Y471" s="53">
        <f>IFERROR(IF(X471="",0,CEILING((X471/$H471),1)*$H471),"")</f>
        <v>0</v>
      </c>
      <c r="Z471" s="39" t="str">
        <f>IFERROR(IF(Y471=0,"",ROUNDUP(Y471/H471,0)*0.00902),"")</f>
        <v/>
      </c>
      <c r="AA471" s="65" t="s">
        <v>45</v>
      </c>
      <c r="AB471" s="66" t="s">
        <v>45</v>
      </c>
      <c r="AC471" s="539" t="s">
        <v>735</v>
      </c>
      <c r="AG471" s="75"/>
      <c r="AJ471" s="79" t="s">
        <v>45</v>
      </c>
      <c r="AK471" s="79">
        <v>0</v>
      </c>
      <c r="BB471" s="540" t="s">
        <v>66</v>
      </c>
      <c r="BM471" s="75">
        <f>IFERROR(X471*I471/H471,"0")</f>
        <v>0</v>
      </c>
      <c r="BN471" s="75">
        <f>IFERROR(Y471*I471/H471,"0")</f>
        <v>0</v>
      </c>
      <c r="BO471" s="75">
        <f>IFERROR(1/J471*(X471/H471),"0")</f>
        <v>0</v>
      </c>
      <c r="BP471" s="75">
        <f>IFERROR(1/J471*(Y471/H471),"0")</f>
        <v>0</v>
      </c>
    </row>
    <row r="472" spans="1:68" hidden="1" x14ac:dyDescent="0.2">
      <c r="A472" s="562"/>
      <c r="B472" s="562"/>
      <c r="C472" s="562"/>
      <c r="D472" s="562"/>
      <c r="E472" s="562"/>
      <c r="F472" s="562"/>
      <c r="G472" s="562"/>
      <c r="H472" s="562"/>
      <c r="I472" s="562"/>
      <c r="J472" s="562"/>
      <c r="K472" s="562"/>
      <c r="L472" s="562"/>
      <c r="M472" s="562"/>
      <c r="N472" s="562"/>
      <c r="O472" s="563"/>
      <c r="P472" s="559" t="s">
        <v>40</v>
      </c>
      <c r="Q472" s="560"/>
      <c r="R472" s="560"/>
      <c r="S472" s="560"/>
      <c r="T472" s="560"/>
      <c r="U472" s="560"/>
      <c r="V472" s="561"/>
      <c r="W472" s="40" t="s">
        <v>39</v>
      </c>
      <c r="X472" s="41">
        <f>IFERROR(X471/H471,"0")</f>
        <v>0</v>
      </c>
      <c r="Y472" s="41">
        <f>IFERROR(Y471/H471,"0")</f>
        <v>0</v>
      </c>
      <c r="Z472" s="41">
        <f>IFERROR(IF(Z471="",0,Z471),"0")</f>
        <v>0</v>
      </c>
      <c r="AA472" s="64"/>
      <c r="AB472" s="64"/>
      <c r="AC472" s="64"/>
    </row>
    <row r="473" spans="1:68" hidden="1" x14ac:dyDescent="0.2">
      <c r="A473" s="562"/>
      <c r="B473" s="562"/>
      <c r="C473" s="562"/>
      <c r="D473" s="562"/>
      <c r="E473" s="562"/>
      <c r="F473" s="562"/>
      <c r="G473" s="562"/>
      <c r="H473" s="562"/>
      <c r="I473" s="562"/>
      <c r="J473" s="562"/>
      <c r="K473" s="562"/>
      <c r="L473" s="562"/>
      <c r="M473" s="562"/>
      <c r="N473" s="562"/>
      <c r="O473" s="563"/>
      <c r="P473" s="559" t="s">
        <v>40</v>
      </c>
      <c r="Q473" s="560"/>
      <c r="R473" s="560"/>
      <c r="S473" s="560"/>
      <c r="T473" s="560"/>
      <c r="U473" s="560"/>
      <c r="V473" s="561"/>
      <c r="W473" s="40" t="s">
        <v>0</v>
      </c>
      <c r="X473" s="41">
        <f>IFERROR(SUM(X471:X471),"0")</f>
        <v>0</v>
      </c>
      <c r="Y473" s="41">
        <f>IFERROR(SUM(Y471:Y471),"0")</f>
        <v>0</v>
      </c>
      <c r="Z473" s="40"/>
      <c r="AA473" s="64"/>
      <c r="AB473" s="64"/>
      <c r="AC473" s="64"/>
    </row>
    <row r="474" spans="1:68" ht="14.25" hidden="1" customHeight="1" x14ac:dyDescent="0.25">
      <c r="A474" s="554" t="s">
        <v>86</v>
      </c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4"/>
      <c r="P474" s="554"/>
      <c r="Q474" s="554"/>
      <c r="R474" s="554"/>
      <c r="S474" s="554"/>
      <c r="T474" s="554"/>
      <c r="U474" s="554"/>
      <c r="V474" s="554"/>
      <c r="W474" s="554"/>
      <c r="X474" s="554"/>
      <c r="Y474" s="554"/>
      <c r="Z474" s="554"/>
      <c r="AA474" s="63"/>
      <c r="AB474" s="63"/>
      <c r="AC474" s="63"/>
    </row>
    <row r="475" spans="1:68" ht="27" hidden="1" customHeight="1" x14ac:dyDescent="0.25">
      <c r="A475" s="60" t="s">
        <v>736</v>
      </c>
      <c r="B475" s="60" t="s">
        <v>737</v>
      </c>
      <c r="C475" s="34">
        <v>4301052046</v>
      </c>
      <c r="D475" s="555">
        <v>4640242180533</v>
      </c>
      <c r="E475" s="555"/>
      <c r="F475" s="59">
        <v>1.5</v>
      </c>
      <c r="G475" s="35">
        <v>6</v>
      </c>
      <c r="H475" s="59">
        <v>9</v>
      </c>
      <c r="I475" s="59">
        <v>9.4939999999999998</v>
      </c>
      <c r="J475" s="35">
        <v>64</v>
      </c>
      <c r="K475" s="35" t="s">
        <v>119</v>
      </c>
      <c r="L475" s="35" t="s">
        <v>45</v>
      </c>
      <c r="M475" s="36" t="s">
        <v>96</v>
      </c>
      <c r="N475" s="36"/>
      <c r="O475" s="35">
        <v>45</v>
      </c>
      <c r="P475" s="571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5" s="557"/>
      <c r="R475" s="557"/>
      <c r="S475" s="557"/>
      <c r="T475" s="558"/>
      <c r="U475" s="37" t="s">
        <v>45</v>
      </c>
      <c r="V475" s="37" t="s">
        <v>45</v>
      </c>
      <c r="W475" s="38" t="s">
        <v>0</v>
      </c>
      <c r="X475" s="56">
        <v>0</v>
      </c>
      <c r="Y475" s="53">
        <f>IFERROR(IF(X475="",0,CEILING((X475/$H475),1)*$H475),"")</f>
        <v>0</v>
      </c>
      <c r="Z475" s="39" t="str">
        <f>IFERROR(IF(Y475=0,"",ROUNDUP(Y475/H475,0)*0.01898),"")</f>
        <v/>
      </c>
      <c r="AA475" s="65" t="s">
        <v>45</v>
      </c>
      <c r="AB475" s="66" t="s">
        <v>45</v>
      </c>
      <c r="AC475" s="541" t="s">
        <v>738</v>
      </c>
      <c r="AG475" s="75"/>
      <c r="AJ475" s="79" t="s">
        <v>45</v>
      </c>
      <c r="AK475" s="79">
        <v>0</v>
      </c>
      <c r="BB475" s="542" t="s">
        <v>66</v>
      </c>
      <c r="BM475" s="75">
        <f>IFERROR(X475*I475/H475,"0")</f>
        <v>0</v>
      </c>
      <c r="BN475" s="75">
        <f>IFERROR(Y475*I475/H475,"0")</f>
        <v>0</v>
      </c>
      <c r="BO475" s="75">
        <f>IFERROR(1/J475*(X475/H475),"0")</f>
        <v>0</v>
      </c>
      <c r="BP475" s="75">
        <f>IFERROR(1/J475*(Y475/H475),"0")</f>
        <v>0</v>
      </c>
    </row>
    <row r="476" spans="1:68" hidden="1" x14ac:dyDescent="0.2">
      <c r="A476" s="562"/>
      <c r="B476" s="562"/>
      <c r="C476" s="562"/>
      <c r="D476" s="562"/>
      <c r="E476" s="562"/>
      <c r="F476" s="562"/>
      <c r="G476" s="562"/>
      <c r="H476" s="562"/>
      <c r="I476" s="562"/>
      <c r="J476" s="562"/>
      <c r="K476" s="562"/>
      <c r="L476" s="562"/>
      <c r="M476" s="562"/>
      <c r="N476" s="562"/>
      <c r="O476" s="563"/>
      <c r="P476" s="559" t="s">
        <v>40</v>
      </c>
      <c r="Q476" s="560"/>
      <c r="R476" s="560"/>
      <c r="S476" s="560"/>
      <c r="T476" s="560"/>
      <c r="U476" s="560"/>
      <c r="V476" s="561"/>
      <c r="W476" s="40" t="s">
        <v>39</v>
      </c>
      <c r="X476" s="41">
        <f>IFERROR(X475/H475,"0")</f>
        <v>0</v>
      </c>
      <c r="Y476" s="41">
        <f>IFERROR(Y475/H475,"0")</f>
        <v>0</v>
      </c>
      <c r="Z476" s="41">
        <f>IFERROR(IF(Z475="",0,Z475),"0")</f>
        <v>0</v>
      </c>
      <c r="AA476" s="64"/>
      <c r="AB476" s="64"/>
      <c r="AC476" s="64"/>
    </row>
    <row r="477" spans="1:68" hidden="1" x14ac:dyDescent="0.2">
      <c r="A477" s="562"/>
      <c r="B477" s="562"/>
      <c r="C477" s="562"/>
      <c r="D477" s="562"/>
      <c r="E477" s="562"/>
      <c r="F477" s="562"/>
      <c r="G477" s="562"/>
      <c r="H477" s="562"/>
      <c r="I477" s="562"/>
      <c r="J477" s="562"/>
      <c r="K477" s="562"/>
      <c r="L477" s="562"/>
      <c r="M477" s="562"/>
      <c r="N477" s="562"/>
      <c r="O477" s="563"/>
      <c r="P477" s="559" t="s">
        <v>40</v>
      </c>
      <c r="Q477" s="560"/>
      <c r="R477" s="560"/>
      <c r="S477" s="560"/>
      <c r="T477" s="560"/>
      <c r="U477" s="560"/>
      <c r="V477" s="561"/>
      <c r="W477" s="40" t="s">
        <v>0</v>
      </c>
      <c r="X477" s="41">
        <f>IFERROR(SUM(X475:X475),"0")</f>
        <v>0</v>
      </c>
      <c r="Y477" s="41">
        <f>IFERROR(SUM(Y475:Y475),"0")</f>
        <v>0</v>
      </c>
      <c r="Z477" s="40"/>
      <c r="AA477" s="64"/>
      <c r="AB477" s="64"/>
      <c r="AC477" s="64"/>
    </row>
    <row r="478" spans="1:68" ht="14.25" hidden="1" customHeight="1" x14ac:dyDescent="0.25">
      <c r="A478" s="554" t="s">
        <v>173</v>
      </c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4"/>
      <c r="P478" s="554"/>
      <c r="Q478" s="554"/>
      <c r="R478" s="554"/>
      <c r="S478" s="554"/>
      <c r="T478" s="554"/>
      <c r="U478" s="554"/>
      <c r="V478" s="554"/>
      <c r="W478" s="554"/>
      <c r="X478" s="554"/>
      <c r="Y478" s="554"/>
      <c r="Z478" s="554"/>
      <c r="AA478" s="63"/>
      <c r="AB478" s="63"/>
      <c r="AC478" s="63"/>
    </row>
    <row r="479" spans="1:68" ht="27" hidden="1" customHeight="1" x14ac:dyDescent="0.25">
      <c r="A479" s="60" t="s">
        <v>739</v>
      </c>
      <c r="B479" s="60" t="s">
        <v>740</v>
      </c>
      <c r="C479" s="34">
        <v>4301060491</v>
      </c>
      <c r="D479" s="555">
        <v>4640242180120</v>
      </c>
      <c r="E479" s="555"/>
      <c r="F479" s="59">
        <v>1.5</v>
      </c>
      <c r="G479" s="35">
        <v>6</v>
      </c>
      <c r="H479" s="59">
        <v>9</v>
      </c>
      <c r="I479" s="59">
        <v>9.41</v>
      </c>
      <c r="J479" s="35">
        <v>64</v>
      </c>
      <c r="K479" s="35" t="s">
        <v>119</v>
      </c>
      <c r="L479" s="35" t="s">
        <v>45</v>
      </c>
      <c r="M479" s="36" t="s">
        <v>90</v>
      </c>
      <c r="N479" s="36"/>
      <c r="O479" s="35">
        <v>40</v>
      </c>
      <c r="P479" s="568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79" s="557"/>
      <c r="R479" s="557"/>
      <c r="S479" s="557"/>
      <c r="T479" s="558"/>
      <c r="U479" s="37" t="s">
        <v>45</v>
      </c>
      <c r="V479" s="37" t="s">
        <v>45</v>
      </c>
      <c r="W479" s="38" t="s">
        <v>0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IFERROR(IF(Y479=0,"",ROUNDUP(Y479/H479,0)*0.01898),"")</f>
        <v/>
      </c>
      <c r="AA479" s="65" t="s">
        <v>45</v>
      </c>
      <c r="AB479" s="66" t="s">
        <v>45</v>
      </c>
      <c r="AC479" s="543" t="s">
        <v>741</v>
      </c>
      <c r="AG479" s="75"/>
      <c r="AJ479" s="79" t="s">
        <v>45</v>
      </c>
      <c r="AK479" s="79">
        <v>0</v>
      </c>
      <c r="BB479" s="544" t="s">
        <v>66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ht="27" hidden="1" customHeight="1" x14ac:dyDescent="0.25">
      <c r="A480" s="60" t="s">
        <v>742</v>
      </c>
      <c r="B480" s="60" t="s">
        <v>743</v>
      </c>
      <c r="C480" s="34">
        <v>4301060493</v>
      </c>
      <c r="D480" s="555">
        <v>4640242180137</v>
      </c>
      <c r="E480" s="555"/>
      <c r="F480" s="59">
        <v>1.5</v>
      </c>
      <c r="G480" s="35">
        <v>6</v>
      </c>
      <c r="H480" s="59">
        <v>9</v>
      </c>
      <c r="I480" s="59">
        <v>9.41</v>
      </c>
      <c r="J480" s="35">
        <v>64</v>
      </c>
      <c r="K480" s="35" t="s">
        <v>119</v>
      </c>
      <c r="L480" s="35" t="s">
        <v>45</v>
      </c>
      <c r="M480" s="36" t="s">
        <v>90</v>
      </c>
      <c r="N480" s="36"/>
      <c r="O480" s="35">
        <v>40</v>
      </c>
      <c r="P480" s="569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0" s="557"/>
      <c r="R480" s="557"/>
      <c r="S480" s="557"/>
      <c r="T480" s="558"/>
      <c r="U480" s="37" t="s">
        <v>45</v>
      </c>
      <c r="V480" s="37" t="s">
        <v>45</v>
      </c>
      <c r="W480" s="38" t="s">
        <v>0</v>
      </c>
      <c r="X480" s="56">
        <v>0</v>
      </c>
      <c r="Y480" s="53">
        <f>IFERROR(IF(X480="",0,CEILING((X480/$H480),1)*$H480),"")</f>
        <v>0</v>
      </c>
      <c r="Z480" s="39" t="str">
        <f>IFERROR(IF(Y480=0,"",ROUNDUP(Y480/H480,0)*0.01898),"")</f>
        <v/>
      </c>
      <c r="AA480" s="65" t="s">
        <v>45</v>
      </c>
      <c r="AB480" s="66" t="s">
        <v>45</v>
      </c>
      <c r="AC480" s="545" t="s">
        <v>744</v>
      </c>
      <c r="AG480" s="75"/>
      <c r="AJ480" s="79" t="s">
        <v>45</v>
      </c>
      <c r="AK480" s="79">
        <v>0</v>
      </c>
      <c r="BB480" s="546" t="s">
        <v>66</v>
      </c>
      <c r="BM480" s="75">
        <f>IFERROR(X480*I480/H480,"0")</f>
        <v>0</v>
      </c>
      <c r="BN480" s="75">
        <f>IFERROR(Y480*I480/H480,"0")</f>
        <v>0</v>
      </c>
      <c r="BO480" s="75">
        <f>IFERROR(1/J480*(X480/H480),"0")</f>
        <v>0</v>
      </c>
      <c r="BP480" s="75">
        <f>IFERROR(1/J480*(Y480/H480),"0")</f>
        <v>0</v>
      </c>
    </row>
    <row r="481" spans="1:68" hidden="1" x14ac:dyDescent="0.2">
      <c r="A481" s="562"/>
      <c r="B481" s="562"/>
      <c r="C481" s="562"/>
      <c r="D481" s="562"/>
      <c r="E481" s="562"/>
      <c r="F481" s="562"/>
      <c r="G481" s="562"/>
      <c r="H481" s="562"/>
      <c r="I481" s="562"/>
      <c r="J481" s="562"/>
      <c r="K481" s="562"/>
      <c r="L481" s="562"/>
      <c r="M481" s="562"/>
      <c r="N481" s="562"/>
      <c r="O481" s="563"/>
      <c r="P481" s="559" t="s">
        <v>40</v>
      </c>
      <c r="Q481" s="560"/>
      <c r="R481" s="560"/>
      <c r="S481" s="560"/>
      <c r="T481" s="560"/>
      <c r="U481" s="560"/>
      <c r="V481" s="561"/>
      <c r="W481" s="40" t="s">
        <v>39</v>
      </c>
      <c r="X481" s="41">
        <f>IFERROR(X479/H479,"0")+IFERROR(X480/H480,"0")</f>
        <v>0</v>
      </c>
      <c r="Y481" s="41">
        <f>IFERROR(Y479/H479,"0")+IFERROR(Y480/H480,"0")</f>
        <v>0</v>
      </c>
      <c r="Z481" s="41">
        <f>IFERROR(IF(Z479="",0,Z479),"0")+IFERROR(IF(Z480="",0,Z480),"0")</f>
        <v>0</v>
      </c>
      <c r="AA481" s="64"/>
      <c r="AB481" s="64"/>
      <c r="AC481" s="64"/>
    </row>
    <row r="482" spans="1:68" hidden="1" x14ac:dyDescent="0.2">
      <c r="A482" s="562"/>
      <c r="B482" s="562"/>
      <c r="C482" s="562"/>
      <c r="D482" s="562"/>
      <c r="E482" s="562"/>
      <c r="F482" s="562"/>
      <c r="G482" s="562"/>
      <c r="H482" s="562"/>
      <c r="I482" s="562"/>
      <c r="J482" s="562"/>
      <c r="K482" s="562"/>
      <c r="L482" s="562"/>
      <c r="M482" s="562"/>
      <c r="N482" s="562"/>
      <c r="O482" s="563"/>
      <c r="P482" s="559" t="s">
        <v>40</v>
      </c>
      <c r="Q482" s="560"/>
      <c r="R482" s="560"/>
      <c r="S482" s="560"/>
      <c r="T482" s="560"/>
      <c r="U482" s="560"/>
      <c r="V482" s="561"/>
      <c r="W482" s="40" t="s">
        <v>0</v>
      </c>
      <c r="X482" s="41">
        <f>IFERROR(SUM(X479:X480),"0")</f>
        <v>0</v>
      </c>
      <c r="Y482" s="41">
        <f>IFERROR(SUM(Y479:Y480),"0")</f>
        <v>0</v>
      </c>
      <c r="Z482" s="40"/>
      <c r="AA482" s="64"/>
      <c r="AB482" s="64"/>
      <c r="AC482" s="64"/>
    </row>
    <row r="483" spans="1:68" ht="16.5" hidden="1" customHeight="1" x14ac:dyDescent="0.25">
      <c r="A483" s="553" t="s">
        <v>745</v>
      </c>
      <c r="B483" s="553"/>
      <c r="C483" s="553"/>
      <c r="D483" s="553"/>
      <c r="E483" s="553"/>
      <c r="F483" s="553"/>
      <c r="G483" s="553"/>
      <c r="H483" s="553"/>
      <c r="I483" s="553"/>
      <c r="J483" s="553"/>
      <c r="K483" s="553"/>
      <c r="L483" s="553"/>
      <c r="M483" s="553"/>
      <c r="N483" s="553"/>
      <c r="O483" s="553"/>
      <c r="P483" s="553"/>
      <c r="Q483" s="553"/>
      <c r="R483" s="553"/>
      <c r="S483" s="553"/>
      <c r="T483" s="553"/>
      <c r="U483" s="553"/>
      <c r="V483" s="553"/>
      <c r="W483" s="553"/>
      <c r="X483" s="553"/>
      <c r="Y483" s="553"/>
      <c r="Z483" s="553"/>
      <c r="AA483" s="62"/>
      <c r="AB483" s="62"/>
      <c r="AC483" s="62"/>
    </row>
    <row r="484" spans="1:68" ht="14.25" hidden="1" customHeight="1" x14ac:dyDescent="0.25">
      <c r="A484" s="554" t="s">
        <v>147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63"/>
      <c r="AB484" s="63"/>
      <c r="AC484" s="63"/>
    </row>
    <row r="485" spans="1:68" ht="27" hidden="1" customHeight="1" x14ac:dyDescent="0.25">
      <c r="A485" s="60" t="s">
        <v>746</v>
      </c>
      <c r="B485" s="60" t="s">
        <v>747</v>
      </c>
      <c r="C485" s="34">
        <v>4301020314</v>
      </c>
      <c r="D485" s="555">
        <v>4640242180090</v>
      </c>
      <c r="E485" s="555"/>
      <c r="F485" s="59">
        <v>1.5</v>
      </c>
      <c r="G485" s="35">
        <v>8</v>
      </c>
      <c r="H485" s="59">
        <v>12</v>
      </c>
      <c r="I485" s="59">
        <v>12.41</v>
      </c>
      <c r="J485" s="35">
        <v>64</v>
      </c>
      <c r="K485" s="35" t="s">
        <v>119</v>
      </c>
      <c r="L485" s="35" t="s">
        <v>45</v>
      </c>
      <c r="M485" s="36" t="s">
        <v>118</v>
      </c>
      <c r="N485" s="36"/>
      <c r="O485" s="35">
        <v>50</v>
      </c>
      <c r="P485" s="556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5" s="557"/>
      <c r="R485" s="557"/>
      <c r="S485" s="557"/>
      <c r="T485" s="558"/>
      <c r="U485" s="37" t="s">
        <v>45</v>
      </c>
      <c r="V485" s="37" t="s">
        <v>45</v>
      </c>
      <c r="W485" s="38" t="s">
        <v>0</v>
      </c>
      <c r="X485" s="56">
        <v>0</v>
      </c>
      <c r="Y485" s="53">
        <f>IFERROR(IF(X485="",0,CEILING((X485/$H485),1)*$H485),"")</f>
        <v>0</v>
      </c>
      <c r="Z485" s="39" t="str">
        <f>IFERROR(IF(Y485=0,"",ROUNDUP(Y485/H485,0)*0.01898),"")</f>
        <v/>
      </c>
      <c r="AA485" s="65" t="s">
        <v>45</v>
      </c>
      <c r="AB485" s="66" t="s">
        <v>45</v>
      </c>
      <c r="AC485" s="547" t="s">
        <v>748</v>
      </c>
      <c r="AG485" s="75"/>
      <c r="AJ485" s="79" t="s">
        <v>45</v>
      </c>
      <c r="AK485" s="79">
        <v>0</v>
      </c>
      <c r="BB485" s="548" t="s">
        <v>66</v>
      </c>
      <c r="BM485" s="75">
        <f>IFERROR(X485*I485/H485,"0")</f>
        <v>0</v>
      </c>
      <c r="BN485" s="75">
        <f>IFERROR(Y485*I485/H485,"0")</f>
        <v>0</v>
      </c>
      <c r="BO485" s="75">
        <f>IFERROR(1/J485*(X485/H485),"0")</f>
        <v>0</v>
      </c>
      <c r="BP485" s="75">
        <f>IFERROR(1/J485*(Y485/H485),"0")</f>
        <v>0</v>
      </c>
    </row>
    <row r="486" spans="1:68" hidden="1" x14ac:dyDescent="0.2">
      <c r="A486" s="562"/>
      <c r="B486" s="562"/>
      <c r="C486" s="562"/>
      <c r="D486" s="562"/>
      <c r="E486" s="562"/>
      <c r="F486" s="562"/>
      <c r="G486" s="562"/>
      <c r="H486" s="562"/>
      <c r="I486" s="562"/>
      <c r="J486" s="562"/>
      <c r="K486" s="562"/>
      <c r="L486" s="562"/>
      <c r="M486" s="562"/>
      <c r="N486" s="562"/>
      <c r="O486" s="563"/>
      <c r="P486" s="559" t="s">
        <v>40</v>
      </c>
      <c r="Q486" s="560"/>
      <c r="R486" s="560"/>
      <c r="S486" s="560"/>
      <c r="T486" s="560"/>
      <c r="U486" s="560"/>
      <c r="V486" s="561"/>
      <c r="W486" s="40" t="s">
        <v>39</v>
      </c>
      <c r="X486" s="41">
        <f>IFERROR(X485/H485,"0")</f>
        <v>0</v>
      </c>
      <c r="Y486" s="41">
        <f>IFERROR(Y485/H485,"0")</f>
        <v>0</v>
      </c>
      <c r="Z486" s="41">
        <f>IFERROR(IF(Z485="",0,Z485),"0")</f>
        <v>0</v>
      </c>
      <c r="AA486" s="64"/>
      <c r="AB486" s="64"/>
      <c r="AC486" s="64"/>
    </row>
    <row r="487" spans="1:68" hidden="1" x14ac:dyDescent="0.2">
      <c r="A487" s="562"/>
      <c r="B487" s="562"/>
      <c r="C487" s="562"/>
      <c r="D487" s="562"/>
      <c r="E487" s="562"/>
      <c r="F487" s="562"/>
      <c r="G487" s="562"/>
      <c r="H487" s="562"/>
      <c r="I487" s="562"/>
      <c r="J487" s="562"/>
      <c r="K487" s="562"/>
      <c r="L487" s="562"/>
      <c r="M487" s="562"/>
      <c r="N487" s="562"/>
      <c r="O487" s="563"/>
      <c r="P487" s="559" t="s">
        <v>40</v>
      </c>
      <c r="Q487" s="560"/>
      <c r="R487" s="560"/>
      <c r="S487" s="560"/>
      <c r="T487" s="560"/>
      <c r="U487" s="560"/>
      <c r="V487" s="561"/>
      <c r="W487" s="40" t="s">
        <v>0</v>
      </c>
      <c r="X487" s="41">
        <f>IFERROR(SUM(X485:X485),"0")</f>
        <v>0</v>
      </c>
      <c r="Y487" s="41">
        <f>IFERROR(SUM(Y485:Y485),"0")</f>
        <v>0</v>
      </c>
      <c r="Z487" s="40"/>
      <c r="AA487" s="64"/>
      <c r="AB487" s="64"/>
      <c r="AC487" s="64"/>
    </row>
    <row r="488" spans="1:68" ht="15" customHeight="1" x14ac:dyDescent="0.2">
      <c r="A488" s="562"/>
      <c r="B488" s="562"/>
      <c r="C488" s="562"/>
      <c r="D488" s="562"/>
      <c r="E488" s="562"/>
      <c r="F488" s="562"/>
      <c r="G488" s="562"/>
      <c r="H488" s="562"/>
      <c r="I488" s="562"/>
      <c r="J488" s="562"/>
      <c r="K488" s="562"/>
      <c r="L488" s="562"/>
      <c r="M488" s="562"/>
      <c r="N488" s="562"/>
      <c r="O488" s="567"/>
      <c r="P488" s="564" t="s">
        <v>33</v>
      </c>
      <c r="Q488" s="565"/>
      <c r="R488" s="565"/>
      <c r="S488" s="565"/>
      <c r="T488" s="565"/>
      <c r="U488" s="565"/>
      <c r="V488" s="566"/>
      <c r="W488" s="40" t="s">
        <v>0</v>
      </c>
      <c r="X488" s="41">
        <f>IFERROR(X25+X34+X38+X46+X50+X60+X67+X71+X78+X83+X91+X98+X107+X114+X121+X125+X131+X136+X141+X147+X155+X159+X165+X183+X189+X193+X199+X204+X215+X227+X232+X243+X247+X251+X259+X268+X276+X283+X289+X294+X303+X313+X320+X326+X333+X339+X346+X358+X363+X368+X372+X378+X382+X388+X402+X407+X412+X418+X423+X440+X446+X456+X465+X469+X473+X477+X482+X487,"0")</f>
        <v>7275.9199999999992</v>
      </c>
      <c r="Y488" s="41">
        <f>IFERROR(Y25+Y34+Y38+Y46+Y50+Y60+Y67+Y71+Y78+Y83+Y91+Y98+Y107+Y114+Y121+Y125+Y131+Y136+Y141+Y147+Y155+Y159+Y165+Y183+Y189+Y193+Y199+Y204+Y215+Y227+Y232+Y243+Y247+Y251+Y259+Y268+Y276+Y283+Y289+Y294+Y303+Y313+Y320+Y326+Y333+Y339+Y346+Y358+Y363+Y368+Y372+Y378+Y382+Y388+Y402+Y407+Y412+Y418+Y423+Y440+Y446+Y456+Y465+Y469+Y473+Y477+Y482+Y487,"0")</f>
        <v>7275.92</v>
      </c>
      <c r="Z488" s="40"/>
      <c r="AA488" s="64"/>
      <c r="AB488" s="64"/>
      <c r="AC488" s="64"/>
    </row>
    <row r="489" spans="1:68" x14ac:dyDescent="0.2">
      <c r="A489" s="562"/>
      <c r="B489" s="562"/>
      <c r="C489" s="562"/>
      <c r="D489" s="562"/>
      <c r="E489" s="562"/>
      <c r="F489" s="562"/>
      <c r="G489" s="562"/>
      <c r="H489" s="562"/>
      <c r="I489" s="562"/>
      <c r="J489" s="562"/>
      <c r="K489" s="562"/>
      <c r="L489" s="562"/>
      <c r="M489" s="562"/>
      <c r="N489" s="562"/>
      <c r="O489" s="567"/>
      <c r="P489" s="564" t="s">
        <v>34</v>
      </c>
      <c r="Q489" s="565"/>
      <c r="R489" s="565"/>
      <c r="S489" s="565"/>
      <c r="T489" s="565"/>
      <c r="U489" s="565"/>
      <c r="V489" s="566"/>
      <c r="W489" s="40" t="s">
        <v>0</v>
      </c>
      <c r="X489" s="41">
        <f>IFERROR(SUM(BM22:BM485),"0")</f>
        <v>7650.0279999999975</v>
      </c>
      <c r="Y489" s="41">
        <f>IFERROR(SUM(BN22:BN485),"0")</f>
        <v>7650.0279999999975</v>
      </c>
      <c r="Z489" s="40"/>
      <c r="AA489" s="64"/>
      <c r="AB489" s="64"/>
      <c r="AC489" s="64"/>
    </row>
    <row r="490" spans="1:68" x14ac:dyDescent="0.2">
      <c r="A490" s="562"/>
      <c r="B490" s="562"/>
      <c r="C490" s="562"/>
      <c r="D490" s="562"/>
      <c r="E490" s="562"/>
      <c r="F490" s="562"/>
      <c r="G490" s="562"/>
      <c r="H490" s="562"/>
      <c r="I490" s="562"/>
      <c r="J490" s="562"/>
      <c r="K490" s="562"/>
      <c r="L490" s="562"/>
      <c r="M490" s="562"/>
      <c r="N490" s="562"/>
      <c r="O490" s="567"/>
      <c r="P490" s="564" t="s">
        <v>35</v>
      </c>
      <c r="Q490" s="565"/>
      <c r="R490" s="565"/>
      <c r="S490" s="565"/>
      <c r="T490" s="565"/>
      <c r="U490" s="565"/>
      <c r="V490" s="566"/>
      <c r="W490" s="40" t="s">
        <v>20</v>
      </c>
      <c r="X490" s="42">
        <f>ROUNDUP(SUM(BO22:BO485),0)</f>
        <v>13</v>
      </c>
      <c r="Y490" s="42">
        <f>ROUNDUP(SUM(BP22:BP485),0)</f>
        <v>13</v>
      </c>
      <c r="Z490" s="40"/>
      <c r="AA490" s="64"/>
      <c r="AB490" s="64"/>
      <c r="AC490" s="64"/>
    </row>
    <row r="491" spans="1:68" x14ac:dyDescent="0.2">
      <c r="A491" s="562"/>
      <c r="B491" s="562"/>
      <c r="C491" s="562"/>
      <c r="D491" s="562"/>
      <c r="E491" s="562"/>
      <c r="F491" s="562"/>
      <c r="G491" s="562"/>
      <c r="H491" s="562"/>
      <c r="I491" s="562"/>
      <c r="J491" s="562"/>
      <c r="K491" s="562"/>
      <c r="L491" s="562"/>
      <c r="M491" s="562"/>
      <c r="N491" s="562"/>
      <c r="O491" s="567"/>
      <c r="P491" s="564" t="s">
        <v>36</v>
      </c>
      <c r="Q491" s="565"/>
      <c r="R491" s="565"/>
      <c r="S491" s="565"/>
      <c r="T491" s="565"/>
      <c r="U491" s="565"/>
      <c r="V491" s="566"/>
      <c r="W491" s="40" t="s">
        <v>0</v>
      </c>
      <c r="X491" s="41">
        <f>GrossWeightTotal+PalletQtyTotal*25</f>
        <v>7975.0279999999975</v>
      </c>
      <c r="Y491" s="41">
        <f>GrossWeightTotalR+PalletQtyTotalR*25</f>
        <v>7975.0279999999975</v>
      </c>
      <c r="Z491" s="40"/>
      <c r="AA491" s="64"/>
      <c r="AB491" s="64"/>
      <c r="AC491" s="64"/>
    </row>
    <row r="492" spans="1:68" x14ac:dyDescent="0.2">
      <c r="A492" s="562"/>
      <c r="B492" s="562"/>
      <c r="C492" s="562"/>
      <c r="D492" s="562"/>
      <c r="E492" s="562"/>
      <c r="F492" s="562"/>
      <c r="G492" s="562"/>
      <c r="H492" s="562"/>
      <c r="I492" s="562"/>
      <c r="J492" s="562"/>
      <c r="K492" s="562"/>
      <c r="L492" s="562"/>
      <c r="M492" s="562"/>
      <c r="N492" s="562"/>
      <c r="O492" s="567"/>
      <c r="P492" s="564" t="s">
        <v>37</v>
      </c>
      <c r="Q492" s="565"/>
      <c r="R492" s="565"/>
      <c r="S492" s="565"/>
      <c r="T492" s="565"/>
      <c r="U492" s="565"/>
      <c r="V492" s="566"/>
      <c r="W492" s="40" t="s">
        <v>20</v>
      </c>
      <c r="X492" s="41">
        <f>IFERROR(X24+X33+X37+X45+X49+X59+X66+X70+X77+X82+X90+X97+X106+X113+X120+X124+X130+X135+X140+X146+X154+X158+X164+X182+X188+X192+X198+X203+X214+X226+X231+X242+X246+X250+X258+X267+X275+X282+X288+X293+X302+X312+X319+X325+X332+X338+X345+X357+X362+X367+X371+X377+X381+X387+X401+X406+X411+X417+X422+X439+X445+X455+X464+X468+X472+X476+X481+X486,"0")</f>
        <v>1074</v>
      </c>
      <c r="Y492" s="41">
        <f>IFERROR(Y24+Y33+Y37+Y45+Y49+Y59+Y66+Y70+Y77+Y82+Y90+Y97+Y106+Y113+Y120+Y124+Y130+Y135+Y140+Y146+Y154+Y158+Y164+Y182+Y188+Y192+Y198+Y203+Y214+Y226+Y231+Y242+Y246+Y250+Y258+Y267+Y275+Y282+Y288+Y293+Y302+Y312+Y319+Y325+Y332+Y338+Y345+Y357+Y362+Y367+Y371+Y377+Y381+Y387+Y401+Y406+Y411+Y417+Y422+Y439+Y445+Y455+Y464+Y468+Y472+Y476+Y481+Y486,"0")</f>
        <v>1074</v>
      </c>
      <c r="Z492" s="40"/>
      <c r="AA492" s="64"/>
      <c r="AB492" s="64"/>
      <c r="AC492" s="64"/>
    </row>
    <row r="493" spans="1:68" ht="14.25" hidden="1" x14ac:dyDescent="0.2">
      <c r="A493" s="562"/>
      <c r="B493" s="562"/>
      <c r="C493" s="562"/>
      <c r="D493" s="562"/>
      <c r="E493" s="562"/>
      <c r="F493" s="562"/>
      <c r="G493" s="562"/>
      <c r="H493" s="562"/>
      <c r="I493" s="562"/>
      <c r="J493" s="562"/>
      <c r="K493" s="562"/>
      <c r="L493" s="562"/>
      <c r="M493" s="562"/>
      <c r="N493" s="562"/>
      <c r="O493" s="567"/>
      <c r="P493" s="564" t="s">
        <v>38</v>
      </c>
      <c r="Q493" s="565"/>
      <c r="R493" s="565"/>
      <c r="S493" s="565"/>
      <c r="T493" s="565"/>
      <c r="U493" s="565"/>
      <c r="V493" s="566"/>
      <c r="W493" s="43" t="s">
        <v>51</v>
      </c>
      <c r="X493" s="40"/>
      <c r="Y493" s="40"/>
      <c r="Z493" s="40">
        <f>IFERROR(Z24+Z33+Z37+Z45+Z49+Z59+Z66+Z70+Z77+Z82+Z90+Z97+Z106+Z113+Z120+Z124+Z130+Z135+Z140+Z146+Z154+Z158+Z164+Z182+Z188+Z192+Z198+Z203+Z214+Z226+Z231+Z242+Z246+Z250+Z258+Z267+Z275+Z282+Z288+Z293+Z302+Z312+Z319+Z325+Z332+Z338+Z345+Z357+Z362+Z367+Z371+Z377+Z381+Z387+Z401+Z406+Z411+Z417+Z422+Z439+Z445+Z455+Z464+Z468+Z472+Z476+Z481+Z486,"0")</f>
        <v>14.490360000000003</v>
      </c>
      <c r="AA493" s="64"/>
      <c r="AB493" s="64"/>
      <c r="AC493" s="64"/>
    </row>
    <row r="494" spans="1:68" ht="13.5" thickBot="1" x14ac:dyDescent="0.25"/>
    <row r="495" spans="1:68" ht="27" thickTop="1" thickBot="1" x14ac:dyDescent="0.25">
      <c r="A495" s="44" t="s">
        <v>9</v>
      </c>
      <c r="B495" s="80" t="s">
        <v>75</v>
      </c>
      <c r="C495" s="549" t="s">
        <v>112</v>
      </c>
      <c r="D495" s="549" t="s">
        <v>112</v>
      </c>
      <c r="E495" s="549" t="s">
        <v>112</v>
      </c>
      <c r="F495" s="549" t="s">
        <v>112</v>
      </c>
      <c r="G495" s="549" t="s">
        <v>112</v>
      </c>
      <c r="H495" s="549" t="s">
        <v>112</v>
      </c>
      <c r="I495" s="549" t="s">
        <v>275</v>
      </c>
      <c r="J495" s="549" t="s">
        <v>275</v>
      </c>
      <c r="K495" s="549" t="s">
        <v>275</v>
      </c>
      <c r="L495" s="549" t="s">
        <v>275</v>
      </c>
      <c r="M495" s="549" t="s">
        <v>275</v>
      </c>
      <c r="N495" s="550"/>
      <c r="O495" s="549" t="s">
        <v>275</v>
      </c>
      <c r="P495" s="549" t="s">
        <v>275</v>
      </c>
      <c r="Q495" s="549" t="s">
        <v>275</v>
      </c>
      <c r="R495" s="549" t="s">
        <v>275</v>
      </c>
      <c r="S495" s="549" t="s">
        <v>565</v>
      </c>
      <c r="T495" s="549" t="s">
        <v>565</v>
      </c>
      <c r="U495" s="549" t="s">
        <v>618</v>
      </c>
      <c r="V495" s="549" t="s">
        <v>618</v>
      </c>
      <c r="W495" s="549" t="s">
        <v>618</v>
      </c>
      <c r="X495" s="80" t="s">
        <v>666</v>
      </c>
      <c r="Y495" s="549" t="s">
        <v>718</v>
      </c>
      <c r="Z495" s="549" t="s">
        <v>718</v>
      </c>
      <c r="AB495" s="9"/>
      <c r="AC495" s="9"/>
      <c r="AF495" s="1"/>
    </row>
    <row r="496" spans="1:68" ht="14.25" customHeight="1" thickTop="1" x14ac:dyDescent="0.2">
      <c r="A496" s="551" t="s">
        <v>10</v>
      </c>
      <c r="B496" s="549" t="s">
        <v>75</v>
      </c>
      <c r="C496" s="549" t="s">
        <v>113</v>
      </c>
      <c r="D496" s="549" t="s">
        <v>128</v>
      </c>
      <c r="E496" s="549" t="s">
        <v>180</v>
      </c>
      <c r="F496" s="549" t="s">
        <v>201</v>
      </c>
      <c r="G496" s="549" t="s">
        <v>238</v>
      </c>
      <c r="H496" s="549" t="s">
        <v>112</v>
      </c>
      <c r="I496" s="549" t="s">
        <v>276</v>
      </c>
      <c r="J496" s="549" t="s">
        <v>334</v>
      </c>
      <c r="K496" s="549" t="s">
        <v>393</v>
      </c>
      <c r="L496" s="549" t="s">
        <v>432</v>
      </c>
      <c r="M496" s="549" t="s">
        <v>448</v>
      </c>
      <c r="N496" s="1"/>
      <c r="O496" s="549" t="s">
        <v>459</v>
      </c>
      <c r="P496" s="549" t="s">
        <v>468</v>
      </c>
      <c r="Q496" s="549" t="s">
        <v>481</v>
      </c>
      <c r="R496" s="549" t="s">
        <v>555</v>
      </c>
      <c r="S496" s="549" t="s">
        <v>566</v>
      </c>
      <c r="T496" s="549" t="s">
        <v>602</v>
      </c>
      <c r="U496" s="549" t="s">
        <v>619</v>
      </c>
      <c r="V496" s="549" t="s">
        <v>650</v>
      </c>
      <c r="W496" s="549" t="s">
        <v>662</v>
      </c>
      <c r="X496" s="549" t="s">
        <v>666</v>
      </c>
      <c r="Y496" s="549" t="s">
        <v>718</v>
      </c>
      <c r="Z496" s="549" t="s">
        <v>745</v>
      </c>
      <c r="AB496" s="9"/>
      <c r="AC496" s="9"/>
      <c r="AF496" s="1"/>
    </row>
    <row r="497" spans="1:32" ht="13.5" thickBot="1" x14ac:dyDescent="0.25">
      <c r="A497" s="552"/>
      <c r="B497" s="549"/>
      <c r="C497" s="549"/>
      <c r="D497" s="549"/>
      <c r="E497" s="549"/>
      <c r="F497" s="549"/>
      <c r="G497" s="549"/>
      <c r="H497" s="549"/>
      <c r="I497" s="549"/>
      <c r="J497" s="549"/>
      <c r="K497" s="549"/>
      <c r="L497" s="549"/>
      <c r="M497" s="549"/>
      <c r="N497" s="1"/>
      <c r="O497" s="549"/>
      <c r="P497" s="549"/>
      <c r="Q497" s="549"/>
      <c r="R497" s="549"/>
      <c r="S497" s="549"/>
      <c r="T497" s="549"/>
      <c r="U497" s="549"/>
      <c r="V497" s="549"/>
      <c r="W497" s="549"/>
      <c r="X497" s="549"/>
      <c r="Y497" s="549"/>
      <c r="Z497" s="549"/>
      <c r="AB497" s="9"/>
      <c r="AC497" s="9"/>
      <c r="AF497" s="1"/>
    </row>
    <row r="498" spans="1:32" ht="18" thickTop="1" thickBot="1" x14ac:dyDescent="0.25">
      <c r="A498" s="44" t="s">
        <v>13</v>
      </c>
      <c r="B498" s="50">
        <f>IFERROR(Y22*1,"0")+IFERROR(Y23*1,"0")+IFERROR(Y27*1,"0")+IFERROR(Y28*1,"0")+IFERROR(Y29*1,"0")+IFERROR(Y30*1,"0")+IFERROR(Y31*1,"0")+IFERROR(Y32*1,"0")+IFERROR(Y36*1,"0")</f>
        <v>0</v>
      </c>
      <c r="C498" s="50">
        <f>IFERROR(Y42*1,"0")+IFERROR(Y43*1,"0")+IFERROR(Y44*1,"0")+IFERROR(Y48*1,"0")</f>
        <v>518.40000000000009</v>
      </c>
      <c r="D498" s="50">
        <f>IFERROR(Y53*1,"0")+IFERROR(Y54*1,"0")+IFERROR(Y55*1,"0")+IFERROR(Y56*1,"0")+IFERROR(Y57*1,"0")+IFERROR(Y58*1,"0")+IFERROR(Y62*1,"0")+IFERROR(Y63*1,"0")+IFERROR(Y64*1,"0")+IFERROR(Y65*1,"0")+IFERROR(Y69*1,"0")+IFERROR(Y73*1,"0")+IFERROR(Y74*1,"0")+IFERROR(Y75*1,"0")+IFERROR(Y76*1,"0")+IFERROR(Y80*1,"0")+IFERROR(Y81*1,"0")</f>
        <v>646.40000000000009</v>
      </c>
      <c r="E498" s="50">
        <f>IFERROR(Y86*1,"0")+IFERROR(Y87*1,"0")+IFERROR(Y88*1,"0")+IFERROR(Y89*1,"0")+IFERROR(Y93*1,"0")+IFERROR(Y94*1,"0")+IFERROR(Y95*1,"0")+IFERROR(Y96*1,"0")</f>
        <v>426.60000000000008</v>
      </c>
      <c r="F498" s="50">
        <f>IFERROR(Y101*1,"0")+IFERROR(Y102*1,"0")+IFERROR(Y103*1,"0")+IFERROR(Y104*1,"0")+IFERROR(Y105*1,"0")+IFERROR(Y109*1,"0")+IFERROR(Y110*1,"0")+IFERROR(Y111*1,"0")+IFERROR(Y112*1,"0")+IFERROR(Y116*1,"0")+IFERROR(Y117*1,"0")+IFERROR(Y118*1,"0")+IFERROR(Y119*1,"0")+IFERROR(Y123*1,"0")</f>
        <v>810.00000000000011</v>
      </c>
      <c r="G498" s="50">
        <f>IFERROR(Y128*1,"0")+IFERROR(Y129*1,"0")+IFERROR(Y133*1,"0")+IFERROR(Y134*1,"0")+IFERROR(Y138*1,"0")+IFERROR(Y139*1,"0")</f>
        <v>0</v>
      </c>
      <c r="H498" s="50">
        <f>IFERROR(Y144*1,"0")+IFERROR(Y145*1,"0")+IFERROR(Y149*1,"0")+IFERROR(Y150*1,"0")+IFERROR(Y151*1,"0")+IFERROR(Y152*1,"0")+IFERROR(Y153*1,"0")+IFERROR(Y157*1,"0")</f>
        <v>0</v>
      </c>
      <c r="I498" s="50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181*1,"0")+IFERROR(Y185*1,"0")+IFERROR(Y186*1,"0")+IFERROR(Y187*1,"0")+IFERROR(Y191*1,"0")</f>
        <v>289.8</v>
      </c>
      <c r="J498" s="50">
        <f>IFERROR(Y196*1,"0")+IFERROR(Y197*1,"0")+IFERROR(Y201*1,"0")+IFERROR(Y202*1,"0")+IFERROR(Y206*1,"0")+IFERROR(Y207*1,"0")+IFERROR(Y208*1,"0")+IFERROR(Y209*1,"0")+IFERROR(Y210*1,"0")+IFERROR(Y211*1,"0")+IFERROR(Y212*1,"0")+IFERROR(Y213*1,"0")+IFERROR(Y217*1,"0")+IFERROR(Y218*1,"0")+IFERROR(Y219*1,"0")+IFERROR(Y220*1,"0")+IFERROR(Y221*1,"0")+IFERROR(Y222*1,"0")+IFERROR(Y223*1,"0")+IFERROR(Y224*1,"0")+IFERROR(Y225*1,"0")+IFERROR(Y229*1,"0")+IFERROR(Y230*1,"0")</f>
        <v>1404.0000000000002</v>
      </c>
      <c r="K498" s="50">
        <f>IFERROR(Y235*1,"0")+IFERROR(Y236*1,"0")+IFERROR(Y237*1,"0")+IFERROR(Y238*1,"0")+IFERROR(Y239*1,"0")+IFERROR(Y240*1,"0")+IFERROR(Y241*1,"0")+IFERROR(Y245*1,"0")+IFERROR(Y249*1,"0")+IFERROR(Y253*1,"0")+IFERROR(Y254*1,"0")+IFERROR(Y255*1,"0")+IFERROR(Y256*1,"0")+IFERROR(Y257*1,"0")</f>
        <v>0</v>
      </c>
      <c r="L498" s="50">
        <f>IFERROR(Y262*1,"0")+IFERROR(Y263*1,"0")+IFERROR(Y264*1,"0")+IFERROR(Y265*1,"0")+IFERROR(Y266*1,"0")</f>
        <v>0</v>
      </c>
      <c r="M498" s="50">
        <f>IFERROR(Y271*1,"0")+IFERROR(Y272*1,"0")+IFERROR(Y273*1,"0")+IFERROR(Y274*1,"0")</f>
        <v>0</v>
      </c>
      <c r="N498" s="1"/>
      <c r="O498" s="50">
        <f>IFERROR(Y279*1,"0")+IFERROR(Y280*1,"0")+IFERROR(Y281*1,"0")</f>
        <v>115.19999999999999</v>
      </c>
      <c r="P498" s="50">
        <f>IFERROR(Y286*1,"0")+IFERROR(Y287*1,"0")+IFERROR(Y291*1,"0")+IFERROR(Y292*1,"0")</f>
        <v>0</v>
      </c>
      <c r="Q498" s="50">
        <f>IFERROR(Y297*1,"0")+IFERROR(Y298*1,"0")+IFERROR(Y299*1,"0")+IFERROR(Y300*1,"0")+IFERROR(Y301*1,"0")+IFERROR(Y305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768</v>
      </c>
      <c r="R498" s="50">
        <f>IFERROR(Y342*1,"0")+IFERROR(Y343*1,"0")+IFERROR(Y344*1,"0")</f>
        <v>0</v>
      </c>
      <c r="S498" s="50">
        <f>IFERROR(Y350*1,"0")+IFERROR(Y351*1,"0")+IFERROR(Y352*1,"0")+IFERROR(Y353*1,"0")+IFERROR(Y354*1,"0")+IFERROR(Y355*1,"0")+IFERROR(Y356*1,"0")+IFERROR(Y360*1,"0")+IFERROR(Y361*1,"0")+IFERROR(Y365*1,"0")+IFERROR(Y366*1,"0")+IFERROR(Y370*1,"0")</f>
        <v>1518</v>
      </c>
      <c r="T498" s="50">
        <f>IFERROR(Y375*1,"0")+IFERROR(Y376*1,"0")+IFERROR(Y380*1,"0")+IFERROR(Y384*1,"0")+IFERROR(Y385*1,"0")+IFERROR(Y386*1,"0")</f>
        <v>230.39999999999998</v>
      </c>
      <c r="U498" s="50">
        <f>IFERROR(Y392*1,"0")+IFERROR(Y393*1,"0")+IFERROR(Y394*1,"0")+IFERROR(Y395*1,"0")+IFERROR(Y396*1,"0")+IFERROR(Y397*1,"0")+IFERROR(Y398*1,"0")+IFERROR(Y399*1,"0")+IFERROR(Y400*1,"0")+IFERROR(Y404*1,"0")+IFERROR(Y405*1,"0")</f>
        <v>0</v>
      </c>
      <c r="V498" s="50">
        <f>IFERROR(Y410*1,"0")+IFERROR(Y414*1,"0")+IFERROR(Y415*1,"0")+IFERROR(Y416*1,"0")</f>
        <v>0</v>
      </c>
      <c r="W498" s="50">
        <f>IFERROR(Y421*1,"0")</f>
        <v>0</v>
      </c>
      <c r="X498" s="50">
        <f>IFERROR(Y427*1,"0")+IFERROR(Y428*1,"0")+IFERROR(Y429*1,"0")+IFERROR(Y430*1,"0")+IFERROR(Y431*1,"0")+IFERROR(Y432*1,"0")+IFERROR(Y433*1,"0")+IFERROR(Y434*1,"0")+IFERROR(Y435*1,"0")+IFERROR(Y436*1,"0")+IFERROR(Y437*1,"0")+IFERROR(Y438*1,"0")+IFERROR(Y442*1,"0")+IFERROR(Y443*1,"0")+IFERROR(Y444*1,"0")+IFERROR(Y448*1,"0")+IFERROR(Y449*1,"0")+IFERROR(Y450*1,"0")+IFERROR(Y451*1,"0")+IFERROR(Y452*1,"0")+IFERROR(Y453*1,"0")+IFERROR(Y454*1,"0")</f>
        <v>549.12</v>
      </c>
      <c r="Y498" s="50">
        <f>IFERROR(Y460*1,"0")+IFERROR(Y461*1,"0")+IFERROR(Y462*1,"0")+IFERROR(Y463*1,"0")+IFERROR(Y467*1,"0")+IFERROR(Y471*1,"0")+IFERROR(Y475*1,"0")+IFERROR(Y479*1,"0")+IFERROR(Y480*1,"0")</f>
        <v>0</v>
      </c>
      <c r="Z498" s="50">
        <f>IFERROR(Y485*1,"0")</f>
        <v>0</v>
      </c>
      <c r="AB498" s="9"/>
      <c r="AC498" s="9"/>
      <c r="AF498" s="1"/>
    </row>
  </sheetData>
  <sheetProtection algorithmName="SHA-512" hashValue="di+tVTaAcRaHUwAxD8uvYd4+qL4CH/CAXXdYMmirEVEoLS787xVMQAP8TAXXS7AiDXoi9aBhwjxPpYXbpAjAOw==" saltValue="Uw3svY3z4jF+9ewIs78orw==" spinCount="100000" sheet="1" objects="1" scenarios="1" sort="0" autoFilter="0" pivotTables="0"/>
  <autoFilter ref="A18:AF49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74,00"/>
        <filter val="108,00"/>
        <filter val="115,20"/>
        <filter val="120,00"/>
        <filter val="124,80"/>
        <filter val="126,72"/>
        <filter val="129,60"/>
        <filter val="13"/>
        <filter val="144,00"/>
        <filter val="16,00"/>
        <filter val="167,40"/>
        <filter val="172,80"/>
        <filter val="194,40"/>
        <filter val="201,60"/>
        <filter val="211,20"/>
        <filter val="216,00"/>
        <filter val="230,40"/>
        <filter val="24,00"/>
        <filter val="259,20"/>
        <filter val="270,00"/>
        <filter val="28,80"/>
        <filter val="288,00"/>
        <filter val="289,80"/>
        <filter val="291,60"/>
        <filter val="30,00"/>
        <filter val="32,00"/>
        <filter val="32,40"/>
        <filter val="337,92"/>
        <filter val="348,80"/>
        <filter val="360,00"/>
        <filter val="37,80"/>
        <filter val="40,00"/>
        <filter val="417,60"/>
        <filter val="44,00"/>
        <filter val="48,00"/>
        <filter val="480,00"/>
        <filter val="499,20"/>
        <filter val="50,00"/>
        <filter val="50,40"/>
        <filter val="518,40"/>
        <filter val="52,00"/>
        <filter val="583,20"/>
        <filter val="64,00"/>
        <filter val="67,20"/>
        <filter val="7 275,92"/>
        <filter val="7 650,03"/>
        <filter val="7 975,03"/>
        <filter val="750,00"/>
        <filter val="768,00"/>
        <filter val="78,00"/>
        <filter val="820,80"/>
        <filter val="84,48"/>
        <filter val="86,40"/>
        <filter val="89,60"/>
        <filter val="96,00"/>
      </filters>
    </filterColumn>
    <filterColumn colId="29" showButton="0"/>
    <filterColumn colId="30" showButton="0"/>
  </autoFilter>
  <dataConsolidate/>
  <mergeCells count="87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P33:V33"/>
    <mergeCell ref="A33:O34"/>
    <mergeCell ref="P34:V34"/>
    <mergeCell ref="A35:Z35"/>
    <mergeCell ref="D36:E36"/>
    <mergeCell ref="P36:T36"/>
    <mergeCell ref="P37:V37"/>
    <mergeCell ref="A37:O38"/>
    <mergeCell ref="P38:V38"/>
    <mergeCell ref="A39:Z39"/>
    <mergeCell ref="A40:Z40"/>
    <mergeCell ref="A41:Z41"/>
    <mergeCell ref="D42:E42"/>
    <mergeCell ref="P42:T42"/>
    <mergeCell ref="D43:E43"/>
    <mergeCell ref="P43:T43"/>
    <mergeCell ref="D44:E44"/>
    <mergeCell ref="P44:T44"/>
    <mergeCell ref="P45:V45"/>
    <mergeCell ref="A45:O46"/>
    <mergeCell ref="P46:V46"/>
    <mergeCell ref="A47:Z47"/>
    <mergeCell ref="D48:E48"/>
    <mergeCell ref="P48:T48"/>
    <mergeCell ref="P49:V49"/>
    <mergeCell ref="A49:O50"/>
    <mergeCell ref="P50:V50"/>
    <mergeCell ref="A51:Z51"/>
    <mergeCell ref="A52:Z52"/>
    <mergeCell ref="D53:E53"/>
    <mergeCell ref="P53:T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P59:V59"/>
    <mergeCell ref="A59:O60"/>
    <mergeCell ref="P60:V60"/>
    <mergeCell ref="A61:Z61"/>
    <mergeCell ref="D62:E62"/>
    <mergeCell ref="P62:T62"/>
    <mergeCell ref="D63:E63"/>
    <mergeCell ref="P63:T63"/>
    <mergeCell ref="D64:E64"/>
    <mergeCell ref="P64:T64"/>
    <mergeCell ref="D65:E65"/>
    <mergeCell ref="P65:T65"/>
    <mergeCell ref="P66:V66"/>
    <mergeCell ref="A66:O67"/>
    <mergeCell ref="P67:V67"/>
    <mergeCell ref="A68:Z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A85:Z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P106:V106"/>
    <mergeCell ref="A106:O107"/>
    <mergeCell ref="P107:V107"/>
    <mergeCell ref="A108:Z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P130:V130"/>
    <mergeCell ref="A130:O131"/>
    <mergeCell ref="P131:V131"/>
    <mergeCell ref="A132:Z132"/>
    <mergeCell ref="D133:E133"/>
    <mergeCell ref="P133:T133"/>
    <mergeCell ref="D134:E134"/>
    <mergeCell ref="P134:T134"/>
    <mergeCell ref="P135:V135"/>
    <mergeCell ref="A135:O136"/>
    <mergeCell ref="P136:V136"/>
    <mergeCell ref="A137:Z137"/>
    <mergeCell ref="D138:E138"/>
    <mergeCell ref="P138:T138"/>
    <mergeCell ref="D139:E139"/>
    <mergeCell ref="P139:T139"/>
    <mergeCell ref="P140:V140"/>
    <mergeCell ref="A140:O141"/>
    <mergeCell ref="P141:V141"/>
    <mergeCell ref="A142:Z142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P158:V158"/>
    <mergeCell ref="A158:O159"/>
    <mergeCell ref="P159:V159"/>
    <mergeCell ref="A160:Z160"/>
    <mergeCell ref="A161:Z161"/>
    <mergeCell ref="A162:Z162"/>
    <mergeCell ref="D163:E163"/>
    <mergeCell ref="P163:T163"/>
    <mergeCell ref="P164:V164"/>
    <mergeCell ref="A164:O165"/>
    <mergeCell ref="P165:V165"/>
    <mergeCell ref="A166:Z166"/>
    <mergeCell ref="D167:E167"/>
    <mergeCell ref="P167:T167"/>
    <mergeCell ref="D168:E168"/>
    <mergeCell ref="P168:T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82:V182"/>
    <mergeCell ref="A182:O183"/>
    <mergeCell ref="P183:V183"/>
    <mergeCell ref="A184:Z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P203:V203"/>
    <mergeCell ref="A203:O204"/>
    <mergeCell ref="P204:V204"/>
    <mergeCell ref="A205:Z205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P214:V214"/>
    <mergeCell ref="A214:O215"/>
    <mergeCell ref="P215:V215"/>
    <mergeCell ref="A216:Z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D229:E229"/>
    <mergeCell ref="P229:T229"/>
    <mergeCell ref="D230:E230"/>
    <mergeCell ref="P230:T230"/>
    <mergeCell ref="P231:V231"/>
    <mergeCell ref="A231:O232"/>
    <mergeCell ref="P232:V232"/>
    <mergeCell ref="A233:Z233"/>
    <mergeCell ref="A234:Z234"/>
    <mergeCell ref="D235:E235"/>
    <mergeCell ref="P235:T235"/>
    <mergeCell ref="D236:E236"/>
    <mergeCell ref="P236:T236"/>
    <mergeCell ref="D237:E237"/>
    <mergeCell ref="P237:T237"/>
    <mergeCell ref="D238:E238"/>
    <mergeCell ref="P238:T238"/>
    <mergeCell ref="D239:E239"/>
    <mergeCell ref="P239:T239"/>
    <mergeCell ref="D240:E240"/>
    <mergeCell ref="P240:T240"/>
    <mergeCell ref="D241:E241"/>
    <mergeCell ref="P241:T241"/>
    <mergeCell ref="P242:V242"/>
    <mergeCell ref="A242:O243"/>
    <mergeCell ref="P243:V243"/>
    <mergeCell ref="A244:Z244"/>
    <mergeCell ref="D245:E245"/>
    <mergeCell ref="P245:T245"/>
    <mergeCell ref="P246:V246"/>
    <mergeCell ref="A246:O247"/>
    <mergeCell ref="P247:V247"/>
    <mergeCell ref="A248:Z248"/>
    <mergeCell ref="D249:E249"/>
    <mergeCell ref="P249:T249"/>
    <mergeCell ref="P250:V250"/>
    <mergeCell ref="A250:O251"/>
    <mergeCell ref="P251:V251"/>
    <mergeCell ref="A252:Z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A270:Z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P275:V275"/>
    <mergeCell ref="A275:O276"/>
    <mergeCell ref="P276:V276"/>
    <mergeCell ref="A277:Z277"/>
    <mergeCell ref="A278:Z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D306:E306"/>
    <mergeCell ref="P306:T306"/>
    <mergeCell ref="D307:E307"/>
    <mergeCell ref="P307:T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P345:V345"/>
    <mergeCell ref="A345:O346"/>
    <mergeCell ref="P346:V346"/>
    <mergeCell ref="A347:Z347"/>
    <mergeCell ref="A348:Z348"/>
    <mergeCell ref="A349:Z349"/>
    <mergeCell ref="D350:E350"/>
    <mergeCell ref="P350:T350"/>
    <mergeCell ref="D351:E351"/>
    <mergeCell ref="P351:T351"/>
    <mergeCell ref="D352:E352"/>
    <mergeCell ref="P352:T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P357:V357"/>
    <mergeCell ref="A357:O358"/>
    <mergeCell ref="P358:V358"/>
    <mergeCell ref="A359:Z359"/>
    <mergeCell ref="D360:E360"/>
    <mergeCell ref="P360:T360"/>
    <mergeCell ref="D361:E361"/>
    <mergeCell ref="P361:T361"/>
    <mergeCell ref="P362:V362"/>
    <mergeCell ref="A362:O363"/>
    <mergeCell ref="P363:V363"/>
    <mergeCell ref="A364:Z364"/>
    <mergeCell ref="D365:E365"/>
    <mergeCell ref="P365:T365"/>
    <mergeCell ref="D366:E366"/>
    <mergeCell ref="P366:T366"/>
    <mergeCell ref="P367:V367"/>
    <mergeCell ref="A367:O368"/>
    <mergeCell ref="P368:V368"/>
    <mergeCell ref="A369:Z369"/>
    <mergeCell ref="D370:E370"/>
    <mergeCell ref="P370:T370"/>
    <mergeCell ref="P371:V371"/>
    <mergeCell ref="A371:O372"/>
    <mergeCell ref="P372:V372"/>
    <mergeCell ref="A373:Z373"/>
    <mergeCell ref="A374:Z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A391:Z391"/>
    <mergeCell ref="D392:E392"/>
    <mergeCell ref="P392:T392"/>
    <mergeCell ref="D393:E393"/>
    <mergeCell ref="P393:T393"/>
    <mergeCell ref="D394:E394"/>
    <mergeCell ref="P394:T394"/>
    <mergeCell ref="D395:E395"/>
    <mergeCell ref="P395:T395"/>
    <mergeCell ref="D396:E396"/>
    <mergeCell ref="P396:T396"/>
    <mergeCell ref="D397:E397"/>
    <mergeCell ref="P397:T397"/>
    <mergeCell ref="D398:E398"/>
    <mergeCell ref="P398:T398"/>
    <mergeCell ref="D399:E399"/>
    <mergeCell ref="P399:T399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P406:V406"/>
    <mergeCell ref="A406:O407"/>
    <mergeCell ref="P407:V407"/>
    <mergeCell ref="A408:Z408"/>
    <mergeCell ref="A409:Z409"/>
    <mergeCell ref="D410:E410"/>
    <mergeCell ref="P410:T410"/>
    <mergeCell ref="P411:V411"/>
    <mergeCell ref="A411:O412"/>
    <mergeCell ref="P412:V412"/>
    <mergeCell ref="A413:Z413"/>
    <mergeCell ref="D414:E414"/>
    <mergeCell ref="P414:T414"/>
    <mergeCell ref="D415:E415"/>
    <mergeCell ref="P415:T415"/>
    <mergeCell ref="D416:E416"/>
    <mergeCell ref="P416:T416"/>
    <mergeCell ref="P417:V417"/>
    <mergeCell ref="A417:O418"/>
    <mergeCell ref="P418:V418"/>
    <mergeCell ref="A419:Z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A426:Z426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D448:E448"/>
    <mergeCell ref="P448:T448"/>
    <mergeCell ref="D449:E449"/>
    <mergeCell ref="P449:T449"/>
    <mergeCell ref="D450:E450"/>
    <mergeCell ref="P450:T450"/>
    <mergeCell ref="D451:E451"/>
    <mergeCell ref="P451:T451"/>
    <mergeCell ref="D452:E452"/>
    <mergeCell ref="P452:T452"/>
    <mergeCell ref="D453:E453"/>
    <mergeCell ref="P453:T453"/>
    <mergeCell ref="D454:E454"/>
    <mergeCell ref="P454:T454"/>
    <mergeCell ref="P455:V455"/>
    <mergeCell ref="A455:O456"/>
    <mergeCell ref="P456:V456"/>
    <mergeCell ref="A457:Z457"/>
    <mergeCell ref="A458:Z458"/>
    <mergeCell ref="A459:Z459"/>
    <mergeCell ref="D460:E460"/>
    <mergeCell ref="P460:T460"/>
    <mergeCell ref="D461:E461"/>
    <mergeCell ref="P461:T461"/>
    <mergeCell ref="D462:E462"/>
    <mergeCell ref="P462:T462"/>
    <mergeCell ref="D463:E463"/>
    <mergeCell ref="P463:T463"/>
    <mergeCell ref="P464:V464"/>
    <mergeCell ref="A464:O465"/>
    <mergeCell ref="P465:V465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D479:E479"/>
    <mergeCell ref="P479:T479"/>
    <mergeCell ref="D480:E480"/>
    <mergeCell ref="P480:T480"/>
    <mergeCell ref="P481:V481"/>
    <mergeCell ref="A481:O482"/>
    <mergeCell ref="P482:V482"/>
    <mergeCell ref="A483:Z483"/>
    <mergeCell ref="A484:Z484"/>
    <mergeCell ref="D485:E485"/>
    <mergeCell ref="P485:T485"/>
    <mergeCell ref="P486:V486"/>
    <mergeCell ref="A486:O487"/>
    <mergeCell ref="P487:V487"/>
    <mergeCell ref="P488:V488"/>
    <mergeCell ref="A488:O493"/>
    <mergeCell ref="P489:V489"/>
    <mergeCell ref="P490:V490"/>
    <mergeCell ref="P491:V491"/>
    <mergeCell ref="P492:V492"/>
    <mergeCell ref="P493:V493"/>
    <mergeCell ref="A496:A497"/>
    <mergeCell ref="B496:B497"/>
    <mergeCell ref="C496:C497"/>
    <mergeCell ref="D496:D497"/>
    <mergeCell ref="E496:E497"/>
    <mergeCell ref="F496:F497"/>
    <mergeCell ref="G496:G497"/>
    <mergeCell ref="H496:H497"/>
    <mergeCell ref="I496:I497"/>
    <mergeCell ref="U496:U497"/>
    <mergeCell ref="V496:V497"/>
    <mergeCell ref="W496:W497"/>
    <mergeCell ref="X496:X497"/>
    <mergeCell ref="Y496:Y497"/>
    <mergeCell ref="Z496:Z497"/>
    <mergeCell ref="C495:H495"/>
    <mergeCell ref="I495:R495"/>
    <mergeCell ref="S495:T495"/>
    <mergeCell ref="U495:W495"/>
    <mergeCell ref="Y495:Z495"/>
    <mergeCell ref="J496:J497"/>
    <mergeCell ref="K496:K497"/>
    <mergeCell ref="L496:L497"/>
    <mergeCell ref="M496:M497"/>
    <mergeCell ref="O496:O497"/>
    <mergeCell ref="P496:P497"/>
    <mergeCell ref="Q496:Q497"/>
    <mergeCell ref="R496:R497"/>
    <mergeCell ref="S496:S497"/>
    <mergeCell ref="T496:T497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5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749</v>
      </c>
      <c r="H1" s="9"/>
    </row>
    <row r="3" spans="2:8" x14ac:dyDescent="0.2">
      <c r="B3" s="51" t="s">
        <v>750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751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752</v>
      </c>
      <c r="C6" s="51" t="s">
        <v>753</v>
      </c>
      <c r="D6" s="51" t="s">
        <v>754</v>
      </c>
      <c r="E6" s="51" t="s">
        <v>45</v>
      </c>
    </row>
    <row r="7" spans="2:8" x14ac:dyDescent="0.2">
      <c r="B7" s="51" t="s">
        <v>755</v>
      </c>
      <c r="C7" s="51" t="s">
        <v>756</v>
      </c>
      <c r="D7" s="51" t="s">
        <v>757</v>
      </c>
      <c r="E7" s="51" t="s">
        <v>45</v>
      </c>
    </row>
    <row r="8" spans="2:8" x14ac:dyDescent="0.2">
      <c r="B8" s="51" t="s">
        <v>758</v>
      </c>
      <c r="C8" s="51" t="s">
        <v>759</v>
      </c>
      <c r="D8" s="51" t="s">
        <v>760</v>
      </c>
      <c r="E8" s="51" t="s">
        <v>45</v>
      </c>
    </row>
    <row r="9" spans="2:8" x14ac:dyDescent="0.2">
      <c r="B9" s="51" t="s">
        <v>761</v>
      </c>
      <c r="C9" s="51" t="s">
        <v>762</v>
      </c>
      <c r="D9" s="51" t="s">
        <v>763</v>
      </c>
      <c r="E9" s="51" t="s">
        <v>45</v>
      </c>
    </row>
    <row r="10" spans="2:8" x14ac:dyDescent="0.2">
      <c r="B10" s="51" t="s">
        <v>764</v>
      </c>
      <c r="C10" s="51" t="s">
        <v>765</v>
      </c>
      <c r="D10" s="51" t="s">
        <v>766</v>
      </c>
      <c r="E10" s="51" t="s">
        <v>45</v>
      </c>
    </row>
    <row r="11" spans="2:8" x14ac:dyDescent="0.2">
      <c r="B11" s="51" t="s">
        <v>767</v>
      </c>
      <c r="C11" s="51" t="s">
        <v>768</v>
      </c>
      <c r="D11" s="51" t="s">
        <v>769</v>
      </c>
      <c r="E11" s="51" t="s">
        <v>45</v>
      </c>
    </row>
    <row r="13" spans="2:8" x14ac:dyDescent="0.2">
      <c r="B13" s="51" t="s">
        <v>770</v>
      </c>
      <c r="C13" s="51" t="s">
        <v>753</v>
      </c>
      <c r="D13" s="51" t="s">
        <v>45</v>
      </c>
      <c r="E13" s="51" t="s">
        <v>45</v>
      </c>
    </row>
    <row r="15" spans="2:8" x14ac:dyDescent="0.2">
      <c r="B15" s="51" t="s">
        <v>771</v>
      </c>
      <c r="C15" s="51" t="s">
        <v>756</v>
      </c>
      <c r="D15" s="51" t="s">
        <v>45</v>
      </c>
      <c r="E15" s="51" t="s">
        <v>45</v>
      </c>
    </row>
    <row r="17" spans="2:5" x14ac:dyDescent="0.2">
      <c r="B17" s="51" t="s">
        <v>772</v>
      </c>
      <c r="C17" s="51" t="s">
        <v>759</v>
      </c>
      <c r="D17" s="51" t="s">
        <v>45</v>
      </c>
      <c r="E17" s="51" t="s">
        <v>45</v>
      </c>
    </row>
    <row r="19" spans="2:5" x14ac:dyDescent="0.2">
      <c r="B19" s="51" t="s">
        <v>773</v>
      </c>
      <c r="C19" s="51" t="s">
        <v>762</v>
      </c>
      <c r="D19" s="51" t="s">
        <v>45</v>
      </c>
      <c r="E19" s="51" t="s">
        <v>45</v>
      </c>
    </row>
    <row r="21" spans="2:5" x14ac:dyDescent="0.2">
      <c r="B21" s="51" t="s">
        <v>774</v>
      </c>
      <c r="C21" s="51" t="s">
        <v>765</v>
      </c>
      <c r="D21" s="51" t="s">
        <v>45</v>
      </c>
      <c r="E21" s="51" t="s">
        <v>45</v>
      </c>
    </row>
    <row r="23" spans="2:5" x14ac:dyDescent="0.2">
      <c r="B23" s="51" t="s">
        <v>775</v>
      </c>
      <c r="C23" s="51" t="s">
        <v>768</v>
      </c>
      <c r="D23" s="51" t="s">
        <v>45</v>
      </c>
      <c r="E23" s="51" t="s">
        <v>45</v>
      </c>
    </row>
    <row r="25" spans="2:5" x14ac:dyDescent="0.2">
      <c r="B25" s="51" t="s">
        <v>776</v>
      </c>
      <c r="C25" s="51" t="s">
        <v>45</v>
      </c>
      <c r="D25" s="51" t="s">
        <v>45</v>
      </c>
      <c r="E25" s="51" t="s">
        <v>45</v>
      </c>
    </row>
    <row r="26" spans="2:5" x14ac:dyDescent="0.2">
      <c r="B26" s="51" t="s">
        <v>777</v>
      </c>
      <c r="C26" s="51" t="s">
        <v>45</v>
      </c>
      <c r="D26" s="51" t="s">
        <v>45</v>
      </c>
      <c r="E26" s="51" t="s">
        <v>45</v>
      </c>
    </row>
    <row r="27" spans="2:5" x14ac:dyDescent="0.2">
      <c r="B27" s="51" t="s">
        <v>778</v>
      </c>
      <c r="C27" s="51" t="s">
        <v>45</v>
      </c>
      <c r="D27" s="51" t="s">
        <v>45</v>
      </c>
      <c r="E27" s="51" t="s">
        <v>45</v>
      </c>
    </row>
    <row r="28" spans="2:5" x14ac:dyDescent="0.2">
      <c r="B28" s="51" t="s">
        <v>779</v>
      </c>
      <c r="C28" s="51" t="s">
        <v>45</v>
      </c>
      <c r="D28" s="51" t="s">
        <v>45</v>
      </c>
      <c r="E28" s="51" t="s">
        <v>45</v>
      </c>
    </row>
    <row r="29" spans="2:5" x14ac:dyDescent="0.2">
      <c r="B29" s="51" t="s">
        <v>780</v>
      </c>
      <c r="C29" s="51" t="s">
        <v>45</v>
      </c>
      <c r="D29" s="51" t="s">
        <v>45</v>
      </c>
      <c r="E29" s="51" t="s">
        <v>45</v>
      </c>
    </row>
    <row r="30" spans="2:5" x14ac:dyDescent="0.2">
      <c r="B30" s="51" t="s">
        <v>781</v>
      </c>
      <c r="C30" s="51" t="s">
        <v>45</v>
      </c>
      <c r="D30" s="51" t="s">
        <v>45</v>
      </c>
      <c r="E30" s="51" t="s">
        <v>45</v>
      </c>
    </row>
    <row r="31" spans="2:5" x14ac:dyDescent="0.2">
      <c r="B31" s="51" t="s">
        <v>782</v>
      </c>
      <c r="C31" s="51" t="s">
        <v>45</v>
      </c>
      <c r="D31" s="51" t="s">
        <v>45</v>
      </c>
      <c r="E31" s="51" t="s">
        <v>45</v>
      </c>
    </row>
    <row r="32" spans="2:5" x14ac:dyDescent="0.2">
      <c r="B32" s="51" t="s">
        <v>783</v>
      </c>
      <c r="C32" s="51" t="s">
        <v>45</v>
      </c>
      <c r="D32" s="51" t="s">
        <v>45</v>
      </c>
      <c r="E32" s="51" t="s">
        <v>45</v>
      </c>
    </row>
    <row r="33" spans="2:5" x14ac:dyDescent="0.2">
      <c r="B33" s="51" t="s">
        <v>784</v>
      </c>
      <c r="C33" s="51" t="s">
        <v>45</v>
      </c>
      <c r="D33" s="51" t="s">
        <v>45</v>
      </c>
      <c r="E33" s="51" t="s">
        <v>45</v>
      </c>
    </row>
    <row r="34" spans="2:5" x14ac:dyDescent="0.2">
      <c r="B34" s="51" t="s">
        <v>785</v>
      </c>
      <c r="C34" s="51" t="s">
        <v>45</v>
      </c>
      <c r="D34" s="51" t="s">
        <v>45</v>
      </c>
      <c r="E34" s="51" t="s">
        <v>45</v>
      </c>
    </row>
    <row r="35" spans="2:5" x14ac:dyDescent="0.2">
      <c r="B35" s="51" t="s">
        <v>786</v>
      </c>
      <c r="C35" s="51" t="s">
        <v>45</v>
      </c>
      <c r="D35" s="51" t="s">
        <v>45</v>
      </c>
      <c r="E35" s="51" t="s">
        <v>45</v>
      </c>
    </row>
  </sheetData>
  <sheetProtection algorithmName="SHA-512" hashValue="rUBZpmWgPkYoUOcRvaAb5SpYzB0gk+KmhMzzyPNh+dt5zBqzEGJeTZUnwxvFcAIoGvIe8iDeZm/5xzgRy97FPQ==" saltValue="x13ks848JhQQb7o9Kl0mf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987</vt:i4>
      </vt:variant>
    </vt:vector>
  </HeadingPairs>
  <TitlesOfParts>
    <vt:vector size="98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cp:lastPrinted>2026-05-07T10:03:18Z</cp:lastPrinted>
  <dcterms:created xsi:type="dcterms:W3CDTF">2021-11-12T12:13:19Z</dcterms:created>
  <dcterms:modified xsi:type="dcterms:W3CDTF">2026-09-09T07:27:34Z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