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194F1A9-60B2-41B0-91A0-9B4E57FFBDC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73" i="1" l="1"/>
  <c r="X562" i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Y556" i="1"/>
  <c r="X556" i="1"/>
  <c r="BP555" i="1"/>
  <c r="BO555" i="1"/>
  <c r="BN555" i="1"/>
  <c r="BM555" i="1"/>
  <c r="Z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P440" i="1" s="1"/>
  <c r="P440" i="1"/>
  <c r="BP439" i="1"/>
  <c r="BO439" i="1"/>
  <c r="BN439" i="1"/>
  <c r="BM439" i="1"/>
  <c r="Z439" i="1"/>
  <c r="Y439" i="1"/>
  <c r="P439" i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P435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BP428" i="1" s="1"/>
  <c r="P428" i="1"/>
  <c r="BP427" i="1"/>
  <c r="BO427" i="1"/>
  <c r="BN427" i="1"/>
  <c r="BM427" i="1"/>
  <c r="Z427" i="1"/>
  <c r="Y427" i="1"/>
  <c r="P427" i="1"/>
  <c r="X424" i="1"/>
  <c r="X423" i="1"/>
  <c r="BP422" i="1"/>
  <c r="BO422" i="1"/>
  <c r="BN422" i="1"/>
  <c r="BM422" i="1"/>
  <c r="Z422" i="1"/>
  <c r="Y422" i="1"/>
  <c r="P422" i="1"/>
  <c r="BO421" i="1"/>
  <c r="BM421" i="1"/>
  <c r="Y421" i="1"/>
  <c r="U573" i="1" s="1"/>
  <c r="P421" i="1"/>
  <c r="X418" i="1"/>
  <c r="X417" i="1"/>
  <c r="BO416" i="1"/>
  <c r="BM416" i="1"/>
  <c r="Y416" i="1"/>
  <c r="BP416" i="1" s="1"/>
  <c r="P416" i="1"/>
  <c r="BP415" i="1"/>
  <c r="BO415" i="1"/>
  <c r="BN415" i="1"/>
  <c r="BM415" i="1"/>
  <c r="Z415" i="1"/>
  <c r="Y415" i="1"/>
  <c r="P415" i="1"/>
  <c r="BO414" i="1"/>
  <c r="BM414" i="1"/>
  <c r="Y414" i="1"/>
  <c r="Y417" i="1" s="1"/>
  <c r="P414" i="1"/>
  <c r="X412" i="1"/>
  <c r="X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Y411" i="1" s="1"/>
  <c r="P408" i="1"/>
  <c r="X406" i="1"/>
  <c r="X405" i="1"/>
  <c r="BO404" i="1"/>
  <c r="BM404" i="1"/>
  <c r="Y404" i="1"/>
  <c r="BP404" i="1" s="1"/>
  <c r="P404" i="1"/>
  <c r="BP403" i="1"/>
  <c r="BO403" i="1"/>
  <c r="BN403" i="1"/>
  <c r="BM403" i="1"/>
  <c r="Z403" i="1"/>
  <c r="Y403" i="1"/>
  <c r="P403" i="1"/>
  <c r="BO402" i="1"/>
  <c r="BM402" i="1"/>
  <c r="Y402" i="1"/>
  <c r="BP402" i="1" s="1"/>
  <c r="P402" i="1"/>
  <c r="BP401" i="1"/>
  <c r="BO401" i="1"/>
  <c r="BN401" i="1"/>
  <c r="BM401" i="1"/>
  <c r="Z401" i="1"/>
  <c r="Y401" i="1"/>
  <c r="Y405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Y399" i="1" s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Y393" i="1" s="1"/>
  <c r="P388" i="1"/>
  <c r="X386" i="1"/>
  <c r="X385" i="1"/>
  <c r="BO384" i="1"/>
  <c r="BM384" i="1"/>
  <c r="Y384" i="1"/>
  <c r="BP384" i="1" s="1"/>
  <c r="P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Y385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P373" i="1"/>
  <c r="BO372" i="1"/>
  <c r="BM372" i="1"/>
  <c r="Y372" i="1"/>
  <c r="BP372" i="1" s="1"/>
  <c r="P372" i="1"/>
  <c r="BP371" i="1"/>
  <c r="BO371" i="1"/>
  <c r="BN371" i="1"/>
  <c r="BM371" i="1"/>
  <c r="Z371" i="1"/>
  <c r="Y371" i="1"/>
  <c r="P371" i="1"/>
  <c r="BO370" i="1"/>
  <c r="BM370" i="1"/>
  <c r="Y370" i="1"/>
  <c r="T573" i="1" s="1"/>
  <c r="P370" i="1"/>
  <c r="X367" i="1"/>
  <c r="X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S573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Y339" i="1" s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Y329" i="1" s="1"/>
  <c r="P327" i="1"/>
  <c r="BP326" i="1"/>
  <c r="BO326" i="1"/>
  <c r="BN326" i="1"/>
  <c r="BM326" i="1"/>
  <c r="Z326" i="1"/>
  <c r="Y326" i="1"/>
  <c r="P326" i="1"/>
  <c r="X324" i="1"/>
  <c r="Y323" i="1"/>
  <c r="X323" i="1"/>
  <c r="BP322" i="1"/>
  <c r="BO322" i="1"/>
  <c r="BN322" i="1"/>
  <c r="BM322" i="1"/>
  <c r="Z322" i="1"/>
  <c r="Z323" i="1" s="1"/>
  <c r="Y322" i="1"/>
  <c r="Y324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Y304" i="1" s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9" i="1" s="1"/>
  <c r="P287" i="1"/>
  <c r="X285" i="1"/>
  <c r="X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Y285" i="1" s="1"/>
  <c r="P276" i="1"/>
  <c r="X274" i="1"/>
  <c r="X273" i="1"/>
  <c r="BO272" i="1"/>
  <c r="BM272" i="1"/>
  <c r="Y272" i="1"/>
  <c r="Y274" i="1" s="1"/>
  <c r="P272" i="1"/>
  <c r="BP271" i="1"/>
  <c r="BO271" i="1"/>
  <c r="BN271" i="1"/>
  <c r="BM271" i="1"/>
  <c r="Z271" i="1"/>
  <c r="Y271" i="1"/>
  <c r="Y273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M573" i="1" s="1"/>
  <c r="P266" i="1"/>
  <c r="X263" i="1"/>
  <c r="X262" i="1"/>
  <c r="BO261" i="1"/>
  <c r="BM261" i="1"/>
  <c r="Y261" i="1"/>
  <c r="Y263" i="1" s="1"/>
  <c r="P261" i="1"/>
  <c r="X259" i="1"/>
  <c r="X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Y259" i="1" s="1"/>
  <c r="P255" i="1"/>
  <c r="X253" i="1"/>
  <c r="X252" i="1"/>
  <c r="BO251" i="1"/>
  <c r="BM251" i="1"/>
  <c r="Y251" i="1"/>
  <c r="BP251" i="1" s="1"/>
  <c r="P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Y253" i="1" s="1"/>
  <c r="P247" i="1"/>
  <c r="X245" i="1"/>
  <c r="X244" i="1"/>
  <c r="BO243" i="1"/>
  <c r="BM243" i="1"/>
  <c r="Y243" i="1"/>
  <c r="BP243" i="1" s="1"/>
  <c r="P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Y245" i="1" s="1"/>
  <c r="P231" i="1"/>
  <c r="BP230" i="1"/>
  <c r="BO230" i="1"/>
  <c r="BN230" i="1"/>
  <c r="BM230" i="1"/>
  <c r="Z230" i="1"/>
  <c r="Y230" i="1"/>
  <c r="Y244" i="1" s="1"/>
  <c r="P230" i="1"/>
  <c r="X228" i="1"/>
  <c r="Y227" i="1"/>
  <c r="X227" i="1"/>
  <c r="BP226" i="1"/>
  <c r="BO226" i="1"/>
  <c r="BN226" i="1"/>
  <c r="BM226" i="1"/>
  <c r="Z226" i="1"/>
  <c r="Z227" i="1" s="1"/>
  <c r="Y226" i="1"/>
  <c r="P226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2" i="1" s="1"/>
  <c r="P216" i="1"/>
  <c r="BP215" i="1"/>
  <c r="BO215" i="1"/>
  <c r="BN215" i="1"/>
  <c r="BM215" i="1"/>
  <c r="Z215" i="1"/>
  <c r="Y215" i="1"/>
  <c r="P215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2" i="1" s="1"/>
  <c r="P200" i="1"/>
  <c r="BP199" i="1"/>
  <c r="BO199" i="1"/>
  <c r="BN199" i="1"/>
  <c r="BM199" i="1"/>
  <c r="Z199" i="1"/>
  <c r="Y199" i="1"/>
  <c r="Y203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BP194" i="1" s="1"/>
  <c r="P194" i="1"/>
  <c r="BP193" i="1"/>
  <c r="BO193" i="1"/>
  <c r="BN193" i="1"/>
  <c r="BM193" i="1"/>
  <c r="Z193" i="1"/>
  <c r="Y193" i="1"/>
  <c r="BP192" i="1"/>
  <c r="BO192" i="1"/>
  <c r="BN192" i="1"/>
  <c r="BM192" i="1"/>
  <c r="Z192" i="1"/>
  <c r="Y192" i="1"/>
  <c r="P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BP189" i="1" s="1"/>
  <c r="BO188" i="1"/>
  <c r="BM188" i="1"/>
  <c r="Y188" i="1"/>
  <c r="BP188" i="1" s="1"/>
  <c r="P188" i="1"/>
  <c r="BP187" i="1"/>
  <c r="BO187" i="1"/>
  <c r="BN187" i="1"/>
  <c r="BM187" i="1"/>
  <c r="Z187" i="1"/>
  <c r="Y187" i="1"/>
  <c r="BP186" i="1"/>
  <c r="BO186" i="1"/>
  <c r="BN186" i="1"/>
  <c r="BM186" i="1"/>
  <c r="Z186" i="1"/>
  <c r="Y186" i="1"/>
  <c r="P186" i="1"/>
  <c r="BO185" i="1"/>
  <c r="BM185" i="1"/>
  <c r="Y185" i="1"/>
  <c r="BP185" i="1" s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96" i="1" s="1"/>
  <c r="P182" i="1"/>
  <c r="X180" i="1"/>
  <c r="X179" i="1"/>
  <c r="BO178" i="1"/>
  <c r="BM178" i="1"/>
  <c r="Y178" i="1"/>
  <c r="Y180" i="1" s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Y174" i="1" s="1"/>
  <c r="P172" i="1"/>
  <c r="BP171" i="1"/>
  <c r="BO171" i="1"/>
  <c r="BN171" i="1"/>
  <c r="BM171" i="1"/>
  <c r="Z171" i="1"/>
  <c r="Y171" i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X148" i="1"/>
  <c r="X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BO134" i="1"/>
  <c r="BM134" i="1"/>
  <c r="Y134" i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P128" i="1"/>
  <c r="BO128" i="1"/>
  <c r="BN128" i="1"/>
  <c r="BM128" i="1"/>
  <c r="Z128" i="1"/>
  <c r="Y128" i="1"/>
  <c r="BP127" i="1"/>
  <c r="BO127" i="1"/>
  <c r="BN127" i="1"/>
  <c r="BM127" i="1"/>
  <c r="Z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Y131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Y121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1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BO77" i="1"/>
  <c r="BM77" i="1"/>
  <c r="Y77" i="1"/>
  <c r="Y82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E573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63" i="1" s="1"/>
  <c r="X24" i="1"/>
  <c r="BP23" i="1"/>
  <c r="BO23" i="1"/>
  <c r="BN23" i="1"/>
  <c r="BM23" i="1"/>
  <c r="Z23" i="1"/>
  <c r="Y23" i="1"/>
  <c r="P23" i="1"/>
  <c r="BO22" i="1"/>
  <c r="X565" i="1" s="1"/>
  <c r="BM22" i="1"/>
  <c r="X564" i="1" s="1"/>
  <c r="X566" i="1" s="1"/>
  <c r="Y22" i="1"/>
  <c r="B573" i="1" s="1"/>
  <c r="P22" i="1"/>
  <c r="H10" i="1"/>
  <c r="A9" i="1"/>
  <c r="F10" i="1" s="1"/>
  <c r="D7" i="1"/>
  <c r="Q6" i="1"/>
  <c r="P2" i="1"/>
  <c r="Z90" i="1" l="1"/>
  <c r="Z131" i="1"/>
  <c r="H9" i="1"/>
  <c r="A10" i="1"/>
  <c r="Y24" i="1"/>
  <c r="Y32" i="1"/>
  <c r="Y42" i="1"/>
  <c r="Y52" i="1"/>
  <c r="Y61" i="1"/>
  <c r="Y69" i="1"/>
  <c r="Y75" i="1"/>
  <c r="Y81" i="1"/>
  <c r="Y91" i="1"/>
  <c r="Y100" i="1"/>
  <c r="Y112" i="1"/>
  <c r="Y120" i="1"/>
  <c r="Y132" i="1"/>
  <c r="Y136" i="1"/>
  <c r="BP134" i="1"/>
  <c r="BN134" i="1"/>
  <c r="Z134" i="1"/>
  <c r="BP146" i="1"/>
  <c r="BN146" i="1"/>
  <c r="Z146" i="1"/>
  <c r="Z147" i="1" s="1"/>
  <c r="Y148" i="1"/>
  <c r="Y153" i="1"/>
  <c r="BP150" i="1"/>
  <c r="BN150" i="1"/>
  <c r="Z150" i="1"/>
  <c r="Z152" i="1" s="1"/>
  <c r="BP159" i="1"/>
  <c r="BN159" i="1"/>
  <c r="Z159" i="1"/>
  <c r="Y163" i="1"/>
  <c r="Z174" i="1"/>
  <c r="F9" i="1"/>
  <c r="J9" i="1"/>
  <c r="Z22" i="1"/>
  <c r="Z24" i="1" s="1"/>
  <c r="BN22" i="1"/>
  <c r="BP22" i="1"/>
  <c r="X567" i="1"/>
  <c r="Y25" i="1"/>
  <c r="Z28" i="1"/>
  <c r="Z32" i="1" s="1"/>
  <c r="BN28" i="1"/>
  <c r="Z30" i="1"/>
  <c r="BN30" i="1"/>
  <c r="C573" i="1"/>
  <c r="Z38" i="1"/>
  <c r="Z42" i="1" s="1"/>
  <c r="BN38" i="1"/>
  <c r="Z40" i="1"/>
  <c r="BN40" i="1"/>
  <c r="Y43" i="1"/>
  <c r="D573" i="1"/>
  <c r="Z48" i="1"/>
  <c r="Z51" i="1" s="1"/>
  <c r="BN48" i="1"/>
  <c r="Z50" i="1"/>
  <c r="BN50" i="1"/>
  <c r="Y51" i="1"/>
  <c r="Z55" i="1"/>
  <c r="Z61" i="1" s="1"/>
  <c r="BN55" i="1"/>
  <c r="BP55" i="1"/>
  <c r="Z57" i="1"/>
  <c r="BN57" i="1"/>
  <c r="Z59" i="1"/>
  <c r="BN59" i="1"/>
  <c r="Y62" i="1"/>
  <c r="Z65" i="1"/>
  <c r="Z68" i="1" s="1"/>
  <c r="BN65" i="1"/>
  <c r="Z67" i="1"/>
  <c r="BN67" i="1"/>
  <c r="Z71" i="1"/>
  <c r="Z74" i="1" s="1"/>
  <c r="BN71" i="1"/>
  <c r="BP71" i="1"/>
  <c r="Z73" i="1"/>
  <c r="BN73" i="1"/>
  <c r="Z77" i="1"/>
  <c r="BN77" i="1"/>
  <c r="BP77" i="1"/>
  <c r="Z79" i="1"/>
  <c r="BN79" i="1"/>
  <c r="F573" i="1"/>
  <c r="Z86" i="1"/>
  <c r="BN86" i="1"/>
  <c r="Z87" i="1"/>
  <c r="BN87" i="1"/>
  <c r="Z89" i="1"/>
  <c r="BN89" i="1"/>
  <c r="Y90" i="1"/>
  <c r="Z93" i="1"/>
  <c r="Z100" i="1" s="1"/>
  <c r="BN93" i="1"/>
  <c r="BP93" i="1"/>
  <c r="Z94" i="1"/>
  <c r="BN94" i="1"/>
  <c r="Z97" i="1"/>
  <c r="BN97" i="1"/>
  <c r="Z98" i="1"/>
  <c r="BN98" i="1"/>
  <c r="G573" i="1"/>
  <c r="Z105" i="1"/>
  <c r="Z112" i="1" s="1"/>
  <c r="BN105" i="1"/>
  <c r="Z107" i="1"/>
  <c r="BN107" i="1"/>
  <c r="Z109" i="1"/>
  <c r="BN109" i="1"/>
  <c r="Z110" i="1"/>
  <c r="BN110" i="1"/>
  <c r="Y113" i="1"/>
  <c r="Z116" i="1"/>
  <c r="Z120" i="1" s="1"/>
  <c r="BN116" i="1"/>
  <c r="Z118" i="1"/>
  <c r="BN118" i="1"/>
  <c r="Z125" i="1"/>
  <c r="BN125" i="1"/>
  <c r="Z126" i="1"/>
  <c r="BN126" i="1"/>
  <c r="Z129" i="1"/>
  <c r="BN129" i="1"/>
  <c r="Z130" i="1"/>
  <c r="BN130" i="1"/>
  <c r="BP135" i="1"/>
  <c r="BN135" i="1"/>
  <c r="Z135" i="1"/>
  <c r="Y137" i="1"/>
  <c r="H573" i="1"/>
  <c r="Y143" i="1"/>
  <c r="BP140" i="1"/>
  <c r="BN140" i="1"/>
  <c r="Z140" i="1"/>
  <c r="Z142" i="1" s="1"/>
  <c r="Y147" i="1"/>
  <c r="Y152" i="1"/>
  <c r="BP157" i="1"/>
  <c r="BN157" i="1"/>
  <c r="Z157" i="1"/>
  <c r="BP161" i="1"/>
  <c r="BN161" i="1"/>
  <c r="Z161" i="1"/>
  <c r="Z163" i="1" s="1"/>
  <c r="I573" i="1"/>
  <c r="Y164" i="1"/>
  <c r="J573" i="1"/>
  <c r="Z172" i="1"/>
  <c r="BN172" i="1"/>
  <c r="BP172" i="1"/>
  <c r="Y175" i="1"/>
  <c r="Z178" i="1"/>
  <c r="Z179" i="1" s="1"/>
  <c r="BN178" i="1"/>
  <c r="BP178" i="1"/>
  <c r="Z182" i="1"/>
  <c r="Z196" i="1" s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Y197" i="1"/>
  <c r="Z200" i="1"/>
  <c r="Z202" i="1" s="1"/>
  <c r="BN200" i="1"/>
  <c r="BP200" i="1"/>
  <c r="K573" i="1"/>
  <c r="Z216" i="1"/>
  <c r="Z222" i="1" s="1"/>
  <c r="BN216" i="1"/>
  <c r="BP216" i="1"/>
  <c r="Z218" i="1"/>
  <c r="BN218" i="1"/>
  <c r="Z220" i="1"/>
  <c r="BN220" i="1"/>
  <c r="Y223" i="1"/>
  <c r="L573" i="1"/>
  <c r="Y228" i="1"/>
  <c r="Z231" i="1"/>
  <c r="Z244" i="1" s="1"/>
  <c r="BN231" i="1"/>
  <c r="BP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Z247" i="1"/>
  <c r="BN247" i="1"/>
  <c r="BP247" i="1"/>
  <c r="Z249" i="1"/>
  <c r="BN249" i="1"/>
  <c r="Z251" i="1"/>
  <c r="BN251" i="1"/>
  <c r="Y252" i="1"/>
  <c r="Z255" i="1"/>
  <c r="BN255" i="1"/>
  <c r="BP255" i="1"/>
  <c r="Z257" i="1"/>
  <c r="BN257" i="1"/>
  <c r="Y258" i="1"/>
  <c r="Z261" i="1"/>
  <c r="Z262" i="1" s="1"/>
  <c r="BN261" i="1"/>
  <c r="BP261" i="1"/>
  <c r="Y262" i="1"/>
  <c r="Z266" i="1"/>
  <c r="Z268" i="1" s="1"/>
  <c r="BN266" i="1"/>
  <c r="BP266" i="1"/>
  <c r="Y269" i="1"/>
  <c r="Z272" i="1"/>
  <c r="Z273" i="1" s="1"/>
  <c r="BN272" i="1"/>
  <c r="BP272" i="1"/>
  <c r="Z276" i="1"/>
  <c r="Z284" i="1" s="1"/>
  <c r="BN276" i="1"/>
  <c r="BP276" i="1"/>
  <c r="Z278" i="1"/>
  <c r="BN278" i="1"/>
  <c r="Z280" i="1"/>
  <c r="BN280" i="1"/>
  <c r="Z282" i="1"/>
  <c r="BN282" i="1"/>
  <c r="BP288" i="1"/>
  <c r="BN288" i="1"/>
  <c r="Z288" i="1"/>
  <c r="BP292" i="1"/>
  <c r="BN292" i="1"/>
  <c r="Z292" i="1"/>
  <c r="BP296" i="1"/>
  <c r="BN296" i="1"/>
  <c r="Z296" i="1"/>
  <c r="BP309" i="1"/>
  <c r="BN309" i="1"/>
  <c r="Z309" i="1"/>
  <c r="BP313" i="1"/>
  <c r="BN313" i="1"/>
  <c r="Z313" i="1"/>
  <c r="Z315" i="1" s="1"/>
  <c r="Y330" i="1"/>
  <c r="Z338" i="1"/>
  <c r="BP334" i="1"/>
  <c r="BN334" i="1"/>
  <c r="Z334" i="1"/>
  <c r="Y338" i="1"/>
  <c r="BP343" i="1"/>
  <c r="BN343" i="1"/>
  <c r="Z343" i="1"/>
  <c r="Z345" i="1" s="1"/>
  <c r="Z430" i="1"/>
  <c r="Y268" i="1"/>
  <c r="Y284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Z304" i="1" s="1"/>
  <c r="BP311" i="1"/>
  <c r="BN311" i="1"/>
  <c r="Z311" i="1"/>
  <c r="Y315" i="1"/>
  <c r="BP327" i="1"/>
  <c r="BN327" i="1"/>
  <c r="Z327" i="1"/>
  <c r="Z329" i="1" s="1"/>
  <c r="BP336" i="1"/>
  <c r="BN336" i="1"/>
  <c r="Z336" i="1"/>
  <c r="Z354" i="1"/>
  <c r="Y354" i="1"/>
  <c r="Y360" i="1"/>
  <c r="Y367" i="1"/>
  <c r="Y376" i="1"/>
  <c r="Y386" i="1"/>
  <c r="Y392" i="1"/>
  <c r="Y398" i="1"/>
  <c r="Y406" i="1"/>
  <c r="Y412" i="1"/>
  <c r="Y418" i="1"/>
  <c r="Y423" i="1"/>
  <c r="Y430" i="1"/>
  <c r="BP448" i="1"/>
  <c r="BN448" i="1"/>
  <c r="Z448" i="1"/>
  <c r="Y450" i="1"/>
  <c r="Y455" i="1"/>
  <c r="BP452" i="1"/>
  <c r="BN452" i="1"/>
  <c r="Z452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Z476" i="1" s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P573" i="1"/>
  <c r="X573" i="1"/>
  <c r="O573" i="1"/>
  <c r="Y316" i="1"/>
  <c r="Q573" i="1"/>
  <c r="Y346" i="1"/>
  <c r="R573" i="1"/>
  <c r="Z350" i="1"/>
  <c r="BN350" i="1"/>
  <c r="Z352" i="1"/>
  <c r="BN352" i="1"/>
  <c r="Y355" i="1"/>
  <c r="Z358" i="1"/>
  <c r="Z359" i="1" s="1"/>
  <c r="BN358" i="1"/>
  <c r="Z363" i="1"/>
  <c r="Z366" i="1" s="1"/>
  <c r="BN363" i="1"/>
  <c r="BP363" i="1"/>
  <c r="Z365" i="1"/>
  <c r="BN365" i="1"/>
  <c r="Y366" i="1"/>
  <c r="Z370" i="1"/>
  <c r="Z375" i="1" s="1"/>
  <c r="BN370" i="1"/>
  <c r="BP370" i="1"/>
  <c r="Z372" i="1"/>
  <c r="BN372" i="1"/>
  <c r="Z374" i="1"/>
  <c r="BN374" i="1"/>
  <c r="Y375" i="1"/>
  <c r="Z378" i="1"/>
  <c r="Z385" i="1" s="1"/>
  <c r="BN378" i="1"/>
  <c r="BP378" i="1"/>
  <c r="Z380" i="1"/>
  <c r="BN380" i="1"/>
  <c r="Z382" i="1"/>
  <c r="BN382" i="1"/>
  <c r="Z384" i="1"/>
  <c r="BN384" i="1"/>
  <c r="Z388" i="1"/>
  <c r="BN388" i="1"/>
  <c r="BP388" i="1"/>
  <c r="Z390" i="1"/>
  <c r="BN390" i="1"/>
  <c r="Z396" i="1"/>
  <c r="Z398" i="1" s="1"/>
  <c r="BN396" i="1"/>
  <c r="Z402" i="1"/>
  <c r="Z405" i="1" s="1"/>
  <c r="BN402" i="1"/>
  <c r="Z404" i="1"/>
  <c r="BN404" i="1"/>
  <c r="Z408" i="1"/>
  <c r="Z411" i="1" s="1"/>
  <c r="BN408" i="1"/>
  <c r="BP408" i="1"/>
  <c r="Z410" i="1"/>
  <c r="BN410" i="1"/>
  <c r="Z414" i="1"/>
  <c r="BN414" i="1"/>
  <c r="BP414" i="1"/>
  <c r="Z416" i="1"/>
  <c r="BN416" i="1"/>
  <c r="Z421" i="1"/>
  <c r="Z423" i="1" s="1"/>
  <c r="BN421" i="1"/>
  <c r="BP421" i="1"/>
  <c r="Y424" i="1"/>
  <c r="V573" i="1"/>
  <c r="Z428" i="1"/>
  <c r="BN428" i="1"/>
  <c r="Y431" i="1"/>
  <c r="W573" i="1"/>
  <c r="Y443" i="1"/>
  <c r="Z436" i="1"/>
  <c r="Z443" i="1" s="1"/>
  <c r="BN436" i="1"/>
  <c r="Z438" i="1"/>
  <c r="BN438" i="1"/>
  <c r="Z440" i="1"/>
  <c r="BN440" i="1"/>
  <c r="BP442" i="1"/>
  <c r="BN442" i="1"/>
  <c r="Z442" i="1"/>
  <c r="Y444" i="1"/>
  <c r="Y449" i="1"/>
  <c r="BP446" i="1"/>
  <c r="BN446" i="1"/>
  <c r="Z446" i="1"/>
  <c r="BP454" i="1"/>
  <c r="BN454" i="1"/>
  <c r="Z454" i="1"/>
  <c r="Y456" i="1"/>
  <c r="Y461" i="1"/>
  <c r="BP458" i="1"/>
  <c r="BN458" i="1"/>
  <c r="Z458" i="1"/>
  <c r="Z460" i="1" s="1"/>
  <c r="Y466" i="1"/>
  <c r="BP475" i="1"/>
  <c r="BN475" i="1"/>
  <c r="Z475" i="1"/>
  <c r="Y477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503" i="1" l="1"/>
  <c r="Y564" i="1"/>
  <c r="Z517" i="1"/>
  <c r="Z487" i="1"/>
  <c r="Z449" i="1"/>
  <c r="Z417" i="1"/>
  <c r="Z392" i="1"/>
  <c r="Z533" i="1"/>
  <c r="Z455" i="1"/>
  <c r="Z299" i="1"/>
  <c r="Z258" i="1"/>
  <c r="Z252" i="1"/>
  <c r="Z81" i="1"/>
  <c r="Z568" i="1" s="1"/>
  <c r="Y563" i="1"/>
  <c r="Y565" i="1"/>
  <c r="Z136" i="1"/>
  <c r="Y567" i="1"/>
  <c r="Y566" i="1" l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<sst xmlns="http://schemas.openxmlformats.org/spreadsheetml/2006/main" count="2588" uniqueCount="926">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</sst>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0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0"/>
      <c r="F1" s="690"/>
      <c r="G1" s="12" t="s">
        <v>1</v>
      </c>
      <c r="H1" s="741" t="s">
        <v>2</v>
      </c>
      <c r="I1" s="690"/>
      <c r="J1" s="690"/>
      <c r="K1" s="690"/>
      <c r="L1" s="690"/>
      <c r="M1" s="690"/>
      <c r="N1" s="690"/>
      <c r="O1" s="690"/>
      <c r="P1" s="690"/>
      <c r="Q1" s="690"/>
      <c r="R1" s="689" t="s">
        <v>3</v>
      </c>
      <c r="S1" s="690"/>
      <c r="T1" s="6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5"/>
      <c r="Q3" s="665"/>
      <c r="R3" s="665"/>
      <c r="S3" s="665"/>
      <c r="T3" s="665"/>
      <c r="U3" s="665"/>
      <c r="V3" s="665"/>
      <c r="W3" s="665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5" t="s">
        <v>8</v>
      </c>
      <c r="B5" s="710"/>
      <c r="C5" s="711"/>
      <c r="D5" s="747"/>
      <c r="E5" s="748"/>
      <c r="F5" s="979" t="s">
        <v>9</v>
      </c>
      <c r="G5" s="711"/>
      <c r="H5" s="747"/>
      <c r="I5" s="917"/>
      <c r="J5" s="917"/>
      <c r="K5" s="917"/>
      <c r="L5" s="917"/>
      <c r="M5" s="748"/>
      <c r="N5" s="58"/>
      <c r="P5" s="24" t="s">
        <v>10</v>
      </c>
      <c r="Q5" s="996">
        <v>46272</v>
      </c>
      <c r="R5" s="793"/>
      <c r="T5" s="840" t="s">
        <v>11</v>
      </c>
      <c r="U5" s="824"/>
      <c r="V5" s="843" t="s">
        <v>12</v>
      </c>
      <c r="W5" s="793"/>
      <c r="AB5" s="51"/>
      <c r="AC5" s="51"/>
      <c r="AD5" s="51"/>
      <c r="AE5" s="51"/>
    </row>
    <row r="6" spans="1:32" s="645" customFormat="1" ht="24" customHeight="1" x14ac:dyDescent="0.2">
      <c r="A6" s="795" t="s">
        <v>13</v>
      </c>
      <c r="B6" s="710"/>
      <c r="C6" s="711"/>
      <c r="D6" s="920"/>
      <c r="E6" s="921"/>
      <c r="F6" s="921"/>
      <c r="G6" s="921"/>
      <c r="H6" s="921"/>
      <c r="I6" s="921"/>
      <c r="J6" s="921"/>
      <c r="K6" s="921"/>
      <c r="L6" s="921"/>
      <c r="M6" s="793"/>
      <c r="N6" s="59"/>
      <c r="P6" s="24" t="s">
        <v>14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48" t="s">
        <v>15</v>
      </c>
      <c r="U6" s="824"/>
      <c r="V6" s="974" t="s">
        <v>16</v>
      </c>
      <c r="W6" s="707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17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65"/>
      <c r="U7" s="824"/>
      <c r="V7" s="975"/>
      <c r="W7" s="976"/>
      <c r="AB7" s="51"/>
      <c r="AC7" s="51"/>
      <c r="AD7" s="51"/>
      <c r="AE7" s="51"/>
    </row>
    <row r="8" spans="1:32" s="645" customFormat="1" ht="25.5" customHeight="1" x14ac:dyDescent="0.2">
      <c r="A8" s="1024" t="s">
        <v>17</v>
      </c>
      <c r="B8" s="670"/>
      <c r="C8" s="671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804">
        <v>0.41666666666666669</v>
      </c>
      <c r="R8" s="719"/>
      <c r="T8" s="665"/>
      <c r="U8" s="824"/>
      <c r="V8" s="975"/>
      <c r="W8" s="976"/>
      <c r="AB8" s="51"/>
      <c r="AC8" s="51"/>
      <c r="AD8" s="51"/>
      <c r="AE8" s="51"/>
    </row>
    <row r="9" spans="1:32" s="645" customFormat="1" ht="39.950000000000003" customHeight="1" x14ac:dyDescent="0.2">
      <c r="A9" s="8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814"/>
      <c r="E9" s="673"/>
      <c r="F9" s="8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43"/>
      <c r="P9" s="26" t="s">
        <v>19</v>
      </c>
      <c r="Q9" s="788"/>
      <c r="R9" s="789"/>
      <c r="T9" s="665"/>
      <c r="U9" s="824"/>
      <c r="V9" s="977"/>
      <c r="W9" s="978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814"/>
      <c r="E10" s="673"/>
      <c r="F10" s="8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892" t="str">
        <f>IFERROR(VLOOKUP($D$10,Proxy,2,FALSE),"")</f>
        <v/>
      </c>
      <c r="I10" s="665"/>
      <c r="J10" s="665"/>
      <c r="K10" s="665"/>
      <c r="L10" s="665"/>
      <c r="M10" s="665"/>
      <c r="N10" s="644"/>
      <c r="P10" s="26" t="s">
        <v>20</v>
      </c>
      <c r="Q10" s="849"/>
      <c r="R10" s="850"/>
      <c r="U10" s="24" t="s">
        <v>21</v>
      </c>
      <c r="V10" s="706" t="s">
        <v>22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42" t="s">
        <v>26</v>
      </c>
      <c r="W11" s="789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6" t="s">
        <v>27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62"/>
      <c r="P12" s="24" t="s">
        <v>28</v>
      </c>
      <c r="Q12" s="804"/>
      <c r="R12" s="719"/>
      <c r="S12" s="23"/>
      <c r="U12" s="24"/>
      <c r="V12" s="690"/>
      <c r="W12" s="665"/>
      <c r="AB12" s="51"/>
      <c r="AC12" s="51"/>
      <c r="AD12" s="51"/>
      <c r="AE12" s="51"/>
    </row>
    <row r="13" spans="1:32" s="645" customFormat="1" ht="23.25" customHeight="1" x14ac:dyDescent="0.2">
      <c r="A13" s="836" t="s">
        <v>29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62"/>
      <c r="O13" s="26"/>
      <c r="P13" s="26" t="s">
        <v>30</v>
      </c>
      <c r="Q13" s="942"/>
      <c r="R13" s="78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6" t="s">
        <v>31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4" t="s">
        <v>32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63"/>
      <c r="P15" s="825" t="s">
        <v>33</v>
      </c>
      <c r="Q15" s="690"/>
      <c r="R15" s="690"/>
      <c r="S15" s="690"/>
      <c r="T15" s="6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6"/>
      <c r="Q16" s="826"/>
      <c r="R16" s="826"/>
      <c r="S16" s="826"/>
      <c r="T16" s="8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10" t="s">
        <v>36</v>
      </c>
      <c r="D17" s="701" t="s">
        <v>37</v>
      </c>
      <c r="E17" s="770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9"/>
      <c r="R17" s="769"/>
      <c r="S17" s="769"/>
      <c r="T17" s="770"/>
      <c r="U17" s="1023" t="s">
        <v>49</v>
      </c>
      <c r="V17" s="711"/>
      <c r="W17" s="701" t="s">
        <v>50</v>
      </c>
      <c r="X17" s="701" t="s">
        <v>51</v>
      </c>
      <c r="Y17" s="1020" t="s">
        <v>52</v>
      </c>
      <c r="Z17" s="915" t="s">
        <v>53</v>
      </c>
      <c r="AA17" s="893" t="s">
        <v>54</v>
      </c>
      <c r="AB17" s="893" t="s">
        <v>55</v>
      </c>
      <c r="AC17" s="893" t="s">
        <v>56</v>
      </c>
      <c r="AD17" s="893" t="s">
        <v>57</v>
      </c>
      <c r="AE17" s="969"/>
      <c r="AF17" s="970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71"/>
      <c r="E18" s="773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71"/>
      <c r="Q18" s="772"/>
      <c r="R18" s="772"/>
      <c r="S18" s="772"/>
      <c r="T18" s="773"/>
      <c r="U18" s="67" t="s">
        <v>59</v>
      </c>
      <c r="V18" s="67" t="s">
        <v>60</v>
      </c>
      <c r="W18" s="702"/>
      <c r="X18" s="702"/>
      <c r="Y18" s="1021"/>
      <c r="Z18" s="916"/>
      <c r="AA18" s="894"/>
      <c r="AB18" s="894"/>
      <c r="AC18" s="894"/>
      <c r="AD18" s="971"/>
      <c r="AE18" s="972"/>
      <c r="AF18" s="973"/>
      <c r="AG18" s="66"/>
      <c r="BD18" s="65"/>
    </row>
    <row r="19" spans="1:68" ht="27.75" customHeight="1" x14ac:dyDescent="0.2">
      <c r="A19" s="666" t="s">
        <v>61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customHeight="1" x14ac:dyDescent="0.25">
      <c r="A20" s="664" t="s">
        <v>61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46"/>
      <c r="AB20" s="646"/>
      <c r="AC20" s="646"/>
    </row>
    <row r="21" spans="1:68" ht="14.25" customHeight="1" x14ac:dyDescent="0.25">
      <c r="A21" s="668" t="s">
        <v>62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47"/>
      <c r="AB21" s="647"/>
      <c r="AC21" s="647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84"/>
      <c r="B24" s="665"/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85"/>
      <c r="P24" s="669" t="s">
        <v>72</v>
      </c>
      <c r="Q24" s="670"/>
      <c r="R24" s="670"/>
      <c r="S24" s="670"/>
      <c r="T24" s="670"/>
      <c r="U24" s="670"/>
      <c r="V24" s="67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x14ac:dyDescent="0.2">
      <c r="A25" s="665"/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85"/>
      <c r="P25" s="669" t="s">
        <v>72</v>
      </c>
      <c r="Q25" s="670"/>
      <c r="R25" s="670"/>
      <c r="S25" s="670"/>
      <c r="T25" s="670"/>
      <c r="U25" s="670"/>
      <c r="V25" s="67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customHeight="1" x14ac:dyDescent="0.25">
      <c r="A26" s="668" t="s">
        <v>74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47"/>
      <c r="AB26" s="647"/>
      <c r="AC26" s="647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4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85"/>
      <c r="P32" s="669" t="s">
        <v>72</v>
      </c>
      <c r="Q32" s="670"/>
      <c r="R32" s="670"/>
      <c r="S32" s="670"/>
      <c r="T32" s="670"/>
      <c r="U32" s="670"/>
      <c r="V32" s="671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x14ac:dyDescent="0.2">
      <c r="A33" s="665"/>
      <c r="B33" s="665"/>
      <c r="C33" s="665"/>
      <c r="D33" s="665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85"/>
      <c r="P33" s="669" t="s">
        <v>72</v>
      </c>
      <c r="Q33" s="670"/>
      <c r="R33" s="670"/>
      <c r="S33" s="670"/>
      <c r="T33" s="670"/>
      <c r="U33" s="670"/>
      <c r="V33" s="671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customHeight="1" x14ac:dyDescent="0.2">
      <c r="A34" s="666" t="s">
        <v>92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customHeight="1" x14ac:dyDescent="0.25">
      <c r="A35" s="664" t="s">
        <v>93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46"/>
      <c r="AB35" s="646"/>
      <c r="AC35" s="646"/>
    </row>
    <row r="36" spans="1:68" ht="14.25" customHeight="1" x14ac:dyDescent="0.25">
      <c r="A36" s="668" t="s">
        <v>74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47"/>
      <c r="AB36" s="647"/>
      <c r="AC36" s="647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84"/>
      <c r="B42" s="665"/>
      <c r="C42" s="665"/>
      <c r="D42" s="665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85"/>
      <c r="P42" s="669" t="s">
        <v>72</v>
      </c>
      <c r="Q42" s="670"/>
      <c r="R42" s="670"/>
      <c r="S42" s="670"/>
      <c r="T42" s="670"/>
      <c r="U42" s="670"/>
      <c r="V42" s="67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x14ac:dyDescent="0.2">
      <c r="A43" s="665"/>
      <c r="B43" s="665"/>
      <c r="C43" s="665"/>
      <c r="D43" s="665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85"/>
      <c r="P43" s="669" t="s">
        <v>72</v>
      </c>
      <c r="Q43" s="670"/>
      <c r="R43" s="670"/>
      <c r="S43" s="670"/>
      <c r="T43" s="670"/>
      <c r="U43" s="670"/>
      <c r="V43" s="67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customHeight="1" x14ac:dyDescent="0.2">
      <c r="A44" s="666" t="s">
        <v>109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customHeight="1" x14ac:dyDescent="0.25">
      <c r="A45" s="664" t="s">
        <v>110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46"/>
      <c r="AB45" s="646"/>
      <c r="AC45" s="646"/>
    </row>
    <row r="46" spans="1:68" ht="14.25" customHeight="1" x14ac:dyDescent="0.25">
      <c r="A46" s="668" t="s">
        <v>111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328</v>
      </c>
      <c r="Y47" s="652">
        <f>IFERROR(IF(X47="",0,CEILING((X47/$H47),1)*$H47),"")</f>
        <v>334.8</v>
      </c>
      <c r="Z47" s="36">
        <f>IFERROR(IF(Y47=0,"",ROUNDUP(Y47/H47,0)*0.01898),"")</f>
        <v>0.58838000000000001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340.45185185185181</v>
      </c>
      <c r="BN47" s="64">
        <f>IFERROR(Y47*I47/H47,"0")</f>
        <v>347.51000000000005</v>
      </c>
      <c r="BO47" s="64">
        <f>IFERROR(1/J47*(X47/H47),"0")</f>
        <v>0.47453703703703698</v>
      </c>
      <c r="BP47" s="64">
        <f>IFERROR(1/J47*(Y47/H47),"0")</f>
        <v>0.484375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84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85"/>
      <c r="P51" s="669" t="s">
        <v>72</v>
      </c>
      <c r="Q51" s="670"/>
      <c r="R51" s="670"/>
      <c r="S51" s="670"/>
      <c r="T51" s="670"/>
      <c r="U51" s="670"/>
      <c r="V51" s="671"/>
      <c r="W51" s="37" t="s">
        <v>73</v>
      </c>
      <c r="X51" s="653">
        <f>IFERROR(X47/H47,"0")+IFERROR(X48/H48,"0")+IFERROR(X49/H49,"0")+IFERROR(X50/H50,"0")</f>
        <v>30.370370370370367</v>
      </c>
      <c r="Y51" s="653">
        <f>IFERROR(Y47/H47,"0")+IFERROR(Y48/H48,"0")+IFERROR(Y49/H49,"0")+IFERROR(Y50/H50,"0")</f>
        <v>31</v>
      </c>
      <c r="Z51" s="653">
        <f>IFERROR(IF(Z47="",0,Z47),"0")+IFERROR(IF(Z48="",0,Z48),"0")+IFERROR(IF(Z49="",0,Z49),"0")+IFERROR(IF(Z50="",0,Z50),"0")</f>
        <v>0.58838000000000001</v>
      </c>
      <c r="AA51" s="654"/>
      <c r="AB51" s="654"/>
      <c r="AC51" s="654"/>
    </row>
    <row r="52" spans="1:68" x14ac:dyDescent="0.2">
      <c r="A52" s="665"/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85"/>
      <c r="P52" s="669" t="s">
        <v>72</v>
      </c>
      <c r="Q52" s="670"/>
      <c r="R52" s="670"/>
      <c r="S52" s="670"/>
      <c r="T52" s="670"/>
      <c r="U52" s="670"/>
      <c r="V52" s="671"/>
      <c r="W52" s="37" t="s">
        <v>67</v>
      </c>
      <c r="X52" s="653">
        <f>IFERROR(SUM(X47:X50),"0")</f>
        <v>328</v>
      </c>
      <c r="Y52" s="653">
        <f>IFERROR(SUM(Y47:Y50),"0")</f>
        <v>334.8</v>
      </c>
      <c r="Z52" s="37"/>
      <c r="AA52" s="654"/>
      <c r="AB52" s="654"/>
      <c r="AC52" s="654"/>
    </row>
    <row r="53" spans="1:68" ht="16.5" customHeight="1" x14ac:dyDescent="0.25">
      <c r="A53" s="664" t="s">
        <v>126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46"/>
      <c r="AB53" s="646"/>
      <c r="AC53" s="646"/>
    </row>
    <row r="54" spans="1:68" ht="14.25" customHeight="1" x14ac:dyDescent="0.25">
      <c r="A54" s="668" t="s">
        <v>111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518</v>
      </c>
      <c r="Y56" s="652">
        <f t="shared" si="0"/>
        <v>518.40000000000009</v>
      </c>
      <c r="Z56" s="36">
        <f>IFERROR(IF(Y56=0,"",ROUNDUP(Y56/H56,0)*0.01898),"")</f>
        <v>0.91104000000000007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537.6648148148148</v>
      </c>
      <c r="BN56" s="64">
        <f t="shared" si="2"/>
        <v>538.08000000000004</v>
      </c>
      <c r="BO56" s="64">
        <f t="shared" si="3"/>
        <v>0.74942129629629628</v>
      </c>
      <c r="BP56" s="64">
        <f t="shared" si="4"/>
        <v>0.75000000000000011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8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84"/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85"/>
      <c r="P61" s="669" t="s">
        <v>72</v>
      </c>
      <c r="Q61" s="670"/>
      <c r="R61" s="670"/>
      <c r="S61" s="670"/>
      <c r="T61" s="670"/>
      <c r="U61" s="670"/>
      <c r="V61" s="671"/>
      <c r="W61" s="37" t="s">
        <v>73</v>
      </c>
      <c r="X61" s="653">
        <f>IFERROR(X55/H55,"0")+IFERROR(X56/H56,"0")+IFERROR(X57/H57,"0")+IFERROR(X58/H58,"0")+IFERROR(X59/H59,"0")+IFERROR(X60/H60,"0")</f>
        <v>47.962962962962962</v>
      </c>
      <c r="Y61" s="653">
        <f>IFERROR(Y55/H55,"0")+IFERROR(Y56/H56,"0")+IFERROR(Y57/H57,"0")+IFERROR(Y58/H58,"0")+IFERROR(Y59/H59,"0")+IFERROR(Y60/H60,"0")</f>
        <v>48.000000000000007</v>
      </c>
      <c r="Z61" s="653">
        <f>IFERROR(IF(Z55="",0,Z55),"0")+IFERROR(IF(Z56="",0,Z56),"0")+IFERROR(IF(Z57="",0,Z57),"0")+IFERROR(IF(Z58="",0,Z58),"0")+IFERROR(IF(Z59="",0,Z59),"0")+IFERROR(IF(Z60="",0,Z60),"0")</f>
        <v>0.91104000000000007</v>
      </c>
      <c r="AA61" s="654"/>
      <c r="AB61" s="654"/>
      <c r="AC61" s="654"/>
    </row>
    <row r="62" spans="1:68" x14ac:dyDescent="0.2">
      <c r="A62" s="665"/>
      <c r="B62" s="665"/>
      <c r="C62" s="665"/>
      <c r="D62" s="665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85"/>
      <c r="P62" s="669" t="s">
        <v>72</v>
      </c>
      <c r="Q62" s="670"/>
      <c r="R62" s="670"/>
      <c r="S62" s="670"/>
      <c r="T62" s="670"/>
      <c r="U62" s="670"/>
      <c r="V62" s="671"/>
      <c r="W62" s="37" t="s">
        <v>67</v>
      </c>
      <c r="X62" s="653">
        <f>IFERROR(SUM(X55:X60),"0")</f>
        <v>518</v>
      </c>
      <c r="Y62" s="653">
        <f>IFERROR(SUM(Y55:Y60),"0")</f>
        <v>518.40000000000009</v>
      </c>
      <c r="Z62" s="37"/>
      <c r="AA62" s="654"/>
      <c r="AB62" s="654"/>
      <c r="AC62" s="654"/>
    </row>
    <row r="63" spans="1:68" ht="14.25" customHeight="1" x14ac:dyDescent="0.25">
      <c r="A63" s="668" t="s">
        <v>144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4"/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85"/>
      <c r="P68" s="669" t="s">
        <v>72</v>
      </c>
      <c r="Q68" s="670"/>
      <c r="R68" s="670"/>
      <c r="S68" s="670"/>
      <c r="T68" s="670"/>
      <c r="U68" s="670"/>
      <c r="V68" s="67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x14ac:dyDescent="0.2">
      <c r="A69" s="665"/>
      <c r="B69" s="665"/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85"/>
      <c r="P69" s="669" t="s">
        <v>72</v>
      </c>
      <c r="Q69" s="670"/>
      <c r="R69" s="670"/>
      <c r="S69" s="670"/>
      <c r="T69" s="670"/>
      <c r="U69" s="670"/>
      <c r="V69" s="67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customHeight="1" x14ac:dyDescent="0.25">
      <c r="A70" s="668" t="s">
        <v>74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84"/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85"/>
      <c r="P74" s="669" t="s">
        <v>72</v>
      </c>
      <c r="Q74" s="670"/>
      <c r="R74" s="670"/>
      <c r="S74" s="670"/>
      <c r="T74" s="670"/>
      <c r="U74" s="670"/>
      <c r="V74" s="67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x14ac:dyDescent="0.2">
      <c r="A75" s="665"/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85"/>
      <c r="P75" s="669" t="s">
        <v>72</v>
      </c>
      <c r="Q75" s="670"/>
      <c r="R75" s="670"/>
      <c r="S75" s="670"/>
      <c r="T75" s="670"/>
      <c r="U75" s="670"/>
      <c r="V75" s="67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customHeight="1" x14ac:dyDescent="0.25">
      <c r="A76" s="668" t="s">
        <v>162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84"/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85"/>
      <c r="P81" s="669" t="s">
        <v>72</v>
      </c>
      <c r="Q81" s="670"/>
      <c r="R81" s="670"/>
      <c r="S81" s="670"/>
      <c r="T81" s="670"/>
      <c r="U81" s="670"/>
      <c r="V81" s="67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x14ac:dyDescent="0.2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85"/>
      <c r="P82" s="669" t="s">
        <v>72</v>
      </c>
      <c r="Q82" s="670"/>
      <c r="R82" s="670"/>
      <c r="S82" s="670"/>
      <c r="T82" s="670"/>
      <c r="U82" s="670"/>
      <c r="V82" s="67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customHeight="1" x14ac:dyDescent="0.25">
      <c r="A83" s="664" t="s">
        <v>171</v>
      </c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46"/>
      <c r="AB83" s="646"/>
      <c r="AC83" s="646"/>
    </row>
    <row r="84" spans="1:68" ht="14.25" customHeight="1" x14ac:dyDescent="0.25">
      <c r="A84" s="668" t="s">
        <v>111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647</v>
      </c>
      <c r="Y85" s="652">
        <f>IFERROR(IF(X85="",0,CEILING((X85/$H85),1)*$H85),"")</f>
        <v>648</v>
      </c>
      <c r="Z85" s="36">
        <f>IFERROR(IF(Y85=0,"",ROUNDUP(Y85/H85,0)*0.01898),"")</f>
        <v>1.1388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671.56203703703704</v>
      </c>
      <c r="BN85" s="64">
        <f>IFERROR(Y85*I85/H85,"0")</f>
        <v>672.6</v>
      </c>
      <c r="BO85" s="64">
        <f>IFERROR(1/J85*(X85/H85),"0")</f>
        <v>0.9360532407407407</v>
      </c>
      <c r="BP85" s="64">
        <f>IFERROR(1/J85*(Y85/H85),"0")</f>
        <v>0.93749999999999989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4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87</v>
      </c>
      <c r="Y89" s="652">
        <f>IFERROR(IF(X89="",0,CEILING((X89/$H89),1)*$H89),"")</f>
        <v>90</v>
      </c>
      <c r="Z89" s="36">
        <f>IFERROR(IF(Y89=0,"",ROUNDUP(Y89/H89,0)*0.00902),"")</f>
        <v>0.1804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90.673333333333346</v>
      </c>
      <c r="BN89" s="64">
        <f>IFERROR(Y89*I89/H89,"0")</f>
        <v>93.800000000000011</v>
      </c>
      <c r="BO89" s="64">
        <f>IFERROR(1/J89*(X89/H89),"0")</f>
        <v>0.14646464646464646</v>
      </c>
      <c r="BP89" s="64">
        <f>IFERROR(1/J89*(Y89/H89),"0")</f>
        <v>0.15151515151515152</v>
      </c>
    </row>
    <row r="90" spans="1:68" x14ac:dyDescent="0.2">
      <c r="A90" s="684"/>
      <c r="B90" s="665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85"/>
      <c r="P90" s="669" t="s">
        <v>72</v>
      </c>
      <c r="Q90" s="670"/>
      <c r="R90" s="670"/>
      <c r="S90" s="670"/>
      <c r="T90" s="670"/>
      <c r="U90" s="670"/>
      <c r="V90" s="671"/>
      <c r="W90" s="37" t="s">
        <v>73</v>
      </c>
      <c r="X90" s="653">
        <f>IFERROR(X85/H85,"0")+IFERROR(X86/H86,"0")+IFERROR(X87/H87,"0")+IFERROR(X88/H88,"0")+IFERROR(X89/H89,"0")</f>
        <v>79.240740740740733</v>
      </c>
      <c r="Y90" s="653">
        <f>IFERROR(Y85/H85,"0")+IFERROR(Y86/H86,"0")+IFERROR(Y87/H87,"0")+IFERROR(Y88/H88,"0")+IFERROR(Y89/H89,"0")</f>
        <v>80</v>
      </c>
      <c r="Z90" s="653">
        <f>IFERROR(IF(Z85="",0,Z85),"0")+IFERROR(IF(Z86="",0,Z86),"0")+IFERROR(IF(Z87="",0,Z87),"0")+IFERROR(IF(Z88="",0,Z88),"0")+IFERROR(IF(Z89="",0,Z89),"0")</f>
        <v>1.3191999999999999</v>
      </c>
      <c r="AA90" s="654"/>
      <c r="AB90" s="654"/>
      <c r="AC90" s="654"/>
    </row>
    <row r="91" spans="1:68" x14ac:dyDescent="0.2">
      <c r="A91" s="665"/>
      <c r="B91" s="665"/>
      <c r="C91" s="665"/>
      <c r="D91" s="665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85"/>
      <c r="P91" s="669" t="s">
        <v>72</v>
      </c>
      <c r="Q91" s="670"/>
      <c r="R91" s="670"/>
      <c r="S91" s="670"/>
      <c r="T91" s="670"/>
      <c r="U91" s="670"/>
      <c r="V91" s="671"/>
      <c r="W91" s="37" t="s">
        <v>67</v>
      </c>
      <c r="X91" s="653">
        <f>IFERROR(SUM(X85:X89),"0")</f>
        <v>734</v>
      </c>
      <c r="Y91" s="653">
        <f>IFERROR(SUM(Y85:Y89),"0")</f>
        <v>738</v>
      </c>
      <c r="Z91" s="37"/>
      <c r="AA91" s="654"/>
      <c r="AB91" s="654"/>
      <c r="AC91" s="654"/>
    </row>
    <row r="92" spans="1:68" ht="14.25" customHeight="1" x14ac:dyDescent="0.25">
      <c r="A92" s="668" t="s">
        <v>74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647</v>
      </c>
      <c r="Y93" s="652">
        <f t="shared" ref="Y93:Y99" si="5">IFERROR(IF(X93="",0,CEILING((X93/$H93),1)*$H93),"")</f>
        <v>648</v>
      </c>
      <c r="Z93" s="36">
        <f>IFERROR(IF(Y93=0,"",ROUNDUP(Y93/H93,0)*0.01898),"")</f>
        <v>1.5184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686.45901234567896</v>
      </c>
      <c r="BN93" s="64">
        <f t="shared" ref="BN93:BN99" si="7">IFERROR(Y93*I93/H93,"0")</f>
        <v>687.52</v>
      </c>
      <c r="BO93" s="64">
        <f t="shared" ref="BO93:BO99" si="8">IFERROR(1/J93*(X93/H93),"0")</f>
        <v>1.248070987654321</v>
      </c>
      <c r="BP93" s="64">
        <f t="shared" ref="BP93:BP99" si="9">IFERROR(1/J93*(Y93/H93),"0")</f>
        <v>1.25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6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0</v>
      </c>
      <c r="Y97" s="652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27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8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84"/>
      <c r="B100" s="665"/>
      <c r="C100" s="665"/>
      <c r="D100" s="665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85"/>
      <c r="P100" s="669" t="s">
        <v>72</v>
      </c>
      <c r="Q100" s="670"/>
      <c r="R100" s="670"/>
      <c r="S100" s="670"/>
      <c r="T100" s="670"/>
      <c r="U100" s="670"/>
      <c r="V100" s="671"/>
      <c r="W100" s="37" t="s">
        <v>73</v>
      </c>
      <c r="X100" s="653">
        <f>IFERROR(X93/H93,"0")+IFERROR(X94/H94,"0")+IFERROR(X95/H95,"0")+IFERROR(X96/H96,"0")+IFERROR(X97/H97,"0")+IFERROR(X98/H98,"0")+IFERROR(X99/H99,"0")</f>
        <v>79.876543209876544</v>
      </c>
      <c r="Y100" s="653">
        <f>IFERROR(Y93/H93,"0")+IFERROR(Y94/H94,"0")+IFERROR(Y95/H95,"0")+IFERROR(Y96/H96,"0")+IFERROR(Y97/H97,"0")+IFERROR(Y98/H98,"0")+IFERROR(Y99/H99,"0")</f>
        <v>80</v>
      </c>
      <c r="Z100" s="653">
        <f>IFERROR(IF(Z93="",0,Z93),"0")+IFERROR(IF(Z94="",0,Z94),"0")+IFERROR(IF(Z95="",0,Z95),"0")+IFERROR(IF(Z96="",0,Z96),"0")+IFERROR(IF(Z97="",0,Z97),"0")+IFERROR(IF(Z98="",0,Z98),"0")+IFERROR(IF(Z99="",0,Z99),"0")</f>
        <v>1.5184</v>
      </c>
      <c r="AA100" s="654"/>
      <c r="AB100" s="654"/>
      <c r="AC100" s="654"/>
    </row>
    <row r="101" spans="1:68" x14ac:dyDescent="0.2">
      <c r="A101" s="665"/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85"/>
      <c r="P101" s="669" t="s">
        <v>72</v>
      </c>
      <c r="Q101" s="670"/>
      <c r="R101" s="670"/>
      <c r="S101" s="670"/>
      <c r="T101" s="670"/>
      <c r="U101" s="670"/>
      <c r="V101" s="671"/>
      <c r="W101" s="37" t="s">
        <v>67</v>
      </c>
      <c r="X101" s="653">
        <f>IFERROR(SUM(X93:X99),"0")</f>
        <v>647</v>
      </c>
      <c r="Y101" s="653">
        <f>IFERROR(SUM(Y93:Y99),"0")</f>
        <v>648</v>
      </c>
      <c r="Z101" s="37"/>
      <c r="AA101" s="654"/>
      <c r="AB101" s="654"/>
      <c r="AC101" s="654"/>
    </row>
    <row r="102" spans="1:68" ht="16.5" customHeight="1" x14ac:dyDescent="0.25">
      <c r="A102" s="664" t="s">
        <v>201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46"/>
      <c r="AB102" s="646"/>
      <c r="AC102" s="646"/>
    </row>
    <row r="103" spans="1:68" ht="14.25" customHeight="1" x14ac:dyDescent="0.25">
      <c r="A103" s="668" t="s">
        <v>111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191</v>
      </c>
      <c r="Y109" s="652">
        <f t="shared" si="10"/>
        <v>193.5</v>
      </c>
      <c r="Z109" s="36">
        <f>IFERROR(IF(Y109=0,"",ROUNDUP(Y109/H109,0)*0.00902),"")</f>
        <v>0.38785999999999998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199.06444444444446</v>
      </c>
      <c r="BN109" s="64">
        <f t="shared" si="12"/>
        <v>201.67000000000002</v>
      </c>
      <c r="BO109" s="64">
        <f t="shared" si="13"/>
        <v>0.32154882154882153</v>
      </c>
      <c r="BP109" s="64">
        <f t="shared" si="14"/>
        <v>0.32575757575757575</v>
      </c>
    </row>
    <row r="110" spans="1:68" ht="27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92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84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85"/>
      <c r="P112" s="669" t="s">
        <v>72</v>
      </c>
      <c r="Q112" s="670"/>
      <c r="R112" s="670"/>
      <c r="S112" s="670"/>
      <c r="T112" s="670"/>
      <c r="U112" s="670"/>
      <c r="V112" s="67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42.444444444444443</v>
      </c>
      <c r="Y112" s="653">
        <f>IFERROR(Y104/H104,"0")+IFERROR(Y105/H105,"0")+IFERROR(Y106/H106,"0")+IFERROR(Y107/H107,"0")+IFERROR(Y108/H108,"0")+IFERROR(Y109/H109,"0")+IFERROR(Y110/H110,"0")+IFERROR(Y111/H111,"0")</f>
        <v>43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0.38785999999999998</v>
      </c>
      <c r="AA112" s="654"/>
      <c r="AB112" s="654"/>
      <c r="AC112" s="654"/>
    </row>
    <row r="113" spans="1:68" x14ac:dyDescent="0.2">
      <c r="A113" s="665"/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85"/>
      <c r="P113" s="669" t="s">
        <v>72</v>
      </c>
      <c r="Q113" s="670"/>
      <c r="R113" s="670"/>
      <c r="S113" s="670"/>
      <c r="T113" s="670"/>
      <c r="U113" s="670"/>
      <c r="V113" s="671"/>
      <c r="W113" s="37" t="s">
        <v>67</v>
      </c>
      <c r="X113" s="653">
        <f>IFERROR(SUM(X104:X111),"0")</f>
        <v>191</v>
      </c>
      <c r="Y113" s="653">
        <f>IFERROR(SUM(Y104:Y111),"0")</f>
        <v>193.5</v>
      </c>
      <c r="Z113" s="37"/>
      <c r="AA113" s="654"/>
      <c r="AB113" s="654"/>
      <c r="AC113" s="654"/>
    </row>
    <row r="114" spans="1:68" ht="14.25" customHeight="1" x14ac:dyDescent="0.25">
      <c r="A114" s="668" t="s">
        <v>144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8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0</v>
      </c>
      <c r="Y119" s="65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84"/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85"/>
      <c r="P120" s="669" t="s">
        <v>72</v>
      </c>
      <c r="Q120" s="670"/>
      <c r="R120" s="670"/>
      <c r="S120" s="670"/>
      <c r="T120" s="670"/>
      <c r="U120" s="670"/>
      <c r="V120" s="671"/>
      <c r="W120" s="37" t="s">
        <v>73</v>
      </c>
      <c r="X120" s="653">
        <f>IFERROR(X115/H115,"0")+IFERROR(X116/H116,"0")+IFERROR(X117/H117,"0")+IFERROR(X118/H118,"0")+IFERROR(X119/H119,"0")</f>
        <v>0</v>
      </c>
      <c r="Y120" s="653">
        <f>IFERROR(Y115/H115,"0")+IFERROR(Y116/H116,"0")+IFERROR(Y117/H117,"0")+IFERROR(Y118/H118,"0")+IFERROR(Y119/H119,"0")</f>
        <v>0</v>
      </c>
      <c r="Z120" s="653">
        <f>IFERROR(IF(Z115="",0,Z115),"0")+IFERROR(IF(Z116="",0,Z116),"0")+IFERROR(IF(Z117="",0,Z117),"0")+IFERROR(IF(Z118="",0,Z118),"0")+IFERROR(IF(Z119="",0,Z119),"0")</f>
        <v>0</v>
      </c>
      <c r="AA120" s="654"/>
      <c r="AB120" s="654"/>
      <c r="AC120" s="654"/>
    </row>
    <row r="121" spans="1:68" x14ac:dyDescent="0.2">
      <c r="A121" s="665"/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85"/>
      <c r="P121" s="669" t="s">
        <v>72</v>
      </c>
      <c r="Q121" s="670"/>
      <c r="R121" s="670"/>
      <c r="S121" s="670"/>
      <c r="T121" s="670"/>
      <c r="U121" s="670"/>
      <c r="V121" s="671"/>
      <c r="W121" s="37" t="s">
        <v>67</v>
      </c>
      <c r="X121" s="653">
        <f>IFERROR(SUM(X115:X119),"0")</f>
        <v>0</v>
      </c>
      <c r="Y121" s="653">
        <f>IFERROR(SUM(Y115:Y119),"0")</f>
        <v>0</v>
      </c>
      <c r="Z121" s="37"/>
      <c r="AA121" s="654"/>
      <c r="AB121" s="654"/>
      <c r="AC121" s="654"/>
    </row>
    <row r="122" spans="1:68" ht="14.25" customHeight="1" x14ac:dyDescent="0.25">
      <c r="A122" s="668" t="s">
        <v>74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2070</v>
      </c>
      <c r="Y123" s="652">
        <f t="shared" ref="Y123:Y130" si="15">IFERROR(IF(X123="",0,CEILING((X123/$H123),1)*$H123),"")</f>
        <v>2073.6</v>
      </c>
      <c r="Z123" s="36">
        <f>IFERROR(IF(Y123=0,"",ROUNDUP(Y123/H123,0)*0.01898),"")</f>
        <v>4.8588800000000001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2194.7111111111112</v>
      </c>
      <c r="BN123" s="64">
        <f t="shared" ref="BN123:BN130" si="17">IFERROR(Y123*I123/H123,"0")</f>
        <v>2198.5279999999998</v>
      </c>
      <c r="BO123" s="64">
        <f t="shared" ref="BO123:BO130" si="18">IFERROR(1/J123*(X123/H123),"0")</f>
        <v>3.9930555555555558</v>
      </c>
      <c r="BP123" s="64">
        <f t="shared" ref="BP123:BP130" si="19">IFERROR(1/J123*(Y123/H123),"0")</f>
        <v>4</v>
      </c>
    </row>
    <row r="124" spans="1:68" ht="27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22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26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582</v>
      </c>
      <c r="Y127" s="652">
        <f t="shared" si="15"/>
        <v>583.20000000000005</v>
      </c>
      <c r="Z127" s="36">
        <f t="shared" si="20"/>
        <v>1.4061600000000001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636.31999999999994</v>
      </c>
      <c r="BN127" s="64">
        <f t="shared" si="17"/>
        <v>637.63199999999995</v>
      </c>
      <c r="BO127" s="64">
        <f t="shared" si="18"/>
        <v>1.1843711843711844</v>
      </c>
      <c r="BP127" s="64">
        <f t="shared" si="19"/>
        <v>1.1868131868131868</v>
      </c>
    </row>
    <row r="128" spans="1:68" ht="27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7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33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84"/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85"/>
      <c r="P131" s="669" t="s">
        <v>72</v>
      </c>
      <c r="Q131" s="670"/>
      <c r="R131" s="670"/>
      <c r="S131" s="670"/>
      <c r="T131" s="670"/>
      <c r="U131" s="670"/>
      <c r="V131" s="67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471.11111111111109</v>
      </c>
      <c r="Y131" s="653">
        <f>IFERROR(Y123/H123,"0")+IFERROR(Y124/H124,"0")+IFERROR(Y125/H125,"0")+IFERROR(Y126/H126,"0")+IFERROR(Y127/H127,"0")+IFERROR(Y128/H128,"0")+IFERROR(Y129/H129,"0")+IFERROR(Y130/H130,"0")</f>
        <v>472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6.2650399999999999</v>
      </c>
      <c r="AA131" s="654"/>
      <c r="AB131" s="654"/>
      <c r="AC131" s="654"/>
    </row>
    <row r="132" spans="1:68" x14ac:dyDescent="0.2">
      <c r="A132" s="665"/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85"/>
      <c r="P132" s="669" t="s">
        <v>72</v>
      </c>
      <c r="Q132" s="670"/>
      <c r="R132" s="670"/>
      <c r="S132" s="670"/>
      <c r="T132" s="670"/>
      <c r="U132" s="670"/>
      <c r="V132" s="671"/>
      <c r="W132" s="37" t="s">
        <v>67</v>
      </c>
      <c r="X132" s="653">
        <f>IFERROR(SUM(X123:X130),"0")</f>
        <v>2652</v>
      </c>
      <c r="Y132" s="653">
        <f>IFERROR(SUM(Y123:Y130),"0")</f>
        <v>2656.8</v>
      </c>
      <c r="Z132" s="37"/>
      <c r="AA132" s="654"/>
      <c r="AB132" s="654"/>
      <c r="AC132" s="654"/>
    </row>
    <row r="133" spans="1:68" ht="14.25" customHeight="1" x14ac:dyDescent="0.25">
      <c r="A133" s="668" t="s">
        <v>162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10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64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84"/>
      <c r="B136" s="665"/>
      <c r="C136" s="665"/>
      <c r="D136" s="665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85"/>
      <c r="P136" s="669" t="s">
        <v>72</v>
      </c>
      <c r="Q136" s="670"/>
      <c r="R136" s="670"/>
      <c r="S136" s="670"/>
      <c r="T136" s="670"/>
      <c r="U136" s="670"/>
      <c r="V136" s="67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x14ac:dyDescent="0.2">
      <c r="A137" s="665"/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85"/>
      <c r="P137" s="669" t="s">
        <v>72</v>
      </c>
      <c r="Q137" s="670"/>
      <c r="R137" s="670"/>
      <c r="S137" s="670"/>
      <c r="T137" s="670"/>
      <c r="U137" s="670"/>
      <c r="V137" s="67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customHeight="1" x14ac:dyDescent="0.25">
      <c r="A138" s="664" t="s">
        <v>254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46"/>
      <c r="AB138" s="646"/>
      <c r="AC138" s="646"/>
    </row>
    <row r="139" spans="1:68" ht="14.25" customHeight="1" x14ac:dyDescent="0.25">
      <c r="A139" s="668" t="s">
        <v>111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0</v>
      </c>
      <c r="Y140" s="65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4"/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85"/>
      <c r="P142" s="669" t="s">
        <v>72</v>
      </c>
      <c r="Q142" s="670"/>
      <c r="R142" s="670"/>
      <c r="S142" s="670"/>
      <c r="T142" s="670"/>
      <c r="U142" s="670"/>
      <c r="V142" s="671"/>
      <c r="W142" s="37" t="s">
        <v>73</v>
      </c>
      <c r="X142" s="653">
        <f>IFERROR(X140/H140,"0")+IFERROR(X141/H141,"0")</f>
        <v>0</v>
      </c>
      <c r="Y142" s="653">
        <f>IFERROR(Y140/H140,"0")+IFERROR(Y141/H141,"0")</f>
        <v>0</v>
      </c>
      <c r="Z142" s="653">
        <f>IFERROR(IF(Z140="",0,Z140),"0")+IFERROR(IF(Z141="",0,Z141),"0")</f>
        <v>0</v>
      </c>
      <c r="AA142" s="654"/>
      <c r="AB142" s="654"/>
      <c r="AC142" s="654"/>
    </row>
    <row r="143" spans="1:68" x14ac:dyDescent="0.2">
      <c r="A143" s="665"/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85"/>
      <c r="P143" s="669" t="s">
        <v>72</v>
      </c>
      <c r="Q143" s="670"/>
      <c r="R143" s="670"/>
      <c r="S143" s="670"/>
      <c r="T143" s="670"/>
      <c r="U143" s="670"/>
      <c r="V143" s="671"/>
      <c r="W143" s="37" t="s">
        <v>67</v>
      </c>
      <c r="X143" s="653">
        <f>IFERROR(SUM(X140:X141),"0")</f>
        <v>0</v>
      </c>
      <c r="Y143" s="653">
        <f>IFERROR(SUM(Y140:Y141),"0")</f>
        <v>0</v>
      </c>
      <c r="Z143" s="37"/>
      <c r="AA143" s="654"/>
      <c r="AB143" s="654"/>
      <c r="AC143" s="654"/>
    </row>
    <row r="144" spans="1:68" ht="14.25" customHeight="1" x14ac:dyDescent="0.25">
      <c r="A144" s="668" t="s">
        <v>62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84"/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85"/>
      <c r="P147" s="669" t="s">
        <v>72</v>
      </c>
      <c r="Q147" s="670"/>
      <c r="R147" s="670"/>
      <c r="S147" s="670"/>
      <c r="T147" s="670"/>
      <c r="U147" s="670"/>
      <c r="V147" s="67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x14ac:dyDescent="0.2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85"/>
      <c r="P148" s="669" t="s">
        <v>72</v>
      </c>
      <c r="Q148" s="670"/>
      <c r="R148" s="670"/>
      <c r="S148" s="670"/>
      <c r="T148" s="670"/>
      <c r="U148" s="670"/>
      <c r="V148" s="67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customHeight="1" x14ac:dyDescent="0.25">
      <c r="A149" s="668" t="s">
        <v>74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84"/>
      <c r="B152" s="665"/>
      <c r="C152" s="665"/>
      <c r="D152" s="665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85"/>
      <c r="P152" s="669" t="s">
        <v>72</v>
      </c>
      <c r="Q152" s="670"/>
      <c r="R152" s="670"/>
      <c r="S152" s="670"/>
      <c r="T152" s="670"/>
      <c r="U152" s="670"/>
      <c r="V152" s="67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x14ac:dyDescent="0.2">
      <c r="A153" s="665"/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85"/>
      <c r="P153" s="669" t="s">
        <v>72</v>
      </c>
      <c r="Q153" s="670"/>
      <c r="R153" s="670"/>
      <c r="S153" s="670"/>
      <c r="T153" s="670"/>
      <c r="U153" s="670"/>
      <c r="V153" s="67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customHeight="1" x14ac:dyDescent="0.25">
      <c r="A154" s="664" t="s">
        <v>267</v>
      </c>
      <c r="B154" s="665"/>
      <c r="C154" s="665"/>
      <c r="D154" s="665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46"/>
      <c r="AB154" s="646"/>
      <c r="AC154" s="646"/>
    </row>
    <row r="155" spans="1:68" ht="14.25" customHeight="1" x14ac:dyDescent="0.25">
      <c r="A155" s="668" t="s">
        <v>74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47"/>
      <c r="AB155" s="647"/>
      <c r="AC155" s="647"/>
    </row>
    <row r="156" spans="1:68" ht="27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x14ac:dyDescent="0.2">
      <c r="A163" s="684"/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85"/>
      <c r="P163" s="669" t="s">
        <v>72</v>
      </c>
      <c r="Q163" s="670"/>
      <c r="R163" s="670"/>
      <c r="S163" s="670"/>
      <c r="T163" s="670"/>
      <c r="U163" s="670"/>
      <c r="V163" s="67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x14ac:dyDescent="0.2">
      <c r="A164" s="665"/>
      <c r="B164" s="665"/>
      <c r="C164" s="665"/>
      <c r="D164" s="665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85"/>
      <c r="P164" s="669" t="s">
        <v>72</v>
      </c>
      <c r="Q164" s="670"/>
      <c r="R164" s="670"/>
      <c r="S164" s="670"/>
      <c r="T164" s="670"/>
      <c r="U164" s="670"/>
      <c r="V164" s="67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customHeight="1" x14ac:dyDescent="0.25">
      <c r="A165" s="668" t="s">
        <v>283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47"/>
      <c r="AB165" s="647"/>
      <c r="AC165" s="647"/>
    </row>
    <row r="166" spans="1:68" ht="27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84"/>
      <c r="B167" s="665"/>
      <c r="C167" s="665"/>
      <c r="D167" s="665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85"/>
      <c r="P167" s="669" t="s">
        <v>72</v>
      </c>
      <c r="Q167" s="670"/>
      <c r="R167" s="670"/>
      <c r="S167" s="670"/>
      <c r="T167" s="670"/>
      <c r="U167" s="670"/>
      <c r="V167" s="67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x14ac:dyDescent="0.2">
      <c r="A168" s="665"/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85"/>
      <c r="P168" s="669" t="s">
        <v>72</v>
      </c>
      <c r="Q168" s="670"/>
      <c r="R168" s="670"/>
      <c r="S168" s="670"/>
      <c r="T168" s="670"/>
      <c r="U168" s="670"/>
      <c r="V168" s="67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customHeight="1" x14ac:dyDescent="0.25">
      <c r="A169" s="664" t="s">
        <v>109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46"/>
      <c r="AB169" s="646"/>
      <c r="AC169" s="646"/>
    </row>
    <row r="170" spans="1:68" ht="14.25" customHeight="1" x14ac:dyDescent="0.25">
      <c r="A170" s="668" t="s">
        <v>111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10</v>
      </c>
      <c r="Y171" s="652">
        <f>IFERROR(IF(X171="",0,CEILING((X171/$H171),1)*$H171),"")</f>
        <v>12</v>
      </c>
      <c r="Z171" s="36">
        <f>IFERROR(IF(Y171=0,"",ROUNDUP(Y171/H171,0)*0.01196),"")</f>
        <v>2.392E-2</v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10.583333333333334</v>
      </c>
      <c r="BN171" s="64">
        <f>IFERROR(Y171*I171/H171,"0")</f>
        <v>12.699999999999998</v>
      </c>
      <c r="BO171" s="64">
        <f>IFERROR(1/J171*(X171/H171),"0")</f>
        <v>1.6025641025641028E-2</v>
      </c>
      <c r="BP171" s="64">
        <f>IFERROR(1/J171*(Y171/H171),"0")</f>
        <v>1.9230769230769232E-2</v>
      </c>
    </row>
    <row r="172" spans="1:68" ht="27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84"/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85"/>
      <c r="P174" s="669" t="s">
        <v>72</v>
      </c>
      <c r="Q174" s="670"/>
      <c r="R174" s="670"/>
      <c r="S174" s="670"/>
      <c r="T174" s="670"/>
      <c r="U174" s="670"/>
      <c r="V174" s="671"/>
      <c r="W174" s="37" t="s">
        <v>73</v>
      </c>
      <c r="X174" s="653">
        <f>IFERROR(X171/H171,"0")+IFERROR(X172/H172,"0")+IFERROR(X173/H173,"0")</f>
        <v>1.6666666666666667</v>
      </c>
      <c r="Y174" s="653">
        <f>IFERROR(Y171/H171,"0")+IFERROR(Y172/H172,"0")+IFERROR(Y173/H173,"0")</f>
        <v>2</v>
      </c>
      <c r="Z174" s="653">
        <f>IFERROR(IF(Z171="",0,Z171),"0")+IFERROR(IF(Z172="",0,Z172),"0")+IFERROR(IF(Z173="",0,Z173),"0")</f>
        <v>2.392E-2</v>
      </c>
      <c r="AA174" s="654"/>
      <c r="AB174" s="654"/>
      <c r="AC174" s="654"/>
    </row>
    <row r="175" spans="1:68" x14ac:dyDescent="0.2">
      <c r="A175" s="665"/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85"/>
      <c r="P175" s="669" t="s">
        <v>72</v>
      </c>
      <c r="Q175" s="670"/>
      <c r="R175" s="670"/>
      <c r="S175" s="670"/>
      <c r="T175" s="670"/>
      <c r="U175" s="670"/>
      <c r="V175" s="671"/>
      <c r="W175" s="37" t="s">
        <v>67</v>
      </c>
      <c r="X175" s="653">
        <f>IFERROR(SUM(X171:X173),"0")</f>
        <v>10</v>
      </c>
      <c r="Y175" s="653">
        <f>IFERROR(SUM(Y171:Y173),"0")</f>
        <v>12</v>
      </c>
      <c r="Z175" s="37"/>
      <c r="AA175" s="654"/>
      <c r="AB175" s="654"/>
      <c r="AC175" s="654"/>
    </row>
    <row r="176" spans="1:68" ht="14.25" customHeight="1" x14ac:dyDescent="0.25">
      <c r="A176" s="668" t="s">
        <v>144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47"/>
      <c r="AB176" s="647"/>
      <c r="AC176" s="647"/>
    </row>
    <row r="177" spans="1:68" ht="16.5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x14ac:dyDescent="0.2">
      <c r="A179" s="684"/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85"/>
      <c r="P179" s="669" t="s">
        <v>72</v>
      </c>
      <c r="Q179" s="670"/>
      <c r="R179" s="670"/>
      <c r="S179" s="670"/>
      <c r="T179" s="670"/>
      <c r="U179" s="670"/>
      <c r="V179" s="67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x14ac:dyDescent="0.2">
      <c r="A180" s="665"/>
      <c r="B180" s="665"/>
      <c r="C180" s="665"/>
      <c r="D180" s="665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85"/>
      <c r="P180" s="669" t="s">
        <v>72</v>
      </c>
      <c r="Q180" s="670"/>
      <c r="R180" s="670"/>
      <c r="S180" s="670"/>
      <c r="T180" s="670"/>
      <c r="U180" s="670"/>
      <c r="V180" s="67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customHeight="1" x14ac:dyDescent="0.25">
      <c r="A181" s="668" t="s">
        <v>62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25</v>
      </c>
      <c r="Y182" s="652">
        <f t="shared" ref="Y182:Y195" si="27">IFERROR(IF(X182="",0,CEILING((X182/$H182),1)*$H182),"")</f>
        <v>28</v>
      </c>
      <c r="Z182" s="36">
        <f t="shared" ref="Z182:Z187" si="28">IFERROR(IF(Y182=0,"",ROUNDUP(Y182/H182,0)*0.00902),"")</f>
        <v>7.2160000000000002E-2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26.357142857142858</v>
      </c>
      <c r="BN182" s="64">
        <f t="shared" ref="BN182:BN195" si="30">IFERROR(Y182*I182/H182,"0")</f>
        <v>29.52</v>
      </c>
      <c r="BO182" s="64">
        <f t="shared" ref="BO182:BO195" si="31">IFERROR(1/J182*(X182/H182),"0")</f>
        <v>5.4112554112554119E-2</v>
      </c>
      <c r="BP182" s="64">
        <f t="shared" ref="BP182:BP195" si="32">IFERROR(1/J182*(Y182/H182),"0")</f>
        <v>6.0606060606060608E-2</v>
      </c>
    </row>
    <row r="183" spans="1:68" ht="27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58</v>
      </c>
      <c r="Y184" s="652">
        <f t="shared" si="27"/>
        <v>59.5</v>
      </c>
      <c r="Z184" s="36">
        <f t="shared" si="28"/>
        <v>0.15334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61.148571428571429</v>
      </c>
      <c r="BN184" s="64">
        <f t="shared" si="30"/>
        <v>62.730000000000004</v>
      </c>
      <c r="BO184" s="64">
        <f t="shared" si="31"/>
        <v>0.12554112554112556</v>
      </c>
      <c r="BP184" s="64">
        <f t="shared" si="32"/>
        <v>0.12878787878787878</v>
      </c>
    </row>
    <row r="185" spans="1:68" ht="27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3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250</v>
      </c>
      <c r="Y186" s="652">
        <f t="shared" si="27"/>
        <v>252</v>
      </c>
      <c r="Z186" s="36">
        <f t="shared" si="28"/>
        <v>0.64944000000000002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263.57142857142856</v>
      </c>
      <c r="BN186" s="64">
        <f t="shared" si="30"/>
        <v>265.68</v>
      </c>
      <c r="BO186" s="64">
        <f t="shared" si="31"/>
        <v>0.54112554112554112</v>
      </c>
      <c r="BP186" s="64">
        <f t="shared" si="32"/>
        <v>0.54545454545454541</v>
      </c>
    </row>
    <row r="187" spans="1:68" ht="27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8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24</v>
      </c>
      <c r="Y188" s="652">
        <f t="shared" si="27"/>
        <v>24.3</v>
      </c>
      <c r="Z188" s="36">
        <f>IFERROR(IF(Y188=0,"",ROUNDUP(Y188/H188,0)*0.00417),"")</f>
        <v>0.11259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29.6</v>
      </c>
      <c r="BN188" s="64">
        <f t="shared" si="30"/>
        <v>29.970000000000002</v>
      </c>
      <c r="BO188" s="64">
        <f t="shared" si="31"/>
        <v>7.9365079365079347E-2</v>
      </c>
      <c r="BP188" s="64">
        <f t="shared" si="32"/>
        <v>8.0357142857142849E-2</v>
      </c>
    </row>
    <row r="189" spans="1:68" ht="16.5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3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98</v>
      </c>
      <c r="Y190" s="652">
        <f t="shared" si="27"/>
        <v>99.11999999999999</v>
      </c>
      <c r="Z190" s="36">
        <f>IFERROR(IF(Y190=0,"",ROUNDUP(Y190/H190,0)*0.00502),"")</f>
        <v>0.29618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103.83333333333334</v>
      </c>
      <c r="BN190" s="64">
        <f t="shared" si="30"/>
        <v>105.02</v>
      </c>
      <c r="BO190" s="64">
        <f t="shared" si="31"/>
        <v>0.24928774928774933</v>
      </c>
      <c r="BP190" s="64">
        <f t="shared" si="32"/>
        <v>0.25213675213675213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19</v>
      </c>
      <c r="Y191" s="652">
        <f t="shared" si="27"/>
        <v>19.8</v>
      </c>
      <c r="Z191" s="36">
        <f>IFERROR(IF(Y191=0,"",ROUNDUP(Y191/H191,0)*0.00417),"")</f>
        <v>9.1740000000000002E-2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23.433333333333337</v>
      </c>
      <c r="BN191" s="64">
        <f t="shared" si="30"/>
        <v>24.42</v>
      </c>
      <c r="BO191" s="64">
        <f t="shared" si="31"/>
        <v>6.283068783068782E-2</v>
      </c>
      <c r="BP191" s="64">
        <f t="shared" si="32"/>
        <v>6.5476190476190466E-2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14</v>
      </c>
      <c r="Y192" s="652">
        <f t="shared" si="27"/>
        <v>15.12</v>
      </c>
      <c r="Z192" s="36">
        <f>IFERROR(IF(Y192=0,"",ROUNDUP(Y192/H192,0)*0.00502),"")</f>
        <v>4.5179999999999998E-2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14.833333333333336</v>
      </c>
      <c r="BN192" s="64">
        <f t="shared" si="30"/>
        <v>16.02</v>
      </c>
      <c r="BO192" s="64">
        <f t="shared" si="31"/>
        <v>3.561253561253562E-2</v>
      </c>
      <c r="BP192" s="64">
        <f t="shared" si="32"/>
        <v>3.8461538461538464E-2</v>
      </c>
    </row>
    <row r="193" spans="1:68" ht="27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7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22</v>
      </c>
      <c r="Y194" s="652">
        <f t="shared" si="27"/>
        <v>22.5</v>
      </c>
      <c r="Z194" s="36">
        <f>IFERROR(IF(Y194=0,"",ROUNDUP(Y194/H194,0)*0.00417),"")</f>
        <v>0.10425000000000001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24.444444444444443</v>
      </c>
      <c r="BN194" s="64">
        <f t="shared" si="30"/>
        <v>25</v>
      </c>
      <c r="BO194" s="64">
        <f t="shared" si="31"/>
        <v>7.2751322751322747E-2</v>
      </c>
      <c r="BP194" s="64">
        <f t="shared" si="32"/>
        <v>7.4404761904761904E-2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98</v>
      </c>
      <c r="Y195" s="652">
        <f t="shared" si="27"/>
        <v>99.11999999999999</v>
      </c>
      <c r="Z195" s="36">
        <f>IFERROR(IF(Y195=0,"",ROUNDUP(Y195/H195,0)*0.00502),"")</f>
        <v>0.29618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103.83333333333334</v>
      </c>
      <c r="BN195" s="64">
        <f t="shared" si="30"/>
        <v>105.02</v>
      </c>
      <c r="BO195" s="64">
        <f t="shared" si="31"/>
        <v>0.24928774928774933</v>
      </c>
      <c r="BP195" s="64">
        <f t="shared" si="32"/>
        <v>0.25213675213675213</v>
      </c>
    </row>
    <row r="196" spans="1:68" x14ac:dyDescent="0.2">
      <c r="A196" s="684"/>
      <c r="B196" s="665"/>
      <c r="C196" s="665"/>
      <c r="D196" s="665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85"/>
      <c r="P196" s="669" t="s">
        <v>72</v>
      </c>
      <c r="Q196" s="670"/>
      <c r="R196" s="670"/>
      <c r="S196" s="670"/>
      <c r="T196" s="670"/>
      <c r="U196" s="670"/>
      <c r="V196" s="67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292.36507936507934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298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1.8210600000000001</v>
      </c>
      <c r="AA196" s="654"/>
      <c r="AB196" s="654"/>
      <c r="AC196" s="654"/>
    </row>
    <row r="197" spans="1:68" x14ac:dyDescent="0.2">
      <c r="A197" s="665"/>
      <c r="B197" s="665"/>
      <c r="C197" s="665"/>
      <c r="D197" s="665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85"/>
      <c r="P197" s="669" t="s">
        <v>72</v>
      </c>
      <c r="Q197" s="670"/>
      <c r="R197" s="670"/>
      <c r="S197" s="670"/>
      <c r="T197" s="670"/>
      <c r="U197" s="670"/>
      <c r="V197" s="671"/>
      <c r="W197" s="37" t="s">
        <v>67</v>
      </c>
      <c r="X197" s="653">
        <f>IFERROR(SUM(X182:X195),"0")</f>
        <v>608</v>
      </c>
      <c r="Y197" s="653">
        <f>IFERROR(SUM(Y182:Y195),"0")</f>
        <v>619.46</v>
      </c>
      <c r="Z197" s="37"/>
      <c r="AA197" s="654"/>
      <c r="AB197" s="654"/>
      <c r="AC197" s="654"/>
    </row>
    <row r="198" spans="1:68" ht="14.25" customHeight="1" x14ac:dyDescent="0.25">
      <c r="A198" s="668" t="s">
        <v>74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47"/>
      <c r="AB198" s="647"/>
      <c r="AC198" s="647"/>
    </row>
    <row r="199" spans="1:68" ht="16.5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9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10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84"/>
      <c r="B202" s="665"/>
      <c r="C202" s="665"/>
      <c r="D202" s="665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85"/>
      <c r="P202" s="669" t="s">
        <v>72</v>
      </c>
      <c r="Q202" s="670"/>
      <c r="R202" s="670"/>
      <c r="S202" s="670"/>
      <c r="T202" s="670"/>
      <c r="U202" s="670"/>
      <c r="V202" s="67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x14ac:dyDescent="0.2">
      <c r="A203" s="665"/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85"/>
      <c r="P203" s="669" t="s">
        <v>72</v>
      </c>
      <c r="Q203" s="670"/>
      <c r="R203" s="670"/>
      <c r="S203" s="670"/>
      <c r="T203" s="670"/>
      <c r="U203" s="670"/>
      <c r="V203" s="67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customHeight="1" x14ac:dyDescent="0.25">
      <c r="A204" s="668" t="s">
        <v>283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47"/>
      <c r="AB204" s="647"/>
      <c r="AC204" s="647"/>
    </row>
    <row r="205" spans="1:68" ht="16.5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84"/>
      <c r="B206" s="665"/>
      <c r="C206" s="665"/>
      <c r="D206" s="665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85"/>
      <c r="P206" s="669" t="s">
        <v>72</v>
      </c>
      <c r="Q206" s="670"/>
      <c r="R206" s="670"/>
      <c r="S206" s="670"/>
      <c r="T206" s="670"/>
      <c r="U206" s="670"/>
      <c r="V206" s="67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x14ac:dyDescent="0.2">
      <c r="A207" s="665"/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85"/>
      <c r="P207" s="669" t="s">
        <v>72</v>
      </c>
      <c r="Q207" s="670"/>
      <c r="R207" s="670"/>
      <c r="S207" s="670"/>
      <c r="T207" s="670"/>
      <c r="U207" s="670"/>
      <c r="V207" s="67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customHeight="1" x14ac:dyDescent="0.25">
      <c r="A208" s="668" t="s">
        <v>355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47"/>
      <c r="AB208" s="647"/>
      <c r="AC208" s="647"/>
    </row>
    <row r="209" spans="1:68" ht="27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84"/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85"/>
      <c r="P210" s="669" t="s">
        <v>72</v>
      </c>
      <c r="Q210" s="670"/>
      <c r="R210" s="670"/>
      <c r="S210" s="670"/>
      <c r="T210" s="670"/>
      <c r="U210" s="670"/>
      <c r="V210" s="67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x14ac:dyDescent="0.2">
      <c r="A211" s="665"/>
      <c r="B211" s="665"/>
      <c r="C211" s="665"/>
      <c r="D211" s="665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85"/>
      <c r="P211" s="669" t="s">
        <v>72</v>
      </c>
      <c r="Q211" s="670"/>
      <c r="R211" s="670"/>
      <c r="S211" s="670"/>
      <c r="T211" s="670"/>
      <c r="U211" s="670"/>
      <c r="V211" s="67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customHeight="1" x14ac:dyDescent="0.2">
      <c r="A212" s="666" t="s">
        <v>359</v>
      </c>
      <c r="B212" s="667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  <c r="Z212" s="667"/>
      <c r="AA212" s="48"/>
      <c r="AB212" s="48"/>
      <c r="AC212" s="48"/>
    </row>
    <row r="213" spans="1:68" ht="16.5" customHeight="1" x14ac:dyDescent="0.25">
      <c r="A213" s="664" t="s">
        <v>360</v>
      </c>
      <c r="B213" s="665"/>
      <c r="C213" s="665"/>
      <c r="D213" s="665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46"/>
      <c r="AB213" s="646"/>
      <c r="AC213" s="646"/>
    </row>
    <row r="214" spans="1:68" ht="14.25" customHeight="1" x14ac:dyDescent="0.25">
      <c r="A214" s="668" t="s">
        <v>111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47"/>
      <c r="AB214" s="647"/>
      <c r="AC214" s="647"/>
    </row>
    <row r="215" spans="1:68" ht="27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69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x14ac:dyDescent="0.2">
      <c r="A222" s="684"/>
      <c r="B222" s="665"/>
      <c r="C222" s="665"/>
      <c r="D222" s="665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85"/>
      <c r="P222" s="669" t="s">
        <v>72</v>
      </c>
      <c r="Q222" s="670"/>
      <c r="R222" s="670"/>
      <c r="S222" s="670"/>
      <c r="T222" s="670"/>
      <c r="U222" s="670"/>
      <c r="V222" s="67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x14ac:dyDescent="0.2">
      <c r="A223" s="665"/>
      <c r="B223" s="665"/>
      <c r="C223" s="665"/>
      <c r="D223" s="665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85"/>
      <c r="P223" s="669" t="s">
        <v>72</v>
      </c>
      <c r="Q223" s="670"/>
      <c r="R223" s="670"/>
      <c r="S223" s="670"/>
      <c r="T223" s="670"/>
      <c r="U223" s="670"/>
      <c r="V223" s="67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customHeight="1" x14ac:dyDescent="0.25">
      <c r="A224" s="664" t="s">
        <v>381</v>
      </c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46"/>
      <c r="AB224" s="646"/>
      <c r="AC224" s="646"/>
    </row>
    <row r="225" spans="1:68" ht="14.25" customHeight="1" x14ac:dyDescent="0.25">
      <c r="A225" s="668" t="s">
        <v>144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47"/>
      <c r="AB225" s="647"/>
      <c r="AC225" s="647"/>
    </row>
    <row r="226" spans="1:68" ht="27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84"/>
      <c r="B227" s="665"/>
      <c r="C227" s="665"/>
      <c r="D227" s="665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85"/>
      <c r="P227" s="669" t="s">
        <v>72</v>
      </c>
      <c r="Q227" s="670"/>
      <c r="R227" s="670"/>
      <c r="S227" s="670"/>
      <c r="T227" s="670"/>
      <c r="U227" s="670"/>
      <c r="V227" s="67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x14ac:dyDescent="0.2">
      <c r="A228" s="665"/>
      <c r="B228" s="665"/>
      <c r="C228" s="665"/>
      <c r="D228" s="665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85"/>
      <c r="P228" s="669" t="s">
        <v>72</v>
      </c>
      <c r="Q228" s="670"/>
      <c r="R228" s="670"/>
      <c r="S228" s="670"/>
      <c r="T228" s="670"/>
      <c r="U228" s="670"/>
      <c r="V228" s="67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customHeight="1" x14ac:dyDescent="0.25">
      <c r="A229" s="668" t="s">
        <v>62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0</v>
      </c>
      <c r="Y230" s="652">
        <f t="shared" ref="Y230:Y243" si="39"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0</v>
      </c>
      <c r="BN230" s="64">
        <f t="shared" ref="BN230:BN243" si="41">IFERROR(Y230*I230/H230,"0")</f>
        <v>0</v>
      </c>
      <c r="BO230" s="64">
        <f t="shared" ref="BO230:BO243" si="42">IFERROR(1/J230*(X230/H230),"0")</f>
        <v>0</v>
      </c>
      <c r="BP230" s="64">
        <f t="shared" ref="BP230:BP243" si="43">IFERROR(1/J230*(Y230/H230),"0")</f>
        <v>0</v>
      </c>
    </row>
    <row r="231" spans="1:68" ht="27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66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0</v>
      </c>
      <c r="Y232" s="652">
        <f t="shared" si="39"/>
        <v>0</v>
      </c>
      <c r="Z232" s="36" t="str">
        <f>IFERROR(IF(Y232=0,"",ROUNDUP(Y232/H232,0)*0.00902),"")</f>
        <v/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0</v>
      </c>
      <c r="BN232" s="64">
        <f t="shared" si="41"/>
        <v>0</v>
      </c>
      <c r="BO232" s="64">
        <f t="shared" si="42"/>
        <v>0</v>
      </c>
      <c r="BP232" s="64">
        <f t="shared" si="43"/>
        <v>0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0</v>
      </c>
      <c r="Y233" s="652">
        <f t="shared" si="39"/>
        <v>0</v>
      </c>
      <c r="Z233" s="36" t="str">
        <f>IFERROR(IF(Y233=0,"",ROUNDUP(Y233/H233,0)*0.00556),"")</f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0</v>
      </c>
      <c r="BN233" s="64">
        <f t="shared" si="41"/>
        <v>0</v>
      </c>
      <c r="BO233" s="64">
        <f t="shared" si="42"/>
        <v>0</v>
      </c>
      <c r="BP233" s="64">
        <f t="shared" si="43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0</v>
      </c>
      <c r="Y234" s="652">
        <f t="shared" si="39"/>
        <v>0</v>
      </c>
      <c r="Z234" s="36" t="str">
        <f t="shared" ref="Z234:Z239" si="44">IFERROR(IF(Y234=0,"",ROUNDUP(Y234/H234,0)*0.00502),"")</f>
        <v/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0</v>
      </c>
      <c r="BN234" s="64">
        <f t="shared" si="41"/>
        <v>0</v>
      </c>
      <c r="BO234" s="64">
        <f t="shared" si="42"/>
        <v>0</v>
      </c>
      <c r="BP234" s="64">
        <f t="shared" si="43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5</v>
      </c>
      <c r="Y239" s="652">
        <f t="shared" si="39"/>
        <v>5.4</v>
      </c>
      <c r="Z239" s="36">
        <f t="shared" si="44"/>
        <v>1.506E-2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5.3611111111111116</v>
      </c>
      <c r="BN239" s="64">
        <f t="shared" si="41"/>
        <v>5.79</v>
      </c>
      <c r="BO239" s="64">
        <f t="shared" si="42"/>
        <v>1.1870845204178538E-2</v>
      </c>
      <c r="BP239" s="64">
        <f t="shared" si="43"/>
        <v>1.2820512820512822E-2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13</v>
      </c>
      <c r="Y240" s="652">
        <f t="shared" si="39"/>
        <v>13.600000000000001</v>
      </c>
      <c r="Z240" s="36">
        <f>IFERROR(IF(Y240=0,"",ROUNDUP(Y240/H240,0)*0.00417),"")</f>
        <v>7.0890000000000009E-2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16.412500000000001</v>
      </c>
      <c r="BN240" s="64">
        <f t="shared" si="41"/>
        <v>17.170000000000002</v>
      </c>
      <c r="BO240" s="64">
        <f t="shared" si="42"/>
        <v>4.8363095238095233E-2</v>
      </c>
      <c r="BP240" s="64">
        <f t="shared" si="43"/>
        <v>5.0595238095238096E-2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53</v>
      </c>
      <c r="Y241" s="652">
        <f t="shared" si="39"/>
        <v>54.6</v>
      </c>
      <c r="Z241" s="36">
        <f>IFERROR(IF(Y241=0,"",ROUNDUP(Y241/H241,0)*0.00502),"")</f>
        <v>0.13052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55.523809523809526</v>
      </c>
      <c r="BN241" s="64">
        <f t="shared" si="41"/>
        <v>57.20000000000001</v>
      </c>
      <c r="BO241" s="64">
        <f t="shared" si="42"/>
        <v>0.10785510785510787</v>
      </c>
      <c r="BP241" s="64">
        <f t="shared" si="43"/>
        <v>0.11111111111111112</v>
      </c>
    </row>
    <row r="242" spans="1:68" ht="27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10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84"/>
      <c r="B244" s="665"/>
      <c r="C244" s="665"/>
      <c r="D244" s="665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85"/>
      <c r="P244" s="669" t="s">
        <v>72</v>
      </c>
      <c r="Q244" s="670"/>
      <c r="R244" s="670"/>
      <c r="S244" s="670"/>
      <c r="T244" s="670"/>
      <c r="U244" s="670"/>
      <c r="V244" s="67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44.265873015873012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46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0.21647</v>
      </c>
      <c r="AA244" s="654"/>
      <c r="AB244" s="654"/>
      <c r="AC244" s="654"/>
    </row>
    <row r="245" spans="1:68" x14ac:dyDescent="0.2">
      <c r="A245" s="665"/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85"/>
      <c r="P245" s="669" t="s">
        <v>72</v>
      </c>
      <c r="Q245" s="670"/>
      <c r="R245" s="670"/>
      <c r="S245" s="670"/>
      <c r="T245" s="670"/>
      <c r="U245" s="670"/>
      <c r="V245" s="671"/>
      <c r="W245" s="37" t="s">
        <v>67</v>
      </c>
      <c r="X245" s="653">
        <f>IFERROR(SUM(X230:X243),"0")</f>
        <v>71</v>
      </c>
      <c r="Y245" s="653">
        <f>IFERROR(SUM(Y230:Y243),"0")</f>
        <v>73.599999999999994</v>
      </c>
      <c r="Z245" s="37"/>
      <c r="AA245" s="654"/>
      <c r="AB245" s="654"/>
      <c r="AC245" s="654"/>
    </row>
    <row r="246" spans="1:68" ht="14.25" customHeight="1" x14ac:dyDescent="0.25">
      <c r="A246" s="668" t="s">
        <v>74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47"/>
      <c r="AB246" s="647"/>
      <c r="AC246" s="647"/>
    </row>
    <row r="247" spans="1:68" ht="16.5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7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7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84"/>
      <c r="B252" s="665"/>
      <c r="C252" s="665"/>
      <c r="D252" s="665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85"/>
      <c r="P252" s="669" t="s">
        <v>72</v>
      </c>
      <c r="Q252" s="670"/>
      <c r="R252" s="670"/>
      <c r="S252" s="670"/>
      <c r="T252" s="670"/>
      <c r="U252" s="670"/>
      <c r="V252" s="67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x14ac:dyDescent="0.2">
      <c r="A253" s="665"/>
      <c r="B253" s="665"/>
      <c r="C253" s="665"/>
      <c r="D253" s="665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85"/>
      <c r="P253" s="669" t="s">
        <v>72</v>
      </c>
      <c r="Q253" s="670"/>
      <c r="R253" s="670"/>
      <c r="S253" s="670"/>
      <c r="T253" s="670"/>
      <c r="U253" s="670"/>
      <c r="V253" s="67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customHeight="1" x14ac:dyDescent="0.25">
      <c r="A254" s="668" t="s">
        <v>283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47"/>
      <c r="AB254" s="647"/>
      <c r="AC254" s="647"/>
    </row>
    <row r="255" spans="1:68" ht="27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9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2</v>
      </c>
      <c r="Y256" s="652">
        <f>IFERROR(IF(X256="",0,CEILING((X256/$H256),1)*$H256),"")</f>
        <v>2.52</v>
      </c>
      <c r="Z256" s="36">
        <f>IFERROR(IF(Y256=0,"",ROUNDUP(Y256/H256,0)*0.0059),"")</f>
        <v>1.18E-2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2.3015873015873014</v>
      </c>
      <c r="BN256" s="64">
        <f>IFERROR(Y256*I256/H256,"0")</f>
        <v>2.9</v>
      </c>
      <c r="BO256" s="64">
        <f>IFERROR(1/J256*(X256/H256),"0")</f>
        <v>7.3486184597295699E-3</v>
      </c>
      <c r="BP256" s="64">
        <f>IFERROR(1/J256*(Y256/H256),"0")</f>
        <v>9.2592592592592587E-3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5</v>
      </c>
      <c r="Y257" s="652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5.753968253968254</v>
      </c>
      <c r="BN257" s="64">
        <f>IFERROR(Y257*I257/H257,"0")</f>
        <v>5.8</v>
      </c>
      <c r="BO257" s="64">
        <f>IFERROR(1/J257*(X257/H257),"0")</f>
        <v>1.8371546149323927E-2</v>
      </c>
      <c r="BP257" s="64">
        <f>IFERROR(1/J257*(Y257/H257),"0")</f>
        <v>1.8518518518518517E-2</v>
      </c>
    </row>
    <row r="258" spans="1:68" x14ac:dyDescent="0.2">
      <c r="A258" s="684"/>
      <c r="B258" s="665"/>
      <c r="C258" s="665"/>
      <c r="D258" s="665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85"/>
      <c r="P258" s="669" t="s">
        <v>72</v>
      </c>
      <c r="Q258" s="670"/>
      <c r="R258" s="670"/>
      <c r="S258" s="670"/>
      <c r="T258" s="670"/>
      <c r="U258" s="670"/>
      <c r="V258" s="671"/>
      <c r="W258" s="37" t="s">
        <v>73</v>
      </c>
      <c r="X258" s="653">
        <f>IFERROR(X255/H255,"0")+IFERROR(X256/H256,"0")+IFERROR(X257/H257,"0")</f>
        <v>5.5555555555555554</v>
      </c>
      <c r="Y258" s="653">
        <f>IFERROR(Y255/H255,"0")+IFERROR(Y256/H256,"0")+IFERROR(Y257/H257,"0")</f>
        <v>6</v>
      </c>
      <c r="Z258" s="653">
        <f>IFERROR(IF(Z255="",0,Z255),"0")+IFERROR(IF(Z256="",0,Z256),"0")+IFERROR(IF(Z257="",0,Z257),"0")</f>
        <v>3.5400000000000001E-2</v>
      </c>
      <c r="AA258" s="654"/>
      <c r="AB258" s="654"/>
      <c r="AC258" s="654"/>
    </row>
    <row r="259" spans="1:68" x14ac:dyDescent="0.2">
      <c r="A259" s="665"/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85"/>
      <c r="P259" s="669" t="s">
        <v>72</v>
      </c>
      <c r="Q259" s="670"/>
      <c r="R259" s="670"/>
      <c r="S259" s="670"/>
      <c r="T259" s="670"/>
      <c r="U259" s="670"/>
      <c r="V259" s="671"/>
      <c r="W259" s="37" t="s">
        <v>67</v>
      </c>
      <c r="X259" s="653">
        <f>IFERROR(SUM(X255:X257),"0")</f>
        <v>7</v>
      </c>
      <c r="Y259" s="653">
        <f>IFERROR(SUM(Y255:Y257),"0")</f>
        <v>7.5600000000000005</v>
      </c>
      <c r="Z259" s="37"/>
      <c r="AA259" s="654"/>
      <c r="AB259" s="654"/>
      <c r="AC259" s="654"/>
    </row>
    <row r="260" spans="1:68" ht="14.25" customHeight="1" x14ac:dyDescent="0.25">
      <c r="A260" s="668" t="s">
        <v>445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2</v>
      </c>
      <c r="Y261" s="652">
        <f>IFERROR(IF(X261="",0,CEILING((X261/$H261),1)*$H261),"")</f>
        <v>2.52</v>
      </c>
      <c r="Z261" s="36">
        <f>IFERROR(IF(Y261=0,"",ROUNDUP(Y261/H261,0)*0.0059),"")</f>
        <v>1.18E-2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2.3015873015873014</v>
      </c>
      <c r="BN261" s="64">
        <f>IFERROR(Y261*I261/H261,"0")</f>
        <v>2.9</v>
      </c>
      <c r="BO261" s="64">
        <f>IFERROR(1/J261*(X261/H261),"0")</f>
        <v>7.3486184597295699E-3</v>
      </c>
      <c r="BP261" s="64">
        <f>IFERROR(1/J261*(Y261/H261),"0")</f>
        <v>9.2592592592592587E-3</v>
      </c>
    </row>
    <row r="262" spans="1:68" x14ac:dyDescent="0.2">
      <c r="A262" s="684"/>
      <c r="B262" s="665"/>
      <c r="C262" s="665"/>
      <c r="D262" s="665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85"/>
      <c r="P262" s="669" t="s">
        <v>72</v>
      </c>
      <c r="Q262" s="670"/>
      <c r="R262" s="670"/>
      <c r="S262" s="670"/>
      <c r="T262" s="670"/>
      <c r="U262" s="670"/>
      <c r="V262" s="671"/>
      <c r="W262" s="37" t="s">
        <v>73</v>
      </c>
      <c r="X262" s="653">
        <f>IFERROR(X261/H261,"0")</f>
        <v>1.5873015873015872</v>
      </c>
      <c r="Y262" s="653">
        <f>IFERROR(Y261/H261,"0")</f>
        <v>2</v>
      </c>
      <c r="Z262" s="653">
        <f>IFERROR(IF(Z261="",0,Z261),"0")</f>
        <v>1.18E-2</v>
      </c>
      <c r="AA262" s="654"/>
      <c r="AB262" s="654"/>
      <c r="AC262" s="654"/>
    </row>
    <row r="263" spans="1:68" x14ac:dyDescent="0.2">
      <c r="A263" s="665"/>
      <c r="B263" s="665"/>
      <c r="C263" s="665"/>
      <c r="D263" s="665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85"/>
      <c r="P263" s="669" t="s">
        <v>72</v>
      </c>
      <c r="Q263" s="670"/>
      <c r="R263" s="670"/>
      <c r="S263" s="670"/>
      <c r="T263" s="670"/>
      <c r="U263" s="670"/>
      <c r="V263" s="671"/>
      <c r="W263" s="37" t="s">
        <v>67</v>
      </c>
      <c r="X263" s="653">
        <f>IFERROR(SUM(X261:X261),"0")</f>
        <v>2</v>
      </c>
      <c r="Y263" s="653">
        <f>IFERROR(SUM(Y261:Y261),"0")</f>
        <v>2.52</v>
      </c>
      <c r="Z263" s="37"/>
      <c r="AA263" s="654"/>
      <c r="AB263" s="654"/>
      <c r="AC263" s="654"/>
    </row>
    <row r="264" spans="1:68" ht="16.5" customHeight="1" x14ac:dyDescent="0.25">
      <c r="A264" s="664" t="s">
        <v>448</v>
      </c>
      <c r="B264" s="665"/>
      <c r="C264" s="665"/>
      <c r="D264" s="665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46"/>
      <c r="AB264" s="646"/>
      <c r="AC264" s="646"/>
    </row>
    <row r="265" spans="1:68" ht="14.25" customHeight="1" x14ac:dyDescent="0.25">
      <c r="A265" s="668" t="s">
        <v>111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47"/>
      <c r="AB265" s="647"/>
      <c r="AC265" s="647"/>
    </row>
    <row r="266" spans="1:68" ht="27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684"/>
      <c r="B268" s="665"/>
      <c r="C268" s="665"/>
      <c r="D268" s="665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85"/>
      <c r="P268" s="669" t="s">
        <v>72</v>
      </c>
      <c r="Q268" s="670"/>
      <c r="R268" s="670"/>
      <c r="S268" s="670"/>
      <c r="T268" s="670"/>
      <c r="U268" s="670"/>
      <c r="V268" s="67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x14ac:dyDescent="0.2">
      <c r="A269" s="665"/>
      <c r="B269" s="665"/>
      <c r="C269" s="665"/>
      <c r="D269" s="665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85"/>
      <c r="P269" s="669" t="s">
        <v>72</v>
      </c>
      <c r="Q269" s="670"/>
      <c r="R269" s="670"/>
      <c r="S269" s="670"/>
      <c r="T269" s="670"/>
      <c r="U269" s="670"/>
      <c r="V269" s="67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customHeight="1" x14ac:dyDescent="0.25">
      <c r="A270" s="668" t="s">
        <v>144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47"/>
      <c r="AB270" s="647"/>
      <c r="AC270" s="647"/>
    </row>
    <row r="271" spans="1:68" ht="16.5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4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85"/>
      <c r="P273" s="669" t="s">
        <v>72</v>
      </c>
      <c r="Q273" s="670"/>
      <c r="R273" s="670"/>
      <c r="S273" s="670"/>
      <c r="T273" s="670"/>
      <c r="U273" s="670"/>
      <c r="V273" s="67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x14ac:dyDescent="0.2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85"/>
      <c r="P274" s="669" t="s">
        <v>72</v>
      </c>
      <c r="Q274" s="670"/>
      <c r="R274" s="670"/>
      <c r="S274" s="670"/>
      <c r="T274" s="670"/>
      <c r="U274" s="670"/>
      <c r="V274" s="67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customHeight="1" x14ac:dyDescent="0.25">
      <c r="A275" s="668" t="s">
        <v>62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0</v>
      </c>
      <c r="Y276" s="652">
        <f t="shared" ref="Y276:Y283" si="45">IFERROR(IF(X276="",0,CEILING((X276/$H276),1)*$H276),"")</f>
        <v>0</v>
      </c>
      <c r="Z276" s="36" t="str">
        <f>IFERROR(IF(Y276=0,"",ROUNDUP(Y276/H276,0)*0.00902),"")</f>
        <v/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0</v>
      </c>
      <c r="BN276" s="64">
        <f t="shared" ref="BN276:BN283" si="47">IFERROR(Y276*I276/H276,"0")</f>
        <v>0</v>
      </c>
      <c r="BO276" s="64">
        <f t="shared" ref="BO276:BO283" si="48">IFERROR(1/J276*(X276/H276),"0")</f>
        <v>0</v>
      </c>
      <c r="BP276" s="64">
        <f t="shared" ref="BP276:BP283" si="49">IFERROR(1/J276*(Y276/H276),"0")</f>
        <v>0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55</v>
      </c>
      <c r="Y277" s="652">
        <f t="shared" si="45"/>
        <v>59.400000000000006</v>
      </c>
      <c r="Z277" s="36">
        <f>IFERROR(IF(Y277=0,"",ROUNDUP(Y277/H277,0)*0.00902),"")</f>
        <v>9.9220000000000003E-2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56.935185185185176</v>
      </c>
      <c r="BN277" s="64">
        <f t="shared" si="47"/>
        <v>61.49</v>
      </c>
      <c r="BO277" s="64">
        <f t="shared" si="48"/>
        <v>7.716049382716049E-2</v>
      </c>
      <c r="BP277" s="64">
        <f t="shared" si="49"/>
        <v>8.3333333333333343E-2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150</v>
      </c>
      <c r="Y278" s="652">
        <f t="shared" si="45"/>
        <v>151.20000000000002</v>
      </c>
      <c r="Z278" s="36">
        <f>IFERROR(IF(Y278=0,"",ROUNDUP(Y278/H278,0)*0.00902),"")</f>
        <v>0.25256000000000001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155.27777777777777</v>
      </c>
      <c r="BN278" s="64">
        <f t="shared" si="47"/>
        <v>156.52000000000001</v>
      </c>
      <c r="BO278" s="64">
        <f t="shared" si="48"/>
        <v>0.21043771043771042</v>
      </c>
      <c r="BP278" s="64">
        <f t="shared" si="49"/>
        <v>0.21212121212121213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20</v>
      </c>
      <c r="Y279" s="652">
        <f t="shared" si="45"/>
        <v>21.6</v>
      </c>
      <c r="Z279" s="36">
        <f>IFERROR(IF(Y279=0,"",ROUNDUP(Y279/H279,0)*0.00902),"")</f>
        <v>3.6080000000000001E-2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20.703703703703702</v>
      </c>
      <c r="BN279" s="64">
        <f t="shared" si="47"/>
        <v>22.36</v>
      </c>
      <c r="BO279" s="64">
        <f t="shared" si="48"/>
        <v>2.8058361391694722E-2</v>
      </c>
      <c r="BP279" s="64">
        <f t="shared" si="49"/>
        <v>3.0303030303030304E-2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14</v>
      </c>
      <c r="Y280" s="652">
        <f t="shared" si="45"/>
        <v>14.4</v>
      </c>
      <c r="Z280" s="36">
        <f>IFERROR(IF(Y280=0,"",ROUNDUP(Y280/H280,0)*0.00502),"")</f>
        <v>4.0160000000000001E-2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15.011111111111111</v>
      </c>
      <c r="BN280" s="64">
        <f t="shared" si="47"/>
        <v>15.439999999999998</v>
      </c>
      <c r="BO280" s="64">
        <f t="shared" si="48"/>
        <v>3.3238366571699908E-2</v>
      </c>
      <c r="BP280" s="64">
        <f t="shared" si="49"/>
        <v>3.4188034188034191E-2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3</v>
      </c>
      <c r="Y281" s="652">
        <f t="shared" si="45"/>
        <v>3.6</v>
      </c>
      <c r="Z281" s="36">
        <f>IFERROR(IF(Y281=0,"",ROUNDUP(Y281/H281,0)*0.00502),"")</f>
        <v>1.004E-2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3.1666666666666661</v>
      </c>
      <c r="BN281" s="64">
        <f t="shared" si="47"/>
        <v>3.8</v>
      </c>
      <c r="BO281" s="64">
        <f t="shared" si="48"/>
        <v>7.1225071225071226E-3</v>
      </c>
      <c r="BP281" s="64">
        <f t="shared" si="49"/>
        <v>8.5470085470085479E-3</v>
      </c>
    </row>
    <row r="282" spans="1:68" ht="27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6</v>
      </c>
      <c r="Y283" s="652">
        <f t="shared" si="45"/>
        <v>7.2</v>
      </c>
      <c r="Z283" s="36">
        <f>IFERROR(IF(Y283=0,"",ROUNDUP(Y283/H283,0)*0.00502),"")</f>
        <v>2.0080000000000001E-2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6.3333333333333321</v>
      </c>
      <c r="BN283" s="64">
        <f t="shared" si="47"/>
        <v>7.6</v>
      </c>
      <c r="BO283" s="64">
        <f t="shared" si="48"/>
        <v>1.4245014245014245E-2</v>
      </c>
      <c r="BP283" s="64">
        <f t="shared" si="49"/>
        <v>1.7094017094017096E-2</v>
      </c>
    </row>
    <row r="284" spans="1:68" x14ac:dyDescent="0.2">
      <c r="A284" s="684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85"/>
      <c r="P284" s="669" t="s">
        <v>72</v>
      </c>
      <c r="Q284" s="670"/>
      <c r="R284" s="670"/>
      <c r="S284" s="670"/>
      <c r="T284" s="670"/>
      <c r="U284" s="670"/>
      <c r="V284" s="67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54.444444444444443</v>
      </c>
      <c r="Y284" s="653">
        <f>IFERROR(Y276/H276,"0")+IFERROR(Y277/H277,"0")+IFERROR(Y278/H278,"0")+IFERROR(Y279/H279,"0")+IFERROR(Y280/H280,"0")+IFERROR(Y281/H281,"0")+IFERROR(Y282/H282,"0")+IFERROR(Y283/H283,"0")</f>
        <v>57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0.45813999999999994</v>
      </c>
      <c r="AA284" s="654"/>
      <c r="AB284" s="654"/>
      <c r="AC284" s="654"/>
    </row>
    <row r="285" spans="1:68" x14ac:dyDescent="0.2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85"/>
      <c r="P285" s="669" t="s">
        <v>72</v>
      </c>
      <c r="Q285" s="670"/>
      <c r="R285" s="670"/>
      <c r="S285" s="670"/>
      <c r="T285" s="670"/>
      <c r="U285" s="670"/>
      <c r="V285" s="671"/>
      <c r="W285" s="37" t="s">
        <v>67</v>
      </c>
      <c r="X285" s="653">
        <f>IFERROR(SUM(X276:X283),"0")</f>
        <v>248</v>
      </c>
      <c r="Y285" s="653">
        <f>IFERROR(SUM(Y276:Y283),"0")</f>
        <v>257.40000000000003</v>
      </c>
      <c r="Z285" s="37"/>
      <c r="AA285" s="654"/>
      <c r="AB285" s="654"/>
      <c r="AC285" s="654"/>
    </row>
    <row r="286" spans="1:68" ht="14.25" customHeight="1" x14ac:dyDescent="0.25">
      <c r="A286" s="668" t="s">
        <v>74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100</v>
      </c>
      <c r="Y287" s="652">
        <f t="shared" ref="Y287:Y298" si="50">IFERROR(IF(X287="",0,CEILING((X287/$H287),1)*$H287),"")</f>
        <v>105.3</v>
      </c>
      <c r="Z287" s="36">
        <f>IFERROR(IF(Y287=0,"",ROUNDUP(Y287/H287,0)*0.01898),"")</f>
        <v>0.24674000000000001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106.09876543209877</v>
      </c>
      <c r="BN287" s="64">
        <f t="shared" ref="BN287:BN298" si="52">IFERROR(Y287*I287/H287,"0")</f>
        <v>111.72199999999999</v>
      </c>
      <c r="BO287" s="64">
        <f t="shared" ref="BO287:BO298" si="53">IFERROR(1/J287*(X287/H287),"0")</f>
        <v>0.19290123456790123</v>
      </c>
      <c r="BP287" s="64">
        <f t="shared" ref="BP287:BP298" si="54">IFERROR(1/J287*(Y287/H287),"0")</f>
        <v>0.203125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50</v>
      </c>
      <c r="Y288" s="652">
        <f t="shared" si="50"/>
        <v>56.699999999999996</v>
      </c>
      <c r="Z288" s="36">
        <f>IFERROR(IF(Y288=0,"",ROUNDUP(Y288/H288,0)*0.01898),"")</f>
        <v>0.13286000000000001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52.938271604938272</v>
      </c>
      <c r="BN288" s="64">
        <f t="shared" si="52"/>
        <v>60.031999999999996</v>
      </c>
      <c r="BO288" s="64">
        <f t="shared" si="53"/>
        <v>9.6450617283950615E-2</v>
      </c>
      <c r="BP288" s="64">
        <f t="shared" si="54"/>
        <v>0.109375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31</v>
      </c>
      <c r="Y289" s="652">
        <f t="shared" si="50"/>
        <v>34.799999999999997</v>
      </c>
      <c r="Z289" s="36">
        <f>IFERROR(IF(Y289=0,"",ROUNDUP(Y289/H289,0)*0.01898),"")</f>
        <v>7.5920000000000001E-2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32.760229885057477</v>
      </c>
      <c r="BN289" s="64">
        <f t="shared" si="52"/>
        <v>36.776000000000003</v>
      </c>
      <c r="BO289" s="64">
        <f t="shared" si="53"/>
        <v>5.5675287356321844E-2</v>
      </c>
      <c r="BP289" s="64">
        <f t="shared" si="54"/>
        <v>6.25E-2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400</v>
      </c>
      <c r="Y290" s="652">
        <f t="shared" si="50"/>
        <v>400.8</v>
      </c>
      <c r="Z290" s="36">
        <f>IFERROR(IF(Y290=0,"",ROUNDUP(Y290/H290,0)*0.00651),"")</f>
        <v>1.08717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445</v>
      </c>
      <c r="BN290" s="64">
        <f t="shared" si="52"/>
        <v>445.89</v>
      </c>
      <c r="BO290" s="64">
        <f t="shared" si="53"/>
        <v>0.91575091575091594</v>
      </c>
      <c r="BP290" s="64">
        <f t="shared" si="54"/>
        <v>0.91758241758241765</v>
      </c>
    </row>
    <row r="291" spans="1:68" ht="27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240</v>
      </c>
      <c r="Y293" s="652">
        <f t="shared" si="50"/>
        <v>240</v>
      </c>
      <c r="Z293" s="36">
        <f>IFERROR(IF(Y293=0,"",ROUNDUP(Y293/H293,0)*0.00651),"")</f>
        <v>0.65100000000000002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265.20000000000005</v>
      </c>
      <c r="BN293" s="64">
        <f t="shared" si="52"/>
        <v>265.20000000000005</v>
      </c>
      <c r="BO293" s="64">
        <f t="shared" si="53"/>
        <v>0.5494505494505495</v>
      </c>
      <c r="BP293" s="64">
        <f t="shared" si="54"/>
        <v>0.5494505494505495</v>
      </c>
    </row>
    <row r="294" spans="1:68" ht="27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1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120</v>
      </c>
      <c r="Y295" s="652">
        <f t="shared" si="50"/>
        <v>120</v>
      </c>
      <c r="Z295" s="36">
        <f>IFERROR(IF(Y295=0,"",ROUNDUP(Y295/H295,0)*0.00651),"")</f>
        <v>0.32550000000000001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132.60000000000002</v>
      </c>
      <c r="BN295" s="64">
        <f t="shared" si="52"/>
        <v>132.60000000000002</v>
      </c>
      <c r="BO295" s="64">
        <f t="shared" si="53"/>
        <v>0.27472527472527475</v>
      </c>
      <c r="BP295" s="64">
        <f t="shared" si="54"/>
        <v>0.27472527472527475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160</v>
      </c>
      <c r="Y296" s="652">
        <f t="shared" si="50"/>
        <v>160.79999999999998</v>
      </c>
      <c r="Z296" s="36">
        <f>IFERROR(IF(Y296=0,"",ROUNDUP(Y296/H296,0)*0.00651),"")</f>
        <v>0.43617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176.80000000000004</v>
      </c>
      <c r="BN296" s="64">
        <f t="shared" si="52"/>
        <v>177.684</v>
      </c>
      <c r="BO296" s="64">
        <f t="shared" si="53"/>
        <v>0.36630036630036633</v>
      </c>
      <c r="BP296" s="64">
        <f t="shared" si="54"/>
        <v>0.36813186813186816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9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88</v>
      </c>
      <c r="Y297" s="652">
        <f t="shared" si="50"/>
        <v>88.8</v>
      </c>
      <c r="Z297" s="36">
        <f>IFERROR(IF(Y297=0,"",ROUNDUP(Y297/H297,0)*0.00651),"")</f>
        <v>0.24087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97.460000000000008</v>
      </c>
      <c r="BN297" s="64">
        <f t="shared" si="52"/>
        <v>98.346000000000004</v>
      </c>
      <c r="BO297" s="64">
        <f t="shared" si="53"/>
        <v>0.2014652014652015</v>
      </c>
      <c r="BP297" s="64">
        <f t="shared" si="54"/>
        <v>0.20329670329670332</v>
      </c>
    </row>
    <row r="298" spans="1:68" ht="27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84"/>
      <c r="B299" s="665"/>
      <c r="C299" s="665"/>
      <c r="D299" s="665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85"/>
      <c r="P299" s="669" t="s">
        <v>72</v>
      </c>
      <c r="Q299" s="670"/>
      <c r="R299" s="670"/>
      <c r="S299" s="670"/>
      <c r="T299" s="670"/>
      <c r="U299" s="670"/>
      <c r="V299" s="67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442.08173690932318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445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3.1962300000000003</v>
      </c>
      <c r="AA299" s="654"/>
      <c r="AB299" s="654"/>
      <c r="AC299" s="654"/>
    </row>
    <row r="300" spans="1:68" x14ac:dyDescent="0.2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85"/>
      <c r="P300" s="669" t="s">
        <v>72</v>
      </c>
      <c r="Q300" s="670"/>
      <c r="R300" s="670"/>
      <c r="S300" s="670"/>
      <c r="T300" s="670"/>
      <c r="U300" s="670"/>
      <c r="V300" s="671"/>
      <c r="W300" s="37" t="s">
        <v>67</v>
      </c>
      <c r="X300" s="653">
        <f>IFERROR(SUM(X287:X298),"0")</f>
        <v>1189</v>
      </c>
      <c r="Y300" s="653">
        <f>IFERROR(SUM(Y287:Y298),"0")</f>
        <v>1207.2</v>
      </c>
      <c r="Z300" s="37"/>
      <c r="AA300" s="654"/>
      <c r="AB300" s="654"/>
      <c r="AC300" s="654"/>
    </row>
    <row r="301" spans="1:68" ht="14.25" customHeight="1" x14ac:dyDescent="0.25">
      <c r="A301" s="668" t="s">
        <v>162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0</v>
      </c>
      <c r="Y302" s="652">
        <f>IFERROR(IF(X302="",0,CEILING((X302/$H302),1)*$H302),"")</f>
        <v>0</v>
      </c>
      <c r="Z302" s="36" t="str">
        <f>IFERROR(IF(Y302=0,"",ROUNDUP(Y302/H302,0)*0.00651),"")</f>
        <v/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0</v>
      </c>
      <c r="Y303" s="652">
        <f>IFERROR(IF(X303="",0,CEILING((X303/$H303),1)*$H303),"")</f>
        <v>0</v>
      </c>
      <c r="Z303" s="36" t="str">
        <f>IFERROR(IF(Y303=0,"",ROUNDUP(Y303/H303,0)*0.00651),"")</f>
        <v/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x14ac:dyDescent="0.2">
      <c r="A304" s="684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85"/>
      <c r="P304" s="669" t="s">
        <v>72</v>
      </c>
      <c r="Q304" s="670"/>
      <c r="R304" s="670"/>
      <c r="S304" s="670"/>
      <c r="T304" s="670"/>
      <c r="U304" s="670"/>
      <c r="V304" s="671"/>
      <c r="W304" s="37" t="s">
        <v>73</v>
      </c>
      <c r="X304" s="653">
        <f>IFERROR(X302/H302,"0")+IFERROR(X303/H303,"0")</f>
        <v>0</v>
      </c>
      <c r="Y304" s="653">
        <f>IFERROR(Y302/H302,"0")+IFERROR(Y303/H303,"0")</f>
        <v>0</v>
      </c>
      <c r="Z304" s="653">
        <f>IFERROR(IF(Z302="",0,Z302),"0")+IFERROR(IF(Z303="",0,Z303),"0")</f>
        <v>0</v>
      </c>
      <c r="AA304" s="654"/>
      <c r="AB304" s="654"/>
      <c r="AC304" s="654"/>
    </row>
    <row r="305" spans="1:68" x14ac:dyDescent="0.2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85"/>
      <c r="P305" s="669" t="s">
        <v>72</v>
      </c>
      <c r="Q305" s="670"/>
      <c r="R305" s="670"/>
      <c r="S305" s="670"/>
      <c r="T305" s="670"/>
      <c r="U305" s="670"/>
      <c r="V305" s="671"/>
      <c r="W305" s="37" t="s">
        <v>67</v>
      </c>
      <c r="X305" s="653">
        <f>IFERROR(SUM(X302:X303),"0")</f>
        <v>0</v>
      </c>
      <c r="Y305" s="653">
        <f>IFERROR(SUM(Y302:Y303),"0")</f>
        <v>0</v>
      </c>
      <c r="Z305" s="37"/>
      <c r="AA305" s="654"/>
      <c r="AB305" s="654"/>
      <c r="AC305" s="654"/>
    </row>
    <row r="306" spans="1:68" ht="16.5" customHeight="1" x14ac:dyDescent="0.25">
      <c r="A306" s="664" t="s">
        <v>516</v>
      </c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46"/>
      <c r="AB306" s="646"/>
      <c r="AC306" s="646"/>
    </row>
    <row r="307" spans="1:68" ht="14.25" customHeight="1" x14ac:dyDescent="0.25">
      <c r="A307" s="668" t="s">
        <v>111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x14ac:dyDescent="0.2">
      <c r="A315" s="684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85"/>
      <c r="P315" s="669" t="s">
        <v>72</v>
      </c>
      <c r="Q315" s="670"/>
      <c r="R315" s="670"/>
      <c r="S315" s="670"/>
      <c r="T315" s="670"/>
      <c r="U315" s="670"/>
      <c r="V315" s="67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x14ac:dyDescent="0.2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85"/>
      <c r="P316" s="669" t="s">
        <v>72</v>
      </c>
      <c r="Q316" s="670"/>
      <c r="R316" s="670"/>
      <c r="S316" s="670"/>
      <c r="T316" s="670"/>
      <c r="U316" s="670"/>
      <c r="V316" s="67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customHeight="1" x14ac:dyDescent="0.25">
      <c r="A317" s="668" t="s">
        <v>144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47"/>
      <c r="AB317" s="647"/>
      <c r="AC317" s="647"/>
    </row>
    <row r="318" spans="1:68" ht="27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84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85"/>
      <c r="P319" s="669" t="s">
        <v>72</v>
      </c>
      <c r="Q319" s="670"/>
      <c r="R319" s="670"/>
      <c r="S319" s="670"/>
      <c r="T319" s="670"/>
      <c r="U319" s="670"/>
      <c r="V319" s="67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x14ac:dyDescent="0.2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85"/>
      <c r="P320" s="669" t="s">
        <v>72</v>
      </c>
      <c r="Q320" s="670"/>
      <c r="R320" s="670"/>
      <c r="S320" s="670"/>
      <c r="T320" s="670"/>
      <c r="U320" s="670"/>
      <c r="V320" s="67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customHeight="1" x14ac:dyDescent="0.25">
      <c r="A321" s="668" t="s">
        <v>538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5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5.4861111111111107</v>
      </c>
      <c r="BN322" s="64">
        <f>IFERROR(Y322*I322/H322,"0")</f>
        <v>5.9250000000000007</v>
      </c>
      <c r="BO322" s="64">
        <f>IFERROR(1/J322*(X322/H322),"0")</f>
        <v>1.2860082304526748E-2</v>
      </c>
      <c r="BP322" s="64">
        <f>IFERROR(1/J322*(Y322/H322),"0")</f>
        <v>1.3888888888888888E-2</v>
      </c>
    </row>
    <row r="323" spans="1:68" x14ac:dyDescent="0.2">
      <c r="A323" s="684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85"/>
      <c r="P323" s="669" t="s">
        <v>72</v>
      </c>
      <c r="Q323" s="670"/>
      <c r="R323" s="670"/>
      <c r="S323" s="670"/>
      <c r="T323" s="670"/>
      <c r="U323" s="670"/>
      <c r="V323" s="671"/>
      <c r="W323" s="37" t="s">
        <v>73</v>
      </c>
      <c r="X323" s="653">
        <f>IFERROR(X322/H322,"0")</f>
        <v>2.7777777777777777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85"/>
      <c r="P324" s="669" t="s">
        <v>72</v>
      </c>
      <c r="Q324" s="670"/>
      <c r="R324" s="670"/>
      <c r="S324" s="670"/>
      <c r="T324" s="670"/>
      <c r="U324" s="670"/>
      <c r="V324" s="671"/>
      <c r="W324" s="37" t="s">
        <v>67</v>
      </c>
      <c r="X324" s="653">
        <f>IFERROR(SUM(X322:X322),"0")</f>
        <v>5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customHeight="1" x14ac:dyDescent="0.25">
      <c r="A325" s="668" t="s">
        <v>355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47"/>
      <c r="AB325" s="647"/>
      <c r="AC325" s="647"/>
    </row>
    <row r="326" spans="1:68" ht="27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84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85"/>
      <c r="P329" s="669" t="s">
        <v>72</v>
      </c>
      <c r="Q329" s="670"/>
      <c r="R329" s="670"/>
      <c r="S329" s="670"/>
      <c r="T329" s="670"/>
      <c r="U329" s="670"/>
      <c r="V329" s="67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x14ac:dyDescent="0.2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85"/>
      <c r="P330" s="669" t="s">
        <v>72</v>
      </c>
      <c r="Q330" s="670"/>
      <c r="R330" s="670"/>
      <c r="S330" s="670"/>
      <c r="T330" s="670"/>
      <c r="U330" s="670"/>
      <c r="V330" s="67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customHeight="1" x14ac:dyDescent="0.25">
      <c r="A331" s="664" t="s">
        <v>549</v>
      </c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46"/>
      <c r="AB331" s="646"/>
      <c r="AC331" s="646"/>
    </row>
    <row r="332" spans="1:68" ht="14.25" customHeight="1" x14ac:dyDescent="0.25">
      <c r="A332" s="668" t="s">
        <v>111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47"/>
      <c r="AB332" s="647"/>
      <c r="AC332" s="647"/>
    </row>
    <row r="333" spans="1:68" ht="27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84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85"/>
      <c r="P338" s="669" t="s">
        <v>72</v>
      </c>
      <c r="Q338" s="670"/>
      <c r="R338" s="670"/>
      <c r="S338" s="670"/>
      <c r="T338" s="670"/>
      <c r="U338" s="670"/>
      <c r="V338" s="67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x14ac:dyDescent="0.2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85"/>
      <c r="P339" s="669" t="s">
        <v>72</v>
      </c>
      <c r="Q339" s="670"/>
      <c r="R339" s="670"/>
      <c r="S339" s="670"/>
      <c r="T339" s="670"/>
      <c r="U339" s="670"/>
      <c r="V339" s="67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customHeight="1" x14ac:dyDescent="0.25">
      <c r="A340" s="664" t="s">
        <v>565</v>
      </c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46"/>
      <c r="AB340" s="646"/>
      <c r="AC340" s="646"/>
    </row>
    <row r="341" spans="1:68" ht="14.25" customHeight="1" x14ac:dyDescent="0.25">
      <c r="A341" s="668" t="s">
        <v>74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47"/>
      <c r="AB341" s="647"/>
      <c r="AC341" s="647"/>
    </row>
    <row r="342" spans="1:68" ht="27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30</v>
      </c>
      <c r="Y343" s="652">
        <f>IFERROR(IF(X343="",0,CEILING((X343/$H343),1)*$H343),"")</f>
        <v>31.2</v>
      </c>
      <c r="Z343" s="36">
        <f>IFERROR(IF(Y343=0,"",ROUNDUP(Y343/H343,0)*0.00651),"")</f>
        <v>8.4629999999999997E-2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33.150000000000006</v>
      </c>
      <c r="BN343" s="64">
        <f>IFERROR(Y343*I343/H343,"0")</f>
        <v>34.476000000000006</v>
      </c>
      <c r="BO343" s="64">
        <f>IFERROR(1/J343*(X343/H343),"0")</f>
        <v>6.8681318681318687E-2</v>
      </c>
      <c r="BP343" s="64">
        <f>IFERROR(1/J343*(Y343/H343),"0")</f>
        <v>7.1428571428571438E-2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59</v>
      </c>
      <c r="Y344" s="652">
        <f>IFERROR(IF(X344="",0,CEILING((X344/$H344),1)*$H344),"")</f>
        <v>60</v>
      </c>
      <c r="Z344" s="36">
        <f>IFERROR(IF(Y344=0,"",ROUNDUP(Y344/H344,0)*0.00651),"")</f>
        <v>0.16275000000000001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63.425000000000004</v>
      </c>
      <c r="BN344" s="64">
        <f>IFERROR(Y344*I344/H344,"0")</f>
        <v>64.500000000000014</v>
      </c>
      <c r="BO344" s="64">
        <f>IFERROR(1/J344*(X344/H344),"0")</f>
        <v>0.13507326007326009</v>
      </c>
      <c r="BP344" s="64">
        <f>IFERROR(1/J344*(Y344/H344),"0")</f>
        <v>0.13736263736263737</v>
      </c>
    </row>
    <row r="345" spans="1:68" x14ac:dyDescent="0.2">
      <c r="A345" s="684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85"/>
      <c r="P345" s="669" t="s">
        <v>72</v>
      </c>
      <c r="Q345" s="670"/>
      <c r="R345" s="670"/>
      <c r="S345" s="670"/>
      <c r="T345" s="670"/>
      <c r="U345" s="670"/>
      <c r="V345" s="671"/>
      <c r="W345" s="37" t="s">
        <v>73</v>
      </c>
      <c r="X345" s="653">
        <f>IFERROR(X342/H342,"0")+IFERROR(X343/H343,"0")+IFERROR(X344/H344,"0")</f>
        <v>37.083333333333336</v>
      </c>
      <c r="Y345" s="653">
        <f>IFERROR(Y342/H342,"0")+IFERROR(Y343/H343,"0")+IFERROR(Y344/H344,"0")</f>
        <v>38</v>
      </c>
      <c r="Z345" s="653">
        <f>IFERROR(IF(Z342="",0,Z342),"0")+IFERROR(IF(Z343="",0,Z343),"0")+IFERROR(IF(Z344="",0,Z344),"0")</f>
        <v>0.24737999999999999</v>
      </c>
      <c r="AA345" s="654"/>
      <c r="AB345" s="654"/>
      <c r="AC345" s="654"/>
    </row>
    <row r="346" spans="1:68" x14ac:dyDescent="0.2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85"/>
      <c r="P346" s="669" t="s">
        <v>72</v>
      </c>
      <c r="Q346" s="670"/>
      <c r="R346" s="670"/>
      <c r="S346" s="670"/>
      <c r="T346" s="670"/>
      <c r="U346" s="670"/>
      <c r="V346" s="671"/>
      <c r="W346" s="37" t="s">
        <v>67</v>
      </c>
      <c r="X346" s="653">
        <f>IFERROR(SUM(X342:X344),"0")</f>
        <v>89</v>
      </c>
      <c r="Y346" s="653">
        <f>IFERROR(SUM(Y342:Y344),"0")</f>
        <v>91.2</v>
      </c>
      <c r="Z346" s="37"/>
      <c r="AA346" s="654"/>
      <c r="AB346" s="654"/>
      <c r="AC346" s="654"/>
    </row>
    <row r="347" spans="1:68" ht="16.5" customHeight="1" x14ac:dyDescent="0.25">
      <c r="A347" s="664" t="s">
        <v>574</v>
      </c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46"/>
      <c r="AB347" s="646"/>
      <c r="AC347" s="646"/>
    </row>
    <row r="348" spans="1:68" ht="14.25" customHeight="1" x14ac:dyDescent="0.25">
      <c r="A348" s="668" t="s">
        <v>62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47"/>
      <c r="AB348" s="647"/>
      <c r="AC348" s="647"/>
    </row>
    <row r="349" spans="1:68" ht="27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82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4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85"/>
      <c r="P354" s="669" t="s">
        <v>72</v>
      </c>
      <c r="Q354" s="670"/>
      <c r="R354" s="670"/>
      <c r="S354" s="670"/>
      <c r="T354" s="670"/>
      <c r="U354" s="670"/>
      <c r="V354" s="67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x14ac:dyDescent="0.2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85"/>
      <c r="P355" s="669" t="s">
        <v>72</v>
      </c>
      <c r="Q355" s="670"/>
      <c r="R355" s="670"/>
      <c r="S355" s="670"/>
      <c r="T355" s="670"/>
      <c r="U355" s="670"/>
      <c r="V355" s="67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customHeight="1" x14ac:dyDescent="0.25">
      <c r="A356" s="668" t="s">
        <v>74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47"/>
      <c r="AB356" s="647"/>
      <c r="AC356" s="647"/>
    </row>
    <row r="357" spans="1:68" ht="27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4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85"/>
      <c r="P359" s="669" t="s">
        <v>72</v>
      </c>
      <c r="Q359" s="670"/>
      <c r="R359" s="670"/>
      <c r="S359" s="670"/>
      <c r="T359" s="670"/>
      <c r="U359" s="670"/>
      <c r="V359" s="67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x14ac:dyDescent="0.2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85"/>
      <c r="P360" s="669" t="s">
        <v>72</v>
      </c>
      <c r="Q360" s="670"/>
      <c r="R360" s="670"/>
      <c r="S360" s="670"/>
      <c r="T360" s="670"/>
      <c r="U360" s="670"/>
      <c r="V360" s="67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customHeight="1" x14ac:dyDescent="0.25">
      <c r="A361" s="664" t="s">
        <v>595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46"/>
      <c r="AB361" s="646"/>
      <c r="AC361" s="646"/>
    </row>
    <row r="362" spans="1:68" ht="14.25" customHeight="1" x14ac:dyDescent="0.25">
      <c r="A362" s="668" t="s">
        <v>111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0</v>
      </c>
      <c r="Y363" s="65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582</v>
      </c>
      <c r="Y364" s="652">
        <f>IFERROR(IF(X364="",0,CEILING((X364/$H364),1)*$H364),"")</f>
        <v>585</v>
      </c>
      <c r="Z364" s="36">
        <f>IFERROR(IF(Y364=0,"",ROUNDUP(Y364/H364,0)*0.01898),"")</f>
        <v>1.4235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612.59230769230771</v>
      </c>
      <c r="BN364" s="64">
        <f>IFERROR(Y364*I364/H364,"0")</f>
        <v>615.75000000000011</v>
      </c>
      <c r="BO364" s="64">
        <f>IFERROR(1/J364*(X364/H364),"0")</f>
        <v>1.1658653846153846</v>
      </c>
      <c r="BP364" s="64">
        <f>IFERROR(1/J364*(Y364/H364),"0")</f>
        <v>1.171875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84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85"/>
      <c r="P366" s="669" t="s">
        <v>72</v>
      </c>
      <c r="Q366" s="670"/>
      <c r="R366" s="670"/>
      <c r="S366" s="670"/>
      <c r="T366" s="670"/>
      <c r="U366" s="670"/>
      <c r="V366" s="671"/>
      <c r="W366" s="37" t="s">
        <v>73</v>
      </c>
      <c r="X366" s="653">
        <f>IFERROR(X363/H363,"0")+IFERROR(X364/H364,"0")+IFERROR(X365/H365,"0")</f>
        <v>74.615384615384613</v>
      </c>
      <c r="Y366" s="653">
        <f>IFERROR(Y363/H363,"0")+IFERROR(Y364/H364,"0")+IFERROR(Y365/H365,"0")</f>
        <v>75</v>
      </c>
      <c r="Z366" s="653">
        <f>IFERROR(IF(Z363="",0,Z363),"0")+IFERROR(IF(Z364="",0,Z364),"0")+IFERROR(IF(Z365="",0,Z365),"0")</f>
        <v>1.4235</v>
      </c>
      <c r="AA366" s="654"/>
      <c r="AB366" s="654"/>
      <c r="AC366" s="654"/>
    </row>
    <row r="367" spans="1:68" x14ac:dyDescent="0.2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85"/>
      <c r="P367" s="669" t="s">
        <v>72</v>
      </c>
      <c r="Q367" s="670"/>
      <c r="R367" s="670"/>
      <c r="S367" s="670"/>
      <c r="T367" s="670"/>
      <c r="U367" s="670"/>
      <c r="V367" s="671"/>
      <c r="W367" s="37" t="s">
        <v>67</v>
      </c>
      <c r="X367" s="653">
        <f>IFERROR(SUM(X363:X365),"0")</f>
        <v>582</v>
      </c>
      <c r="Y367" s="653">
        <f>IFERROR(SUM(Y363:Y365),"0")</f>
        <v>585</v>
      </c>
      <c r="Z367" s="37"/>
      <c r="AA367" s="654"/>
      <c r="AB367" s="654"/>
      <c r="AC367" s="654"/>
    </row>
    <row r="368" spans="1:68" ht="16.5" customHeight="1" x14ac:dyDescent="0.25">
      <c r="A368" s="664" t="s">
        <v>604</v>
      </c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46"/>
      <c r="AB368" s="646"/>
      <c r="AC368" s="646"/>
    </row>
    <row r="369" spans="1:68" ht="14.25" customHeight="1" x14ac:dyDescent="0.25">
      <c r="A369" s="668" t="s">
        <v>111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47"/>
      <c r="AB369" s="647"/>
      <c r="AC369" s="647"/>
    </row>
    <row r="370" spans="1:68" ht="27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84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85"/>
      <c r="P375" s="669" t="s">
        <v>72</v>
      </c>
      <c r="Q375" s="670"/>
      <c r="R375" s="670"/>
      <c r="S375" s="670"/>
      <c r="T375" s="670"/>
      <c r="U375" s="670"/>
      <c r="V375" s="67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x14ac:dyDescent="0.2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85"/>
      <c r="P376" s="669" t="s">
        <v>72</v>
      </c>
      <c r="Q376" s="670"/>
      <c r="R376" s="670"/>
      <c r="S376" s="670"/>
      <c r="T376" s="670"/>
      <c r="U376" s="670"/>
      <c r="V376" s="67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customHeight="1" x14ac:dyDescent="0.25">
      <c r="A377" s="668" t="s">
        <v>62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47"/>
      <c r="AB377" s="647"/>
      <c r="AC377" s="647"/>
    </row>
    <row r="378" spans="1:68" ht="27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7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7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0</v>
      </c>
      <c r="Y384" s="652">
        <f t="shared" si="60"/>
        <v>0</v>
      </c>
      <c r="Z384" s="36" t="str">
        <f>IFERROR(IF(Y384=0,"",ROUNDUP(Y384/H384,0)*0.00651),"")</f>
        <v/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0</v>
      </c>
      <c r="BN384" s="64">
        <f t="shared" si="62"/>
        <v>0</v>
      </c>
      <c r="BO384" s="64">
        <f t="shared" si="63"/>
        <v>0</v>
      </c>
      <c r="BP384" s="64">
        <f t="shared" si="64"/>
        <v>0</v>
      </c>
    </row>
    <row r="385" spans="1:68" x14ac:dyDescent="0.2">
      <c r="A385" s="684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85"/>
      <c r="P385" s="669" t="s">
        <v>72</v>
      </c>
      <c r="Q385" s="670"/>
      <c r="R385" s="670"/>
      <c r="S385" s="670"/>
      <c r="T385" s="670"/>
      <c r="U385" s="670"/>
      <c r="V385" s="67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0</v>
      </c>
      <c r="Y385" s="653">
        <f>IFERROR(Y378/H378,"0")+IFERROR(Y379/H379,"0")+IFERROR(Y380/H380,"0")+IFERROR(Y381/H381,"0")+IFERROR(Y382/H382,"0")+IFERROR(Y383/H383,"0")+IFERROR(Y384/H384,"0")</f>
        <v>0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54"/>
      <c r="AB385" s="654"/>
      <c r="AC385" s="654"/>
    </row>
    <row r="386" spans="1:68" x14ac:dyDescent="0.2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85"/>
      <c r="P386" s="669" t="s">
        <v>72</v>
      </c>
      <c r="Q386" s="670"/>
      <c r="R386" s="670"/>
      <c r="S386" s="670"/>
      <c r="T386" s="670"/>
      <c r="U386" s="670"/>
      <c r="V386" s="671"/>
      <c r="W386" s="37" t="s">
        <v>67</v>
      </c>
      <c r="X386" s="653">
        <f>IFERROR(SUM(X378:X384),"0")</f>
        <v>0</v>
      </c>
      <c r="Y386" s="653">
        <f>IFERROR(SUM(Y378:Y384),"0")</f>
        <v>0</v>
      </c>
      <c r="Z386" s="37"/>
      <c r="AA386" s="654"/>
      <c r="AB386" s="654"/>
      <c r="AC386" s="654"/>
    </row>
    <row r="387" spans="1:68" ht="14.25" customHeight="1" x14ac:dyDescent="0.25">
      <c r="A387" s="668" t="s">
        <v>74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47"/>
      <c r="AB387" s="647"/>
      <c r="AC387" s="647"/>
    </row>
    <row r="388" spans="1:68" ht="27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84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85"/>
      <c r="P392" s="669" t="s">
        <v>72</v>
      </c>
      <c r="Q392" s="670"/>
      <c r="R392" s="670"/>
      <c r="S392" s="670"/>
      <c r="T392" s="670"/>
      <c r="U392" s="670"/>
      <c r="V392" s="67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x14ac:dyDescent="0.2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85"/>
      <c r="P393" s="669" t="s">
        <v>72</v>
      </c>
      <c r="Q393" s="670"/>
      <c r="R393" s="670"/>
      <c r="S393" s="670"/>
      <c r="T393" s="670"/>
      <c r="U393" s="670"/>
      <c r="V393" s="67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customHeight="1" x14ac:dyDescent="0.25">
      <c r="A394" s="668" t="s">
        <v>162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500</v>
      </c>
      <c r="Y396" s="652">
        <f>IFERROR(IF(X396="",0,CEILING((X396/$H396),1)*$H396),"")</f>
        <v>507</v>
      </c>
      <c r="Z396" s="36">
        <f>IFERROR(IF(Y396=0,"",ROUNDUP(Y396/H396,0)*0.01898),"")</f>
        <v>1.2337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531.66666666666663</v>
      </c>
      <c r="BN396" s="64">
        <f>IFERROR(Y396*I396/H396,"0")</f>
        <v>539.11</v>
      </c>
      <c r="BO396" s="64">
        <f>IFERROR(1/J396*(X396/H396),"0")</f>
        <v>1.0016025641025641</v>
      </c>
      <c r="BP396" s="64">
        <f>IFERROR(1/J396*(Y396/H396),"0")</f>
        <v>1.015625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4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85"/>
      <c r="P398" s="669" t="s">
        <v>72</v>
      </c>
      <c r="Q398" s="670"/>
      <c r="R398" s="670"/>
      <c r="S398" s="670"/>
      <c r="T398" s="670"/>
      <c r="U398" s="670"/>
      <c r="V398" s="671"/>
      <c r="W398" s="37" t="s">
        <v>73</v>
      </c>
      <c r="X398" s="653">
        <f>IFERROR(X395/H395,"0")+IFERROR(X396/H396,"0")+IFERROR(X397/H397,"0")</f>
        <v>64.102564102564102</v>
      </c>
      <c r="Y398" s="653">
        <f>IFERROR(Y395/H395,"0")+IFERROR(Y396/H396,"0")+IFERROR(Y397/H397,"0")</f>
        <v>65</v>
      </c>
      <c r="Z398" s="653">
        <f>IFERROR(IF(Z395="",0,Z395),"0")+IFERROR(IF(Z396="",0,Z396),"0")+IFERROR(IF(Z397="",0,Z397),"0")</f>
        <v>1.2337</v>
      </c>
      <c r="AA398" s="654"/>
      <c r="AB398" s="654"/>
      <c r="AC398" s="654"/>
    </row>
    <row r="399" spans="1:68" x14ac:dyDescent="0.2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85"/>
      <c r="P399" s="669" t="s">
        <v>72</v>
      </c>
      <c r="Q399" s="670"/>
      <c r="R399" s="670"/>
      <c r="S399" s="670"/>
      <c r="T399" s="670"/>
      <c r="U399" s="670"/>
      <c r="V399" s="671"/>
      <c r="W399" s="37" t="s">
        <v>67</v>
      </c>
      <c r="X399" s="653">
        <f>IFERROR(SUM(X395:X397),"0")</f>
        <v>500</v>
      </c>
      <c r="Y399" s="653">
        <f>IFERROR(SUM(Y395:Y397),"0")</f>
        <v>507</v>
      </c>
      <c r="Z399" s="37"/>
      <c r="AA399" s="654"/>
      <c r="AB399" s="654"/>
      <c r="AC399" s="654"/>
    </row>
    <row r="400" spans="1:68" ht="14.25" customHeight="1" x14ac:dyDescent="0.25">
      <c r="A400" s="668" t="s">
        <v>283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4</v>
      </c>
      <c r="Y402" s="652">
        <f>IFERROR(IF(X402="",0,CEILING((X402/$H402),1)*$H402),"")</f>
        <v>6.08</v>
      </c>
      <c r="Z402" s="36">
        <f>IFERROR(IF(Y402=0,"",ROUNDUP(Y402/H402,0)*0.00902),"")</f>
        <v>1.804E-2</v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4.3026315789473681</v>
      </c>
      <c r="BN402" s="64">
        <f>IFERROR(Y402*I402/H402,"0")</f>
        <v>6.5399999999999991</v>
      </c>
      <c r="BO402" s="64">
        <f>IFERROR(1/J402*(X402/H402),"0")</f>
        <v>9.9681020733652318E-3</v>
      </c>
      <c r="BP402" s="64">
        <f>IFERROR(1/J402*(Y402/H402),"0")</f>
        <v>1.5151515151515152E-2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9</v>
      </c>
      <c r="Y403" s="652">
        <f>IFERROR(IF(X403="",0,CEILING((X403/$H403),1)*$H403),"")</f>
        <v>10.199999999999999</v>
      </c>
      <c r="Z403" s="36">
        <f>IFERROR(IF(Y403=0,"",ROUNDUP(Y403/H403,0)*0.00651),"")</f>
        <v>2.6040000000000001E-2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10.429411764705883</v>
      </c>
      <c r="BN403" s="64">
        <f>IFERROR(Y403*I403/H403,"0")</f>
        <v>11.82</v>
      </c>
      <c r="BO403" s="64">
        <f>IFERROR(1/J403*(X403/H403),"0")</f>
        <v>1.9392372333548808E-2</v>
      </c>
      <c r="BP403" s="64">
        <f>IFERROR(1/J403*(Y403/H403),"0")</f>
        <v>2.197802197802198E-2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684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85"/>
      <c r="P405" s="669" t="s">
        <v>72</v>
      </c>
      <c r="Q405" s="670"/>
      <c r="R405" s="670"/>
      <c r="S405" s="670"/>
      <c r="T405" s="670"/>
      <c r="U405" s="670"/>
      <c r="V405" s="671"/>
      <c r="W405" s="37" t="s">
        <v>73</v>
      </c>
      <c r="X405" s="653">
        <f>IFERROR(X401/H401,"0")+IFERROR(X402/H402,"0")+IFERROR(X403/H403,"0")+IFERROR(X404/H404,"0")</f>
        <v>4.8452012383900929</v>
      </c>
      <c r="Y405" s="653">
        <f>IFERROR(Y401/H401,"0")+IFERROR(Y402/H402,"0")+IFERROR(Y403/H403,"0")+IFERROR(Y404/H404,"0")</f>
        <v>6</v>
      </c>
      <c r="Z405" s="653">
        <f>IFERROR(IF(Z401="",0,Z401),"0")+IFERROR(IF(Z402="",0,Z402),"0")+IFERROR(IF(Z403="",0,Z403),"0")+IFERROR(IF(Z404="",0,Z404),"0")</f>
        <v>4.4080000000000001E-2</v>
      </c>
      <c r="AA405" s="654"/>
      <c r="AB405" s="654"/>
      <c r="AC405" s="654"/>
    </row>
    <row r="406" spans="1:68" x14ac:dyDescent="0.2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85"/>
      <c r="P406" s="669" t="s">
        <v>72</v>
      </c>
      <c r="Q406" s="670"/>
      <c r="R406" s="670"/>
      <c r="S406" s="670"/>
      <c r="T406" s="670"/>
      <c r="U406" s="670"/>
      <c r="V406" s="671"/>
      <c r="W406" s="37" t="s">
        <v>67</v>
      </c>
      <c r="X406" s="653">
        <f>IFERROR(SUM(X401:X404),"0")</f>
        <v>13</v>
      </c>
      <c r="Y406" s="653">
        <f>IFERROR(SUM(Y401:Y404),"0")</f>
        <v>16.28</v>
      </c>
      <c r="Z406" s="37"/>
      <c r="AA406" s="654"/>
      <c r="AB406" s="654"/>
      <c r="AC406" s="654"/>
    </row>
    <row r="407" spans="1:68" ht="14.25" customHeight="1" x14ac:dyDescent="0.25">
      <c r="A407" s="668" t="s">
        <v>667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9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65</v>
      </c>
      <c r="Y408" s="652">
        <f>IFERROR(IF(X408="",0,CEILING((X408/$H408),1)*$H408),"")</f>
        <v>66</v>
      </c>
      <c r="Z408" s="36">
        <f>IFERROR(IF(Y408=0,"",ROUNDUP(Y408/H408,0)*0.00474),"")</f>
        <v>0.15642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72.800000000000011</v>
      </c>
      <c r="BN408" s="64">
        <f>IFERROR(Y408*I408/H408,"0")</f>
        <v>73.92</v>
      </c>
      <c r="BO408" s="64">
        <f>IFERROR(1/J408*(X408/H408),"0")</f>
        <v>0.13655462184873948</v>
      </c>
      <c r="BP408" s="64">
        <f>IFERROR(1/J408*(Y408/H408),"0")</f>
        <v>0.13865546218487396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9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39</v>
      </c>
      <c r="Y409" s="652">
        <f>IFERROR(IF(X409="",0,CEILING((X409/$H409),1)*$H409),"")</f>
        <v>40</v>
      </c>
      <c r="Z409" s="36">
        <f>IFERROR(IF(Y409=0,"",ROUNDUP(Y409/H409,0)*0.00474),"")</f>
        <v>9.4800000000000009E-2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43.680000000000007</v>
      </c>
      <c r="BN409" s="64">
        <f>IFERROR(Y409*I409/H409,"0")</f>
        <v>44.800000000000004</v>
      </c>
      <c r="BO409" s="64">
        <f>IFERROR(1/J409*(X409/H409),"0")</f>
        <v>8.1932773109243698E-2</v>
      </c>
      <c r="BP409" s="64">
        <f>IFERROR(1/J409*(Y409/H409),"0")</f>
        <v>8.4033613445378144E-2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39</v>
      </c>
      <c r="Y410" s="652">
        <f>IFERROR(IF(X410="",0,CEILING((X410/$H410),1)*$H410),"")</f>
        <v>40</v>
      </c>
      <c r="Z410" s="36">
        <f>IFERROR(IF(Y410=0,"",ROUNDUP(Y410/H410,0)*0.00474),"")</f>
        <v>9.4800000000000009E-2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43.680000000000007</v>
      </c>
      <c r="BN410" s="64">
        <f>IFERROR(Y410*I410/H410,"0")</f>
        <v>44.800000000000004</v>
      </c>
      <c r="BO410" s="64">
        <f>IFERROR(1/J410*(X410/H410),"0")</f>
        <v>8.1932773109243698E-2</v>
      </c>
      <c r="BP410" s="64">
        <f>IFERROR(1/J410*(Y410/H410),"0")</f>
        <v>8.4033613445378144E-2</v>
      </c>
    </row>
    <row r="411" spans="1:68" x14ac:dyDescent="0.2">
      <c r="A411" s="684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85"/>
      <c r="P411" s="669" t="s">
        <v>72</v>
      </c>
      <c r="Q411" s="670"/>
      <c r="R411" s="670"/>
      <c r="S411" s="670"/>
      <c r="T411" s="670"/>
      <c r="U411" s="670"/>
      <c r="V411" s="671"/>
      <c r="W411" s="37" t="s">
        <v>73</v>
      </c>
      <c r="X411" s="653">
        <f>IFERROR(X408/H408,"0")+IFERROR(X409/H409,"0")+IFERROR(X410/H410,"0")</f>
        <v>71.5</v>
      </c>
      <c r="Y411" s="653">
        <f>IFERROR(Y408/H408,"0")+IFERROR(Y409/H409,"0")+IFERROR(Y410/H410,"0")</f>
        <v>73</v>
      </c>
      <c r="Z411" s="653">
        <f>IFERROR(IF(Z408="",0,Z408),"0")+IFERROR(IF(Z409="",0,Z409),"0")+IFERROR(IF(Z410="",0,Z410),"0")</f>
        <v>0.34601999999999999</v>
      </c>
      <c r="AA411" s="654"/>
      <c r="AB411" s="654"/>
      <c r="AC411" s="654"/>
    </row>
    <row r="412" spans="1:68" x14ac:dyDescent="0.2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85"/>
      <c r="P412" s="669" t="s">
        <v>72</v>
      </c>
      <c r="Q412" s="670"/>
      <c r="R412" s="670"/>
      <c r="S412" s="670"/>
      <c r="T412" s="670"/>
      <c r="U412" s="670"/>
      <c r="V412" s="671"/>
      <c r="W412" s="37" t="s">
        <v>67</v>
      </c>
      <c r="X412" s="653">
        <f>IFERROR(SUM(X408:X410),"0")</f>
        <v>143</v>
      </c>
      <c r="Y412" s="653">
        <f>IFERROR(SUM(Y408:Y410),"0")</f>
        <v>146</v>
      </c>
      <c r="Z412" s="37"/>
      <c r="AA412" s="654"/>
      <c r="AB412" s="654"/>
      <c r="AC412" s="654"/>
    </row>
    <row r="413" spans="1:68" ht="14.25" customHeight="1" x14ac:dyDescent="0.25">
      <c r="A413" s="668" t="s">
        <v>676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0</v>
      </c>
      <c r="Y416" s="652">
        <f>IFERROR(IF(X416="",0,CEILING((X416/$H416),1)*$H416),"")</f>
        <v>0</v>
      </c>
      <c r="Z416" s="36" t="str">
        <f>IFERROR(IF(Y416=0,"",ROUNDUP(Y416/H416,0)*0.0045),"")</f>
        <v/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84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85"/>
      <c r="P417" s="669" t="s">
        <v>72</v>
      </c>
      <c r="Q417" s="670"/>
      <c r="R417" s="670"/>
      <c r="S417" s="670"/>
      <c r="T417" s="670"/>
      <c r="U417" s="670"/>
      <c r="V417" s="671"/>
      <c r="W417" s="37" t="s">
        <v>73</v>
      </c>
      <c r="X417" s="653">
        <f>IFERROR(X414/H414,"0")+IFERROR(X415/H415,"0")+IFERROR(X416/H416,"0")</f>
        <v>0</v>
      </c>
      <c r="Y417" s="653">
        <f>IFERROR(Y414/H414,"0")+IFERROR(Y415/H415,"0")+IFERROR(Y416/H416,"0")</f>
        <v>0</v>
      </c>
      <c r="Z417" s="653">
        <f>IFERROR(IF(Z414="",0,Z414),"0")+IFERROR(IF(Z415="",0,Z415),"0")+IFERROR(IF(Z416="",0,Z416),"0")</f>
        <v>0</v>
      </c>
      <c r="AA417" s="654"/>
      <c r="AB417" s="654"/>
      <c r="AC417" s="654"/>
    </row>
    <row r="418" spans="1:68" x14ac:dyDescent="0.2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85"/>
      <c r="P418" s="669" t="s">
        <v>72</v>
      </c>
      <c r="Q418" s="670"/>
      <c r="R418" s="670"/>
      <c r="S418" s="670"/>
      <c r="T418" s="670"/>
      <c r="U418" s="670"/>
      <c r="V418" s="671"/>
      <c r="W418" s="37" t="s">
        <v>67</v>
      </c>
      <c r="X418" s="653">
        <f>IFERROR(SUM(X414:X416),"0")</f>
        <v>0</v>
      </c>
      <c r="Y418" s="653">
        <f>IFERROR(SUM(Y414:Y416),"0")</f>
        <v>0</v>
      </c>
      <c r="Z418" s="37"/>
      <c r="AA418" s="654"/>
      <c r="AB418" s="654"/>
      <c r="AC418" s="654"/>
    </row>
    <row r="419" spans="1:68" ht="16.5" customHeight="1" x14ac:dyDescent="0.25">
      <c r="A419" s="664" t="s">
        <v>685</v>
      </c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46"/>
      <c r="AB419" s="646"/>
      <c r="AC419" s="646"/>
    </row>
    <row r="420" spans="1:68" ht="14.25" customHeight="1" x14ac:dyDescent="0.25">
      <c r="A420" s="668" t="s">
        <v>74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47"/>
      <c r="AB420" s="647"/>
      <c r="AC420" s="647"/>
    </row>
    <row r="421" spans="1:68" ht="16.5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9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684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85"/>
      <c r="P423" s="669" t="s">
        <v>72</v>
      </c>
      <c r="Q423" s="670"/>
      <c r="R423" s="670"/>
      <c r="S423" s="670"/>
      <c r="T423" s="670"/>
      <c r="U423" s="670"/>
      <c r="V423" s="67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x14ac:dyDescent="0.2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85"/>
      <c r="P424" s="669" t="s">
        <v>72</v>
      </c>
      <c r="Q424" s="670"/>
      <c r="R424" s="670"/>
      <c r="S424" s="670"/>
      <c r="T424" s="670"/>
      <c r="U424" s="670"/>
      <c r="V424" s="67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customHeight="1" x14ac:dyDescent="0.25">
      <c r="A425" s="664" t="s">
        <v>692</v>
      </c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46"/>
      <c r="AB425" s="646"/>
      <c r="AC425" s="646"/>
    </row>
    <row r="426" spans="1:68" ht="14.25" customHeight="1" x14ac:dyDescent="0.25">
      <c r="A426" s="668" t="s">
        <v>74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47"/>
      <c r="AB426" s="647"/>
      <c r="AC426" s="647"/>
    </row>
    <row r="427" spans="1:68" ht="27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35</v>
      </c>
      <c r="Y428" s="652">
        <f>IFERROR(IF(X428="",0,CEILING((X428/$H428),1)*$H428),"")</f>
        <v>35.700000000000003</v>
      </c>
      <c r="Z428" s="36">
        <f>IFERROR(IF(Y428=0,"",ROUNDUP(Y428/H428,0)*0.00651),"")</f>
        <v>0.11067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39.199999999999996</v>
      </c>
      <c r="BN428" s="64">
        <f>IFERROR(Y428*I428/H428,"0")</f>
        <v>39.984000000000002</v>
      </c>
      <c r="BO428" s="64">
        <f>IFERROR(1/J428*(X428/H428),"0")</f>
        <v>9.1575091575091569E-2</v>
      </c>
      <c r="BP428" s="64">
        <f>IFERROR(1/J428*(Y428/H428),"0")</f>
        <v>9.3406593406593408E-2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14</v>
      </c>
      <c r="Y429" s="652">
        <f>IFERROR(IF(X429="",0,CEILING((X429/$H429),1)*$H429),"")</f>
        <v>14.700000000000001</v>
      </c>
      <c r="Z429" s="36">
        <f>IFERROR(IF(Y429=0,"",ROUNDUP(Y429/H429,0)*0.00651),"")</f>
        <v>4.5569999999999999E-2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15.599999999999998</v>
      </c>
      <c r="BN429" s="64">
        <f>IFERROR(Y429*I429/H429,"0")</f>
        <v>16.380000000000003</v>
      </c>
      <c r="BO429" s="64">
        <f>IFERROR(1/J429*(X429/H429),"0")</f>
        <v>3.6630036630036632E-2</v>
      </c>
      <c r="BP429" s="64">
        <f>IFERROR(1/J429*(Y429/H429),"0")</f>
        <v>3.8461538461538464E-2</v>
      </c>
    </row>
    <row r="430" spans="1:68" x14ac:dyDescent="0.2">
      <c r="A430" s="684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85"/>
      <c r="P430" s="669" t="s">
        <v>72</v>
      </c>
      <c r="Q430" s="670"/>
      <c r="R430" s="670"/>
      <c r="S430" s="670"/>
      <c r="T430" s="670"/>
      <c r="U430" s="670"/>
      <c r="V430" s="671"/>
      <c r="W430" s="37" t="s">
        <v>73</v>
      </c>
      <c r="X430" s="653">
        <f>IFERROR(X427/H427,"0")+IFERROR(X428/H428,"0")+IFERROR(X429/H429,"0")</f>
        <v>23.333333333333329</v>
      </c>
      <c r="Y430" s="653">
        <f>IFERROR(Y427/H427,"0")+IFERROR(Y428/H428,"0")+IFERROR(Y429/H429,"0")</f>
        <v>24</v>
      </c>
      <c r="Z430" s="653">
        <f>IFERROR(IF(Z427="",0,Z427),"0")+IFERROR(IF(Z428="",0,Z428),"0")+IFERROR(IF(Z429="",0,Z429),"0")</f>
        <v>0.15623999999999999</v>
      </c>
      <c r="AA430" s="654"/>
      <c r="AB430" s="654"/>
      <c r="AC430" s="654"/>
    </row>
    <row r="431" spans="1:68" x14ac:dyDescent="0.2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85"/>
      <c r="P431" s="669" t="s">
        <v>72</v>
      </c>
      <c r="Q431" s="670"/>
      <c r="R431" s="670"/>
      <c r="S431" s="670"/>
      <c r="T431" s="670"/>
      <c r="U431" s="670"/>
      <c r="V431" s="671"/>
      <c r="W431" s="37" t="s">
        <v>67</v>
      </c>
      <c r="X431" s="653">
        <f>IFERROR(SUM(X427:X429),"0")</f>
        <v>49</v>
      </c>
      <c r="Y431" s="653">
        <f>IFERROR(SUM(Y427:Y429),"0")</f>
        <v>50.400000000000006</v>
      </c>
      <c r="Z431" s="37"/>
      <c r="AA431" s="654"/>
      <c r="AB431" s="654"/>
      <c r="AC431" s="654"/>
    </row>
    <row r="432" spans="1:68" ht="27.75" customHeight="1" x14ac:dyDescent="0.2">
      <c r="A432" s="666" t="s">
        <v>702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48"/>
      <c r="AB432" s="48"/>
      <c r="AC432" s="48"/>
    </row>
    <row r="433" spans="1:68" ht="16.5" customHeight="1" x14ac:dyDescent="0.25">
      <c r="A433" s="664" t="s">
        <v>703</v>
      </c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46"/>
      <c r="AB433" s="646"/>
      <c r="AC433" s="646"/>
    </row>
    <row r="434" spans="1:68" ht="14.25" customHeight="1" x14ac:dyDescent="0.25">
      <c r="A434" s="668" t="s">
        <v>111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10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0</v>
      </c>
      <c r="Y436" s="652">
        <f t="shared" si="65"/>
        <v>0</v>
      </c>
      <c r="Z436" s="36" t="str">
        <f>IFERROR(IF(Y436=0,"",ROUNDUP(Y436/H436,0)*0.02175),"")</f>
        <v/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0</v>
      </c>
      <c r="BN436" s="64">
        <f t="shared" si="67"/>
        <v>0</v>
      </c>
      <c r="BO436" s="64">
        <f t="shared" si="68"/>
        <v>0</v>
      </c>
      <c r="BP436" s="64">
        <f t="shared" si="69"/>
        <v>0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0</v>
      </c>
      <c r="Y437" s="652">
        <f t="shared" si="65"/>
        <v>0</v>
      </c>
      <c r="Z437" s="36" t="str">
        <f>IFERROR(IF(Y437=0,"",ROUNDUP(Y437/H437,0)*0.02175),"")</f>
        <v/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0</v>
      </c>
      <c r="BN437" s="64">
        <f t="shared" si="67"/>
        <v>0</v>
      </c>
      <c r="BO437" s="64">
        <f t="shared" si="68"/>
        <v>0</v>
      </c>
      <c r="BP437" s="64">
        <f t="shared" si="69"/>
        <v>0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9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401</v>
      </c>
      <c r="Y439" s="652">
        <f t="shared" si="65"/>
        <v>405</v>
      </c>
      <c r="Z439" s="36">
        <f>IFERROR(IF(Y439=0,"",ROUNDUP(Y439/H439,0)*0.02175),"")</f>
        <v>0.58724999999999994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413.56466666666671</v>
      </c>
      <c r="BN439" s="64">
        <f t="shared" si="67"/>
        <v>417.69</v>
      </c>
      <c r="BO439" s="64">
        <f t="shared" si="68"/>
        <v>0.55694444444444446</v>
      </c>
      <c r="BP439" s="64">
        <f t="shared" si="69"/>
        <v>0.5625</v>
      </c>
    </row>
    <row r="440" spans="1:68" ht="27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84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85"/>
      <c r="P443" s="669" t="s">
        <v>72</v>
      </c>
      <c r="Q443" s="670"/>
      <c r="R443" s="670"/>
      <c r="S443" s="670"/>
      <c r="T443" s="670"/>
      <c r="U443" s="670"/>
      <c r="V443" s="67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26.733333333333334</v>
      </c>
      <c r="Y443" s="653">
        <f>IFERROR(Y435/H435,"0")+IFERROR(Y436/H436,"0")+IFERROR(Y437/H437,"0")+IFERROR(Y438/H438,"0")+IFERROR(Y439/H439,"0")+IFERROR(Y440/H440,"0")+IFERROR(Y441/H441,"0")+IFERROR(Y442/H442,"0")</f>
        <v>27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0.58724999999999994</v>
      </c>
      <c r="AA443" s="654"/>
      <c r="AB443" s="654"/>
      <c r="AC443" s="654"/>
    </row>
    <row r="444" spans="1:68" x14ac:dyDescent="0.2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85"/>
      <c r="P444" s="669" t="s">
        <v>72</v>
      </c>
      <c r="Q444" s="670"/>
      <c r="R444" s="670"/>
      <c r="S444" s="670"/>
      <c r="T444" s="670"/>
      <c r="U444" s="670"/>
      <c r="V444" s="671"/>
      <c r="W444" s="37" t="s">
        <v>67</v>
      </c>
      <c r="X444" s="653">
        <f>IFERROR(SUM(X435:X442),"0")</f>
        <v>401</v>
      </c>
      <c r="Y444" s="653">
        <f>IFERROR(SUM(Y435:Y442),"0")</f>
        <v>405</v>
      </c>
      <c r="Z444" s="37"/>
      <c r="AA444" s="654"/>
      <c r="AB444" s="654"/>
      <c r="AC444" s="654"/>
    </row>
    <row r="445" spans="1:68" ht="14.25" customHeight="1" x14ac:dyDescent="0.25">
      <c r="A445" s="668" t="s">
        <v>144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320</v>
      </c>
      <c r="Y446" s="652">
        <f>IFERROR(IF(X446="",0,CEILING((X446/$H446),1)*$H446),"")</f>
        <v>330</v>
      </c>
      <c r="Z446" s="36">
        <f>IFERROR(IF(Y446=0,"",ROUNDUP(Y446/H446,0)*0.02175),"")</f>
        <v>0.47849999999999998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330.0266666666667</v>
      </c>
      <c r="BN446" s="64">
        <f>IFERROR(Y446*I446/H446,"0")</f>
        <v>340.34000000000003</v>
      </c>
      <c r="BO446" s="64">
        <f>IFERROR(1/J446*(X446/H446),"0")</f>
        <v>0.44444444444444442</v>
      </c>
      <c r="BP446" s="64">
        <f>IFERROR(1/J446*(Y446/H446),"0")</f>
        <v>0.45833333333333331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84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85"/>
      <c r="P449" s="669" t="s">
        <v>72</v>
      </c>
      <c r="Q449" s="670"/>
      <c r="R449" s="670"/>
      <c r="S449" s="670"/>
      <c r="T449" s="670"/>
      <c r="U449" s="670"/>
      <c r="V449" s="671"/>
      <c r="W449" s="37" t="s">
        <v>73</v>
      </c>
      <c r="X449" s="653">
        <f>IFERROR(X446/H446,"0")+IFERROR(X447/H447,"0")+IFERROR(X448/H448,"0")</f>
        <v>21.333333333333332</v>
      </c>
      <c r="Y449" s="653">
        <f>IFERROR(Y446/H446,"0")+IFERROR(Y447/H447,"0")+IFERROR(Y448/H448,"0")</f>
        <v>22</v>
      </c>
      <c r="Z449" s="653">
        <f>IFERROR(IF(Z446="",0,Z446),"0")+IFERROR(IF(Z447="",0,Z447),"0")+IFERROR(IF(Z448="",0,Z448),"0")</f>
        <v>0.47849999999999998</v>
      </c>
      <c r="AA449" s="654"/>
      <c r="AB449" s="654"/>
      <c r="AC449" s="654"/>
    </row>
    <row r="450" spans="1:68" x14ac:dyDescent="0.2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85"/>
      <c r="P450" s="669" t="s">
        <v>72</v>
      </c>
      <c r="Q450" s="670"/>
      <c r="R450" s="670"/>
      <c r="S450" s="670"/>
      <c r="T450" s="670"/>
      <c r="U450" s="670"/>
      <c r="V450" s="671"/>
      <c r="W450" s="37" t="s">
        <v>67</v>
      </c>
      <c r="X450" s="653">
        <f>IFERROR(SUM(X446:X448),"0")</f>
        <v>320</v>
      </c>
      <c r="Y450" s="653">
        <f>IFERROR(SUM(Y446:Y448),"0")</f>
        <v>330</v>
      </c>
      <c r="Z450" s="37"/>
      <c r="AA450" s="654"/>
      <c r="AB450" s="654"/>
      <c r="AC450" s="654"/>
    </row>
    <row r="451" spans="1:68" ht="14.25" customHeight="1" x14ac:dyDescent="0.25">
      <c r="A451" s="668" t="s">
        <v>74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47"/>
      <c r="AB451" s="647"/>
      <c r="AC451" s="647"/>
    </row>
    <row r="452" spans="1:68" ht="27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84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85"/>
      <c r="P455" s="669" t="s">
        <v>72</v>
      </c>
      <c r="Q455" s="670"/>
      <c r="R455" s="670"/>
      <c r="S455" s="670"/>
      <c r="T455" s="670"/>
      <c r="U455" s="670"/>
      <c r="V455" s="67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x14ac:dyDescent="0.2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85"/>
      <c r="P456" s="669" t="s">
        <v>72</v>
      </c>
      <c r="Q456" s="670"/>
      <c r="R456" s="670"/>
      <c r="S456" s="670"/>
      <c r="T456" s="670"/>
      <c r="U456" s="670"/>
      <c r="V456" s="67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customHeight="1" x14ac:dyDescent="0.25">
      <c r="A457" s="668" t="s">
        <v>162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47"/>
      <c r="AB457" s="647"/>
      <c r="AC457" s="647"/>
    </row>
    <row r="458" spans="1:68" ht="27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2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0</v>
      </c>
      <c r="Y459" s="65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4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85"/>
      <c r="P460" s="669" t="s">
        <v>72</v>
      </c>
      <c r="Q460" s="670"/>
      <c r="R460" s="670"/>
      <c r="S460" s="670"/>
      <c r="T460" s="670"/>
      <c r="U460" s="670"/>
      <c r="V460" s="671"/>
      <c r="W460" s="37" t="s">
        <v>73</v>
      </c>
      <c r="X460" s="653">
        <f>IFERROR(X458/H458,"0")+IFERROR(X459/H459,"0")</f>
        <v>0</v>
      </c>
      <c r="Y460" s="653">
        <f>IFERROR(Y458/H458,"0")+IFERROR(Y459/H459,"0")</f>
        <v>0</v>
      </c>
      <c r="Z460" s="653">
        <f>IFERROR(IF(Z458="",0,Z458),"0")+IFERROR(IF(Z459="",0,Z459),"0")</f>
        <v>0</v>
      </c>
      <c r="AA460" s="654"/>
      <c r="AB460" s="654"/>
      <c r="AC460" s="654"/>
    </row>
    <row r="461" spans="1:68" x14ac:dyDescent="0.2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85"/>
      <c r="P461" s="669" t="s">
        <v>72</v>
      </c>
      <c r="Q461" s="670"/>
      <c r="R461" s="670"/>
      <c r="S461" s="670"/>
      <c r="T461" s="670"/>
      <c r="U461" s="670"/>
      <c r="V461" s="671"/>
      <c r="W461" s="37" t="s">
        <v>67</v>
      </c>
      <c r="X461" s="653">
        <f>IFERROR(SUM(X458:X459),"0")</f>
        <v>0</v>
      </c>
      <c r="Y461" s="653">
        <f>IFERROR(SUM(Y458:Y459),"0")</f>
        <v>0</v>
      </c>
      <c r="Z461" s="37"/>
      <c r="AA461" s="654"/>
      <c r="AB461" s="654"/>
      <c r="AC461" s="654"/>
    </row>
    <row r="462" spans="1:68" ht="16.5" customHeight="1" x14ac:dyDescent="0.25">
      <c r="A462" s="664" t="s">
        <v>752</v>
      </c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46"/>
      <c r="AB462" s="646"/>
      <c r="AC462" s="646"/>
    </row>
    <row r="463" spans="1:68" ht="14.25" customHeight="1" x14ac:dyDescent="0.25">
      <c r="A463" s="668" t="s">
        <v>111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47"/>
      <c r="AB463" s="647"/>
      <c r="AC463" s="647"/>
    </row>
    <row r="464" spans="1:68" ht="27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4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85"/>
      <c r="P466" s="669" t="s">
        <v>72</v>
      </c>
      <c r="Q466" s="670"/>
      <c r="R466" s="670"/>
      <c r="S466" s="670"/>
      <c r="T466" s="670"/>
      <c r="U466" s="670"/>
      <c r="V466" s="67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x14ac:dyDescent="0.2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85"/>
      <c r="P467" s="669" t="s">
        <v>72</v>
      </c>
      <c r="Q467" s="670"/>
      <c r="R467" s="670"/>
      <c r="S467" s="670"/>
      <c r="T467" s="670"/>
      <c r="U467" s="670"/>
      <c r="V467" s="67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customHeight="1" x14ac:dyDescent="0.25">
      <c r="A468" s="668" t="s">
        <v>62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47"/>
      <c r="AB468" s="647"/>
      <c r="AC468" s="647"/>
    </row>
    <row r="469" spans="1:68" ht="27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84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85"/>
      <c r="P470" s="669" t="s">
        <v>72</v>
      </c>
      <c r="Q470" s="670"/>
      <c r="R470" s="670"/>
      <c r="S470" s="670"/>
      <c r="T470" s="670"/>
      <c r="U470" s="670"/>
      <c r="V470" s="67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x14ac:dyDescent="0.2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85"/>
      <c r="P471" s="669" t="s">
        <v>72</v>
      </c>
      <c r="Q471" s="670"/>
      <c r="R471" s="670"/>
      <c r="S471" s="670"/>
      <c r="T471" s="670"/>
      <c r="U471" s="670"/>
      <c r="V471" s="67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customHeight="1" x14ac:dyDescent="0.25">
      <c r="A472" s="668" t="s">
        <v>74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1500</v>
      </c>
      <c r="Y473" s="652">
        <f>IFERROR(IF(X473="",0,CEILING((X473/$H473),1)*$H473),"")</f>
        <v>1503</v>
      </c>
      <c r="Z473" s="36">
        <f>IFERROR(IF(Y473=0,"",ROUNDUP(Y473/H473,0)*0.01898),"")</f>
        <v>3.1696599999999999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1582.3333333333333</v>
      </c>
      <c r="BN473" s="64">
        <f>IFERROR(Y473*I473/H473,"0")</f>
        <v>1585.498</v>
      </c>
      <c r="BO473" s="64">
        <f>IFERROR(1/J473*(X473/H473),"0")</f>
        <v>2.6041666666666665</v>
      </c>
      <c r="BP473" s="64">
        <f>IFERROR(1/J473*(Y473/H473),"0")</f>
        <v>2.609375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40</v>
      </c>
      <c r="Y474" s="652">
        <f>IFERROR(IF(X474="",0,CEILING((X474/$H474),1)*$H474),"")</f>
        <v>40.799999999999997</v>
      </c>
      <c r="Z474" s="36">
        <f>IFERROR(IF(Y474=0,"",ROUNDUP(Y474/H474,0)*0.00651),"")</f>
        <v>0.11067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44.400000000000006</v>
      </c>
      <c r="BN474" s="64">
        <f>IFERROR(Y474*I474/H474,"0")</f>
        <v>45.287999999999997</v>
      </c>
      <c r="BO474" s="64">
        <f>IFERROR(1/J474*(X474/H474),"0")</f>
        <v>9.1575091575091583E-2</v>
      </c>
      <c r="BP474" s="64">
        <f>IFERROR(1/J474*(Y474/H474),"0")</f>
        <v>9.3406593406593408E-2</v>
      </c>
    </row>
    <row r="475" spans="1:68" ht="27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85"/>
      <c r="P476" s="669" t="s">
        <v>72</v>
      </c>
      <c r="Q476" s="670"/>
      <c r="R476" s="670"/>
      <c r="S476" s="670"/>
      <c r="T476" s="670"/>
      <c r="U476" s="670"/>
      <c r="V476" s="671"/>
      <c r="W476" s="37" t="s">
        <v>73</v>
      </c>
      <c r="X476" s="653">
        <f>IFERROR(X473/H473,"0")+IFERROR(X474/H474,"0")+IFERROR(X475/H475,"0")</f>
        <v>183.33333333333331</v>
      </c>
      <c r="Y476" s="653">
        <f>IFERROR(Y473/H473,"0")+IFERROR(Y474/H474,"0")+IFERROR(Y475/H475,"0")</f>
        <v>184</v>
      </c>
      <c r="Z476" s="653">
        <f>IFERROR(IF(Z473="",0,Z473),"0")+IFERROR(IF(Z474="",0,Z474),"0")+IFERROR(IF(Z475="",0,Z475),"0")</f>
        <v>3.2803299999999997</v>
      </c>
      <c r="AA476" s="654"/>
      <c r="AB476" s="654"/>
      <c r="AC476" s="654"/>
    </row>
    <row r="477" spans="1:68" x14ac:dyDescent="0.2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85"/>
      <c r="P477" s="669" t="s">
        <v>72</v>
      </c>
      <c r="Q477" s="670"/>
      <c r="R477" s="670"/>
      <c r="S477" s="670"/>
      <c r="T477" s="670"/>
      <c r="U477" s="670"/>
      <c r="V477" s="671"/>
      <c r="W477" s="37" t="s">
        <v>67</v>
      </c>
      <c r="X477" s="653">
        <f>IFERROR(SUM(X473:X475),"0")</f>
        <v>1540</v>
      </c>
      <c r="Y477" s="653">
        <f>IFERROR(SUM(Y473:Y475),"0")</f>
        <v>1543.8</v>
      </c>
      <c r="Z477" s="37"/>
      <c r="AA477" s="654"/>
      <c r="AB477" s="654"/>
      <c r="AC477" s="654"/>
    </row>
    <row r="478" spans="1:68" ht="27.75" customHeight="1" x14ac:dyDescent="0.2">
      <c r="A478" s="666" t="s">
        <v>768</v>
      </c>
      <c r="B478" s="667"/>
      <c r="C478" s="667"/>
      <c r="D478" s="667"/>
      <c r="E478" s="667"/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  <c r="Z478" s="667"/>
      <c r="AA478" s="48"/>
      <c r="AB478" s="48"/>
      <c r="AC478" s="48"/>
    </row>
    <row r="479" spans="1:68" ht="16.5" customHeight="1" x14ac:dyDescent="0.25">
      <c r="A479" s="664" t="s">
        <v>769</v>
      </c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46"/>
      <c r="AB479" s="646"/>
      <c r="AC479" s="646"/>
    </row>
    <row r="480" spans="1:68" ht="14.25" customHeight="1" x14ac:dyDescent="0.25">
      <c r="A480" s="668" t="s">
        <v>62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84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85"/>
      <c r="P487" s="669" t="s">
        <v>72</v>
      </c>
      <c r="Q487" s="670"/>
      <c r="R487" s="670"/>
      <c r="S487" s="670"/>
      <c r="T487" s="670"/>
      <c r="U487" s="670"/>
      <c r="V487" s="67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x14ac:dyDescent="0.2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85"/>
      <c r="P488" s="669" t="s">
        <v>72</v>
      </c>
      <c r="Q488" s="670"/>
      <c r="R488" s="670"/>
      <c r="S488" s="670"/>
      <c r="T488" s="670"/>
      <c r="U488" s="670"/>
      <c r="V488" s="67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customHeight="1" x14ac:dyDescent="0.25">
      <c r="A489" s="668" t="s">
        <v>74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47"/>
      <c r="AB489" s="647"/>
      <c r="AC489" s="647"/>
    </row>
    <row r="490" spans="1:68" ht="27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84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85"/>
      <c r="P492" s="669" t="s">
        <v>72</v>
      </c>
      <c r="Q492" s="670"/>
      <c r="R492" s="670"/>
      <c r="S492" s="670"/>
      <c r="T492" s="670"/>
      <c r="U492" s="670"/>
      <c r="V492" s="67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x14ac:dyDescent="0.2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85"/>
      <c r="P493" s="669" t="s">
        <v>72</v>
      </c>
      <c r="Q493" s="670"/>
      <c r="R493" s="670"/>
      <c r="S493" s="670"/>
      <c r="T493" s="670"/>
      <c r="U493" s="670"/>
      <c r="V493" s="67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customHeight="1" x14ac:dyDescent="0.25">
      <c r="A494" s="664" t="s">
        <v>792</v>
      </c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46"/>
      <c r="AB494" s="646"/>
      <c r="AC494" s="646"/>
    </row>
    <row r="495" spans="1:68" ht="14.25" customHeight="1" x14ac:dyDescent="0.25">
      <c r="A495" s="668" t="s">
        <v>144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47"/>
      <c r="AB495" s="647"/>
      <c r="AC495" s="647"/>
    </row>
    <row r="496" spans="1:68" ht="27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84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85"/>
      <c r="P497" s="669" t="s">
        <v>72</v>
      </c>
      <c r="Q497" s="670"/>
      <c r="R497" s="670"/>
      <c r="S497" s="670"/>
      <c r="T497" s="670"/>
      <c r="U497" s="670"/>
      <c r="V497" s="67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x14ac:dyDescent="0.2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85"/>
      <c r="P498" s="669" t="s">
        <v>72</v>
      </c>
      <c r="Q498" s="670"/>
      <c r="R498" s="670"/>
      <c r="S498" s="670"/>
      <c r="T498" s="670"/>
      <c r="U498" s="670"/>
      <c r="V498" s="67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customHeight="1" x14ac:dyDescent="0.25">
      <c r="A499" s="668" t="s">
        <v>62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85"/>
      <c r="P503" s="669" t="s">
        <v>72</v>
      </c>
      <c r="Q503" s="670"/>
      <c r="R503" s="670"/>
      <c r="S503" s="670"/>
      <c r="T503" s="670"/>
      <c r="U503" s="670"/>
      <c r="V503" s="67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x14ac:dyDescent="0.2">
      <c r="A504" s="665"/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85"/>
      <c r="P504" s="669" t="s">
        <v>72</v>
      </c>
      <c r="Q504" s="670"/>
      <c r="R504" s="670"/>
      <c r="S504" s="670"/>
      <c r="T504" s="670"/>
      <c r="U504" s="670"/>
      <c r="V504" s="67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customHeight="1" x14ac:dyDescent="0.2">
      <c r="A505" s="666" t="s">
        <v>804</v>
      </c>
      <c r="B505" s="667"/>
      <c r="C505" s="667"/>
      <c r="D505" s="667"/>
      <c r="E505" s="667"/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  <c r="Z505" s="667"/>
      <c r="AA505" s="48"/>
      <c r="AB505" s="48"/>
      <c r="AC505" s="48"/>
    </row>
    <row r="506" spans="1:68" ht="16.5" customHeight="1" x14ac:dyDescent="0.25">
      <c r="A506" s="664" t="s">
        <v>804</v>
      </c>
      <c r="B506" s="665"/>
      <c r="C506" s="665"/>
      <c r="D506" s="665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46"/>
      <c r="AB506" s="646"/>
      <c r="AC506" s="646"/>
    </row>
    <row r="507" spans="1:68" ht="14.25" customHeight="1" x14ac:dyDescent="0.25">
      <c r="A507" s="668" t="s">
        <v>111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0</v>
      </c>
      <c r="Y508" s="652">
        <f t="shared" ref="Y508:Y516" si="75">IFERROR(IF(X508="",0,CEILING((X508/$H508),1)*$H508),"")</f>
        <v>0</v>
      </c>
      <c r="Z508" s="36" t="str">
        <f t="shared" ref="Z508:Z513" si="76">IFERROR(IF(Y508=0,"",ROUNDUP(Y508/H508,0)*0.01196),"")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0</v>
      </c>
      <c r="BN508" s="64">
        <f t="shared" ref="BN508:BN516" si="78">IFERROR(Y508*I508/H508,"0")</f>
        <v>0</v>
      </c>
      <c r="BO508" s="64">
        <f t="shared" ref="BO508:BO516" si="79">IFERROR(1/J508*(X508/H508),"0")</f>
        <v>0</v>
      </c>
      <c r="BP508" s="64">
        <f t="shared" ref="BP508:BP516" si="80">IFERROR(1/J508*(Y508/H508),"0")</f>
        <v>0</v>
      </c>
    </row>
    <row r="509" spans="1:68" ht="16.5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0</v>
      </c>
      <c r="Y510" s="652">
        <f t="shared" si="75"/>
        <v>0</v>
      </c>
      <c r="Z510" s="36" t="str">
        <f t="shared" si="76"/>
        <v/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1618</v>
      </c>
      <c r="Y511" s="652">
        <f t="shared" si="75"/>
        <v>1620.96</v>
      </c>
      <c r="Z511" s="36">
        <f t="shared" si="76"/>
        <v>3.6717200000000001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1725.2537878787878</v>
      </c>
      <c r="BN511" s="64">
        <f t="shared" si="78"/>
        <v>1728.41</v>
      </c>
      <c r="BO511" s="64">
        <f t="shared" si="79"/>
        <v>2.9465326340326343</v>
      </c>
      <c r="BP511" s="64">
        <f t="shared" si="80"/>
        <v>2.9519230769230771</v>
      </c>
    </row>
    <row r="512" spans="1:68" ht="16.5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1773</v>
      </c>
      <c r="Y513" s="652">
        <f t="shared" si="75"/>
        <v>1774.0800000000002</v>
      </c>
      <c r="Z513" s="36">
        <f t="shared" si="76"/>
        <v>4.0185599999999999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1890.528409090909</v>
      </c>
      <c r="BN513" s="64">
        <f t="shared" si="78"/>
        <v>1891.68</v>
      </c>
      <c r="BO513" s="64">
        <f t="shared" si="79"/>
        <v>3.2288024475524475</v>
      </c>
      <c r="BP513" s="64">
        <f t="shared" si="80"/>
        <v>3.2307692307692308</v>
      </c>
    </row>
    <row r="514" spans="1:68" ht="27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0</v>
      </c>
      <c r="Y516" s="652">
        <f t="shared" si="75"/>
        <v>0</v>
      </c>
      <c r="Z516" s="36" t="str">
        <f>IFERROR(IF(Y516=0,"",ROUNDUP(Y516/H516,0)*0.00902),"")</f>
        <v/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0</v>
      </c>
      <c r="BN516" s="64">
        <f t="shared" si="78"/>
        <v>0</v>
      </c>
      <c r="BO516" s="64">
        <f t="shared" si="79"/>
        <v>0</v>
      </c>
      <c r="BP516" s="64">
        <f t="shared" si="80"/>
        <v>0</v>
      </c>
    </row>
    <row r="517" spans="1:68" x14ac:dyDescent="0.2">
      <c r="A517" s="684"/>
      <c r="B517" s="665"/>
      <c r="C517" s="665"/>
      <c r="D517" s="665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85"/>
      <c r="P517" s="669" t="s">
        <v>72</v>
      </c>
      <c r="Q517" s="670"/>
      <c r="R517" s="670"/>
      <c r="S517" s="670"/>
      <c r="T517" s="670"/>
      <c r="U517" s="670"/>
      <c r="V517" s="67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642.2348484848485</v>
      </c>
      <c r="Y517" s="653">
        <f>IFERROR(Y508/H508,"0")+IFERROR(Y509/H509,"0")+IFERROR(Y510/H510,"0")+IFERROR(Y511/H511,"0")+IFERROR(Y512/H512,"0")+IFERROR(Y513/H513,"0")+IFERROR(Y514/H514,"0")+IFERROR(Y515/H515,"0")+IFERROR(Y516/H516,"0")</f>
        <v>643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7.6902799999999996</v>
      </c>
      <c r="AA517" s="654"/>
      <c r="AB517" s="654"/>
      <c r="AC517" s="654"/>
    </row>
    <row r="518" spans="1:68" x14ac:dyDescent="0.2">
      <c r="A518" s="665"/>
      <c r="B518" s="665"/>
      <c r="C518" s="665"/>
      <c r="D518" s="665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85"/>
      <c r="P518" s="669" t="s">
        <v>72</v>
      </c>
      <c r="Q518" s="670"/>
      <c r="R518" s="670"/>
      <c r="S518" s="670"/>
      <c r="T518" s="670"/>
      <c r="U518" s="670"/>
      <c r="V518" s="671"/>
      <c r="W518" s="37" t="s">
        <v>67</v>
      </c>
      <c r="X518" s="653">
        <f>IFERROR(SUM(X508:X516),"0")</f>
        <v>3391</v>
      </c>
      <c r="Y518" s="653">
        <f>IFERROR(SUM(Y508:Y516),"0")</f>
        <v>3395.04</v>
      </c>
      <c r="Z518" s="37"/>
      <c r="AA518" s="654"/>
      <c r="AB518" s="654"/>
      <c r="AC518" s="654"/>
    </row>
    <row r="519" spans="1:68" ht="14.25" customHeight="1" x14ac:dyDescent="0.25">
      <c r="A519" s="668" t="s">
        <v>144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800</v>
      </c>
      <c r="Y520" s="652">
        <f>IFERROR(IF(X520="",0,CEILING((X520/$H520),1)*$H520),"")</f>
        <v>802.56000000000006</v>
      </c>
      <c r="Z520" s="36">
        <f>IFERROR(IF(Y520=0,"",ROUNDUP(Y520/H520,0)*0.01196),"")</f>
        <v>1.81792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853.030303030303</v>
      </c>
      <c r="BN520" s="64">
        <f>IFERROR(Y520*I520/H520,"0")</f>
        <v>855.76</v>
      </c>
      <c r="BO520" s="64">
        <f>IFERROR(1/J520*(X520/H520),"0")</f>
        <v>1.4568764568764567</v>
      </c>
      <c r="BP520" s="64">
        <f>IFERROR(1/J520*(Y520/H520),"0")</f>
        <v>1.4615384615384617</v>
      </c>
    </row>
    <row r="521" spans="1:68" ht="16.5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0</v>
      </c>
      <c r="Y522" s="652">
        <f>IFERROR(IF(X522="",0,CEILING((X522/$H522),1)*$H522),"")</f>
        <v>0</v>
      </c>
      <c r="Z522" s="36" t="str">
        <f>IFERROR(IF(Y522=0,"",ROUNDUP(Y522/H522,0)*0.00902),"")</f>
        <v/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84"/>
      <c r="B523" s="665"/>
      <c r="C523" s="665"/>
      <c r="D523" s="665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85"/>
      <c r="P523" s="669" t="s">
        <v>72</v>
      </c>
      <c r="Q523" s="670"/>
      <c r="R523" s="670"/>
      <c r="S523" s="670"/>
      <c r="T523" s="670"/>
      <c r="U523" s="670"/>
      <c r="V523" s="671"/>
      <c r="W523" s="37" t="s">
        <v>73</v>
      </c>
      <c r="X523" s="653">
        <f>IFERROR(X520/H520,"0")+IFERROR(X521/H521,"0")+IFERROR(X522/H522,"0")</f>
        <v>151.5151515151515</v>
      </c>
      <c r="Y523" s="653">
        <f>IFERROR(Y520/H520,"0")+IFERROR(Y521/H521,"0")+IFERROR(Y522/H522,"0")</f>
        <v>152</v>
      </c>
      <c r="Z523" s="653">
        <f>IFERROR(IF(Z520="",0,Z520),"0")+IFERROR(IF(Z521="",0,Z521),"0")+IFERROR(IF(Z522="",0,Z522),"0")</f>
        <v>1.81792</v>
      </c>
      <c r="AA523" s="654"/>
      <c r="AB523" s="654"/>
      <c r="AC523" s="654"/>
    </row>
    <row r="524" spans="1:68" x14ac:dyDescent="0.2">
      <c r="A524" s="665"/>
      <c r="B524" s="665"/>
      <c r="C524" s="665"/>
      <c r="D524" s="665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85"/>
      <c r="P524" s="669" t="s">
        <v>72</v>
      </c>
      <c r="Q524" s="670"/>
      <c r="R524" s="670"/>
      <c r="S524" s="670"/>
      <c r="T524" s="670"/>
      <c r="U524" s="670"/>
      <c r="V524" s="671"/>
      <c r="W524" s="37" t="s">
        <v>67</v>
      </c>
      <c r="X524" s="653">
        <f>IFERROR(SUM(X520:X522),"0")</f>
        <v>800</v>
      </c>
      <c r="Y524" s="653">
        <f>IFERROR(SUM(Y520:Y522),"0")</f>
        <v>802.56000000000006</v>
      </c>
      <c r="Z524" s="37"/>
      <c r="AA524" s="654"/>
      <c r="AB524" s="654"/>
      <c r="AC524" s="654"/>
    </row>
    <row r="525" spans="1:68" ht="14.25" customHeight="1" x14ac:dyDescent="0.25">
      <c r="A525" s="668" t="s">
        <v>62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182</v>
      </c>
      <c r="Y526" s="652">
        <f t="shared" ref="Y526:Y532" si="81">IFERROR(IF(X526="",0,CEILING((X526/$H526),1)*$H526),"")</f>
        <v>184.8</v>
      </c>
      <c r="Z526" s="36">
        <f>IFERROR(IF(Y526=0,"",ROUNDUP(Y526/H526,0)*0.01196),"")</f>
        <v>0.41860000000000003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194.06439393939394</v>
      </c>
      <c r="BN526" s="64">
        <f t="shared" ref="BN526:BN532" si="83">IFERROR(Y526*I526/H526,"0")</f>
        <v>197.04999999999998</v>
      </c>
      <c r="BO526" s="64">
        <f t="shared" ref="BO526:BO532" si="84">IFERROR(1/J526*(X526/H526),"0")</f>
        <v>0.33143939393939392</v>
      </c>
      <c r="BP526" s="64">
        <f t="shared" ref="BP526:BP532" si="85">IFERROR(1/J526*(Y526/H526),"0")</f>
        <v>0.33653846153846156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331</v>
      </c>
      <c r="Y527" s="652">
        <f t="shared" si="81"/>
        <v>332.64000000000004</v>
      </c>
      <c r="Z527" s="36">
        <f>IFERROR(IF(Y527=0,"",ROUNDUP(Y527/H527,0)*0.01196),"")</f>
        <v>0.75348000000000004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352.94128787878788</v>
      </c>
      <c r="BN527" s="64">
        <f t="shared" si="83"/>
        <v>354.69</v>
      </c>
      <c r="BO527" s="64">
        <f t="shared" si="84"/>
        <v>0.6027826340326341</v>
      </c>
      <c r="BP527" s="64">
        <f t="shared" si="85"/>
        <v>0.60576923076923084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500</v>
      </c>
      <c r="Y528" s="652">
        <f t="shared" si="81"/>
        <v>501.6</v>
      </c>
      <c r="Z528" s="36">
        <f>IFERROR(IF(Y528=0,"",ROUNDUP(Y528/H528,0)*0.01196),"")</f>
        <v>1.1362000000000001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533.14393939393938</v>
      </c>
      <c r="BN528" s="64">
        <f t="shared" si="83"/>
        <v>534.85</v>
      </c>
      <c r="BO528" s="64">
        <f t="shared" si="84"/>
        <v>0.91054778554778548</v>
      </c>
      <c r="BP528" s="64">
        <f t="shared" si="85"/>
        <v>0.91346153846153855</v>
      </c>
    </row>
    <row r="529" spans="1:68" ht="27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9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84"/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85"/>
      <c r="P533" s="669" t="s">
        <v>72</v>
      </c>
      <c r="Q533" s="670"/>
      <c r="R533" s="670"/>
      <c r="S533" s="670"/>
      <c r="T533" s="670"/>
      <c r="U533" s="670"/>
      <c r="V533" s="67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191.85606060606059</v>
      </c>
      <c r="Y533" s="653">
        <f>IFERROR(Y526/H526,"0")+IFERROR(Y527/H527,"0")+IFERROR(Y528/H528,"0")+IFERROR(Y529/H529,"0")+IFERROR(Y530/H530,"0")+IFERROR(Y531/H531,"0")+IFERROR(Y532/H532,"0")</f>
        <v>193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2.3082799999999999</v>
      </c>
      <c r="AA533" s="654"/>
      <c r="AB533" s="654"/>
      <c r="AC533" s="654"/>
    </row>
    <row r="534" spans="1:68" x14ac:dyDescent="0.2">
      <c r="A534" s="665"/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85"/>
      <c r="P534" s="669" t="s">
        <v>72</v>
      </c>
      <c r="Q534" s="670"/>
      <c r="R534" s="670"/>
      <c r="S534" s="670"/>
      <c r="T534" s="670"/>
      <c r="U534" s="670"/>
      <c r="V534" s="671"/>
      <c r="W534" s="37" t="s">
        <v>67</v>
      </c>
      <c r="X534" s="653">
        <f>IFERROR(SUM(X526:X532),"0")</f>
        <v>1013</v>
      </c>
      <c r="Y534" s="653">
        <f>IFERROR(SUM(Y526:Y532),"0")</f>
        <v>1019.0400000000001</v>
      </c>
      <c r="Z534" s="37"/>
      <c r="AA534" s="654"/>
      <c r="AB534" s="654"/>
      <c r="AC534" s="654"/>
    </row>
    <row r="535" spans="1:68" ht="27.75" customHeight="1" x14ac:dyDescent="0.2">
      <c r="A535" s="666" t="s">
        <v>851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48"/>
      <c r="AB535" s="48"/>
      <c r="AC535" s="48"/>
    </row>
    <row r="536" spans="1:68" ht="16.5" customHeight="1" x14ac:dyDescent="0.25">
      <c r="A536" s="664" t="s">
        <v>851</v>
      </c>
      <c r="B536" s="665"/>
      <c r="C536" s="665"/>
      <c r="D536" s="665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46"/>
      <c r="AB536" s="646"/>
      <c r="AC536" s="646"/>
    </row>
    <row r="537" spans="1:68" ht="14.25" customHeight="1" x14ac:dyDescent="0.25">
      <c r="A537" s="668" t="s">
        <v>111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47"/>
      <c r="AB537" s="647"/>
      <c r="AC537" s="647"/>
    </row>
    <row r="538" spans="1:68" ht="27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84"/>
      <c r="B539" s="665"/>
      <c r="C539" s="665"/>
      <c r="D539" s="665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85"/>
      <c r="P539" s="669" t="s">
        <v>72</v>
      </c>
      <c r="Q539" s="670"/>
      <c r="R539" s="670"/>
      <c r="S539" s="670"/>
      <c r="T539" s="670"/>
      <c r="U539" s="670"/>
      <c r="V539" s="67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x14ac:dyDescent="0.2">
      <c r="A540" s="665"/>
      <c r="B540" s="665"/>
      <c r="C540" s="665"/>
      <c r="D540" s="665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85"/>
      <c r="P540" s="669" t="s">
        <v>72</v>
      </c>
      <c r="Q540" s="670"/>
      <c r="R540" s="670"/>
      <c r="S540" s="670"/>
      <c r="T540" s="670"/>
      <c r="U540" s="670"/>
      <c r="V540" s="67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customHeight="1" x14ac:dyDescent="0.25">
      <c r="A541" s="668" t="s">
        <v>144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47"/>
      <c r="AB541" s="647"/>
      <c r="AC541" s="647"/>
    </row>
    <row r="542" spans="1:68" ht="27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84"/>
      <c r="B543" s="665"/>
      <c r="C543" s="665"/>
      <c r="D543" s="665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85"/>
      <c r="P543" s="669" t="s">
        <v>72</v>
      </c>
      <c r="Q543" s="670"/>
      <c r="R543" s="670"/>
      <c r="S543" s="670"/>
      <c r="T543" s="670"/>
      <c r="U543" s="670"/>
      <c r="V543" s="67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x14ac:dyDescent="0.2">
      <c r="A544" s="665"/>
      <c r="B544" s="665"/>
      <c r="C544" s="665"/>
      <c r="D544" s="665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85"/>
      <c r="P544" s="669" t="s">
        <v>72</v>
      </c>
      <c r="Q544" s="670"/>
      <c r="R544" s="670"/>
      <c r="S544" s="670"/>
      <c r="T544" s="670"/>
      <c r="U544" s="670"/>
      <c r="V544" s="67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customHeight="1" x14ac:dyDescent="0.25">
      <c r="A545" s="668" t="s">
        <v>62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47"/>
      <c r="AB545" s="647"/>
      <c r="AC545" s="647"/>
    </row>
    <row r="546" spans="1:68" ht="27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84"/>
      <c r="B547" s="665"/>
      <c r="C547" s="665"/>
      <c r="D547" s="665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85"/>
      <c r="P547" s="669" t="s">
        <v>72</v>
      </c>
      <c r="Q547" s="670"/>
      <c r="R547" s="670"/>
      <c r="S547" s="670"/>
      <c r="T547" s="670"/>
      <c r="U547" s="670"/>
      <c r="V547" s="67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x14ac:dyDescent="0.2">
      <c r="A548" s="665"/>
      <c r="B548" s="665"/>
      <c r="C548" s="665"/>
      <c r="D548" s="665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85"/>
      <c r="P548" s="669" t="s">
        <v>72</v>
      </c>
      <c r="Q548" s="670"/>
      <c r="R548" s="670"/>
      <c r="S548" s="670"/>
      <c r="T548" s="670"/>
      <c r="U548" s="670"/>
      <c r="V548" s="67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customHeight="1" x14ac:dyDescent="0.25">
      <c r="A549" s="668" t="s">
        <v>74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0</v>
      </c>
      <c r="Y550" s="65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x14ac:dyDescent="0.2">
      <c r="A551" s="684"/>
      <c r="B551" s="665"/>
      <c r="C551" s="665"/>
      <c r="D551" s="665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85"/>
      <c r="P551" s="669" t="s">
        <v>72</v>
      </c>
      <c r="Q551" s="670"/>
      <c r="R551" s="670"/>
      <c r="S551" s="670"/>
      <c r="T551" s="670"/>
      <c r="U551" s="670"/>
      <c r="V551" s="671"/>
      <c r="W551" s="37" t="s">
        <v>73</v>
      </c>
      <c r="X551" s="653">
        <f>IFERROR(X550/H550,"0")</f>
        <v>0</v>
      </c>
      <c r="Y551" s="653">
        <f>IFERROR(Y550/H550,"0")</f>
        <v>0</v>
      </c>
      <c r="Z551" s="653">
        <f>IFERROR(IF(Z550="",0,Z550),"0")</f>
        <v>0</v>
      </c>
      <c r="AA551" s="654"/>
      <c r="AB551" s="654"/>
      <c r="AC551" s="654"/>
    </row>
    <row r="552" spans="1:68" x14ac:dyDescent="0.2">
      <c r="A552" s="665"/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85"/>
      <c r="P552" s="669" t="s">
        <v>72</v>
      </c>
      <c r="Q552" s="670"/>
      <c r="R552" s="670"/>
      <c r="S552" s="670"/>
      <c r="T552" s="670"/>
      <c r="U552" s="670"/>
      <c r="V552" s="671"/>
      <c r="W552" s="37" t="s">
        <v>67</v>
      </c>
      <c r="X552" s="653">
        <f>IFERROR(SUM(X550:X550),"0")</f>
        <v>0</v>
      </c>
      <c r="Y552" s="653">
        <f>IFERROR(SUM(Y550:Y550),"0")</f>
        <v>0</v>
      </c>
      <c r="Z552" s="37"/>
      <c r="AA552" s="654"/>
      <c r="AB552" s="654"/>
      <c r="AC552" s="654"/>
    </row>
    <row r="553" spans="1:68" ht="14.25" customHeight="1" x14ac:dyDescent="0.25">
      <c r="A553" s="668" t="s">
        <v>162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47"/>
      <c r="AB553" s="647"/>
      <c r="AC553" s="647"/>
    </row>
    <row r="554" spans="1:68" ht="27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3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x14ac:dyDescent="0.2">
      <c r="A556" s="684"/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85"/>
      <c r="P556" s="669" t="s">
        <v>72</v>
      </c>
      <c r="Q556" s="670"/>
      <c r="R556" s="670"/>
      <c r="S556" s="670"/>
      <c r="T556" s="670"/>
      <c r="U556" s="670"/>
      <c r="V556" s="67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x14ac:dyDescent="0.2">
      <c r="A557" s="665"/>
      <c r="B557" s="665"/>
      <c r="C557" s="665"/>
      <c r="D557" s="665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85"/>
      <c r="P557" s="669" t="s">
        <v>72</v>
      </c>
      <c r="Q557" s="670"/>
      <c r="R557" s="670"/>
      <c r="S557" s="670"/>
      <c r="T557" s="670"/>
      <c r="U557" s="670"/>
      <c r="V557" s="67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customHeight="1" x14ac:dyDescent="0.25">
      <c r="A558" s="664" t="s">
        <v>870</v>
      </c>
      <c r="B558" s="665"/>
      <c r="C558" s="665"/>
      <c r="D558" s="665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46"/>
      <c r="AB558" s="646"/>
      <c r="AC558" s="646"/>
    </row>
    <row r="559" spans="1:68" ht="14.25" customHeight="1" x14ac:dyDescent="0.25">
      <c r="A559" s="668" t="s">
        <v>144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47"/>
      <c r="AB559" s="647"/>
      <c r="AC559" s="647"/>
    </row>
    <row r="560" spans="1:68" ht="27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x14ac:dyDescent="0.2">
      <c r="A561" s="684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85"/>
      <c r="P561" s="669" t="s">
        <v>72</v>
      </c>
      <c r="Q561" s="670"/>
      <c r="R561" s="670"/>
      <c r="S561" s="670"/>
      <c r="T561" s="670"/>
      <c r="U561" s="670"/>
      <c r="V561" s="67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x14ac:dyDescent="0.2">
      <c r="A562" s="665"/>
      <c r="B562" s="665"/>
      <c r="C562" s="665"/>
      <c r="D562" s="665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85"/>
      <c r="P562" s="669" t="s">
        <v>72</v>
      </c>
      <c r="Q562" s="670"/>
      <c r="R562" s="670"/>
      <c r="S562" s="670"/>
      <c r="T562" s="670"/>
      <c r="U562" s="670"/>
      <c r="V562" s="67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23"/>
      <c r="B563" s="665"/>
      <c r="C563" s="665"/>
      <c r="D563" s="665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824"/>
      <c r="P563" s="709" t="s">
        <v>874</v>
      </c>
      <c r="Q563" s="710"/>
      <c r="R563" s="710"/>
      <c r="S563" s="710"/>
      <c r="T563" s="710"/>
      <c r="U563" s="710"/>
      <c r="V563" s="711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16051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16165.960000000001</v>
      </c>
      <c r="Z563" s="37"/>
      <c r="AA563" s="654"/>
      <c r="AB563" s="654"/>
      <c r="AC563" s="654"/>
    </row>
    <row r="564" spans="1:32" x14ac:dyDescent="0.2">
      <c r="A564" s="665"/>
      <c r="B564" s="665"/>
      <c r="C564" s="665"/>
      <c r="D564" s="665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824"/>
      <c r="P564" s="709" t="s">
        <v>875</v>
      </c>
      <c r="Q564" s="710"/>
      <c r="R564" s="710"/>
      <c r="S564" s="710"/>
      <c r="T564" s="710"/>
      <c r="U564" s="710"/>
      <c r="V564" s="711"/>
      <c r="W564" s="37" t="s">
        <v>67</v>
      </c>
      <c r="X564" s="653">
        <f>IFERROR(SUM(BM22:BM560),"0")</f>
        <v>17067.783383790989</v>
      </c>
      <c r="Y564" s="653">
        <f>IFERROR(SUM(BN22:BN560),"0")</f>
        <v>17189.900999999998</v>
      </c>
      <c r="Z564" s="37"/>
      <c r="AA564" s="654"/>
      <c r="AB564" s="654"/>
      <c r="AC564" s="654"/>
    </row>
    <row r="565" spans="1:32" x14ac:dyDescent="0.2">
      <c r="A565" s="665"/>
      <c r="B565" s="665"/>
      <c r="C565" s="665"/>
      <c r="D565" s="665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824"/>
      <c r="P565" s="709" t="s">
        <v>876</v>
      </c>
      <c r="Q565" s="710"/>
      <c r="R565" s="710"/>
      <c r="S565" s="710"/>
      <c r="T565" s="710"/>
      <c r="U565" s="710"/>
      <c r="V565" s="711"/>
      <c r="W565" s="37" t="s">
        <v>877</v>
      </c>
      <c r="X565" s="38">
        <f>ROUNDUP(SUM(BO22:BO560),0)</f>
        <v>30</v>
      </c>
      <c r="Y565" s="38">
        <f>ROUNDUP(SUM(BP22:BP560),0)</f>
        <v>30</v>
      </c>
      <c r="Z565" s="37"/>
      <c r="AA565" s="654"/>
      <c r="AB565" s="654"/>
      <c r="AC565" s="654"/>
    </row>
    <row r="566" spans="1:32" x14ac:dyDescent="0.2">
      <c r="A566" s="665"/>
      <c r="B566" s="665"/>
      <c r="C566" s="665"/>
      <c r="D566" s="665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824"/>
      <c r="P566" s="709" t="s">
        <v>878</v>
      </c>
      <c r="Q566" s="710"/>
      <c r="R566" s="710"/>
      <c r="S566" s="710"/>
      <c r="T566" s="710"/>
      <c r="U566" s="710"/>
      <c r="V566" s="711"/>
      <c r="W566" s="37" t="s">
        <v>67</v>
      </c>
      <c r="X566" s="653">
        <f>GrossWeightTotal+PalletQtyTotal*25</f>
        <v>17817.783383790989</v>
      </c>
      <c r="Y566" s="653">
        <f>GrossWeightTotalR+PalletQtyTotalR*25</f>
        <v>17939.900999999998</v>
      </c>
      <c r="Z566" s="37"/>
      <c r="AA566" s="654"/>
      <c r="AB566" s="654"/>
      <c r="AC566" s="654"/>
    </row>
    <row r="567" spans="1:32" x14ac:dyDescent="0.2">
      <c r="A567" s="665"/>
      <c r="B567" s="665"/>
      <c r="C567" s="665"/>
      <c r="D567" s="665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824"/>
      <c r="P567" s="709" t="s">
        <v>879</v>
      </c>
      <c r="Q567" s="710"/>
      <c r="R567" s="710"/>
      <c r="S567" s="710"/>
      <c r="T567" s="710"/>
      <c r="U567" s="710"/>
      <c r="V567" s="711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3088.2364853905938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3115</v>
      </c>
      <c r="Z567" s="37"/>
      <c r="AA567" s="654"/>
      <c r="AB567" s="654"/>
      <c r="AC567" s="654"/>
    </row>
    <row r="568" spans="1:32" ht="14.25" customHeight="1" x14ac:dyDescent="0.2">
      <c r="A568" s="665"/>
      <c r="B568" s="665"/>
      <c r="C568" s="665"/>
      <c r="D568" s="665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824"/>
      <c r="P568" s="709" t="s">
        <v>880</v>
      </c>
      <c r="Q568" s="710"/>
      <c r="R568" s="710"/>
      <c r="S568" s="710"/>
      <c r="T568" s="710"/>
      <c r="U568" s="710"/>
      <c r="V568" s="711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36.384119999999996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74" t="s">
        <v>109</v>
      </c>
      <c r="E570" s="742"/>
      <c r="F570" s="742"/>
      <c r="G570" s="742"/>
      <c r="H570" s="742"/>
      <c r="I570" s="742"/>
      <c r="J570" s="743"/>
      <c r="K570" s="674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74" t="s">
        <v>702</v>
      </c>
      <c r="X570" s="743"/>
      <c r="Y570" s="674" t="s">
        <v>768</v>
      </c>
      <c r="Z570" s="743"/>
      <c r="AA570" s="648" t="s">
        <v>804</v>
      </c>
      <c r="AB570" s="674" t="s">
        <v>851</v>
      </c>
      <c r="AC570" s="743"/>
      <c r="AF570" s="649"/>
    </row>
    <row r="571" spans="1:32" ht="14.25" customHeight="1" thickTop="1" x14ac:dyDescent="0.2">
      <c r="A571" s="911" t="s">
        <v>883</v>
      </c>
      <c r="B571" s="674" t="s">
        <v>61</v>
      </c>
      <c r="C571" s="674" t="s">
        <v>93</v>
      </c>
      <c r="D571" s="674" t="s">
        <v>110</v>
      </c>
      <c r="E571" s="674" t="s">
        <v>126</v>
      </c>
      <c r="F571" s="674" t="s">
        <v>171</v>
      </c>
      <c r="G571" s="674" t="s">
        <v>201</v>
      </c>
      <c r="H571" s="674" t="s">
        <v>254</v>
      </c>
      <c r="I571" s="674" t="s">
        <v>267</v>
      </c>
      <c r="J571" s="674" t="s">
        <v>109</v>
      </c>
      <c r="K571" s="674" t="s">
        <v>360</v>
      </c>
      <c r="L571" s="674" t="s">
        <v>381</v>
      </c>
      <c r="M571" s="674" t="s">
        <v>448</v>
      </c>
      <c r="N571" s="649"/>
      <c r="O571" s="674" t="s">
        <v>516</v>
      </c>
      <c r="P571" s="674" t="s">
        <v>549</v>
      </c>
      <c r="Q571" s="674" t="s">
        <v>565</v>
      </c>
      <c r="R571" s="674" t="s">
        <v>574</v>
      </c>
      <c r="S571" s="674" t="s">
        <v>595</v>
      </c>
      <c r="T571" s="674" t="s">
        <v>604</v>
      </c>
      <c r="U571" s="674" t="s">
        <v>685</v>
      </c>
      <c r="V571" s="674" t="s">
        <v>692</v>
      </c>
      <c r="W571" s="674" t="s">
        <v>703</v>
      </c>
      <c r="X571" s="674" t="s">
        <v>752</v>
      </c>
      <c r="Y571" s="674" t="s">
        <v>769</v>
      </c>
      <c r="Z571" s="674" t="s">
        <v>792</v>
      </c>
      <c r="AA571" s="674" t="s">
        <v>804</v>
      </c>
      <c r="AB571" s="674" t="s">
        <v>851</v>
      </c>
      <c r="AC571" s="674" t="s">
        <v>870</v>
      </c>
      <c r="AF571" s="649"/>
    </row>
    <row r="572" spans="1:32" ht="13.5" customHeight="1" thickBot="1" x14ac:dyDescent="0.25">
      <c r="A572" s="912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49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  <c r="AA572" s="675"/>
      <c r="AB572" s="675"/>
      <c r="AC572" s="675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334.8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518.40000000000009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1386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2850.3</v>
      </c>
      <c r="H573" s="46">
        <f>IFERROR(Y140*1,"0")+IFERROR(Y141*1,"0")+IFERROR(Y145*1,"0")+IFERROR(Y146*1,"0")+IFERROR(Y150*1,"0")+IFERROR(Y151*1,"0")</f>
        <v>0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631.46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83.679999999999993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1464.6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5.4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91.2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585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669.28000000000009</v>
      </c>
      <c r="U573" s="46">
        <f>IFERROR(Y421*1,"0")+IFERROR(Y422*1,"0")</f>
        <v>0</v>
      </c>
      <c r="V573" s="46">
        <f>IFERROR(Y427*1,"0")+IFERROR(Y428*1,"0")+IFERROR(Y429*1,"0")</f>
        <v>50.400000000000006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735</v>
      </c>
      <c r="X573" s="46">
        <f>IFERROR(Y464*1,"0")+IFERROR(Y465*1,"0")+IFERROR(Y469*1,"0")+IFERROR(Y473*1,"0")+IFERROR(Y474*1,"0")+IFERROR(Y475*1,"0")</f>
        <v>1543.8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5216.6400000000012</v>
      </c>
      <c r="AB573" s="46">
        <f>IFERROR(Y538*1,"0")+IFERROR(Y542*1,"0")+IFERROR(Y546*1,"0")+IFERROR(Y550*1,"0")+IFERROR(Y554*1,"0")+IFERROR(Y555*1,"0")</f>
        <v>0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11">
    <mergeCell ref="P363:T36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210:V210"/>
    <mergeCell ref="A35:Z35"/>
    <mergeCell ref="P510:T510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A539:O540"/>
    <mergeCell ref="P409:T409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A323:O324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P471:V471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114:Z114"/>
    <mergeCell ref="P68:V68"/>
    <mergeCell ref="P439:T439"/>
    <mergeCell ref="D249:E249"/>
    <mergeCell ref="D276:E276"/>
    <mergeCell ref="P200:T200"/>
    <mergeCell ref="P134:T134"/>
    <mergeCell ref="P243:T243"/>
    <mergeCell ref="P436:T436"/>
    <mergeCell ref="A425:Z425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554:T554"/>
    <mergeCell ref="A112:O113"/>
    <mergeCell ref="D364:E364"/>
    <mergeCell ref="A299:O300"/>
    <mergeCell ref="D435:E435"/>
    <mergeCell ref="D186:E186"/>
    <mergeCell ref="P109:T109"/>
    <mergeCell ref="D217:E217"/>
    <mergeCell ref="D484:E484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P316:V316"/>
    <mergeCell ref="H10:M10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D554:E554"/>
    <mergeCell ref="A356:Z356"/>
    <mergeCell ref="P538:T538"/>
    <mergeCell ref="A90:O91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P497:V497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96:E96"/>
    <mergeCell ref="P513:T513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I17:I18"/>
    <mergeCell ref="D141:E141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P470:V470"/>
    <mergeCell ref="D72:E72"/>
    <mergeCell ref="A301:Z301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50:T50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P567:V567"/>
    <mergeCell ref="P175:V175"/>
    <mergeCell ref="P240:T240"/>
    <mergeCell ref="P482:T482"/>
    <mergeCell ref="P460:V460"/>
    <mergeCell ref="P398:V39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P79:T79"/>
    <mergeCell ref="D473:E473"/>
    <mergeCell ref="D60:E60"/>
    <mergeCell ref="P73:T73"/>
    <mergeCell ref="P437:T437"/>
    <mergeCell ref="D187:E187"/>
    <mergeCell ref="P231:T231"/>
    <mergeCell ref="P302:T302"/>
    <mergeCell ref="A83:Z83"/>
    <mergeCell ref="D410:E410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