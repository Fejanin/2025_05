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150" windowHeight="7030"/>
  </bookViews>
  <sheets>
    <sheet name="Sheet" sheetId="1" r:id="rId1"/>
  </sheets>
  <definedNames>
    <definedName name="_xlnm._FilterDatabase" localSheetId="0" hidden="1">Sheet!$A$3:$AI$129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8" i="1" l="1"/>
  <c r="S88" i="1"/>
  <c r="S87" i="1"/>
  <c r="S86" i="1"/>
  <c r="S16" i="1"/>
  <c r="S15" i="1"/>
  <c r="AI123" i="1"/>
  <c r="AI53" i="1"/>
  <c r="AI49" i="1"/>
  <c r="AI45" i="1"/>
  <c r="AI37" i="1"/>
  <c r="R129" i="1"/>
  <c r="W129" i="1" s="1"/>
  <c r="L129" i="1"/>
  <c r="R128" i="1"/>
  <c r="W128" i="1" s="1"/>
  <c r="L128" i="1"/>
  <c r="R127" i="1"/>
  <c r="W127" i="1" s="1"/>
  <c r="L127" i="1"/>
  <c r="R126" i="1"/>
  <c r="L126" i="1"/>
  <c r="R125" i="1"/>
  <c r="W125" i="1" s="1"/>
  <c r="L125" i="1"/>
  <c r="R124" i="1"/>
  <c r="L124" i="1"/>
  <c r="R123" i="1"/>
  <c r="W123" i="1" s="1"/>
  <c r="L123" i="1"/>
  <c r="R122" i="1"/>
  <c r="L122" i="1"/>
  <c r="R121" i="1"/>
  <c r="W121" i="1" s="1"/>
  <c r="L121" i="1"/>
  <c r="R120" i="1"/>
  <c r="L120" i="1"/>
  <c r="R119" i="1"/>
  <c r="W119" i="1" s="1"/>
  <c r="L119" i="1"/>
  <c r="R118" i="1"/>
  <c r="L118" i="1"/>
  <c r="R117" i="1"/>
  <c r="W117" i="1" s="1"/>
  <c r="L117" i="1"/>
  <c r="R116" i="1"/>
  <c r="L116" i="1"/>
  <c r="R115" i="1"/>
  <c r="W115" i="1" s="1"/>
  <c r="L115" i="1"/>
  <c r="R114" i="1"/>
  <c r="L114" i="1"/>
  <c r="R113" i="1"/>
  <c r="L113" i="1"/>
  <c r="R112" i="1"/>
  <c r="W112" i="1" s="1"/>
  <c r="L112" i="1"/>
  <c r="R111" i="1"/>
  <c r="W111" i="1" s="1"/>
  <c r="L111" i="1"/>
  <c r="R110" i="1"/>
  <c r="W110" i="1" s="1"/>
  <c r="L110" i="1"/>
  <c r="R109" i="1"/>
  <c r="W109" i="1" s="1"/>
  <c r="L109" i="1"/>
  <c r="R108" i="1"/>
  <c r="V108" i="1" s="1"/>
  <c r="L108" i="1"/>
  <c r="R107" i="1"/>
  <c r="W107" i="1" s="1"/>
  <c r="L107" i="1"/>
  <c r="R106" i="1"/>
  <c r="L106" i="1"/>
  <c r="R105" i="1"/>
  <c r="L105" i="1"/>
  <c r="R104" i="1"/>
  <c r="W104" i="1" s="1"/>
  <c r="L104" i="1"/>
  <c r="R103" i="1"/>
  <c r="L103" i="1"/>
  <c r="AI102" i="1"/>
  <c r="R102" i="1"/>
  <c r="W102" i="1" s="1"/>
  <c r="L102" i="1"/>
  <c r="R101" i="1"/>
  <c r="W101" i="1" s="1"/>
  <c r="L101" i="1"/>
  <c r="R100" i="1"/>
  <c r="W100" i="1" s="1"/>
  <c r="L100" i="1"/>
  <c r="R99" i="1"/>
  <c r="W99" i="1" s="1"/>
  <c r="L99" i="1"/>
  <c r="R98" i="1"/>
  <c r="W98" i="1" s="1"/>
  <c r="L98" i="1"/>
  <c r="R97" i="1"/>
  <c r="W97" i="1" s="1"/>
  <c r="L97" i="1"/>
  <c r="R96" i="1"/>
  <c r="L96" i="1"/>
  <c r="R95" i="1"/>
  <c r="W95" i="1" s="1"/>
  <c r="L95" i="1"/>
  <c r="R94" i="1"/>
  <c r="L94" i="1"/>
  <c r="R93" i="1"/>
  <c r="W93" i="1" s="1"/>
  <c r="L93" i="1"/>
  <c r="R92" i="1"/>
  <c r="W92" i="1" s="1"/>
  <c r="L92" i="1"/>
  <c r="R91" i="1"/>
  <c r="W91" i="1" s="1"/>
  <c r="L91" i="1"/>
  <c r="R90" i="1"/>
  <c r="W90" i="1" s="1"/>
  <c r="L90" i="1"/>
  <c r="R89" i="1"/>
  <c r="L89" i="1"/>
  <c r="R88" i="1"/>
  <c r="W88" i="1" s="1"/>
  <c r="L88" i="1"/>
  <c r="R87" i="1"/>
  <c r="L87" i="1"/>
  <c r="R86" i="1"/>
  <c r="W86" i="1" s="1"/>
  <c r="L86" i="1"/>
  <c r="R85" i="1"/>
  <c r="W85" i="1" s="1"/>
  <c r="L85" i="1"/>
  <c r="R84" i="1"/>
  <c r="L84" i="1"/>
  <c r="R83" i="1"/>
  <c r="W83" i="1" s="1"/>
  <c r="L83" i="1"/>
  <c r="R82" i="1"/>
  <c r="L82" i="1"/>
  <c r="R81" i="1"/>
  <c r="W81" i="1" s="1"/>
  <c r="L81" i="1"/>
  <c r="R80" i="1"/>
  <c r="L80" i="1"/>
  <c r="R79" i="1"/>
  <c r="W79" i="1" s="1"/>
  <c r="L79" i="1"/>
  <c r="R78" i="1"/>
  <c r="L78" i="1"/>
  <c r="R77" i="1"/>
  <c r="W77" i="1" s="1"/>
  <c r="L77" i="1"/>
  <c r="R76" i="1"/>
  <c r="L76" i="1"/>
  <c r="R75" i="1"/>
  <c r="W75" i="1" s="1"/>
  <c r="L75" i="1"/>
  <c r="R74" i="1"/>
  <c r="L74" i="1"/>
  <c r="R73" i="1"/>
  <c r="W73" i="1" s="1"/>
  <c r="L73" i="1"/>
  <c r="R72" i="1"/>
  <c r="L72" i="1"/>
  <c r="R71" i="1"/>
  <c r="W71" i="1" s="1"/>
  <c r="L71" i="1"/>
  <c r="R70" i="1"/>
  <c r="L70" i="1"/>
  <c r="R69" i="1"/>
  <c r="W69" i="1" s="1"/>
  <c r="L69" i="1"/>
  <c r="R68" i="1"/>
  <c r="L68" i="1"/>
  <c r="R67" i="1"/>
  <c r="W67" i="1" s="1"/>
  <c r="L67" i="1"/>
  <c r="R66" i="1"/>
  <c r="L66" i="1"/>
  <c r="R65" i="1"/>
  <c r="W65" i="1" s="1"/>
  <c r="L65" i="1"/>
  <c r="R64" i="1"/>
  <c r="L64" i="1"/>
  <c r="R63" i="1"/>
  <c r="W63" i="1" s="1"/>
  <c r="L63" i="1"/>
  <c r="R62" i="1"/>
  <c r="L62" i="1"/>
  <c r="R61" i="1"/>
  <c r="W61" i="1" s="1"/>
  <c r="L61" i="1"/>
  <c r="R60" i="1"/>
  <c r="L60" i="1"/>
  <c r="R59" i="1"/>
  <c r="W59" i="1" s="1"/>
  <c r="L59" i="1"/>
  <c r="R58" i="1"/>
  <c r="L58" i="1"/>
  <c r="R57" i="1"/>
  <c r="W57" i="1" s="1"/>
  <c r="L57" i="1"/>
  <c r="R56" i="1"/>
  <c r="L56" i="1"/>
  <c r="F55" i="1"/>
  <c r="F5" i="1" s="1"/>
  <c r="E55" i="1"/>
  <c r="R55" i="1" s="1"/>
  <c r="R54" i="1"/>
  <c r="L54" i="1"/>
  <c r="R53" i="1"/>
  <c r="W53" i="1" s="1"/>
  <c r="L53" i="1"/>
  <c r="R52" i="1"/>
  <c r="L52" i="1"/>
  <c r="R51" i="1"/>
  <c r="W51" i="1" s="1"/>
  <c r="L51" i="1"/>
  <c r="R50" i="1"/>
  <c r="L50" i="1"/>
  <c r="R49" i="1"/>
  <c r="W49" i="1" s="1"/>
  <c r="L49" i="1"/>
  <c r="R48" i="1"/>
  <c r="L48" i="1"/>
  <c r="R47" i="1"/>
  <c r="W47" i="1" s="1"/>
  <c r="L47" i="1"/>
  <c r="R46" i="1"/>
  <c r="L46" i="1"/>
  <c r="R45" i="1"/>
  <c r="L45" i="1"/>
  <c r="R44" i="1"/>
  <c r="L44" i="1"/>
  <c r="R43" i="1"/>
  <c r="S43" i="1" s="1"/>
  <c r="L43" i="1"/>
  <c r="R42" i="1"/>
  <c r="L42" i="1"/>
  <c r="R41" i="1"/>
  <c r="AI41" i="1" s="1"/>
  <c r="L41" i="1"/>
  <c r="R40" i="1"/>
  <c r="L40" i="1"/>
  <c r="R39" i="1"/>
  <c r="AI39" i="1" s="1"/>
  <c r="L39" i="1"/>
  <c r="R38" i="1"/>
  <c r="L38" i="1"/>
  <c r="R37" i="1"/>
  <c r="L37" i="1"/>
  <c r="R36" i="1"/>
  <c r="L36" i="1"/>
  <c r="R35" i="1"/>
  <c r="L35" i="1"/>
  <c r="R34" i="1"/>
  <c r="L34" i="1"/>
  <c r="R33" i="1"/>
  <c r="W33" i="1" s="1"/>
  <c r="L33" i="1"/>
  <c r="R32" i="1"/>
  <c r="W32" i="1" s="1"/>
  <c r="L32" i="1"/>
  <c r="R31" i="1"/>
  <c r="S31" i="1" s="1"/>
  <c r="AI31" i="1" s="1"/>
  <c r="L31" i="1"/>
  <c r="R30" i="1"/>
  <c r="V30" i="1" s="1"/>
  <c r="L30" i="1"/>
  <c r="R29" i="1"/>
  <c r="L29" i="1"/>
  <c r="R28" i="1"/>
  <c r="S28" i="1" s="1"/>
  <c r="L28" i="1"/>
  <c r="R27" i="1"/>
  <c r="L27" i="1"/>
  <c r="R26" i="1"/>
  <c r="S26" i="1" s="1"/>
  <c r="AI26" i="1" s="1"/>
  <c r="L26" i="1"/>
  <c r="R25" i="1"/>
  <c r="L25" i="1"/>
  <c r="R24" i="1"/>
  <c r="W24" i="1" s="1"/>
  <c r="L24" i="1"/>
  <c r="R23" i="1"/>
  <c r="V23" i="1" s="1"/>
  <c r="L23" i="1"/>
  <c r="R22" i="1"/>
  <c r="L22" i="1"/>
  <c r="R21" i="1"/>
  <c r="S21" i="1" s="1"/>
  <c r="AI21" i="1" s="1"/>
  <c r="L21" i="1"/>
  <c r="R20" i="1"/>
  <c r="L20" i="1"/>
  <c r="R19" i="1"/>
  <c r="AI19" i="1" s="1"/>
  <c r="L19" i="1"/>
  <c r="R18" i="1"/>
  <c r="L18" i="1"/>
  <c r="R17" i="1"/>
  <c r="S17" i="1" s="1"/>
  <c r="AI17" i="1" s="1"/>
  <c r="L17" i="1"/>
  <c r="R16" i="1"/>
  <c r="L16" i="1"/>
  <c r="R15" i="1"/>
  <c r="L15" i="1"/>
  <c r="R14" i="1"/>
  <c r="L14" i="1"/>
  <c r="R13" i="1"/>
  <c r="AI13" i="1" s="1"/>
  <c r="L13" i="1"/>
  <c r="R12" i="1"/>
  <c r="L12" i="1"/>
  <c r="R11" i="1"/>
  <c r="S11" i="1" s="1"/>
  <c r="L11" i="1"/>
  <c r="R10" i="1"/>
  <c r="L10" i="1"/>
  <c r="R9" i="1"/>
  <c r="W9" i="1" s="1"/>
  <c r="L9" i="1"/>
  <c r="R8" i="1"/>
  <c r="L8" i="1"/>
  <c r="R7" i="1"/>
  <c r="L7" i="1"/>
  <c r="R6" i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S91" i="1" l="1"/>
  <c r="S117" i="1"/>
  <c r="E5" i="1"/>
  <c r="V92" i="1"/>
  <c r="S100" i="1"/>
  <c r="AI100" i="1" s="1"/>
  <c r="V33" i="1"/>
  <c r="AI11" i="1"/>
  <c r="AI57" i="1"/>
  <c r="S81" i="1"/>
  <c r="AI81" i="1" s="1"/>
  <c r="S110" i="1"/>
  <c r="AI110" i="1" s="1"/>
  <c r="S115" i="1"/>
  <c r="AI115" i="1" s="1"/>
  <c r="AI119" i="1"/>
  <c r="S55" i="1"/>
  <c r="AI55" i="1" s="1"/>
  <c r="V128" i="1"/>
  <c r="S61" i="1"/>
  <c r="AI61" i="1" s="1"/>
  <c r="V102" i="1"/>
  <c r="S69" i="1"/>
  <c r="AI69" i="1" s="1"/>
  <c r="AI28" i="1"/>
  <c r="W12" i="1"/>
  <c r="S12" i="1"/>
  <c r="W14" i="1"/>
  <c r="AI14" i="1"/>
  <c r="W18" i="1"/>
  <c r="S18" i="1"/>
  <c r="W29" i="1"/>
  <c r="W34" i="1"/>
  <c r="S34" i="1"/>
  <c r="AI34" i="1" s="1"/>
  <c r="W40" i="1"/>
  <c r="W42" i="1"/>
  <c r="AI42" i="1"/>
  <c r="S48" i="1"/>
  <c r="AI48" i="1" s="1"/>
  <c r="V52" i="1"/>
  <c r="AI52" i="1"/>
  <c r="S56" i="1"/>
  <c r="AI56" i="1" s="1"/>
  <c r="V60" i="1"/>
  <c r="AI60" i="1"/>
  <c r="S70" i="1"/>
  <c r="AI70" i="1" s="1"/>
  <c r="S74" i="1"/>
  <c r="AI74" i="1" s="1"/>
  <c r="AI78" i="1"/>
  <c r="V80" i="1"/>
  <c r="AI80" i="1"/>
  <c r="AI82" i="1"/>
  <c r="S84" i="1"/>
  <c r="AI84" i="1" s="1"/>
  <c r="AI87" i="1"/>
  <c r="S89" i="1"/>
  <c r="AI89" i="1" s="1"/>
  <c r="V105" i="1"/>
  <c r="W105" i="1"/>
  <c r="AI113" i="1"/>
  <c r="W113" i="1"/>
  <c r="S116" i="1"/>
  <c r="AI116" i="1" s="1"/>
  <c r="AI122" i="1"/>
  <c r="S8" i="1"/>
  <c r="AI8" i="1" s="1"/>
  <c r="AI65" i="1"/>
  <c r="AI73" i="1"/>
  <c r="S77" i="1"/>
  <c r="AI77" i="1" s="1"/>
  <c r="S95" i="1"/>
  <c r="V110" i="1"/>
  <c r="W7" i="1"/>
  <c r="S7" i="1"/>
  <c r="AI7" i="1" s="1"/>
  <c r="V9" i="1"/>
  <c r="W10" i="1"/>
  <c r="S10" i="1"/>
  <c r="AI10" i="1" s="1"/>
  <c r="W16" i="1"/>
  <c r="AI16" i="1"/>
  <c r="W20" i="1"/>
  <c r="S20" i="1"/>
  <c r="AI20" i="1" s="1"/>
  <c r="W22" i="1"/>
  <c r="S22" i="1"/>
  <c r="W25" i="1"/>
  <c r="V26" i="1"/>
  <c r="W27" i="1"/>
  <c r="AI27" i="1"/>
  <c r="W36" i="1"/>
  <c r="S36" i="1"/>
  <c r="W38" i="1"/>
  <c r="S38" i="1"/>
  <c r="AI38" i="1" s="1"/>
  <c r="W44" i="1"/>
  <c r="S44" i="1"/>
  <c r="V46" i="1"/>
  <c r="AI46" i="1"/>
  <c r="AI50" i="1"/>
  <c r="S54" i="1"/>
  <c r="AI54" i="1" s="1"/>
  <c r="AI58" i="1"/>
  <c r="S62" i="1"/>
  <c r="AI62" i="1" s="1"/>
  <c r="V64" i="1"/>
  <c r="AI64" i="1"/>
  <c r="V66" i="1"/>
  <c r="AI66" i="1"/>
  <c r="AI68" i="1"/>
  <c r="S72" i="1"/>
  <c r="AI72" i="1" s="1"/>
  <c r="S76" i="1"/>
  <c r="AI76" i="1" s="1"/>
  <c r="W87" i="1"/>
  <c r="W89" i="1"/>
  <c r="AI91" i="1"/>
  <c r="S94" i="1"/>
  <c r="AI94" i="1" s="1"/>
  <c r="S96" i="1"/>
  <c r="AI96" i="1" s="1"/>
  <c r="V103" i="1"/>
  <c r="AI103" i="1"/>
  <c r="W103" i="1"/>
  <c r="W114" i="1"/>
  <c r="V114" i="1"/>
  <c r="AI118" i="1"/>
  <c r="AI126" i="1"/>
  <c r="S6" i="1"/>
  <c r="AI6" i="1" s="1"/>
  <c r="AI15" i="1"/>
  <c r="S24" i="1"/>
  <c r="AI24" i="1" s="1"/>
  <c r="S35" i="1"/>
  <c r="AI35" i="1" s="1"/>
  <c r="AI43" i="1"/>
  <c r="S47" i="1"/>
  <c r="AI47" i="1" s="1"/>
  <c r="S51" i="1"/>
  <c r="AI51" i="1" s="1"/>
  <c r="AI59" i="1"/>
  <c r="S71" i="1"/>
  <c r="AI75" i="1"/>
  <c r="S93" i="1"/>
  <c r="AI93" i="1" s="1"/>
  <c r="AI125" i="1"/>
  <c r="V109" i="1"/>
  <c r="S99" i="1"/>
  <c r="AI99" i="1" s="1"/>
  <c r="AI101" i="1"/>
  <c r="AI106" i="1"/>
  <c r="AI109" i="1"/>
  <c r="AI111" i="1"/>
  <c r="AI120" i="1"/>
  <c r="S124" i="1"/>
  <c r="AI124" i="1" s="1"/>
  <c r="V13" i="1"/>
  <c r="V17" i="1"/>
  <c r="V28" i="1"/>
  <c r="V41" i="1"/>
  <c r="V11" i="1"/>
  <c r="V19" i="1"/>
  <c r="V21" i="1"/>
  <c r="V31" i="1"/>
  <c r="V37" i="1"/>
  <c r="V39" i="1"/>
  <c r="V45" i="1"/>
  <c r="R5" i="1"/>
  <c r="V7" i="1"/>
  <c r="W15" i="1"/>
  <c r="V27" i="1"/>
  <c r="V32" i="1"/>
  <c r="V42" i="1"/>
  <c r="W46" i="1"/>
  <c r="W48" i="1"/>
  <c r="V49" i="1"/>
  <c r="W50" i="1"/>
  <c r="W52" i="1"/>
  <c r="V53" i="1"/>
  <c r="W54" i="1"/>
  <c r="V85" i="1"/>
  <c r="V97" i="1"/>
  <c r="V123" i="1"/>
  <c r="V127" i="1"/>
  <c r="V129" i="1"/>
  <c r="W6" i="1"/>
  <c r="W13" i="1"/>
  <c r="W17" i="1"/>
  <c r="W21" i="1"/>
  <c r="W26" i="1"/>
  <c r="W28" i="1"/>
  <c r="W30" i="1"/>
  <c r="W31" i="1"/>
  <c r="W35" i="1"/>
  <c r="W37" i="1"/>
  <c r="W39" i="1"/>
  <c r="W41" i="1"/>
  <c r="W43" i="1"/>
  <c r="W45" i="1"/>
  <c r="L55" i="1"/>
  <c r="L5" i="1" s="1"/>
  <c r="W8" i="1"/>
  <c r="W11" i="1"/>
  <c r="W19" i="1"/>
  <c r="W23" i="1"/>
  <c r="W55" i="1"/>
  <c r="W56" i="1"/>
  <c r="W58" i="1"/>
  <c r="W60" i="1"/>
  <c r="W62" i="1"/>
  <c r="W64" i="1"/>
  <c r="W66" i="1"/>
  <c r="W68" i="1"/>
  <c r="W70" i="1"/>
  <c r="W72" i="1"/>
  <c r="W74" i="1"/>
  <c r="W76" i="1"/>
  <c r="W78" i="1"/>
  <c r="W80" i="1"/>
  <c r="W82" i="1"/>
  <c r="W84" i="1"/>
  <c r="W94" i="1"/>
  <c r="W96" i="1"/>
  <c r="W106" i="1"/>
  <c r="W108" i="1"/>
  <c r="W116" i="1"/>
  <c r="W118" i="1"/>
  <c r="W120" i="1"/>
  <c r="W122" i="1"/>
  <c r="W124" i="1"/>
  <c r="W126" i="1"/>
  <c r="V100" i="1" l="1"/>
  <c r="V81" i="1"/>
  <c r="V55" i="1"/>
  <c r="V51" i="1"/>
  <c r="V20" i="1"/>
  <c r="V115" i="1"/>
  <c r="V61" i="1"/>
  <c r="V16" i="1"/>
  <c r="V14" i="1"/>
  <c r="V113" i="1"/>
  <c r="V89" i="1"/>
  <c r="V87" i="1"/>
  <c r="V84" i="1"/>
  <c r="V82" i="1"/>
  <c r="V78" i="1"/>
  <c r="V74" i="1"/>
  <c r="V70" i="1"/>
  <c r="V56" i="1"/>
  <c r="V48" i="1"/>
  <c r="V77" i="1"/>
  <c r="V47" i="1"/>
  <c r="V24" i="1"/>
  <c r="V112" i="1"/>
  <c r="AI112" i="1"/>
  <c r="V86" i="1"/>
  <c r="AI86" i="1"/>
  <c r="V119" i="1"/>
  <c r="V69" i="1"/>
  <c r="V57" i="1"/>
  <c r="V34" i="1"/>
  <c r="V75" i="1"/>
  <c r="V120" i="1"/>
  <c r="V101" i="1"/>
  <c r="V96" i="1"/>
  <c r="V94" i="1"/>
  <c r="V91" i="1"/>
  <c r="V76" i="1"/>
  <c r="V72" i="1"/>
  <c r="V68" i="1"/>
  <c r="V62" i="1"/>
  <c r="V58" i="1"/>
  <c r="V54" i="1"/>
  <c r="V50" i="1"/>
  <c r="AI117" i="1"/>
  <c r="V117" i="1"/>
  <c r="V107" i="1"/>
  <c r="AI107" i="1"/>
  <c r="AI83" i="1"/>
  <c r="V83" i="1"/>
  <c r="AI67" i="1"/>
  <c r="V67" i="1"/>
  <c r="AI36" i="1"/>
  <c r="V36" i="1"/>
  <c r="V35" i="1"/>
  <c r="AI25" i="1"/>
  <c r="V25" i="1"/>
  <c r="AI104" i="1"/>
  <c r="V104" i="1"/>
  <c r="V90" i="1"/>
  <c r="AI90" i="1"/>
  <c r="V93" i="1"/>
  <c r="V73" i="1"/>
  <c r="V65" i="1"/>
  <c r="V38" i="1"/>
  <c r="V10" i="1"/>
  <c r="S5" i="1"/>
  <c r="V125" i="1"/>
  <c r="V59" i="1"/>
  <c r="V124" i="1"/>
  <c r="V111" i="1"/>
  <c r="V106" i="1"/>
  <c r="V99" i="1"/>
  <c r="AI121" i="1"/>
  <c r="V121" i="1"/>
  <c r="V98" i="1"/>
  <c r="AI98" i="1"/>
  <c r="AI88" i="1"/>
  <c r="V88" i="1"/>
  <c r="V79" i="1"/>
  <c r="AI79" i="1"/>
  <c r="AI71" i="1"/>
  <c r="V71" i="1"/>
  <c r="V63" i="1"/>
  <c r="AI63" i="1"/>
  <c r="V126" i="1"/>
  <c r="V118" i="1"/>
  <c r="AI44" i="1"/>
  <c r="V44" i="1"/>
  <c r="V43" i="1"/>
  <c r="AI22" i="1"/>
  <c r="V22" i="1"/>
  <c r="V15" i="1"/>
  <c r="V6" i="1"/>
  <c r="V95" i="1"/>
  <c r="AI95" i="1"/>
  <c r="V122" i="1"/>
  <c r="V116" i="1"/>
  <c r="V40" i="1"/>
  <c r="AI40" i="1"/>
  <c r="V29" i="1"/>
  <c r="AI29" i="1"/>
  <c r="V18" i="1"/>
  <c r="AI18" i="1"/>
  <c r="V12" i="1"/>
  <c r="AI12" i="1"/>
  <c r="V8" i="1"/>
  <c r="AI5" i="1" l="1"/>
</calcChain>
</file>

<file path=xl/sharedStrings.xml><?xml version="1.0" encoding="utf-8"?>
<sst xmlns="http://schemas.openxmlformats.org/spreadsheetml/2006/main" count="451" uniqueCount="177">
  <si>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</si>
  <si>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</si>
  <si>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</si>
  <si>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</si>
  <si>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</si>
  <si>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</si>
  <si>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</si>
  <si>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</si>
  <si>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</si>
  <si>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</si>
  <si>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</si>
  <si>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</si>
  <si>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</si>
  <si>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</si>
  <si>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</si>
  <si>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</si>
  <si>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</si>
  <si>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</si>
  <si>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</si>
  <si>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</si>
  <si>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</si>
  <si>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</si>
  <si>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</si>
  <si>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</si>
  <si>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</si>
  <si>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</si>
  <si>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</si>
  <si>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</si>
  <si>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</si>
  <si>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</si>
  <si>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</si>
  <si>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</si>
  <si>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</si>
  <si>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</si>
  <si>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</si>
  <si>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</si>
  <si>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</si>
  <si>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</si>
  <si>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</si>
  <si>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</si>
  <si>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</si>
  <si>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</si>
  <si>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</si>
  <si>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</si>
  <si>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</si>
  <si>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</si>
  <si>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</si>
  <si>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</si>
  <si>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</si>
  <si>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</si>
  <si>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</si>
  <si>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</si>
  <si>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</si>
  <si>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</si>
  <si>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</si>
  <si>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</si>
  <si>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</si>
  <si>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</si>
  <si>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</si>
  <si>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</si>
  <si>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</si>
  <si>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</si>
  <si>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</si>
  <si>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</si>
  <si>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</si>
  <si>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</si>
  <si>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</si>
  <si>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</si>
  <si>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</si>
  <si>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</si>
  <si>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</si>
  <si>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</si>
  <si>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</si>
  <si>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</si>
  <si>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</si>
  <si>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</si>
  <si>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</si>
  <si>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</si>
  <si>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</si>
  <si>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</si>
  <si>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</si>
  <si>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</si>
  <si>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</si>
  <si>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</si>
  <si>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</si>
  <si>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</si>
  <si>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</si>
  <si>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</si>
  <si>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</si>
  <si>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</si>
  <si>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</si>
  <si>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</si>
  <si>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</si>
  <si>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</si>
  <si>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</si>
  <si>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</si>
  <si>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</si>
  <si>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</si>
  <si>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</si>
  <si>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</si>
  <si>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</si>
  <si>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</si>
  <si>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</si>
  <si>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</si>
  <si>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</si>
  <si>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</si>
  <si>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</si>
  <si>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</si>
  <si>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</si>
  <si>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</si>
  <si>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</si>
  <si>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</si>
  <si>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</si>
  <si>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</si>
  <si>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</si>
  <si>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</si>
  <si>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</si>
  <si>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</si>
  <si>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</si>
  <si>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</si>
  <si>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</si>
  <si>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</si>
  <si>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</si>
  <si>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</si>
  <si>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</si>
  <si>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</si>
  <si>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</si>
  <si>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</si>
  <si>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</si>
  <si>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</si>
  <si>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</si>
  <si>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</si>
  <si>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</si>
  <si>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</si>
  <si>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</si>
  <si>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</si>
  <si>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</si>
  <si>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</si>
  <si>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</si>
  <si>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</si>
  <si>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</si>
  <si>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</si>
  <si>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</si>
  <si>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</si>
  <si>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</si>
  <si>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</si>
  <si>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</si>
  <si>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</si>
  <si>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</si>
  <si>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</si>
  <si>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</si>
  <si>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</si>
  <si>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</si>
  <si>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</si>
  <si>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</si>
  <si>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</si>
  <si>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</si>
  <si>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</si>
  <si>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</si>
  <si>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</si>
  <si>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</si>
  <si>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</si>
  <si>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</si>
  <si>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</si>
  <si>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</si>
  <si>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</si>
  <si>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</si>
  <si>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</si>
  <si>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</si>
  <si>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</si>
  <si>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</si>
  <si>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</si>
  <si>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Класическая стародворская ТМ Стародворье в обол.амифлекс</t>
  </si>
  <si>
    <t>не в матрице</t>
  </si>
  <si>
    <t>SU004265, не заказывали!!!</t>
  </si>
  <si>
    <t>21 шт в уценку 04,09,26 / 21 шт в уценку 30,06,26</t>
  </si>
  <si>
    <t>потребность фелиала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</si>
</sst>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94"/>
  <sheetViews>
    <sheetView tabSelected="1" zoomScale="85" workbookViewId="0">
      <pane xSplit="2" ySplit="5" topLeftCell="C97" activePane="bottomRight" state="frozen"/>
      <selection pane="topRight"/>
      <selection pane="bottomLeft"/>
      <selection pane="bottomRight" activeCell="A113" sqref="A113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4296875" customWidth="1"/>
    <col min="15" max="19" width="7" customWidth="1"/>
    <col min="20" max="21" width="7" style="22" customWidth="1"/>
    <col min="22" max="23" width="5" customWidth="1"/>
    <col min="24" max="27" width="6" customWidth="1"/>
    <col min="28" max="30" width="6.7265625" customWidth="1"/>
    <col min="31" max="31" width="6" customWidth="1"/>
    <col min="32" max="33" width="6.7265625" customWidth="1"/>
    <col min="34" max="34" width="42.1796875" customWidth="1"/>
    <col min="35" max="35" width="7" customWidth="1"/>
    <col min="36" max="45" width="3" customWidth="1"/>
  </cols>
  <sheetData>
    <row r="1" spans="1:45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22</v>
      </c>
      <c r="S4" s="1"/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35">
      <c r="A5" s="1"/>
      <c r="B5" s="1"/>
      <c r="C5" s="1"/>
      <c r="D5" s="1"/>
      <c r="E5" s="4">
        <f>SUM(E6:E494)</f>
        <v>52579.838000000003</v>
      </c>
      <c r="F5" s="4">
        <f>SUM(F6:F494)</f>
        <v>58585.300999999999</v>
      </c>
      <c r="G5" s="7"/>
      <c r="H5" s="1"/>
      <c r="I5" s="1"/>
      <c r="J5" s="1"/>
      <c r="K5" s="4">
        <f t="shared" ref="K5:S5" si="0">SUM(K6:K494)</f>
        <v>56448.966</v>
      </c>
      <c r="L5" s="4">
        <f t="shared" si="0"/>
        <v>-3869.1280000000002</v>
      </c>
      <c r="M5" s="4">
        <f t="shared" si="0"/>
        <v>0</v>
      </c>
      <c r="N5" s="4">
        <f t="shared" si="0"/>
        <v>0</v>
      </c>
      <c r="O5" s="4">
        <f t="shared" si="0"/>
        <v>23761.352725854009</v>
      </c>
      <c r="P5" s="4">
        <f t="shared" si="0"/>
        <v>-1478.3</v>
      </c>
      <c r="Q5" s="4">
        <f t="shared" si="0"/>
        <v>820</v>
      </c>
      <c r="R5" s="4">
        <f t="shared" si="0"/>
        <v>10515.9676</v>
      </c>
      <c r="S5" s="4">
        <f t="shared" si="0"/>
        <v>23442.815226145998</v>
      </c>
      <c r="T5" s="4"/>
      <c r="U5" s="4"/>
      <c r="V5" s="1"/>
      <c r="W5" s="1"/>
      <c r="X5" s="4">
        <f t="shared" ref="X5:AG5" si="1">SUM(X6:X494)</f>
        <v>8445.7477999999992</v>
      </c>
      <c r="Y5" s="4">
        <f t="shared" si="1"/>
        <v>8097.024999999996</v>
      </c>
      <c r="Z5" s="4">
        <f t="shared" si="1"/>
        <v>9776.0199999999986</v>
      </c>
      <c r="AA5" s="4">
        <f t="shared" si="1"/>
        <v>9682.8813999999984</v>
      </c>
      <c r="AB5" s="4">
        <f t="shared" si="1"/>
        <v>10297.278999999999</v>
      </c>
      <c r="AC5" s="4">
        <f t="shared" si="1"/>
        <v>10547.053800000002</v>
      </c>
      <c r="AD5" s="4">
        <f t="shared" si="1"/>
        <v>10038.947600000001</v>
      </c>
      <c r="AE5" s="4">
        <f t="shared" si="1"/>
        <v>9941.5824000000048</v>
      </c>
      <c r="AF5" s="4">
        <f t="shared" si="1"/>
        <v>10785.290400000002</v>
      </c>
      <c r="AG5" s="4">
        <f t="shared" si="1"/>
        <v>10773.772799999993</v>
      </c>
      <c r="AH5" s="1"/>
      <c r="AI5" s="4">
        <f>SUM(AI6:AI494)</f>
        <v>17779.138397596005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35">
      <c r="A6" s="1" t="s">
        <v>35</v>
      </c>
      <c r="B6" s="1" t="s">
        <v>36</v>
      </c>
      <c r="C6" s="1">
        <v>3794.0880000000002</v>
      </c>
      <c r="D6" s="1">
        <v>1519.384</v>
      </c>
      <c r="E6" s="1">
        <v>2428.8209999999999</v>
      </c>
      <c r="F6" s="1">
        <v>2584.1239999999998</v>
      </c>
      <c r="G6" s="7">
        <v>1</v>
      </c>
      <c r="H6" s="1">
        <v>50</v>
      </c>
      <c r="I6" s="1" t="s">
        <v>37</v>
      </c>
      <c r="J6" s="1"/>
      <c r="K6" s="1">
        <v>2332.85</v>
      </c>
      <c r="L6" s="1">
        <f t="shared" ref="L6:L37" si="2">E6-K6</f>
        <v>95.971000000000004</v>
      </c>
      <c r="M6" s="1"/>
      <c r="N6" s="1"/>
      <c r="O6" s="1">
        <v>937.60390400000006</v>
      </c>
      <c r="P6" s="1"/>
      <c r="Q6" s="1"/>
      <c r="R6" s="1">
        <f t="shared" ref="R6:R37" si="3">E6/5</f>
        <v>485.76419999999996</v>
      </c>
      <c r="S6" s="5">
        <f>10*R6-Q6-P6-O6-F6</f>
        <v>1335.914096</v>
      </c>
      <c r="T6" s="20"/>
      <c r="U6" s="20"/>
      <c r="V6" s="1">
        <f t="shared" ref="V6:V37" si="4">(F6+O6+P6+Q6+S6)/R6</f>
        <v>10</v>
      </c>
      <c r="W6" s="1">
        <f t="shared" ref="W6:W37" si="5">(F6+O6+P6+Q6)/R6</f>
        <v>7.2498712420553018</v>
      </c>
      <c r="X6" s="1">
        <v>331.30880000000002</v>
      </c>
      <c r="Y6" s="1">
        <v>348.86619999999999</v>
      </c>
      <c r="Z6" s="1">
        <v>493.49700000000001</v>
      </c>
      <c r="AA6" s="1">
        <v>483.68119999999999</v>
      </c>
      <c r="AB6" s="1">
        <v>546.85760000000005</v>
      </c>
      <c r="AC6" s="1">
        <v>558.16419999999994</v>
      </c>
      <c r="AD6" s="1">
        <v>472.44099999999997</v>
      </c>
      <c r="AE6" s="1">
        <v>450.1</v>
      </c>
      <c r="AF6" s="1">
        <v>477.90280000000001</v>
      </c>
      <c r="AG6" s="1">
        <v>497.21940000000012</v>
      </c>
      <c r="AH6" s="1"/>
      <c r="AI6" s="1">
        <f>G6*S6</f>
        <v>1335.914096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35">
      <c r="A7" s="1" t="s">
        <v>38</v>
      </c>
      <c r="B7" s="1" t="s">
        <v>36</v>
      </c>
      <c r="C7" s="1">
        <v>2200.1260000000002</v>
      </c>
      <c r="D7" s="1">
        <v>1218.9449999999999</v>
      </c>
      <c r="E7" s="1">
        <v>1527.0930000000001</v>
      </c>
      <c r="F7" s="1">
        <v>1711.7919999999999</v>
      </c>
      <c r="G7" s="7">
        <v>1</v>
      </c>
      <c r="H7" s="1">
        <v>45</v>
      </c>
      <c r="I7" s="1" t="s">
        <v>37</v>
      </c>
      <c r="J7" s="1"/>
      <c r="K7" s="1">
        <v>1408.75</v>
      </c>
      <c r="L7" s="1">
        <f t="shared" si="2"/>
        <v>118.34300000000007</v>
      </c>
      <c r="M7" s="1"/>
      <c r="N7" s="1"/>
      <c r="O7" s="1">
        <v>605.67886400000009</v>
      </c>
      <c r="P7" s="1"/>
      <c r="Q7" s="1"/>
      <c r="R7" s="1">
        <f t="shared" si="3"/>
        <v>305.41860000000003</v>
      </c>
      <c r="S7" s="5">
        <f t="shared" ref="S7:S8" si="6">10*R7-Q7-P7-O7-F7</f>
        <v>736.71513600000026</v>
      </c>
      <c r="T7" s="20"/>
      <c r="U7" s="20"/>
      <c r="V7" s="1">
        <f t="shared" si="4"/>
        <v>10</v>
      </c>
      <c r="W7" s="1">
        <f t="shared" si="5"/>
        <v>7.5878511131934978</v>
      </c>
      <c r="X7" s="1">
        <v>214.02080000000001</v>
      </c>
      <c r="Y7" s="1">
        <v>215.65379999999999</v>
      </c>
      <c r="Z7" s="1">
        <v>292.72160000000002</v>
      </c>
      <c r="AA7" s="1">
        <v>307.12900000000002</v>
      </c>
      <c r="AB7" s="1">
        <v>307.71940000000001</v>
      </c>
      <c r="AC7" s="1">
        <v>321.26519999999999</v>
      </c>
      <c r="AD7" s="1">
        <v>300.10660000000001</v>
      </c>
      <c r="AE7" s="1">
        <v>262.36520000000002</v>
      </c>
      <c r="AF7" s="1">
        <v>266.33199999999999</v>
      </c>
      <c r="AG7" s="1">
        <v>285.43920000000003</v>
      </c>
      <c r="AH7" s="1"/>
      <c r="AI7" s="1">
        <f>G7*S7</f>
        <v>736.71513600000026</v>
      </c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35">
      <c r="A8" s="1" t="s">
        <v>39</v>
      </c>
      <c r="B8" s="1" t="s">
        <v>36</v>
      </c>
      <c r="C8" s="1">
        <v>1837.559</v>
      </c>
      <c r="D8" s="1">
        <v>1426.3969999999999</v>
      </c>
      <c r="E8" s="1">
        <v>1289.316</v>
      </c>
      <c r="F8" s="1">
        <v>1776.299</v>
      </c>
      <c r="G8" s="7">
        <v>1</v>
      </c>
      <c r="H8" s="1">
        <v>45</v>
      </c>
      <c r="I8" s="1" t="s">
        <v>37</v>
      </c>
      <c r="J8" s="1"/>
      <c r="K8" s="1">
        <v>1247.95</v>
      </c>
      <c r="L8" s="1">
        <f t="shared" si="2"/>
        <v>41.365999999999985</v>
      </c>
      <c r="M8" s="1"/>
      <c r="N8" s="1"/>
      <c r="O8" s="1">
        <v>0</v>
      </c>
      <c r="P8" s="1"/>
      <c r="Q8" s="1"/>
      <c r="R8" s="1">
        <f t="shared" si="3"/>
        <v>257.86320000000001</v>
      </c>
      <c r="S8" s="5">
        <f t="shared" si="6"/>
        <v>802.33300000000008</v>
      </c>
      <c r="T8" s="20"/>
      <c r="U8" s="20"/>
      <c r="V8" s="1">
        <f t="shared" si="4"/>
        <v>10</v>
      </c>
      <c r="W8" s="1">
        <f t="shared" si="5"/>
        <v>6.888532369101136</v>
      </c>
      <c r="X8" s="1">
        <v>178.08920000000001</v>
      </c>
      <c r="Y8" s="1">
        <v>182.8776</v>
      </c>
      <c r="Z8" s="1">
        <v>261.28660000000002</v>
      </c>
      <c r="AA8" s="1">
        <v>254.85239999999999</v>
      </c>
      <c r="AB8" s="1">
        <v>257.28680000000003</v>
      </c>
      <c r="AC8" s="1">
        <v>276.00380000000001</v>
      </c>
      <c r="AD8" s="1">
        <v>247.24520000000001</v>
      </c>
      <c r="AE8" s="1">
        <v>223.76159999999999</v>
      </c>
      <c r="AF8" s="1">
        <v>249.89080000000001</v>
      </c>
      <c r="AG8" s="1">
        <v>251.58420000000001</v>
      </c>
      <c r="AH8" s="1"/>
      <c r="AI8" s="1">
        <f>G8*S8</f>
        <v>802.33300000000008</v>
      </c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35">
      <c r="A9" s="10" t="s">
        <v>40</v>
      </c>
      <c r="B9" s="10" t="s">
        <v>41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>
        <f t="shared" si="3"/>
        <v>0</v>
      </c>
      <c r="S9" s="12"/>
      <c r="T9" s="21"/>
      <c r="U9" s="21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42</v>
      </c>
      <c r="AI9" s="10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35">
      <c r="A10" s="1" t="s">
        <v>43</v>
      </c>
      <c r="B10" s="1" t="s">
        <v>41</v>
      </c>
      <c r="C10" s="1">
        <v>718</v>
      </c>
      <c r="D10" s="1">
        <v>931</v>
      </c>
      <c r="E10" s="1">
        <v>797</v>
      </c>
      <c r="F10" s="1">
        <v>693</v>
      </c>
      <c r="G10" s="7">
        <v>0.45</v>
      </c>
      <c r="H10" s="1">
        <v>45</v>
      </c>
      <c r="I10" s="1" t="s">
        <v>37</v>
      </c>
      <c r="J10" s="1"/>
      <c r="K10" s="1">
        <v>821</v>
      </c>
      <c r="L10" s="1">
        <f t="shared" si="2"/>
        <v>-24</v>
      </c>
      <c r="M10" s="1"/>
      <c r="N10" s="1"/>
      <c r="O10" s="1">
        <v>660.75788000000011</v>
      </c>
      <c r="P10" s="1"/>
      <c r="Q10" s="1"/>
      <c r="R10" s="1">
        <f t="shared" si="3"/>
        <v>159.4</v>
      </c>
      <c r="S10" s="5">
        <f t="shared" ref="S10:S22" si="7">10*R10-Q10-P10-O10-F10</f>
        <v>240.24211999999989</v>
      </c>
      <c r="T10" s="20"/>
      <c r="U10" s="20"/>
      <c r="V10" s="1">
        <f t="shared" si="4"/>
        <v>10</v>
      </c>
      <c r="W10" s="1">
        <f t="shared" si="5"/>
        <v>8.4928348808030112</v>
      </c>
      <c r="X10" s="1">
        <v>129.6</v>
      </c>
      <c r="Y10" s="1">
        <v>121.2</v>
      </c>
      <c r="Z10" s="1">
        <v>121</v>
      </c>
      <c r="AA10" s="1">
        <v>122.6</v>
      </c>
      <c r="AB10" s="1">
        <v>110.2</v>
      </c>
      <c r="AC10" s="1">
        <v>117.4</v>
      </c>
      <c r="AD10" s="1">
        <v>142.6</v>
      </c>
      <c r="AE10" s="1">
        <v>135.4</v>
      </c>
      <c r="AF10" s="1">
        <v>120.4</v>
      </c>
      <c r="AG10" s="1">
        <v>117.2</v>
      </c>
      <c r="AH10" s="1"/>
      <c r="AI10" s="1">
        <f t="shared" ref="AI10:AI22" si="8">G10*S10</f>
        <v>108.10895399999995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35">
      <c r="A11" s="1" t="s">
        <v>44</v>
      </c>
      <c r="B11" s="1" t="s">
        <v>41</v>
      </c>
      <c r="C11" s="1">
        <v>1628.24</v>
      </c>
      <c r="D11" s="1">
        <v>1595</v>
      </c>
      <c r="E11" s="1">
        <v>1311</v>
      </c>
      <c r="F11" s="1">
        <v>1744.24</v>
      </c>
      <c r="G11" s="7">
        <v>0.45</v>
      </c>
      <c r="H11" s="1">
        <v>45</v>
      </c>
      <c r="I11" s="1" t="s">
        <v>37</v>
      </c>
      <c r="J11" s="1"/>
      <c r="K11" s="1">
        <v>1312</v>
      </c>
      <c r="L11" s="1">
        <f t="shared" si="2"/>
        <v>-1</v>
      </c>
      <c r="M11" s="1"/>
      <c r="N11" s="1"/>
      <c r="O11" s="1"/>
      <c r="P11" s="1"/>
      <c r="Q11" s="1"/>
      <c r="R11" s="1">
        <f t="shared" si="3"/>
        <v>262.2</v>
      </c>
      <c r="S11" s="5">
        <f>9*R11-Q11-P11-O11-F11</f>
        <v>615.55999999999972</v>
      </c>
      <c r="T11" s="20"/>
      <c r="U11" s="20"/>
      <c r="V11" s="1">
        <f t="shared" si="4"/>
        <v>9</v>
      </c>
      <c r="W11" s="1">
        <f t="shared" si="5"/>
        <v>6.6523264683447749</v>
      </c>
      <c r="X11" s="1">
        <v>226.6</v>
      </c>
      <c r="Y11" s="1">
        <v>220.8</v>
      </c>
      <c r="Z11" s="1">
        <v>239.6</v>
      </c>
      <c r="AA11" s="1">
        <v>248.2</v>
      </c>
      <c r="AB11" s="1">
        <v>245.2</v>
      </c>
      <c r="AC11" s="1">
        <v>245.4</v>
      </c>
      <c r="AD11" s="1">
        <v>235.2</v>
      </c>
      <c r="AE11" s="1">
        <v>216.8</v>
      </c>
      <c r="AF11" s="1">
        <v>224.44800000000001</v>
      </c>
      <c r="AG11" s="1">
        <v>225.648</v>
      </c>
      <c r="AH11" s="14" t="s">
        <v>45</v>
      </c>
      <c r="AI11" s="1">
        <f t="shared" si="8"/>
        <v>277.0019999999999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35">
      <c r="A12" s="1" t="s">
        <v>46</v>
      </c>
      <c r="B12" s="1" t="s">
        <v>41</v>
      </c>
      <c r="C12" s="1">
        <v>85</v>
      </c>
      <c r="D12" s="1">
        <v>92</v>
      </c>
      <c r="E12" s="1">
        <v>93</v>
      </c>
      <c r="F12" s="1">
        <v>73</v>
      </c>
      <c r="G12" s="7">
        <v>0.17</v>
      </c>
      <c r="H12" s="1">
        <v>180</v>
      </c>
      <c r="I12" s="1" t="s">
        <v>37</v>
      </c>
      <c r="J12" s="1"/>
      <c r="K12" s="1">
        <v>94</v>
      </c>
      <c r="L12" s="1">
        <f t="shared" si="2"/>
        <v>-1</v>
      </c>
      <c r="M12" s="1"/>
      <c r="N12" s="1"/>
      <c r="O12" s="1">
        <v>15.19999999999999</v>
      </c>
      <c r="P12" s="1"/>
      <c r="Q12" s="1"/>
      <c r="R12" s="1">
        <f t="shared" si="3"/>
        <v>18.600000000000001</v>
      </c>
      <c r="S12" s="5">
        <f t="shared" si="7"/>
        <v>97.800000000000011</v>
      </c>
      <c r="T12" s="20"/>
      <c r="U12" s="20"/>
      <c r="V12" s="1">
        <f t="shared" si="4"/>
        <v>10</v>
      </c>
      <c r="W12" s="1">
        <f t="shared" si="5"/>
        <v>4.7419354838709671</v>
      </c>
      <c r="X12" s="1">
        <v>14.2</v>
      </c>
      <c r="Y12" s="1">
        <v>15</v>
      </c>
      <c r="Z12" s="1">
        <v>13.8</v>
      </c>
      <c r="AA12" s="1">
        <v>12.8</v>
      </c>
      <c r="AB12" s="1">
        <v>16.600000000000001</v>
      </c>
      <c r="AC12" s="1">
        <v>17.8</v>
      </c>
      <c r="AD12" s="1">
        <v>15.6</v>
      </c>
      <c r="AE12" s="1">
        <v>15</v>
      </c>
      <c r="AF12" s="1">
        <v>18.2</v>
      </c>
      <c r="AG12" s="1">
        <v>17.2</v>
      </c>
      <c r="AH12" s="1"/>
      <c r="AI12" s="1">
        <f t="shared" si="8"/>
        <v>16.626000000000005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35">
      <c r="A13" s="1" t="s">
        <v>47</v>
      </c>
      <c r="B13" s="1" t="s">
        <v>41</v>
      </c>
      <c r="C13" s="1"/>
      <c r="D13" s="1">
        <v>84</v>
      </c>
      <c r="E13" s="1">
        <v>56</v>
      </c>
      <c r="F13" s="1">
        <v>11</v>
      </c>
      <c r="G13" s="7">
        <v>0.3</v>
      </c>
      <c r="H13" s="1">
        <v>40</v>
      </c>
      <c r="I13" s="9" t="s">
        <v>48</v>
      </c>
      <c r="J13" s="1"/>
      <c r="K13" s="1">
        <v>75</v>
      </c>
      <c r="L13" s="1">
        <f t="shared" si="2"/>
        <v>-19</v>
      </c>
      <c r="M13" s="1"/>
      <c r="N13" s="1"/>
      <c r="O13" s="1">
        <v>30</v>
      </c>
      <c r="P13" s="1"/>
      <c r="Q13" s="1"/>
      <c r="R13" s="1">
        <f t="shared" si="3"/>
        <v>11.2</v>
      </c>
      <c r="S13" s="5">
        <v>50</v>
      </c>
      <c r="T13" s="20">
        <v>100</v>
      </c>
      <c r="U13" s="20" t="s">
        <v>176</v>
      </c>
      <c r="V13" s="1">
        <f t="shared" si="4"/>
        <v>8.125</v>
      </c>
      <c r="W13" s="1">
        <f t="shared" si="5"/>
        <v>3.660714285714286</v>
      </c>
      <c r="X13" s="1">
        <v>3.4</v>
      </c>
      <c r="Y13" s="1">
        <v>0.4</v>
      </c>
      <c r="Z13" s="1">
        <v>12.4</v>
      </c>
      <c r="AA13" s="1">
        <v>19.2</v>
      </c>
      <c r="AB13" s="1">
        <v>21</v>
      </c>
      <c r="AC13" s="1">
        <v>17.8</v>
      </c>
      <c r="AD13" s="1">
        <v>10.6</v>
      </c>
      <c r="AE13" s="1">
        <v>10</v>
      </c>
      <c r="AF13" s="1">
        <v>19</v>
      </c>
      <c r="AG13" s="1">
        <v>21</v>
      </c>
      <c r="AH13" s="1"/>
      <c r="AI13" s="1">
        <f t="shared" si="8"/>
        <v>15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35">
      <c r="A14" s="1" t="s">
        <v>49</v>
      </c>
      <c r="B14" s="1" t="s">
        <v>41</v>
      </c>
      <c r="C14" s="1">
        <v>355</v>
      </c>
      <c r="D14" s="1">
        <v>198</v>
      </c>
      <c r="E14" s="1">
        <v>307</v>
      </c>
      <c r="F14" s="1">
        <v>230</v>
      </c>
      <c r="G14" s="7">
        <v>0.17</v>
      </c>
      <c r="H14" s="1">
        <v>180</v>
      </c>
      <c r="I14" s="1" t="s">
        <v>37</v>
      </c>
      <c r="J14" s="1"/>
      <c r="K14" s="1">
        <v>305</v>
      </c>
      <c r="L14" s="1">
        <f t="shared" si="2"/>
        <v>2</v>
      </c>
      <c r="M14" s="1"/>
      <c r="N14" s="1"/>
      <c r="O14" s="1">
        <v>401.25400000000002</v>
      </c>
      <c r="P14" s="1"/>
      <c r="Q14" s="1"/>
      <c r="R14" s="1">
        <f t="shared" si="3"/>
        <v>61.4</v>
      </c>
      <c r="S14" s="5"/>
      <c r="T14" s="20"/>
      <c r="U14" s="20"/>
      <c r="V14" s="1">
        <f t="shared" si="4"/>
        <v>10.281009771986971</v>
      </c>
      <c r="W14" s="1">
        <f t="shared" si="5"/>
        <v>10.281009771986971</v>
      </c>
      <c r="X14" s="1">
        <v>53.8</v>
      </c>
      <c r="Y14" s="1">
        <v>47.8</v>
      </c>
      <c r="Z14" s="1">
        <v>45.8</v>
      </c>
      <c r="AA14" s="1">
        <v>47.6</v>
      </c>
      <c r="AB14" s="1">
        <v>57.6</v>
      </c>
      <c r="AC14" s="1">
        <v>60.6</v>
      </c>
      <c r="AD14" s="1">
        <v>47.6</v>
      </c>
      <c r="AE14" s="1">
        <v>44.8</v>
      </c>
      <c r="AF14" s="1">
        <v>57.2</v>
      </c>
      <c r="AG14" s="1">
        <v>52.8</v>
      </c>
      <c r="AH14" s="1"/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35">
      <c r="A15" s="1" t="s">
        <v>50</v>
      </c>
      <c r="B15" s="1" t="s">
        <v>36</v>
      </c>
      <c r="C15" s="1">
        <v>2167.5250000000001</v>
      </c>
      <c r="D15" s="1">
        <v>584.70799999999997</v>
      </c>
      <c r="E15" s="1">
        <v>1339.8040000000001</v>
      </c>
      <c r="F15" s="1">
        <v>1279.5609999999999</v>
      </c>
      <c r="G15" s="7">
        <v>1</v>
      </c>
      <c r="H15" s="1">
        <v>70</v>
      </c>
      <c r="I15" s="9" t="s">
        <v>48</v>
      </c>
      <c r="J15" s="1"/>
      <c r="K15" s="1">
        <v>1264.32</v>
      </c>
      <c r="L15" s="1">
        <f t="shared" si="2"/>
        <v>75.484000000000151</v>
      </c>
      <c r="M15" s="1"/>
      <c r="N15" s="1"/>
      <c r="O15" s="1">
        <v>791.21729200000027</v>
      </c>
      <c r="P15" s="1"/>
      <c r="Q15" s="1"/>
      <c r="R15" s="1">
        <f t="shared" si="3"/>
        <v>267.96080000000001</v>
      </c>
      <c r="S15" s="5">
        <f>9.5*R15-Q15-P15-O15-F15</f>
        <v>474.84930800000006</v>
      </c>
      <c r="T15" s="20"/>
      <c r="U15" s="20"/>
      <c r="V15" s="1">
        <f t="shared" si="4"/>
        <v>9.4999999999999982</v>
      </c>
      <c r="W15" s="1">
        <f t="shared" si="5"/>
        <v>7.7279150233914811</v>
      </c>
      <c r="X15" s="1">
        <v>195.66640000000001</v>
      </c>
      <c r="Y15" s="1">
        <v>187.86779999999999</v>
      </c>
      <c r="Z15" s="1">
        <v>228.3366</v>
      </c>
      <c r="AA15" s="1">
        <v>217.41739999999999</v>
      </c>
      <c r="AB15" s="1">
        <v>228.7406</v>
      </c>
      <c r="AC15" s="1">
        <v>230.5266</v>
      </c>
      <c r="AD15" s="1">
        <v>233.18360000000001</v>
      </c>
      <c r="AE15" s="1">
        <v>242.98320000000001</v>
      </c>
      <c r="AF15" s="1">
        <v>239.7028</v>
      </c>
      <c r="AG15" s="1">
        <v>236.7696</v>
      </c>
      <c r="AH15" s="1"/>
      <c r="AI15" s="1">
        <f t="shared" si="8"/>
        <v>474.84930800000006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35">
      <c r="A16" s="1" t="s">
        <v>51</v>
      </c>
      <c r="B16" s="1" t="s">
        <v>36</v>
      </c>
      <c r="C16" s="1">
        <v>6587.43</v>
      </c>
      <c r="D16" s="1">
        <v>3433.203</v>
      </c>
      <c r="E16" s="1">
        <v>3983.47</v>
      </c>
      <c r="F16" s="1">
        <v>5591.1459999999997</v>
      </c>
      <c r="G16" s="7">
        <v>1</v>
      </c>
      <c r="H16" s="1">
        <v>50</v>
      </c>
      <c r="I16" s="1" t="s">
        <v>37</v>
      </c>
      <c r="J16" s="1"/>
      <c r="K16" s="1">
        <v>3860.6</v>
      </c>
      <c r="L16" s="1">
        <f t="shared" si="2"/>
        <v>122.86999999999989</v>
      </c>
      <c r="M16" s="1"/>
      <c r="N16" s="1"/>
      <c r="O16" s="1">
        <v>1280</v>
      </c>
      <c r="P16" s="1"/>
      <c r="Q16" s="1"/>
      <c r="R16" s="1">
        <f t="shared" si="3"/>
        <v>796.69399999999996</v>
      </c>
      <c r="S16" s="5">
        <f>9.5*R16-Q16-P16-O16-F16</f>
        <v>697.44700000000012</v>
      </c>
      <c r="T16" s="20"/>
      <c r="U16" s="20"/>
      <c r="V16" s="1">
        <f t="shared" si="4"/>
        <v>9.5</v>
      </c>
      <c r="W16" s="1">
        <f t="shared" si="5"/>
        <v>8.6245735501961853</v>
      </c>
      <c r="X16" s="1">
        <v>602.02499999999998</v>
      </c>
      <c r="Y16" s="1">
        <v>540.52719999999999</v>
      </c>
      <c r="Z16" s="1">
        <v>666.84559999999999</v>
      </c>
      <c r="AA16" s="1">
        <v>674.39080000000001</v>
      </c>
      <c r="AB16" s="1">
        <v>736.59320000000002</v>
      </c>
      <c r="AC16" s="1">
        <v>741.72680000000003</v>
      </c>
      <c r="AD16" s="1">
        <v>660.61159999999995</v>
      </c>
      <c r="AE16" s="1">
        <v>636.86320000000001</v>
      </c>
      <c r="AF16" s="1">
        <v>674.43259999999998</v>
      </c>
      <c r="AG16" s="1">
        <v>703.17060000000004</v>
      </c>
      <c r="AH16" s="1"/>
      <c r="AI16" s="1">
        <f t="shared" si="8"/>
        <v>697.44700000000012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35">
      <c r="A17" s="1" t="s">
        <v>52</v>
      </c>
      <c r="B17" s="1" t="s">
        <v>36</v>
      </c>
      <c r="C17" s="1">
        <v>180.596</v>
      </c>
      <c r="D17" s="1">
        <v>31.77</v>
      </c>
      <c r="E17" s="1">
        <v>95.525999999999996</v>
      </c>
      <c r="F17" s="1">
        <v>98.86</v>
      </c>
      <c r="G17" s="7">
        <v>1</v>
      </c>
      <c r="H17" s="1">
        <v>60</v>
      </c>
      <c r="I17" s="1" t="s">
        <v>37</v>
      </c>
      <c r="J17" s="1"/>
      <c r="K17" s="1">
        <v>93.25</v>
      </c>
      <c r="L17" s="1">
        <f t="shared" si="2"/>
        <v>2.2759999999999962</v>
      </c>
      <c r="M17" s="1"/>
      <c r="N17" s="1"/>
      <c r="O17" s="1">
        <v>0</v>
      </c>
      <c r="P17" s="1"/>
      <c r="Q17" s="1"/>
      <c r="R17" s="1">
        <f t="shared" si="3"/>
        <v>19.1052</v>
      </c>
      <c r="S17" s="5">
        <f t="shared" si="7"/>
        <v>92.191999999999993</v>
      </c>
      <c r="T17" s="20"/>
      <c r="U17" s="20"/>
      <c r="V17" s="1">
        <f t="shared" si="4"/>
        <v>10</v>
      </c>
      <c r="W17" s="1">
        <f t="shared" si="5"/>
        <v>5.1745074639365196</v>
      </c>
      <c r="X17" s="1">
        <v>13.417199999999999</v>
      </c>
      <c r="Y17" s="1">
        <v>12.323</v>
      </c>
      <c r="Z17" s="1">
        <v>17.948399999999999</v>
      </c>
      <c r="AA17" s="1">
        <v>19.870200000000001</v>
      </c>
      <c r="AB17" s="1">
        <v>23.232600000000001</v>
      </c>
      <c r="AC17" s="1">
        <v>23.764399999999998</v>
      </c>
      <c r="AD17" s="1">
        <v>25.488199999999999</v>
      </c>
      <c r="AE17" s="1">
        <v>23.536200000000001</v>
      </c>
      <c r="AF17" s="1">
        <v>24.895399999999999</v>
      </c>
      <c r="AG17" s="1">
        <v>24.598400000000002</v>
      </c>
      <c r="AH17" s="1"/>
      <c r="AI17" s="1">
        <f t="shared" si="8"/>
        <v>92.191999999999993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35">
      <c r="A18" s="1" t="s">
        <v>53</v>
      </c>
      <c r="B18" s="1" t="s">
        <v>36</v>
      </c>
      <c r="C18" s="1">
        <v>129.786</v>
      </c>
      <c r="D18" s="1">
        <v>59.195</v>
      </c>
      <c r="E18" s="1">
        <v>94.003</v>
      </c>
      <c r="F18" s="1">
        <v>69.239000000000004</v>
      </c>
      <c r="G18" s="7">
        <v>1</v>
      </c>
      <c r="H18" s="1">
        <v>60</v>
      </c>
      <c r="I18" s="9" t="s">
        <v>48</v>
      </c>
      <c r="J18" s="1"/>
      <c r="K18" s="1">
        <v>91.7</v>
      </c>
      <c r="L18" s="1">
        <f t="shared" si="2"/>
        <v>2.3029999999999973</v>
      </c>
      <c r="M18" s="1"/>
      <c r="N18" s="1"/>
      <c r="O18" s="1">
        <v>35.550600000000003</v>
      </c>
      <c r="P18" s="1"/>
      <c r="Q18" s="1"/>
      <c r="R18" s="1">
        <f t="shared" si="3"/>
        <v>18.800599999999999</v>
      </c>
      <c r="S18" s="5">
        <f t="shared" si="7"/>
        <v>83.216399999999993</v>
      </c>
      <c r="T18" s="20"/>
      <c r="U18" s="20"/>
      <c r="V18" s="1">
        <f t="shared" si="4"/>
        <v>10</v>
      </c>
      <c r="W18" s="1">
        <f t="shared" si="5"/>
        <v>5.5737370083933495</v>
      </c>
      <c r="X18" s="1">
        <v>14.020799999999999</v>
      </c>
      <c r="Y18" s="1">
        <v>14.549200000000001</v>
      </c>
      <c r="Z18" s="1">
        <v>15.186</v>
      </c>
      <c r="AA18" s="1">
        <v>16.345400000000001</v>
      </c>
      <c r="AB18" s="1">
        <v>19.931799999999999</v>
      </c>
      <c r="AC18" s="1">
        <v>18.4558</v>
      </c>
      <c r="AD18" s="1">
        <v>16.866199999999999</v>
      </c>
      <c r="AE18" s="1">
        <v>17.227399999999999</v>
      </c>
      <c r="AF18" s="1">
        <v>14.844200000000001</v>
      </c>
      <c r="AG18" s="1">
        <v>17.3218</v>
      </c>
      <c r="AH18" s="1"/>
      <c r="AI18" s="1">
        <f t="shared" si="8"/>
        <v>83.216399999999993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35">
      <c r="A19" s="1" t="s">
        <v>54</v>
      </c>
      <c r="B19" s="1" t="s">
        <v>36</v>
      </c>
      <c r="C19" s="1">
        <v>8.0050000000000008</v>
      </c>
      <c r="D19" s="1">
        <v>25.733000000000001</v>
      </c>
      <c r="E19" s="1">
        <v>7.1459999999999999</v>
      </c>
      <c r="F19" s="1">
        <v>26.591999999999999</v>
      </c>
      <c r="G19" s="7">
        <v>1</v>
      </c>
      <c r="H19" s="1">
        <v>180</v>
      </c>
      <c r="I19" s="1" t="s">
        <v>37</v>
      </c>
      <c r="J19" s="1"/>
      <c r="K19" s="1">
        <v>7.1580000000000004</v>
      </c>
      <c r="L19" s="1">
        <f t="shared" si="2"/>
        <v>-1.2000000000000455E-2</v>
      </c>
      <c r="M19" s="1"/>
      <c r="N19" s="1"/>
      <c r="O19" s="1">
        <v>5.1730000000000009</v>
      </c>
      <c r="P19" s="1"/>
      <c r="Q19" s="1"/>
      <c r="R19" s="1">
        <f t="shared" si="3"/>
        <v>1.4292</v>
      </c>
      <c r="S19" s="5"/>
      <c r="T19" s="20"/>
      <c r="U19" s="20"/>
      <c r="V19" s="1">
        <f t="shared" si="4"/>
        <v>22.225720682899524</v>
      </c>
      <c r="W19" s="1">
        <f t="shared" si="5"/>
        <v>22.225720682899524</v>
      </c>
      <c r="X19" s="1">
        <v>2.8586</v>
      </c>
      <c r="Y19" s="1">
        <v>2.6456</v>
      </c>
      <c r="Z19" s="1">
        <v>1.0746</v>
      </c>
      <c r="AA19" s="1">
        <v>1.3657999999999999</v>
      </c>
      <c r="AB19" s="1">
        <v>1.7043999999999999</v>
      </c>
      <c r="AC19" s="1">
        <v>1.3306</v>
      </c>
      <c r="AD19" s="1">
        <v>0.62980000000000003</v>
      </c>
      <c r="AE19" s="1">
        <v>1.0427999999999999</v>
      </c>
      <c r="AF19" s="1">
        <v>2.0901999999999998</v>
      </c>
      <c r="AG19" s="1">
        <v>2.1625999999999999</v>
      </c>
      <c r="AH19" s="1"/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35">
      <c r="A20" s="1" t="s">
        <v>55</v>
      </c>
      <c r="B20" s="1" t="s">
        <v>36</v>
      </c>
      <c r="C20" s="1">
        <v>1996.4490000000001</v>
      </c>
      <c r="D20" s="1">
        <v>1177.442</v>
      </c>
      <c r="E20" s="1">
        <v>1551.14</v>
      </c>
      <c r="F20" s="1">
        <v>1414.4949999999999</v>
      </c>
      <c r="G20" s="7">
        <v>1</v>
      </c>
      <c r="H20" s="1">
        <v>60</v>
      </c>
      <c r="I20" s="1" t="s">
        <v>37</v>
      </c>
      <c r="J20" s="1"/>
      <c r="K20" s="1">
        <v>1463.492</v>
      </c>
      <c r="L20" s="1">
        <f t="shared" si="2"/>
        <v>87.648000000000138</v>
      </c>
      <c r="M20" s="1"/>
      <c r="N20" s="1"/>
      <c r="O20" s="1">
        <v>1103.313657147</v>
      </c>
      <c r="P20" s="1"/>
      <c r="Q20" s="1"/>
      <c r="R20" s="1">
        <f t="shared" si="3"/>
        <v>310.22800000000001</v>
      </c>
      <c r="S20" s="5">
        <f t="shared" si="7"/>
        <v>584.47134285300035</v>
      </c>
      <c r="T20" s="20"/>
      <c r="U20" s="20"/>
      <c r="V20" s="1">
        <f t="shared" si="4"/>
        <v>10</v>
      </c>
      <c r="W20" s="1">
        <f t="shared" si="5"/>
        <v>8.1159942273005647</v>
      </c>
      <c r="X20" s="1">
        <v>239.51920000000001</v>
      </c>
      <c r="Y20" s="1">
        <v>213.66820000000001</v>
      </c>
      <c r="Z20" s="1">
        <v>253.92599999999999</v>
      </c>
      <c r="AA20" s="1">
        <v>253.47559999999999</v>
      </c>
      <c r="AB20" s="1">
        <v>272.93060000000003</v>
      </c>
      <c r="AC20" s="1">
        <v>280.49860000000001</v>
      </c>
      <c r="AD20" s="1">
        <v>283.15519999999998</v>
      </c>
      <c r="AE20" s="1">
        <v>289.96379999999999</v>
      </c>
      <c r="AF20" s="1">
        <v>276.86619999999999</v>
      </c>
      <c r="AG20" s="1">
        <v>268.45139999999998</v>
      </c>
      <c r="AH20" s="1"/>
      <c r="AI20" s="1">
        <f t="shared" si="8"/>
        <v>584.47134285300035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35">
      <c r="A21" s="1" t="s">
        <v>56</v>
      </c>
      <c r="B21" s="1" t="s">
        <v>36</v>
      </c>
      <c r="C21" s="1">
        <v>307.21199999999999</v>
      </c>
      <c r="D21" s="1">
        <v>105.41</v>
      </c>
      <c r="E21" s="1">
        <v>258.608</v>
      </c>
      <c r="F21" s="1">
        <v>137.77099999999999</v>
      </c>
      <c r="G21" s="7">
        <v>1</v>
      </c>
      <c r="H21" s="1">
        <v>70</v>
      </c>
      <c r="I21" s="1" t="s">
        <v>37</v>
      </c>
      <c r="J21" s="1"/>
      <c r="K21" s="1">
        <v>245.95500000000001</v>
      </c>
      <c r="L21" s="1">
        <f t="shared" si="2"/>
        <v>12.652999999999992</v>
      </c>
      <c r="M21" s="1"/>
      <c r="N21" s="1"/>
      <c r="O21" s="1">
        <v>231.45755600000001</v>
      </c>
      <c r="P21" s="1"/>
      <c r="Q21" s="1"/>
      <c r="R21" s="1">
        <f t="shared" si="3"/>
        <v>51.721600000000002</v>
      </c>
      <c r="S21" s="5">
        <f t="shared" si="7"/>
        <v>147.98744400000001</v>
      </c>
      <c r="T21" s="20"/>
      <c r="U21" s="20"/>
      <c r="V21" s="1">
        <f t="shared" si="4"/>
        <v>10</v>
      </c>
      <c r="W21" s="1">
        <f t="shared" si="5"/>
        <v>7.1387690249334899</v>
      </c>
      <c r="X21" s="1">
        <v>37.593200000000003</v>
      </c>
      <c r="Y21" s="1">
        <v>36.026400000000002</v>
      </c>
      <c r="Z21" s="1">
        <v>37.416800000000002</v>
      </c>
      <c r="AA21" s="1">
        <v>36.369999999999997</v>
      </c>
      <c r="AB21" s="1">
        <v>49.895400000000002</v>
      </c>
      <c r="AC21" s="1">
        <v>49.0822</v>
      </c>
      <c r="AD21" s="1">
        <v>37.723999999999997</v>
      </c>
      <c r="AE21" s="1">
        <v>35.753</v>
      </c>
      <c r="AF21" s="1">
        <v>35.983400000000003</v>
      </c>
      <c r="AG21" s="1">
        <v>37.6586</v>
      </c>
      <c r="AH21" s="1"/>
      <c r="AI21" s="1">
        <f t="shared" si="8"/>
        <v>147.98744400000001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35">
      <c r="A22" s="1" t="s">
        <v>57</v>
      </c>
      <c r="B22" s="1" t="s">
        <v>36</v>
      </c>
      <c r="C22" s="1">
        <v>528.83100000000002</v>
      </c>
      <c r="D22" s="1">
        <v>269.53800000000001</v>
      </c>
      <c r="E22" s="1">
        <v>555.41700000000003</v>
      </c>
      <c r="F22" s="1">
        <v>172.96100000000001</v>
      </c>
      <c r="G22" s="7">
        <v>1</v>
      </c>
      <c r="H22" s="1">
        <v>70</v>
      </c>
      <c r="I22" s="9" t="s">
        <v>48</v>
      </c>
      <c r="J22" s="1"/>
      <c r="K22" s="1">
        <v>514.96</v>
      </c>
      <c r="L22" s="1">
        <f t="shared" si="2"/>
        <v>40.456999999999994</v>
      </c>
      <c r="M22" s="1"/>
      <c r="N22" s="1"/>
      <c r="O22" s="1">
        <v>400</v>
      </c>
      <c r="P22" s="1"/>
      <c r="Q22" s="1"/>
      <c r="R22" s="1">
        <f t="shared" si="3"/>
        <v>111.08340000000001</v>
      </c>
      <c r="S22" s="5">
        <f t="shared" si="7"/>
        <v>537.87300000000005</v>
      </c>
      <c r="T22" s="20"/>
      <c r="U22" s="20"/>
      <c r="V22" s="1">
        <f t="shared" si="4"/>
        <v>10</v>
      </c>
      <c r="W22" s="1">
        <f t="shared" si="5"/>
        <v>5.1579353890860373</v>
      </c>
      <c r="X22" s="1">
        <v>83.725200000000001</v>
      </c>
      <c r="Y22" s="1">
        <v>68.192800000000005</v>
      </c>
      <c r="Z22" s="1">
        <v>74.657200000000003</v>
      </c>
      <c r="AA22" s="1">
        <v>76.412599999999998</v>
      </c>
      <c r="AB22" s="1">
        <v>86.384199999999993</v>
      </c>
      <c r="AC22" s="1">
        <v>84.844200000000001</v>
      </c>
      <c r="AD22" s="1">
        <v>79.9756</v>
      </c>
      <c r="AE22" s="1">
        <v>79.880200000000002</v>
      </c>
      <c r="AF22" s="1">
        <v>85.579599999999999</v>
      </c>
      <c r="AG22" s="1">
        <v>89.1798</v>
      </c>
      <c r="AH22" s="1"/>
      <c r="AI22" s="1">
        <f t="shared" si="8"/>
        <v>537.87300000000005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3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/>
      <c r="Q23" s="10"/>
      <c r="R23" s="10">
        <f t="shared" si="3"/>
        <v>0</v>
      </c>
      <c r="S23" s="12"/>
      <c r="T23" s="21"/>
      <c r="U23" s="21"/>
      <c r="V23" s="10" t="e">
        <f t="shared" si="4"/>
        <v>#DIV/0!</v>
      </c>
      <c r="W23" s="10" t="e">
        <f t="shared" si="5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42</v>
      </c>
      <c r="AI23" s="10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35">
      <c r="A24" s="1" t="s">
        <v>59</v>
      </c>
      <c r="B24" s="1" t="s">
        <v>36</v>
      </c>
      <c r="C24" s="1">
        <v>749.52499999999998</v>
      </c>
      <c r="D24" s="1">
        <v>705.68100000000004</v>
      </c>
      <c r="E24" s="1">
        <v>823.18200000000002</v>
      </c>
      <c r="F24" s="1">
        <v>550.28200000000004</v>
      </c>
      <c r="G24" s="7">
        <v>1</v>
      </c>
      <c r="H24" s="1">
        <v>70</v>
      </c>
      <c r="I24" s="9" t="s">
        <v>48</v>
      </c>
      <c r="J24" s="1"/>
      <c r="K24" s="1">
        <v>776.30499999999995</v>
      </c>
      <c r="L24" s="1">
        <f t="shared" si="2"/>
        <v>46.877000000000066</v>
      </c>
      <c r="M24" s="1"/>
      <c r="N24" s="1"/>
      <c r="O24" s="1">
        <v>777.03771400000005</v>
      </c>
      <c r="P24" s="1"/>
      <c r="Q24" s="1"/>
      <c r="R24" s="1">
        <f t="shared" si="3"/>
        <v>164.63640000000001</v>
      </c>
      <c r="S24" s="5">
        <f t="shared" ref="S24:S26" si="9">10*R24-Q24-P24-O24-F24</f>
        <v>319.04428599999994</v>
      </c>
      <c r="T24" s="20"/>
      <c r="U24" s="20"/>
      <c r="V24" s="1">
        <f t="shared" si="4"/>
        <v>10</v>
      </c>
      <c r="W24" s="1">
        <f t="shared" si="5"/>
        <v>8.0621279012417677</v>
      </c>
      <c r="X24" s="1">
        <v>125.02379999999999</v>
      </c>
      <c r="Y24" s="1">
        <v>109.46899999999999</v>
      </c>
      <c r="Z24" s="1">
        <v>119.8348</v>
      </c>
      <c r="AA24" s="1">
        <v>117.5896</v>
      </c>
      <c r="AB24" s="1">
        <v>135.84819999999999</v>
      </c>
      <c r="AC24" s="1">
        <v>138.06559999999999</v>
      </c>
      <c r="AD24" s="1">
        <v>123.43040000000001</v>
      </c>
      <c r="AE24" s="1">
        <v>120.05240000000001</v>
      </c>
      <c r="AF24" s="1">
        <v>127.38039999999999</v>
      </c>
      <c r="AG24" s="1">
        <v>123.4118</v>
      </c>
      <c r="AH24" s="1"/>
      <c r="AI24" s="1">
        <f t="shared" ref="AI24:AI29" si="10">G24*S24</f>
        <v>319.04428599999994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35">
      <c r="A25" s="1" t="s">
        <v>60</v>
      </c>
      <c r="B25" s="1" t="s">
        <v>36</v>
      </c>
      <c r="C25" s="1"/>
      <c r="D25" s="1">
        <v>209.81100000000001</v>
      </c>
      <c r="E25" s="1">
        <v>86.387</v>
      </c>
      <c r="F25" s="1">
        <v>113.907</v>
      </c>
      <c r="G25" s="7">
        <v>1</v>
      </c>
      <c r="H25" s="1">
        <v>40</v>
      </c>
      <c r="I25" s="9" t="s">
        <v>48</v>
      </c>
      <c r="J25" s="1"/>
      <c r="K25" s="1">
        <v>131.05000000000001</v>
      </c>
      <c r="L25" s="1">
        <f t="shared" si="2"/>
        <v>-44.663000000000011</v>
      </c>
      <c r="M25" s="1"/>
      <c r="N25" s="1"/>
      <c r="O25" s="1">
        <v>50</v>
      </c>
      <c r="P25" s="1"/>
      <c r="Q25" s="1"/>
      <c r="R25" s="1">
        <f t="shared" si="3"/>
        <v>17.2774</v>
      </c>
      <c r="S25" s="5">
        <v>20</v>
      </c>
      <c r="T25" s="20"/>
      <c r="U25" s="20"/>
      <c r="V25" s="1">
        <f t="shared" si="4"/>
        <v>10.644367786819775</v>
      </c>
      <c r="W25" s="1">
        <f t="shared" si="5"/>
        <v>9.4867862062578858</v>
      </c>
      <c r="X25" s="1">
        <v>12.4376</v>
      </c>
      <c r="Y25" s="1">
        <v>11.840400000000001</v>
      </c>
      <c r="Z25" s="1">
        <v>19.3386</v>
      </c>
      <c r="AA25" s="1">
        <v>18.895199999999999</v>
      </c>
      <c r="AB25" s="1">
        <v>31.544799999999999</v>
      </c>
      <c r="AC25" s="1">
        <v>30.824200000000001</v>
      </c>
      <c r="AD25" s="1">
        <v>25.345600000000001</v>
      </c>
      <c r="AE25" s="1">
        <v>25.345600000000001</v>
      </c>
      <c r="AF25" s="1">
        <v>29.334199999999999</v>
      </c>
      <c r="AG25" s="1">
        <v>30.359200000000001</v>
      </c>
      <c r="AH25" s="1"/>
      <c r="AI25" s="1">
        <f t="shared" si="10"/>
        <v>20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35">
      <c r="A26" s="1" t="s">
        <v>61</v>
      </c>
      <c r="B26" s="1" t="s">
        <v>36</v>
      </c>
      <c r="C26" s="1">
        <v>175.49799999999999</v>
      </c>
      <c r="D26" s="1">
        <v>96.805000000000007</v>
      </c>
      <c r="E26" s="1">
        <v>158.57</v>
      </c>
      <c r="F26" s="1">
        <v>88.106999999999999</v>
      </c>
      <c r="G26" s="7">
        <v>1</v>
      </c>
      <c r="H26" s="1">
        <v>30</v>
      </c>
      <c r="I26" s="9" t="s">
        <v>48</v>
      </c>
      <c r="J26" s="1"/>
      <c r="K26" s="1">
        <v>225</v>
      </c>
      <c r="L26" s="1">
        <f t="shared" si="2"/>
        <v>-66.430000000000007</v>
      </c>
      <c r="M26" s="1"/>
      <c r="N26" s="1"/>
      <c r="O26" s="1">
        <v>200</v>
      </c>
      <c r="P26" s="1"/>
      <c r="Q26" s="1"/>
      <c r="R26" s="1">
        <f t="shared" si="3"/>
        <v>31.713999999999999</v>
      </c>
      <c r="S26" s="5">
        <f t="shared" si="9"/>
        <v>29.032999999999987</v>
      </c>
      <c r="T26" s="20"/>
      <c r="U26" s="20"/>
      <c r="V26" s="1">
        <f t="shared" si="4"/>
        <v>10</v>
      </c>
      <c r="W26" s="1">
        <f t="shared" si="5"/>
        <v>9.0845367976288074</v>
      </c>
      <c r="X26" s="1">
        <v>56.964200000000012</v>
      </c>
      <c r="Y26" s="1">
        <v>51.535799999999988</v>
      </c>
      <c r="Z26" s="1">
        <v>64.481399999999994</v>
      </c>
      <c r="AA26" s="1">
        <v>63.1462</v>
      </c>
      <c r="AB26" s="1">
        <v>55.573599999999999</v>
      </c>
      <c r="AC26" s="1">
        <v>57.696000000000012</v>
      </c>
      <c r="AD26" s="1">
        <v>53.5364</v>
      </c>
      <c r="AE26" s="1">
        <v>46.989400000000003</v>
      </c>
      <c r="AF26" s="1">
        <v>50.754199999999997</v>
      </c>
      <c r="AG26" s="1">
        <v>52.681199999999997</v>
      </c>
      <c r="AH26" s="1"/>
      <c r="AI26" s="1">
        <f t="shared" si="10"/>
        <v>29.032999999999987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35">
      <c r="A27" s="1" t="s">
        <v>62</v>
      </c>
      <c r="B27" s="1" t="s">
        <v>36</v>
      </c>
      <c r="C27" s="1"/>
      <c r="D27" s="1">
        <v>71.364999999999995</v>
      </c>
      <c r="E27" s="1">
        <v>-1.3169999999999999</v>
      </c>
      <c r="F27" s="1">
        <v>71.364999999999995</v>
      </c>
      <c r="G27" s="7">
        <v>1</v>
      </c>
      <c r="H27" s="1">
        <v>40</v>
      </c>
      <c r="I27" s="9" t="s">
        <v>48</v>
      </c>
      <c r="J27" s="1"/>
      <c r="K27" s="1"/>
      <c r="L27" s="1">
        <f t="shared" si="2"/>
        <v>-1.3169999999999999</v>
      </c>
      <c r="M27" s="1"/>
      <c r="N27" s="1"/>
      <c r="O27" s="1">
        <v>150</v>
      </c>
      <c r="P27" s="1"/>
      <c r="Q27" s="1"/>
      <c r="R27" s="1">
        <f t="shared" si="3"/>
        <v>-0.26339999999999997</v>
      </c>
      <c r="S27" s="5">
        <v>100</v>
      </c>
      <c r="T27" s="20"/>
      <c r="U27" s="20"/>
      <c r="V27" s="1">
        <f t="shared" si="4"/>
        <v>-1220.0645406226274</v>
      </c>
      <c r="W27" s="1">
        <f t="shared" si="5"/>
        <v>-840.41381928625674</v>
      </c>
      <c r="X27" s="1">
        <v>-0.60759999999999992</v>
      </c>
      <c r="Y27" s="1">
        <v>-1.0568</v>
      </c>
      <c r="Z27" s="1">
        <v>-1.4947999999999999</v>
      </c>
      <c r="AA27" s="1">
        <v>-1.6392</v>
      </c>
      <c r="AB27" s="1">
        <v>-1.9690000000000001</v>
      </c>
      <c r="AC27" s="1">
        <v>-1.5426</v>
      </c>
      <c r="AD27" s="1">
        <v>0.627</v>
      </c>
      <c r="AE27" s="1">
        <v>13.4148</v>
      </c>
      <c r="AF27" s="1">
        <v>42.743000000000002</v>
      </c>
      <c r="AG27" s="1">
        <v>41.494799999999998</v>
      </c>
      <c r="AH27" s="1"/>
      <c r="AI27" s="1">
        <f t="shared" si="10"/>
        <v>100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35">
      <c r="A28" s="1" t="s">
        <v>63</v>
      </c>
      <c r="B28" s="1" t="s">
        <v>36</v>
      </c>
      <c r="C28" s="1">
        <v>1832.9580000000001</v>
      </c>
      <c r="D28" s="1">
        <v>2134.06</v>
      </c>
      <c r="E28" s="1">
        <v>1545.046</v>
      </c>
      <c r="F28" s="1">
        <v>2159.4940000000001</v>
      </c>
      <c r="G28" s="7">
        <v>1</v>
      </c>
      <c r="H28" s="1">
        <v>30</v>
      </c>
      <c r="I28" s="9" t="s">
        <v>48</v>
      </c>
      <c r="J28" s="1"/>
      <c r="K28" s="1">
        <v>1539.6</v>
      </c>
      <c r="L28" s="1">
        <f t="shared" si="2"/>
        <v>5.4460000000001401</v>
      </c>
      <c r="M28" s="1"/>
      <c r="N28" s="1"/>
      <c r="O28" s="1">
        <v>0</v>
      </c>
      <c r="P28" s="1"/>
      <c r="Q28" s="1"/>
      <c r="R28" s="1">
        <f t="shared" si="3"/>
        <v>309.00920000000002</v>
      </c>
      <c r="S28" s="5">
        <f>9*R28-Q28-P28-O28-F28</f>
        <v>621.58879999999999</v>
      </c>
      <c r="T28" s="20"/>
      <c r="U28" s="20"/>
      <c r="V28" s="1">
        <f t="shared" si="4"/>
        <v>9</v>
      </c>
      <c r="W28" s="1">
        <f t="shared" si="5"/>
        <v>6.988445651456332</v>
      </c>
      <c r="X28" s="1">
        <v>309.85000000000002</v>
      </c>
      <c r="Y28" s="1">
        <v>343.67439999999999</v>
      </c>
      <c r="Z28" s="1">
        <v>383.32839999999999</v>
      </c>
      <c r="AA28" s="1">
        <v>403.56360000000001</v>
      </c>
      <c r="AB28" s="1">
        <v>375.65600000000001</v>
      </c>
      <c r="AC28" s="1">
        <v>362.08580000000001</v>
      </c>
      <c r="AD28" s="1">
        <v>409.18340000000001</v>
      </c>
      <c r="AE28" s="1">
        <v>406.64479999999998</v>
      </c>
      <c r="AF28" s="1">
        <v>471.33839999999998</v>
      </c>
      <c r="AG28" s="1">
        <v>480.87979999999999</v>
      </c>
      <c r="AH28" s="14" t="s">
        <v>45</v>
      </c>
      <c r="AI28" s="1">
        <f t="shared" si="10"/>
        <v>621.58879999999999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35">
      <c r="A29" s="1" t="s">
        <v>64</v>
      </c>
      <c r="B29" s="1" t="s">
        <v>36</v>
      </c>
      <c r="C29" s="1">
        <v>146.86600000000001</v>
      </c>
      <c r="D29" s="1">
        <v>3150.2510000000002</v>
      </c>
      <c r="E29" s="1">
        <v>2114.5479999999998</v>
      </c>
      <c r="F29" s="1">
        <v>776.99300000000005</v>
      </c>
      <c r="G29" s="7">
        <v>1</v>
      </c>
      <c r="H29" s="1">
        <v>40</v>
      </c>
      <c r="I29" s="9" t="s">
        <v>48</v>
      </c>
      <c r="J29" s="1"/>
      <c r="K29" s="1">
        <v>2013.182</v>
      </c>
      <c r="L29" s="1">
        <f t="shared" si="2"/>
        <v>101.36599999999976</v>
      </c>
      <c r="M29" s="1"/>
      <c r="N29" s="1"/>
      <c r="O29" s="1">
        <v>600</v>
      </c>
      <c r="P29" s="1"/>
      <c r="Q29" s="1"/>
      <c r="R29" s="1">
        <f t="shared" si="3"/>
        <v>422.90959999999995</v>
      </c>
      <c r="S29" s="5">
        <v>1500</v>
      </c>
      <c r="T29" s="20"/>
      <c r="U29" s="20"/>
      <c r="V29" s="1">
        <f t="shared" si="4"/>
        <v>6.8028557403284298</v>
      </c>
      <c r="W29" s="1">
        <f t="shared" si="5"/>
        <v>3.2559984450577621</v>
      </c>
      <c r="X29" s="1">
        <v>262.32420000000002</v>
      </c>
      <c r="Y29" s="1">
        <v>321.25979999999998</v>
      </c>
      <c r="Z29" s="1">
        <v>287.47000000000003</v>
      </c>
      <c r="AA29" s="1">
        <v>116.49420000000001</v>
      </c>
      <c r="AB29" s="1">
        <v>-1.4292</v>
      </c>
      <c r="AC29" s="1">
        <v>-0.58739999999999992</v>
      </c>
      <c r="AD29" s="1">
        <v>-0.2024</v>
      </c>
      <c r="AE29" s="1">
        <v>-0.22040000000000001</v>
      </c>
      <c r="AF29" s="1">
        <v>466.95479999999998</v>
      </c>
      <c r="AG29" s="1">
        <v>466.65679999999998</v>
      </c>
      <c r="AH29" s="14" t="s">
        <v>45</v>
      </c>
      <c r="AI29" s="1">
        <f t="shared" si="10"/>
        <v>1500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3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/>
      <c r="Q30" s="10"/>
      <c r="R30" s="10">
        <f t="shared" si="3"/>
        <v>0</v>
      </c>
      <c r="S30" s="12"/>
      <c r="T30" s="21"/>
      <c r="U30" s="21"/>
      <c r="V30" s="10" t="e">
        <f t="shared" si="4"/>
        <v>#DIV/0!</v>
      </c>
      <c r="W30" s="10" t="e">
        <f t="shared" si="5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42</v>
      </c>
      <c r="AI30" s="10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35">
      <c r="A31" s="1" t="s">
        <v>66</v>
      </c>
      <c r="B31" s="1" t="s">
        <v>36</v>
      </c>
      <c r="C31" s="1">
        <v>188.488</v>
      </c>
      <c r="D31" s="1">
        <v>278.93799999999999</v>
      </c>
      <c r="E31" s="1">
        <v>214.07300000000001</v>
      </c>
      <c r="F31" s="1">
        <v>216.994</v>
      </c>
      <c r="G31" s="7">
        <v>1</v>
      </c>
      <c r="H31" s="1">
        <v>30</v>
      </c>
      <c r="I31" s="1" t="s">
        <v>37</v>
      </c>
      <c r="J31" s="1"/>
      <c r="K31" s="1">
        <v>234.1</v>
      </c>
      <c r="L31" s="1">
        <f t="shared" si="2"/>
        <v>-20.026999999999987</v>
      </c>
      <c r="M31" s="1"/>
      <c r="N31" s="1"/>
      <c r="O31" s="1">
        <v>99.896800000000042</v>
      </c>
      <c r="P31" s="1"/>
      <c r="Q31" s="1"/>
      <c r="R31" s="1">
        <f t="shared" si="3"/>
        <v>42.814599999999999</v>
      </c>
      <c r="S31" s="5">
        <f>10*R31-Q31-P31-O31-F31</f>
        <v>111.25519999999992</v>
      </c>
      <c r="T31" s="20"/>
      <c r="U31" s="20"/>
      <c r="V31" s="1">
        <f t="shared" si="4"/>
        <v>10</v>
      </c>
      <c r="W31" s="1">
        <f t="shared" si="5"/>
        <v>7.4014658551055019</v>
      </c>
      <c r="X31" s="1">
        <v>37.282200000000003</v>
      </c>
      <c r="Y31" s="1">
        <v>38.766399999999997</v>
      </c>
      <c r="Z31" s="1">
        <v>36.948799999999999</v>
      </c>
      <c r="AA31" s="1">
        <v>31.436399999999999</v>
      </c>
      <c r="AB31" s="1">
        <v>41.902799999999999</v>
      </c>
      <c r="AC31" s="1">
        <v>49.4908</v>
      </c>
      <c r="AD31" s="1">
        <v>47.421799999999998</v>
      </c>
      <c r="AE31" s="1">
        <v>41.256</v>
      </c>
      <c r="AF31" s="1">
        <v>46.957599999999999</v>
      </c>
      <c r="AG31" s="1">
        <v>52.282200000000003</v>
      </c>
      <c r="AH31" s="1"/>
      <c r="AI31" s="1">
        <f>G31*S31</f>
        <v>111.25519999999992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3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2"/>
        <v>0</v>
      </c>
      <c r="M32" s="10"/>
      <c r="N32" s="10"/>
      <c r="O32" s="10">
        <v>0</v>
      </c>
      <c r="P32" s="10"/>
      <c r="Q32" s="10"/>
      <c r="R32" s="10">
        <f t="shared" si="3"/>
        <v>0</v>
      </c>
      <c r="S32" s="12"/>
      <c r="T32" s="21"/>
      <c r="U32" s="21"/>
      <c r="V32" s="10" t="e">
        <f t="shared" si="4"/>
        <v>#DIV/0!</v>
      </c>
      <c r="W32" s="10" t="e">
        <f t="shared" si="5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42</v>
      </c>
      <c r="AI32" s="10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3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/>
      <c r="Q33" s="10"/>
      <c r="R33" s="10">
        <f t="shared" si="3"/>
        <v>0</v>
      </c>
      <c r="S33" s="12"/>
      <c r="T33" s="21"/>
      <c r="U33" s="21"/>
      <c r="V33" s="10" t="e">
        <f t="shared" si="4"/>
        <v>#DIV/0!</v>
      </c>
      <c r="W33" s="10" t="e">
        <f t="shared" si="5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42</v>
      </c>
      <c r="AI33" s="10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35">
      <c r="A34" s="1" t="s">
        <v>69</v>
      </c>
      <c r="B34" s="1" t="s">
        <v>41</v>
      </c>
      <c r="C34" s="1">
        <v>496</v>
      </c>
      <c r="D34" s="1">
        <v>7643</v>
      </c>
      <c r="E34" s="1">
        <v>4181</v>
      </c>
      <c r="F34" s="1">
        <v>3546</v>
      </c>
      <c r="G34" s="7">
        <v>0.4</v>
      </c>
      <c r="H34" s="1">
        <v>45</v>
      </c>
      <c r="I34" s="9" t="s">
        <v>48</v>
      </c>
      <c r="J34" s="1"/>
      <c r="K34" s="1">
        <v>5036</v>
      </c>
      <c r="L34" s="1">
        <f t="shared" si="2"/>
        <v>-855</v>
      </c>
      <c r="M34" s="1"/>
      <c r="N34" s="1"/>
      <c r="O34" s="1">
        <v>2500</v>
      </c>
      <c r="P34" s="1"/>
      <c r="Q34" s="1"/>
      <c r="R34" s="1">
        <f t="shared" si="3"/>
        <v>836.2</v>
      </c>
      <c r="S34" s="5">
        <f t="shared" ref="S34:S84" si="11">10*R34-Q34-P34-O34-F34</f>
        <v>2316</v>
      </c>
      <c r="T34" s="20"/>
      <c r="U34" s="20"/>
      <c r="V34" s="1">
        <f t="shared" si="4"/>
        <v>10</v>
      </c>
      <c r="W34" s="1">
        <f t="shared" si="5"/>
        <v>7.2303276728055481</v>
      </c>
      <c r="X34" s="1">
        <v>969.8</v>
      </c>
      <c r="Y34" s="1">
        <v>933.4</v>
      </c>
      <c r="Z34" s="1">
        <v>1078.5999999999999</v>
      </c>
      <c r="AA34" s="1">
        <v>761.4</v>
      </c>
      <c r="AB34" s="1">
        <v>350.6</v>
      </c>
      <c r="AC34" s="1">
        <v>627.6</v>
      </c>
      <c r="AD34" s="1">
        <v>957.4</v>
      </c>
      <c r="AE34" s="1">
        <v>972</v>
      </c>
      <c r="AF34" s="1">
        <v>989.81200000000013</v>
      </c>
      <c r="AG34" s="1">
        <v>974.61200000000008</v>
      </c>
      <c r="AH34" s="1"/>
      <c r="AI34" s="1">
        <f t="shared" ref="AI34:AI65" si="12">G34*S34</f>
        <v>926.40000000000009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35">
      <c r="A35" s="1" t="s">
        <v>70</v>
      </c>
      <c r="B35" s="1" t="s">
        <v>41</v>
      </c>
      <c r="C35" s="1">
        <v>717</v>
      </c>
      <c r="D35" s="1">
        <v>393</v>
      </c>
      <c r="E35" s="1">
        <v>584</v>
      </c>
      <c r="F35" s="1">
        <v>443</v>
      </c>
      <c r="G35" s="7">
        <v>0.45</v>
      </c>
      <c r="H35" s="1">
        <v>50</v>
      </c>
      <c r="I35" s="1" t="s">
        <v>37</v>
      </c>
      <c r="J35" s="1"/>
      <c r="K35" s="1">
        <v>590</v>
      </c>
      <c r="L35" s="1">
        <f t="shared" si="2"/>
        <v>-6</v>
      </c>
      <c r="M35" s="1"/>
      <c r="N35" s="1"/>
      <c r="O35" s="1">
        <v>285.4140000000001</v>
      </c>
      <c r="P35" s="1"/>
      <c r="Q35" s="1"/>
      <c r="R35" s="1">
        <f t="shared" si="3"/>
        <v>116.8</v>
      </c>
      <c r="S35" s="5">
        <f t="shared" si="11"/>
        <v>439.5859999999999</v>
      </c>
      <c r="T35" s="20"/>
      <c r="U35" s="20"/>
      <c r="V35" s="1">
        <f t="shared" si="4"/>
        <v>10</v>
      </c>
      <c r="W35" s="1">
        <f t="shared" si="5"/>
        <v>6.2364212328767135</v>
      </c>
      <c r="X35" s="1">
        <v>77</v>
      </c>
      <c r="Y35" s="1">
        <v>84.6</v>
      </c>
      <c r="Z35" s="1">
        <v>90.2</v>
      </c>
      <c r="AA35" s="1">
        <v>85.2</v>
      </c>
      <c r="AB35" s="1">
        <v>96.8</v>
      </c>
      <c r="AC35" s="1">
        <v>99.2</v>
      </c>
      <c r="AD35" s="1">
        <v>105.4</v>
      </c>
      <c r="AE35" s="1">
        <v>102.8</v>
      </c>
      <c r="AF35" s="1">
        <v>77.8</v>
      </c>
      <c r="AG35" s="1">
        <v>75</v>
      </c>
      <c r="AH35" s="1"/>
      <c r="AI35" s="1">
        <f t="shared" si="12"/>
        <v>197.81369999999995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35">
      <c r="A36" s="1" t="s">
        <v>71</v>
      </c>
      <c r="B36" s="1" t="s">
        <v>41</v>
      </c>
      <c r="C36" s="1">
        <v>5</v>
      </c>
      <c r="D36" s="1">
        <v>1060</v>
      </c>
      <c r="E36" s="1">
        <v>551</v>
      </c>
      <c r="F36" s="1">
        <v>223</v>
      </c>
      <c r="G36" s="7">
        <v>0.4</v>
      </c>
      <c r="H36" s="1">
        <v>45</v>
      </c>
      <c r="I36" s="9" t="s">
        <v>48</v>
      </c>
      <c r="J36" s="1"/>
      <c r="K36" s="1">
        <v>1147</v>
      </c>
      <c r="L36" s="1">
        <f t="shared" si="2"/>
        <v>-596</v>
      </c>
      <c r="M36" s="1"/>
      <c r="N36" s="1"/>
      <c r="O36" s="1">
        <v>400</v>
      </c>
      <c r="P36" s="1"/>
      <c r="Q36" s="1"/>
      <c r="R36" s="1">
        <f t="shared" si="3"/>
        <v>110.2</v>
      </c>
      <c r="S36" s="5">
        <f t="shared" si="11"/>
        <v>479</v>
      </c>
      <c r="T36" s="20"/>
      <c r="U36" s="20"/>
      <c r="V36" s="1">
        <f t="shared" si="4"/>
        <v>10</v>
      </c>
      <c r="W36" s="1">
        <f t="shared" si="5"/>
        <v>5.6533575317604354</v>
      </c>
      <c r="X36" s="1">
        <v>93.4</v>
      </c>
      <c r="Y36" s="1">
        <v>36</v>
      </c>
      <c r="Z36" s="1">
        <v>-0.6</v>
      </c>
      <c r="AA36" s="1">
        <v>-1.2</v>
      </c>
      <c r="AB36" s="1">
        <v>59</v>
      </c>
      <c r="AC36" s="1">
        <v>102.6</v>
      </c>
      <c r="AD36" s="1">
        <v>216.8</v>
      </c>
      <c r="AE36" s="1">
        <v>259</v>
      </c>
      <c r="AF36" s="1">
        <v>245.2</v>
      </c>
      <c r="AG36" s="1">
        <v>165.6</v>
      </c>
      <c r="AH36" s="1"/>
      <c r="AI36" s="1">
        <f t="shared" si="12"/>
        <v>191.60000000000002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35">
      <c r="A37" s="1" t="s">
        <v>72</v>
      </c>
      <c r="B37" s="1" t="s">
        <v>41</v>
      </c>
      <c r="C37" s="1"/>
      <c r="D37" s="1">
        <v>18</v>
      </c>
      <c r="E37" s="1"/>
      <c r="F37" s="1">
        <v>18</v>
      </c>
      <c r="G37" s="7">
        <v>0.4</v>
      </c>
      <c r="H37" s="1">
        <v>40</v>
      </c>
      <c r="I37" s="9" t="s">
        <v>48</v>
      </c>
      <c r="J37" s="1"/>
      <c r="K37" s="1"/>
      <c r="L37" s="1">
        <f t="shared" si="2"/>
        <v>0</v>
      </c>
      <c r="M37" s="1"/>
      <c r="N37" s="1"/>
      <c r="O37" s="1">
        <v>20</v>
      </c>
      <c r="P37" s="1">
        <v>-24</v>
      </c>
      <c r="Q37" s="1"/>
      <c r="R37" s="1">
        <f t="shared" si="3"/>
        <v>0</v>
      </c>
      <c r="S37" s="5">
        <v>20</v>
      </c>
      <c r="T37" s="20"/>
      <c r="U37" s="20"/>
      <c r="V37" s="1" t="e">
        <f t="shared" si="4"/>
        <v>#DIV/0!</v>
      </c>
      <c r="W37" s="1" t="e">
        <f t="shared" si="5"/>
        <v>#DIV/0!</v>
      </c>
      <c r="X37" s="1">
        <v>0</v>
      </c>
      <c r="Y37" s="1">
        <v>-0.2</v>
      </c>
      <c r="Z37" s="1">
        <v>-0.4</v>
      </c>
      <c r="AA37" s="1">
        <v>-0.2</v>
      </c>
      <c r="AB37" s="1">
        <v>4.4000000000000004</v>
      </c>
      <c r="AC37" s="1">
        <v>7.2</v>
      </c>
      <c r="AD37" s="1">
        <v>3.8</v>
      </c>
      <c r="AE37" s="1">
        <v>2.6</v>
      </c>
      <c r="AF37" s="1">
        <v>3.6</v>
      </c>
      <c r="AG37" s="1">
        <v>2.2000000000000002</v>
      </c>
      <c r="AH37" s="1"/>
      <c r="AI37" s="1">
        <f t="shared" si="12"/>
        <v>8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35">
      <c r="A38" s="1" t="s">
        <v>73</v>
      </c>
      <c r="B38" s="1" t="s">
        <v>36</v>
      </c>
      <c r="C38" s="1">
        <v>298.13200000000001</v>
      </c>
      <c r="D38" s="1">
        <v>194.75</v>
      </c>
      <c r="E38" s="1">
        <v>230.33799999999999</v>
      </c>
      <c r="F38" s="1">
        <v>222.071</v>
      </c>
      <c r="G38" s="7">
        <v>1</v>
      </c>
      <c r="H38" s="1">
        <v>45</v>
      </c>
      <c r="I38" s="9" t="s">
        <v>48</v>
      </c>
      <c r="J38" s="1"/>
      <c r="K38" s="1">
        <v>216.25</v>
      </c>
      <c r="L38" s="1">
        <f t="shared" ref="L38:L69" si="13">E38-K38</f>
        <v>14.087999999999994</v>
      </c>
      <c r="M38" s="1"/>
      <c r="N38" s="1"/>
      <c r="O38" s="1">
        <v>200</v>
      </c>
      <c r="P38" s="1"/>
      <c r="Q38" s="1"/>
      <c r="R38" s="1">
        <f t="shared" ref="R38:R69" si="14">E38/5</f>
        <v>46.067599999999999</v>
      </c>
      <c r="S38" s="5">
        <f t="shared" si="11"/>
        <v>38.60499999999999</v>
      </c>
      <c r="T38" s="20"/>
      <c r="U38" s="20"/>
      <c r="V38" s="1">
        <f t="shared" ref="V38:V69" si="15">(F38+O38+P38+Q38+S38)/R38</f>
        <v>10.000000000000002</v>
      </c>
      <c r="W38" s="1">
        <f t="shared" ref="W38:W69" si="16">(F38+O38+P38+Q38)/R38</f>
        <v>9.1619923764207396</v>
      </c>
      <c r="X38" s="1">
        <v>41.764200000000002</v>
      </c>
      <c r="Y38" s="1">
        <v>24.267199999999999</v>
      </c>
      <c r="Z38" s="1">
        <v>39.761800000000001</v>
      </c>
      <c r="AA38" s="1">
        <v>56.673800000000007</v>
      </c>
      <c r="AB38" s="1">
        <v>67.0672</v>
      </c>
      <c r="AC38" s="1">
        <v>44.9604</v>
      </c>
      <c r="AD38" s="1">
        <v>-1.5009999999999999</v>
      </c>
      <c r="AE38" s="1">
        <v>-2.0733999999999999</v>
      </c>
      <c r="AF38" s="1">
        <v>9.1658000000000008</v>
      </c>
      <c r="AG38" s="1">
        <v>37.942599999999999</v>
      </c>
      <c r="AH38" s="1"/>
      <c r="AI38" s="1">
        <f t="shared" si="12"/>
        <v>38.60499999999999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35">
      <c r="A39" s="1" t="s">
        <v>74</v>
      </c>
      <c r="B39" s="1" t="s">
        <v>41</v>
      </c>
      <c r="C39" s="1">
        <v>270</v>
      </c>
      <c r="D39" s="1">
        <v>1080</v>
      </c>
      <c r="E39" s="1">
        <v>381</v>
      </c>
      <c r="F39" s="1">
        <v>924</v>
      </c>
      <c r="G39" s="7">
        <v>0.1</v>
      </c>
      <c r="H39" s="1">
        <v>731</v>
      </c>
      <c r="I39" s="1" t="s">
        <v>37</v>
      </c>
      <c r="J39" s="1"/>
      <c r="K39" s="1">
        <v>358</v>
      </c>
      <c r="L39" s="1">
        <f t="shared" si="13"/>
        <v>23</v>
      </c>
      <c r="M39" s="1"/>
      <c r="N39" s="1"/>
      <c r="O39" s="1">
        <v>0</v>
      </c>
      <c r="P39" s="1"/>
      <c r="Q39" s="1"/>
      <c r="R39" s="1">
        <f t="shared" si="14"/>
        <v>76.2</v>
      </c>
      <c r="S39" s="5"/>
      <c r="T39" s="20"/>
      <c r="U39" s="20"/>
      <c r="V39" s="1">
        <f t="shared" si="15"/>
        <v>12.125984251968504</v>
      </c>
      <c r="W39" s="1">
        <f t="shared" si="16"/>
        <v>12.125984251968504</v>
      </c>
      <c r="X39" s="1">
        <v>56.2</v>
      </c>
      <c r="Y39" s="1">
        <v>57.4</v>
      </c>
      <c r="Z39" s="1">
        <v>85</v>
      </c>
      <c r="AA39" s="1">
        <v>79.8</v>
      </c>
      <c r="AB39" s="1">
        <v>65</v>
      </c>
      <c r="AC39" s="1">
        <v>62.8</v>
      </c>
      <c r="AD39" s="1">
        <v>64</v>
      </c>
      <c r="AE39" s="1">
        <v>69.2</v>
      </c>
      <c r="AF39" s="1">
        <v>86.4</v>
      </c>
      <c r="AG39" s="1">
        <v>78.599999999999994</v>
      </c>
      <c r="AH39" s="1"/>
      <c r="AI39" s="1">
        <f t="shared" si="12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35">
      <c r="A40" s="1" t="s">
        <v>75</v>
      </c>
      <c r="B40" s="1" t="s">
        <v>41</v>
      </c>
      <c r="C40" s="1"/>
      <c r="D40" s="1">
        <v>72</v>
      </c>
      <c r="E40" s="1">
        <v>-9</v>
      </c>
      <c r="F40" s="1">
        <v>40</v>
      </c>
      <c r="G40" s="7">
        <v>0.35</v>
      </c>
      <c r="H40" s="1">
        <v>40</v>
      </c>
      <c r="I40" s="9" t="s">
        <v>48</v>
      </c>
      <c r="J40" s="1"/>
      <c r="K40" s="1">
        <v>51</v>
      </c>
      <c r="L40" s="1">
        <f t="shared" si="13"/>
        <v>-60</v>
      </c>
      <c r="M40" s="1"/>
      <c r="N40" s="1"/>
      <c r="O40" s="1">
        <v>70</v>
      </c>
      <c r="P40" s="1"/>
      <c r="Q40" s="1"/>
      <c r="R40" s="1">
        <f t="shared" si="14"/>
        <v>-1.8</v>
      </c>
      <c r="S40" s="5">
        <v>40</v>
      </c>
      <c r="T40" s="20">
        <v>200</v>
      </c>
      <c r="U40" s="20"/>
      <c r="V40" s="1">
        <f t="shared" si="15"/>
        <v>-83.333333333333329</v>
      </c>
      <c r="W40" s="1">
        <f t="shared" si="16"/>
        <v>-61.111111111111107</v>
      </c>
      <c r="X40" s="1">
        <v>-2</v>
      </c>
      <c r="Y40" s="1">
        <v>-2.4</v>
      </c>
      <c r="Z40" s="1">
        <v>-2</v>
      </c>
      <c r="AA40" s="1">
        <v>-1.8</v>
      </c>
      <c r="AB40" s="1">
        <v>-2.6</v>
      </c>
      <c r="AC40" s="1">
        <v>-2.8</v>
      </c>
      <c r="AD40" s="1">
        <v>-2.8</v>
      </c>
      <c r="AE40" s="1">
        <v>-3</v>
      </c>
      <c r="AF40" s="1">
        <v>6.8</v>
      </c>
      <c r="AG40" s="1">
        <v>28.4</v>
      </c>
      <c r="AH40" s="1"/>
      <c r="AI40" s="1">
        <f t="shared" si="12"/>
        <v>14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35">
      <c r="A41" s="1" t="s">
        <v>76</v>
      </c>
      <c r="B41" s="1" t="s">
        <v>36</v>
      </c>
      <c r="C41" s="1"/>
      <c r="D41" s="1">
        <v>78.929000000000002</v>
      </c>
      <c r="E41" s="1">
        <v>22.943999999999999</v>
      </c>
      <c r="F41" s="1">
        <v>41.622</v>
      </c>
      <c r="G41" s="7">
        <v>1</v>
      </c>
      <c r="H41" s="1">
        <v>40</v>
      </c>
      <c r="I41" s="9" t="s">
        <v>48</v>
      </c>
      <c r="J41" s="1"/>
      <c r="K41" s="1">
        <v>61.05</v>
      </c>
      <c r="L41" s="1">
        <f t="shared" si="13"/>
        <v>-38.105999999999995</v>
      </c>
      <c r="M41" s="1"/>
      <c r="N41" s="1"/>
      <c r="O41" s="1">
        <v>20</v>
      </c>
      <c r="P41" s="1"/>
      <c r="Q41" s="1"/>
      <c r="R41" s="1">
        <f t="shared" si="14"/>
        <v>4.5888</v>
      </c>
      <c r="S41" s="5">
        <v>40</v>
      </c>
      <c r="T41" s="20">
        <v>200</v>
      </c>
      <c r="U41" s="20"/>
      <c r="V41" s="1">
        <f t="shared" si="15"/>
        <v>22.1456589958159</v>
      </c>
      <c r="W41" s="1">
        <f t="shared" si="16"/>
        <v>13.428783124128312</v>
      </c>
      <c r="X41" s="1">
        <v>5.1204000000000001</v>
      </c>
      <c r="Y41" s="1">
        <v>5.9737999999999998</v>
      </c>
      <c r="Z41" s="1">
        <v>5.5386000000000006</v>
      </c>
      <c r="AA41" s="1">
        <v>1.1628000000000001</v>
      </c>
      <c r="AB41" s="1">
        <v>8.4174000000000007</v>
      </c>
      <c r="AC41" s="1">
        <v>11.9122</v>
      </c>
      <c r="AD41" s="1">
        <v>8.8938000000000006</v>
      </c>
      <c r="AE41" s="1">
        <v>8.7584</v>
      </c>
      <c r="AF41" s="1">
        <v>7.7378</v>
      </c>
      <c r="AG41" s="1">
        <v>8.1522000000000006</v>
      </c>
      <c r="AH41" s="1"/>
      <c r="AI41" s="1">
        <f t="shared" si="12"/>
        <v>40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35">
      <c r="A42" s="1" t="s">
        <v>77</v>
      </c>
      <c r="B42" s="1" t="s">
        <v>41</v>
      </c>
      <c r="C42" s="1"/>
      <c r="D42" s="1">
        <v>438</v>
      </c>
      <c r="E42" s="1">
        <v>217</v>
      </c>
      <c r="F42" s="1">
        <v>110</v>
      </c>
      <c r="G42" s="7">
        <v>0.4</v>
      </c>
      <c r="H42" s="1">
        <v>40</v>
      </c>
      <c r="I42" s="9" t="s">
        <v>48</v>
      </c>
      <c r="J42" s="1"/>
      <c r="K42" s="1">
        <v>353</v>
      </c>
      <c r="L42" s="1">
        <f t="shared" si="13"/>
        <v>-136</v>
      </c>
      <c r="M42" s="1"/>
      <c r="N42" s="1"/>
      <c r="O42" s="1">
        <v>100</v>
      </c>
      <c r="P42" s="1"/>
      <c r="Q42" s="1"/>
      <c r="R42" s="1">
        <f t="shared" si="14"/>
        <v>43.4</v>
      </c>
      <c r="S42" s="5">
        <v>200</v>
      </c>
      <c r="T42" s="20"/>
      <c r="U42" s="20"/>
      <c r="V42" s="1">
        <f t="shared" si="15"/>
        <v>9.4470046082949306</v>
      </c>
      <c r="W42" s="1">
        <f t="shared" si="16"/>
        <v>4.838709677419355</v>
      </c>
      <c r="X42" s="1">
        <v>44.4</v>
      </c>
      <c r="Y42" s="1">
        <v>46.6</v>
      </c>
      <c r="Z42" s="1">
        <v>42.4</v>
      </c>
      <c r="AA42" s="1">
        <v>36.4</v>
      </c>
      <c r="AB42" s="1">
        <v>46.4</v>
      </c>
      <c r="AC42" s="1">
        <v>39.4</v>
      </c>
      <c r="AD42" s="1">
        <v>7</v>
      </c>
      <c r="AE42" s="1">
        <v>3</v>
      </c>
      <c r="AF42" s="1">
        <v>44.6</v>
      </c>
      <c r="AG42" s="1">
        <v>42.4</v>
      </c>
      <c r="AH42" s="1"/>
      <c r="AI42" s="1">
        <f t="shared" si="12"/>
        <v>80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35">
      <c r="A43" s="1" t="s">
        <v>78</v>
      </c>
      <c r="B43" s="1" t="s">
        <v>41</v>
      </c>
      <c r="C43" s="1"/>
      <c r="D43" s="1">
        <v>396</v>
      </c>
      <c r="E43" s="1">
        <v>260</v>
      </c>
      <c r="F43" s="1">
        <v>61</v>
      </c>
      <c r="G43" s="7">
        <v>0.4</v>
      </c>
      <c r="H43" s="1">
        <v>45</v>
      </c>
      <c r="I43" s="19" t="s">
        <v>48</v>
      </c>
      <c r="J43" s="1"/>
      <c r="K43" s="1">
        <v>364</v>
      </c>
      <c r="L43" s="1">
        <f t="shared" si="13"/>
        <v>-104</v>
      </c>
      <c r="M43" s="1"/>
      <c r="N43" s="1"/>
      <c r="O43" s="1">
        <v>200</v>
      </c>
      <c r="P43" s="1">
        <v>-204</v>
      </c>
      <c r="Q43" s="1"/>
      <c r="R43" s="1">
        <f t="shared" si="14"/>
        <v>52</v>
      </c>
      <c r="S43" s="5">
        <f>7*R43-Q43-P43-O43-F43</f>
        <v>307</v>
      </c>
      <c r="T43" s="20"/>
      <c r="U43" s="20"/>
      <c r="V43" s="1">
        <f t="shared" si="15"/>
        <v>7</v>
      </c>
      <c r="W43" s="1">
        <f t="shared" si="16"/>
        <v>1.0961538461538463</v>
      </c>
      <c r="X43" s="1">
        <v>47.6</v>
      </c>
      <c r="Y43" s="1">
        <v>30.8</v>
      </c>
      <c r="Z43" s="1">
        <v>30.4</v>
      </c>
      <c r="AA43" s="1">
        <v>30.2</v>
      </c>
      <c r="AB43" s="1">
        <v>25.8</v>
      </c>
      <c r="AC43" s="1">
        <v>20.399999999999999</v>
      </c>
      <c r="AD43" s="1">
        <v>-0.8</v>
      </c>
      <c r="AE43" s="1">
        <v>23.6</v>
      </c>
      <c r="AF43" s="1">
        <v>52.4</v>
      </c>
      <c r="AG43" s="1">
        <v>27.8</v>
      </c>
      <c r="AH43" s="1"/>
      <c r="AI43" s="1">
        <f t="shared" si="12"/>
        <v>122.80000000000001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35">
      <c r="A44" s="1" t="s">
        <v>79</v>
      </c>
      <c r="B44" s="1" t="s">
        <v>36</v>
      </c>
      <c r="C44" s="1"/>
      <c r="D44" s="1">
        <v>161.58600000000001</v>
      </c>
      <c r="E44" s="1">
        <v>96.350999999999999</v>
      </c>
      <c r="F44" s="1">
        <v>4.3040000000000003</v>
      </c>
      <c r="G44" s="7">
        <v>1</v>
      </c>
      <c r="H44" s="1">
        <v>40</v>
      </c>
      <c r="I44" s="9" t="s">
        <v>48</v>
      </c>
      <c r="J44" s="1"/>
      <c r="K44" s="1">
        <v>201.05</v>
      </c>
      <c r="L44" s="1">
        <f t="shared" si="13"/>
        <v>-104.69900000000001</v>
      </c>
      <c r="M44" s="1"/>
      <c r="N44" s="1"/>
      <c r="O44" s="1">
        <v>125.3218</v>
      </c>
      <c r="P44" s="1"/>
      <c r="Q44" s="1"/>
      <c r="R44" s="1">
        <f t="shared" si="14"/>
        <v>19.270199999999999</v>
      </c>
      <c r="S44" s="5">
        <f t="shared" si="11"/>
        <v>63.0762</v>
      </c>
      <c r="T44" s="20">
        <v>200</v>
      </c>
      <c r="U44" s="20"/>
      <c r="V44" s="1">
        <f t="shared" si="15"/>
        <v>10</v>
      </c>
      <c r="W44" s="1">
        <f t="shared" si="16"/>
        <v>6.7267490736992874</v>
      </c>
      <c r="X44" s="1">
        <v>22.2332</v>
      </c>
      <c r="Y44" s="1">
        <v>14.362</v>
      </c>
      <c r="Z44" s="1">
        <v>23.499600000000001</v>
      </c>
      <c r="AA44" s="1">
        <v>24.4682</v>
      </c>
      <c r="AB44" s="1">
        <v>21.0944</v>
      </c>
      <c r="AC44" s="1">
        <v>18.771799999999999</v>
      </c>
      <c r="AD44" s="1">
        <v>18.388999999999999</v>
      </c>
      <c r="AE44" s="1">
        <v>21.290800000000001</v>
      </c>
      <c r="AF44" s="1">
        <v>17.810400000000001</v>
      </c>
      <c r="AG44" s="1">
        <v>16.632000000000001</v>
      </c>
      <c r="AH44" s="1"/>
      <c r="AI44" s="1">
        <f t="shared" si="12"/>
        <v>63.0762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35">
      <c r="A45" s="1" t="s">
        <v>80</v>
      </c>
      <c r="B45" s="1" t="s">
        <v>41</v>
      </c>
      <c r="C45" s="1"/>
      <c r="D45" s="1">
        <v>1896</v>
      </c>
      <c r="E45" s="1">
        <v>1122</v>
      </c>
      <c r="F45" s="1">
        <v>456</v>
      </c>
      <c r="G45" s="7">
        <v>0.35</v>
      </c>
      <c r="H45" s="1">
        <v>40</v>
      </c>
      <c r="I45" s="9" t="s">
        <v>48</v>
      </c>
      <c r="J45" s="1"/>
      <c r="K45" s="1">
        <v>1588</v>
      </c>
      <c r="L45" s="1">
        <f t="shared" si="13"/>
        <v>-466</v>
      </c>
      <c r="M45" s="1"/>
      <c r="N45" s="1"/>
      <c r="O45" s="1">
        <v>500</v>
      </c>
      <c r="P45" s="1"/>
      <c r="Q45" s="1"/>
      <c r="R45" s="1">
        <f t="shared" si="14"/>
        <v>224.4</v>
      </c>
      <c r="S45" s="5">
        <v>1000</v>
      </c>
      <c r="T45" s="20"/>
      <c r="U45" s="20"/>
      <c r="V45" s="1">
        <f t="shared" si="15"/>
        <v>8.7165775401069521</v>
      </c>
      <c r="W45" s="1">
        <f t="shared" si="16"/>
        <v>4.260249554367201</v>
      </c>
      <c r="X45" s="1">
        <v>103.4</v>
      </c>
      <c r="Y45" s="1">
        <v>-5.6</v>
      </c>
      <c r="Z45" s="1">
        <v>122.6</v>
      </c>
      <c r="AA45" s="1">
        <v>238</v>
      </c>
      <c r="AB45" s="1">
        <v>305.39999999999998</v>
      </c>
      <c r="AC45" s="1">
        <v>276</v>
      </c>
      <c r="AD45" s="1">
        <v>231</v>
      </c>
      <c r="AE45" s="1">
        <v>229.8</v>
      </c>
      <c r="AF45" s="1">
        <v>254</v>
      </c>
      <c r="AG45" s="1">
        <v>261.39999999999998</v>
      </c>
      <c r="AH45" s="1"/>
      <c r="AI45" s="1">
        <f t="shared" si="12"/>
        <v>350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35">
      <c r="A46" s="1" t="s">
        <v>81</v>
      </c>
      <c r="B46" s="1" t="s">
        <v>41</v>
      </c>
      <c r="C46" s="1">
        <v>805</v>
      </c>
      <c r="D46" s="1">
        <v>662</v>
      </c>
      <c r="E46" s="1">
        <v>883</v>
      </c>
      <c r="F46" s="1">
        <v>498</v>
      </c>
      <c r="G46" s="7">
        <v>0.4</v>
      </c>
      <c r="H46" s="1">
        <v>40</v>
      </c>
      <c r="I46" s="9" t="s">
        <v>48</v>
      </c>
      <c r="J46" s="1"/>
      <c r="K46" s="1">
        <v>891</v>
      </c>
      <c r="L46" s="1">
        <f t="shared" si="13"/>
        <v>-8</v>
      </c>
      <c r="M46" s="1"/>
      <c r="N46" s="1"/>
      <c r="O46" s="1">
        <v>469.69800000000009</v>
      </c>
      <c r="P46" s="1"/>
      <c r="Q46" s="1"/>
      <c r="R46" s="1">
        <f t="shared" si="14"/>
        <v>176.6</v>
      </c>
      <c r="S46" s="5">
        <v>600</v>
      </c>
      <c r="T46" s="20"/>
      <c r="U46" s="20"/>
      <c r="V46" s="1">
        <f t="shared" si="15"/>
        <v>8.8771121177802961</v>
      </c>
      <c r="W46" s="1">
        <f t="shared" si="16"/>
        <v>5.4796036240090604</v>
      </c>
      <c r="X46" s="1">
        <v>127.8</v>
      </c>
      <c r="Y46" s="1">
        <v>137.6</v>
      </c>
      <c r="Z46" s="1">
        <v>146</v>
      </c>
      <c r="AA46" s="1">
        <v>142.80000000000001</v>
      </c>
      <c r="AB46" s="1">
        <v>156.80000000000001</v>
      </c>
      <c r="AC46" s="1">
        <v>151.19999999999999</v>
      </c>
      <c r="AD46" s="1">
        <v>139.6</v>
      </c>
      <c r="AE46" s="1">
        <v>149</v>
      </c>
      <c r="AF46" s="1">
        <v>103</v>
      </c>
      <c r="AG46" s="1">
        <v>49.8</v>
      </c>
      <c r="AH46" s="1"/>
      <c r="AI46" s="1">
        <f t="shared" si="12"/>
        <v>240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35">
      <c r="A47" s="1" t="s">
        <v>82</v>
      </c>
      <c r="B47" s="1" t="s">
        <v>36</v>
      </c>
      <c r="C47" s="1">
        <v>626.95600000000002</v>
      </c>
      <c r="D47" s="1">
        <v>487.53899999999999</v>
      </c>
      <c r="E47" s="1">
        <v>416.95400000000001</v>
      </c>
      <c r="F47" s="1">
        <v>624.22199999999998</v>
      </c>
      <c r="G47" s="7">
        <v>1</v>
      </c>
      <c r="H47" s="1">
        <v>50</v>
      </c>
      <c r="I47" s="1" t="s">
        <v>37</v>
      </c>
      <c r="J47" s="1"/>
      <c r="K47" s="1">
        <v>404.2</v>
      </c>
      <c r="L47" s="1">
        <f t="shared" si="13"/>
        <v>12.754000000000019</v>
      </c>
      <c r="M47" s="1"/>
      <c r="N47" s="1"/>
      <c r="O47" s="1">
        <v>0</v>
      </c>
      <c r="P47" s="1"/>
      <c r="Q47" s="1"/>
      <c r="R47" s="1">
        <f t="shared" si="14"/>
        <v>83.390799999999999</v>
      </c>
      <c r="S47" s="5">
        <f t="shared" si="11"/>
        <v>209.68600000000004</v>
      </c>
      <c r="T47" s="20"/>
      <c r="U47" s="20"/>
      <c r="V47" s="1">
        <f t="shared" si="15"/>
        <v>10</v>
      </c>
      <c r="W47" s="1">
        <f t="shared" si="16"/>
        <v>7.4855019978223014</v>
      </c>
      <c r="X47" s="1">
        <v>63.038800000000002</v>
      </c>
      <c r="Y47" s="1">
        <v>68.847400000000007</v>
      </c>
      <c r="Z47" s="1">
        <v>90.637199999999993</v>
      </c>
      <c r="AA47" s="1">
        <v>89.163399999999996</v>
      </c>
      <c r="AB47" s="1">
        <v>89.271799999999999</v>
      </c>
      <c r="AC47" s="1">
        <v>90.6524</v>
      </c>
      <c r="AD47" s="1">
        <v>74.56</v>
      </c>
      <c r="AE47" s="1">
        <v>74.037400000000005</v>
      </c>
      <c r="AF47" s="1">
        <v>94.643200000000007</v>
      </c>
      <c r="AG47" s="1">
        <v>101.782</v>
      </c>
      <c r="AH47" s="1"/>
      <c r="AI47" s="1">
        <f t="shared" si="12"/>
        <v>209.68600000000004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35">
      <c r="A48" s="1" t="s">
        <v>83</v>
      </c>
      <c r="B48" s="1" t="s">
        <v>36</v>
      </c>
      <c r="C48" s="1">
        <v>900.36699999999996</v>
      </c>
      <c r="D48" s="1">
        <v>456.79199999999997</v>
      </c>
      <c r="E48" s="1">
        <v>679.26900000000001</v>
      </c>
      <c r="F48" s="1">
        <v>580.06399999999996</v>
      </c>
      <c r="G48" s="7">
        <v>1</v>
      </c>
      <c r="H48" s="1">
        <v>50</v>
      </c>
      <c r="I48" s="1" t="s">
        <v>37</v>
      </c>
      <c r="J48" s="1"/>
      <c r="K48" s="1">
        <v>663.85</v>
      </c>
      <c r="L48" s="1">
        <f t="shared" si="13"/>
        <v>15.418999999999983</v>
      </c>
      <c r="M48" s="1"/>
      <c r="N48" s="1"/>
      <c r="O48" s="1">
        <v>267.32264824200001</v>
      </c>
      <c r="P48" s="1"/>
      <c r="Q48" s="1"/>
      <c r="R48" s="1">
        <f t="shared" si="14"/>
        <v>135.85380000000001</v>
      </c>
      <c r="S48" s="5">
        <f t="shared" si="11"/>
        <v>511.15135175800003</v>
      </c>
      <c r="T48" s="20"/>
      <c r="U48" s="20"/>
      <c r="V48" s="1">
        <f t="shared" si="15"/>
        <v>10</v>
      </c>
      <c r="W48" s="1">
        <f t="shared" si="16"/>
        <v>6.2374894794403977</v>
      </c>
      <c r="X48" s="1">
        <v>91.289000000000001</v>
      </c>
      <c r="Y48" s="1">
        <v>86.8</v>
      </c>
      <c r="Z48" s="1">
        <v>108.23560000000001</v>
      </c>
      <c r="AA48" s="1">
        <v>107.86839999999999</v>
      </c>
      <c r="AB48" s="1">
        <v>115.7372</v>
      </c>
      <c r="AC48" s="1">
        <v>120.2286</v>
      </c>
      <c r="AD48" s="1">
        <v>105.809</v>
      </c>
      <c r="AE48" s="1">
        <v>99.316400000000002</v>
      </c>
      <c r="AF48" s="1">
        <v>104.8566</v>
      </c>
      <c r="AG48" s="1">
        <v>106.93259999999999</v>
      </c>
      <c r="AH48" s="1"/>
      <c r="AI48" s="1">
        <f t="shared" si="12"/>
        <v>511.15135175800003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35">
      <c r="A49" s="15" t="s">
        <v>84</v>
      </c>
      <c r="B49" s="1" t="s">
        <v>36</v>
      </c>
      <c r="C49" s="1"/>
      <c r="D49" s="1"/>
      <c r="E49" s="1"/>
      <c r="F49" s="1"/>
      <c r="G49" s="7">
        <v>1</v>
      </c>
      <c r="H49" s="1">
        <v>45</v>
      </c>
      <c r="I49" s="9" t="s">
        <v>48</v>
      </c>
      <c r="J49" s="1"/>
      <c r="K49" s="1">
        <v>4.5</v>
      </c>
      <c r="L49" s="1">
        <f t="shared" si="13"/>
        <v>-4.5</v>
      </c>
      <c r="M49" s="1"/>
      <c r="N49" s="1"/>
      <c r="O49" s="1">
        <v>20</v>
      </c>
      <c r="P49" s="1">
        <v>-27</v>
      </c>
      <c r="Q49" s="1"/>
      <c r="R49" s="1">
        <f t="shared" si="14"/>
        <v>0</v>
      </c>
      <c r="S49" s="5">
        <v>20</v>
      </c>
      <c r="T49" s="20"/>
      <c r="U49" s="20"/>
      <c r="V49" s="1" t="e">
        <f t="shared" si="15"/>
        <v>#DIV/0!</v>
      </c>
      <c r="W49" s="1" t="e">
        <f t="shared" si="16"/>
        <v>#DIV/0!</v>
      </c>
      <c r="X49" s="1">
        <v>-0.28960000000000002</v>
      </c>
      <c r="Y49" s="1">
        <v>-0.28960000000000002</v>
      </c>
      <c r="Z49" s="1">
        <v>0</v>
      </c>
      <c r="AA49" s="1">
        <v>0</v>
      </c>
      <c r="AB49" s="1">
        <v>-0.23499999999999999</v>
      </c>
      <c r="AC49" s="1">
        <v>-0.23499999999999999</v>
      </c>
      <c r="AD49" s="1">
        <v>0.58399999999999996</v>
      </c>
      <c r="AE49" s="1">
        <v>9.094199999999999</v>
      </c>
      <c r="AF49" s="1">
        <v>17.8614</v>
      </c>
      <c r="AG49" s="1">
        <v>19.946200000000001</v>
      </c>
      <c r="AH49" s="1" t="s">
        <v>85</v>
      </c>
      <c r="AI49" s="1">
        <f t="shared" si="12"/>
        <v>20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35">
      <c r="A50" s="1" t="s">
        <v>86</v>
      </c>
      <c r="B50" s="1" t="s">
        <v>41</v>
      </c>
      <c r="C50" s="1">
        <v>126</v>
      </c>
      <c r="D50" s="1">
        <v>463</v>
      </c>
      <c r="E50" s="1">
        <v>223</v>
      </c>
      <c r="F50" s="1">
        <v>335</v>
      </c>
      <c r="G50" s="7">
        <v>0.45</v>
      </c>
      <c r="H50" s="1">
        <v>50</v>
      </c>
      <c r="I50" s="1" t="s">
        <v>37</v>
      </c>
      <c r="J50" s="1"/>
      <c r="K50" s="1">
        <v>230</v>
      </c>
      <c r="L50" s="1">
        <f t="shared" si="13"/>
        <v>-7</v>
      </c>
      <c r="M50" s="1"/>
      <c r="N50" s="1"/>
      <c r="O50" s="1">
        <v>120</v>
      </c>
      <c r="P50" s="1"/>
      <c r="Q50" s="1"/>
      <c r="R50" s="1">
        <f t="shared" si="14"/>
        <v>44.6</v>
      </c>
      <c r="S50" s="5"/>
      <c r="T50" s="20"/>
      <c r="U50" s="20"/>
      <c r="V50" s="1">
        <f t="shared" si="15"/>
        <v>10.201793721973093</v>
      </c>
      <c r="W50" s="1">
        <f t="shared" si="16"/>
        <v>10.201793721973093</v>
      </c>
      <c r="X50" s="1">
        <v>40</v>
      </c>
      <c r="Y50" s="1">
        <v>30.2</v>
      </c>
      <c r="Z50" s="1">
        <v>37.6</v>
      </c>
      <c r="AA50" s="1">
        <v>36.4</v>
      </c>
      <c r="AB50" s="1">
        <v>27.2</v>
      </c>
      <c r="AC50" s="1">
        <v>29.2</v>
      </c>
      <c r="AD50" s="1">
        <v>42.4</v>
      </c>
      <c r="AE50" s="1">
        <v>40.4</v>
      </c>
      <c r="AF50" s="1">
        <v>35</v>
      </c>
      <c r="AG50" s="1">
        <v>41.4</v>
      </c>
      <c r="AH50" s="1"/>
      <c r="AI50" s="1">
        <f t="shared" si="12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35">
      <c r="A51" s="1" t="s">
        <v>87</v>
      </c>
      <c r="B51" s="1" t="s">
        <v>41</v>
      </c>
      <c r="C51" s="1">
        <v>608</v>
      </c>
      <c r="D51" s="1">
        <v>743</v>
      </c>
      <c r="E51" s="1">
        <v>630</v>
      </c>
      <c r="F51" s="1">
        <v>644</v>
      </c>
      <c r="G51" s="7">
        <v>0.45</v>
      </c>
      <c r="H51" s="1">
        <v>50</v>
      </c>
      <c r="I51" s="1" t="s">
        <v>37</v>
      </c>
      <c r="J51" s="1"/>
      <c r="K51" s="1">
        <v>628</v>
      </c>
      <c r="L51" s="1">
        <f t="shared" si="13"/>
        <v>2</v>
      </c>
      <c r="M51" s="1"/>
      <c r="N51" s="1"/>
      <c r="O51" s="1">
        <v>402.61307099999982</v>
      </c>
      <c r="P51" s="1"/>
      <c r="Q51" s="1"/>
      <c r="R51" s="1">
        <f t="shared" si="14"/>
        <v>126</v>
      </c>
      <c r="S51" s="5">
        <f t="shared" si="11"/>
        <v>213.38692900000024</v>
      </c>
      <c r="T51" s="20"/>
      <c r="U51" s="20"/>
      <c r="V51" s="1">
        <f t="shared" si="15"/>
        <v>10</v>
      </c>
      <c r="W51" s="1">
        <f t="shared" si="16"/>
        <v>8.3064529444444428</v>
      </c>
      <c r="X51" s="1">
        <v>96.6</v>
      </c>
      <c r="Y51" s="1">
        <v>92.4</v>
      </c>
      <c r="Z51" s="1">
        <v>100.2</v>
      </c>
      <c r="AA51" s="1">
        <v>92.8</v>
      </c>
      <c r="AB51" s="1">
        <v>92.4</v>
      </c>
      <c r="AC51" s="1">
        <v>101.8</v>
      </c>
      <c r="AD51" s="1">
        <v>96.8</v>
      </c>
      <c r="AE51" s="1">
        <v>93.2</v>
      </c>
      <c r="AF51" s="1">
        <v>95.8</v>
      </c>
      <c r="AG51" s="1">
        <v>91.6</v>
      </c>
      <c r="AH51" s="1"/>
      <c r="AI51" s="1">
        <f t="shared" si="12"/>
        <v>96.024118050000112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35">
      <c r="A52" s="15" t="s">
        <v>88</v>
      </c>
      <c r="B52" s="1" t="s">
        <v>41</v>
      </c>
      <c r="C52" s="1"/>
      <c r="D52" s="1"/>
      <c r="E52" s="1">
        <v>-1</v>
      </c>
      <c r="F52" s="1"/>
      <c r="G52" s="7">
        <v>0.4</v>
      </c>
      <c r="H52" s="1">
        <v>40</v>
      </c>
      <c r="I52" s="9" t="s">
        <v>48</v>
      </c>
      <c r="J52" s="1"/>
      <c r="K52" s="1">
        <v>124</v>
      </c>
      <c r="L52" s="1">
        <f t="shared" si="13"/>
        <v>-125</v>
      </c>
      <c r="M52" s="1"/>
      <c r="N52" s="1"/>
      <c r="O52" s="1">
        <v>50</v>
      </c>
      <c r="P52" s="1">
        <v>-54</v>
      </c>
      <c r="Q52" s="1"/>
      <c r="R52" s="1">
        <f t="shared" si="14"/>
        <v>-0.2</v>
      </c>
      <c r="S52" s="5">
        <v>40</v>
      </c>
      <c r="T52" s="20"/>
      <c r="U52" s="20"/>
      <c r="V52" s="1">
        <f t="shared" si="15"/>
        <v>-180</v>
      </c>
      <c r="W52" s="1">
        <f t="shared" si="16"/>
        <v>20</v>
      </c>
      <c r="X52" s="1">
        <v>-0.6</v>
      </c>
      <c r="Y52" s="1">
        <v>-1</v>
      </c>
      <c r="Z52" s="1">
        <v>3.2</v>
      </c>
      <c r="AA52" s="1">
        <v>17.399999999999999</v>
      </c>
      <c r="AB52" s="1">
        <v>31.8</v>
      </c>
      <c r="AC52" s="1">
        <v>29.2</v>
      </c>
      <c r="AD52" s="1">
        <v>19</v>
      </c>
      <c r="AE52" s="1">
        <v>19.8</v>
      </c>
      <c r="AF52" s="1">
        <v>25.6</v>
      </c>
      <c r="AG52" s="1">
        <v>30.8</v>
      </c>
      <c r="AH52" s="1"/>
      <c r="AI52" s="1">
        <f t="shared" si="12"/>
        <v>16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35">
      <c r="A53" s="15" t="s">
        <v>89</v>
      </c>
      <c r="B53" s="1" t="s">
        <v>41</v>
      </c>
      <c r="C53" s="1">
        <v>118</v>
      </c>
      <c r="D53" s="1">
        <v>48</v>
      </c>
      <c r="E53" s="1">
        <v>114</v>
      </c>
      <c r="F53" s="1">
        <v>32</v>
      </c>
      <c r="G53" s="7">
        <v>0.4</v>
      </c>
      <c r="H53" s="1">
        <v>40</v>
      </c>
      <c r="I53" s="9" t="s">
        <v>48</v>
      </c>
      <c r="J53" s="1"/>
      <c r="K53" s="1">
        <v>121</v>
      </c>
      <c r="L53" s="1">
        <f t="shared" si="13"/>
        <v>-7</v>
      </c>
      <c r="M53" s="1"/>
      <c r="N53" s="1"/>
      <c r="O53" s="1">
        <v>60</v>
      </c>
      <c r="P53" s="1"/>
      <c r="Q53" s="1"/>
      <c r="R53" s="1">
        <f t="shared" si="14"/>
        <v>22.8</v>
      </c>
      <c r="S53" s="5">
        <v>100</v>
      </c>
      <c r="T53" s="20"/>
      <c r="U53" s="20"/>
      <c r="V53" s="1">
        <f t="shared" si="15"/>
        <v>8.4210526315789469</v>
      </c>
      <c r="W53" s="1">
        <f t="shared" si="16"/>
        <v>4.0350877192982457</v>
      </c>
      <c r="X53" s="1">
        <v>16.600000000000001</v>
      </c>
      <c r="Y53" s="1">
        <v>11.4</v>
      </c>
      <c r="Z53" s="1">
        <v>10.6</v>
      </c>
      <c r="AA53" s="1">
        <v>11.8</v>
      </c>
      <c r="AB53" s="1">
        <v>13.8</v>
      </c>
      <c r="AC53" s="1">
        <v>10.199999999999999</v>
      </c>
      <c r="AD53" s="1">
        <v>8.8000000000000007</v>
      </c>
      <c r="AE53" s="1">
        <v>14.6</v>
      </c>
      <c r="AF53" s="1">
        <v>20</v>
      </c>
      <c r="AG53" s="1">
        <v>17.2</v>
      </c>
      <c r="AH53" s="1"/>
      <c r="AI53" s="1">
        <f t="shared" si="12"/>
        <v>40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35">
      <c r="A54" s="1" t="s">
        <v>90</v>
      </c>
      <c r="B54" s="1" t="s">
        <v>36</v>
      </c>
      <c r="C54" s="1">
        <v>1068.2860000000001</v>
      </c>
      <c r="D54" s="1">
        <v>639.26599999999996</v>
      </c>
      <c r="E54" s="1">
        <v>805.81700000000001</v>
      </c>
      <c r="F54" s="1">
        <v>800.84900000000005</v>
      </c>
      <c r="G54" s="7">
        <v>1</v>
      </c>
      <c r="H54" s="1">
        <v>50</v>
      </c>
      <c r="I54" s="1" t="s">
        <v>37</v>
      </c>
      <c r="J54" s="1"/>
      <c r="K54" s="1">
        <v>772.55</v>
      </c>
      <c r="L54" s="1">
        <f t="shared" si="13"/>
        <v>33.267000000000053</v>
      </c>
      <c r="M54" s="1"/>
      <c r="N54" s="1"/>
      <c r="O54" s="1">
        <v>308.76658400000002</v>
      </c>
      <c r="P54" s="1"/>
      <c r="Q54" s="1"/>
      <c r="R54" s="1">
        <f t="shared" si="14"/>
        <v>161.1634</v>
      </c>
      <c r="S54" s="5">
        <f t="shared" si="11"/>
        <v>502.018416</v>
      </c>
      <c r="T54" s="20"/>
      <c r="U54" s="20"/>
      <c r="V54" s="1">
        <f t="shared" si="15"/>
        <v>10</v>
      </c>
      <c r="W54" s="1">
        <f t="shared" si="16"/>
        <v>6.8850345922213121</v>
      </c>
      <c r="X54" s="1">
        <v>109.1048</v>
      </c>
      <c r="Y54" s="1">
        <v>121.73820000000001</v>
      </c>
      <c r="Z54" s="1">
        <v>139.08959999999999</v>
      </c>
      <c r="AA54" s="1">
        <v>135.32220000000001</v>
      </c>
      <c r="AB54" s="1">
        <v>134.5496</v>
      </c>
      <c r="AC54" s="1">
        <v>136.10159999999999</v>
      </c>
      <c r="AD54" s="1">
        <v>125.3366</v>
      </c>
      <c r="AE54" s="1">
        <v>121.60299999999999</v>
      </c>
      <c r="AF54" s="1">
        <v>139.44720000000001</v>
      </c>
      <c r="AG54" s="1">
        <v>142.02119999999999</v>
      </c>
      <c r="AH54" s="1"/>
      <c r="AI54" s="1">
        <f t="shared" si="12"/>
        <v>502.018416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35">
      <c r="A55" s="1" t="s">
        <v>91</v>
      </c>
      <c r="B55" s="1" t="s">
        <v>41</v>
      </c>
      <c r="C55" s="1">
        <v>78</v>
      </c>
      <c r="D55" s="1">
        <v>728</v>
      </c>
      <c r="E55" s="13">
        <f>220+E127</f>
        <v>267</v>
      </c>
      <c r="F55" s="13">
        <f>401+F127</f>
        <v>496</v>
      </c>
      <c r="G55" s="7">
        <v>0.1</v>
      </c>
      <c r="H55" s="1">
        <v>731</v>
      </c>
      <c r="I55" s="1" t="s">
        <v>37</v>
      </c>
      <c r="J55" s="1"/>
      <c r="K55" s="1">
        <v>220</v>
      </c>
      <c r="L55" s="1">
        <f t="shared" si="13"/>
        <v>47</v>
      </c>
      <c r="M55" s="1"/>
      <c r="N55" s="1"/>
      <c r="O55" s="1">
        <v>0</v>
      </c>
      <c r="P55" s="1"/>
      <c r="Q55" s="1"/>
      <c r="R55" s="1">
        <f t="shared" si="14"/>
        <v>53.4</v>
      </c>
      <c r="S55" s="5">
        <f t="shared" si="11"/>
        <v>38</v>
      </c>
      <c r="T55" s="20"/>
      <c r="U55" s="20"/>
      <c r="V55" s="1">
        <f t="shared" si="15"/>
        <v>10</v>
      </c>
      <c r="W55" s="1">
        <f t="shared" si="16"/>
        <v>9.2883895131086138</v>
      </c>
      <c r="X55" s="1">
        <v>31.6</v>
      </c>
      <c r="Y55" s="1">
        <v>39.4</v>
      </c>
      <c r="Z55" s="1">
        <v>56.6</v>
      </c>
      <c r="AA55" s="1">
        <v>47.4</v>
      </c>
      <c r="AB55" s="1">
        <v>37.200000000000003</v>
      </c>
      <c r="AC55" s="1">
        <v>40.6</v>
      </c>
      <c r="AD55" s="1">
        <v>49.6</v>
      </c>
      <c r="AE55" s="1">
        <v>52.8</v>
      </c>
      <c r="AF55" s="1">
        <v>58</v>
      </c>
      <c r="AG55" s="1">
        <v>56.4</v>
      </c>
      <c r="AH55" s="1"/>
      <c r="AI55" s="1">
        <f t="shared" si="12"/>
        <v>3.8000000000000003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35">
      <c r="A56" s="1" t="s">
        <v>92</v>
      </c>
      <c r="B56" s="1" t="s">
        <v>36</v>
      </c>
      <c r="C56" s="1">
        <v>1318.0360000000001</v>
      </c>
      <c r="D56" s="1">
        <v>412.00599999999997</v>
      </c>
      <c r="E56" s="1">
        <v>918.41300000000001</v>
      </c>
      <c r="F56" s="1">
        <v>710.50199999999995</v>
      </c>
      <c r="G56" s="7">
        <v>1</v>
      </c>
      <c r="H56" s="1">
        <v>50</v>
      </c>
      <c r="I56" s="1" t="s">
        <v>37</v>
      </c>
      <c r="J56" s="1"/>
      <c r="K56" s="1">
        <v>905.25</v>
      </c>
      <c r="L56" s="1">
        <f t="shared" si="13"/>
        <v>13.163000000000011</v>
      </c>
      <c r="M56" s="1"/>
      <c r="N56" s="1"/>
      <c r="O56" s="1">
        <v>333.92245400000002</v>
      </c>
      <c r="P56" s="1"/>
      <c r="Q56" s="1"/>
      <c r="R56" s="1">
        <f t="shared" si="14"/>
        <v>183.68260000000001</v>
      </c>
      <c r="S56" s="5">
        <f t="shared" si="11"/>
        <v>792.40154600000005</v>
      </c>
      <c r="T56" s="20"/>
      <c r="U56" s="20"/>
      <c r="V56" s="1">
        <f t="shared" si="15"/>
        <v>10</v>
      </c>
      <c r="W56" s="1">
        <f t="shared" si="16"/>
        <v>5.6860282574397356</v>
      </c>
      <c r="X56" s="1">
        <v>117.99379999999999</v>
      </c>
      <c r="Y56" s="1">
        <v>124.1302</v>
      </c>
      <c r="Z56" s="1">
        <v>163.53100000000001</v>
      </c>
      <c r="AA56" s="1">
        <v>153.71940000000001</v>
      </c>
      <c r="AB56" s="1">
        <v>178.23</v>
      </c>
      <c r="AC56" s="1">
        <v>187.59280000000001</v>
      </c>
      <c r="AD56" s="1">
        <v>186.78440000000001</v>
      </c>
      <c r="AE56" s="1">
        <v>179.19659999999999</v>
      </c>
      <c r="AF56" s="1">
        <v>169.71199999999999</v>
      </c>
      <c r="AG56" s="1">
        <v>165.36500000000001</v>
      </c>
      <c r="AH56" s="1"/>
      <c r="AI56" s="1">
        <f t="shared" si="12"/>
        <v>792.40154600000005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35">
      <c r="A57" s="1" t="s">
        <v>93</v>
      </c>
      <c r="B57" s="1" t="s">
        <v>36</v>
      </c>
      <c r="C57" s="1">
        <v>52.847000000000001</v>
      </c>
      <c r="D57" s="1">
        <v>303.72699999999998</v>
      </c>
      <c r="E57" s="1">
        <v>63.527000000000001</v>
      </c>
      <c r="F57" s="1">
        <v>284.93700000000001</v>
      </c>
      <c r="G57" s="7">
        <v>1</v>
      </c>
      <c r="H57" s="1">
        <v>55</v>
      </c>
      <c r="I57" s="1" t="s">
        <v>37</v>
      </c>
      <c r="J57" s="1"/>
      <c r="K57" s="1">
        <v>61.15</v>
      </c>
      <c r="L57" s="1">
        <f t="shared" si="13"/>
        <v>2.3770000000000024</v>
      </c>
      <c r="M57" s="1"/>
      <c r="N57" s="1"/>
      <c r="O57" s="1">
        <v>0</v>
      </c>
      <c r="P57" s="1"/>
      <c r="Q57" s="1"/>
      <c r="R57" s="1">
        <f t="shared" si="14"/>
        <v>12.705400000000001</v>
      </c>
      <c r="S57" s="5"/>
      <c r="T57" s="20"/>
      <c r="U57" s="20"/>
      <c r="V57" s="1">
        <f t="shared" si="15"/>
        <v>22.426448596659686</v>
      </c>
      <c r="W57" s="1">
        <f t="shared" si="16"/>
        <v>22.426448596659686</v>
      </c>
      <c r="X57" s="1">
        <v>10.586</v>
      </c>
      <c r="Y57" s="1">
        <v>11.1212</v>
      </c>
      <c r="Z57" s="1">
        <v>21.421600000000002</v>
      </c>
      <c r="AA57" s="1">
        <v>21.666799999999999</v>
      </c>
      <c r="AB57" s="1">
        <v>16.1006</v>
      </c>
      <c r="AC57" s="1">
        <v>20.717400000000001</v>
      </c>
      <c r="AD57" s="1">
        <v>18.250800000000002</v>
      </c>
      <c r="AE57" s="1">
        <v>15.446999999999999</v>
      </c>
      <c r="AF57" s="1">
        <v>17.9756</v>
      </c>
      <c r="AG57" s="1">
        <v>16.6264</v>
      </c>
      <c r="AH57" s="16" t="s">
        <v>97</v>
      </c>
      <c r="AI57" s="1">
        <f t="shared" si="12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35">
      <c r="A58" s="1" t="s">
        <v>95</v>
      </c>
      <c r="B58" s="1" t="s">
        <v>41</v>
      </c>
      <c r="C58" s="1">
        <v>107</v>
      </c>
      <c r="D58" s="1">
        <v>500</v>
      </c>
      <c r="E58" s="1">
        <v>187</v>
      </c>
      <c r="F58" s="1">
        <v>408</v>
      </c>
      <c r="G58" s="7">
        <v>0.1</v>
      </c>
      <c r="H58" s="1">
        <v>731</v>
      </c>
      <c r="I58" s="1" t="s">
        <v>37</v>
      </c>
      <c r="J58" s="1"/>
      <c r="K58" s="1">
        <v>187</v>
      </c>
      <c r="L58" s="1">
        <f t="shared" si="13"/>
        <v>0</v>
      </c>
      <c r="M58" s="1"/>
      <c r="N58" s="1"/>
      <c r="O58" s="1">
        <v>0</v>
      </c>
      <c r="P58" s="1"/>
      <c r="Q58" s="1"/>
      <c r="R58" s="1">
        <f t="shared" si="14"/>
        <v>37.4</v>
      </c>
      <c r="S58" s="5"/>
      <c r="T58" s="20"/>
      <c r="U58" s="20"/>
      <c r="V58" s="1">
        <f t="shared" si="15"/>
        <v>10.90909090909091</v>
      </c>
      <c r="W58" s="1">
        <f t="shared" si="16"/>
        <v>10.90909090909091</v>
      </c>
      <c r="X58" s="1">
        <v>34.200000000000003</v>
      </c>
      <c r="Y58" s="1">
        <v>34.799999999999997</v>
      </c>
      <c r="Z58" s="1">
        <v>41.6</v>
      </c>
      <c r="AA58" s="1">
        <v>38</v>
      </c>
      <c r="AB58" s="1">
        <v>30.6</v>
      </c>
      <c r="AC58" s="1">
        <v>35.200000000000003</v>
      </c>
      <c r="AD58" s="1">
        <v>43.8</v>
      </c>
      <c r="AE58" s="1">
        <v>41.8</v>
      </c>
      <c r="AF58" s="1">
        <v>40.6</v>
      </c>
      <c r="AG58" s="1">
        <v>37.6</v>
      </c>
      <c r="AH58" s="1"/>
      <c r="AI58" s="1">
        <f t="shared" si="12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35">
      <c r="A59" s="1" t="s">
        <v>96</v>
      </c>
      <c r="B59" s="1" t="s">
        <v>41</v>
      </c>
      <c r="C59" s="1">
        <v>363</v>
      </c>
      <c r="D59" s="1">
        <v>500</v>
      </c>
      <c r="E59" s="1">
        <v>237</v>
      </c>
      <c r="F59" s="1">
        <v>597</v>
      </c>
      <c r="G59" s="7">
        <v>0.4</v>
      </c>
      <c r="H59" s="1">
        <v>50</v>
      </c>
      <c r="I59" s="1" t="s">
        <v>37</v>
      </c>
      <c r="J59" s="1"/>
      <c r="K59" s="1">
        <v>237</v>
      </c>
      <c r="L59" s="1">
        <f t="shared" si="13"/>
        <v>0</v>
      </c>
      <c r="M59" s="1"/>
      <c r="N59" s="1"/>
      <c r="O59" s="1">
        <v>0</v>
      </c>
      <c r="P59" s="1"/>
      <c r="Q59" s="1"/>
      <c r="R59" s="1">
        <f t="shared" si="14"/>
        <v>47.4</v>
      </c>
      <c r="S59" s="5"/>
      <c r="T59" s="20"/>
      <c r="U59" s="20"/>
      <c r="V59" s="1">
        <f t="shared" si="15"/>
        <v>12.594936708860759</v>
      </c>
      <c r="W59" s="1">
        <f t="shared" si="16"/>
        <v>12.594936708860759</v>
      </c>
      <c r="X59" s="1">
        <v>43</v>
      </c>
      <c r="Y59" s="1">
        <v>63</v>
      </c>
      <c r="Z59" s="1">
        <v>63.2</v>
      </c>
      <c r="AA59" s="1">
        <v>63.4</v>
      </c>
      <c r="AB59" s="1">
        <v>66</v>
      </c>
      <c r="AC59" s="1">
        <v>65</v>
      </c>
      <c r="AD59" s="1">
        <v>69</v>
      </c>
      <c r="AE59" s="1">
        <v>59.8</v>
      </c>
      <c r="AF59" s="1">
        <v>59.4</v>
      </c>
      <c r="AG59" s="1">
        <v>52.2</v>
      </c>
      <c r="AH59" s="1"/>
      <c r="AI59" s="1">
        <f t="shared" si="12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35">
      <c r="A60" s="15" t="s">
        <v>98</v>
      </c>
      <c r="B60" s="1" t="s">
        <v>36</v>
      </c>
      <c r="C60" s="1">
        <v>659.14400000000001</v>
      </c>
      <c r="D60" s="1">
        <v>182.30199999999999</v>
      </c>
      <c r="E60" s="1">
        <v>540.57000000000005</v>
      </c>
      <c r="F60" s="1">
        <v>238.71600000000001</v>
      </c>
      <c r="G60" s="7">
        <v>1</v>
      </c>
      <c r="H60" s="1">
        <v>40</v>
      </c>
      <c r="I60" s="9" t="s">
        <v>48</v>
      </c>
      <c r="J60" s="1"/>
      <c r="K60" s="1">
        <v>549.30399999999997</v>
      </c>
      <c r="L60" s="1">
        <f t="shared" si="13"/>
        <v>-8.7339999999999236</v>
      </c>
      <c r="M60" s="1"/>
      <c r="N60" s="1"/>
      <c r="O60" s="1">
        <v>0</v>
      </c>
      <c r="P60" s="1"/>
      <c r="Q60" s="1"/>
      <c r="R60" s="1">
        <f t="shared" si="14"/>
        <v>108.114</v>
      </c>
      <c r="S60" s="5">
        <v>500</v>
      </c>
      <c r="T60" s="20"/>
      <c r="U60" s="20"/>
      <c r="V60" s="1">
        <f t="shared" si="15"/>
        <v>6.8327506150914772</v>
      </c>
      <c r="W60" s="1">
        <f t="shared" si="16"/>
        <v>2.20800266385482</v>
      </c>
      <c r="X60" s="1">
        <v>73.970799999999997</v>
      </c>
      <c r="Y60" s="1">
        <v>112.611</v>
      </c>
      <c r="Z60" s="1">
        <v>79.74199999999999</v>
      </c>
      <c r="AA60" s="1">
        <v>5.6125999999999996</v>
      </c>
      <c r="AB60" s="1">
        <v>90.891600000000011</v>
      </c>
      <c r="AC60" s="1">
        <v>87.63300000000001</v>
      </c>
      <c r="AD60" s="1">
        <v>25.435600000000001</v>
      </c>
      <c r="AE60" s="1">
        <v>28.949200000000001</v>
      </c>
      <c r="AF60" s="1">
        <v>19.037400000000002</v>
      </c>
      <c r="AG60" s="1">
        <v>20.474399999999999</v>
      </c>
      <c r="AH60" s="1"/>
      <c r="AI60" s="1">
        <f t="shared" si="12"/>
        <v>500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35">
      <c r="A61" s="15" t="s">
        <v>99</v>
      </c>
      <c r="B61" s="1" t="s">
        <v>36</v>
      </c>
      <c r="C61" s="1">
        <v>519.13699999999994</v>
      </c>
      <c r="D61" s="1">
        <v>64.052999999999997</v>
      </c>
      <c r="E61" s="1">
        <v>414.42399999999998</v>
      </c>
      <c r="F61" s="1">
        <v>12.167</v>
      </c>
      <c r="G61" s="7">
        <v>1</v>
      </c>
      <c r="H61" s="1">
        <v>40</v>
      </c>
      <c r="I61" s="9" t="s">
        <v>48</v>
      </c>
      <c r="J61" s="1"/>
      <c r="K61" s="1">
        <v>396.35</v>
      </c>
      <c r="L61" s="1">
        <f t="shared" si="13"/>
        <v>18.073999999999955</v>
      </c>
      <c r="M61" s="1"/>
      <c r="N61" s="1"/>
      <c r="O61" s="1">
        <v>619.41429799999992</v>
      </c>
      <c r="P61" s="1"/>
      <c r="Q61" s="1"/>
      <c r="R61" s="1">
        <f t="shared" si="14"/>
        <v>82.884799999999998</v>
      </c>
      <c r="S61" s="5">
        <f t="shared" si="11"/>
        <v>197.26670200000004</v>
      </c>
      <c r="T61" s="20"/>
      <c r="U61" s="20"/>
      <c r="V61" s="1">
        <f t="shared" si="15"/>
        <v>10</v>
      </c>
      <c r="W61" s="1">
        <f t="shared" si="16"/>
        <v>7.6199894069841507</v>
      </c>
      <c r="X61" s="1">
        <v>66.700599999999994</v>
      </c>
      <c r="Y61" s="1">
        <v>23.886800000000001</v>
      </c>
      <c r="Z61" s="1">
        <v>23.633800000000001</v>
      </c>
      <c r="AA61" s="1">
        <v>61.535799999999988</v>
      </c>
      <c r="AB61" s="1">
        <v>85.055199999999999</v>
      </c>
      <c r="AC61" s="1">
        <v>46.878799999999998</v>
      </c>
      <c r="AD61" s="1">
        <v>23.079000000000001</v>
      </c>
      <c r="AE61" s="1">
        <v>22.816600000000001</v>
      </c>
      <c r="AF61" s="1">
        <v>0</v>
      </c>
      <c r="AG61" s="1">
        <v>0</v>
      </c>
      <c r="AH61" s="1"/>
      <c r="AI61" s="1">
        <f t="shared" si="12"/>
        <v>197.26670200000004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35">
      <c r="A62" s="15" t="s">
        <v>100</v>
      </c>
      <c r="B62" s="1" t="s">
        <v>41</v>
      </c>
      <c r="C62" s="1">
        <v>2740</v>
      </c>
      <c r="D62" s="1">
        <v>358</v>
      </c>
      <c r="E62" s="1">
        <v>1238</v>
      </c>
      <c r="F62" s="1">
        <v>1566</v>
      </c>
      <c r="G62" s="7">
        <v>0.4</v>
      </c>
      <c r="H62" s="1">
        <v>40</v>
      </c>
      <c r="I62" s="9" t="s">
        <v>48</v>
      </c>
      <c r="J62" s="1"/>
      <c r="K62" s="1">
        <v>1260</v>
      </c>
      <c r="L62" s="1">
        <f t="shared" si="13"/>
        <v>-22</v>
      </c>
      <c r="M62" s="1"/>
      <c r="N62" s="1"/>
      <c r="O62" s="1">
        <v>546.75599999999997</v>
      </c>
      <c r="P62" s="1"/>
      <c r="Q62" s="1"/>
      <c r="R62" s="1">
        <f t="shared" si="14"/>
        <v>247.6</v>
      </c>
      <c r="S62" s="5">
        <f t="shared" si="11"/>
        <v>363.24400000000014</v>
      </c>
      <c r="T62" s="20"/>
      <c r="U62" s="20"/>
      <c r="V62" s="1">
        <f t="shared" si="15"/>
        <v>10</v>
      </c>
      <c r="W62" s="1">
        <f t="shared" si="16"/>
        <v>8.5329402261712435</v>
      </c>
      <c r="X62" s="1">
        <v>193.2</v>
      </c>
      <c r="Y62" s="1">
        <v>198.8</v>
      </c>
      <c r="Z62" s="1">
        <v>196.6</v>
      </c>
      <c r="AA62" s="1">
        <v>246.4</v>
      </c>
      <c r="AB62" s="1">
        <v>312.2</v>
      </c>
      <c r="AC62" s="1">
        <v>247</v>
      </c>
      <c r="AD62" s="1">
        <v>179.6</v>
      </c>
      <c r="AE62" s="1">
        <v>181.2</v>
      </c>
      <c r="AF62" s="1">
        <v>180.6</v>
      </c>
      <c r="AG62" s="1">
        <v>186.2</v>
      </c>
      <c r="AH62" s="1"/>
      <c r="AI62" s="1">
        <f t="shared" si="12"/>
        <v>145.29760000000007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35">
      <c r="A63" s="1" t="s">
        <v>101</v>
      </c>
      <c r="B63" s="1" t="s">
        <v>41</v>
      </c>
      <c r="C63" s="1">
        <v>24</v>
      </c>
      <c r="D63" s="1">
        <v>800</v>
      </c>
      <c r="E63" s="1">
        <v>239</v>
      </c>
      <c r="F63" s="1">
        <v>481</v>
      </c>
      <c r="G63" s="7">
        <v>0.4</v>
      </c>
      <c r="H63" s="1">
        <v>40</v>
      </c>
      <c r="I63" s="1" t="s">
        <v>37</v>
      </c>
      <c r="J63" s="1"/>
      <c r="K63" s="1">
        <v>317</v>
      </c>
      <c r="L63" s="1">
        <f t="shared" si="13"/>
        <v>-78</v>
      </c>
      <c r="M63" s="1"/>
      <c r="N63" s="1"/>
      <c r="O63" s="1">
        <v>250</v>
      </c>
      <c r="P63" s="1"/>
      <c r="Q63" s="1"/>
      <c r="R63" s="1">
        <f t="shared" si="14"/>
        <v>47.8</v>
      </c>
      <c r="S63" s="5"/>
      <c r="T63" s="20"/>
      <c r="U63" s="20"/>
      <c r="V63" s="1">
        <f t="shared" si="15"/>
        <v>15.292887029288703</v>
      </c>
      <c r="W63" s="1">
        <f t="shared" si="16"/>
        <v>15.292887029288703</v>
      </c>
      <c r="X63" s="1">
        <v>89.4</v>
      </c>
      <c r="Y63" s="1">
        <v>82</v>
      </c>
      <c r="Z63" s="1">
        <v>41.4</v>
      </c>
      <c r="AA63" s="1">
        <v>49.4</v>
      </c>
      <c r="AB63" s="1">
        <v>124.2</v>
      </c>
      <c r="AC63" s="1">
        <v>129.6</v>
      </c>
      <c r="AD63" s="1">
        <v>96.4</v>
      </c>
      <c r="AE63" s="1">
        <v>59.8</v>
      </c>
      <c r="AF63" s="1">
        <v>2.2000000000000002</v>
      </c>
      <c r="AG63" s="1">
        <v>1</v>
      </c>
      <c r="AH63" s="1"/>
      <c r="AI63" s="1">
        <f t="shared" si="12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35">
      <c r="A64" s="15" t="s">
        <v>102</v>
      </c>
      <c r="B64" s="1" t="s">
        <v>36</v>
      </c>
      <c r="C64" s="1"/>
      <c r="D64" s="1">
        <v>141.56</v>
      </c>
      <c r="E64" s="1">
        <v>-5.476</v>
      </c>
      <c r="F64" s="1">
        <v>119.79</v>
      </c>
      <c r="G64" s="7">
        <v>1</v>
      </c>
      <c r="H64" s="1">
        <v>40</v>
      </c>
      <c r="I64" s="9" t="s">
        <v>48</v>
      </c>
      <c r="J64" s="1"/>
      <c r="K64" s="1">
        <v>39.799999999999997</v>
      </c>
      <c r="L64" s="1">
        <f t="shared" si="13"/>
        <v>-45.275999999999996</v>
      </c>
      <c r="M64" s="1"/>
      <c r="N64" s="1"/>
      <c r="O64" s="1">
        <v>200</v>
      </c>
      <c r="P64" s="1"/>
      <c r="Q64" s="1"/>
      <c r="R64" s="1">
        <f t="shared" si="14"/>
        <v>-1.0952</v>
      </c>
      <c r="S64" s="5">
        <v>100</v>
      </c>
      <c r="T64" s="20"/>
      <c r="U64" s="20"/>
      <c r="V64" s="1">
        <f t="shared" si="15"/>
        <v>-383.29985390796207</v>
      </c>
      <c r="W64" s="1">
        <f t="shared" si="16"/>
        <v>-291.99233016800588</v>
      </c>
      <c r="X64" s="1">
        <v>-0.55000000000000004</v>
      </c>
      <c r="Y64" s="1">
        <v>24.584800000000001</v>
      </c>
      <c r="Z64" s="1">
        <v>65.170600000000007</v>
      </c>
      <c r="AA64" s="1">
        <v>61.546000000000006</v>
      </c>
      <c r="AB64" s="1">
        <v>65.935000000000002</v>
      </c>
      <c r="AC64" s="1">
        <v>67.238399999999999</v>
      </c>
      <c r="AD64" s="1">
        <v>56.559399999999997</v>
      </c>
      <c r="AE64" s="1">
        <v>55.1158</v>
      </c>
      <c r="AF64" s="1">
        <v>57.833799999999997</v>
      </c>
      <c r="AG64" s="1">
        <v>55.1432</v>
      </c>
      <c r="AH64" s="1"/>
      <c r="AI64" s="1">
        <f t="shared" si="12"/>
        <v>100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35">
      <c r="A65" s="15" t="s">
        <v>103</v>
      </c>
      <c r="B65" s="1" t="s">
        <v>36</v>
      </c>
      <c r="C65" s="1"/>
      <c r="D65" s="1"/>
      <c r="E65" s="1">
        <v>-4.55</v>
      </c>
      <c r="F65" s="1"/>
      <c r="G65" s="7">
        <v>1</v>
      </c>
      <c r="H65" s="1">
        <v>40</v>
      </c>
      <c r="I65" s="9" t="s">
        <v>48</v>
      </c>
      <c r="J65" s="1"/>
      <c r="K65" s="1">
        <v>48.9</v>
      </c>
      <c r="L65" s="1">
        <f t="shared" si="13"/>
        <v>-53.449999999999996</v>
      </c>
      <c r="M65" s="1"/>
      <c r="N65" s="1"/>
      <c r="O65" s="1">
        <v>140</v>
      </c>
      <c r="P65" s="1">
        <v>-140.4</v>
      </c>
      <c r="Q65" s="1"/>
      <c r="R65" s="1">
        <f t="shared" si="14"/>
        <v>-0.90999999999999992</v>
      </c>
      <c r="S65" s="5">
        <v>100</v>
      </c>
      <c r="T65" s="20"/>
      <c r="U65" s="20"/>
      <c r="V65" s="1">
        <f t="shared" si="15"/>
        <v>-109.45054945054946</v>
      </c>
      <c r="W65" s="1">
        <f t="shared" si="16"/>
        <v>0.43956043956044583</v>
      </c>
      <c r="X65" s="1">
        <v>-0.45700000000000002</v>
      </c>
      <c r="Y65" s="1">
        <v>2.2844000000000002</v>
      </c>
      <c r="Z65" s="1">
        <v>72.720799999999997</v>
      </c>
      <c r="AA65" s="1">
        <v>89.860799999999998</v>
      </c>
      <c r="AB65" s="1">
        <v>74.588200000000001</v>
      </c>
      <c r="AC65" s="1">
        <v>88.295199999999994</v>
      </c>
      <c r="AD65" s="1">
        <v>74.920600000000007</v>
      </c>
      <c r="AE65" s="1">
        <v>70.786599999999993</v>
      </c>
      <c r="AF65" s="1">
        <v>88.879800000000003</v>
      </c>
      <c r="AG65" s="1">
        <v>87.743600000000001</v>
      </c>
      <c r="AH65" s="1"/>
      <c r="AI65" s="1">
        <f t="shared" si="12"/>
        <v>100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35">
      <c r="A66" s="15" t="s">
        <v>104</v>
      </c>
      <c r="B66" s="1" t="s">
        <v>36</v>
      </c>
      <c r="C66" s="1"/>
      <c r="D66" s="1"/>
      <c r="E66" s="1">
        <v>-17.184000000000001</v>
      </c>
      <c r="F66" s="1"/>
      <c r="G66" s="7">
        <v>1</v>
      </c>
      <c r="H66" s="1">
        <v>40</v>
      </c>
      <c r="I66" s="9" t="s">
        <v>48</v>
      </c>
      <c r="J66" s="1"/>
      <c r="K66" s="1">
        <v>20.6</v>
      </c>
      <c r="L66" s="1">
        <f t="shared" si="13"/>
        <v>-37.784000000000006</v>
      </c>
      <c r="M66" s="1"/>
      <c r="N66" s="1"/>
      <c r="O66" s="1">
        <v>300</v>
      </c>
      <c r="P66" s="1">
        <v>-302.39999999999998</v>
      </c>
      <c r="Q66" s="1"/>
      <c r="R66" s="1">
        <f t="shared" si="14"/>
        <v>-3.4368000000000003</v>
      </c>
      <c r="S66" s="5">
        <v>200</v>
      </c>
      <c r="T66" s="20"/>
      <c r="U66" s="20"/>
      <c r="V66" s="1">
        <f t="shared" si="15"/>
        <v>-57.495344506517689</v>
      </c>
      <c r="W66" s="1">
        <f t="shared" si="16"/>
        <v>0.69832402234636204</v>
      </c>
      <c r="X66" s="1">
        <v>-2.5032000000000001</v>
      </c>
      <c r="Y66" s="1">
        <v>28.1082</v>
      </c>
      <c r="Z66" s="1">
        <v>131.87299999999999</v>
      </c>
      <c r="AA66" s="1">
        <v>154.22540000000001</v>
      </c>
      <c r="AB66" s="1">
        <v>177.6354</v>
      </c>
      <c r="AC66" s="1">
        <v>179.7578</v>
      </c>
      <c r="AD66" s="1">
        <v>145.75380000000001</v>
      </c>
      <c r="AE66" s="1">
        <v>144.0752</v>
      </c>
      <c r="AF66" s="1">
        <v>137.29580000000001</v>
      </c>
      <c r="AG66" s="1">
        <v>137.2748</v>
      </c>
      <c r="AH66" s="1"/>
      <c r="AI66" s="1">
        <f t="shared" ref="AI66:AI84" si="17">G66*S66</f>
        <v>200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35">
      <c r="A67" s="15" t="s">
        <v>105</v>
      </c>
      <c r="B67" s="1" t="s">
        <v>36</v>
      </c>
      <c r="C67" s="1"/>
      <c r="D67" s="1">
        <v>293.82900000000001</v>
      </c>
      <c r="E67" s="1">
        <v>204.233</v>
      </c>
      <c r="F67" s="1">
        <v>-0.86199999999999999</v>
      </c>
      <c r="G67" s="7">
        <v>1</v>
      </c>
      <c r="H67" s="1">
        <v>40</v>
      </c>
      <c r="I67" s="9" t="s">
        <v>48</v>
      </c>
      <c r="J67" s="1"/>
      <c r="K67" s="1">
        <v>247.63</v>
      </c>
      <c r="L67" s="1">
        <f t="shared" si="13"/>
        <v>-43.396999999999991</v>
      </c>
      <c r="M67" s="1"/>
      <c r="N67" s="1"/>
      <c r="O67" s="1">
        <v>80</v>
      </c>
      <c r="P67" s="1"/>
      <c r="Q67" s="1"/>
      <c r="R67" s="1">
        <f t="shared" si="14"/>
        <v>40.846600000000002</v>
      </c>
      <c r="S67" s="5">
        <v>150</v>
      </c>
      <c r="T67" s="20"/>
      <c r="U67" s="20"/>
      <c r="V67" s="1">
        <f t="shared" si="15"/>
        <v>5.6097202704753881</v>
      </c>
      <c r="W67" s="1">
        <f t="shared" si="16"/>
        <v>1.9374439977868416</v>
      </c>
      <c r="X67" s="1">
        <v>16.485800000000001</v>
      </c>
      <c r="Y67" s="1">
        <v>10.116400000000001</v>
      </c>
      <c r="Z67" s="1">
        <v>52.983400000000003</v>
      </c>
      <c r="AA67" s="1">
        <v>61.165399999999998</v>
      </c>
      <c r="AB67" s="1">
        <v>53.972799999999992</v>
      </c>
      <c r="AC67" s="1">
        <v>54.696000000000012</v>
      </c>
      <c r="AD67" s="1">
        <v>44.735399999999998</v>
      </c>
      <c r="AE67" s="1">
        <v>40.375599999999999</v>
      </c>
      <c r="AF67" s="1">
        <v>45.681600000000003</v>
      </c>
      <c r="AG67" s="1">
        <v>44.385399999999997</v>
      </c>
      <c r="AH67" s="1"/>
      <c r="AI67" s="1">
        <f t="shared" si="17"/>
        <v>150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35">
      <c r="A68" s="1" t="s">
        <v>106</v>
      </c>
      <c r="B68" s="1" t="s">
        <v>41</v>
      </c>
      <c r="C68" s="1">
        <v>19</v>
      </c>
      <c r="D68" s="1">
        <v>16</v>
      </c>
      <c r="E68" s="1">
        <v>6</v>
      </c>
      <c r="F68" s="1">
        <v>29</v>
      </c>
      <c r="G68" s="7">
        <v>0.6</v>
      </c>
      <c r="H68" s="1">
        <v>70</v>
      </c>
      <c r="I68" s="1" t="s">
        <v>37</v>
      </c>
      <c r="J68" s="1"/>
      <c r="K68" s="1">
        <v>6</v>
      </c>
      <c r="L68" s="1">
        <f t="shared" si="13"/>
        <v>0</v>
      </c>
      <c r="M68" s="1"/>
      <c r="N68" s="1"/>
      <c r="O68" s="1">
        <v>0</v>
      </c>
      <c r="P68" s="1"/>
      <c r="Q68" s="1"/>
      <c r="R68" s="1">
        <f t="shared" si="14"/>
        <v>1.2</v>
      </c>
      <c r="S68" s="5"/>
      <c r="T68" s="20"/>
      <c r="U68" s="20"/>
      <c r="V68" s="1">
        <f t="shared" si="15"/>
        <v>24.166666666666668</v>
      </c>
      <c r="W68" s="1">
        <f t="shared" si="16"/>
        <v>24.166666666666668</v>
      </c>
      <c r="X68" s="1">
        <v>1.2</v>
      </c>
      <c r="Y68" s="1">
        <v>1.4</v>
      </c>
      <c r="Z68" s="1">
        <v>2.4</v>
      </c>
      <c r="AA68" s="1">
        <v>2.2000000000000002</v>
      </c>
      <c r="AB68" s="1">
        <v>1.2</v>
      </c>
      <c r="AC68" s="1">
        <v>1.2</v>
      </c>
      <c r="AD68" s="1">
        <v>2</v>
      </c>
      <c r="AE68" s="1">
        <v>2</v>
      </c>
      <c r="AF68" s="1">
        <v>1.2</v>
      </c>
      <c r="AG68" s="1">
        <v>0.4</v>
      </c>
      <c r="AH68" s="17" t="s">
        <v>94</v>
      </c>
      <c r="AI68" s="1">
        <f t="shared" si="17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35">
      <c r="A69" s="15" t="s">
        <v>107</v>
      </c>
      <c r="B69" s="1" t="s">
        <v>36</v>
      </c>
      <c r="C69" s="1">
        <v>374.536</v>
      </c>
      <c r="D69" s="1">
        <v>269.05399999999997</v>
      </c>
      <c r="E69" s="1">
        <v>211.82599999999999</v>
      </c>
      <c r="F69" s="1">
        <v>354.27699999999999</v>
      </c>
      <c r="G69" s="7">
        <v>1</v>
      </c>
      <c r="H69" s="1">
        <v>30</v>
      </c>
      <c r="I69" s="9" t="s">
        <v>48</v>
      </c>
      <c r="J69" s="1"/>
      <c r="K69" s="1">
        <v>255.2</v>
      </c>
      <c r="L69" s="1">
        <f t="shared" si="13"/>
        <v>-43.373999999999995</v>
      </c>
      <c r="M69" s="1"/>
      <c r="N69" s="1"/>
      <c r="O69" s="1">
        <v>0</v>
      </c>
      <c r="P69" s="1"/>
      <c r="Q69" s="1"/>
      <c r="R69" s="1">
        <f t="shared" si="14"/>
        <v>42.365200000000002</v>
      </c>
      <c r="S69" s="5">
        <f>9*R69-Q69-P69-O69-F69</f>
        <v>27.009800000000041</v>
      </c>
      <c r="T69" s="20"/>
      <c r="U69" s="20"/>
      <c r="V69" s="1">
        <f t="shared" si="15"/>
        <v>9</v>
      </c>
      <c r="W69" s="1">
        <f t="shared" si="16"/>
        <v>8.3624531455062172</v>
      </c>
      <c r="X69" s="1">
        <v>40.881999999999998</v>
      </c>
      <c r="Y69" s="1">
        <v>42.170200000000001</v>
      </c>
      <c r="Z69" s="1">
        <v>58.654400000000003</v>
      </c>
      <c r="AA69" s="1">
        <v>59.754800000000003</v>
      </c>
      <c r="AB69" s="1">
        <v>63.089399999999998</v>
      </c>
      <c r="AC69" s="1">
        <v>62.3386</v>
      </c>
      <c r="AD69" s="1">
        <v>48.734200000000001</v>
      </c>
      <c r="AE69" s="1">
        <v>49.574399999999997</v>
      </c>
      <c r="AF69" s="1">
        <v>57.8048</v>
      </c>
      <c r="AG69" s="1">
        <v>60.2044</v>
      </c>
      <c r="AH69" s="14" t="s">
        <v>45</v>
      </c>
      <c r="AI69" s="1">
        <f t="shared" si="17"/>
        <v>27.009800000000041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35">
      <c r="A70" s="1" t="s">
        <v>108</v>
      </c>
      <c r="B70" s="1" t="s">
        <v>41</v>
      </c>
      <c r="C70" s="1">
        <v>123</v>
      </c>
      <c r="D70" s="1">
        <v>186</v>
      </c>
      <c r="E70" s="1">
        <v>129</v>
      </c>
      <c r="F70" s="1">
        <v>155</v>
      </c>
      <c r="G70" s="7">
        <v>0.6</v>
      </c>
      <c r="H70" s="1">
        <v>60</v>
      </c>
      <c r="I70" s="1" t="s">
        <v>37</v>
      </c>
      <c r="J70" s="1"/>
      <c r="K70" s="1">
        <v>129</v>
      </c>
      <c r="L70" s="1">
        <f t="shared" ref="L70:L101" si="18">E70-K70</f>
        <v>0</v>
      </c>
      <c r="M70" s="1"/>
      <c r="N70" s="1"/>
      <c r="O70" s="1">
        <v>42</v>
      </c>
      <c r="P70" s="1"/>
      <c r="Q70" s="1"/>
      <c r="R70" s="1">
        <f t="shared" ref="R70:R101" si="19">E70/5</f>
        <v>25.8</v>
      </c>
      <c r="S70" s="5">
        <f t="shared" si="11"/>
        <v>61</v>
      </c>
      <c r="T70" s="20"/>
      <c r="U70" s="20"/>
      <c r="V70" s="1">
        <f t="shared" ref="V70:V101" si="20">(F70+O70+P70+Q70+S70)/R70</f>
        <v>10</v>
      </c>
      <c r="W70" s="1">
        <f t="shared" ref="W70:W101" si="21">(F70+O70+P70+Q70)/R70</f>
        <v>7.6356589147286815</v>
      </c>
      <c r="X70" s="1">
        <v>24.4</v>
      </c>
      <c r="Y70" s="1">
        <v>19.2</v>
      </c>
      <c r="Z70" s="1">
        <v>23.2</v>
      </c>
      <c r="AA70" s="1">
        <v>26.8</v>
      </c>
      <c r="AB70" s="1">
        <v>24.8</v>
      </c>
      <c r="AC70" s="1">
        <v>28.2</v>
      </c>
      <c r="AD70" s="1">
        <v>22.8</v>
      </c>
      <c r="AE70" s="1">
        <v>19.2</v>
      </c>
      <c r="AF70" s="1">
        <v>23.4</v>
      </c>
      <c r="AG70" s="1">
        <v>25.4</v>
      </c>
      <c r="AH70" s="1"/>
      <c r="AI70" s="1">
        <f t="shared" si="17"/>
        <v>36.6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35">
      <c r="A71" s="1" t="s">
        <v>109</v>
      </c>
      <c r="B71" s="1" t="s">
        <v>41</v>
      </c>
      <c r="C71" s="1">
        <v>45</v>
      </c>
      <c r="D71" s="1">
        <v>34</v>
      </c>
      <c r="E71" s="1">
        <v>48</v>
      </c>
      <c r="F71" s="1">
        <v>25</v>
      </c>
      <c r="G71" s="7">
        <v>0.6</v>
      </c>
      <c r="H71" s="1">
        <v>60</v>
      </c>
      <c r="I71" s="1" t="s">
        <v>37</v>
      </c>
      <c r="J71" s="1"/>
      <c r="K71" s="1">
        <v>48</v>
      </c>
      <c r="L71" s="1">
        <f t="shared" si="18"/>
        <v>0</v>
      </c>
      <c r="M71" s="1"/>
      <c r="N71" s="1"/>
      <c r="O71" s="1">
        <v>61.8</v>
      </c>
      <c r="P71" s="1"/>
      <c r="Q71" s="1"/>
      <c r="R71" s="1">
        <f t="shared" si="19"/>
        <v>9.6</v>
      </c>
      <c r="S71" s="5">
        <f t="shared" si="11"/>
        <v>9.2000000000000028</v>
      </c>
      <c r="T71" s="20"/>
      <c r="U71" s="20"/>
      <c r="V71" s="1">
        <f t="shared" si="20"/>
        <v>10</v>
      </c>
      <c r="W71" s="1">
        <f t="shared" si="21"/>
        <v>9.0416666666666661</v>
      </c>
      <c r="X71" s="1">
        <v>10.4</v>
      </c>
      <c r="Y71" s="1">
        <v>6.6</v>
      </c>
      <c r="Z71" s="1">
        <v>6.4</v>
      </c>
      <c r="AA71" s="1">
        <v>6.4</v>
      </c>
      <c r="AB71" s="1">
        <v>6.8</v>
      </c>
      <c r="AC71" s="1">
        <v>7.6</v>
      </c>
      <c r="AD71" s="1">
        <v>5.8</v>
      </c>
      <c r="AE71" s="1">
        <v>4</v>
      </c>
      <c r="AF71" s="1">
        <v>5.4</v>
      </c>
      <c r="AG71" s="1">
        <v>4.4000000000000004</v>
      </c>
      <c r="AH71" s="1"/>
      <c r="AI71" s="1">
        <f t="shared" si="17"/>
        <v>5.5200000000000014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35">
      <c r="A72" s="1" t="s">
        <v>110</v>
      </c>
      <c r="B72" s="1" t="s">
        <v>41</v>
      </c>
      <c r="C72" s="1">
        <v>111</v>
      </c>
      <c r="D72" s="1">
        <v>230</v>
      </c>
      <c r="E72" s="1">
        <v>198</v>
      </c>
      <c r="F72" s="1">
        <v>115</v>
      </c>
      <c r="G72" s="7">
        <v>0.4</v>
      </c>
      <c r="H72" s="1">
        <v>90</v>
      </c>
      <c r="I72" s="1" t="s">
        <v>37</v>
      </c>
      <c r="J72" s="1"/>
      <c r="K72" s="1">
        <v>202</v>
      </c>
      <c r="L72" s="1">
        <f t="shared" si="18"/>
        <v>-4</v>
      </c>
      <c r="M72" s="1"/>
      <c r="N72" s="1"/>
      <c r="O72" s="1">
        <v>206.398</v>
      </c>
      <c r="P72" s="1"/>
      <c r="Q72" s="1"/>
      <c r="R72" s="1">
        <f t="shared" si="19"/>
        <v>39.6</v>
      </c>
      <c r="S72" s="5">
        <f t="shared" si="11"/>
        <v>74.602000000000004</v>
      </c>
      <c r="T72" s="20"/>
      <c r="U72" s="20"/>
      <c r="V72" s="1">
        <f t="shared" si="20"/>
        <v>10</v>
      </c>
      <c r="W72" s="1">
        <f t="shared" si="21"/>
        <v>8.1161111111111115</v>
      </c>
      <c r="X72" s="1">
        <v>30.6</v>
      </c>
      <c r="Y72" s="1">
        <v>18.399999999999999</v>
      </c>
      <c r="Z72" s="1">
        <v>20.399999999999999</v>
      </c>
      <c r="AA72" s="1">
        <v>24.8</v>
      </c>
      <c r="AB72" s="1">
        <v>20.6</v>
      </c>
      <c r="AC72" s="1">
        <v>17</v>
      </c>
      <c r="AD72" s="1">
        <v>22.8</v>
      </c>
      <c r="AE72" s="1">
        <v>25.2</v>
      </c>
      <c r="AF72" s="1">
        <v>20.6</v>
      </c>
      <c r="AG72" s="1">
        <v>22.2</v>
      </c>
      <c r="AH72" s="1"/>
      <c r="AI72" s="1">
        <f t="shared" si="17"/>
        <v>29.840800000000002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35">
      <c r="A73" s="15" t="s">
        <v>111</v>
      </c>
      <c r="B73" s="1" t="s">
        <v>41</v>
      </c>
      <c r="C73" s="1">
        <v>141</v>
      </c>
      <c r="D73" s="1">
        <v>200</v>
      </c>
      <c r="E73" s="1">
        <v>150</v>
      </c>
      <c r="F73" s="1">
        <v>183</v>
      </c>
      <c r="G73" s="7">
        <v>0.33</v>
      </c>
      <c r="H73" s="1">
        <v>60</v>
      </c>
      <c r="I73" s="9" t="s">
        <v>48</v>
      </c>
      <c r="J73" s="1"/>
      <c r="K73" s="1">
        <v>179</v>
      </c>
      <c r="L73" s="1">
        <f t="shared" si="18"/>
        <v>-29</v>
      </c>
      <c r="M73" s="1"/>
      <c r="N73" s="1"/>
      <c r="O73" s="1">
        <v>313.37400000000002</v>
      </c>
      <c r="P73" s="1"/>
      <c r="Q73" s="1"/>
      <c r="R73" s="1">
        <f t="shared" si="19"/>
        <v>30</v>
      </c>
      <c r="S73" s="5"/>
      <c r="T73" s="20"/>
      <c r="U73" s="20"/>
      <c r="V73" s="1">
        <f t="shared" si="20"/>
        <v>16.5458</v>
      </c>
      <c r="W73" s="1">
        <f t="shared" si="21"/>
        <v>16.5458</v>
      </c>
      <c r="X73" s="1">
        <v>37.799999999999997</v>
      </c>
      <c r="Y73" s="1">
        <v>26.4</v>
      </c>
      <c r="Z73" s="1">
        <v>26</v>
      </c>
      <c r="AA73" s="1">
        <v>27</v>
      </c>
      <c r="AB73" s="1">
        <v>28.2</v>
      </c>
      <c r="AC73" s="1">
        <v>25.8</v>
      </c>
      <c r="AD73" s="1">
        <v>29.8</v>
      </c>
      <c r="AE73" s="1">
        <v>31.6</v>
      </c>
      <c r="AF73" s="1">
        <v>29</v>
      </c>
      <c r="AG73" s="1">
        <v>28.6</v>
      </c>
      <c r="AH73" s="1"/>
      <c r="AI73" s="1">
        <f t="shared" si="17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35">
      <c r="A74" s="1" t="s">
        <v>112</v>
      </c>
      <c r="B74" s="1" t="s">
        <v>41</v>
      </c>
      <c r="C74" s="1">
        <v>219</v>
      </c>
      <c r="D74" s="1">
        <v>5</v>
      </c>
      <c r="E74" s="1">
        <v>85</v>
      </c>
      <c r="F74" s="1">
        <v>122</v>
      </c>
      <c r="G74" s="7">
        <v>0.35</v>
      </c>
      <c r="H74" s="1">
        <v>90</v>
      </c>
      <c r="I74" s="1" t="s">
        <v>37</v>
      </c>
      <c r="J74" s="1"/>
      <c r="K74" s="1">
        <v>90</v>
      </c>
      <c r="L74" s="1">
        <f t="shared" si="18"/>
        <v>-5</v>
      </c>
      <c r="M74" s="1"/>
      <c r="N74" s="1"/>
      <c r="O74" s="1">
        <v>0</v>
      </c>
      <c r="P74" s="1"/>
      <c r="Q74" s="1"/>
      <c r="R74" s="1">
        <f t="shared" si="19"/>
        <v>17</v>
      </c>
      <c r="S74" s="5">
        <f t="shared" si="11"/>
        <v>48</v>
      </c>
      <c r="T74" s="20"/>
      <c r="U74" s="20"/>
      <c r="V74" s="1">
        <f t="shared" si="20"/>
        <v>10</v>
      </c>
      <c r="W74" s="1">
        <f t="shared" si="21"/>
        <v>7.1764705882352944</v>
      </c>
      <c r="X74" s="1">
        <v>15.4</v>
      </c>
      <c r="Y74" s="1">
        <v>16.600000000000001</v>
      </c>
      <c r="Z74" s="1">
        <v>20</v>
      </c>
      <c r="AA74" s="1">
        <v>29.8</v>
      </c>
      <c r="AB74" s="1">
        <v>29</v>
      </c>
      <c r="AC74" s="1">
        <v>21.4</v>
      </c>
      <c r="AD74" s="1">
        <v>22</v>
      </c>
      <c r="AE74" s="1">
        <v>21.8</v>
      </c>
      <c r="AF74" s="1">
        <v>20</v>
      </c>
      <c r="AG74" s="1">
        <v>23</v>
      </c>
      <c r="AH74" s="1"/>
      <c r="AI74" s="1">
        <f t="shared" si="17"/>
        <v>16.799999999999997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35">
      <c r="A75" s="1" t="s">
        <v>113</v>
      </c>
      <c r="B75" s="1" t="s">
        <v>41</v>
      </c>
      <c r="C75" s="1">
        <v>766</v>
      </c>
      <c r="D75" s="1">
        <v>580</v>
      </c>
      <c r="E75" s="1">
        <v>459</v>
      </c>
      <c r="F75" s="1">
        <v>785</v>
      </c>
      <c r="G75" s="7">
        <v>0.37</v>
      </c>
      <c r="H75" s="1">
        <v>50</v>
      </c>
      <c r="I75" s="1" t="s">
        <v>37</v>
      </c>
      <c r="J75" s="1"/>
      <c r="K75" s="1">
        <v>458</v>
      </c>
      <c r="L75" s="1">
        <f t="shared" si="18"/>
        <v>1</v>
      </c>
      <c r="M75" s="1"/>
      <c r="N75" s="1"/>
      <c r="O75" s="1">
        <v>230.36199999999999</v>
      </c>
      <c r="P75" s="1"/>
      <c r="Q75" s="1"/>
      <c r="R75" s="1">
        <f t="shared" si="19"/>
        <v>91.8</v>
      </c>
      <c r="S75" s="5"/>
      <c r="T75" s="20"/>
      <c r="U75" s="20"/>
      <c r="V75" s="1">
        <f t="shared" si="20"/>
        <v>11.060588235294118</v>
      </c>
      <c r="W75" s="1">
        <f t="shared" si="21"/>
        <v>11.060588235294118</v>
      </c>
      <c r="X75" s="1">
        <v>81.400000000000006</v>
      </c>
      <c r="Y75" s="1">
        <v>102.6</v>
      </c>
      <c r="Z75" s="1">
        <v>100</v>
      </c>
      <c r="AA75" s="1">
        <v>93.6</v>
      </c>
      <c r="AB75" s="1">
        <v>104.8</v>
      </c>
      <c r="AC75" s="1">
        <v>111.2</v>
      </c>
      <c r="AD75" s="1">
        <v>113</v>
      </c>
      <c r="AE75" s="1">
        <v>100</v>
      </c>
      <c r="AF75" s="1">
        <v>88.2</v>
      </c>
      <c r="AG75" s="1">
        <v>79.2</v>
      </c>
      <c r="AH75" s="1"/>
      <c r="AI75" s="1">
        <f t="shared" si="17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35">
      <c r="A76" s="1" t="s">
        <v>114</v>
      </c>
      <c r="B76" s="1" t="s">
        <v>41</v>
      </c>
      <c r="C76" s="1">
        <v>166</v>
      </c>
      <c r="D76" s="1">
        <v>154</v>
      </c>
      <c r="E76" s="1">
        <v>139</v>
      </c>
      <c r="F76" s="1">
        <v>152</v>
      </c>
      <c r="G76" s="7">
        <v>0.6</v>
      </c>
      <c r="H76" s="1">
        <v>70</v>
      </c>
      <c r="I76" s="1" t="s">
        <v>37</v>
      </c>
      <c r="J76" s="1"/>
      <c r="K76" s="1">
        <v>139</v>
      </c>
      <c r="L76" s="1">
        <f t="shared" si="18"/>
        <v>0</v>
      </c>
      <c r="M76" s="1"/>
      <c r="N76" s="1"/>
      <c r="O76" s="1">
        <v>55.399999999999977</v>
      </c>
      <c r="P76" s="1"/>
      <c r="Q76" s="1"/>
      <c r="R76" s="1">
        <f t="shared" si="19"/>
        <v>27.8</v>
      </c>
      <c r="S76" s="5">
        <f t="shared" si="11"/>
        <v>70.600000000000023</v>
      </c>
      <c r="T76" s="20"/>
      <c r="U76" s="20"/>
      <c r="V76" s="1">
        <f t="shared" si="20"/>
        <v>10</v>
      </c>
      <c r="W76" s="1">
        <f t="shared" si="21"/>
        <v>7.4604316546762579</v>
      </c>
      <c r="X76" s="1">
        <v>25.6</v>
      </c>
      <c r="Y76" s="1">
        <v>22.8</v>
      </c>
      <c r="Z76" s="1">
        <v>23.6</v>
      </c>
      <c r="AA76" s="1">
        <v>26.2</v>
      </c>
      <c r="AB76" s="1">
        <v>25.4</v>
      </c>
      <c r="AC76" s="1">
        <v>23.8</v>
      </c>
      <c r="AD76" s="1">
        <v>19.600000000000001</v>
      </c>
      <c r="AE76" s="1">
        <v>22.8</v>
      </c>
      <c r="AF76" s="1">
        <v>16.8</v>
      </c>
      <c r="AG76" s="1">
        <v>15.2</v>
      </c>
      <c r="AH76" s="1"/>
      <c r="AI76" s="1">
        <f t="shared" si="17"/>
        <v>42.360000000000014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35">
      <c r="A77" s="1" t="s">
        <v>115</v>
      </c>
      <c r="B77" s="1" t="s">
        <v>41</v>
      </c>
      <c r="C77" s="1">
        <v>90</v>
      </c>
      <c r="D77" s="1"/>
      <c r="E77" s="1">
        <v>57</v>
      </c>
      <c r="F77" s="1">
        <v>29</v>
      </c>
      <c r="G77" s="7">
        <v>0.33</v>
      </c>
      <c r="H77" s="1">
        <v>40</v>
      </c>
      <c r="I77" s="1" t="s">
        <v>37</v>
      </c>
      <c r="J77" s="1"/>
      <c r="K77" s="1">
        <v>57</v>
      </c>
      <c r="L77" s="1">
        <f t="shared" si="18"/>
        <v>0</v>
      </c>
      <c r="M77" s="1"/>
      <c r="N77" s="1"/>
      <c r="O77" s="1">
        <v>74</v>
      </c>
      <c r="P77" s="1"/>
      <c r="Q77" s="1"/>
      <c r="R77" s="1">
        <f t="shared" si="19"/>
        <v>11.4</v>
      </c>
      <c r="S77" s="5">
        <f t="shared" si="11"/>
        <v>11</v>
      </c>
      <c r="T77" s="20"/>
      <c r="U77" s="20"/>
      <c r="V77" s="1">
        <f t="shared" si="20"/>
        <v>10</v>
      </c>
      <c r="W77" s="1">
        <f t="shared" si="21"/>
        <v>9.0350877192982448</v>
      </c>
      <c r="X77" s="1">
        <v>12</v>
      </c>
      <c r="Y77" s="1">
        <v>5.4</v>
      </c>
      <c r="Z77" s="1">
        <v>-0.2</v>
      </c>
      <c r="AA77" s="1">
        <v>10</v>
      </c>
      <c r="AB77" s="1">
        <v>13.8</v>
      </c>
      <c r="AC77" s="1">
        <v>6.2</v>
      </c>
      <c r="AD77" s="1">
        <v>5.6</v>
      </c>
      <c r="AE77" s="1">
        <v>8.8000000000000007</v>
      </c>
      <c r="AF77" s="1">
        <v>10.6</v>
      </c>
      <c r="AG77" s="1">
        <v>10.6</v>
      </c>
      <c r="AH77" s="1"/>
      <c r="AI77" s="1">
        <f t="shared" si="17"/>
        <v>3.6300000000000003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35">
      <c r="A78" s="1" t="s">
        <v>116</v>
      </c>
      <c r="B78" s="1" t="s">
        <v>41</v>
      </c>
      <c r="C78" s="1">
        <v>246</v>
      </c>
      <c r="D78" s="1">
        <v>552</v>
      </c>
      <c r="E78" s="1">
        <v>302</v>
      </c>
      <c r="F78" s="1">
        <v>454</v>
      </c>
      <c r="G78" s="7">
        <v>0.4</v>
      </c>
      <c r="H78" s="1">
        <v>55</v>
      </c>
      <c r="I78" s="1" t="s">
        <v>37</v>
      </c>
      <c r="J78" s="1"/>
      <c r="K78" s="1">
        <v>304</v>
      </c>
      <c r="L78" s="1">
        <f t="shared" si="18"/>
        <v>-2</v>
      </c>
      <c r="M78" s="1"/>
      <c r="N78" s="1"/>
      <c r="O78" s="1">
        <v>155.65</v>
      </c>
      <c r="P78" s="1"/>
      <c r="Q78" s="1"/>
      <c r="R78" s="1">
        <f t="shared" si="19"/>
        <v>60.4</v>
      </c>
      <c r="S78" s="5"/>
      <c r="T78" s="20"/>
      <c r="U78" s="20"/>
      <c r="V78" s="1">
        <f t="shared" si="20"/>
        <v>10.093543046357615</v>
      </c>
      <c r="W78" s="1">
        <f t="shared" si="21"/>
        <v>10.093543046357615</v>
      </c>
      <c r="X78" s="1">
        <v>55</v>
      </c>
      <c r="Y78" s="1">
        <v>52</v>
      </c>
      <c r="Z78" s="1">
        <v>54.4</v>
      </c>
      <c r="AA78" s="1">
        <v>57.4</v>
      </c>
      <c r="AB78" s="1">
        <v>51.8</v>
      </c>
      <c r="AC78" s="1">
        <v>49.2</v>
      </c>
      <c r="AD78" s="1">
        <v>55.8</v>
      </c>
      <c r="AE78" s="1">
        <v>49.8</v>
      </c>
      <c r="AF78" s="1">
        <v>36.200000000000003</v>
      </c>
      <c r="AG78" s="1">
        <v>42</v>
      </c>
      <c r="AH78" s="1"/>
      <c r="AI78" s="1">
        <f t="shared" si="17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35">
      <c r="A79" s="15" t="s">
        <v>117</v>
      </c>
      <c r="B79" s="1" t="s">
        <v>41</v>
      </c>
      <c r="C79" s="1"/>
      <c r="D79" s="1"/>
      <c r="E79" s="1">
        <v>-2</v>
      </c>
      <c r="F79" s="1"/>
      <c r="G79" s="7">
        <v>0.35</v>
      </c>
      <c r="H79" s="1">
        <v>40</v>
      </c>
      <c r="I79" s="9" t="s">
        <v>48</v>
      </c>
      <c r="J79" s="1"/>
      <c r="K79" s="1">
        <v>164</v>
      </c>
      <c r="L79" s="1">
        <f t="shared" si="18"/>
        <v>-166</v>
      </c>
      <c r="M79" s="1"/>
      <c r="N79" s="1"/>
      <c r="O79" s="1">
        <v>50</v>
      </c>
      <c r="P79" s="1">
        <v>-54</v>
      </c>
      <c r="Q79" s="1"/>
      <c r="R79" s="1">
        <f t="shared" si="19"/>
        <v>-0.4</v>
      </c>
      <c r="S79" s="5">
        <v>50</v>
      </c>
      <c r="T79" s="20"/>
      <c r="U79" s="20"/>
      <c r="V79" s="1">
        <f t="shared" si="20"/>
        <v>-115</v>
      </c>
      <c r="W79" s="1">
        <f t="shared" si="21"/>
        <v>10</v>
      </c>
      <c r="X79" s="1">
        <v>-0.2</v>
      </c>
      <c r="Y79" s="1">
        <v>6</v>
      </c>
      <c r="Z79" s="1">
        <v>17.399999999999999</v>
      </c>
      <c r="AA79" s="1">
        <v>31.2</v>
      </c>
      <c r="AB79" s="1">
        <v>23</v>
      </c>
      <c r="AC79" s="1">
        <v>3.2</v>
      </c>
      <c r="AD79" s="1">
        <v>15</v>
      </c>
      <c r="AE79" s="1">
        <v>25.4</v>
      </c>
      <c r="AF79" s="1">
        <v>10.199999999999999</v>
      </c>
      <c r="AG79" s="1">
        <v>7.2</v>
      </c>
      <c r="AH79" s="1"/>
      <c r="AI79" s="1">
        <f t="shared" si="17"/>
        <v>17.5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35">
      <c r="A80" s="15" t="s">
        <v>118</v>
      </c>
      <c r="B80" s="1" t="s">
        <v>41</v>
      </c>
      <c r="C80" s="1">
        <v>45</v>
      </c>
      <c r="D80" s="1">
        <v>133</v>
      </c>
      <c r="E80" s="1">
        <v>178</v>
      </c>
      <c r="F80" s="1">
        <v>-2</v>
      </c>
      <c r="G80" s="7">
        <v>0.35</v>
      </c>
      <c r="H80" s="1">
        <v>45</v>
      </c>
      <c r="I80" s="9" t="s">
        <v>48</v>
      </c>
      <c r="J80" s="1"/>
      <c r="K80" s="1">
        <v>330</v>
      </c>
      <c r="L80" s="1">
        <f t="shared" si="18"/>
        <v>-152</v>
      </c>
      <c r="M80" s="1"/>
      <c r="N80" s="1"/>
      <c r="O80" s="1">
        <v>80</v>
      </c>
      <c r="P80" s="1">
        <v>-84</v>
      </c>
      <c r="Q80" s="1"/>
      <c r="R80" s="1">
        <f t="shared" si="19"/>
        <v>35.6</v>
      </c>
      <c r="S80" s="5">
        <v>150</v>
      </c>
      <c r="T80" s="20"/>
      <c r="U80" s="20"/>
      <c r="V80" s="1">
        <f t="shared" si="20"/>
        <v>4.0449438202247192</v>
      </c>
      <c r="W80" s="1">
        <f t="shared" si="21"/>
        <v>-0.16853932584269662</v>
      </c>
      <c r="X80" s="1">
        <v>42.2</v>
      </c>
      <c r="Y80" s="1">
        <v>46.2</v>
      </c>
      <c r="Z80" s="1">
        <v>38.4</v>
      </c>
      <c r="AA80" s="1">
        <v>35.200000000000003</v>
      </c>
      <c r="AB80" s="1">
        <v>32.200000000000003</v>
      </c>
      <c r="AC80" s="1">
        <v>24.2</v>
      </c>
      <c r="AD80" s="1">
        <v>3.6</v>
      </c>
      <c r="AE80" s="1">
        <v>9.6</v>
      </c>
      <c r="AF80" s="1">
        <v>50.6</v>
      </c>
      <c r="AG80" s="1">
        <v>53.4</v>
      </c>
      <c r="AH80" s="1"/>
      <c r="AI80" s="1">
        <f t="shared" si="17"/>
        <v>52.5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35">
      <c r="A81" s="1" t="s">
        <v>119</v>
      </c>
      <c r="B81" s="1" t="s">
        <v>41</v>
      </c>
      <c r="C81" s="1">
        <v>61</v>
      </c>
      <c r="D81" s="1">
        <v>330</v>
      </c>
      <c r="E81" s="1">
        <v>181</v>
      </c>
      <c r="F81" s="1">
        <v>204</v>
      </c>
      <c r="G81" s="7">
        <v>0.4</v>
      </c>
      <c r="H81" s="1">
        <v>55</v>
      </c>
      <c r="I81" s="1" t="s">
        <v>37</v>
      </c>
      <c r="J81" s="1"/>
      <c r="K81" s="1">
        <v>245</v>
      </c>
      <c r="L81" s="1">
        <f t="shared" si="18"/>
        <v>-64</v>
      </c>
      <c r="M81" s="1"/>
      <c r="N81" s="1"/>
      <c r="O81" s="1">
        <v>91.126000000000005</v>
      </c>
      <c r="P81" s="1"/>
      <c r="Q81" s="1"/>
      <c r="R81" s="1">
        <f t="shared" si="19"/>
        <v>36.200000000000003</v>
      </c>
      <c r="S81" s="5">
        <f t="shared" si="11"/>
        <v>66.874000000000024</v>
      </c>
      <c r="T81" s="20"/>
      <c r="U81" s="20"/>
      <c r="V81" s="1">
        <f t="shared" si="20"/>
        <v>10</v>
      </c>
      <c r="W81" s="1">
        <f t="shared" si="21"/>
        <v>8.152651933701657</v>
      </c>
      <c r="X81" s="1">
        <v>32.200000000000003</v>
      </c>
      <c r="Y81" s="1">
        <v>34.4</v>
      </c>
      <c r="Z81" s="1">
        <v>26.8</v>
      </c>
      <c r="AA81" s="1">
        <v>24</v>
      </c>
      <c r="AB81" s="1">
        <v>16.399999999999999</v>
      </c>
      <c r="AC81" s="1">
        <v>27.2</v>
      </c>
      <c r="AD81" s="1">
        <v>12.6</v>
      </c>
      <c r="AE81" s="1">
        <v>11.8</v>
      </c>
      <c r="AF81" s="1">
        <v>36.200000000000003</v>
      </c>
      <c r="AG81" s="1">
        <v>39.799999999999997</v>
      </c>
      <c r="AH81" s="1"/>
      <c r="AI81" s="1">
        <f t="shared" si="17"/>
        <v>26.749600000000012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35">
      <c r="A82" s="1" t="s">
        <v>120</v>
      </c>
      <c r="B82" s="1" t="s">
        <v>36</v>
      </c>
      <c r="C82" s="1">
        <v>45.542000000000002</v>
      </c>
      <c r="D82" s="1">
        <v>11.36</v>
      </c>
      <c r="E82" s="1">
        <v>9.7089999999999996</v>
      </c>
      <c r="F82" s="1">
        <v>37.256</v>
      </c>
      <c r="G82" s="7">
        <v>1</v>
      </c>
      <c r="H82" s="1">
        <v>55</v>
      </c>
      <c r="I82" s="1" t="s">
        <v>37</v>
      </c>
      <c r="J82" s="1"/>
      <c r="K82" s="1">
        <v>9.3000000000000007</v>
      </c>
      <c r="L82" s="1">
        <f t="shared" si="18"/>
        <v>0.40899999999999892</v>
      </c>
      <c r="M82" s="1"/>
      <c r="N82" s="1"/>
      <c r="O82" s="1">
        <v>0</v>
      </c>
      <c r="P82" s="1"/>
      <c r="Q82" s="1"/>
      <c r="R82" s="1">
        <f t="shared" si="19"/>
        <v>1.9418</v>
      </c>
      <c r="S82" s="5"/>
      <c r="T82" s="20"/>
      <c r="U82" s="20"/>
      <c r="V82" s="1">
        <f t="shared" si="20"/>
        <v>19.186321969306828</v>
      </c>
      <c r="W82" s="1">
        <f t="shared" si="21"/>
        <v>19.186321969306828</v>
      </c>
      <c r="X82" s="1">
        <v>2.1454</v>
      </c>
      <c r="Y82" s="1">
        <v>3.6688000000000001</v>
      </c>
      <c r="Z82" s="1">
        <v>4.3439999999999994</v>
      </c>
      <c r="AA82" s="1">
        <v>2.5808</v>
      </c>
      <c r="AB82" s="1">
        <v>3.1728000000000001</v>
      </c>
      <c r="AC82" s="1">
        <v>2.5781999999999998</v>
      </c>
      <c r="AD82" s="1">
        <v>1.9770000000000001</v>
      </c>
      <c r="AE82" s="1">
        <v>1.7008000000000001</v>
      </c>
      <c r="AF82" s="1">
        <v>1.6816</v>
      </c>
      <c r="AG82" s="1">
        <v>6.2156000000000002</v>
      </c>
      <c r="AH82" s="17" t="s">
        <v>94</v>
      </c>
      <c r="AI82" s="1">
        <f t="shared" si="17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35">
      <c r="A83" s="1" t="s">
        <v>121</v>
      </c>
      <c r="B83" s="1" t="s">
        <v>36</v>
      </c>
      <c r="C83" s="1">
        <v>370.53100000000001</v>
      </c>
      <c r="D83" s="1">
        <v>195.523</v>
      </c>
      <c r="E83" s="1">
        <v>146.423</v>
      </c>
      <c r="F83" s="1">
        <v>365.00299999999999</v>
      </c>
      <c r="G83" s="7">
        <v>1</v>
      </c>
      <c r="H83" s="1">
        <v>55</v>
      </c>
      <c r="I83" s="1" t="s">
        <v>37</v>
      </c>
      <c r="J83" s="1"/>
      <c r="K83" s="1">
        <v>138.4</v>
      </c>
      <c r="L83" s="1">
        <f t="shared" si="18"/>
        <v>8.0229999999999961</v>
      </c>
      <c r="M83" s="1"/>
      <c r="N83" s="1"/>
      <c r="O83" s="1">
        <v>109.533452</v>
      </c>
      <c r="P83" s="1"/>
      <c r="Q83" s="1"/>
      <c r="R83" s="1">
        <f t="shared" si="19"/>
        <v>29.284600000000001</v>
      </c>
      <c r="S83" s="5"/>
      <c r="T83" s="20"/>
      <c r="U83" s="20"/>
      <c r="V83" s="1">
        <f t="shared" si="20"/>
        <v>16.204300280693605</v>
      </c>
      <c r="W83" s="1">
        <f t="shared" si="21"/>
        <v>16.204300280693605</v>
      </c>
      <c r="X83" s="1">
        <v>38.7044</v>
      </c>
      <c r="Y83" s="1">
        <v>42.098200000000013</v>
      </c>
      <c r="Z83" s="1">
        <v>51.278799999999997</v>
      </c>
      <c r="AA83" s="1">
        <v>46.261600000000001</v>
      </c>
      <c r="AB83" s="1">
        <v>53.542400000000001</v>
      </c>
      <c r="AC83" s="1">
        <v>48.606000000000002</v>
      </c>
      <c r="AD83" s="1">
        <v>44.576599999999999</v>
      </c>
      <c r="AE83" s="1">
        <v>42.3018</v>
      </c>
      <c r="AF83" s="1">
        <v>32.957999999999998</v>
      </c>
      <c r="AG83" s="1">
        <v>40.682000000000002</v>
      </c>
      <c r="AH83" s="1"/>
      <c r="AI83" s="1">
        <f t="shared" si="17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35">
      <c r="A84" s="1" t="s">
        <v>122</v>
      </c>
      <c r="B84" s="1" t="s">
        <v>36</v>
      </c>
      <c r="C84" s="1">
        <v>1425.2249999999999</v>
      </c>
      <c r="D84" s="1">
        <v>532.029</v>
      </c>
      <c r="E84" s="1">
        <v>867.34299999999996</v>
      </c>
      <c r="F84" s="1">
        <v>1000.94</v>
      </c>
      <c r="G84" s="7">
        <v>1</v>
      </c>
      <c r="H84" s="1">
        <v>60</v>
      </c>
      <c r="I84" s="1" t="s">
        <v>37</v>
      </c>
      <c r="J84" s="1"/>
      <c r="K84" s="1">
        <v>852.51499999999999</v>
      </c>
      <c r="L84" s="1">
        <f t="shared" si="18"/>
        <v>14.827999999999975</v>
      </c>
      <c r="M84" s="1"/>
      <c r="N84" s="1"/>
      <c r="O84" s="1">
        <v>436.08160029199962</v>
      </c>
      <c r="P84" s="1"/>
      <c r="Q84" s="1"/>
      <c r="R84" s="1">
        <f t="shared" si="19"/>
        <v>173.46859999999998</v>
      </c>
      <c r="S84" s="5">
        <f t="shared" si="11"/>
        <v>297.66439970800002</v>
      </c>
      <c r="T84" s="20"/>
      <c r="U84" s="20"/>
      <c r="V84" s="1">
        <f t="shared" si="20"/>
        <v>10</v>
      </c>
      <c r="W84" s="1">
        <f t="shared" si="21"/>
        <v>8.2840444915794542</v>
      </c>
      <c r="X84" s="1">
        <v>131.9092</v>
      </c>
      <c r="Y84" s="1">
        <v>126.0938</v>
      </c>
      <c r="Z84" s="1">
        <v>156.63380000000001</v>
      </c>
      <c r="AA84" s="1">
        <v>149.66300000000001</v>
      </c>
      <c r="AB84" s="1">
        <v>165.05600000000001</v>
      </c>
      <c r="AC84" s="1">
        <v>161.7576</v>
      </c>
      <c r="AD84" s="1">
        <v>146.61940000000001</v>
      </c>
      <c r="AE84" s="1">
        <v>153.85120000000001</v>
      </c>
      <c r="AF84" s="1">
        <v>151.1354</v>
      </c>
      <c r="AG84" s="1">
        <v>164.34880000000001</v>
      </c>
      <c r="AH84" s="1"/>
      <c r="AI84" s="1">
        <f t="shared" si="17"/>
        <v>297.66439970800002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35">
      <c r="A85" s="10" t="s">
        <v>123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/>
      <c r="Q85" s="10"/>
      <c r="R85" s="10">
        <f t="shared" si="19"/>
        <v>0</v>
      </c>
      <c r="S85" s="12"/>
      <c r="T85" s="21"/>
      <c r="U85" s="21"/>
      <c r="V85" s="10" t="e">
        <f t="shared" si="20"/>
        <v>#DIV/0!</v>
      </c>
      <c r="W85" s="10" t="e">
        <f t="shared" si="21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42</v>
      </c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35">
      <c r="A86" s="1" t="s">
        <v>124</v>
      </c>
      <c r="B86" s="1" t="s">
        <v>36</v>
      </c>
      <c r="C86" s="1">
        <v>4698.259</v>
      </c>
      <c r="D86" s="1">
        <v>1529.4590000000001</v>
      </c>
      <c r="E86" s="1">
        <v>2413.8670000000002</v>
      </c>
      <c r="F86" s="1">
        <v>3459.6689999999999</v>
      </c>
      <c r="G86" s="7">
        <v>1</v>
      </c>
      <c r="H86" s="1">
        <v>60</v>
      </c>
      <c r="I86" s="1" t="s">
        <v>37</v>
      </c>
      <c r="J86" s="1"/>
      <c r="K86" s="1">
        <v>2357.4</v>
      </c>
      <c r="L86" s="1">
        <f t="shared" si="18"/>
        <v>56.467000000000098</v>
      </c>
      <c r="M86" s="1"/>
      <c r="N86" s="1"/>
      <c r="O86" s="1">
        <v>700</v>
      </c>
      <c r="P86" s="1"/>
      <c r="Q86" s="1">
        <v>210</v>
      </c>
      <c r="R86" s="1">
        <f t="shared" si="19"/>
        <v>482.77340000000004</v>
      </c>
      <c r="S86" s="5">
        <f t="shared" ref="S86:S88" si="22">9.5*R86-Q86-P86-O86-F86</f>
        <v>216.67830000000049</v>
      </c>
      <c r="T86" s="20"/>
      <c r="U86" s="20"/>
      <c r="V86" s="1">
        <f t="shared" si="20"/>
        <v>9.5</v>
      </c>
      <c r="W86" s="1">
        <f t="shared" si="21"/>
        <v>9.0511801188715033</v>
      </c>
      <c r="X86" s="1">
        <v>374.46940000000001</v>
      </c>
      <c r="Y86" s="1">
        <v>330.53120000000001</v>
      </c>
      <c r="Z86" s="1">
        <v>384.51900000000001</v>
      </c>
      <c r="AA86" s="1">
        <v>398.24380000000002</v>
      </c>
      <c r="AB86" s="1">
        <v>447.41399999999999</v>
      </c>
      <c r="AC86" s="1">
        <v>441.04020000000003</v>
      </c>
      <c r="AD86" s="1">
        <v>428.07299999999998</v>
      </c>
      <c r="AE86" s="1">
        <v>430.87459999999999</v>
      </c>
      <c r="AF86" s="1">
        <v>398.44540000000001</v>
      </c>
      <c r="AG86" s="1">
        <v>391.17919999999998</v>
      </c>
      <c r="AH86" s="1"/>
      <c r="AI86" s="1">
        <f t="shared" ref="AI86:AI91" si="23">G86*S86</f>
        <v>216.67830000000049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35">
      <c r="A87" s="1" t="s">
        <v>125</v>
      </c>
      <c r="B87" s="1" t="s">
        <v>36</v>
      </c>
      <c r="C87" s="1">
        <v>4791.4979999999996</v>
      </c>
      <c r="D87" s="1">
        <v>896.71799999999996</v>
      </c>
      <c r="E87" s="1">
        <v>2195.5500000000002</v>
      </c>
      <c r="F87" s="1">
        <v>3242.47</v>
      </c>
      <c r="G87" s="7">
        <v>1</v>
      </c>
      <c r="H87" s="1">
        <v>60</v>
      </c>
      <c r="I87" s="1" t="s">
        <v>37</v>
      </c>
      <c r="J87" s="1"/>
      <c r="K87" s="1">
        <v>2140.4</v>
      </c>
      <c r="L87" s="1">
        <f t="shared" si="18"/>
        <v>55.150000000000091</v>
      </c>
      <c r="M87" s="1"/>
      <c r="N87" s="1"/>
      <c r="O87" s="1">
        <v>0</v>
      </c>
      <c r="P87" s="1"/>
      <c r="Q87" s="1">
        <v>210</v>
      </c>
      <c r="R87" s="1">
        <f t="shared" si="19"/>
        <v>439.11</v>
      </c>
      <c r="S87" s="5">
        <f t="shared" si="22"/>
        <v>719.07500000000027</v>
      </c>
      <c r="T87" s="20"/>
      <c r="U87" s="20"/>
      <c r="V87" s="1">
        <f t="shared" si="20"/>
        <v>9.5</v>
      </c>
      <c r="W87" s="1">
        <f t="shared" si="21"/>
        <v>7.862426271321536</v>
      </c>
      <c r="X87" s="1">
        <v>325.41399999999999</v>
      </c>
      <c r="Y87" s="1">
        <v>311.01179999999999</v>
      </c>
      <c r="Z87" s="1">
        <v>381.4794</v>
      </c>
      <c r="AA87" s="1">
        <v>377.36160000000001</v>
      </c>
      <c r="AB87" s="1">
        <v>462.4796</v>
      </c>
      <c r="AC87" s="1">
        <v>465.33640000000003</v>
      </c>
      <c r="AD87" s="1">
        <v>430.09660000000002</v>
      </c>
      <c r="AE87" s="1">
        <v>430.392</v>
      </c>
      <c r="AF87" s="1">
        <v>397.80779999999999</v>
      </c>
      <c r="AG87" s="1">
        <v>401.32119999999998</v>
      </c>
      <c r="AH87" s="1"/>
      <c r="AI87" s="1">
        <f t="shared" si="23"/>
        <v>719.07500000000027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35">
      <c r="A88" s="1" t="s">
        <v>126</v>
      </c>
      <c r="B88" s="1" t="s">
        <v>36</v>
      </c>
      <c r="C88" s="1">
        <v>6599.0020000000004</v>
      </c>
      <c r="D88" s="1">
        <v>1226.1869999999999</v>
      </c>
      <c r="E88" s="1">
        <v>2785.5189999999998</v>
      </c>
      <c r="F88" s="1">
        <v>4735.3440000000001</v>
      </c>
      <c r="G88" s="7">
        <v>1</v>
      </c>
      <c r="H88" s="1">
        <v>60</v>
      </c>
      <c r="I88" s="1" t="s">
        <v>37</v>
      </c>
      <c r="J88" s="1"/>
      <c r="K88" s="1">
        <v>2743.6</v>
      </c>
      <c r="L88" s="1">
        <f t="shared" si="18"/>
        <v>41.918999999999869</v>
      </c>
      <c r="M88" s="1"/>
      <c r="N88" s="1"/>
      <c r="O88" s="1">
        <v>0</v>
      </c>
      <c r="P88" s="1"/>
      <c r="Q88" s="1">
        <v>400</v>
      </c>
      <c r="R88" s="1">
        <f t="shared" si="19"/>
        <v>557.10379999999998</v>
      </c>
      <c r="S88" s="5">
        <f t="shared" si="22"/>
        <v>157.14210000000003</v>
      </c>
      <c r="T88" s="20"/>
      <c r="U88" s="20"/>
      <c r="V88" s="1">
        <f t="shared" si="20"/>
        <v>9.5</v>
      </c>
      <c r="W88" s="1">
        <f t="shared" si="21"/>
        <v>9.2179303031140698</v>
      </c>
      <c r="X88" s="1">
        <v>421.68540000000002</v>
      </c>
      <c r="Y88" s="1">
        <v>393.09879999999998</v>
      </c>
      <c r="Z88" s="1">
        <v>476.79520000000002</v>
      </c>
      <c r="AA88" s="1">
        <v>487.5804</v>
      </c>
      <c r="AB88" s="1">
        <v>602.74900000000002</v>
      </c>
      <c r="AC88" s="1">
        <v>636.64959999999996</v>
      </c>
      <c r="AD88" s="1">
        <v>570.65219999999999</v>
      </c>
      <c r="AE88" s="1">
        <v>530.8288</v>
      </c>
      <c r="AF88" s="1">
        <v>571.27639999999997</v>
      </c>
      <c r="AG88" s="1">
        <v>585.21899999999994</v>
      </c>
      <c r="AH88" s="1"/>
      <c r="AI88" s="1">
        <f t="shared" si="23"/>
        <v>157.14210000000003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35">
      <c r="A89" s="1" t="s">
        <v>127</v>
      </c>
      <c r="B89" s="1" t="s">
        <v>36</v>
      </c>
      <c r="C89" s="1">
        <v>22.25</v>
      </c>
      <c r="D89" s="1">
        <v>53.622</v>
      </c>
      <c r="E89" s="1">
        <v>34.954999999999998</v>
      </c>
      <c r="F89" s="1">
        <v>39.584000000000003</v>
      </c>
      <c r="G89" s="7">
        <v>1</v>
      </c>
      <c r="H89" s="1">
        <v>55</v>
      </c>
      <c r="I89" s="1" t="s">
        <v>37</v>
      </c>
      <c r="J89" s="1"/>
      <c r="K89" s="1">
        <v>39.299999999999997</v>
      </c>
      <c r="L89" s="1">
        <f t="shared" si="18"/>
        <v>-4.3449999999999989</v>
      </c>
      <c r="M89" s="1"/>
      <c r="N89" s="1"/>
      <c r="O89" s="1">
        <v>0</v>
      </c>
      <c r="P89" s="1"/>
      <c r="Q89" s="1"/>
      <c r="R89" s="1">
        <f t="shared" si="19"/>
        <v>6.9909999999999997</v>
      </c>
      <c r="S89" s="5">
        <f t="shared" ref="S89" si="24">10*R89-Q89-P89-O89-F89</f>
        <v>30.325999999999993</v>
      </c>
      <c r="T89" s="20"/>
      <c r="U89" s="20"/>
      <c r="V89" s="1">
        <f t="shared" si="20"/>
        <v>10</v>
      </c>
      <c r="W89" s="1">
        <f t="shared" si="21"/>
        <v>5.6621370333285661</v>
      </c>
      <c r="X89" s="1">
        <v>2.9689999999999999</v>
      </c>
      <c r="Y89" s="1">
        <v>5.1075999999999997</v>
      </c>
      <c r="Z89" s="1">
        <v>11.430400000000001</v>
      </c>
      <c r="AA89" s="1">
        <v>8.48</v>
      </c>
      <c r="AB89" s="1">
        <v>2.9582000000000002</v>
      </c>
      <c r="AC89" s="1">
        <v>3.7658</v>
      </c>
      <c r="AD89" s="1">
        <v>7.8483999999999998</v>
      </c>
      <c r="AE89" s="1">
        <v>7.0462000000000007</v>
      </c>
      <c r="AF89" s="1">
        <v>8.6546000000000003</v>
      </c>
      <c r="AG89" s="1">
        <v>8.9195999999999991</v>
      </c>
      <c r="AH89" s="1"/>
      <c r="AI89" s="1">
        <f t="shared" si="23"/>
        <v>30.325999999999993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35">
      <c r="A90" s="15" t="s">
        <v>128</v>
      </c>
      <c r="B90" s="1" t="s">
        <v>41</v>
      </c>
      <c r="C90" s="1"/>
      <c r="D90" s="1"/>
      <c r="E90" s="1">
        <v>-11</v>
      </c>
      <c r="F90" s="1"/>
      <c r="G90" s="7">
        <v>0.3</v>
      </c>
      <c r="H90" s="1">
        <v>40</v>
      </c>
      <c r="I90" s="9" t="s">
        <v>48</v>
      </c>
      <c r="J90" s="1"/>
      <c r="K90" s="1">
        <v>4</v>
      </c>
      <c r="L90" s="1">
        <f t="shared" si="18"/>
        <v>-15</v>
      </c>
      <c r="M90" s="1"/>
      <c r="N90" s="1"/>
      <c r="O90" s="1">
        <v>70</v>
      </c>
      <c r="P90" s="1">
        <v>-72.000000000000014</v>
      </c>
      <c r="Q90" s="1"/>
      <c r="R90" s="1">
        <f t="shared" si="19"/>
        <v>-2.2000000000000002</v>
      </c>
      <c r="S90" s="5">
        <v>70</v>
      </c>
      <c r="T90" s="20"/>
      <c r="U90" s="20"/>
      <c r="V90" s="1">
        <f t="shared" si="20"/>
        <v>-30.909090909090899</v>
      </c>
      <c r="W90" s="1">
        <f t="shared" si="21"/>
        <v>0.9090909090909155</v>
      </c>
      <c r="X90" s="1">
        <v>-1.2</v>
      </c>
      <c r="Y90" s="1">
        <v>-1.4</v>
      </c>
      <c r="Z90" s="1">
        <v>-1.4</v>
      </c>
      <c r="AA90" s="1">
        <v>-1.8</v>
      </c>
      <c r="AB90" s="1">
        <v>-2.4</v>
      </c>
      <c r="AC90" s="1">
        <v>-2.8</v>
      </c>
      <c r="AD90" s="1">
        <v>41</v>
      </c>
      <c r="AE90" s="1">
        <v>73</v>
      </c>
      <c r="AF90" s="1">
        <v>35.200000000000003</v>
      </c>
      <c r="AG90" s="1">
        <v>4.8</v>
      </c>
      <c r="AH90" s="1"/>
      <c r="AI90" s="1">
        <f t="shared" si="23"/>
        <v>21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35">
      <c r="A91" s="1" t="s">
        <v>129</v>
      </c>
      <c r="B91" s="1" t="s">
        <v>41</v>
      </c>
      <c r="C91" s="1">
        <v>242</v>
      </c>
      <c r="D91" s="1">
        <v>282</v>
      </c>
      <c r="E91" s="1">
        <v>294</v>
      </c>
      <c r="F91" s="1">
        <v>209</v>
      </c>
      <c r="G91" s="7">
        <v>0.3</v>
      </c>
      <c r="H91" s="1">
        <v>40</v>
      </c>
      <c r="I91" s="1" t="s">
        <v>37</v>
      </c>
      <c r="J91" s="1"/>
      <c r="K91" s="1">
        <v>302</v>
      </c>
      <c r="L91" s="1">
        <f t="shared" si="18"/>
        <v>-8</v>
      </c>
      <c r="M91" s="1"/>
      <c r="N91" s="1"/>
      <c r="O91" s="1">
        <v>0</v>
      </c>
      <c r="P91" s="1"/>
      <c r="Q91" s="1"/>
      <c r="R91" s="1">
        <f t="shared" si="19"/>
        <v>58.8</v>
      </c>
      <c r="S91" s="5">
        <f>9*R91-Q91-P91-O91-F91</f>
        <v>320.19999999999993</v>
      </c>
      <c r="T91" s="20"/>
      <c r="U91" s="20"/>
      <c r="V91" s="1">
        <f t="shared" si="20"/>
        <v>9</v>
      </c>
      <c r="W91" s="1">
        <f t="shared" si="21"/>
        <v>3.5544217687074831</v>
      </c>
      <c r="X91" s="1">
        <v>34.200000000000003</v>
      </c>
      <c r="Y91" s="1">
        <v>35.6</v>
      </c>
      <c r="Z91" s="1">
        <v>47.4</v>
      </c>
      <c r="AA91" s="1">
        <v>49</v>
      </c>
      <c r="AB91" s="1">
        <v>51.8</v>
      </c>
      <c r="AC91" s="1">
        <v>50</v>
      </c>
      <c r="AD91" s="1">
        <v>29.2</v>
      </c>
      <c r="AE91" s="1">
        <v>25</v>
      </c>
      <c r="AF91" s="1">
        <v>42.4</v>
      </c>
      <c r="AG91" s="1">
        <v>77.2</v>
      </c>
      <c r="AH91" s="1"/>
      <c r="AI91" s="1">
        <f t="shared" si="23"/>
        <v>96.059999999999974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35">
      <c r="A92" s="10" t="s">
        <v>130</v>
      </c>
      <c r="B92" s="10" t="s">
        <v>41</v>
      </c>
      <c r="C92" s="10"/>
      <c r="D92" s="10"/>
      <c r="E92" s="10"/>
      <c r="F92" s="10"/>
      <c r="G92" s="11">
        <v>0</v>
      </c>
      <c r="H92" s="10"/>
      <c r="I92" s="10" t="s">
        <v>37</v>
      </c>
      <c r="J92" s="10"/>
      <c r="K92" s="10"/>
      <c r="L92" s="10">
        <f t="shared" si="18"/>
        <v>0</v>
      </c>
      <c r="M92" s="10"/>
      <c r="N92" s="10"/>
      <c r="O92" s="10">
        <v>0</v>
      </c>
      <c r="P92" s="10"/>
      <c r="Q92" s="10"/>
      <c r="R92" s="10">
        <f t="shared" si="19"/>
        <v>0</v>
      </c>
      <c r="S92" s="12"/>
      <c r="T92" s="21"/>
      <c r="U92" s="21"/>
      <c r="V92" s="10" t="e">
        <f t="shared" si="20"/>
        <v>#DIV/0!</v>
      </c>
      <c r="W92" s="10" t="e">
        <f t="shared" si="21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42</v>
      </c>
      <c r="AI92" s="10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35">
      <c r="A93" s="15" t="s">
        <v>131</v>
      </c>
      <c r="B93" s="1" t="s">
        <v>41</v>
      </c>
      <c r="C93" s="1">
        <v>68</v>
      </c>
      <c r="D93" s="1">
        <v>252</v>
      </c>
      <c r="E93" s="1">
        <v>159</v>
      </c>
      <c r="F93" s="1">
        <v>146</v>
      </c>
      <c r="G93" s="7">
        <v>7.0000000000000007E-2</v>
      </c>
      <c r="H93" s="1">
        <v>90</v>
      </c>
      <c r="I93" s="9" t="s">
        <v>48</v>
      </c>
      <c r="J93" s="1"/>
      <c r="K93" s="1">
        <v>167</v>
      </c>
      <c r="L93" s="1">
        <f t="shared" si="18"/>
        <v>-8</v>
      </c>
      <c r="M93" s="1"/>
      <c r="N93" s="1"/>
      <c r="O93" s="1">
        <v>150</v>
      </c>
      <c r="P93" s="1"/>
      <c r="Q93" s="1"/>
      <c r="R93" s="1">
        <f t="shared" si="19"/>
        <v>31.8</v>
      </c>
      <c r="S93" s="5">
        <f t="shared" ref="S93:S96" si="25">10*R93-Q93-P93-O93-F93</f>
        <v>22</v>
      </c>
      <c r="T93" s="20">
        <v>150</v>
      </c>
      <c r="U93" s="20"/>
      <c r="V93" s="1">
        <f t="shared" si="20"/>
        <v>10</v>
      </c>
      <c r="W93" s="1">
        <f t="shared" si="21"/>
        <v>9.3081761006289305</v>
      </c>
      <c r="X93" s="1">
        <v>34.799999999999997</v>
      </c>
      <c r="Y93" s="1">
        <v>27.6</v>
      </c>
      <c r="Z93" s="1">
        <v>10.4</v>
      </c>
      <c r="AA93" s="1">
        <v>4</v>
      </c>
      <c r="AB93" s="1">
        <v>33.4</v>
      </c>
      <c r="AC93" s="1">
        <v>39.6</v>
      </c>
      <c r="AD93" s="1">
        <v>10.4</v>
      </c>
      <c r="AE93" s="1">
        <v>7.4</v>
      </c>
      <c r="AF93" s="1">
        <v>34.200000000000003</v>
      </c>
      <c r="AG93" s="1">
        <v>44</v>
      </c>
      <c r="AH93" s="1"/>
      <c r="AI93" s="1">
        <f>G93*S93</f>
        <v>1.54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35">
      <c r="A94" s="15" t="s">
        <v>132</v>
      </c>
      <c r="B94" s="1" t="s">
        <v>41</v>
      </c>
      <c r="C94" s="1">
        <v>279</v>
      </c>
      <c r="D94" s="1">
        <v>90</v>
      </c>
      <c r="E94" s="1">
        <v>163</v>
      </c>
      <c r="F94" s="1">
        <v>179</v>
      </c>
      <c r="G94" s="7">
        <v>7.0000000000000007E-2</v>
      </c>
      <c r="H94" s="1">
        <v>90</v>
      </c>
      <c r="I94" s="9" t="s">
        <v>48</v>
      </c>
      <c r="J94" s="1"/>
      <c r="K94" s="1">
        <v>167</v>
      </c>
      <c r="L94" s="1">
        <f t="shared" si="18"/>
        <v>-4</v>
      </c>
      <c r="M94" s="1"/>
      <c r="N94" s="1"/>
      <c r="O94" s="1">
        <v>62.419879999999857</v>
      </c>
      <c r="P94" s="1"/>
      <c r="Q94" s="1"/>
      <c r="R94" s="1">
        <f t="shared" si="19"/>
        <v>32.6</v>
      </c>
      <c r="S94" s="5">
        <f t="shared" si="25"/>
        <v>84.580120000000136</v>
      </c>
      <c r="T94" s="20"/>
      <c r="U94" s="20"/>
      <c r="V94" s="1">
        <f t="shared" si="20"/>
        <v>10</v>
      </c>
      <c r="W94" s="1">
        <f t="shared" si="21"/>
        <v>7.4055177914110386</v>
      </c>
      <c r="X94" s="1">
        <v>29.4</v>
      </c>
      <c r="Y94" s="1">
        <v>26.8</v>
      </c>
      <c r="Z94" s="1">
        <v>29.8</v>
      </c>
      <c r="AA94" s="1">
        <v>36.6</v>
      </c>
      <c r="AB94" s="1">
        <v>39.4</v>
      </c>
      <c r="AC94" s="1">
        <v>31.2</v>
      </c>
      <c r="AD94" s="1">
        <v>27.2</v>
      </c>
      <c r="AE94" s="1">
        <v>32.200000000000003</v>
      </c>
      <c r="AF94" s="1">
        <v>35.6</v>
      </c>
      <c r="AG94" s="1">
        <v>33.4</v>
      </c>
      <c r="AH94" s="1"/>
      <c r="AI94" s="1">
        <f>G94*S94</f>
        <v>5.9206084000000097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35">
      <c r="A95" s="1" t="s">
        <v>133</v>
      </c>
      <c r="B95" s="1" t="s">
        <v>41</v>
      </c>
      <c r="C95" s="1"/>
      <c r="D95" s="1">
        <v>264</v>
      </c>
      <c r="E95" s="1">
        <v>160</v>
      </c>
      <c r="F95" s="1">
        <v>82</v>
      </c>
      <c r="G95" s="7">
        <v>0.3</v>
      </c>
      <c r="H95" s="1">
        <v>40</v>
      </c>
      <c r="I95" s="1" t="s">
        <v>37</v>
      </c>
      <c r="J95" s="1"/>
      <c r="K95" s="1">
        <v>264</v>
      </c>
      <c r="L95" s="1">
        <f t="shared" si="18"/>
        <v>-104</v>
      </c>
      <c r="M95" s="1"/>
      <c r="N95" s="1"/>
      <c r="O95" s="1">
        <v>60</v>
      </c>
      <c r="P95" s="1"/>
      <c r="Q95" s="1"/>
      <c r="R95" s="1">
        <f t="shared" si="19"/>
        <v>32</v>
      </c>
      <c r="S95" s="5">
        <f t="shared" si="25"/>
        <v>178</v>
      </c>
      <c r="T95" s="20"/>
      <c r="U95" s="20"/>
      <c r="V95" s="1">
        <f t="shared" si="20"/>
        <v>10</v>
      </c>
      <c r="W95" s="1">
        <f t="shared" si="21"/>
        <v>4.4375</v>
      </c>
      <c r="X95" s="1">
        <v>3.6</v>
      </c>
      <c r="Y95" s="1">
        <v>2</v>
      </c>
      <c r="Z95" s="1">
        <v>33.4</v>
      </c>
      <c r="AA95" s="1">
        <v>38.200000000000003</v>
      </c>
      <c r="AB95" s="1">
        <v>19</v>
      </c>
      <c r="AC95" s="1">
        <v>18.8</v>
      </c>
      <c r="AD95" s="1">
        <v>21</v>
      </c>
      <c r="AE95" s="1">
        <v>17.2</v>
      </c>
      <c r="AF95" s="1">
        <v>1.8</v>
      </c>
      <c r="AG95" s="1">
        <v>0</v>
      </c>
      <c r="AH95" s="1"/>
      <c r="AI95" s="1">
        <f>G95*S95</f>
        <v>53.4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35">
      <c r="A96" s="15" t="s">
        <v>134</v>
      </c>
      <c r="B96" s="1" t="s">
        <v>36</v>
      </c>
      <c r="C96" s="1">
        <v>92.67</v>
      </c>
      <c r="D96" s="1">
        <v>105.59399999999999</v>
      </c>
      <c r="E96" s="1">
        <v>71.376000000000005</v>
      </c>
      <c r="F96" s="1">
        <v>114.788</v>
      </c>
      <c r="G96" s="7">
        <v>1</v>
      </c>
      <c r="H96" s="1">
        <v>55</v>
      </c>
      <c r="I96" s="9" t="s">
        <v>48</v>
      </c>
      <c r="J96" s="1"/>
      <c r="K96" s="1">
        <v>73.099999999999994</v>
      </c>
      <c r="L96" s="1">
        <f t="shared" si="18"/>
        <v>-1.7239999999999895</v>
      </c>
      <c r="M96" s="1"/>
      <c r="N96" s="1"/>
      <c r="O96" s="1">
        <v>16.216400000000011</v>
      </c>
      <c r="P96" s="1"/>
      <c r="Q96" s="1"/>
      <c r="R96" s="1">
        <f t="shared" si="19"/>
        <v>14.275200000000002</v>
      </c>
      <c r="S96" s="5">
        <f t="shared" si="25"/>
        <v>11.747600000000006</v>
      </c>
      <c r="T96" s="20"/>
      <c r="U96" s="20"/>
      <c r="V96" s="1">
        <f t="shared" si="20"/>
        <v>10</v>
      </c>
      <c r="W96" s="1">
        <f t="shared" si="21"/>
        <v>9.1770623178659481</v>
      </c>
      <c r="X96" s="1">
        <v>14.007400000000001</v>
      </c>
      <c r="Y96" s="1">
        <v>16.1724</v>
      </c>
      <c r="Z96" s="1">
        <v>23.736799999999999</v>
      </c>
      <c r="AA96" s="1">
        <v>21.739000000000001</v>
      </c>
      <c r="AB96" s="1">
        <v>21.257400000000001</v>
      </c>
      <c r="AC96" s="1">
        <v>25.684999999999999</v>
      </c>
      <c r="AD96" s="1">
        <v>22.070399999999999</v>
      </c>
      <c r="AE96" s="1">
        <v>19.931000000000001</v>
      </c>
      <c r="AF96" s="1">
        <v>16.528400000000001</v>
      </c>
      <c r="AG96" s="1">
        <v>14.6228</v>
      </c>
      <c r="AH96" s="1"/>
      <c r="AI96" s="1">
        <f>G96*S96</f>
        <v>11.747600000000006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35">
      <c r="A97" s="10" t="s">
        <v>135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/>
      <c r="Q97" s="10"/>
      <c r="R97" s="10">
        <f t="shared" si="19"/>
        <v>0</v>
      </c>
      <c r="S97" s="12"/>
      <c r="T97" s="21"/>
      <c r="U97" s="21"/>
      <c r="V97" s="10" t="e">
        <f t="shared" si="20"/>
        <v>#DIV/0!</v>
      </c>
      <c r="W97" s="10" t="e">
        <f t="shared" si="21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42</v>
      </c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35">
      <c r="A98" s="15" t="s">
        <v>136</v>
      </c>
      <c r="B98" s="1" t="s">
        <v>41</v>
      </c>
      <c r="C98" s="1"/>
      <c r="D98" s="1"/>
      <c r="E98" s="1">
        <v>-1</v>
      </c>
      <c r="F98" s="1"/>
      <c r="G98" s="7">
        <v>0.1</v>
      </c>
      <c r="H98" s="1">
        <v>30</v>
      </c>
      <c r="I98" s="1" t="s">
        <v>37</v>
      </c>
      <c r="J98" s="1"/>
      <c r="K98" s="1"/>
      <c r="L98" s="1">
        <f t="shared" si="18"/>
        <v>-1</v>
      </c>
      <c r="M98" s="1"/>
      <c r="N98" s="1"/>
      <c r="O98" s="1">
        <v>10</v>
      </c>
      <c r="P98" s="1">
        <v>-10</v>
      </c>
      <c r="Q98" s="1"/>
      <c r="R98" s="1">
        <f t="shared" si="19"/>
        <v>-0.2</v>
      </c>
      <c r="S98" s="5">
        <v>20</v>
      </c>
      <c r="T98" s="20"/>
      <c r="U98" s="20"/>
      <c r="V98" s="1">
        <f t="shared" si="20"/>
        <v>-100</v>
      </c>
      <c r="W98" s="1">
        <f t="shared" si="21"/>
        <v>0</v>
      </c>
      <c r="X98" s="1">
        <v>-0.4</v>
      </c>
      <c r="Y98" s="1">
        <v>-0.2</v>
      </c>
      <c r="Z98" s="1">
        <v>-0.2</v>
      </c>
      <c r="AA98" s="1">
        <v>2.4</v>
      </c>
      <c r="AB98" s="1">
        <v>3.6</v>
      </c>
      <c r="AC98" s="1">
        <v>1.8</v>
      </c>
      <c r="AD98" s="1">
        <v>1.4</v>
      </c>
      <c r="AE98" s="1">
        <v>-0.4</v>
      </c>
      <c r="AF98" s="1">
        <v>3</v>
      </c>
      <c r="AG98" s="1">
        <v>2.8</v>
      </c>
      <c r="AH98" s="1" t="s">
        <v>137</v>
      </c>
      <c r="AI98" s="1">
        <f t="shared" ref="AI98:AI104" si="26">G98*S98</f>
        <v>2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35">
      <c r="A99" s="1" t="s">
        <v>138</v>
      </c>
      <c r="B99" s="1" t="s">
        <v>41</v>
      </c>
      <c r="C99" s="1">
        <v>267</v>
      </c>
      <c r="D99" s="1">
        <v>550</v>
      </c>
      <c r="E99" s="1">
        <v>315</v>
      </c>
      <c r="F99" s="1">
        <v>458</v>
      </c>
      <c r="G99" s="7">
        <v>0.08</v>
      </c>
      <c r="H99" s="1">
        <v>45</v>
      </c>
      <c r="I99" s="1" t="s">
        <v>37</v>
      </c>
      <c r="J99" s="1"/>
      <c r="K99" s="1">
        <v>314</v>
      </c>
      <c r="L99" s="1">
        <f t="shared" si="18"/>
        <v>1</v>
      </c>
      <c r="M99" s="1"/>
      <c r="N99" s="1"/>
      <c r="O99" s="1">
        <v>135.84</v>
      </c>
      <c r="P99" s="1"/>
      <c r="Q99" s="1"/>
      <c r="R99" s="1">
        <f t="shared" si="19"/>
        <v>63</v>
      </c>
      <c r="S99" s="5">
        <f t="shared" ref="S99:S100" si="27">10*R99-Q99-P99-O99-F99</f>
        <v>36.159999999999968</v>
      </c>
      <c r="T99" s="20"/>
      <c r="U99" s="20"/>
      <c r="V99" s="1">
        <f t="shared" si="20"/>
        <v>10</v>
      </c>
      <c r="W99" s="1">
        <f t="shared" si="21"/>
        <v>9.4260317460317466</v>
      </c>
      <c r="X99" s="1">
        <v>48</v>
      </c>
      <c r="Y99" s="1">
        <v>47</v>
      </c>
      <c r="Z99" s="1">
        <v>62</v>
      </c>
      <c r="AA99" s="1">
        <v>57.4</v>
      </c>
      <c r="AB99" s="1">
        <v>55.6</v>
      </c>
      <c r="AC99" s="1">
        <v>57.2</v>
      </c>
      <c r="AD99" s="1">
        <v>45.8</v>
      </c>
      <c r="AE99" s="1">
        <v>48.4</v>
      </c>
      <c r="AF99" s="1">
        <v>52.4</v>
      </c>
      <c r="AG99" s="1">
        <v>43.2</v>
      </c>
      <c r="AH99" s="1"/>
      <c r="AI99" s="1">
        <f t="shared" si="26"/>
        <v>2.8927999999999976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35">
      <c r="A100" s="1" t="s">
        <v>139</v>
      </c>
      <c r="B100" s="1" t="s">
        <v>41</v>
      </c>
      <c r="C100" s="1">
        <v>235</v>
      </c>
      <c r="D100" s="1">
        <v>396</v>
      </c>
      <c r="E100" s="1">
        <v>258</v>
      </c>
      <c r="F100" s="1">
        <v>347</v>
      </c>
      <c r="G100" s="7">
        <v>0.08</v>
      </c>
      <c r="H100" s="1">
        <v>45</v>
      </c>
      <c r="I100" s="1" t="s">
        <v>37</v>
      </c>
      <c r="J100" s="1"/>
      <c r="K100" s="1">
        <v>268</v>
      </c>
      <c r="L100" s="1">
        <f t="shared" si="18"/>
        <v>-10</v>
      </c>
      <c r="M100" s="1"/>
      <c r="N100" s="1"/>
      <c r="O100" s="1">
        <v>151.44800000000001</v>
      </c>
      <c r="P100" s="1"/>
      <c r="Q100" s="1"/>
      <c r="R100" s="1">
        <f t="shared" si="19"/>
        <v>51.6</v>
      </c>
      <c r="S100" s="5">
        <f t="shared" si="27"/>
        <v>17.552000000000021</v>
      </c>
      <c r="T100" s="20"/>
      <c r="U100" s="20"/>
      <c r="V100" s="1">
        <f t="shared" si="20"/>
        <v>10</v>
      </c>
      <c r="W100" s="1">
        <f t="shared" si="21"/>
        <v>9.6598449612403101</v>
      </c>
      <c r="X100" s="1">
        <v>45.6</v>
      </c>
      <c r="Y100" s="1">
        <v>43</v>
      </c>
      <c r="Z100" s="1">
        <v>55.6</v>
      </c>
      <c r="AA100" s="1">
        <v>54.2</v>
      </c>
      <c r="AB100" s="1">
        <v>46</v>
      </c>
      <c r="AC100" s="1">
        <v>45</v>
      </c>
      <c r="AD100" s="1">
        <v>32</v>
      </c>
      <c r="AE100" s="1">
        <v>31.4</v>
      </c>
      <c r="AF100" s="1">
        <v>45</v>
      </c>
      <c r="AG100" s="1">
        <v>48.6</v>
      </c>
      <c r="AH100" s="1"/>
      <c r="AI100" s="1">
        <f t="shared" si="26"/>
        <v>1.4041600000000016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35">
      <c r="A101" s="1" t="s">
        <v>140</v>
      </c>
      <c r="B101" s="1" t="s">
        <v>41</v>
      </c>
      <c r="C101" s="1">
        <v>30</v>
      </c>
      <c r="D101" s="1">
        <v>10</v>
      </c>
      <c r="E101" s="1">
        <v>10</v>
      </c>
      <c r="F101" s="1">
        <v>3</v>
      </c>
      <c r="G101" s="7">
        <v>0.17</v>
      </c>
      <c r="H101" s="1">
        <v>30</v>
      </c>
      <c r="I101" s="1" t="s">
        <v>37</v>
      </c>
      <c r="J101" s="1"/>
      <c r="K101" s="1">
        <v>12</v>
      </c>
      <c r="L101" s="1">
        <f t="shared" si="18"/>
        <v>-2</v>
      </c>
      <c r="M101" s="1"/>
      <c r="N101" s="1"/>
      <c r="O101" s="1">
        <v>0</v>
      </c>
      <c r="P101" s="1"/>
      <c r="Q101" s="1"/>
      <c r="R101" s="1">
        <f t="shared" si="19"/>
        <v>2</v>
      </c>
      <c r="S101" s="5">
        <v>10</v>
      </c>
      <c r="T101" s="20"/>
      <c r="U101" s="20"/>
      <c r="V101" s="1">
        <f t="shared" si="20"/>
        <v>6.5</v>
      </c>
      <c r="W101" s="1">
        <f t="shared" si="21"/>
        <v>1.5</v>
      </c>
      <c r="X101" s="1">
        <v>1.2</v>
      </c>
      <c r="Y101" s="1">
        <v>0</v>
      </c>
      <c r="Z101" s="1">
        <v>0</v>
      </c>
      <c r="AA101" s="1">
        <v>1.4</v>
      </c>
      <c r="AB101" s="1">
        <v>1.6</v>
      </c>
      <c r="AC101" s="1">
        <v>0.2</v>
      </c>
      <c r="AD101" s="1">
        <v>0</v>
      </c>
      <c r="AE101" s="1">
        <v>-0.2</v>
      </c>
      <c r="AF101" s="1">
        <v>2</v>
      </c>
      <c r="AG101" s="1">
        <v>4.2</v>
      </c>
      <c r="AH101" s="18" t="s">
        <v>175</v>
      </c>
      <c r="AI101" s="1">
        <f t="shared" si="26"/>
        <v>1.7000000000000002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35">
      <c r="A102" s="15" t="s">
        <v>141</v>
      </c>
      <c r="B102" s="1" t="s">
        <v>36</v>
      </c>
      <c r="C102" s="1">
        <v>25.928999999999998</v>
      </c>
      <c r="D102" s="1">
        <v>102.34</v>
      </c>
      <c r="E102" s="1">
        <v>19.382999999999999</v>
      </c>
      <c r="F102" s="1">
        <v>83.236999999999995</v>
      </c>
      <c r="G102" s="7">
        <v>1</v>
      </c>
      <c r="H102" s="1">
        <v>40</v>
      </c>
      <c r="I102" s="9" t="s">
        <v>48</v>
      </c>
      <c r="J102" s="1"/>
      <c r="K102" s="1">
        <v>260.64499999999998</v>
      </c>
      <c r="L102" s="1">
        <f t="shared" ref="L102:L129" si="28">E102-K102</f>
        <v>-241.26199999999997</v>
      </c>
      <c r="M102" s="1"/>
      <c r="N102" s="1"/>
      <c r="O102" s="1">
        <v>350</v>
      </c>
      <c r="P102" s="1"/>
      <c r="Q102" s="1"/>
      <c r="R102" s="1">
        <f t="shared" ref="R102:R129" si="29">E102/5</f>
        <v>3.8765999999999998</v>
      </c>
      <c r="S102" s="5"/>
      <c r="T102" s="20">
        <v>230</v>
      </c>
      <c r="U102" s="20"/>
      <c r="V102" s="1">
        <f t="shared" ref="V102:V129" si="30">(F102+O102+P102+Q102+S102)/R102</f>
        <v>111.75695196821957</v>
      </c>
      <c r="W102" s="1">
        <f t="shared" ref="W102:W129" si="31">(F102+O102+P102+Q102)/R102</f>
        <v>111.75695196821957</v>
      </c>
      <c r="X102" s="1">
        <v>19.322399999999998</v>
      </c>
      <c r="Y102" s="1">
        <v>14.2462</v>
      </c>
      <c r="Z102" s="1">
        <v>43.054199999999987</v>
      </c>
      <c r="AA102" s="1">
        <v>80.952399999999997</v>
      </c>
      <c r="AB102" s="1">
        <v>96.791799999999995</v>
      </c>
      <c r="AC102" s="1">
        <v>97.415999999999997</v>
      </c>
      <c r="AD102" s="1">
        <v>88.752200000000002</v>
      </c>
      <c r="AE102" s="1">
        <v>85.401199999999989</v>
      </c>
      <c r="AF102" s="1">
        <v>87.400199999999998</v>
      </c>
      <c r="AG102" s="1">
        <v>80.573400000000007</v>
      </c>
      <c r="AH102" s="1"/>
      <c r="AI102" s="1">
        <f t="shared" si="26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35">
      <c r="A103" s="15" t="s">
        <v>142</v>
      </c>
      <c r="B103" s="1" t="s">
        <v>36</v>
      </c>
      <c r="C103" s="1">
        <v>9.39</v>
      </c>
      <c r="D103" s="1">
        <v>401.23200000000003</v>
      </c>
      <c r="E103" s="1">
        <v>296.07799999999997</v>
      </c>
      <c r="F103" s="1">
        <v>90.575000000000003</v>
      </c>
      <c r="G103" s="7">
        <v>1</v>
      </c>
      <c r="H103" s="1">
        <v>40</v>
      </c>
      <c r="I103" s="9" t="s">
        <v>48</v>
      </c>
      <c r="J103" s="1"/>
      <c r="K103" s="1">
        <v>450</v>
      </c>
      <c r="L103" s="1">
        <f t="shared" si="28"/>
        <v>-153.92200000000003</v>
      </c>
      <c r="M103" s="1"/>
      <c r="N103" s="1"/>
      <c r="O103" s="1">
        <v>500</v>
      </c>
      <c r="P103" s="1"/>
      <c r="Q103" s="1"/>
      <c r="R103" s="1">
        <f t="shared" si="29"/>
        <v>59.215599999999995</v>
      </c>
      <c r="S103" s="5"/>
      <c r="T103" s="20">
        <v>250</v>
      </c>
      <c r="U103" s="20"/>
      <c r="V103" s="1">
        <f t="shared" si="30"/>
        <v>9.9733009544782139</v>
      </c>
      <c r="W103" s="1">
        <f t="shared" si="31"/>
        <v>9.9733009544782139</v>
      </c>
      <c r="X103" s="1">
        <v>80.884199999999993</v>
      </c>
      <c r="Y103" s="1">
        <v>78.121400000000008</v>
      </c>
      <c r="Z103" s="1">
        <v>29.4024</v>
      </c>
      <c r="AA103" s="1">
        <v>27.0656</v>
      </c>
      <c r="AB103" s="1">
        <v>78.425399999999996</v>
      </c>
      <c r="AC103" s="1">
        <v>77.138599999999997</v>
      </c>
      <c r="AD103" s="1">
        <v>61.042400000000001</v>
      </c>
      <c r="AE103" s="1">
        <v>57.488399999999999</v>
      </c>
      <c r="AF103" s="1">
        <v>60.191400000000002</v>
      </c>
      <c r="AG103" s="1">
        <v>58.831200000000003</v>
      </c>
      <c r="AH103" s="1"/>
      <c r="AI103" s="1">
        <f t="shared" si="26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35">
      <c r="A104" s="15" t="s">
        <v>143</v>
      </c>
      <c r="B104" s="1" t="s">
        <v>36</v>
      </c>
      <c r="C104" s="1"/>
      <c r="D104" s="1"/>
      <c r="E104" s="1">
        <v>-10.654999999999999</v>
      </c>
      <c r="F104" s="1"/>
      <c r="G104" s="7">
        <v>1</v>
      </c>
      <c r="H104" s="1">
        <v>40</v>
      </c>
      <c r="I104" s="9" t="s">
        <v>48</v>
      </c>
      <c r="J104" s="1"/>
      <c r="K104" s="1">
        <v>47.3</v>
      </c>
      <c r="L104" s="1">
        <f t="shared" si="28"/>
        <v>-57.954999999999998</v>
      </c>
      <c r="M104" s="1"/>
      <c r="N104" s="1"/>
      <c r="O104" s="1">
        <v>100</v>
      </c>
      <c r="P104" s="1">
        <v>-101.5</v>
      </c>
      <c r="Q104" s="1"/>
      <c r="R104" s="1">
        <f t="shared" si="29"/>
        <v>-2.1309999999999998</v>
      </c>
      <c r="S104" s="5">
        <v>100</v>
      </c>
      <c r="T104" s="20">
        <v>200</v>
      </c>
      <c r="U104" s="20"/>
      <c r="V104" s="1">
        <f t="shared" si="30"/>
        <v>-46.222430783669644</v>
      </c>
      <c r="W104" s="1">
        <f t="shared" si="31"/>
        <v>0.70389488503050224</v>
      </c>
      <c r="X104" s="1">
        <v>-0.42120000000000002</v>
      </c>
      <c r="Y104" s="1">
        <v>-1.1818</v>
      </c>
      <c r="Z104" s="1">
        <v>9.0351999999999997</v>
      </c>
      <c r="AA104" s="1">
        <v>38.4574</v>
      </c>
      <c r="AB104" s="1">
        <v>90.9636</v>
      </c>
      <c r="AC104" s="1">
        <v>99.641199999999998</v>
      </c>
      <c r="AD104" s="1">
        <v>90.812600000000003</v>
      </c>
      <c r="AE104" s="1">
        <v>87.560400000000001</v>
      </c>
      <c r="AF104" s="1">
        <v>101.8978</v>
      </c>
      <c r="AG104" s="1">
        <v>89.504600000000011</v>
      </c>
      <c r="AH104" s="1"/>
      <c r="AI104" s="1">
        <f t="shared" si="26"/>
        <v>100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3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8"/>
        <v>0</v>
      </c>
      <c r="M105" s="10"/>
      <c r="N105" s="10"/>
      <c r="O105" s="10">
        <v>0</v>
      </c>
      <c r="P105" s="10"/>
      <c r="Q105" s="10"/>
      <c r="R105" s="10">
        <f t="shared" si="29"/>
        <v>0</v>
      </c>
      <c r="S105" s="12"/>
      <c r="T105" s="21"/>
      <c r="U105" s="21"/>
      <c r="V105" s="10" t="e">
        <f t="shared" si="30"/>
        <v>#DIV/0!</v>
      </c>
      <c r="W105" s="10" t="e">
        <f t="shared" si="31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42</v>
      </c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35">
      <c r="A106" s="1" t="s">
        <v>145</v>
      </c>
      <c r="B106" s="1" t="s">
        <v>36</v>
      </c>
      <c r="C106" s="1"/>
      <c r="D106" s="1">
        <v>43.38</v>
      </c>
      <c r="E106" s="1">
        <v>1.373</v>
      </c>
      <c r="F106" s="1">
        <v>42.006999999999998</v>
      </c>
      <c r="G106" s="7">
        <v>1</v>
      </c>
      <c r="H106" s="1">
        <v>55</v>
      </c>
      <c r="I106" s="1" t="s">
        <v>37</v>
      </c>
      <c r="J106" s="1"/>
      <c r="K106" s="1">
        <v>1.3</v>
      </c>
      <c r="L106" s="1">
        <f t="shared" si="28"/>
        <v>7.2999999999999954E-2</v>
      </c>
      <c r="M106" s="1"/>
      <c r="N106" s="1"/>
      <c r="O106" s="1">
        <v>0</v>
      </c>
      <c r="P106" s="1"/>
      <c r="Q106" s="1"/>
      <c r="R106" s="1">
        <f t="shared" si="29"/>
        <v>0.27460000000000001</v>
      </c>
      <c r="S106" s="5"/>
      <c r="T106" s="20"/>
      <c r="U106" s="20"/>
      <c r="V106" s="1">
        <f t="shared" si="30"/>
        <v>152.97523670793882</v>
      </c>
      <c r="W106" s="1">
        <f t="shared" si="31"/>
        <v>152.97523670793882</v>
      </c>
      <c r="X106" s="1">
        <v>0.27460000000000001</v>
      </c>
      <c r="Y106" s="1">
        <v>2.4338000000000002</v>
      </c>
      <c r="Z106" s="1">
        <v>2.9998</v>
      </c>
      <c r="AA106" s="1">
        <v>0.56600000000000006</v>
      </c>
      <c r="AB106" s="1">
        <v>0</v>
      </c>
      <c r="AC106" s="1">
        <v>0.26879999999999998</v>
      </c>
      <c r="AD106" s="1">
        <v>0.54180000000000006</v>
      </c>
      <c r="AE106" s="1">
        <v>0.54720000000000002</v>
      </c>
      <c r="AF106" s="1">
        <v>1.615</v>
      </c>
      <c r="AG106" s="1">
        <v>1.3408</v>
      </c>
      <c r="AH106" s="1" t="s">
        <v>146</v>
      </c>
      <c r="AI106" s="1">
        <f>G106*S106</f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35">
      <c r="A107" s="15" t="s">
        <v>147</v>
      </c>
      <c r="B107" s="1" t="s">
        <v>41</v>
      </c>
      <c r="C107" s="1">
        <v>117</v>
      </c>
      <c r="D107" s="1">
        <v>196</v>
      </c>
      <c r="E107" s="1">
        <v>220</v>
      </c>
      <c r="F107" s="1">
        <v>76</v>
      </c>
      <c r="G107" s="7">
        <v>0.28000000000000003</v>
      </c>
      <c r="H107" s="1">
        <v>40</v>
      </c>
      <c r="I107" s="9" t="s">
        <v>48</v>
      </c>
      <c r="J107" s="1"/>
      <c r="K107" s="1">
        <v>590</v>
      </c>
      <c r="L107" s="1">
        <f t="shared" si="28"/>
        <v>-370</v>
      </c>
      <c r="M107" s="1"/>
      <c r="N107" s="1"/>
      <c r="O107" s="1">
        <v>654.83799999999997</v>
      </c>
      <c r="P107" s="1"/>
      <c r="Q107" s="1"/>
      <c r="R107" s="1">
        <f t="shared" si="29"/>
        <v>44</v>
      </c>
      <c r="S107" s="5">
        <v>50</v>
      </c>
      <c r="T107" s="20">
        <v>150</v>
      </c>
      <c r="U107" s="20"/>
      <c r="V107" s="1">
        <f t="shared" si="30"/>
        <v>17.746318181818182</v>
      </c>
      <c r="W107" s="1">
        <f t="shared" si="31"/>
        <v>16.609954545454546</v>
      </c>
      <c r="X107" s="1">
        <v>78.599999999999994</v>
      </c>
      <c r="Y107" s="1">
        <v>33.4</v>
      </c>
      <c r="Z107" s="1">
        <v>9.6</v>
      </c>
      <c r="AA107" s="1">
        <v>43.4</v>
      </c>
      <c r="AB107" s="1">
        <v>70.8</v>
      </c>
      <c r="AC107" s="1">
        <v>65</v>
      </c>
      <c r="AD107" s="1">
        <v>39</v>
      </c>
      <c r="AE107" s="1">
        <v>37.4</v>
      </c>
      <c r="AF107" s="1">
        <v>79.400000000000006</v>
      </c>
      <c r="AG107" s="1">
        <v>86.4</v>
      </c>
      <c r="AH107" s="1"/>
      <c r="AI107" s="1">
        <f>G107*S107</f>
        <v>14.000000000000002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35">
      <c r="A108" s="10" t="s">
        <v>148</v>
      </c>
      <c r="B108" s="10" t="s">
        <v>41</v>
      </c>
      <c r="C108" s="10"/>
      <c r="D108" s="10"/>
      <c r="E108" s="10"/>
      <c r="F108" s="10"/>
      <c r="G108" s="11">
        <v>0</v>
      </c>
      <c r="H108" s="10"/>
      <c r="I108" s="10" t="s">
        <v>37</v>
      </c>
      <c r="J108" s="10"/>
      <c r="K108" s="10"/>
      <c r="L108" s="10">
        <f t="shared" si="28"/>
        <v>0</v>
      </c>
      <c r="M108" s="10"/>
      <c r="N108" s="10"/>
      <c r="O108" s="10">
        <v>0</v>
      </c>
      <c r="P108" s="10"/>
      <c r="Q108" s="10"/>
      <c r="R108" s="10">
        <f t="shared" si="29"/>
        <v>0</v>
      </c>
      <c r="S108" s="12"/>
      <c r="T108" s="21"/>
      <c r="U108" s="21"/>
      <c r="V108" s="10" t="e">
        <f t="shared" si="30"/>
        <v>#DIV/0!</v>
      </c>
      <c r="W108" s="10" t="e">
        <f t="shared" si="31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 t="s">
        <v>42</v>
      </c>
      <c r="AI108" s="10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35">
      <c r="A109" s="15" t="s">
        <v>149</v>
      </c>
      <c r="B109" s="1" t="s">
        <v>41</v>
      </c>
      <c r="C109" s="1">
        <v>72</v>
      </c>
      <c r="D109" s="1">
        <v>312</v>
      </c>
      <c r="E109" s="1">
        <v>289</v>
      </c>
      <c r="F109" s="1">
        <v>74</v>
      </c>
      <c r="G109" s="7">
        <v>0.28000000000000003</v>
      </c>
      <c r="H109" s="1">
        <v>40</v>
      </c>
      <c r="I109" s="9" t="s">
        <v>48</v>
      </c>
      <c r="J109" s="1"/>
      <c r="K109" s="1">
        <v>591</v>
      </c>
      <c r="L109" s="1">
        <f t="shared" si="28"/>
        <v>-302</v>
      </c>
      <c r="M109" s="1"/>
      <c r="N109" s="1"/>
      <c r="O109" s="1">
        <v>150</v>
      </c>
      <c r="P109" s="1">
        <v>-150</v>
      </c>
      <c r="Q109" s="1"/>
      <c r="R109" s="1">
        <f t="shared" si="29"/>
        <v>57.8</v>
      </c>
      <c r="S109" s="5">
        <v>200</v>
      </c>
      <c r="T109" s="20">
        <v>150</v>
      </c>
      <c r="U109" s="20"/>
      <c r="V109" s="1">
        <f t="shared" si="30"/>
        <v>4.7404844290657442</v>
      </c>
      <c r="W109" s="1">
        <f t="shared" si="31"/>
        <v>1.2802768166089966</v>
      </c>
      <c r="X109" s="1">
        <v>35.799999999999997</v>
      </c>
      <c r="Y109" s="1">
        <v>-2</v>
      </c>
      <c r="Z109" s="1">
        <v>12</v>
      </c>
      <c r="AA109" s="1">
        <v>46.2</v>
      </c>
      <c r="AB109" s="1">
        <v>76.400000000000006</v>
      </c>
      <c r="AC109" s="1">
        <v>75.2</v>
      </c>
      <c r="AD109" s="1">
        <v>67</v>
      </c>
      <c r="AE109" s="1">
        <v>62.4</v>
      </c>
      <c r="AF109" s="1">
        <v>67</v>
      </c>
      <c r="AG109" s="1">
        <v>69</v>
      </c>
      <c r="AH109" s="1"/>
      <c r="AI109" s="1">
        <f>G109*S109</f>
        <v>56.000000000000007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35">
      <c r="A110" s="1" t="s">
        <v>150</v>
      </c>
      <c r="B110" s="1" t="s">
        <v>41</v>
      </c>
      <c r="C110" s="1"/>
      <c r="D110" s="1">
        <v>200</v>
      </c>
      <c r="E110" s="1">
        <v>89</v>
      </c>
      <c r="F110" s="1">
        <v>100</v>
      </c>
      <c r="G110" s="7">
        <v>0.09</v>
      </c>
      <c r="H110" s="1"/>
      <c r="I110" s="1" t="s">
        <v>37</v>
      </c>
      <c r="J110" s="1"/>
      <c r="K110" s="1">
        <v>103</v>
      </c>
      <c r="L110" s="1">
        <f t="shared" si="28"/>
        <v>-14</v>
      </c>
      <c r="M110" s="1"/>
      <c r="N110" s="1"/>
      <c r="O110" s="1">
        <v>0</v>
      </c>
      <c r="P110" s="1"/>
      <c r="Q110" s="1"/>
      <c r="R110" s="1">
        <f t="shared" si="29"/>
        <v>17.8</v>
      </c>
      <c r="S110" s="5">
        <f t="shared" ref="S110" si="32">10*R110-Q110-P110-O110-F110</f>
        <v>78</v>
      </c>
      <c r="T110" s="20"/>
      <c r="U110" s="20"/>
      <c r="V110" s="1">
        <f t="shared" si="30"/>
        <v>10</v>
      </c>
      <c r="W110" s="1">
        <f t="shared" si="31"/>
        <v>5.6179775280898872</v>
      </c>
      <c r="X110" s="1">
        <v>6</v>
      </c>
      <c r="Y110" s="1">
        <v>6</v>
      </c>
      <c r="Z110" s="1">
        <v>14.2</v>
      </c>
      <c r="AA110" s="1">
        <v>12.6</v>
      </c>
      <c r="AB110" s="1">
        <v>3.8</v>
      </c>
      <c r="AC110" s="1">
        <v>7.4</v>
      </c>
      <c r="AD110" s="1">
        <v>8</v>
      </c>
      <c r="AE110" s="1">
        <v>0</v>
      </c>
      <c r="AF110" s="1">
        <v>0</v>
      </c>
      <c r="AG110" s="1">
        <v>0</v>
      </c>
      <c r="AH110" s="1" t="s">
        <v>151</v>
      </c>
      <c r="AI110" s="1">
        <f>G110*S110</f>
        <v>7.02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35">
      <c r="A111" s="1" t="s">
        <v>152</v>
      </c>
      <c r="B111" s="1" t="s">
        <v>36</v>
      </c>
      <c r="C111" s="1">
        <v>90.353999999999999</v>
      </c>
      <c r="D111" s="1">
        <v>561.95799999999997</v>
      </c>
      <c r="E111" s="1">
        <v>109.95699999999999</v>
      </c>
      <c r="F111" s="1">
        <v>526.10699999999997</v>
      </c>
      <c r="G111" s="7">
        <v>1</v>
      </c>
      <c r="H111" s="1">
        <v>60</v>
      </c>
      <c r="I111" s="1" t="s">
        <v>37</v>
      </c>
      <c r="J111" s="1"/>
      <c r="K111" s="1">
        <v>112.5</v>
      </c>
      <c r="L111" s="1">
        <f t="shared" si="28"/>
        <v>-2.5430000000000064</v>
      </c>
      <c r="M111" s="1"/>
      <c r="N111" s="1"/>
      <c r="O111" s="1">
        <v>0</v>
      </c>
      <c r="P111" s="1"/>
      <c r="Q111" s="1"/>
      <c r="R111" s="1">
        <f t="shared" si="29"/>
        <v>21.991399999999999</v>
      </c>
      <c r="S111" s="5"/>
      <c r="T111" s="20"/>
      <c r="U111" s="20"/>
      <c r="V111" s="1">
        <f t="shared" si="30"/>
        <v>23.923306383404423</v>
      </c>
      <c r="W111" s="1">
        <f t="shared" si="31"/>
        <v>23.923306383404423</v>
      </c>
      <c r="X111" s="1">
        <v>8.8583999999999996</v>
      </c>
      <c r="Y111" s="1">
        <v>2.6758000000000002</v>
      </c>
      <c r="Z111" s="1">
        <v>38.171399999999998</v>
      </c>
      <c r="AA111" s="1">
        <v>43.339199999999998</v>
      </c>
      <c r="AB111" s="1">
        <v>23.119599999999998</v>
      </c>
      <c r="AC111" s="1">
        <v>16.192399999999999</v>
      </c>
      <c r="AD111" s="1">
        <v>24.320599999999999</v>
      </c>
      <c r="AE111" s="1">
        <v>34.040199999999999</v>
      </c>
      <c r="AF111" s="1">
        <v>26.383400000000002</v>
      </c>
      <c r="AG111" s="1">
        <v>17.169599999999999</v>
      </c>
      <c r="AH111" s="16" t="s">
        <v>97</v>
      </c>
      <c r="AI111" s="1">
        <f>G111*S111</f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35">
      <c r="A112" s="1" t="s">
        <v>153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17.5</v>
      </c>
      <c r="L112" s="1">
        <f t="shared" si="28"/>
        <v>-17.5</v>
      </c>
      <c r="M112" s="1"/>
      <c r="N112" s="1"/>
      <c r="O112" s="1">
        <v>0</v>
      </c>
      <c r="P112" s="1"/>
      <c r="Q112" s="1"/>
      <c r="R112" s="1">
        <f t="shared" si="29"/>
        <v>0</v>
      </c>
      <c r="S112" s="5"/>
      <c r="T112" s="20"/>
      <c r="U112" s="20"/>
      <c r="V112" s="1" t="e">
        <f t="shared" si="30"/>
        <v>#DIV/0!</v>
      </c>
      <c r="W112" s="1" t="e">
        <f t="shared" si="31"/>
        <v>#DIV/0!</v>
      </c>
      <c r="X112" s="1">
        <v>0</v>
      </c>
      <c r="Y112" s="1">
        <v>0</v>
      </c>
      <c r="Z112" s="1">
        <v>0</v>
      </c>
      <c r="AA112" s="1">
        <v>-0.2356</v>
      </c>
      <c r="AB112" s="1">
        <v>-0.3604</v>
      </c>
      <c r="AC112" s="1">
        <v>-0.12479999999999999</v>
      </c>
      <c r="AD112" s="1">
        <v>-0.17460000000000001</v>
      </c>
      <c r="AE112" s="1">
        <v>-0.35780000000000001</v>
      </c>
      <c r="AF112" s="1">
        <v>-0.1832</v>
      </c>
      <c r="AG112" s="1">
        <v>0.36159999999999998</v>
      </c>
      <c r="AH112" s="17" t="s">
        <v>94</v>
      </c>
      <c r="AI112" s="1">
        <f>G112*S112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35">
      <c r="A113" s="1" t="s">
        <v>154</v>
      </c>
      <c r="B113" s="1" t="s">
        <v>41</v>
      </c>
      <c r="C113" s="1">
        <v>6</v>
      </c>
      <c r="D113" s="1">
        <v>120</v>
      </c>
      <c r="E113" s="1">
        <v>10</v>
      </c>
      <c r="F113" s="1">
        <v>107</v>
      </c>
      <c r="G113" s="7">
        <v>0.09</v>
      </c>
      <c r="H113" s="1"/>
      <c r="I113" s="1" t="s">
        <v>37</v>
      </c>
      <c r="J113" s="1"/>
      <c r="K113" s="1">
        <v>15</v>
      </c>
      <c r="L113" s="1">
        <f t="shared" si="28"/>
        <v>-5</v>
      </c>
      <c r="M113" s="1"/>
      <c r="N113" s="1"/>
      <c r="O113" s="1">
        <v>0</v>
      </c>
      <c r="P113" s="1"/>
      <c r="Q113" s="1"/>
      <c r="R113" s="1">
        <f t="shared" si="29"/>
        <v>2</v>
      </c>
      <c r="S113" s="5"/>
      <c r="T113" s="20"/>
      <c r="U113" s="20"/>
      <c r="V113" s="1">
        <f t="shared" si="30"/>
        <v>53.5</v>
      </c>
      <c r="W113" s="1">
        <f t="shared" si="31"/>
        <v>53.5</v>
      </c>
      <c r="X113" s="1">
        <v>1.4</v>
      </c>
      <c r="Y113" s="1">
        <v>4</v>
      </c>
      <c r="Z113" s="1">
        <v>13.6</v>
      </c>
      <c r="AA113" s="1">
        <v>12.6</v>
      </c>
      <c r="AB113" s="1">
        <v>2.6</v>
      </c>
      <c r="AC113" s="1">
        <v>8.1999999999999993</v>
      </c>
      <c r="AD113" s="1">
        <v>8.1999999999999993</v>
      </c>
      <c r="AE113" s="1">
        <v>0</v>
      </c>
      <c r="AF113" s="1">
        <v>0</v>
      </c>
      <c r="AG113" s="1">
        <v>0</v>
      </c>
      <c r="AH113" s="1"/>
      <c r="AI113" s="1">
        <f>G113*S113</f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35">
      <c r="A114" s="10" t="s">
        <v>155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28"/>
        <v>0</v>
      </c>
      <c r="M114" s="10"/>
      <c r="N114" s="10"/>
      <c r="O114" s="10">
        <v>0</v>
      </c>
      <c r="P114" s="10"/>
      <c r="Q114" s="10"/>
      <c r="R114" s="10">
        <f t="shared" si="29"/>
        <v>0</v>
      </c>
      <c r="S114" s="12"/>
      <c r="T114" s="21"/>
      <c r="U114" s="21"/>
      <c r="V114" s="10" t="e">
        <f t="shared" si="30"/>
        <v>#DIV/0!</v>
      </c>
      <c r="W114" s="10" t="e">
        <f t="shared" si="31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42</v>
      </c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35">
      <c r="A115" s="1" t="s">
        <v>156</v>
      </c>
      <c r="B115" s="1" t="s">
        <v>36</v>
      </c>
      <c r="C115" s="1">
        <v>487.65899999999999</v>
      </c>
      <c r="D115" s="1">
        <v>312.774</v>
      </c>
      <c r="E115" s="1">
        <v>430.06900000000002</v>
      </c>
      <c r="F115" s="1">
        <v>309.238</v>
      </c>
      <c r="G115" s="7">
        <v>1</v>
      </c>
      <c r="H115" s="1">
        <v>60</v>
      </c>
      <c r="I115" s="1" t="s">
        <v>37</v>
      </c>
      <c r="J115" s="1"/>
      <c r="K115" s="1">
        <v>406.25</v>
      </c>
      <c r="L115" s="1">
        <f t="shared" si="28"/>
        <v>23.819000000000017</v>
      </c>
      <c r="M115" s="1"/>
      <c r="N115" s="1"/>
      <c r="O115" s="1">
        <v>139.087142</v>
      </c>
      <c r="P115" s="1"/>
      <c r="Q115" s="1"/>
      <c r="R115" s="1">
        <f t="shared" si="29"/>
        <v>86.013800000000003</v>
      </c>
      <c r="S115" s="5">
        <f t="shared" ref="S115:S124" si="33">10*R115-Q115-P115-O115-F115</f>
        <v>411.81285800000006</v>
      </c>
      <c r="T115" s="20"/>
      <c r="U115" s="20"/>
      <c r="V115" s="1">
        <f t="shared" si="30"/>
        <v>10.000000000000002</v>
      </c>
      <c r="W115" s="1">
        <f t="shared" si="31"/>
        <v>5.2122466627448159</v>
      </c>
      <c r="X115" s="1">
        <v>49.147399999999998</v>
      </c>
      <c r="Y115" s="1">
        <v>53.992400000000004</v>
      </c>
      <c r="Z115" s="1">
        <v>69.008799999999994</v>
      </c>
      <c r="AA115" s="1">
        <v>70.288600000000002</v>
      </c>
      <c r="AB115" s="1">
        <v>78.236599999999996</v>
      </c>
      <c r="AC115" s="1">
        <v>83.537400000000005</v>
      </c>
      <c r="AD115" s="1">
        <v>65.344999999999999</v>
      </c>
      <c r="AE115" s="1">
        <v>56.364999999999988</v>
      </c>
      <c r="AF115" s="1">
        <v>56.581600000000002</v>
      </c>
      <c r="AG115" s="1">
        <v>54.922800000000002</v>
      </c>
      <c r="AH115" s="1"/>
      <c r="AI115" s="1">
        <f t="shared" ref="AI115:AI126" si="34">G115*S115</f>
        <v>411.81285800000006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35">
      <c r="A116" s="1" t="s">
        <v>157</v>
      </c>
      <c r="B116" s="1" t="s">
        <v>36</v>
      </c>
      <c r="C116" s="1">
        <v>675.96100000000001</v>
      </c>
      <c r="D116" s="1">
        <v>482.39499999999998</v>
      </c>
      <c r="E116" s="1">
        <v>561.11099999999999</v>
      </c>
      <c r="F116" s="1">
        <v>532.84100000000001</v>
      </c>
      <c r="G116" s="7">
        <v>1</v>
      </c>
      <c r="H116" s="1">
        <v>60</v>
      </c>
      <c r="I116" s="1" t="s">
        <v>37</v>
      </c>
      <c r="J116" s="1"/>
      <c r="K116" s="1">
        <v>546.6</v>
      </c>
      <c r="L116" s="1">
        <f t="shared" si="28"/>
        <v>14.510999999999967</v>
      </c>
      <c r="M116" s="1"/>
      <c r="N116" s="1"/>
      <c r="O116" s="1">
        <v>192.81356</v>
      </c>
      <c r="P116" s="1"/>
      <c r="Q116" s="1"/>
      <c r="R116" s="1">
        <f t="shared" si="29"/>
        <v>112.2222</v>
      </c>
      <c r="S116" s="5">
        <f t="shared" si="33"/>
        <v>396.56743999999992</v>
      </c>
      <c r="T116" s="20"/>
      <c r="U116" s="20"/>
      <c r="V116" s="1">
        <f t="shared" si="30"/>
        <v>9.9999999999999982</v>
      </c>
      <c r="W116" s="1">
        <f t="shared" si="31"/>
        <v>6.4662300329168376</v>
      </c>
      <c r="X116" s="1">
        <v>68.132000000000005</v>
      </c>
      <c r="Y116" s="1">
        <v>70.727800000000002</v>
      </c>
      <c r="Z116" s="1">
        <v>89.804999999999993</v>
      </c>
      <c r="AA116" s="1">
        <v>93.597000000000008</v>
      </c>
      <c r="AB116" s="1">
        <v>92.200800000000001</v>
      </c>
      <c r="AC116" s="1">
        <v>92.7684</v>
      </c>
      <c r="AD116" s="1">
        <v>92.423599999999993</v>
      </c>
      <c r="AE116" s="1">
        <v>83.889399999999995</v>
      </c>
      <c r="AF116" s="1">
        <v>75.759</v>
      </c>
      <c r="AG116" s="1">
        <v>77.756200000000007</v>
      </c>
      <c r="AH116" s="1"/>
      <c r="AI116" s="1">
        <f t="shared" si="34"/>
        <v>396.56743999999992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35">
      <c r="A117" s="1" t="s">
        <v>158</v>
      </c>
      <c r="B117" s="1" t="s">
        <v>36</v>
      </c>
      <c r="C117" s="1">
        <v>364.483</v>
      </c>
      <c r="D117" s="1">
        <v>76.305000000000007</v>
      </c>
      <c r="E117" s="1">
        <v>217.286</v>
      </c>
      <c r="F117" s="1">
        <v>192.238</v>
      </c>
      <c r="G117" s="7">
        <v>1</v>
      </c>
      <c r="H117" s="1">
        <v>60</v>
      </c>
      <c r="I117" s="1" t="s">
        <v>37</v>
      </c>
      <c r="J117" s="1"/>
      <c r="K117" s="1">
        <v>208.1</v>
      </c>
      <c r="L117" s="1">
        <f t="shared" si="28"/>
        <v>9.186000000000007</v>
      </c>
      <c r="M117" s="1"/>
      <c r="N117" s="1"/>
      <c r="O117" s="1">
        <v>0</v>
      </c>
      <c r="P117" s="1"/>
      <c r="Q117" s="1"/>
      <c r="R117" s="1">
        <f t="shared" si="29"/>
        <v>43.4572</v>
      </c>
      <c r="S117" s="5">
        <f>9*R117-Q117-P117-O117-F117</f>
        <v>198.8768</v>
      </c>
      <c r="T117" s="20"/>
      <c r="U117" s="20"/>
      <c r="V117" s="1">
        <f t="shared" si="30"/>
        <v>9</v>
      </c>
      <c r="W117" s="1">
        <f t="shared" si="31"/>
        <v>4.4236167999779097</v>
      </c>
      <c r="X117" s="1">
        <v>25.361000000000001</v>
      </c>
      <c r="Y117" s="1">
        <v>30.110399999999998</v>
      </c>
      <c r="Z117" s="1">
        <v>35.292999999999999</v>
      </c>
      <c r="AA117" s="1">
        <v>31.552</v>
      </c>
      <c r="AB117" s="1">
        <v>45.125</v>
      </c>
      <c r="AC117" s="1">
        <v>47.799799999999998</v>
      </c>
      <c r="AD117" s="1">
        <v>34.2012</v>
      </c>
      <c r="AE117" s="1">
        <v>29.3096</v>
      </c>
      <c r="AF117" s="1">
        <v>30.529399999999999</v>
      </c>
      <c r="AG117" s="1">
        <v>31.781199999999998</v>
      </c>
      <c r="AH117" s="1"/>
      <c r="AI117" s="1">
        <f t="shared" si="34"/>
        <v>198.8768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35">
      <c r="A118" s="1" t="s">
        <v>159</v>
      </c>
      <c r="B118" s="1" t="s">
        <v>36</v>
      </c>
      <c r="C118" s="1">
        <v>2481.2350000000001</v>
      </c>
      <c r="D118" s="1">
        <v>1172.751</v>
      </c>
      <c r="E118" s="1">
        <v>1499.549</v>
      </c>
      <c r="F118" s="1">
        <v>1850.4970000000001</v>
      </c>
      <c r="G118" s="7">
        <v>1</v>
      </c>
      <c r="H118" s="1">
        <v>60</v>
      </c>
      <c r="I118" s="1" t="s">
        <v>37</v>
      </c>
      <c r="J118" s="1"/>
      <c r="K118" s="1">
        <v>1467.4</v>
      </c>
      <c r="L118" s="1">
        <f t="shared" si="28"/>
        <v>32.148999999999887</v>
      </c>
      <c r="M118" s="1"/>
      <c r="N118" s="1"/>
      <c r="O118" s="1">
        <v>894.71354917300005</v>
      </c>
      <c r="P118" s="1"/>
      <c r="Q118" s="1"/>
      <c r="R118" s="1">
        <f t="shared" si="29"/>
        <v>299.90980000000002</v>
      </c>
      <c r="S118" s="5">
        <f t="shared" ref="S118" si="35">9.5*R118-Q118-P118-O118-F118</f>
        <v>103.93255082700011</v>
      </c>
      <c r="T118" s="20"/>
      <c r="U118" s="20"/>
      <c r="V118" s="1">
        <f t="shared" si="30"/>
        <v>9.5</v>
      </c>
      <c r="W118" s="1">
        <f t="shared" si="31"/>
        <v>9.1534539690700321</v>
      </c>
      <c r="X118" s="1">
        <v>264.20240000000001</v>
      </c>
      <c r="Y118" s="1">
        <v>254.80359999999999</v>
      </c>
      <c r="Z118" s="1">
        <v>300.63580000000002</v>
      </c>
      <c r="AA118" s="1">
        <v>316.26139999999998</v>
      </c>
      <c r="AB118" s="1">
        <v>312.13819999999998</v>
      </c>
      <c r="AC118" s="1">
        <v>312.54939999999999</v>
      </c>
      <c r="AD118" s="1">
        <v>297.05020000000002</v>
      </c>
      <c r="AE118" s="1">
        <v>289.678</v>
      </c>
      <c r="AF118" s="1">
        <v>290.18599999999998</v>
      </c>
      <c r="AG118" s="1">
        <v>287.87099999999998</v>
      </c>
      <c r="AH118" s="1"/>
      <c r="AI118" s="1">
        <f t="shared" si="34"/>
        <v>103.93255082700011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35">
      <c r="A119" s="1" t="s">
        <v>160</v>
      </c>
      <c r="B119" s="1" t="s">
        <v>41</v>
      </c>
      <c r="C119" s="1">
        <v>423</v>
      </c>
      <c r="D119" s="1"/>
      <c r="E119" s="1">
        <v>37</v>
      </c>
      <c r="F119" s="1">
        <v>377</v>
      </c>
      <c r="G119" s="7">
        <v>0.25</v>
      </c>
      <c r="H119" s="1">
        <v>1096</v>
      </c>
      <c r="I119" s="1" t="s">
        <v>37</v>
      </c>
      <c r="J119" s="1"/>
      <c r="K119" s="1">
        <v>35</v>
      </c>
      <c r="L119" s="1">
        <f t="shared" si="28"/>
        <v>2</v>
      </c>
      <c r="M119" s="1"/>
      <c r="N119" s="1"/>
      <c r="O119" s="1">
        <v>0</v>
      </c>
      <c r="P119" s="1"/>
      <c r="Q119" s="1"/>
      <c r="R119" s="1">
        <f t="shared" si="29"/>
        <v>7.4</v>
      </c>
      <c r="S119" s="5"/>
      <c r="T119" s="20"/>
      <c r="U119" s="20"/>
      <c r="V119" s="1">
        <f t="shared" si="30"/>
        <v>50.945945945945944</v>
      </c>
      <c r="W119" s="1">
        <f t="shared" si="31"/>
        <v>50.945945945945944</v>
      </c>
      <c r="X119" s="1">
        <v>3.2</v>
      </c>
      <c r="Y119" s="1">
        <v>4.2</v>
      </c>
      <c r="Z119" s="1">
        <v>5.8</v>
      </c>
      <c r="AA119" s="1">
        <v>8</v>
      </c>
      <c r="AB119" s="1">
        <v>4.2</v>
      </c>
      <c r="AC119" s="1">
        <v>0</v>
      </c>
      <c r="AD119" s="1">
        <v>0</v>
      </c>
      <c r="AE119" s="1">
        <v>0</v>
      </c>
      <c r="AF119" s="1">
        <v>23.2</v>
      </c>
      <c r="AG119" s="1">
        <v>40.4</v>
      </c>
      <c r="AH119" s="17" t="s">
        <v>94</v>
      </c>
      <c r="AI119" s="1">
        <f t="shared" si="34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35">
      <c r="A120" s="1" t="s">
        <v>161</v>
      </c>
      <c r="B120" s="1" t="s">
        <v>41</v>
      </c>
      <c r="C120" s="1">
        <v>399</v>
      </c>
      <c r="D120" s="1">
        <v>50</v>
      </c>
      <c r="E120" s="1">
        <v>34</v>
      </c>
      <c r="F120" s="1">
        <v>408</v>
      </c>
      <c r="G120" s="7">
        <v>0.32500000000000001</v>
      </c>
      <c r="H120" s="1">
        <v>1096</v>
      </c>
      <c r="I120" s="1" t="s">
        <v>37</v>
      </c>
      <c r="J120" s="1"/>
      <c r="K120" s="1">
        <v>34</v>
      </c>
      <c r="L120" s="1">
        <f t="shared" si="28"/>
        <v>0</v>
      </c>
      <c r="M120" s="1"/>
      <c r="N120" s="1"/>
      <c r="O120" s="1">
        <v>0</v>
      </c>
      <c r="P120" s="1"/>
      <c r="Q120" s="1"/>
      <c r="R120" s="1">
        <f t="shared" si="29"/>
        <v>6.8</v>
      </c>
      <c r="S120" s="5"/>
      <c r="T120" s="20"/>
      <c r="U120" s="20"/>
      <c r="V120" s="1">
        <f t="shared" si="30"/>
        <v>60</v>
      </c>
      <c r="W120" s="1">
        <f t="shared" si="31"/>
        <v>60</v>
      </c>
      <c r="X120" s="1">
        <v>4.4000000000000004</v>
      </c>
      <c r="Y120" s="1">
        <v>7</v>
      </c>
      <c r="Z120" s="1">
        <v>5.6</v>
      </c>
      <c r="AA120" s="1">
        <v>5.4</v>
      </c>
      <c r="AB120" s="1">
        <v>3.4</v>
      </c>
      <c r="AC120" s="1">
        <v>0</v>
      </c>
      <c r="AD120" s="1">
        <v>0.4</v>
      </c>
      <c r="AE120" s="1">
        <v>3.6</v>
      </c>
      <c r="AF120" s="1">
        <v>24</v>
      </c>
      <c r="AG120" s="1">
        <v>36.799999999999997</v>
      </c>
      <c r="AH120" s="17" t="s">
        <v>94</v>
      </c>
      <c r="AI120" s="1">
        <f t="shared" si="34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35">
      <c r="A121" s="1" t="s">
        <v>162</v>
      </c>
      <c r="B121" s="1" t="s">
        <v>41</v>
      </c>
      <c r="C121" s="1">
        <v>82</v>
      </c>
      <c r="D121" s="1"/>
      <c r="E121" s="1">
        <v>33</v>
      </c>
      <c r="F121" s="1">
        <v>30</v>
      </c>
      <c r="G121" s="7">
        <v>0.25</v>
      </c>
      <c r="H121" s="1">
        <v>1096</v>
      </c>
      <c r="I121" s="1" t="s">
        <v>37</v>
      </c>
      <c r="J121" s="1"/>
      <c r="K121" s="1">
        <v>30</v>
      </c>
      <c r="L121" s="1">
        <f t="shared" si="28"/>
        <v>3</v>
      </c>
      <c r="M121" s="1"/>
      <c r="N121" s="1"/>
      <c r="O121" s="1">
        <v>200</v>
      </c>
      <c r="P121" s="1"/>
      <c r="Q121" s="1"/>
      <c r="R121" s="1">
        <f t="shared" si="29"/>
        <v>6.6</v>
      </c>
      <c r="S121" s="5"/>
      <c r="T121" s="20"/>
      <c r="U121" s="20"/>
      <c r="V121" s="1">
        <f t="shared" si="30"/>
        <v>34.848484848484851</v>
      </c>
      <c r="W121" s="1">
        <f t="shared" si="31"/>
        <v>34.848484848484851</v>
      </c>
      <c r="X121" s="1">
        <v>3.6</v>
      </c>
      <c r="Y121" s="1">
        <v>3.2</v>
      </c>
      <c r="Z121" s="1">
        <v>5.2</v>
      </c>
      <c r="AA121" s="1">
        <v>7.8</v>
      </c>
      <c r="AB121" s="1">
        <v>6.4</v>
      </c>
      <c r="AC121" s="1">
        <v>2.6</v>
      </c>
      <c r="AD121" s="1">
        <v>0.4</v>
      </c>
      <c r="AE121" s="1">
        <v>9.4</v>
      </c>
      <c r="AF121" s="1">
        <v>29.8</v>
      </c>
      <c r="AG121" s="1">
        <v>30.2</v>
      </c>
      <c r="AH121" s="1" t="s">
        <v>163</v>
      </c>
      <c r="AI121" s="1">
        <f t="shared" si="34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35">
      <c r="A122" s="15" t="s">
        <v>164</v>
      </c>
      <c r="B122" s="1" t="s">
        <v>41</v>
      </c>
      <c r="C122" s="1"/>
      <c r="D122" s="1">
        <v>144</v>
      </c>
      <c r="E122" s="1">
        <v>85</v>
      </c>
      <c r="F122" s="1"/>
      <c r="G122" s="7">
        <v>0.3</v>
      </c>
      <c r="H122" s="1">
        <v>40</v>
      </c>
      <c r="I122" s="9" t="s">
        <v>48</v>
      </c>
      <c r="J122" s="1"/>
      <c r="K122" s="1">
        <v>107</v>
      </c>
      <c r="L122" s="1">
        <f t="shared" si="28"/>
        <v>-22</v>
      </c>
      <c r="M122" s="1"/>
      <c r="N122" s="1"/>
      <c r="O122" s="1">
        <v>50</v>
      </c>
      <c r="P122" s="1">
        <v>-54</v>
      </c>
      <c r="Q122" s="1"/>
      <c r="R122" s="1">
        <f t="shared" si="29"/>
        <v>17</v>
      </c>
      <c r="S122" s="5">
        <v>100</v>
      </c>
      <c r="T122" s="20"/>
      <c r="U122" s="20"/>
      <c r="V122" s="1">
        <f t="shared" si="30"/>
        <v>5.6470588235294121</v>
      </c>
      <c r="W122" s="1">
        <f t="shared" si="31"/>
        <v>-0.23529411764705882</v>
      </c>
      <c r="X122" s="1">
        <v>-2.4</v>
      </c>
      <c r="Y122" s="1">
        <v>-1.4</v>
      </c>
      <c r="Z122" s="1">
        <v>-1.6</v>
      </c>
      <c r="AA122" s="1">
        <v>-1</v>
      </c>
      <c r="AB122" s="1">
        <v>74.599999999999994</v>
      </c>
      <c r="AC122" s="1">
        <v>112.4</v>
      </c>
      <c r="AD122" s="1">
        <v>109.2</v>
      </c>
      <c r="AE122" s="1">
        <v>112</v>
      </c>
      <c r="AF122" s="1">
        <v>42.2</v>
      </c>
      <c r="AG122" s="1">
        <v>25.4</v>
      </c>
      <c r="AH122" s="1"/>
      <c r="AI122" s="1">
        <f t="shared" si="34"/>
        <v>30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35">
      <c r="A123" s="15" t="s">
        <v>165</v>
      </c>
      <c r="B123" s="1" t="s">
        <v>41</v>
      </c>
      <c r="C123" s="1"/>
      <c r="D123" s="1"/>
      <c r="E123" s="1">
        <v>-21</v>
      </c>
      <c r="F123" s="1"/>
      <c r="G123" s="7">
        <v>0.3</v>
      </c>
      <c r="H123" s="1">
        <v>40</v>
      </c>
      <c r="I123" s="9" t="s">
        <v>48</v>
      </c>
      <c r="J123" s="1"/>
      <c r="K123" s="1">
        <v>9</v>
      </c>
      <c r="L123" s="1">
        <f t="shared" si="28"/>
        <v>-30</v>
      </c>
      <c r="M123" s="1"/>
      <c r="N123" s="1"/>
      <c r="O123" s="1">
        <v>50</v>
      </c>
      <c r="P123" s="1">
        <v>-54</v>
      </c>
      <c r="Q123" s="1"/>
      <c r="R123" s="1">
        <f t="shared" si="29"/>
        <v>-4.2</v>
      </c>
      <c r="S123" s="5">
        <v>50</v>
      </c>
      <c r="T123" s="20"/>
      <c r="U123" s="20"/>
      <c r="V123" s="1">
        <f t="shared" si="30"/>
        <v>-10.952380952380953</v>
      </c>
      <c r="W123" s="1">
        <f t="shared" si="31"/>
        <v>0.95238095238095233</v>
      </c>
      <c r="X123" s="1">
        <v>-3.2</v>
      </c>
      <c r="Y123" s="1">
        <v>-1.8</v>
      </c>
      <c r="Z123" s="1">
        <v>-2.8</v>
      </c>
      <c r="AA123" s="1">
        <v>-3</v>
      </c>
      <c r="AB123" s="1">
        <v>-2</v>
      </c>
      <c r="AC123" s="1">
        <v>-2.4</v>
      </c>
      <c r="AD123" s="1">
        <v>24.4</v>
      </c>
      <c r="AE123" s="1">
        <v>53.6</v>
      </c>
      <c r="AF123" s="1">
        <v>89.4</v>
      </c>
      <c r="AG123" s="1">
        <v>93</v>
      </c>
      <c r="AH123" s="1"/>
      <c r="AI123" s="1">
        <f t="shared" si="34"/>
        <v>15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35">
      <c r="A124" s="1" t="s">
        <v>166</v>
      </c>
      <c r="B124" s="1" t="s">
        <v>36</v>
      </c>
      <c r="C124" s="1">
        <v>464.81599999999997</v>
      </c>
      <c r="D124" s="1">
        <v>154.791</v>
      </c>
      <c r="E124" s="1">
        <v>254.65600000000001</v>
      </c>
      <c r="F124" s="1">
        <v>328.161</v>
      </c>
      <c r="G124" s="7">
        <v>1</v>
      </c>
      <c r="H124" s="1">
        <v>50</v>
      </c>
      <c r="I124" s="1" t="s">
        <v>37</v>
      </c>
      <c r="J124" s="1"/>
      <c r="K124" s="1">
        <v>250.5</v>
      </c>
      <c r="L124" s="1">
        <f t="shared" si="28"/>
        <v>4.1560000000000059</v>
      </c>
      <c r="M124" s="1"/>
      <c r="N124" s="1"/>
      <c r="O124" s="1">
        <v>114.88102000000001</v>
      </c>
      <c r="P124" s="1"/>
      <c r="Q124" s="1"/>
      <c r="R124" s="1">
        <f t="shared" si="29"/>
        <v>50.931200000000004</v>
      </c>
      <c r="S124" s="5">
        <f t="shared" si="33"/>
        <v>66.269979999999975</v>
      </c>
      <c r="T124" s="20"/>
      <c r="U124" s="20"/>
      <c r="V124" s="1">
        <f t="shared" si="30"/>
        <v>9.9999999999999982</v>
      </c>
      <c r="W124" s="1">
        <f t="shared" si="31"/>
        <v>8.6988333280975105</v>
      </c>
      <c r="X124" s="1">
        <v>40.594000000000001</v>
      </c>
      <c r="Y124" s="1">
        <v>43.313800000000001</v>
      </c>
      <c r="Z124" s="1">
        <v>51.1004</v>
      </c>
      <c r="AA124" s="1">
        <v>57.784999999999997</v>
      </c>
      <c r="AB124" s="1">
        <v>63.404400000000003</v>
      </c>
      <c r="AC124" s="1">
        <v>59.213000000000001</v>
      </c>
      <c r="AD124" s="1">
        <v>48.825200000000002</v>
      </c>
      <c r="AE124" s="1">
        <v>45.4114</v>
      </c>
      <c r="AF124" s="1">
        <v>53.256399999999999</v>
      </c>
      <c r="AG124" s="1">
        <v>58.144799999999996</v>
      </c>
      <c r="AH124" s="1"/>
      <c r="AI124" s="1">
        <f t="shared" si="34"/>
        <v>66.269979999999975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35">
      <c r="A125" s="15" t="s">
        <v>167</v>
      </c>
      <c r="B125" s="1" t="s">
        <v>41</v>
      </c>
      <c r="C125" s="1">
        <v>18</v>
      </c>
      <c r="D125" s="1"/>
      <c r="E125" s="1">
        <v>8</v>
      </c>
      <c r="F125" s="1">
        <v>1</v>
      </c>
      <c r="G125" s="7">
        <v>0.3</v>
      </c>
      <c r="H125" s="1">
        <v>40</v>
      </c>
      <c r="I125" s="9" t="s">
        <v>48</v>
      </c>
      <c r="J125" s="1"/>
      <c r="K125" s="1">
        <v>229</v>
      </c>
      <c r="L125" s="1">
        <f t="shared" si="28"/>
        <v>-221</v>
      </c>
      <c r="M125" s="1"/>
      <c r="N125" s="1"/>
      <c r="O125" s="1">
        <v>100</v>
      </c>
      <c r="P125" s="1">
        <v>-102</v>
      </c>
      <c r="Q125" s="1"/>
      <c r="R125" s="1">
        <f t="shared" si="29"/>
        <v>1.6</v>
      </c>
      <c r="S125" s="5">
        <v>100</v>
      </c>
      <c r="T125" s="20"/>
      <c r="U125" s="20"/>
      <c r="V125" s="1">
        <f t="shared" si="30"/>
        <v>61.875</v>
      </c>
      <c r="W125" s="1">
        <f t="shared" si="31"/>
        <v>-0.625</v>
      </c>
      <c r="X125" s="1">
        <v>17.2</v>
      </c>
      <c r="Y125" s="1">
        <v>42.4</v>
      </c>
      <c r="Z125" s="1">
        <v>33.799999999999997</v>
      </c>
      <c r="AA125" s="1">
        <v>44.6</v>
      </c>
      <c r="AB125" s="1">
        <v>75.2</v>
      </c>
      <c r="AC125" s="1">
        <v>37.6</v>
      </c>
      <c r="AD125" s="1">
        <v>25.8</v>
      </c>
      <c r="AE125" s="1">
        <v>48.8</v>
      </c>
      <c r="AF125" s="1">
        <v>63.2</v>
      </c>
      <c r="AG125" s="1">
        <v>63.4</v>
      </c>
      <c r="AH125" s="1"/>
      <c r="AI125" s="1">
        <f t="shared" si="34"/>
        <v>30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35">
      <c r="A126" s="1" t="s">
        <v>168</v>
      </c>
      <c r="B126" s="1" t="s">
        <v>41</v>
      </c>
      <c r="C126" s="1">
        <v>7</v>
      </c>
      <c r="D126" s="1">
        <v>90</v>
      </c>
      <c r="E126" s="1">
        <v>52</v>
      </c>
      <c r="F126" s="1">
        <v>44</v>
      </c>
      <c r="G126" s="7">
        <v>0.12</v>
      </c>
      <c r="H126" s="1">
        <v>45</v>
      </c>
      <c r="I126" s="9" t="s">
        <v>48</v>
      </c>
      <c r="J126" s="1"/>
      <c r="K126" s="1">
        <v>73</v>
      </c>
      <c r="L126" s="1">
        <f t="shared" si="28"/>
        <v>-21</v>
      </c>
      <c r="M126" s="1"/>
      <c r="N126" s="1"/>
      <c r="O126" s="1">
        <v>40</v>
      </c>
      <c r="P126" s="1">
        <v>-45.000000000000007</v>
      </c>
      <c r="Q126" s="1"/>
      <c r="R126" s="1">
        <f t="shared" si="29"/>
        <v>10.4</v>
      </c>
      <c r="S126" s="5">
        <v>50</v>
      </c>
      <c r="T126" s="20"/>
      <c r="U126" s="20"/>
      <c r="V126" s="1">
        <f t="shared" si="30"/>
        <v>8.5576923076923066</v>
      </c>
      <c r="W126" s="1">
        <f t="shared" si="31"/>
        <v>3.7499999999999991</v>
      </c>
      <c r="X126" s="1">
        <v>9.1999999999999993</v>
      </c>
      <c r="Y126" s="1">
        <v>12.4</v>
      </c>
      <c r="Z126" s="1">
        <v>20.6</v>
      </c>
      <c r="AA126" s="1">
        <v>19.8</v>
      </c>
      <c r="AB126" s="1">
        <v>13.6</v>
      </c>
      <c r="AC126" s="1">
        <v>12.4</v>
      </c>
      <c r="AD126" s="1">
        <v>11.6</v>
      </c>
      <c r="AE126" s="1">
        <v>13.4</v>
      </c>
      <c r="AF126" s="1">
        <v>14.2</v>
      </c>
      <c r="AG126" s="1">
        <v>11.8</v>
      </c>
      <c r="AH126" s="1"/>
      <c r="AI126" s="1">
        <f t="shared" si="34"/>
        <v>6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35">
      <c r="A127" s="10" t="s">
        <v>169</v>
      </c>
      <c r="B127" s="10" t="s">
        <v>41</v>
      </c>
      <c r="C127" s="10"/>
      <c r="D127" s="10">
        <v>150</v>
      </c>
      <c r="E127" s="13">
        <v>47</v>
      </c>
      <c r="F127" s="13">
        <v>95</v>
      </c>
      <c r="G127" s="11">
        <v>0</v>
      </c>
      <c r="H127" s="10"/>
      <c r="I127" s="10" t="s">
        <v>170</v>
      </c>
      <c r="J127" s="10" t="s">
        <v>91</v>
      </c>
      <c r="K127" s="10">
        <v>52</v>
      </c>
      <c r="L127" s="10">
        <f t="shared" si="28"/>
        <v>-5</v>
      </c>
      <c r="M127" s="10"/>
      <c r="N127" s="10"/>
      <c r="O127" s="10">
        <v>0</v>
      </c>
      <c r="P127" s="10"/>
      <c r="Q127" s="10"/>
      <c r="R127" s="10">
        <f t="shared" si="29"/>
        <v>9.4</v>
      </c>
      <c r="S127" s="12"/>
      <c r="T127" s="21"/>
      <c r="U127" s="21"/>
      <c r="V127" s="10">
        <f t="shared" si="30"/>
        <v>10.106382978723405</v>
      </c>
      <c r="W127" s="10">
        <f t="shared" si="31"/>
        <v>10.106382978723405</v>
      </c>
      <c r="X127" s="10">
        <v>0.8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35">
      <c r="A128" s="10" t="s">
        <v>171</v>
      </c>
      <c r="B128" s="10" t="s">
        <v>41</v>
      </c>
      <c r="C128" s="10">
        <v>50</v>
      </c>
      <c r="D128" s="10">
        <v>1</v>
      </c>
      <c r="E128" s="10"/>
      <c r="F128" s="10"/>
      <c r="G128" s="11">
        <v>0</v>
      </c>
      <c r="H128" s="10"/>
      <c r="I128" s="10" t="s">
        <v>170</v>
      </c>
      <c r="J128" s="10" t="s">
        <v>161</v>
      </c>
      <c r="K128" s="10">
        <v>3</v>
      </c>
      <c r="L128" s="10">
        <f t="shared" si="28"/>
        <v>-3</v>
      </c>
      <c r="M128" s="10"/>
      <c r="N128" s="10"/>
      <c r="O128" s="10">
        <v>0</v>
      </c>
      <c r="P128" s="10"/>
      <c r="Q128" s="10"/>
      <c r="R128" s="10">
        <f t="shared" si="29"/>
        <v>0</v>
      </c>
      <c r="S128" s="12"/>
      <c r="T128" s="21"/>
      <c r="U128" s="21"/>
      <c r="V128" s="10" t="e">
        <f t="shared" si="30"/>
        <v>#DIV/0!</v>
      </c>
      <c r="W128" s="10" t="e">
        <f t="shared" si="31"/>
        <v>#DIV/0!</v>
      </c>
      <c r="X128" s="10">
        <v>0.2</v>
      </c>
      <c r="Y128" s="10">
        <v>0.4</v>
      </c>
      <c r="Z128" s="10">
        <v>0.4</v>
      </c>
      <c r="AA128" s="10">
        <v>0.4</v>
      </c>
      <c r="AB128" s="10">
        <v>0.2</v>
      </c>
      <c r="AC128" s="10">
        <v>0</v>
      </c>
      <c r="AD128" s="10">
        <v>0</v>
      </c>
      <c r="AE128" s="10">
        <v>0</v>
      </c>
      <c r="AF128" s="10">
        <v>1</v>
      </c>
      <c r="AG128" s="10">
        <v>1</v>
      </c>
      <c r="AH128" s="10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35">
      <c r="A129" s="10" t="s">
        <v>172</v>
      </c>
      <c r="B129" s="10" t="s">
        <v>36</v>
      </c>
      <c r="C129" s="10"/>
      <c r="D129" s="10">
        <v>96.81</v>
      </c>
      <c r="E129" s="10"/>
      <c r="F129" s="10">
        <v>96.81</v>
      </c>
      <c r="G129" s="11">
        <v>0</v>
      </c>
      <c r="H129" s="10"/>
      <c r="I129" s="10" t="s">
        <v>173</v>
      </c>
      <c r="J129" s="10"/>
      <c r="K129" s="10"/>
      <c r="L129" s="10">
        <f t="shared" si="28"/>
        <v>0</v>
      </c>
      <c r="M129" s="10"/>
      <c r="N129" s="10"/>
      <c r="O129" s="10"/>
      <c r="P129" s="10"/>
      <c r="Q129" s="10"/>
      <c r="R129" s="10">
        <f t="shared" si="29"/>
        <v>0</v>
      </c>
      <c r="S129" s="12"/>
      <c r="T129" s="21"/>
      <c r="U129" s="21"/>
      <c r="V129" s="10" t="e">
        <f t="shared" si="30"/>
        <v>#DIV/0!</v>
      </c>
      <c r="W129" s="10" t="e">
        <f t="shared" si="31"/>
        <v>#DIV/0!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 t="s">
        <v>174</v>
      </c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</sheetData>
  <autoFilter ref="A3:AI129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2026-09-08T12:17:36Z</dcterms:created>
  <dcterms:modified xsi:type="dcterms:W3CDTF">2026-09-09T06:14:51Z</dcterms:modified>
</cp:coreProperties>
</file>