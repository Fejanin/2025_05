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A8CBC2EA-4192-4217-916A-12BA1DBCB2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31,08" sheetId="2" r:id="rId2"/>
  </sheets>
  <externalReferences>
    <externalReference r:id="rId3"/>
  </externalReferences>
  <definedNames>
    <definedName name="_xlnm._FilterDatabase" localSheetId="0" hidden="1">Sheet!$A$3:$AN$130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5" i="2" l="1"/>
  <c r="B25" i="2"/>
  <c r="H24" i="2"/>
  <c r="B24" i="2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V130" i="1"/>
  <c r="T130" i="1"/>
  <c r="AA130" i="1" s="1"/>
  <c r="L130" i="1"/>
  <c r="V129" i="1"/>
  <c r="T129" i="1"/>
  <c r="AA129" i="1" s="1"/>
  <c r="L129" i="1"/>
  <c r="V128" i="1"/>
  <c r="T128" i="1"/>
  <c r="AA128" i="1" s="1"/>
  <c r="L128" i="1"/>
  <c r="V127" i="1"/>
  <c r="T127" i="1"/>
  <c r="AA127" i="1" s="1"/>
  <c r="L127" i="1"/>
  <c r="V126" i="1"/>
  <c r="T126" i="1"/>
  <c r="AA126" i="1" s="1"/>
  <c r="L126" i="1"/>
  <c r="V125" i="1"/>
  <c r="T125" i="1"/>
  <c r="AA125" i="1" s="1"/>
  <c r="L125" i="1"/>
  <c r="V124" i="1"/>
  <c r="T124" i="1"/>
  <c r="AA124" i="1" s="1"/>
  <c r="L124" i="1"/>
  <c r="V123" i="1"/>
  <c r="T123" i="1"/>
  <c r="AA123" i="1" s="1"/>
  <c r="L123" i="1"/>
  <c r="AM122" i="1"/>
  <c r="Y122" i="1"/>
  <c r="X122" i="1"/>
  <c r="E122" i="1"/>
  <c r="L122" i="1" s="1"/>
  <c r="V121" i="1"/>
  <c r="T121" i="1"/>
  <c r="AA121" i="1" s="1"/>
  <c r="L121" i="1"/>
  <c r="V120" i="1"/>
  <c r="T120" i="1"/>
  <c r="AA120" i="1" s="1"/>
  <c r="L120" i="1"/>
  <c r="V119" i="1"/>
  <c r="T119" i="1"/>
  <c r="AA119" i="1" s="1"/>
  <c r="L119" i="1"/>
  <c r="AM118" i="1"/>
  <c r="Y118" i="1"/>
  <c r="X118" i="1"/>
  <c r="T118" i="1"/>
  <c r="L118" i="1"/>
  <c r="T117" i="1"/>
  <c r="AA117" i="1" s="1"/>
  <c r="L117" i="1"/>
  <c r="T116" i="1"/>
  <c r="U116" i="1" s="1"/>
  <c r="V116" i="1" s="1"/>
  <c r="L116" i="1"/>
  <c r="T115" i="1"/>
  <c r="AA115" i="1" s="1"/>
  <c r="L115" i="1"/>
  <c r="T114" i="1"/>
  <c r="U114" i="1" s="1"/>
  <c r="V114" i="1" s="1"/>
  <c r="L114" i="1"/>
  <c r="V113" i="1"/>
  <c r="AM113" i="1" s="1"/>
  <c r="T113" i="1"/>
  <c r="AA113" i="1" s="1"/>
  <c r="L113" i="1"/>
  <c r="T112" i="1"/>
  <c r="AA112" i="1" s="1"/>
  <c r="L112" i="1"/>
  <c r="AM111" i="1"/>
  <c r="X111" i="1"/>
  <c r="T111" i="1"/>
  <c r="Z111" i="1" s="1"/>
  <c r="L111" i="1"/>
  <c r="AM110" i="1"/>
  <c r="X110" i="1"/>
  <c r="T110" i="1"/>
  <c r="Z110" i="1" s="1"/>
  <c r="L110" i="1"/>
  <c r="AM109" i="1"/>
  <c r="X109" i="1"/>
  <c r="T109" i="1"/>
  <c r="Z109" i="1" s="1"/>
  <c r="L109" i="1"/>
  <c r="V108" i="1"/>
  <c r="T108" i="1"/>
  <c r="AA108" i="1" s="1"/>
  <c r="L108" i="1"/>
  <c r="V107" i="1"/>
  <c r="T107" i="1"/>
  <c r="AA107" i="1" s="1"/>
  <c r="L107" i="1"/>
  <c r="AM106" i="1"/>
  <c r="Y106" i="1"/>
  <c r="X106" i="1"/>
  <c r="T106" i="1"/>
  <c r="Z106" i="1" s="1"/>
  <c r="L106" i="1"/>
  <c r="AM105" i="1"/>
  <c r="Y105" i="1"/>
  <c r="X105" i="1"/>
  <c r="T105" i="1"/>
  <c r="AA105" i="1" s="1"/>
  <c r="L105" i="1"/>
  <c r="AM104" i="1"/>
  <c r="Y104" i="1"/>
  <c r="X104" i="1"/>
  <c r="T104" i="1"/>
  <c r="Z104" i="1" s="1"/>
  <c r="L104" i="1"/>
  <c r="V103" i="1"/>
  <c r="AM103" i="1" s="1"/>
  <c r="T103" i="1"/>
  <c r="AA103" i="1" s="1"/>
  <c r="L103" i="1"/>
  <c r="T102" i="1"/>
  <c r="AA102" i="1" s="1"/>
  <c r="L102" i="1"/>
  <c r="T101" i="1"/>
  <c r="U101" i="1" s="1"/>
  <c r="V101" i="1" s="1"/>
  <c r="L101" i="1"/>
  <c r="V100" i="1"/>
  <c r="AM100" i="1" s="1"/>
  <c r="T100" i="1"/>
  <c r="AA100" i="1" s="1"/>
  <c r="L100" i="1"/>
  <c r="V99" i="1"/>
  <c r="AM99" i="1" s="1"/>
  <c r="T99" i="1"/>
  <c r="AA99" i="1" s="1"/>
  <c r="L99" i="1"/>
  <c r="V98" i="1"/>
  <c r="AM98" i="1" s="1"/>
  <c r="T98" i="1"/>
  <c r="AA98" i="1" s="1"/>
  <c r="L98" i="1"/>
  <c r="V97" i="1"/>
  <c r="AM97" i="1" s="1"/>
  <c r="T97" i="1"/>
  <c r="AA97" i="1" s="1"/>
  <c r="L97" i="1"/>
  <c r="V96" i="1"/>
  <c r="AM96" i="1" s="1"/>
  <c r="T96" i="1"/>
  <c r="AA96" i="1" s="1"/>
  <c r="L96" i="1"/>
  <c r="T95" i="1"/>
  <c r="AA95" i="1" s="1"/>
  <c r="L95" i="1"/>
  <c r="V94" i="1"/>
  <c r="T94" i="1"/>
  <c r="AA94" i="1" s="1"/>
  <c r="L94" i="1"/>
  <c r="V93" i="1"/>
  <c r="T93" i="1"/>
  <c r="AA93" i="1" s="1"/>
  <c r="L93" i="1"/>
  <c r="V92" i="1"/>
  <c r="T92" i="1"/>
  <c r="AA92" i="1" s="1"/>
  <c r="L92" i="1"/>
  <c r="V91" i="1"/>
  <c r="T91" i="1"/>
  <c r="AA91" i="1" s="1"/>
  <c r="L91" i="1"/>
  <c r="V90" i="1"/>
  <c r="T90" i="1"/>
  <c r="AA90" i="1" s="1"/>
  <c r="L90" i="1"/>
  <c r="AM89" i="1"/>
  <c r="T89" i="1"/>
  <c r="Z89" i="1" s="1"/>
  <c r="L89" i="1"/>
  <c r="AM88" i="1"/>
  <c r="T88" i="1"/>
  <c r="Z88" i="1" s="1"/>
  <c r="L88" i="1"/>
  <c r="AM87" i="1"/>
  <c r="T87" i="1"/>
  <c r="Z87" i="1" s="1"/>
  <c r="L87" i="1"/>
  <c r="V86" i="1"/>
  <c r="AM86" i="1" s="1"/>
  <c r="T86" i="1"/>
  <c r="AA86" i="1" s="1"/>
  <c r="L86" i="1"/>
  <c r="T85" i="1"/>
  <c r="AA85" i="1" s="1"/>
  <c r="L85" i="1"/>
  <c r="V84" i="1"/>
  <c r="T84" i="1"/>
  <c r="AA84" i="1" s="1"/>
  <c r="L84" i="1"/>
  <c r="V83" i="1"/>
  <c r="T83" i="1"/>
  <c r="AA83" i="1" s="1"/>
  <c r="L83" i="1"/>
  <c r="V82" i="1"/>
  <c r="T82" i="1"/>
  <c r="AA82" i="1" s="1"/>
  <c r="L82" i="1"/>
  <c r="T81" i="1"/>
  <c r="U81" i="1" s="1"/>
  <c r="V81" i="1" s="1"/>
  <c r="L81" i="1"/>
  <c r="T80" i="1"/>
  <c r="AA80" i="1" s="1"/>
  <c r="L80" i="1"/>
  <c r="V79" i="1"/>
  <c r="T79" i="1"/>
  <c r="AA79" i="1" s="1"/>
  <c r="L79" i="1"/>
  <c r="V78" i="1"/>
  <c r="T78" i="1"/>
  <c r="AA78" i="1" s="1"/>
  <c r="L78" i="1"/>
  <c r="T77" i="1"/>
  <c r="U77" i="1" s="1"/>
  <c r="V77" i="1" s="1"/>
  <c r="L77" i="1"/>
  <c r="V76" i="1"/>
  <c r="AM76" i="1" s="1"/>
  <c r="T76" i="1"/>
  <c r="AA76" i="1" s="1"/>
  <c r="L76" i="1"/>
  <c r="T75" i="1"/>
  <c r="AA75" i="1" s="1"/>
  <c r="L75" i="1"/>
  <c r="V74" i="1"/>
  <c r="T74" i="1"/>
  <c r="AA74" i="1" s="1"/>
  <c r="L74" i="1"/>
  <c r="V73" i="1"/>
  <c r="T73" i="1"/>
  <c r="AA73" i="1" s="1"/>
  <c r="L73" i="1"/>
  <c r="T72" i="1"/>
  <c r="U72" i="1" s="1"/>
  <c r="V72" i="1" s="1"/>
  <c r="L72" i="1"/>
  <c r="T71" i="1"/>
  <c r="AA71" i="1" s="1"/>
  <c r="L71" i="1"/>
  <c r="V70" i="1"/>
  <c r="T70" i="1"/>
  <c r="AA70" i="1" s="1"/>
  <c r="L70" i="1"/>
  <c r="V69" i="1"/>
  <c r="T69" i="1"/>
  <c r="AA69" i="1" s="1"/>
  <c r="L69" i="1"/>
  <c r="V68" i="1"/>
  <c r="T68" i="1"/>
  <c r="AA68" i="1" s="1"/>
  <c r="L68" i="1"/>
  <c r="V67" i="1"/>
  <c r="T67" i="1"/>
  <c r="AA67" i="1" s="1"/>
  <c r="L67" i="1"/>
  <c r="V66" i="1"/>
  <c r="T66" i="1"/>
  <c r="AA66" i="1" s="1"/>
  <c r="L66" i="1"/>
  <c r="V65" i="1"/>
  <c r="T65" i="1"/>
  <c r="AA65" i="1" s="1"/>
  <c r="L65" i="1"/>
  <c r="V64" i="1"/>
  <c r="T64" i="1"/>
  <c r="AA64" i="1" s="1"/>
  <c r="L64" i="1"/>
  <c r="V63" i="1"/>
  <c r="T63" i="1"/>
  <c r="AA63" i="1" s="1"/>
  <c r="L63" i="1"/>
  <c r="V62" i="1"/>
  <c r="T62" i="1"/>
  <c r="AA62" i="1" s="1"/>
  <c r="L62" i="1"/>
  <c r="V61" i="1"/>
  <c r="T61" i="1"/>
  <c r="AA61" i="1" s="1"/>
  <c r="L61" i="1"/>
  <c r="V60" i="1"/>
  <c r="T60" i="1"/>
  <c r="AA60" i="1" s="1"/>
  <c r="L60" i="1"/>
  <c r="AM59" i="1"/>
  <c r="Y59" i="1"/>
  <c r="X59" i="1"/>
  <c r="T59" i="1"/>
  <c r="Z59" i="1" s="1"/>
  <c r="L59" i="1"/>
  <c r="T58" i="1"/>
  <c r="AA58" i="1" s="1"/>
  <c r="L58" i="1"/>
  <c r="AM57" i="1"/>
  <c r="Y57" i="1"/>
  <c r="X57" i="1"/>
  <c r="T57" i="1"/>
  <c r="Z57" i="1" s="1"/>
  <c r="L57" i="1"/>
  <c r="AM56" i="1"/>
  <c r="Y56" i="1"/>
  <c r="X56" i="1"/>
  <c r="F56" i="1"/>
  <c r="E56" i="1"/>
  <c r="L56" i="1" s="1"/>
  <c r="V55" i="1"/>
  <c r="AM55" i="1" s="1"/>
  <c r="T55" i="1"/>
  <c r="AA55" i="1" s="1"/>
  <c r="L55" i="1"/>
  <c r="V54" i="1"/>
  <c r="AM54" i="1" s="1"/>
  <c r="T54" i="1"/>
  <c r="AA54" i="1" s="1"/>
  <c r="L54" i="1"/>
  <c r="V53" i="1"/>
  <c r="AM53" i="1" s="1"/>
  <c r="T53" i="1"/>
  <c r="AA53" i="1" s="1"/>
  <c r="L53" i="1"/>
  <c r="T52" i="1"/>
  <c r="AA52" i="1" s="1"/>
  <c r="L52" i="1"/>
  <c r="V51" i="1"/>
  <c r="T51" i="1"/>
  <c r="AA51" i="1" s="1"/>
  <c r="L51" i="1"/>
  <c r="V50" i="1"/>
  <c r="T50" i="1"/>
  <c r="AA50" i="1" s="1"/>
  <c r="L50" i="1"/>
  <c r="V49" i="1"/>
  <c r="T49" i="1"/>
  <c r="AA49" i="1" s="1"/>
  <c r="L49" i="1"/>
  <c r="T48" i="1"/>
  <c r="U48" i="1" s="1"/>
  <c r="V48" i="1" s="1"/>
  <c r="L48" i="1"/>
  <c r="T47" i="1"/>
  <c r="AA47" i="1" s="1"/>
  <c r="L47" i="1"/>
  <c r="V46" i="1"/>
  <c r="AM46" i="1" s="1"/>
  <c r="T46" i="1"/>
  <c r="AA46" i="1" s="1"/>
  <c r="L46" i="1"/>
  <c r="V45" i="1"/>
  <c r="T45" i="1"/>
  <c r="AA45" i="1" s="1"/>
  <c r="L45" i="1"/>
  <c r="V44" i="1"/>
  <c r="AM44" i="1" s="1"/>
  <c r="T44" i="1"/>
  <c r="AA44" i="1" s="1"/>
  <c r="L44" i="1"/>
  <c r="V43" i="1"/>
  <c r="AM43" i="1" s="1"/>
  <c r="T43" i="1"/>
  <c r="AA43" i="1" s="1"/>
  <c r="L43" i="1"/>
  <c r="V42" i="1"/>
  <c r="AM42" i="1" s="1"/>
  <c r="T42" i="1"/>
  <c r="AA42" i="1" s="1"/>
  <c r="L42" i="1"/>
  <c r="AM41" i="1"/>
  <c r="Y41" i="1"/>
  <c r="X41" i="1"/>
  <c r="T41" i="1"/>
  <c r="AA41" i="1" s="1"/>
  <c r="L41" i="1"/>
  <c r="AM40" i="1"/>
  <c r="X40" i="1"/>
  <c r="T40" i="1"/>
  <c r="Z40" i="1" s="1"/>
  <c r="L40" i="1"/>
  <c r="AM39" i="1"/>
  <c r="Y39" i="1"/>
  <c r="X39" i="1"/>
  <c r="T39" i="1"/>
  <c r="Z39" i="1" s="1"/>
  <c r="L39" i="1"/>
  <c r="V38" i="1"/>
  <c r="AM38" i="1" s="1"/>
  <c r="T38" i="1"/>
  <c r="AA38" i="1" s="1"/>
  <c r="L38" i="1"/>
  <c r="V37" i="1"/>
  <c r="AM37" i="1" s="1"/>
  <c r="T37" i="1"/>
  <c r="AA37" i="1" s="1"/>
  <c r="L37" i="1"/>
  <c r="V36" i="1"/>
  <c r="AM36" i="1" s="1"/>
  <c r="T36" i="1"/>
  <c r="AA36" i="1" s="1"/>
  <c r="L36" i="1"/>
  <c r="T35" i="1"/>
  <c r="AA35" i="1" s="1"/>
  <c r="L35" i="1"/>
  <c r="V34" i="1"/>
  <c r="AM34" i="1" s="1"/>
  <c r="T34" i="1"/>
  <c r="AA34" i="1" s="1"/>
  <c r="L34" i="1"/>
  <c r="T33" i="1"/>
  <c r="U33" i="1" s="1"/>
  <c r="V33" i="1" s="1"/>
  <c r="L33" i="1"/>
  <c r="V32" i="1"/>
  <c r="AM32" i="1" s="1"/>
  <c r="T32" i="1"/>
  <c r="AA32" i="1" s="1"/>
  <c r="L32" i="1"/>
  <c r="V31" i="1"/>
  <c r="AM31" i="1" s="1"/>
  <c r="T31" i="1"/>
  <c r="AA31" i="1" s="1"/>
  <c r="L31" i="1"/>
  <c r="T30" i="1"/>
  <c r="AA30" i="1" s="1"/>
  <c r="L30" i="1"/>
  <c r="V29" i="1"/>
  <c r="AM29" i="1" s="1"/>
  <c r="T29" i="1"/>
  <c r="AA29" i="1" s="1"/>
  <c r="L29" i="1"/>
  <c r="T28" i="1"/>
  <c r="U28" i="1" s="1"/>
  <c r="V28" i="1" s="1"/>
  <c r="L28" i="1"/>
  <c r="V27" i="1"/>
  <c r="AM27" i="1" s="1"/>
  <c r="T27" i="1"/>
  <c r="AA27" i="1" s="1"/>
  <c r="L27" i="1"/>
  <c r="AM26" i="1"/>
  <c r="X26" i="1"/>
  <c r="T26" i="1"/>
  <c r="AA26" i="1" s="1"/>
  <c r="L26" i="1"/>
  <c r="V25" i="1"/>
  <c r="AM25" i="1" s="1"/>
  <c r="T25" i="1"/>
  <c r="AA25" i="1" s="1"/>
  <c r="L25" i="1"/>
  <c r="AM24" i="1"/>
  <c r="Y24" i="1"/>
  <c r="X24" i="1"/>
  <c r="T24" i="1"/>
  <c r="AA24" i="1" s="1"/>
  <c r="L24" i="1"/>
  <c r="AM23" i="1"/>
  <c r="X23" i="1"/>
  <c r="T23" i="1"/>
  <c r="Z23" i="1" s="1"/>
  <c r="L23" i="1"/>
  <c r="AM22" i="1"/>
  <c r="Y22" i="1"/>
  <c r="X22" i="1"/>
  <c r="T22" i="1"/>
  <c r="AA22" i="1" s="1"/>
  <c r="L22" i="1"/>
  <c r="V21" i="1"/>
  <c r="AM21" i="1" s="1"/>
  <c r="T21" i="1"/>
  <c r="AA21" i="1" s="1"/>
  <c r="L21" i="1"/>
  <c r="T20" i="1"/>
  <c r="U20" i="1" s="1"/>
  <c r="V20" i="1" s="1"/>
  <c r="L20" i="1"/>
  <c r="AM19" i="1"/>
  <c r="Y19" i="1"/>
  <c r="X19" i="1"/>
  <c r="T19" i="1"/>
  <c r="AA19" i="1" s="1"/>
  <c r="L19" i="1"/>
  <c r="T18" i="1"/>
  <c r="U18" i="1" s="1"/>
  <c r="V18" i="1" s="1"/>
  <c r="L18" i="1"/>
  <c r="T17" i="1"/>
  <c r="AA17" i="1" s="1"/>
  <c r="L17" i="1"/>
  <c r="AM16" i="1"/>
  <c r="T16" i="1"/>
  <c r="Z16" i="1" s="1"/>
  <c r="L16" i="1"/>
  <c r="T15" i="1"/>
  <c r="U15" i="1" s="1"/>
  <c r="V15" i="1" s="1"/>
  <c r="L15" i="1"/>
  <c r="AM14" i="1"/>
  <c r="Y14" i="1"/>
  <c r="X14" i="1"/>
  <c r="T14" i="1"/>
  <c r="AA14" i="1" s="1"/>
  <c r="L14" i="1"/>
  <c r="V13" i="1"/>
  <c r="AM13" i="1" s="1"/>
  <c r="T13" i="1"/>
  <c r="AA13" i="1" s="1"/>
  <c r="L13" i="1"/>
  <c r="T12" i="1"/>
  <c r="AA12" i="1" s="1"/>
  <c r="L12" i="1"/>
  <c r="T11" i="1"/>
  <c r="U11" i="1" s="1"/>
  <c r="L11" i="1"/>
  <c r="V10" i="1"/>
  <c r="AM10" i="1" s="1"/>
  <c r="T10" i="1"/>
  <c r="AA10" i="1" s="1"/>
  <c r="L10" i="1"/>
  <c r="V9" i="1"/>
  <c r="AM9" i="1" s="1"/>
  <c r="T9" i="1"/>
  <c r="AA9" i="1" s="1"/>
  <c r="L9" i="1"/>
  <c r="T8" i="1"/>
  <c r="AA8" i="1" s="1"/>
  <c r="L8" i="1"/>
  <c r="V7" i="1"/>
  <c r="AM7" i="1" s="1"/>
  <c r="T7" i="1"/>
  <c r="AA7" i="1" s="1"/>
  <c r="L7" i="1"/>
  <c r="V6" i="1"/>
  <c r="AM6" i="1" s="1"/>
  <c r="T6" i="1"/>
  <c r="AA6" i="1" s="1"/>
  <c r="L6" i="1"/>
  <c r="AK5" i="1"/>
  <c r="AJ5" i="1"/>
  <c r="AI5" i="1"/>
  <c r="AH5" i="1"/>
  <c r="AG5" i="1"/>
  <c r="AF5" i="1"/>
  <c r="AE5" i="1"/>
  <c r="AD5" i="1"/>
  <c r="AC5" i="1"/>
  <c r="AB5" i="1"/>
  <c r="W5" i="1"/>
  <c r="S5" i="1"/>
  <c r="R5" i="1"/>
  <c r="Q5" i="1"/>
  <c r="P5" i="1"/>
  <c r="O5" i="1"/>
  <c r="N5" i="1"/>
  <c r="M5" i="1"/>
  <c r="K5" i="1"/>
  <c r="E5" i="1" l="1"/>
  <c r="T122" i="1"/>
  <c r="Z122" i="1" s="1"/>
  <c r="U12" i="1"/>
  <c r="V12" i="1" s="1"/>
  <c r="U16" i="1"/>
  <c r="Z19" i="1"/>
  <c r="U30" i="1"/>
  <c r="V30" i="1" s="1"/>
  <c r="Z30" i="1" s="1"/>
  <c r="Z41" i="1"/>
  <c r="AA59" i="1"/>
  <c r="L5" i="1"/>
  <c r="U8" i="1"/>
  <c r="V8" i="1" s="1"/>
  <c r="AM8" i="1" s="1"/>
  <c r="Z22" i="1"/>
  <c r="Z24" i="1"/>
  <c r="Z45" i="1"/>
  <c r="U58" i="1"/>
  <c r="V58" i="1" s="1"/>
  <c r="AM58" i="1" s="1"/>
  <c r="U71" i="1"/>
  <c r="V71" i="1" s="1"/>
  <c r="Z71" i="1" s="1"/>
  <c r="AA104" i="1"/>
  <c r="Z105" i="1"/>
  <c r="AA106" i="1"/>
  <c r="U115" i="1"/>
  <c r="V115" i="1" s="1"/>
  <c r="AM115" i="1" s="1"/>
  <c r="AA57" i="1"/>
  <c r="AA40" i="1"/>
  <c r="AM45" i="1"/>
  <c r="AA110" i="1"/>
  <c r="AA11" i="1"/>
  <c r="AA16" i="1"/>
  <c r="U17" i="1"/>
  <c r="V17" i="1" s="1"/>
  <c r="Z17" i="1" s="1"/>
  <c r="U35" i="1"/>
  <c r="V35" i="1" s="1"/>
  <c r="Z35" i="1" s="1"/>
  <c r="U52" i="1"/>
  <c r="V52" i="1" s="1"/>
  <c r="T56" i="1"/>
  <c r="Z56" i="1" s="1"/>
  <c r="U57" i="1"/>
  <c r="U75" i="1"/>
  <c r="V75" i="1" s="1"/>
  <c r="U80" i="1"/>
  <c r="V80" i="1" s="1"/>
  <c r="U85" i="1"/>
  <c r="V85" i="1" s="1"/>
  <c r="AA89" i="1"/>
  <c r="U95" i="1"/>
  <c r="V95" i="1" s="1"/>
  <c r="Z95" i="1" s="1"/>
  <c r="U102" i="1"/>
  <c r="V102" i="1" s="1"/>
  <c r="Z102" i="1" s="1"/>
  <c r="AA109" i="1"/>
  <c r="AA111" i="1"/>
  <c r="U112" i="1"/>
  <c r="V112" i="1" s="1"/>
  <c r="AA114" i="1"/>
  <c r="U117" i="1"/>
  <c r="V117" i="1" s="1"/>
  <c r="Z117" i="1" s="1"/>
  <c r="AM15" i="1"/>
  <c r="Z15" i="1"/>
  <c r="Z8" i="1"/>
  <c r="V11" i="1"/>
  <c r="AM12" i="1"/>
  <c r="Z12" i="1"/>
  <c r="AM30" i="1"/>
  <c r="AM33" i="1"/>
  <c r="Z33" i="1"/>
  <c r="AM48" i="1"/>
  <c r="Z48" i="1"/>
  <c r="AM72" i="1"/>
  <c r="Z72" i="1"/>
  <c r="AM77" i="1"/>
  <c r="Z77" i="1"/>
  <c r="AM18" i="1"/>
  <c r="Z18" i="1"/>
  <c r="AM20" i="1"/>
  <c r="Z20" i="1"/>
  <c r="AM28" i="1"/>
  <c r="Z28" i="1"/>
  <c r="Z10" i="1"/>
  <c r="Z13" i="1"/>
  <c r="AA15" i="1"/>
  <c r="AA23" i="1"/>
  <c r="Z26" i="1"/>
  <c r="AA39" i="1"/>
  <c r="Z42" i="1"/>
  <c r="AM62" i="1"/>
  <c r="Z62" i="1"/>
  <c r="AM63" i="1"/>
  <c r="Z63" i="1"/>
  <c r="AM64" i="1"/>
  <c r="Z64" i="1"/>
  <c r="AM65" i="1"/>
  <c r="Z65" i="1"/>
  <c r="AM66" i="1"/>
  <c r="Z66" i="1"/>
  <c r="AM67" i="1"/>
  <c r="Z67" i="1"/>
  <c r="AM68" i="1"/>
  <c r="Z68" i="1"/>
  <c r="AM69" i="1"/>
  <c r="Z69" i="1"/>
  <c r="AM70" i="1"/>
  <c r="Z70" i="1"/>
  <c r="AA72" i="1"/>
  <c r="AA77" i="1"/>
  <c r="AM81" i="1"/>
  <c r="Z81" i="1"/>
  <c r="AM82" i="1"/>
  <c r="Z82" i="1"/>
  <c r="Z86" i="1"/>
  <c r="AM90" i="1"/>
  <c r="Z90" i="1"/>
  <c r="AM91" i="1"/>
  <c r="Z91" i="1"/>
  <c r="AM92" i="1"/>
  <c r="Z92" i="1"/>
  <c r="AM93" i="1"/>
  <c r="Z93" i="1"/>
  <c r="AM94" i="1"/>
  <c r="Z94" i="1"/>
  <c r="Z98" i="1"/>
  <c r="AA122" i="1"/>
  <c r="Z9" i="1"/>
  <c r="Z14" i="1"/>
  <c r="AA18" i="1"/>
  <c r="AA20" i="1"/>
  <c r="Z25" i="1"/>
  <c r="Z27" i="1"/>
  <c r="AA28" i="1"/>
  <c r="Z31" i="1"/>
  <c r="Z32" i="1"/>
  <c r="AA33" i="1"/>
  <c r="Z36" i="1"/>
  <c r="Z37" i="1"/>
  <c r="Z38" i="1"/>
  <c r="Z43" i="1"/>
  <c r="Z44" i="1"/>
  <c r="Z46" i="1"/>
  <c r="AA48" i="1"/>
  <c r="Z54" i="1"/>
  <c r="AM60" i="1"/>
  <c r="Z60" i="1"/>
  <c r="AM61" i="1"/>
  <c r="Z61" i="1"/>
  <c r="F5" i="1"/>
  <c r="Z6" i="1"/>
  <c r="Z7" i="1"/>
  <c r="U14" i="1"/>
  <c r="Z21" i="1"/>
  <c r="U23" i="1"/>
  <c r="Z29" i="1"/>
  <c r="Z34" i="1"/>
  <c r="V47" i="1"/>
  <c r="AM49" i="1"/>
  <c r="Z49" i="1"/>
  <c r="AM50" i="1"/>
  <c r="Z50" i="1"/>
  <c r="AM51" i="1"/>
  <c r="Z51" i="1"/>
  <c r="Z53" i="1"/>
  <c r="Z55" i="1"/>
  <c r="AM73" i="1"/>
  <c r="Z73" i="1"/>
  <c r="AM74" i="1"/>
  <c r="Z74" i="1"/>
  <c r="Z76" i="1"/>
  <c r="AM78" i="1"/>
  <c r="Z78" i="1"/>
  <c r="AM79" i="1"/>
  <c r="Z79" i="1"/>
  <c r="AA81" i="1"/>
  <c r="AM83" i="1"/>
  <c r="Z83" i="1"/>
  <c r="AM84" i="1"/>
  <c r="Z84" i="1"/>
  <c r="AM95" i="1"/>
  <c r="Z96" i="1"/>
  <c r="Z100" i="1"/>
  <c r="AM101" i="1"/>
  <c r="Z101" i="1"/>
  <c r="Z103" i="1"/>
  <c r="AM107" i="1"/>
  <c r="Z107" i="1"/>
  <c r="AM108" i="1"/>
  <c r="Z108" i="1"/>
  <c r="AM114" i="1"/>
  <c r="Z114" i="1"/>
  <c r="AM116" i="1"/>
  <c r="Z116" i="1"/>
  <c r="AM117" i="1"/>
  <c r="Z118" i="1"/>
  <c r="AA118" i="1"/>
  <c r="AA87" i="1"/>
  <c r="U87" i="1"/>
  <c r="AA88" i="1"/>
  <c r="U88" i="1"/>
  <c r="Z97" i="1"/>
  <c r="Z99" i="1"/>
  <c r="AA101" i="1"/>
  <c r="Z113" i="1"/>
  <c r="AA116" i="1"/>
  <c r="AM119" i="1"/>
  <c r="Z119" i="1"/>
  <c r="AM120" i="1"/>
  <c r="Z120" i="1"/>
  <c r="AM121" i="1"/>
  <c r="Z121" i="1"/>
  <c r="AM123" i="1"/>
  <c r="Z123" i="1"/>
  <c r="AM124" i="1"/>
  <c r="Z124" i="1"/>
  <c r="AM125" i="1"/>
  <c r="Z125" i="1"/>
  <c r="AM126" i="1"/>
  <c r="Z126" i="1"/>
  <c r="AM127" i="1"/>
  <c r="Z127" i="1"/>
  <c r="AM128" i="1"/>
  <c r="Z128" i="1"/>
  <c r="AM129" i="1"/>
  <c r="Z129" i="1"/>
  <c r="AM130" i="1"/>
  <c r="Z130" i="1"/>
  <c r="AM17" i="1" l="1"/>
  <c r="Z58" i="1"/>
  <c r="AM102" i="1"/>
  <c r="T5" i="1"/>
  <c r="AA56" i="1"/>
  <c r="AM35" i="1"/>
  <c r="AM71" i="1"/>
  <c r="Z115" i="1"/>
  <c r="U5" i="1"/>
  <c r="AM112" i="1"/>
  <c r="Z112" i="1"/>
  <c r="Z85" i="1"/>
  <c r="AM85" i="1"/>
  <c r="AM75" i="1"/>
  <c r="Z75" i="1"/>
  <c r="AM52" i="1"/>
  <c r="Z52" i="1"/>
  <c r="AM80" i="1"/>
  <c r="Z80" i="1"/>
  <c r="AM11" i="1"/>
  <c r="Z11" i="1"/>
  <c r="AM47" i="1"/>
  <c r="Z47" i="1"/>
  <c r="V5" i="1"/>
  <c r="AM5" i="1" l="1"/>
  <c r="AM1" i="1" s="1"/>
</calcChain>
</file>

<file path=xl/sharedStrings.xml><?xml version="1.0" encoding="utf-8"?>
<sst xmlns="http://schemas.openxmlformats.org/spreadsheetml/2006/main" count="753" uniqueCount="405">
  <si>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</si>
  <si>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</si>
  <si>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</si>
  <si>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</si>
  <si>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</si>
  <si>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</si>
  <si>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</si>
  <si>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</si>
  <si>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</si>
  <si>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</si>
  <si>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</si>
  <si>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</si>
  <si>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</si>
  <si>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</si>
  <si>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</si>
  <si>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</si>
  <si>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</si>
  <si>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</si>
  <si>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</si>
  <si>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</si>
  <si>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</si>
  <si>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</si>
  <si>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</si>
  <si>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</si>
  <si>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</si>
  <si>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</si>
  <si>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31,08,</t>
  </si>
  <si>
    <t>31,08,недогр</t>
  </si>
  <si>
    <t>31,08,доз</t>
  </si>
  <si>
    <t>01,09,</t>
  </si>
  <si>
    <t>01,09,недогр</t>
  </si>
  <si>
    <t>03,09,</t>
  </si>
  <si>
    <t>07,09,</t>
  </si>
  <si>
    <t>07,09,доз</t>
  </si>
  <si>
    <t>Боярко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</si>
  <si>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</si>
  <si>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</si>
  <si>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</si>
  <si>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</si>
  <si>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</si>
  <si>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</si>
  <si>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</si>
  <si>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</si>
  <si>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</si>
  <si>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</si>
  <si>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</si>
  <si>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</si>
  <si>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</si>
  <si>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</si>
  <si>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</si>
  <si>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</si>
  <si>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</si>
  <si>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</si>
  <si>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</si>
  <si>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</si>
  <si>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</si>
  <si>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</si>
  <si>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</si>
  <si>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</si>
  <si>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</si>
  <si>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</si>
  <si>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</si>
  <si>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</si>
  <si>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</si>
  <si>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</si>
  <si>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</si>
  <si>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</si>
  <si>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</si>
  <si>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</si>
  <si>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</si>
  <si>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</si>
  <si>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</si>
  <si>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</si>
  <si>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</si>
  <si>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</si>
  <si>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</si>
  <si>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</si>
  <si>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</si>
  <si>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</si>
  <si>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</si>
  <si>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</si>
  <si>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</si>
  <si>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</si>
  <si>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ПРОМО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</si>
  <si>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</si>
  <si>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</si>
  <si>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</si>
  <si>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</si>
  <si>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</si>
  <si>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</si>
  <si>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</si>
  <si>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</si>
  <si>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</si>
  <si>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</si>
  <si>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</si>
  <si>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</si>
  <si>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</si>
  <si>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</si>
  <si>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</si>
  <si>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</si>
  <si>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</si>
  <si>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</si>
  <si>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нужно увеличить продажи!!!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</si>
  <si>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</si>
  <si>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</si>
  <si>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</si>
  <si>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</si>
  <si>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</si>
  <si>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</si>
  <si>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</si>
  <si>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</si>
  <si>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</si>
  <si>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</si>
  <si>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</si>
  <si>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</si>
  <si>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</si>
  <si>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</si>
  <si>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</si>
  <si>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</si>
  <si>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</si>
  <si>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</si>
  <si>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</si>
  <si>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</si>
  <si>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</si>
  <si>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</si>
  <si>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не в матрице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</si>
  <si>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</si>
  <si>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</si>
  <si>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</si>
  <si>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</si>
  <si>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</si>
  <si>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</si>
  <si>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</si>
  <si>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</si>
  <si>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</si>
  <si>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</si>
  <si>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</si>
  <si>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</si>
  <si>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</si>
  <si>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</si>
  <si>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нужно увеличить продажи!!! / ПРОМО сентябрь / 181кг списание (11,08,26)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</si>
  <si>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</si>
  <si>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</si>
  <si>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</si>
  <si>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</si>
  <si>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</si>
  <si>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</si>
  <si>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</si>
  <si>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</si>
  <si>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</si>
  <si>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</si>
  <si>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</si>
  <si>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</si>
  <si>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</si>
  <si>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</si>
  <si>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ПРОМО сентябрь / нужно увеличить продажи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</si>
  <si>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</si>
  <si>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</si>
  <si>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</si>
  <si>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</si>
  <si>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</si>
  <si>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</si>
  <si>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</si>
  <si>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</si>
  <si>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</si>
  <si>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</si>
  <si>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</si>
  <si>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</si>
  <si>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</si>
  <si>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</si>
  <si>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</si>
  <si>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</si>
  <si>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</si>
  <si>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</si>
  <si>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</si>
  <si>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</si>
  <si>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</si>
  <si>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</si>
  <si>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</si>
  <si>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</si>
  <si>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</si>
  <si>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</si>
  <si>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</si>
  <si>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</si>
  <si>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нужно увеличить продажи!!! / вышли из ПРОМО (в сентябре)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</si>
  <si>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</si>
  <si>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</si>
  <si>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</si>
  <si>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</si>
  <si>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</si>
  <si>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</si>
  <si>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</si>
  <si>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</si>
  <si>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</si>
  <si>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</si>
  <si>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</si>
  <si>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</si>
  <si>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заказываем с 28,08,26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</si>
  <si>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</si>
  <si>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</si>
  <si>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</si>
  <si>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</si>
  <si>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</si>
  <si>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</si>
  <si>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</si>
  <si>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</si>
  <si>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</si>
  <si>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</si>
  <si>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</si>
  <si>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</si>
  <si>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</si>
  <si>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</si>
  <si>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</si>
  <si>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</si>
  <si>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</si>
  <si>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</si>
  <si>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</si>
  <si>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</si>
  <si>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</si>
  <si>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</si>
  <si>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</si>
  <si>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</si>
  <si>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</si>
  <si>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</si>
  <si>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</si>
  <si>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</si>
  <si>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</si>
  <si>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</si>
  <si>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</si>
  <si>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</si>
  <si>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</si>
  <si>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</si>
  <si>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</si>
  <si>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</si>
  <si>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</si>
  <si>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</si>
  <si>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</si>
  <si>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</si>
  <si>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</si>
  <si>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</si>
  <si>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</si>
  <si>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</si>
  <si>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</si>
  <si>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</si>
  <si>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нужно увеличить продажи!!! / 46кг списание сроки (11,08,26)</t>
  </si>
  <si>
    <t>SU004157</t>
  </si>
  <si>
    <t xml:space="preserve"> 551  Колбаса Сливушка ТМ Вязанка в модифицированной газовой среде 0,11 кг нарезка  ПОКОМ</t>
  </si>
  <si>
    <t>нужно увеличить продажи!!! / 70шт сеть Молоко (07,08,26)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</si>
  <si>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</si>
  <si>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</si>
  <si>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</si>
  <si>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</si>
  <si>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</si>
  <si>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</si>
  <si>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</si>
  <si>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</si>
  <si>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</si>
  <si>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14шт списание сроки (11,08,26)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</si>
  <si>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</si>
  <si>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</si>
  <si>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</si>
  <si>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</si>
  <si>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</si>
  <si>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</si>
  <si>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</si>
  <si>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</si>
  <si>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</si>
  <si>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</si>
  <si>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</si>
  <si>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</si>
  <si>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</si>
  <si>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</si>
  <si>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</si>
  <si>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</si>
  <si>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</si>
  <si>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</si>
  <si>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</si>
  <si>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</si>
  <si>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</si>
  <si>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</si>
  <si>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</si>
  <si>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</si>
  <si>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</si>
  <si>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</si>
  <si>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</si>
  <si>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</si>
  <si>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</si>
  <si>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</si>
  <si>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</si>
  <si>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</si>
  <si>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</si>
  <si>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</si>
  <si>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</si>
  <si>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</si>
  <si>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</si>
  <si>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</si>
  <si>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</si>
  <si>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</si>
  <si>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новинка / 500шт Боярко (07,08,26)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</si>
  <si>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</si>
  <si>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</si>
  <si>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</si>
  <si>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</si>
  <si>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</si>
  <si>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</si>
  <si>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</si>
  <si>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</si>
  <si>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</si>
  <si>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</si>
  <si>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</si>
  <si>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</si>
  <si>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</si>
  <si>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</si>
  <si>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</si>
  <si>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</si>
  <si>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</si>
  <si>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</si>
  <si>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</si>
  <si>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</si>
  <si>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 SU001051 </t>
  </si>
  <si>
    <t> Сардельки «Нежные» Весовые NDX мгс ТМ «Стародворье» </t>
  </si>
  <si>
    <t> 92 </t>
  </si>
  <si>
    <t> 0 </t>
  </si>
  <si>
    <t> -92 </t>
  </si>
  <si>
    <t> SU002074 </t>
  </si>
  <si>
    <t> Сосиски «Молочные для завтрака» Весовой п/а ТМ «Особый рецепт» </t>
  </si>
  <si>
    <t> 360 </t>
  </si>
  <si>
    <t> -360 </t>
  </si>
  <si>
    <t> SU002205 </t>
  </si>
  <si>
    <t> Сосиски «Молочные для завтрака» Фикс.вес 0,4 П/а мгс ТМ «Особый рецепт» </t>
  </si>
  <si>
    <t> 22 </t>
  </si>
  <si>
    <t> -22 </t>
  </si>
  <si>
    <t> SU002287 </t>
  </si>
  <si>
    <t> Сардельки «Сочные» Весовой п/а ТМ «Особый рецепт» </t>
  </si>
  <si>
    <t> 90 </t>
  </si>
  <si>
    <t> -90 </t>
  </si>
  <si>
    <t> SU002618 </t>
  </si>
  <si>
    <t> Сосиски «Сочинки с сочной грудинкой» Фикс.вес 0,4 П/а мгс ТМ «Стародворье» </t>
  </si>
  <si>
    <t> 221 </t>
  </si>
  <si>
    <t> -221 </t>
  </si>
  <si>
    <t> SU002655 </t>
  </si>
  <si>
    <t> Сосиски «Датские» Весовой п/а ТМ «Зареченские продукты» </t>
  </si>
  <si>
    <t> 117 </t>
  </si>
  <si>
    <t> -117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</si>
  <si>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</si>
  <si>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</si>
  <si>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</si>
  <si>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-19 </t>
  </si>
  <si>
    <t> SU002756 </t>
  </si>
  <si>
    <t> Колбаса Мясорубская ТМ Стародворье с рубленой грудинкой в оболочке фиброуз в вакуумной упаковке </t>
  </si>
  <si>
    <t> 42 </t>
  </si>
  <si>
    <t> 35 </t>
  </si>
  <si>
    <t> -7 </t>
  </si>
  <si>
    <t> SU002758 </t>
  </si>
  <si>
    <t> Сардельки «Сочинки» Фикс.вес 0,4 п/а ТМ «Стародворье» </t>
  </si>
  <si>
    <t> SU002759 </t>
  </si>
  <si>
    <t> Сардельки «Сочинки с сыром» Фикс.вес 0,4 п/а ТМ «Стародворье» </t>
  </si>
  <si>
    <t> SU002842 </t>
  </si>
  <si>
    <t> Сосиски «Сочинки Молочные» Фикс.вес 0,4 п/а мгс ТМ «Стародворье» </t>
  </si>
  <si>
    <t> 103 </t>
  </si>
  <si>
    <t> -103 </t>
  </si>
  <si>
    <t> SU002847 </t>
  </si>
  <si>
    <t> В/к колбасы Сервелат Мясорубский с мелкорубленным окороком Бордо Весовой фиброуз Стародворье </t>
  </si>
  <si>
    <t> 101 </t>
  </si>
  <si>
    <t> -101 </t>
  </si>
  <si>
    <t> SU002941 </t>
  </si>
  <si>
    <t> В/к колбасы «Сочинка по-европейски с сочной грудинкой» Весовой фиброуз ТМ «Стародворье» </t>
  </si>
  <si>
    <t> SU002942 </t>
  </si>
  <si>
    <t> В/к колбасы «Сочинка по-фински с сочным окороком» срез Фикс.вес 0,3 фиброуз ТМ «Стародворье» </t>
  </si>
  <si>
    <t> 18 </t>
  </si>
  <si>
    <t> -18 </t>
  </si>
  <si>
    <t> SU002943 </t>
  </si>
  <si>
    <t> В/к колбасы «Сочинка по-фински с сочным окороком» Весовой фиброуз ТМ «Стародворье» </t>
  </si>
  <si>
    <t> 65 </t>
  </si>
  <si>
    <t> -65 </t>
  </si>
  <si>
    <t> SU002944 </t>
  </si>
  <si>
    <t> В/к колбасы «Сочинка по-европейски с сочной грудинкой» срез Фикс.вес 0,3 фиброуз ТМ «Стародворье» </t>
  </si>
  <si>
    <t> 13 </t>
  </si>
  <si>
    <t> -13 </t>
  </si>
  <si>
    <t> SU002945 </t>
  </si>
  <si>
    <t> П/к колбасы «Сочинка зернистая с сочной грудинкой» Весовой фиброуз ТМ «Стародворье» </t>
  </si>
  <si>
    <t> 362 </t>
  </si>
  <si>
    <t> -362 </t>
  </si>
  <si>
    <t> SU002947 </t>
  </si>
  <si>
    <t> П/к колбасы «Сочинка рубленая с сочным окороком» Весовой фиброуз ТМ «Стародворье» </t>
  </si>
  <si>
    <t> SU002948 </t>
  </si>
  <si>
    <t> П/к колбасы «Сочинка рубленая с сочным окороком» срез Фикс.вес 0,3 фиброуз ТМ «Стародворье» </t>
  </si>
  <si>
    <t> SU003829 </t>
  </si>
  <si>
    <t> Копченые колбасы «Сервелат Мясорубский Делюкс» Фикс.вес 0,3 фиброуз ТМ «Стародворье» </t>
  </si>
  <si>
    <t> 27 </t>
  </si>
  <si>
    <t> -27 </t>
  </si>
  <si>
    <t> SU003893 </t>
  </si>
  <si>
    <t> Сырокопченые колбасы «Сальчичон» Фикс.вес 0,07 нарезка ТМ «Стародворье» </t>
  </si>
  <si>
    <t> 5 </t>
  </si>
  <si>
    <t> -5 </t>
  </si>
  <si>
    <t> SU003921 </t>
  </si>
  <si>
    <t> Деликатесы в/к «Грудинка копчено-вареная» Фикс.вес 0,12 нарезка ТМ «Стародворье» </t>
  </si>
  <si>
    <t> 9 </t>
  </si>
  <si>
    <t> -9 </t>
  </si>
  <si>
    <t> SU004041 </t>
  </si>
  <si>
    <t> Копченые колбасы «Балыковая» Весовой фиброуз ТМ «Вязанка» </t>
  </si>
  <si>
    <t> 70 </t>
  </si>
  <si>
    <t> -70 </t>
  </si>
  <si>
    <t> SU004047 </t>
  </si>
  <si>
    <t> Копченые колбасы «Сервелат Финский» Весовой фиброуз ТМ «Вязанка»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</si>
</sst>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4" borderId="1" xfId="1" applyNumberFormat="1" applyFont="1" applyFill="1"/>
    <xf numFmtId="164" fontId="6" fillId="4" borderId="1" xfId="1" applyNumberFormat="1" applyFont="1" applyFill="1"/>
    <xf numFmtId="164" fontId="1" fillId="0" borderId="1" xfId="1" applyNumberFormat="1"/>
    <xf numFmtId="0" fontId="0" fillId="0" borderId="1" xfId="0"/>
    <xf numFmtId="164" fontId="1" fillId="8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09,26/03,09,26%20&#1055;&#1054;&#1050;&#1054;&#1052;%20&#1050;&#1048;/_&#1050;&#1086;&#1087;&#1080;&#1103;%20&#1076;&#1074;%20030926%20&#1073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31,08,</v>
          </cell>
          <cell r="P4" t="str">
            <v>31,08,доз</v>
          </cell>
          <cell r="Q4" t="str">
            <v>01,09,</v>
          </cell>
          <cell r="R4" t="str">
            <v>01,09,недогр</v>
          </cell>
          <cell r="S4" t="str">
            <v>03,09,</v>
          </cell>
        </row>
        <row r="5">
          <cell r="E5">
            <v>19331.518</v>
          </cell>
          <cell r="F5">
            <v>15701.151000000007</v>
          </cell>
          <cell r="K5">
            <v>29614.352999999992</v>
          </cell>
          <cell r="L5">
            <v>-10282.835000000003</v>
          </cell>
          <cell r="M5">
            <v>0</v>
          </cell>
          <cell r="N5">
            <v>0</v>
          </cell>
          <cell r="O5">
            <v>12201.823529065998</v>
          </cell>
          <cell r="P5">
            <v>2300</v>
          </cell>
          <cell r="Q5">
            <v>4837.178933442</v>
          </cell>
          <cell r="R5">
            <v>-162.5</v>
          </cell>
          <cell r="S5">
            <v>3866.303600000002</v>
          </cell>
          <cell r="T5">
            <v>12634.501305691998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289.48200000000003</v>
          </cell>
          <cell r="D6">
            <v>187.52500000000001</v>
          </cell>
          <cell r="E6">
            <v>217.22300000000001</v>
          </cell>
          <cell r="F6">
            <v>254.55199999999999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208.7</v>
          </cell>
          <cell r="L6">
            <v>8.5230000000000246</v>
          </cell>
          <cell r="O6">
            <v>118.51223330800001</v>
          </cell>
          <cell r="Q6">
            <v>138.564194692</v>
          </cell>
          <cell r="S6">
            <v>43.444600000000001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212</v>
          </cell>
          <cell r="D7">
            <v>999.79</v>
          </cell>
          <cell r="E7">
            <v>393.05799999999999</v>
          </cell>
          <cell r="F7">
            <v>797.125</v>
          </cell>
          <cell r="G7">
            <v>1</v>
          </cell>
          <cell r="H7">
            <v>45</v>
          </cell>
          <cell r="I7" t="str">
            <v>матрица</v>
          </cell>
          <cell r="K7">
            <v>516.9</v>
          </cell>
          <cell r="L7">
            <v>-123.84199999999998</v>
          </cell>
          <cell r="O7">
            <v>345.50576219999988</v>
          </cell>
          <cell r="Q7">
            <v>200</v>
          </cell>
          <cell r="S7">
            <v>78.611599999999996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588.20399999999995</v>
          </cell>
          <cell r="D8">
            <v>391.31099999999998</v>
          </cell>
          <cell r="E8">
            <v>576.995</v>
          </cell>
          <cell r="F8">
            <v>359.01600000000002</v>
          </cell>
          <cell r="G8">
            <v>1</v>
          </cell>
          <cell r="H8">
            <v>45</v>
          </cell>
          <cell r="I8" t="str">
            <v>матрица</v>
          </cell>
          <cell r="K8">
            <v>752.8</v>
          </cell>
          <cell r="L8">
            <v>-175.80499999999995</v>
          </cell>
          <cell r="O8">
            <v>240.5634916999999</v>
          </cell>
          <cell r="Q8">
            <v>80</v>
          </cell>
          <cell r="S8">
            <v>115.399</v>
          </cell>
          <cell r="T8">
            <v>589.80950830000029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S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588</v>
          </cell>
          <cell r="D10">
            <v>28</v>
          </cell>
          <cell r="E10">
            <v>269</v>
          </cell>
          <cell r="F10">
            <v>295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992</v>
          </cell>
          <cell r="L10">
            <v>-723</v>
          </cell>
          <cell r="O10">
            <v>289.69240000000002</v>
          </cell>
          <cell r="Q10">
            <v>150</v>
          </cell>
          <cell r="S10">
            <v>53.8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362</v>
          </cell>
          <cell r="D11">
            <v>948</v>
          </cell>
          <cell r="E11">
            <v>941</v>
          </cell>
          <cell r="F11">
            <v>217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1262</v>
          </cell>
          <cell r="L11">
            <v>-321</v>
          </cell>
          <cell r="O11">
            <v>137.83900000000011</v>
          </cell>
          <cell r="S11">
            <v>188.2</v>
          </cell>
          <cell r="T11">
            <v>1715.3609999999996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64</v>
          </cell>
          <cell r="D12">
            <v>30</v>
          </cell>
          <cell r="E12">
            <v>99</v>
          </cell>
          <cell r="F12">
            <v>-5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113</v>
          </cell>
          <cell r="L12">
            <v>-14</v>
          </cell>
          <cell r="O12">
            <v>33.09999999999998</v>
          </cell>
          <cell r="S12">
            <v>19.8</v>
          </cell>
          <cell r="T12">
            <v>189.70000000000005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</v>
          </cell>
          <cell r="D13">
            <v>51</v>
          </cell>
          <cell r="E13">
            <v>34</v>
          </cell>
          <cell r="F13">
            <v>6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113</v>
          </cell>
          <cell r="L13">
            <v>-79</v>
          </cell>
          <cell r="O13">
            <v>50</v>
          </cell>
          <cell r="S13">
            <v>6.8</v>
          </cell>
          <cell r="T13">
            <v>30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287</v>
          </cell>
          <cell r="D14">
            <v>265</v>
          </cell>
          <cell r="E14">
            <v>268</v>
          </cell>
          <cell r="F14">
            <v>254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296</v>
          </cell>
          <cell r="L14">
            <v>-28</v>
          </cell>
          <cell r="O14">
            <v>94.000000000000114</v>
          </cell>
          <cell r="S14">
            <v>53.6</v>
          </cell>
          <cell r="T14">
            <v>241.59999999999991</v>
          </cell>
          <cell r="U14" t="str">
            <v>400шт</v>
          </cell>
          <cell r="V14" t="str">
            <v xml:space="preserve">Сроки хорошие, есть востребованность 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456.68700000000001</v>
          </cell>
          <cell r="D15">
            <v>410.15300000000002</v>
          </cell>
          <cell r="E15">
            <v>467.358</v>
          </cell>
          <cell r="F15">
            <v>325.83100000000002</v>
          </cell>
          <cell r="G15">
            <v>1</v>
          </cell>
          <cell r="H15">
            <v>70</v>
          </cell>
          <cell r="I15" t="str">
            <v>матрица</v>
          </cell>
          <cell r="K15">
            <v>516.64800000000002</v>
          </cell>
          <cell r="L15">
            <v>-49.29000000000002</v>
          </cell>
          <cell r="O15">
            <v>208.05294189999989</v>
          </cell>
          <cell r="Q15">
            <v>80</v>
          </cell>
          <cell r="S15">
            <v>93.471599999999995</v>
          </cell>
          <cell r="T15">
            <v>414.30365810000001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1044.616</v>
          </cell>
          <cell r="D16">
            <v>3082.04</v>
          </cell>
          <cell r="E16">
            <v>2120.3989999999999</v>
          </cell>
          <cell r="F16">
            <v>1708.3209999999999</v>
          </cell>
          <cell r="G16">
            <v>1</v>
          </cell>
          <cell r="H16">
            <v>50</v>
          </cell>
          <cell r="I16" t="str">
            <v>матрица</v>
          </cell>
          <cell r="K16">
            <v>2405.3000000000002</v>
          </cell>
          <cell r="L16">
            <v>-284.90100000000029</v>
          </cell>
          <cell r="O16">
            <v>922</v>
          </cell>
          <cell r="P16">
            <v>400</v>
          </cell>
          <cell r="Q16">
            <v>600</v>
          </cell>
          <cell r="S16">
            <v>424.07979999999998</v>
          </cell>
          <cell r="T16">
            <v>1034.5568000000003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43.459000000000003</v>
          </cell>
          <cell r="D17">
            <v>84.74</v>
          </cell>
          <cell r="E17">
            <v>61.466999999999999</v>
          </cell>
          <cell r="F17">
            <v>66.497</v>
          </cell>
          <cell r="G17">
            <v>1</v>
          </cell>
          <cell r="H17">
            <v>60</v>
          </cell>
          <cell r="I17" t="str">
            <v>матрица</v>
          </cell>
          <cell r="K17">
            <v>72</v>
          </cell>
          <cell r="L17">
            <v>-10.533000000000001</v>
          </cell>
          <cell r="O17">
            <v>44.069200000000002</v>
          </cell>
          <cell r="S17">
            <v>12.2934</v>
          </cell>
          <cell r="T17">
            <v>24.661199999999994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8.7959999999999994</v>
          </cell>
          <cell r="D18">
            <v>63.826000000000001</v>
          </cell>
          <cell r="E18">
            <v>36.127000000000002</v>
          </cell>
          <cell r="F18">
            <v>29.457999999999998</v>
          </cell>
          <cell r="G18">
            <v>1</v>
          </cell>
          <cell r="H18">
            <v>60</v>
          </cell>
          <cell r="I18" t="str">
            <v>матрица</v>
          </cell>
          <cell r="K18">
            <v>39.9</v>
          </cell>
          <cell r="L18">
            <v>-3.7729999999999961</v>
          </cell>
          <cell r="O18">
            <v>35.380799999999986</v>
          </cell>
          <cell r="S18">
            <v>7.2254000000000005</v>
          </cell>
          <cell r="T18">
            <v>14.640600000000013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19.204999999999998</v>
          </cell>
          <cell r="D19">
            <v>35.241</v>
          </cell>
          <cell r="E19">
            <v>31.625</v>
          </cell>
          <cell r="F19">
            <v>19.161999999999999</v>
          </cell>
          <cell r="G19">
            <v>1</v>
          </cell>
          <cell r="H19">
            <v>180</v>
          </cell>
          <cell r="I19" t="str">
            <v>матрица</v>
          </cell>
          <cell r="K19">
            <v>31.75</v>
          </cell>
          <cell r="L19">
            <v>-0.125</v>
          </cell>
          <cell r="O19">
            <v>50</v>
          </cell>
          <cell r="S19">
            <v>6.3250000000000002</v>
          </cell>
          <cell r="U19">
            <v>50</v>
          </cell>
          <cell r="V19" t="str">
            <v xml:space="preserve">Сроки хорошие, есть востребованность 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212.245</v>
          </cell>
          <cell r="D20">
            <v>811.89499999999998</v>
          </cell>
          <cell r="E20">
            <v>378.1</v>
          </cell>
          <cell r="F20">
            <v>175.98599999999999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386.8</v>
          </cell>
          <cell r="L20">
            <v>-8.6999999999999886</v>
          </cell>
          <cell r="O20">
            <v>141.22173870800009</v>
          </cell>
          <cell r="Q20">
            <v>100</v>
          </cell>
          <cell r="S20">
            <v>75.62</v>
          </cell>
          <cell r="T20">
            <v>414.61226129199997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49.804000000000002</v>
          </cell>
          <cell r="D21">
            <v>185.221</v>
          </cell>
          <cell r="E21">
            <v>89.596999999999994</v>
          </cell>
          <cell r="F21">
            <v>131.286</v>
          </cell>
          <cell r="G21">
            <v>1</v>
          </cell>
          <cell r="H21">
            <v>70</v>
          </cell>
          <cell r="I21" t="str">
            <v>матрица</v>
          </cell>
          <cell r="K21">
            <v>108.9</v>
          </cell>
          <cell r="L21">
            <v>-19.303000000000011</v>
          </cell>
          <cell r="O21">
            <v>100</v>
          </cell>
          <cell r="S21">
            <v>17.9194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98.575000000000003</v>
          </cell>
          <cell r="D22">
            <v>89.527000000000001</v>
          </cell>
          <cell r="E22">
            <v>159.702</v>
          </cell>
          <cell r="F22">
            <v>1.9990000000000001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221.4</v>
          </cell>
          <cell r="L22">
            <v>-61.698000000000008</v>
          </cell>
          <cell r="O22">
            <v>90</v>
          </cell>
          <cell r="S22">
            <v>31.9404</v>
          </cell>
          <cell r="T22">
            <v>90</v>
          </cell>
          <cell r="U22">
            <v>150</v>
          </cell>
          <cell r="V22" t="str">
            <v>Промо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91.195999999999998</v>
          </cell>
          <cell r="D23">
            <v>2.6989999999999998</v>
          </cell>
          <cell r="E23">
            <v>36.369</v>
          </cell>
          <cell r="F23">
            <v>54.137</v>
          </cell>
          <cell r="G23">
            <v>1</v>
          </cell>
          <cell r="H23">
            <v>180</v>
          </cell>
          <cell r="I23" t="str">
            <v>матрица</v>
          </cell>
          <cell r="K23">
            <v>37.57</v>
          </cell>
          <cell r="L23">
            <v>-1.2010000000000005</v>
          </cell>
          <cell r="O23">
            <v>0</v>
          </cell>
          <cell r="S23">
            <v>7.2737999999999996</v>
          </cell>
          <cell r="T23">
            <v>25.874799999999993</v>
          </cell>
          <cell r="U23">
            <v>50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125.309</v>
          </cell>
          <cell r="D24">
            <v>101.79600000000001</v>
          </cell>
          <cell r="E24">
            <v>187.83500000000001</v>
          </cell>
          <cell r="F24">
            <v>6.8159999999999998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237.8</v>
          </cell>
          <cell r="L24">
            <v>-49.965000000000003</v>
          </cell>
          <cell r="O24">
            <v>300</v>
          </cell>
          <cell r="S24">
            <v>37.567</v>
          </cell>
          <cell r="T24">
            <v>90</v>
          </cell>
          <cell r="U24">
            <v>250</v>
          </cell>
          <cell r="V24" t="str">
            <v>Промо ЖЦ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S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43.704000000000001</v>
          </cell>
          <cell r="D26">
            <v>9.9890000000000008</v>
          </cell>
          <cell r="E26">
            <v>25.58</v>
          </cell>
          <cell r="F26">
            <v>13.885999999999999</v>
          </cell>
          <cell r="G26">
            <v>1</v>
          </cell>
          <cell r="I26" t="str">
            <v>НЕДОГРУЗ / матрица</v>
          </cell>
          <cell r="K26">
            <v>104.4</v>
          </cell>
          <cell r="L26">
            <v>-78.820000000000007</v>
          </cell>
          <cell r="O26">
            <v>87.27808739999999</v>
          </cell>
          <cell r="Q26">
            <v>102.0453126</v>
          </cell>
          <cell r="S26">
            <v>5.1159999999999997</v>
          </cell>
          <cell r="T26">
            <v>100</v>
          </cell>
          <cell r="U26">
            <v>200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-2.5000000000000001E-2</v>
          </cell>
          <cell r="E27">
            <v>-2.496</v>
          </cell>
          <cell r="F27">
            <v>-2.5000000000000001E-2</v>
          </cell>
          <cell r="G27">
            <v>1</v>
          </cell>
          <cell r="H27">
            <v>40</v>
          </cell>
          <cell r="I27" t="str">
            <v>НЕДОГРУЗ / матрица</v>
          </cell>
          <cell r="L27">
            <v>-2.496</v>
          </cell>
          <cell r="O27">
            <v>90</v>
          </cell>
          <cell r="S27">
            <v>-0.49919999999999998</v>
          </cell>
          <cell r="T27">
            <v>90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36.277000000000001</v>
          </cell>
          <cell r="D28">
            <v>158.46700000000001</v>
          </cell>
          <cell r="E28">
            <v>135.279</v>
          </cell>
          <cell r="F28">
            <v>22.568999999999999</v>
          </cell>
          <cell r="G28">
            <v>1</v>
          </cell>
          <cell r="H28">
            <v>30</v>
          </cell>
          <cell r="I28" t="str">
            <v>матрица</v>
          </cell>
          <cell r="K28">
            <v>299.89999999999998</v>
          </cell>
          <cell r="L28">
            <v>-164.62099999999998</v>
          </cell>
          <cell r="O28">
            <v>95.554789200000002</v>
          </cell>
          <cell r="Q28">
            <v>111.72241080000001</v>
          </cell>
          <cell r="S28">
            <v>27.055799999999998</v>
          </cell>
          <cell r="T28">
            <v>67.767599999999959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1.518</v>
          </cell>
          <cell r="D29">
            <v>1158.72</v>
          </cell>
          <cell r="E29">
            <v>517.31500000000005</v>
          </cell>
          <cell r="F29">
            <v>621.52099999999996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631.29999999999995</v>
          </cell>
          <cell r="L29">
            <v>-113.9849999999999</v>
          </cell>
          <cell r="O29">
            <v>360</v>
          </cell>
          <cell r="S29">
            <v>103.46300000000001</v>
          </cell>
          <cell r="T29">
            <v>200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-0.03</v>
          </cell>
          <cell r="D30">
            <v>17.488</v>
          </cell>
          <cell r="E30">
            <v>13.209</v>
          </cell>
          <cell r="F30">
            <v>4.2489999999999997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12.1</v>
          </cell>
          <cell r="L30">
            <v>1.109</v>
          </cell>
          <cell r="O30">
            <v>10</v>
          </cell>
          <cell r="S30">
            <v>2.6417999999999999</v>
          </cell>
          <cell r="T30">
            <v>14.8108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33.783000000000001</v>
          </cell>
          <cell r="D31">
            <v>142.28800000000001</v>
          </cell>
          <cell r="E31">
            <v>26.774000000000001</v>
          </cell>
          <cell r="F31">
            <v>128.13900000000001</v>
          </cell>
          <cell r="G31">
            <v>1</v>
          </cell>
          <cell r="H31">
            <v>30</v>
          </cell>
          <cell r="I31" t="str">
            <v>матрица</v>
          </cell>
          <cell r="K31">
            <v>117.5</v>
          </cell>
          <cell r="L31">
            <v>-90.725999999999999</v>
          </cell>
          <cell r="O31">
            <v>40.243600000000022</v>
          </cell>
          <cell r="S31">
            <v>5.3548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18.972000000000001</v>
          </cell>
          <cell r="D32">
            <v>117.896</v>
          </cell>
          <cell r="E32">
            <v>61.607999999999997</v>
          </cell>
          <cell r="F32">
            <v>40.630000000000003</v>
          </cell>
          <cell r="G32">
            <v>1</v>
          </cell>
          <cell r="H32">
            <v>50</v>
          </cell>
          <cell r="I32" t="str">
            <v>НЕДОГРУЗ / матрица</v>
          </cell>
          <cell r="K32">
            <v>119.9</v>
          </cell>
          <cell r="L32">
            <v>-58.292000000000009</v>
          </cell>
          <cell r="O32">
            <v>100</v>
          </cell>
          <cell r="S32">
            <v>12.3216</v>
          </cell>
          <cell r="T32">
            <v>20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6.1639999999999997</v>
          </cell>
          <cell r="D33">
            <v>221.63399999999999</v>
          </cell>
          <cell r="E33">
            <v>117.15</v>
          </cell>
          <cell r="F33">
            <v>87.667000000000002</v>
          </cell>
          <cell r="G33">
            <v>1</v>
          </cell>
          <cell r="H33">
            <v>50</v>
          </cell>
          <cell r="I33" t="str">
            <v>матрица</v>
          </cell>
          <cell r="K33">
            <v>95.1</v>
          </cell>
          <cell r="L33">
            <v>22.050000000000011</v>
          </cell>
          <cell r="O33">
            <v>0</v>
          </cell>
          <cell r="S33">
            <v>23.43</v>
          </cell>
          <cell r="T33">
            <v>170.06300000000002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681.505</v>
          </cell>
          <cell r="D34">
            <v>869</v>
          </cell>
          <cell r="E34">
            <v>842</v>
          </cell>
          <cell r="F34">
            <v>503.505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2948</v>
          </cell>
          <cell r="L34">
            <v>-2106</v>
          </cell>
          <cell r="O34">
            <v>550</v>
          </cell>
          <cell r="S34">
            <v>168.4</v>
          </cell>
          <cell r="T34">
            <v>600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-1</v>
          </cell>
          <cell r="D35">
            <v>720</v>
          </cell>
          <cell r="E35">
            <v>322</v>
          </cell>
          <cell r="F35">
            <v>335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375</v>
          </cell>
          <cell r="L35">
            <v>-53</v>
          </cell>
          <cell r="O35">
            <v>53.475999999999999</v>
          </cell>
          <cell r="Q35">
            <v>62.524000000000001</v>
          </cell>
          <cell r="S35">
            <v>64.400000000000006</v>
          </cell>
          <cell r="T35">
            <v>257.40000000000009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-14</v>
          </cell>
          <cell r="D36">
            <v>180</v>
          </cell>
          <cell r="E36">
            <v>122</v>
          </cell>
          <cell r="F36">
            <v>-49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613</v>
          </cell>
          <cell r="L36">
            <v>-491</v>
          </cell>
          <cell r="O36">
            <v>230</v>
          </cell>
          <cell r="S36">
            <v>24.4</v>
          </cell>
          <cell r="T36">
            <v>200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4</v>
          </cell>
          <cell r="D37">
            <v>3</v>
          </cell>
          <cell r="F37">
            <v>4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173</v>
          </cell>
          <cell r="L37">
            <v>-173</v>
          </cell>
          <cell r="O37">
            <v>50</v>
          </cell>
          <cell r="S37">
            <v>0</v>
          </cell>
          <cell r="T37">
            <v>40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1.2509999999999999</v>
          </cell>
          <cell r="D38">
            <v>139.93799999999999</v>
          </cell>
          <cell r="E38">
            <v>35.722000000000001</v>
          </cell>
          <cell r="F38">
            <v>101.18899999999999</v>
          </cell>
          <cell r="G38">
            <v>1</v>
          </cell>
          <cell r="H38">
            <v>45</v>
          </cell>
          <cell r="I38" t="str">
            <v>матрица</v>
          </cell>
          <cell r="K38">
            <v>48.951000000000001</v>
          </cell>
          <cell r="L38">
            <v>-13.228999999999999</v>
          </cell>
          <cell r="O38">
            <v>100</v>
          </cell>
          <cell r="S38">
            <v>7.1444000000000001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124</v>
          </cell>
          <cell r="D39">
            <v>40</v>
          </cell>
          <cell r="E39">
            <v>114</v>
          </cell>
          <cell r="F39">
            <v>53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111</v>
          </cell>
          <cell r="L39">
            <v>3</v>
          </cell>
          <cell r="O39">
            <v>230.5</v>
          </cell>
          <cell r="Q39">
            <v>269.5</v>
          </cell>
          <cell r="S39">
            <v>22.8</v>
          </cell>
          <cell r="U39" t="str">
            <v>500шт</v>
          </cell>
          <cell r="V39" t="str">
            <v>Промо N+1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E40">
            <v>-3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3</v>
          </cell>
          <cell r="L40">
            <v>-6</v>
          </cell>
          <cell r="O40">
            <v>50</v>
          </cell>
          <cell r="S40">
            <v>-0.6</v>
          </cell>
          <cell r="T40">
            <v>40</v>
          </cell>
          <cell r="U40" t="str">
            <v>150шт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4.3559999999999999</v>
          </cell>
          <cell r="D41">
            <v>34.92</v>
          </cell>
          <cell r="E41">
            <v>27.765000000000001</v>
          </cell>
          <cell r="F41">
            <v>5.625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56.6</v>
          </cell>
          <cell r="L41">
            <v>-28.835000000000001</v>
          </cell>
          <cell r="O41">
            <v>40</v>
          </cell>
          <cell r="S41">
            <v>5.5529999999999999</v>
          </cell>
          <cell r="T41">
            <v>20</v>
          </cell>
          <cell r="U41" t="str">
            <v>150кг</v>
          </cell>
          <cell r="V41" t="str">
            <v>Промо ЖЦ</v>
          </cell>
        </row>
        <row r="42">
          <cell r="A42" t="str">
            <v xml:space="preserve"> 298  Колбаса Сливушка ТМ Вязанка, 0,375кг,  ПОКОМ</v>
          </cell>
          <cell r="B42" t="str">
            <v>шт</v>
          </cell>
          <cell r="C42">
            <v>1</v>
          </cell>
          <cell r="E42">
            <v>-1</v>
          </cell>
          <cell r="F42">
            <v>1</v>
          </cell>
          <cell r="G42">
            <v>0</v>
          </cell>
          <cell r="H42">
            <v>50</v>
          </cell>
          <cell r="I42" t="str">
            <v>не в матрице</v>
          </cell>
          <cell r="K42">
            <v>20</v>
          </cell>
          <cell r="L42">
            <v>-21</v>
          </cell>
          <cell r="O42">
            <v>0</v>
          </cell>
          <cell r="S42">
            <v>-0.2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54</v>
          </cell>
          <cell r="D43">
            <v>108</v>
          </cell>
          <cell r="E43">
            <v>99</v>
          </cell>
          <cell r="F43">
            <v>49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341</v>
          </cell>
          <cell r="L43">
            <v>-242</v>
          </cell>
          <cell r="O43">
            <v>50</v>
          </cell>
          <cell r="S43">
            <v>19.8</v>
          </cell>
          <cell r="T43">
            <v>50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C44">
            <v>123</v>
          </cell>
          <cell r="D44">
            <v>141</v>
          </cell>
          <cell r="E44">
            <v>151</v>
          </cell>
          <cell r="F44">
            <v>107</v>
          </cell>
          <cell r="G44">
            <v>0.4</v>
          </cell>
          <cell r="H44">
            <v>45</v>
          </cell>
          <cell r="I44" t="str">
            <v>НЕДОГРУЗ / матрица</v>
          </cell>
          <cell r="K44">
            <v>567</v>
          </cell>
          <cell r="L44">
            <v>-416</v>
          </cell>
          <cell r="O44">
            <v>150</v>
          </cell>
          <cell r="S44">
            <v>30.2</v>
          </cell>
          <cell r="T44">
            <v>80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-9.4359999999999999</v>
          </cell>
          <cell r="D45">
            <v>43.908999999999999</v>
          </cell>
          <cell r="E45">
            <v>26.379000000000001</v>
          </cell>
          <cell r="F45">
            <v>-10.053000000000001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63.3</v>
          </cell>
          <cell r="L45">
            <v>-36.920999999999992</v>
          </cell>
          <cell r="O45">
            <v>100</v>
          </cell>
          <cell r="S45">
            <v>5.2758000000000003</v>
          </cell>
          <cell r="T45">
            <v>40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-12</v>
          </cell>
          <cell r="D46">
            <v>108</v>
          </cell>
          <cell r="E46">
            <v>67</v>
          </cell>
          <cell r="F46">
            <v>21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92</v>
          </cell>
          <cell r="L46">
            <v>-25</v>
          </cell>
          <cell r="O46">
            <v>140</v>
          </cell>
          <cell r="S46">
            <v>13.4</v>
          </cell>
          <cell r="T46">
            <v>80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7</v>
          </cell>
          <cell r="D47">
            <v>727</v>
          </cell>
          <cell r="E47">
            <v>243</v>
          </cell>
          <cell r="F47">
            <v>459</v>
          </cell>
          <cell r="G47">
            <v>0.4</v>
          </cell>
          <cell r="H47">
            <v>40</v>
          </cell>
          <cell r="I47" t="str">
            <v>матрица</v>
          </cell>
          <cell r="K47">
            <v>404</v>
          </cell>
          <cell r="L47">
            <v>-161</v>
          </cell>
          <cell r="O47">
            <v>89.1</v>
          </cell>
          <cell r="S47">
            <v>48.6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75.52</v>
          </cell>
          <cell r="D48">
            <v>53.886000000000003</v>
          </cell>
          <cell r="E48">
            <v>89.23</v>
          </cell>
          <cell r="F48">
            <v>40.438000000000002</v>
          </cell>
          <cell r="G48">
            <v>1</v>
          </cell>
          <cell r="H48">
            <v>50</v>
          </cell>
          <cell r="I48" t="str">
            <v>матрица</v>
          </cell>
          <cell r="K48">
            <v>88.9</v>
          </cell>
          <cell r="L48">
            <v>0.32999999999999829</v>
          </cell>
          <cell r="O48">
            <v>82.68907200000001</v>
          </cell>
          <cell r="S48">
            <v>17.846</v>
          </cell>
          <cell r="T48">
            <v>73.178927999999999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C49">
            <v>28.436</v>
          </cell>
          <cell r="D49">
            <v>1.3</v>
          </cell>
          <cell r="E49">
            <v>-1.4870000000000001</v>
          </cell>
          <cell r="F49">
            <v>28.436</v>
          </cell>
          <cell r="G49">
            <v>1</v>
          </cell>
          <cell r="H49">
            <v>50</v>
          </cell>
          <cell r="I49" t="str">
            <v>матрица</v>
          </cell>
          <cell r="K49">
            <v>132.19999999999999</v>
          </cell>
          <cell r="L49">
            <v>-133.68699999999998</v>
          </cell>
          <cell r="O49">
            <v>92.199999999999989</v>
          </cell>
          <cell r="Q49">
            <v>107.8</v>
          </cell>
          <cell r="S49">
            <v>-0.2974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0.434</v>
          </cell>
          <cell r="E50">
            <v>-5.3559999999999999</v>
          </cell>
          <cell r="F50">
            <v>0.434</v>
          </cell>
          <cell r="G50">
            <v>1</v>
          </cell>
          <cell r="H50">
            <v>45</v>
          </cell>
          <cell r="I50" t="str">
            <v>НЕДОГРУЗ / матрица</v>
          </cell>
          <cell r="K50">
            <v>1.4</v>
          </cell>
          <cell r="L50">
            <v>-6.7560000000000002</v>
          </cell>
          <cell r="O50">
            <v>110</v>
          </cell>
          <cell r="S50">
            <v>-1.0711999999999999</v>
          </cell>
          <cell r="T50">
            <v>80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-2</v>
          </cell>
          <cell r="D51">
            <v>334</v>
          </cell>
          <cell r="E51">
            <v>102</v>
          </cell>
          <cell r="F51">
            <v>192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169</v>
          </cell>
          <cell r="L51">
            <v>-67</v>
          </cell>
          <cell r="O51">
            <v>61.313000000000002</v>
          </cell>
          <cell r="Q51">
            <v>71.686999999999998</v>
          </cell>
          <cell r="S51">
            <v>20.399999999999999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-7</v>
          </cell>
          <cell r="D52">
            <v>442</v>
          </cell>
          <cell r="E52">
            <v>243</v>
          </cell>
          <cell r="F52">
            <v>141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289</v>
          </cell>
          <cell r="L52">
            <v>-46</v>
          </cell>
          <cell r="O52">
            <v>0</v>
          </cell>
          <cell r="S52">
            <v>48.6</v>
          </cell>
          <cell r="T52">
            <v>393.6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25</v>
          </cell>
          <cell r="E53">
            <v>20</v>
          </cell>
          <cell r="F53">
            <v>5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71</v>
          </cell>
          <cell r="L53">
            <v>-51</v>
          </cell>
          <cell r="O53">
            <v>50</v>
          </cell>
          <cell r="S53">
            <v>4</v>
          </cell>
          <cell r="T53">
            <v>30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19</v>
          </cell>
          <cell r="D54">
            <v>55</v>
          </cell>
          <cell r="E54">
            <v>43</v>
          </cell>
          <cell r="F54">
            <v>25</v>
          </cell>
          <cell r="G54">
            <v>0.4</v>
          </cell>
          <cell r="H54">
            <v>40</v>
          </cell>
          <cell r="I54" t="str">
            <v>НЕДОГРУЗ / матрица</v>
          </cell>
          <cell r="K54">
            <v>65</v>
          </cell>
          <cell r="L54">
            <v>-22</v>
          </cell>
          <cell r="O54">
            <v>50</v>
          </cell>
          <cell r="S54">
            <v>8.6</v>
          </cell>
          <cell r="T54">
            <v>20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11.535</v>
          </cell>
          <cell r="D55">
            <v>96.981999999999999</v>
          </cell>
          <cell r="E55">
            <v>38.024999999999999</v>
          </cell>
          <cell r="F55">
            <v>67.028000000000006</v>
          </cell>
          <cell r="G55">
            <v>1</v>
          </cell>
          <cell r="H55">
            <v>50</v>
          </cell>
          <cell r="I55" t="str">
            <v>матрица</v>
          </cell>
          <cell r="K55">
            <v>76</v>
          </cell>
          <cell r="L55">
            <v>-37.975000000000001</v>
          </cell>
          <cell r="O55">
            <v>100</v>
          </cell>
          <cell r="S55">
            <v>7.6049999999999995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190</v>
          </cell>
          <cell r="D56">
            <v>5</v>
          </cell>
          <cell r="E56">
            <v>96</v>
          </cell>
          <cell r="F56">
            <v>97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79</v>
          </cell>
          <cell r="L56">
            <v>17</v>
          </cell>
          <cell r="O56">
            <v>345.75</v>
          </cell>
          <cell r="Q56">
            <v>404.25</v>
          </cell>
          <cell r="S56">
            <v>19.2</v>
          </cell>
          <cell r="U56" t="str">
            <v>400шт</v>
          </cell>
          <cell r="V56" t="str">
            <v>Промо N+1 + бонус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120.30500000000001</v>
          </cell>
          <cell r="D57">
            <v>22.954000000000001</v>
          </cell>
          <cell r="E57">
            <v>141.88</v>
          </cell>
          <cell r="F57">
            <v>0.52600000000000002</v>
          </cell>
          <cell r="G57">
            <v>1</v>
          </cell>
          <cell r="H57">
            <v>50</v>
          </cell>
          <cell r="I57" t="str">
            <v>матрица</v>
          </cell>
          <cell r="K57">
            <v>155</v>
          </cell>
          <cell r="L57">
            <v>-13.120000000000005</v>
          </cell>
          <cell r="O57">
            <v>138.30000000000001</v>
          </cell>
          <cell r="Q57">
            <v>161.69999999999999</v>
          </cell>
          <cell r="S57">
            <v>28.375999999999998</v>
          </cell>
          <cell r="T57">
            <v>11.609999999999967</v>
          </cell>
          <cell r="U57" t="str">
            <v>80кг</v>
          </cell>
          <cell r="V57" t="str">
            <v>Промо ЖЦ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27.266999999999999</v>
          </cell>
          <cell r="D58">
            <v>54.545000000000002</v>
          </cell>
          <cell r="E58">
            <v>37.557000000000002</v>
          </cell>
          <cell r="F58">
            <v>40.927</v>
          </cell>
          <cell r="G58">
            <v>1</v>
          </cell>
          <cell r="H58">
            <v>55</v>
          </cell>
          <cell r="I58" t="str">
            <v>матрица</v>
          </cell>
          <cell r="K58">
            <v>39.200000000000003</v>
          </cell>
          <cell r="L58">
            <v>-1.6430000000000007</v>
          </cell>
          <cell r="O58">
            <v>4</v>
          </cell>
          <cell r="S58">
            <v>7.5114000000000001</v>
          </cell>
          <cell r="T58">
            <v>37.698399999999999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99</v>
          </cell>
          <cell r="D59">
            <v>60</v>
          </cell>
          <cell r="E59">
            <v>126</v>
          </cell>
          <cell r="F59">
            <v>33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126</v>
          </cell>
          <cell r="L59">
            <v>0</v>
          </cell>
          <cell r="O59">
            <v>253.55</v>
          </cell>
          <cell r="Q59">
            <v>296.45</v>
          </cell>
          <cell r="S59">
            <v>25.2</v>
          </cell>
          <cell r="U59" t="str">
            <v>600ШТ</v>
          </cell>
          <cell r="V59" t="str">
            <v>Промо N+1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1</v>
          </cell>
          <cell r="D60">
            <v>31</v>
          </cell>
          <cell r="E60">
            <v>6</v>
          </cell>
          <cell r="F60">
            <v>25</v>
          </cell>
          <cell r="G60">
            <v>0.4</v>
          </cell>
          <cell r="H60">
            <v>50</v>
          </cell>
          <cell r="I60" t="str">
            <v>матрица</v>
          </cell>
          <cell r="K60">
            <v>9</v>
          </cell>
          <cell r="L60">
            <v>-3</v>
          </cell>
          <cell r="O60">
            <v>6.3999999999999986</v>
          </cell>
          <cell r="S60">
            <v>1.2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-19.175999999999998</v>
          </cell>
          <cell r="D61">
            <v>171.09</v>
          </cell>
          <cell r="E61">
            <v>96.222999999999999</v>
          </cell>
          <cell r="F61">
            <v>32.692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127</v>
          </cell>
          <cell r="L61">
            <v>-30.777000000000001</v>
          </cell>
          <cell r="O61">
            <v>60</v>
          </cell>
          <cell r="S61">
            <v>19.244599999999998</v>
          </cell>
          <cell r="T61">
            <v>60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-8.2989999999999995</v>
          </cell>
          <cell r="D62">
            <v>210.52199999999999</v>
          </cell>
          <cell r="E62">
            <v>41.366999999999997</v>
          </cell>
          <cell r="F62">
            <v>151.49700000000001</v>
          </cell>
          <cell r="G62">
            <v>1</v>
          </cell>
          <cell r="H62">
            <v>40</v>
          </cell>
          <cell r="I62" t="str">
            <v>матрица</v>
          </cell>
          <cell r="K62">
            <v>75.099999999999994</v>
          </cell>
          <cell r="L62">
            <v>-33.732999999999997</v>
          </cell>
          <cell r="O62">
            <v>68.809413200000023</v>
          </cell>
          <cell r="Q62">
            <v>80.451786800000036</v>
          </cell>
          <cell r="S62">
            <v>8.2733999999999988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279</v>
          </cell>
          <cell r="D63">
            <v>467</v>
          </cell>
          <cell r="E63">
            <v>576</v>
          </cell>
          <cell r="F63">
            <v>102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678</v>
          </cell>
          <cell r="L63">
            <v>-102</v>
          </cell>
          <cell r="O63">
            <v>251.7511779999999</v>
          </cell>
          <cell r="Q63">
            <v>160</v>
          </cell>
          <cell r="R63">
            <v>-162.5</v>
          </cell>
          <cell r="S63">
            <v>115.2</v>
          </cell>
          <cell r="T63">
            <v>200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123</v>
          </cell>
          <cell r="D64">
            <v>217</v>
          </cell>
          <cell r="E64">
            <v>267</v>
          </cell>
          <cell r="F64">
            <v>55</v>
          </cell>
          <cell r="G64">
            <v>0.4</v>
          </cell>
          <cell r="H64">
            <v>40</v>
          </cell>
          <cell r="I64" t="str">
            <v>НЕДОГРУЗ / матрица</v>
          </cell>
          <cell r="K64">
            <v>365</v>
          </cell>
          <cell r="L64">
            <v>-98</v>
          </cell>
          <cell r="O64">
            <v>200</v>
          </cell>
          <cell r="S64">
            <v>53.4</v>
          </cell>
          <cell r="T64">
            <v>200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23.126000000000001</v>
          </cell>
          <cell r="D65">
            <v>70.885999999999996</v>
          </cell>
          <cell r="E65">
            <v>91.087000000000003</v>
          </cell>
          <cell r="F65">
            <v>-3.306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152.69999999999999</v>
          </cell>
          <cell r="L65">
            <v>-61.612999999999985</v>
          </cell>
          <cell r="O65">
            <v>90</v>
          </cell>
          <cell r="S65">
            <v>18.217400000000001</v>
          </cell>
          <cell r="T65">
            <v>70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12.417999999999999</v>
          </cell>
          <cell r="D66">
            <v>54.002000000000002</v>
          </cell>
          <cell r="E66">
            <v>56.923000000000002</v>
          </cell>
          <cell r="F66">
            <v>12.180999999999999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160.80000000000001</v>
          </cell>
          <cell r="L66">
            <v>-103.87700000000001</v>
          </cell>
          <cell r="O66">
            <v>60</v>
          </cell>
          <cell r="S66">
            <v>11.384600000000001</v>
          </cell>
          <cell r="T66">
            <v>50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196.68</v>
          </cell>
          <cell r="D67">
            <v>301.03699999999998</v>
          </cell>
          <cell r="E67">
            <v>379.13299999999998</v>
          </cell>
          <cell r="F67">
            <v>125.00700000000001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498.6</v>
          </cell>
          <cell r="L67">
            <v>-119.46700000000004</v>
          </cell>
          <cell r="O67">
            <v>360</v>
          </cell>
          <cell r="S67">
            <v>75.826599999999999</v>
          </cell>
          <cell r="T67">
            <v>300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77.366</v>
          </cell>
          <cell r="D68">
            <v>70.870999999999995</v>
          </cell>
          <cell r="E68">
            <v>81.123999999999995</v>
          </cell>
          <cell r="F68">
            <v>52.805999999999997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277.39999999999998</v>
          </cell>
          <cell r="L68">
            <v>-196.27599999999998</v>
          </cell>
          <cell r="O68">
            <v>90</v>
          </cell>
          <cell r="S68">
            <v>16.224799999999998</v>
          </cell>
          <cell r="T68">
            <v>90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O69">
            <v>0</v>
          </cell>
          <cell r="S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99.566000000000003</v>
          </cell>
          <cell r="D70">
            <v>223.02099999999999</v>
          </cell>
          <cell r="E70">
            <v>57.676000000000002</v>
          </cell>
          <cell r="F70">
            <v>236.86600000000001</v>
          </cell>
          <cell r="G70">
            <v>1</v>
          </cell>
          <cell r="H70">
            <v>30</v>
          </cell>
          <cell r="I70" t="str">
            <v>матрица</v>
          </cell>
          <cell r="K70">
            <v>216.4</v>
          </cell>
          <cell r="L70">
            <v>-158.72399999999999</v>
          </cell>
          <cell r="O70">
            <v>44.915199999999999</v>
          </cell>
          <cell r="S70">
            <v>11.5352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109</v>
          </cell>
          <cell r="D71">
            <v>88</v>
          </cell>
          <cell r="E71">
            <v>185</v>
          </cell>
          <cell r="F71">
            <v>4</v>
          </cell>
          <cell r="G71">
            <v>0.6</v>
          </cell>
          <cell r="H71">
            <v>60</v>
          </cell>
          <cell r="I71" t="str">
            <v>матрица</v>
          </cell>
          <cell r="K71">
            <v>234</v>
          </cell>
          <cell r="L71">
            <v>-49</v>
          </cell>
          <cell r="O71">
            <v>0</v>
          </cell>
          <cell r="S71">
            <v>37</v>
          </cell>
          <cell r="T71">
            <v>403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206</v>
          </cell>
          <cell r="D72">
            <v>113</v>
          </cell>
          <cell r="E72">
            <v>255</v>
          </cell>
          <cell r="F72">
            <v>36</v>
          </cell>
          <cell r="G72">
            <v>0.6</v>
          </cell>
          <cell r="H72">
            <v>60</v>
          </cell>
          <cell r="I72" t="str">
            <v>матрица</v>
          </cell>
          <cell r="K72">
            <v>267</v>
          </cell>
          <cell r="L72">
            <v>-12</v>
          </cell>
          <cell r="O72">
            <v>70</v>
          </cell>
          <cell r="S72">
            <v>51</v>
          </cell>
          <cell r="T72">
            <v>455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5</v>
          </cell>
          <cell r="D73">
            <v>216</v>
          </cell>
          <cell r="E73">
            <v>107</v>
          </cell>
          <cell r="F73">
            <v>109</v>
          </cell>
          <cell r="G73">
            <v>0.4</v>
          </cell>
          <cell r="H73">
            <v>90</v>
          </cell>
          <cell r="I73" t="str">
            <v>матрица</v>
          </cell>
          <cell r="K73">
            <v>150</v>
          </cell>
          <cell r="L73">
            <v>-43</v>
          </cell>
          <cell r="O73">
            <v>82.97999999999999</v>
          </cell>
          <cell r="Q73">
            <v>97.02000000000001</v>
          </cell>
          <cell r="S73">
            <v>21.4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17</v>
          </cell>
          <cell r="D74">
            <v>176</v>
          </cell>
          <cell r="E74">
            <v>159</v>
          </cell>
          <cell r="F74">
            <v>28</v>
          </cell>
          <cell r="G74">
            <v>0.33</v>
          </cell>
          <cell r="H74">
            <v>60</v>
          </cell>
          <cell r="I74" t="str">
            <v>НЕДОГРУЗ / матрица</v>
          </cell>
          <cell r="K74">
            <v>250</v>
          </cell>
          <cell r="L74">
            <v>-91</v>
          </cell>
          <cell r="O74">
            <v>69.149999999999991</v>
          </cell>
          <cell r="Q74">
            <v>80.850000000000009</v>
          </cell>
          <cell r="S74">
            <v>31.8</v>
          </cell>
          <cell r="T74">
            <v>100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90</v>
          </cell>
          <cell r="D75">
            <v>184</v>
          </cell>
          <cell r="E75">
            <v>162</v>
          </cell>
          <cell r="F75">
            <v>107</v>
          </cell>
          <cell r="G75">
            <v>0.35</v>
          </cell>
          <cell r="H75">
            <v>90</v>
          </cell>
          <cell r="I75" t="str">
            <v>матрица</v>
          </cell>
          <cell r="K75">
            <v>168</v>
          </cell>
          <cell r="L75">
            <v>-6</v>
          </cell>
          <cell r="O75">
            <v>100</v>
          </cell>
          <cell r="S75">
            <v>32.4</v>
          </cell>
          <cell r="T75">
            <v>149.39999999999998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G76">
            <v>0.37</v>
          </cell>
          <cell r="I76" t="str">
            <v>матрица</v>
          </cell>
          <cell r="L76">
            <v>0</v>
          </cell>
          <cell r="O76">
            <v>23</v>
          </cell>
          <cell r="S76">
            <v>0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80</v>
          </cell>
          <cell r="D77">
            <v>32</v>
          </cell>
          <cell r="E77">
            <v>95</v>
          </cell>
          <cell r="F77">
            <v>6</v>
          </cell>
          <cell r="G77">
            <v>0.6</v>
          </cell>
          <cell r="H77">
            <v>70</v>
          </cell>
          <cell r="I77" t="str">
            <v>матрица</v>
          </cell>
          <cell r="K77">
            <v>152</v>
          </cell>
          <cell r="L77">
            <v>-57</v>
          </cell>
          <cell r="O77">
            <v>10</v>
          </cell>
          <cell r="S77">
            <v>19</v>
          </cell>
          <cell r="T77">
            <v>193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56</v>
          </cell>
          <cell r="D78">
            <v>85</v>
          </cell>
          <cell r="E78">
            <v>48</v>
          </cell>
          <cell r="F78">
            <v>92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50</v>
          </cell>
          <cell r="L78">
            <v>-2</v>
          </cell>
          <cell r="O78">
            <v>16.199999999999989</v>
          </cell>
          <cell r="S78">
            <v>9.6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41</v>
          </cell>
          <cell r="D79">
            <v>24</v>
          </cell>
          <cell r="E79">
            <v>42</v>
          </cell>
          <cell r="F79">
            <v>20</v>
          </cell>
          <cell r="G79">
            <v>0.4</v>
          </cell>
          <cell r="H79">
            <v>55</v>
          </cell>
          <cell r="I79" t="str">
            <v>матрица</v>
          </cell>
          <cell r="K79">
            <v>82</v>
          </cell>
          <cell r="L79">
            <v>-40</v>
          </cell>
          <cell r="O79">
            <v>100</v>
          </cell>
          <cell r="S79">
            <v>8.4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16</v>
          </cell>
          <cell r="D80">
            <v>1</v>
          </cell>
          <cell r="E80">
            <v>18</v>
          </cell>
          <cell r="F80">
            <v>-2</v>
          </cell>
          <cell r="G80">
            <v>0.35</v>
          </cell>
          <cell r="H80">
            <v>40</v>
          </cell>
          <cell r="I80" t="str">
            <v>матрица</v>
          </cell>
          <cell r="K80">
            <v>19</v>
          </cell>
          <cell r="L80">
            <v>-1</v>
          </cell>
          <cell r="O80">
            <v>0</v>
          </cell>
          <cell r="S80">
            <v>3.6</v>
          </cell>
          <cell r="T80">
            <v>41.6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78</v>
          </cell>
          <cell r="D81">
            <v>78</v>
          </cell>
          <cell r="E81">
            <v>55</v>
          </cell>
          <cell r="F81">
            <v>99</v>
          </cell>
          <cell r="G81">
            <v>0.35</v>
          </cell>
          <cell r="H81">
            <v>45</v>
          </cell>
          <cell r="I81" t="str">
            <v>матрица</v>
          </cell>
          <cell r="K81">
            <v>53</v>
          </cell>
          <cell r="L81">
            <v>2</v>
          </cell>
          <cell r="O81">
            <v>0</v>
          </cell>
          <cell r="S81">
            <v>11</v>
          </cell>
          <cell r="T81">
            <v>22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S82">
            <v>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O83">
            <v>0</v>
          </cell>
          <cell r="S83">
            <v>0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S84">
            <v>0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138.459</v>
          </cell>
          <cell r="D85">
            <v>212.184</v>
          </cell>
          <cell r="E85">
            <v>177.77699999999999</v>
          </cell>
          <cell r="F85">
            <v>143.07400000000001</v>
          </cell>
          <cell r="G85">
            <v>1</v>
          </cell>
          <cell r="H85">
            <v>60</v>
          </cell>
          <cell r="I85" t="str">
            <v>матрица</v>
          </cell>
          <cell r="K85">
            <v>196.8</v>
          </cell>
          <cell r="L85">
            <v>-19.023000000000025</v>
          </cell>
          <cell r="O85">
            <v>81.244599999999977</v>
          </cell>
          <cell r="S85">
            <v>35.555399999999999</v>
          </cell>
          <cell r="T85">
            <v>166.79079999999999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S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887.32</v>
          </cell>
          <cell r="D87">
            <v>1792.0940000000001</v>
          </cell>
          <cell r="E87">
            <v>1513.1</v>
          </cell>
          <cell r="F87">
            <v>936.11099999999999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1755</v>
          </cell>
          <cell r="L87">
            <v>-241.90000000000009</v>
          </cell>
          <cell r="O87">
            <v>585.0119734499998</v>
          </cell>
          <cell r="P87">
            <v>1000</v>
          </cell>
          <cell r="Q87">
            <v>683.99447654999983</v>
          </cell>
          <cell r="S87">
            <v>302.62</v>
          </cell>
          <cell r="T87">
            <v>123.70255000000031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1002.107</v>
          </cell>
          <cell r="D88">
            <v>667.68</v>
          </cell>
          <cell r="E88">
            <v>1248.307</v>
          </cell>
          <cell r="F88">
            <v>226.19499999999999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1427.52</v>
          </cell>
          <cell r="L88">
            <v>-179.21299999999997</v>
          </cell>
          <cell r="O88">
            <v>368.8</v>
          </cell>
          <cell r="P88">
            <v>900</v>
          </cell>
          <cell r="Q88">
            <v>250</v>
          </cell>
          <cell r="S88">
            <v>249.66140000000001</v>
          </cell>
          <cell r="T88">
            <v>1001.2804000000001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1353.3040000000001</v>
          </cell>
          <cell r="D89">
            <v>2099.5360000000001</v>
          </cell>
          <cell r="E89">
            <v>1342.3879999999999</v>
          </cell>
          <cell r="F89">
            <v>1990.9369999999999</v>
          </cell>
          <cell r="G89">
            <v>1</v>
          </cell>
          <cell r="H89">
            <v>60</v>
          </cell>
          <cell r="I89" t="str">
            <v>матрица</v>
          </cell>
          <cell r="K89">
            <v>2001.9490000000001</v>
          </cell>
          <cell r="L89">
            <v>-659.56100000000015</v>
          </cell>
          <cell r="O89">
            <v>613.13</v>
          </cell>
          <cell r="Q89">
            <v>400</v>
          </cell>
          <cell r="S89">
            <v>268.4776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0</v>
          </cell>
          <cell r="I90" t="str">
            <v>матрица</v>
          </cell>
          <cell r="L90">
            <v>0</v>
          </cell>
          <cell r="O90">
            <v>0</v>
          </cell>
          <cell r="S90">
            <v>0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C91">
            <v>-3</v>
          </cell>
          <cell r="E91">
            <v>-5</v>
          </cell>
          <cell r="F91">
            <v>-3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14</v>
          </cell>
          <cell r="L91">
            <v>-19</v>
          </cell>
          <cell r="O91">
            <v>55</v>
          </cell>
          <cell r="S91">
            <v>-1</v>
          </cell>
          <cell r="T91">
            <v>40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O92">
            <v>0</v>
          </cell>
          <cell r="S92">
            <v>0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C93">
            <v>29</v>
          </cell>
          <cell r="D93">
            <v>54</v>
          </cell>
          <cell r="E93">
            <v>39</v>
          </cell>
          <cell r="F93">
            <v>42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119</v>
          </cell>
          <cell r="L93">
            <v>-80</v>
          </cell>
          <cell r="O93">
            <v>60</v>
          </cell>
          <cell r="S93">
            <v>7.8</v>
          </cell>
          <cell r="T93">
            <v>50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19</v>
          </cell>
          <cell r="D94">
            <v>92</v>
          </cell>
          <cell r="E94">
            <v>30</v>
          </cell>
          <cell r="F94">
            <v>79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153</v>
          </cell>
          <cell r="L94">
            <v>-123</v>
          </cell>
          <cell r="O94">
            <v>70</v>
          </cell>
          <cell r="S94">
            <v>6</v>
          </cell>
          <cell r="T94">
            <v>30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68</v>
          </cell>
          <cell r="D95">
            <v>127</v>
          </cell>
          <cell r="E95">
            <v>99</v>
          </cell>
          <cell r="F95">
            <v>88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116</v>
          </cell>
          <cell r="L95">
            <v>-17</v>
          </cell>
          <cell r="O95">
            <v>100</v>
          </cell>
          <cell r="S95">
            <v>19.8</v>
          </cell>
          <cell r="T95">
            <v>29.800000000000011</v>
          </cell>
        </row>
        <row r="96">
          <cell r="A96" t="str">
            <v xml:space="preserve"> 526  Корейка вяленая выдержанная нарезка 0,05кг ТМ Стародворье  ПОКОМ</v>
          </cell>
          <cell r="B96" t="str">
            <v>шт</v>
          </cell>
          <cell r="C96">
            <v>1</v>
          </cell>
          <cell r="F96">
            <v>1</v>
          </cell>
          <cell r="G96">
            <v>0</v>
          </cell>
          <cell r="H96">
            <v>90</v>
          </cell>
          <cell r="I96" t="str">
            <v>не в матрице</v>
          </cell>
          <cell r="K96">
            <v>28</v>
          </cell>
          <cell r="L96">
            <v>-28</v>
          </cell>
          <cell r="O96">
            <v>0</v>
          </cell>
          <cell r="S96">
            <v>0</v>
          </cell>
        </row>
        <row r="97">
          <cell r="A97" t="str">
            <v xml:space="preserve"> 544  Сосиски Мясные для гриля ТС Ядрена копоть 0,3 кг  ПОКОМ</v>
          </cell>
          <cell r="B97" t="str">
            <v>шт</v>
          </cell>
          <cell r="G97">
            <v>0.3</v>
          </cell>
          <cell r="I97" t="str">
            <v>матрица</v>
          </cell>
          <cell r="L97">
            <v>0</v>
          </cell>
          <cell r="O97">
            <v>80</v>
          </cell>
          <cell r="S97">
            <v>0</v>
          </cell>
        </row>
        <row r="98">
          <cell r="A98" t="str">
            <v xml:space="preserve"> 547  Колбаса Мясная Классическая ТМ Вязанка в оболочке полиамид. ВЕС  ПОКОМ</v>
          </cell>
          <cell r="B98" t="str">
            <v>кг</v>
          </cell>
          <cell r="C98">
            <v>14.276999999999999</v>
          </cell>
          <cell r="E98">
            <v>1.0209999999999999</v>
          </cell>
          <cell r="F98">
            <v>12.237</v>
          </cell>
          <cell r="G98">
            <v>1</v>
          </cell>
          <cell r="H98">
            <v>55</v>
          </cell>
          <cell r="I98" t="str">
            <v>матрица</v>
          </cell>
          <cell r="K98">
            <v>2.6</v>
          </cell>
          <cell r="L98">
            <v>-1.5790000000000002</v>
          </cell>
          <cell r="O98">
            <v>0</v>
          </cell>
          <cell r="S98">
            <v>0.20419999999999999</v>
          </cell>
        </row>
        <row r="99">
          <cell r="A99" t="str">
            <v xml:space="preserve"> 551  Колбаса Сливушка ТМ Вязанка в модифицированной газовой среде 0,11 кг нарезка  ПОКОМ</v>
          </cell>
          <cell r="B99" t="str">
            <v>шт</v>
          </cell>
          <cell r="C99">
            <v>51</v>
          </cell>
          <cell r="D99">
            <v>80</v>
          </cell>
          <cell r="E99">
            <v>16</v>
          </cell>
          <cell r="F99">
            <v>113</v>
          </cell>
          <cell r="G99">
            <v>0.11</v>
          </cell>
          <cell r="H99">
            <v>30</v>
          </cell>
          <cell r="I99" t="str">
            <v>матрица</v>
          </cell>
          <cell r="K99">
            <v>108</v>
          </cell>
          <cell r="L99">
            <v>-92</v>
          </cell>
          <cell r="O99">
            <v>0</v>
          </cell>
          <cell r="S99">
            <v>3.2</v>
          </cell>
        </row>
        <row r="100">
          <cell r="A100" t="str">
            <v xml:space="preserve"> 552  Ветчина Сливушка с индейкой ТМ Вязанка в модифицированной газовой среде 0,1 кг нарезка  ПОКОМ</v>
          </cell>
          <cell r="B100" t="str">
            <v>шт</v>
          </cell>
          <cell r="G100">
            <v>0</v>
          </cell>
          <cell r="I100" t="str">
            <v>матрица</v>
          </cell>
          <cell r="L100">
            <v>0</v>
          </cell>
          <cell r="O100">
            <v>0</v>
          </cell>
          <cell r="S100">
            <v>0</v>
          </cell>
        </row>
        <row r="101">
          <cell r="A101" t="str">
            <v xml:space="preserve"> 553  Ассорти колбас Мясорубская коллекция: Сервелат Делюкс, С балыком 0,08 кг нарезка  ПОКОМ</v>
          </cell>
          <cell r="B101" t="str">
            <v>шт</v>
          </cell>
          <cell r="C101">
            <v>94</v>
          </cell>
          <cell r="D101">
            <v>132</v>
          </cell>
          <cell r="E101">
            <v>112</v>
          </cell>
          <cell r="F101">
            <v>93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136</v>
          </cell>
          <cell r="L101">
            <v>-24</v>
          </cell>
          <cell r="O101">
            <v>48</v>
          </cell>
          <cell r="S101">
            <v>22.4</v>
          </cell>
          <cell r="T101">
            <v>105.39999999999998</v>
          </cell>
        </row>
        <row r="102">
          <cell r="A102" t="str">
            <v xml:space="preserve"> 554  Колбаса Сервелат Мясорубский ТМ Стародворье в упаковке скин 0,08 кг нарезка  ПОКОМ</v>
          </cell>
          <cell r="B102" t="str">
            <v>шт</v>
          </cell>
          <cell r="C102">
            <v>111</v>
          </cell>
          <cell r="D102">
            <v>44</v>
          </cell>
          <cell r="E102">
            <v>90</v>
          </cell>
          <cell r="F102">
            <v>51</v>
          </cell>
          <cell r="G102">
            <v>0.08</v>
          </cell>
          <cell r="H102">
            <v>45</v>
          </cell>
          <cell r="I102" t="str">
            <v>матрица</v>
          </cell>
          <cell r="K102">
            <v>112</v>
          </cell>
          <cell r="L102">
            <v>-22</v>
          </cell>
          <cell r="O102">
            <v>50</v>
          </cell>
          <cell r="S102">
            <v>18</v>
          </cell>
          <cell r="T102">
            <v>97</v>
          </cell>
        </row>
        <row r="103">
          <cell r="A103" t="str">
            <v xml:space="preserve"> 555  Колбаса Молокуша ТМ Вязанка в модифицированной газовой среде 0,17 кг нарезка  ПОКОМ</v>
          </cell>
          <cell r="B103" t="str">
            <v>шт</v>
          </cell>
          <cell r="C103">
            <v>70</v>
          </cell>
          <cell r="E103">
            <v>7</v>
          </cell>
          <cell r="F103">
            <v>63</v>
          </cell>
          <cell r="G103">
            <v>0.17</v>
          </cell>
          <cell r="H103">
            <v>30</v>
          </cell>
          <cell r="I103" t="str">
            <v>матрица</v>
          </cell>
          <cell r="K103">
            <v>49</v>
          </cell>
          <cell r="L103">
            <v>-42</v>
          </cell>
          <cell r="O103">
            <v>0</v>
          </cell>
          <cell r="S103">
            <v>1.4</v>
          </cell>
        </row>
        <row r="104">
          <cell r="A104" t="str">
            <v xml:space="preserve"> 556  Колбаса Сервелат Ореховый ТМ Вязанка в оболочке фиброуз в вакуумной упаковке, ВЕС  ПОКОМ</v>
          </cell>
          <cell r="B104" t="str">
            <v>кг</v>
          </cell>
          <cell r="C104">
            <v>-37.613</v>
          </cell>
          <cell r="D104">
            <v>72.566999999999993</v>
          </cell>
          <cell r="E104">
            <v>37.179000000000002</v>
          </cell>
          <cell r="F104">
            <v>7.1829999999999998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50.6</v>
          </cell>
          <cell r="L104">
            <v>-13.420999999999999</v>
          </cell>
          <cell r="O104">
            <v>60</v>
          </cell>
          <cell r="S104">
            <v>7.4358000000000004</v>
          </cell>
          <cell r="T104">
            <v>40</v>
          </cell>
          <cell r="U104" t="str">
            <v>150КГ</v>
          </cell>
          <cell r="V104" t="str">
            <v>Промо жц</v>
          </cell>
        </row>
        <row r="105">
          <cell r="A105" t="str">
            <v xml:space="preserve"> 557  Колбаса Сервелат Финский ТМ Вязанка в оболочке фиброуз в вакуумной упаковке, ВЕС  ПОКОМ</v>
          </cell>
          <cell r="B105" t="str">
            <v>кг</v>
          </cell>
          <cell r="C105">
            <v>3.0009999999999999</v>
          </cell>
          <cell r="D105">
            <v>84.167000000000002</v>
          </cell>
          <cell r="E105">
            <v>44.923999999999999</v>
          </cell>
          <cell r="F105">
            <v>38.671999999999997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55.8</v>
          </cell>
          <cell r="L105">
            <v>-10.875999999999998</v>
          </cell>
          <cell r="O105">
            <v>70</v>
          </cell>
          <cell r="S105">
            <v>8.9847999999999999</v>
          </cell>
          <cell r="T105">
            <v>40</v>
          </cell>
          <cell r="U105" t="str">
            <v>150КГ</v>
          </cell>
          <cell r="V105" t="str">
            <v>Промо жц</v>
          </cell>
        </row>
        <row r="106">
          <cell r="A106" t="str">
            <v xml:space="preserve"> 558  Колбаса Балыковая НОВАЯ ВЕС Вязанка фиброуз в/у ПОКОМ</v>
          </cell>
          <cell r="B106" t="str">
            <v>кг</v>
          </cell>
          <cell r="C106">
            <v>8.9009999999999998</v>
          </cell>
          <cell r="E106">
            <v>14.801</v>
          </cell>
          <cell r="F106">
            <v>0.46800000000000003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79.3</v>
          </cell>
          <cell r="L106">
            <v>-64.498999999999995</v>
          </cell>
          <cell r="O106">
            <v>70</v>
          </cell>
          <cell r="S106">
            <v>2.9601999999999999</v>
          </cell>
          <cell r="T106">
            <v>50</v>
          </cell>
          <cell r="U106" t="str">
            <v>150КГ</v>
          </cell>
          <cell r="V106" t="str">
            <v>Промо жц</v>
          </cell>
        </row>
        <row r="107">
          <cell r="A107" t="str">
            <v xml:space="preserve"> 564  Сосиски Сочные 0,3 кг ТМ Вязанка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O107">
            <v>0</v>
          </cell>
          <cell r="S107">
            <v>0</v>
          </cell>
        </row>
        <row r="108">
          <cell r="A108" t="str">
            <v xml:space="preserve"> 567 Колбаса Со шпиком Стародворская ТМ Стародворье в оболочке полиамид ВЕС  ПОКОМ</v>
          </cell>
          <cell r="B108" t="str">
            <v>кг</v>
          </cell>
          <cell r="G108">
            <v>0</v>
          </cell>
          <cell r="I108" t="str">
            <v>матрица</v>
          </cell>
          <cell r="L108">
            <v>0</v>
          </cell>
          <cell r="O108">
            <v>0</v>
          </cell>
          <cell r="S108">
            <v>0</v>
          </cell>
        </row>
        <row r="109">
          <cell r="A109" t="str">
            <v xml:space="preserve"> 569  Колбаса Балыковая ТМ Вязанка в оболочке фиброуз в вакуумной упаковке 0,28 кг срез.  ПОКОМ</v>
          </cell>
          <cell r="B109" t="str">
            <v>шт</v>
          </cell>
          <cell r="C109">
            <v>3</v>
          </cell>
          <cell r="D109">
            <v>72</v>
          </cell>
          <cell r="E109">
            <v>37</v>
          </cell>
          <cell r="F109">
            <v>2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228</v>
          </cell>
          <cell r="L109">
            <v>-191</v>
          </cell>
          <cell r="O109">
            <v>90</v>
          </cell>
          <cell r="S109">
            <v>7.4</v>
          </cell>
          <cell r="T109">
            <v>80</v>
          </cell>
          <cell r="U109" t="str">
            <v>200ШТ</v>
          </cell>
        </row>
        <row r="110">
          <cell r="A110" t="str">
            <v xml:space="preserve"> 570  Колбаса Сервелат Финский ТМ Вязанка в оболочке фиброуз в вак. упаковке 0,28 кг срез  ПОКОМ</v>
          </cell>
          <cell r="B110" t="str">
            <v>шт</v>
          </cell>
          <cell r="C110">
            <v>1</v>
          </cell>
          <cell r="D110">
            <v>72</v>
          </cell>
          <cell r="E110">
            <v>44</v>
          </cell>
          <cell r="G110">
            <v>0.28000000000000003</v>
          </cell>
          <cell r="H110">
            <v>40</v>
          </cell>
          <cell r="I110" t="str">
            <v>НЕДОГРУЗ / матрица</v>
          </cell>
          <cell r="K110">
            <v>147</v>
          </cell>
          <cell r="L110">
            <v>-103</v>
          </cell>
          <cell r="O110">
            <v>90</v>
          </cell>
          <cell r="S110">
            <v>8.8000000000000007</v>
          </cell>
          <cell r="T110">
            <v>100</v>
          </cell>
          <cell r="U110" t="str">
            <v>250ШТ</v>
          </cell>
        </row>
        <row r="111">
          <cell r="A111" t="str">
            <v xml:space="preserve"> 571  Колбаса Сервелат Ореховый ТМ Вязанка в оболочке фиброуз в вак. упаковке 0,28 кг срез  ПОКОМ</v>
          </cell>
          <cell r="B111" t="str">
            <v>шт</v>
          </cell>
          <cell r="C111">
            <v>-6</v>
          </cell>
          <cell r="D111">
            <v>54</v>
          </cell>
          <cell r="E111">
            <v>24</v>
          </cell>
          <cell r="F111">
            <v>-7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158</v>
          </cell>
          <cell r="L111">
            <v>-134</v>
          </cell>
          <cell r="O111">
            <v>60</v>
          </cell>
          <cell r="S111">
            <v>4.8</v>
          </cell>
          <cell r="T111">
            <v>80</v>
          </cell>
          <cell r="U111" t="str">
            <v>250ШТ</v>
          </cell>
        </row>
        <row r="112">
          <cell r="A112" t="str">
            <v xml:space="preserve"> 574  Колбаса Сервелат Финский ТМ Вязанка в упаковке скин 0,09 кг нарезка  ПОКОМ</v>
          </cell>
          <cell r="B112" t="str">
            <v>шт</v>
          </cell>
          <cell r="C112">
            <v>104</v>
          </cell>
          <cell r="E112">
            <v>75</v>
          </cell>
          <cell r="F112">
            <v>28</v>
          </cell>
          <cell r="G112">
            <v>0.09</v>
          </cell>
          <cell r="H112">
            <v>45</v>
          </cell>
          <cell r="I112" t="str">
            <v>матрица</v>
          </cell>
          <cell r="K112">
            <v>73</v>
          </cell>
          <cell r="L112">
            <v>2</v>
          </cell>
          <cell r="O112">
            <v>40</v>
          </cell>
          <cell r="S112">
            <v>15</v>
          </cell>
          <cell r="T112">
            <v>97</v>
          </cell>
        </row>
        <row r="113">
          <cell r="A113" t="str">
            <v xml:space="preserve"> 579  Колбаса Ветчинно-рубленая ТМ Особый рецепт в оболочке полиамид.ВЕС  ПОКОМ</v>
          </cell>
          <cell r="B113" t="str">
            <v>кг</v>
          </cell>
          <cell r="C113">
            <v>62.417000000000002</v>
          </cell>
          <cell r="D113">
            <v>61.363999999999997</v>
          </cell>
          <cell r="E113">
            <v>32.317999999999998</v>
          </cell>
          <cell r="F113">
            <v>91.462999999999994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32.5</v>
          </cell>
          <cell r="L113">
            <v>-0.18200000000000216</v>
          </cell>
          <cell r="O113">
            <v>0</v>
          </cell>
          <cell r="S113">
            <v>6.4635999999999996</v>
          </cell>
        </row>
        <row r="114">
          <cell r="A114" t="str">
            <v xml:space="preserve"> 580  Ветчина Нежная с индейкой ТМ Особый рецепт в оболочке полиамид.ВЕС  ПОКОМ</v>
          </cell>
          <cell r="B114" t="str">
            <v>кг</v>
          </cell>
          <cell r="C114">
            <v>49.819000000000003</v>
          </cell>
          <cell r="D114">
            <v>117.717</v>
          </cell>
          <cell r="E114">
            <v>57.116</v>
          </cell>
          <cell r="F114">
            <v>110.42</v>
          </cell>
          <cell r="G114">
            <v>1</v>
          </cell>
          <cell r="H114">
            <v>50</v>
          </cell>
          <cell r="I114" t="str">
            <v>матрица</v>
          </cell>
          <cell r="K114">
            <v>57.5</v>
          </cell>
          <cell r="L114">
            <v>-0.38400000000000034</v>
          </cell>
          <cell r="O114">
            <v>0</v>
          </cell>
          <cell r="S114">
            <v>11.4232</v>
          </cell>
          <cell r="T114">
            <v>15.235199999999992</v>
          </cell>
        </row>
        <row r="115">
          <cell r="A115" t="str">
            <v xml:space="preserve"> 583  Колбаса Балыковая ТМ Вязанка в упаковке скин 0,09 кг нарезка  ПОКОМ</v>
          </cell>
          <cell r="B115" t="str">
            <v>шт</v>
          </cell>
          <cell r="C115">
            <v>72</v>
          </cell>
          <cell r="D115">
            <v>40</v>
          </cell>
          <cell r="E115">
            <v>69</v>
          </cell>
          <cell r="F115">
            <v>43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65</v>
          </cell>
          <cell r="L115">
            <v>4</v>
          </cell>
          <cell r="O115">
            <v>0</v>
          </cell>
          <cell r="S115">
            <v>13.8</v>
          </cell>
          <cell r="T115">
            <v>108.80000000000001</v>
          </cell>
        </row>
        <row r="116">
          <cell r="A116" t="str">
            <v xml:space="preserve"> 584  Колбаса Сервелат Ореховый ТМ Вязанка в упаковке скин 0,09 кг нарезка  ПОКОМ</v>
          </cell>
          <cell r="B116" t="str">
            <v>шт</v>
          </cell>
          <cell r="C116">
            <v>98</v>
          </cell>
          <cell r="D116">
            <v>40</v>
          </cell>
          <cell r="E116">
            <v>73</v>
          </cell>
          <cell r="F116">
            <v>65</v>
          </cell>
          <cell r="G116">
            <v>0.09</v>
          </cell>
          <cell r="H116">
            <v>45</v>
          </cell>
          <cell r="I116" t="str">
            <v>матрица</v>
          </cell>
          <cell r="K116">
            <v>69</v>
          </cell>
          <cell r="L116">
            <v>4</v>
          </cell>
          <cell r="O116">
            <v>0</v>
          </cell>
          <cell r="S116">
            <v>14.6</v>
          </cell>
          <cell r="T116">
            <v>95.6</v>
          </cell>
        </row>
        <row r="117">
          <cell r="A117" t="str">
            <v xml:space="preserve"> 585  Колбаса Молочная ТМ Стародворье в оболочке вектор НД ВЕС.  ПОКОМ</v>
          </cell>
          <cell r="B117" t="str">
            <v>кг</v>
          </cell>
          <cell r="C117">
            <v>45.308999999999997</v>
          </cell>
          <cell r="D117">
            <v>124.624</v>
          </cell>
          <cell r="E117">
            <v>84.948999999999998</v>
          </cell>
          <cell r="F117">
            <v>66.415000000000006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103.6</v>
          </cell>
          <cell r="L117">
            <v>-18.650999999999996</v>
          </cell>
          <cell r="O117">
            <v>21.829000000000001</v>
          </cell>
          <cell r="S117">
            <v>16.989799999999999</v>
          </cell>
          <cell r="T117">
            <v>98.643799999999985</v>
          </cell>
          <cell r="U117" t="str">
            <v>55 КГ</v>
          </cell>
          <cell r="V117" t="str">
            <v>Промо ЖЦ</v>
          </cell>
        </row>
        <row r="118">
          <cell r="A118" t="str">
            <v xml:space="preserve"> 586  Колбаса Мясная ТМ Стародворье в оболочке вектор НД ВЕС.  ПОКОМ</v>
          </cell>
          <cell r="B118" t="str">
            <v>кг</v>
          </cell>
          <cell r="C118">
            <v>117.34099999999999</v>
          </cell>
          <cell r="D118">
            <v>107.21</v>
          </cell>
          <cell r="E118">
            <v>119.982</v>
          </cell>
          <cell r="F118">
            <v>89.879000000000005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133.5</v>
          </cell>
          <cell r="L118">
            <v>-13.518000000000001</v>
          </cell>
          <cell r="O118">
            <v>84.348247999999984</v>
          </cell>
          <cell r="Q118">
            <v>98.619752000000005</v>
          </cell>
          <cell r="S118">
            <v>23.996400000000001</v>
          </cell>
          <cell r="U118" t="str">
            <v>100КГ</v>
          </cell>
          <cell r="V118" t="str">
            <v>Промо ЖЦ</v>
          </cell>
        </row>
        <row r="119">
          <cell r="A119" t="str">
            <v xml:space="preserve"> 588 Колбаса Со шпиком ТМ Стародворье в оболочке вектор ВЕС  ПОКОМ</v>
          </cell>
          <cell r="B119" t="str">
            <v>кг</v>
          </cell>
          <cell r="C119">
            <v>16.047999999999998</v>
          </cell>
          <cell r="D119">
            <v>77.198999999999998</v>
          </cell>
          <cell r="E119">
            <v>26.04</v>
          </cell>
          <cell r="F119">
            <v>57.037999999999997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44.9</v>
          </cell>
          <cell r="L119">
            <v>-18.86</v>
          </cell>
          <cell r="O119">
            <v>20.714399999999991</v>
          </cell>
          <cell r="S119">
            <v>5.2080000000000002</v>
          </cell>
        </row>
        <row r="120">
          <cell r="A120" t="str">
            <v xml:space="preserve"> 597  Колбаса Классическая ТМ Особый рецепт в оболочке полиамид ВЕС. ПОКОМ</v>
          </cell>
          <cell r="B120" t="str">
            <v>кг</v>
          </cell>
          <cell r="C120">
            <v>543.221</v>
          </cell>
          <cell r="D120">
            <v>1404.4860000000001</v>
          </cell>
          <cell r="E120">
            <v>520.83399999999995</v>
          </cell>
          <cell r="F120">
            <v>1391.7339999999999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817.46500000000003</v>
          </cell>
          <cell r="L120">
            <v>-296.63100000000009</v>
          </cell>
          <cell r="O120">
            <v>0</v>
          </cell>
          <cell r="S120">
            <v>104.16679999999999</v>
          </cell>
        </row>
        <row r="121">
          <cell r="A121" t="str">
            <v xml:space="preserve"> 614  Буженина в пряном маринаде 0,25 кг консервы из мяса индейки ТМ Стародворье  ПОКОМ</v>
          </cell>
          <cell r="B121" t="str">
            <v>шт</v>
          </cell>
          <cell r="C121">
            <v>5</v>
          </cell>
          <cell r="D121">
            <v>168</v>
          </cell>
          <cell r="E121">
            <v>52</v>
          </cell>
          <cell r="F121">
            <v>121</v>
          </cell>
          <cell r="G121">
            <v>0.25</v>
          </cell>
          <cell r="H121">
            <v>1096</v>
          </cell>
          <cell r="I121" t="str">
            <v>НЕДОГРУЗ / матрица</v>
          </cell>
          <cell r="K121">
            <v>61</v>
          </cell>
          <cell r="L121">
            <v>-9</v>
          </cell>
          <cell r="O121">
            <v>180</v>
          </cell>
          <cell r="S121">
            <v>10.4</v>
          </cell>
          <cell r="T121">
            <v>60</v>
          </cell>
        </row>
        <row r="122">
          <cell r="A122" t="str">
            <v xml:space="preserve"> 615  Гречка по-купечески с говядиной и овощами 0,325кг ТМ Стародворье  ПОКОМ</v>
          </cell>
          <cell r="B122" t="str">
            <v>шт</v>
          </cell>
          <cell r="C122">
            <v>121</v>
          </cell>
          <cell r="D122">
            <v>111</v>
          </cell>
          <cell r="E122">
            <v>56</v>
          </cell>
          <cell r="F122">
            <v>95</v>
          </cell>
          <cell r="G122">
            <v>0.32500000000000001</v>
          </cell>
          <cell r="H122">
            <v>1096</v>
          </cell>
          <cell r="I122" t="str">
            <v>НЕДОГРУЗ / матрица</v>
          </cell>
          <cell r="K122">
            <v>44</v>
          </cell>
          <cell r="L122">
            <v>12</v>
          </cell>
          <cell r="O122">
            <v>110</v>
          </cell>
          <cell r="S122">
            <v>11.2</v>
          </cell>
          <cell r="T122">
            <v>20</v>
          </cell>
          <cell r="U122" t="str">
            <v>400шт</v>
          </cell>
          <cell r="V122" t="str">
            <v>Промо N+1</v>
          </cell>
        </row>
        <row r="123">
          <cell r="A123" t="str">
            <v xml:space="preserve"> 616  Индейка томлёная в собственном соку 0,25кг ТМ Стародлворье Консервый из мяс.птицы  ПОКОМ</v>
          </cell>
          <cell r="B123" t="str">
            <v>шт</v>
          </cell>
          <cell r="C123">
            <v>150</v>
          </cell>
          <cell r="D123">
            <v>480</v>
          </cell>
          <cell r="E123">
            <v>216</v>
          </cell>
          <cell r="F123">
            <v>414</v>
          </cell>
          <cell r="G123">
            <v>0.25</v>
          </cell>
          <cell r="H123">
            <v>1096</v>
          </cell>
          <cell r="I123" t="str">
            <v>матрица</v>
          </cell>
          <cell r="K123">
            <v>239</v>
          </cell>
          <cell r="L123">
            <v>-23</v>
          </cell>
          <cell r="O123">
            <v>130.64739999999989</v>
          </cell>
          <cell r="Q123">
            <v>50</v>
          </cell>
          <cell r="S123">
            <v>43.2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C124">
            <v>-13</v>
          </cell>
          <cell r="E124">
            <v>-1</v>
          </cell>
          <cell r="F124">
            <v>-13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14</v>
          </cell>
          <cell r="L124">
            <v>-15</v>
          </cell>
          <cell r="O124">
            <v>36</v>
          </cell>
          <cell r="S124">
            <v>-0.2</v>
          </cell>
          <cell r="T124">
            <v>60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C125">
            <v>3</v>
          </cell>
          <cell r="E125">
            <v>-10</v>
          </cell>
          <cell r="F125">
            <v>3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33</v>
          </cell>
          <cell r="L125">
            <v>-43</v>
          </cell>
          <cell r="O125">
            <v>60</v>
          </cell>
          <cell r="S125">
            <v>-2</v>
          </cell>
          <cell r="T125">
            <v>60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0.23799999999999999</v>
          </cell>
          <cell r="D126">
            <v>53.085000000000001</v>
          </cell>
          <cell r="E126">
            <v>9.26</v>
          </cell>
          <cell r="F126">
            <v>42.704999999999998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9.1</v>
          </cell>
          <cell r="L126">
            <v>0.16000000000000014</v>
          </cell>
          <cell r="O126">
            <v>0</v>
          </cell>
          <cell r="S126">
            <v>1.8519999999999999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C127">
            <v>2</v>
          </cell>
          <cell r="E127">
            <v>-2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17</v>
          </cell>
          <cell r="L127">
            <v>-19</v>
          </cell>
          <cell r="O127">
            <v>90</v>
          </cell>
          <cell r="S127">
            <v>-0.4</v>
          </cell>
          <cell r="T127">
            <v>40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35</v>
          </cell>
          <cell r="D128">
            <v>46</v>
          </cell>
          <cell r="E128">
            <v>39</v>
          </cell>
          <cell r="F128">
            <v>39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50</v>
          </cell>
          <cell r="L128">
            <v>-11</v>
          </cell>
          <cell r="O128">
            <v>70</v>
          </cell>
          <cell r="S128">
            <v>7.8</v>
          </cell>
          <cell r="T128">
            <v>20</v>
          </cell>
        </row>
        <row r="129">
          <cell r="A129" t="str">
            <v>БОНУС_ 334  Паштет Любительский ТМ Стародворье ламистер 0,1 кг  ПОКОМ</v>
          </cell>
          <cell r="B129" t="str">
            <v>шт</v>
          </cell>
          <cell r="D129">
            <v>38</v>
          </cell>
          <cell r="E129">
            <v>14</v>
          </cell>
          <cell r="F129">
            <v>24</v>
          </cell>
          <cell r="G129">
            <v>0</v>
          </cell>
          <cell r="I129" t="str">
            <v>бонус</v>
          </cell>
          <cell r="J129" t="str">
            <v xml:space="preserve"> 334  Паштет Любительский ТМ Стародворье ламистер 0,1 кг  ПОКОМ</v>
          </cell>
          <cell r="K129">
            <v>14</v>
          </cell>
          <cell r="L129">
            <v>0</v>
          </cell>
          <cell r="S129">
            <v>2.8</v>
          </cell>
        </row>
        <row r="130">
          <cell r="A130" t="str">
            <v>БОНУС_615  Гречка по-купечески с говядиной и овощами 0,325кг ТМ Стародворье  ПОКОМ</v>
          </cell>
          <cell r="B130" t="str">
            <v>шт</v>
          </cell>
          <cell r="C130">
            <v>-66</v>
          </cell>
          <cell r="D130">
            <v>80</v>
          </cell>
          <cell r="E130">
            <v>12</v>
          </cell>
          <cell r="G130">
            <v>0</v>
          </cell>
          <cell r="I130" t="str">
            <v>бонус</v>
          </cell>
          <cell r="J130" t="str">
            <v xml:space="preserve"> 615  Гречка по-купечески с говядиной и овощами 0,325кг ТМ Стародворье  ПОКОМ</v>
          </cell>
          <cell r="K130">
            <v>14</v>
          </cell>
          <cell r="L130">
            <v>-2</v>
          </cell>
          <cell r="O130">
            <v>0</v>
          </cell>
          <cell r="S130">
            <v>2.4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0" sqref="X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17" customWidth="1"/>
    <col min="17" max="23" width="7" customWidth="1"/>
    <col min="24" max="24" width="7" style="17" customWidth="1"/>
    <col min="25" max="25" width="8.7109375" style="17" customWidth="1"/>
    <col min="26" max="27" width="5" customWidth="1"/>
    <col min="28" max="37" width="6" customWidth="1"/>
    <col min="38" max="38" width="9.28515625" customWidth="1"/>
    <col min="39" max="39" width="7" customWidth="1"/>
  </cols>
  <sheetData>
    <row r="1" spans="1:40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9">
        <v>0.22</v>
      </c>
      <c r="W1" s="19">
        <v>860</v>
      </c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>
        <f>AM2-AM5</f>
        <v>-1</v>
      </c>
    </row>
    <row r="2" spans="1:40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 t="s">
        <v>0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>
        <v>8600</v>
      </c>
    </row>
    <row r="3" spans="1:4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16</v>
      </c>
      <c r="U3" s="2" t="s">
        <v>17</v>
      </c>
      <c r="V3" s="2" t="s">
        <v>18</v>
      </c>
      <c r="W3" s="2" t="s">
        <v>18</v>
      </c>
      <c r="X3" s="2" t="s">
        <v>19</v>
      </c>
      <c r="Y3" s="2" t="s">
        <v>20</v>
      </c>
      <c r="Z3" s="1" t="s">
        <v>21</v>
      </c>
      <c r="AA3" s="1" t="s">
        <v>22</v>
      </c>
      <c r="AB3" s="1" t="s">
        <v>23</v>
      </c>
      <c r="AC3" s="1" t="s">
        <v>23</v>
      </c>
      <c r="AD3" s="1" t="s">
        <v>23</v>
      </c>
      <c r="AE3" s="1" t="s">
        <v>23</v>
      </c>
      <c r="AF3" s="1" t="s">
        <v>23</v>
      </c>
      <c r="AG3" s="1" t="s">
        <v>23</v>
      </c>
      <c r="AH3" s="1" t="s">
        <v>23</v>
      </c>
      <c r="AI3" s="1" t="s">
        <v>23</v>
      </c>
      <c r="AJ3" s="1" t="s">
        <v>23</v>
      </c>
      <c r="AK3" s="1" t="s">
        <v>23</v>
      </c>
      <c r="AL3" s="1" t="s">
        <v>24</v>
      </c>
      <c r="AM3" s="1" t="s">
        <v>25</v>
      </c>
    </row>
    <row r="4" spans="1:40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26</v>
      </c>
      <c r="P4" s="16" t="s">
        <v>27</v>
      </c>
      <c r="Q4" s="16" t="s">
        <v>28</v>
      </c>
      <c r="R4" s="16" t="s">
        <v>29</v>
      </c>
      <c r="S4" s="16" t="s">
        <v>30</v>
      </c>
      <c r="T4" s="16" t="s">
        <v>31</v>
      </c>
      <c r="U4" s="16"/>
      <c r="V4" s="16" t="s">
        <v>32</v>
      </c>
      <c r="W4" s="16" t="s">
        <v>33</v>
      </c>
      <c r="X4" s="16" t="s">
        <v>34</v>
      </c>
      <c r="Y4" s="16"/>
      <c r="Z4" s="16"/>
      <c r="AA4" s="16"/>
      <c r="AB4" s="16" t="s">
        <v>29</v>
      </c>
      <c r="AC4" s="16" t="s">
        <v>35</v>
      </c>
      <c r="AD4" s="16" t="s">
        <v>36</v>
      </c>
      <c r="AE4" s="16" t="s">
        <v>37</v>
      </c>
      <c r="AF4" s="16" t="s">
        <v>38</v>
      </c>
      <c r="AG4" s="16" t="s">
        <v>39</v>
      </c>
      <c r="AH4" s="16" t="s">
        <v>40</v>
      </c>
      <c r="AI4" s="16" t="s">
        <v>41</v>
      </c>
      <c r="AJ4" s="16" t="s">
        <v>42</v>
      </c>
      <c r="AK4" s="16" t="s">
        <v>43</v>
      </c>
      <c r="AL4" s="16"/>
      <c r="AM4" s="16"/>
    </row>
    <row r="5" spans="1:40" x14ac:dyDescent="0.25">
      <c r="A5" s="16"/>
      <c r="B5" s="16"/>
      <c r="C5" s="16"/>
      <c r="D5" s="16"/>
      <c r="E5" s="3">
        <f>SUM(E6:E498)</f>
        <v>19331.518</v>
      </c>
      <c r="F5" s="3">
        <f>SUM(F6:F498)</f>
        <v>15701.151000000007</v>
      </c>
      <c r="G5" s="6"/>
      <c r="H5" s="16"/>
      <c r="I5" s="16"/>
      <c r="J5" s="16"/>
      <c r="K5" s="3">
        <f t="shared" ref="K5:W5" si="0">SUM(K6:K498)</f>
        <v>29614.352999999992</v>
      </c>
      <c r="L5" s="3">
        <f t="shared" si="0"/>
        <v>-10282.835000000003</v>
      </c>
      <c r="M5" s="3">
        <f t="shared" si="0"/>
        <v>0</v>
      </c>
      <c r="N5" s="3">
        <f t="shared" si="0"/>
        <v>0</v>
      </c>
      <c r="O5" s="3">
        <f t="shared" si="0"/>
        <v>12201.823529065998</v>
      </c>
      <c r="P5" s="3">
        <f t="shared" si="0"/>
        <v>-2947.0476190476193</v>
      </c>
      <c r="Q5" s="3">
        <f t="shared" si="0"/>
        <v>2300</v>
      </c>
      <c r="R5" s="3">
        <f t="shared" si="0"/>
        <v>4837.178933442</v>
      </c>
      <c r="S5" s="3">
        <f t="shared" si="0"/>
        <v>-162.5</v>
      </c>
      <c r="T5" s="3">
        <f t="shared" si="0"/>
        <v>3866.303600000002</v>
      </c>
      <c r="U5" s="3">
        <f t="shared" si="0"/>
        <v>12634.501305691998</v>
      </c>
      <c r="V5" s="3">
        <f t="shared" si="0"/>
        <v>14129.167123691999</v>
      </c>
      <c r="W5" s="3">
        <f t="shared" si="0"/>
        <v>860</v>
      </c>
      <c r="X5" s="3"/>
      <c r="Y5" s="3"/>
      <c r="Z5" s="16"/>
      <c r="AA5" s="16"/>
      <c r="AB5" s="3">
        <f t="shared" ref="AB5:AK5" si="1">SUM(AB6:AB498)</f>
        <v>3655.0625999999988</v>
      </c>
      <c r="AC5" s="3">
        <f t="shared" si="1"/>
        <v>3643.1342000000018</v>
      </c>
      <c r="AD5" s="3">
        <f t="shared" si="1"/>
        <v>4217.0311999999985</v>
      </c>
      <c r="AE5" s="3">
        <f t="shared" si="1"/>
        <v>4217.0490000000009</v>
      </c>
      <c r="AF5" s="3">
        <f t="shared" si="1"/>
        <v>3809.9485999999984</v>
      </c>
      <c r="AG5" s="3">
        <f t="shared" si="1"/>
        <v>4467.6592000000001</v>
      </c>
      <c r="AH5" s="3">
        <f t="shared" si="1"/>
        <v>4046.9829999999988</v>
      </c>
      <c r="AI5" s="3">
        <f t="shared" si="1"/>
        <v>3390.857199999999</v>
      </c>
      <c r="AJ5" s="3">
        <f t="shared" si="1"/>
        <v>3745.7852000000003</v>
      </c>
      <c r="AK5" s="3">
        <f t="shared" si="1"/>
        <v>4644.2882000000009</v>
      </c>
      <c r="AL5" s="16"/>
      <c r="AM5" s="3">
        <f>SUM(AM6:AM498)</f>
        <v>8601</v>
      </c>
    </row>
    <row r="6" spans="1:40" x14ac:dyDescent="0.25">
      <c r="A6" s="16" t="s">
        <v>44</v>
      </c>
      <c r="B6" s="16" t="s">
        <v>45</v>
      </c>
      <c r="C6" s="16">
        <v>289.48200000000003</v>
      </c>
      <c r="D6" s="16">
        <v>187.52500000000001</v>
      </c>
      <c r="E6" s="16">
        <v>217.22300000000001</v>
      </c>
      <c r="F6" s="16">
        <v>254.55199999999999</v>
      </c>
      <c r="G6" s="6">
        <v>1</v>
      </c>
      <c r="H6" s="16">
        <v>50</v>
      </c>
      <c r="I6" s="16" t="s">
        <v>46</v>
      </c>
      <c r="J6" s="16"/>
      <c r="K6" s="16">
        <v>208.7</v>
      </c>
      <c r="L6" s="16">
        <f t="shared" ref="L6:L37" si="2">E6-K6</f>
        <v>8.5230000000000246</v>
      </c>
      <c r="M6" s="16"/>
      <c r="N6" s="16"/>
      <c r="O6" s="16">
        <v>118.51223330800001</v>
      </c>
      <c r="P6" s="16"/>
      <c r="Q6" s="16"/>
      <c r="R6" s="16">
        <v>138.564194692</v>
      </c>
      <c r="S6" s="16"/>
      <c r="T6" s="16">
        <f t="shared" ref="T6:T37" si="3">E6/5</f>
        <v>43.444600000000001</v>
      </c>
      <c r="U6" s="4"/>
      <c r="V6" s="4">
        <f>U6</f>
        <v>0</v>
      </c>
      <c r="W6" s="4"/>
      <c r="X6" s="16"/>
      <c r="Y6" s="16"/>
      <c r="Z6" s="16">
        <f t="shared" ref="Z6:Z37" si="4">(F6+O6+Q6+R6+S6+V6)/T6</f>
        <v>11.776571265473729</v>
      </c>
      <c r="AA6" s="16">
        <f t="shared" ref="AA6:AA37" si="5">(F6+O6+Q6+R6+S6)/T6</f>
        <v>11.776571265473729</v>
      </c>
      <c r="AB6" s="16">
        <v>50.715400000000002</v>
      </c>
      <c r="AC6" s="16">
        <v>50.555</v>
      </c>
      <c r="AD6" s="16">
        <v>49.53</v>
      </c>
      <c r="AE6" s="16">
        <v>63.962800000000001</v>
      </c>
      <c r="AF6" s="16">
        <v>58.955199999999998</v>
      </c>
      <c r="AG6" s="16">
        <v>54.327599999999997</v>
      </c>
      <c r="AH6" s="16">
        <v>47.706800000000001</v>
      </c>
      <c r="AI6" s="16">
        <v>28.063800000000001</v>
      </c>
      <c r="AJ6" s="16">
        <v>26.715599999999998</v>
      </c>
      <c r="AK6" s="16">
        <v>48.6646</v>
      </c>
      <c r="AL6" s="16"/>
      <c r="AM6" s="16">
        <f t="shared" ref="AM6:AM37" si="6">ROUND(G6*V6,0)</f>
        <v>0</v>
      </c>
      <c r="AN6" t="s">
        <v>47</v>
      </c>
    </row>
    <row r="7" spans="1:40" x14ac:dyDescent="0.25">
      <c r="A7" s="16" t="s">
        <v>48</v>
      </c>
      <c r="B7" s="16" t="s">
        <v>45</v>
      </c>
      <c r="C7" s="16">
        <v>212</v>
      </c>
      <c r="D7" s="16">
        <v>999.79</v>
      </c>
      <c r="E7" s="16">
        <v>393.05799999999999</v>
      </c>
      <c r="F7" s="16">
        <v>797.125</v>
      </c>
      <c r="G7" s="6">
        <v>1</v>
      </c>
      <c r="H7" s="16">
        <v>45</v>
      </c>
      <c r="I7" s="16" t="s">
        <v>46</v>
      </c>
      <c r="J7" s="16"/>
      <c r="K7" s="16">
        <v>516.9</v>
      </c>
      <c r="L7" s="16">
        <f t="shared" si="2"/>
        <v>-123.84199999999998</v>
      </c>
      <c r="M7" s="16"/>
      <c r="N7" s="16"/>
      <c r="O7" s="16">
        <v>345.50576219999988</v>
      </c>
      <c r="P7" s="16"/>
      <c r="Q7" s="16"/>
      <c r="R7" s="16">
        <v>200</v>
      </c>
      <c r="S7" s="16"/>
      <c r="T7" s="16">
        <f t="shared" si="3"/>
        <v>78.611599999999996</v>
      </c>
      <c r="U7" s="4"/>
      <c r="V7" s="4">
        <f>U7</f>
        <v>0</v>
      </c>
      <c r="W7" s="4"/>
      <c r="X7" s="16"/>
      <c r="Y7" s="16"/>
      <c r="Z7" s="16">
        <f t="shared" si="4"/>
        <v>17.079295704450743</v>
      </c>
      <c r="AA7" s="16">
        <f t="shared" si="5"/>
        <v>17.079295704450743</v>
      </c>
      <c r="AB7" s="16">
        <v>107.873</v>
      </c>
      <c r="AC7" s="16">
        <v>130.68199999999999</v>
      </c>
      <c r="AD7" s="16">
        <v>153.03919999999999</v>
      </c>
      <c r="AE7" s="16">
        <v>75.238799999999998</v>
      </c>
      <c r="AF7" s="16">
        <v>35.7254</v>
      </c>
      <c r="AG7" s="16">
        <v>94.933799999999991</v>
      </c>
      <c r="AH7" s="16">
        <v>81.040400000000005</v>
      </c>
      <c r="AI7" s="16">
        <v>58.811599999999999</v>
      </c>
      <c r="AJ7" s="16">
        <v>63.0702</v>
      </c>
      <c r="AK7" s="16">
        <v>39.780999999999999</v>
      </c>
      <c r="AL7" s="16"/>
      <c r="AM7" s="16">
        <f t="shared" si="6"/>
        <v>0</v>
      </c>
      <c r="AN7" t="s">
        <v>49</v>
      </c>
    </row>
    <row r="8" spans="1:40" x14ac:dyDescent="0.25">
      <c r="A8" s="16" t="s">
        <v>50</v>
      </c>
      <c r="B8" s="16" t="s">
        <v>45</v>
      </c>
      <c r="C8" s="16">
        <v>588.20399999999995</v>
      </c>
      <c r="D8" s="16">
        <v>391.31099999999998</v>
      </c>
      <c r="E8" s="16">
        <v>576.995</v>
      </c>
      <c r="F8" s="16">
        <v>359.01600000000002</v>
      </c>
      <c r="G8" s="6">
        <v>1</v>
      </c>
      <c r="H8" s="16">
        <v>45</v>
      </c>
      <c r="I8" s="16" t="s">
        <v>46</v>
      </c>
      <c r="J8" s="16"/>
      <c r="K8" s="16">
        <v>752.8</v>
      </c>
      <c r="L8" s="16">
        <f t="shared" si="2"/>
        <v>-175.80499999999995</v>
      </c>
      <c r="M8" s="16"/>
      <c r="N8" s="16"/>
      <c r="O8" s="16">
        <v>240.5634916999999</v>
      </c>
      <c r="P8" s="16"/>
      <c r="Q8" s="16"/>
      <c r="R8" s="16">
        <v>80</v>
      </c>
      <c r="S8" s="16"/>
      <c r="T8" s="16">
        <f t="shared" si="3"/>
        <v>115.399</v>
      </c>
      <c r="U8" s="4">
        <f>11*T8-S8-R8-Q8-O8-F8</f>
        <v>589.80950830000029</v>
      </c>
      <c r="V8" s="4">
        <f>U8+$V$1*T8</f>
        <v>615.19728830000031</v>
      </c>
      <c r="W8" s="4"/>
      <c r="X8" s="16"/>
      <c r="Y8" s="16"/>
      <c r="Z8" s="16">
        <f t="shared" si="4"/>
        <v>11.22</v>
      </c>
      <c r="AA8" s="16">
        <f t="shared" si="5"/>
        <v>5.8889547717051274</v>
      </c>
      <c r="AB8" s="16">
        <v>92.236400000000003</v>
      </c>
      <c r="AC8" s="16">
        <v>101.6842</v>
      </c>
      <c r="AD8" s="16">
        <v>112.5746</v>
      </c>
      <c r="AE8" s="16">
        <v>76.619600000000005</v>
      </c>
      <c r="AF8" s="16">
        <v>58.682200000000002</v>
      </c>
      <c r="AG8" s="16">
        <v>110.33499999999999</v>
      </c>
      <c r="AH8" s="16">
        <v>93.042000000000002</v>
      </c>
      <c r="AI8" s="16">
        <v>68.473199999999991</v>
      </c>
      <c r="AJ8" s="16">
        <v>73.171999999999997</v>
      </c>
      <c r="AK8" s="16">
        <v>62.864999999999988</v>
      </c>
      <c r="AL8" s="16"/>
      <c r="AM8" s="16">
        <f t="shared" si="6"/>
        <v>615</v>
      </c>
      <c r="AN8" t="s">
        <v>51</v>
      </c>
    </row>
    <row r="9" spans="1:40" x14ac:dyDescent="0.25">
      <c r="A9" s="10" t="s">
        <v>52</v>
      </c>
      <c r="B9" s="10" t="s">
        <v>53</v>
      </c>
      <c r="C9" s="10"/>
      <c r="D9" s="10"/>
      <c r="E9" s="10"/>
      <c r="F9" s="10"/>
      <c r="G9" s="11">
        <v>0</v>
      </c>
      <c r="H9" s="10"/>
      <c r="I9" s="10" t="s">
        <v>46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/>
      <c r="R9" s="10"/>
      <c r="S9" s="10"/>
      <c r="T9" s="10">
        <f t="shared" si="3"/>
        <v>0</v>
      </c>
      <c r="U9" s="12"/>
      <c r="V9" s="4">
        <f>U9</f>
        <v>0</v>
      </c>
      <c r="W9" s="4"/>
      <c r="X9" s="16"/>
      <c r="Y9" s="16"/>
      <c r="Z9" s="16" t="e">
        <f t="shared" si="4"/>
        <v>#DIV/0!</v>
      </c>
      <c r="AA9" s="10" t="e">
        <f t="shared" si="5"/>
        <v>#DIV/0!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 t="s">
        <v>54</v>
      </c>
      <c r="AM9" s="16">
        <f t="shared" si="6"/>
        <v>0</v>
      </c>
      <c r="AN9" t="s">
        <v>55</v>
      </c>
    </row>
    <row r="10" spans="1:40" x14ac:dyDescent="0.25">
      <c r="A10" s="16" t="s">
        <v>56</v>
      </c>
      <c r="B10" s="16" t="s">
        <v>53</v>
      </c>
      <c r="C10" s="16">
        <v>588</v>
      </c>
      <c r="D10" s="16">
        <v>28</v>
      </c>
      <c r="E10" s="16">
        <v>269</v>
      </c>
      <c r="F10" s="16">
        <v>295</v>
      </c>
      <c r="G10" s="6">
        <v>0.45</v>
      </c>
      <c r="H10" s="16">
        <v>45</v>
      </c>
      <c r="I10" s="16" t="s">
        <v>46</v>
      </c>
      <c r="J10" s="16"/>
      <c r="K10" s="16">
        <v>992</v>
      </c>
      <c r="L10" s="16">
        <f t="shared" si="2"/>
        <v>-723</v>
      </c>
      <c r="M10" s="16"/>
      <c r="N10" s="16"/>
      <c r="O10" s="16">
        <v>289.69240000000002</v>
      </c>
      <c r="P10" s="16"/>
      <c r="Q10" s="16"/>
      <c r="R10" s="16">
        <v>150</v>
      </c>
      <c r="S10" s="16"/>
      <c r="T10" s="16">
        <f t="shared" si="3"/>
        <v>53.8</v>
      </c>
      <c r="U10" s="4"/>
      <c r="V10" s="4">
        <f>U10</f>
        <v>0</v>
      </c>
      <c r="W10" s="4"/>
      <c r="X10" s="16"/>
      <c r="Y10" s="16"/>
      <c r="Z10" s="16">
        <f t="shared" si="4"/>
        <v>13.655992565055763</v>
      </c>
      <c r="AA10" s="16">
        <f t="shared" si="5"/>
        <v>13.655992565055763</v>
      </c>
      <c r="AB10" s="16">
        <v>96.8</v>
      </c>
      <c r="AC10" s="16">
        <v>76.400000000000006</v>
      </c>
      <c r="AD10" s="16">
        <v>41.6</v>
      </c>
      <c r="AE10" s="16">
        <v>60.6</v>
      </c>
      <c r="AF10" s="16">
        <v>118.4</v>
      </c>
      <c r="AG10" s="16">
        <v>112.2</v>
      </c>
      <c r="AH10" s="16">
        <v>85.6</v>
      </c>
      <c r="AI10" s="16">
        <v>78.400000000000006</v>
      </c>
      <c r="AJ10" s="16">
        <v>92.6</v>
      </c>
      <c r="AK10" s="16">
        <v>123.8</v>
      </c>
      <c r="AL10" s="16"/>
      <c r="AM10" s="16">
        <f t="shared" si="6"/>
        <v>0</v>
      </c>
      <c r="AN10" t="s">
        <v>57</v>
      </c>
    </row>
    <row r="11" spans="1:40" x14ac:dyDescent="0.25">
      <c r="A11" s="16" t="s">
        <v>58</v>
      </c>
      <c r="B11" s="16" t="s">
        <v>53</v>
      </c>
      <c r="C11" s="16">
        <v>362</v>
      </c>
      <c r="D11" s="16">
        <v>948</v>
      </c>
      <c r="E11" s="16">
        <v>941</v>
      </c>
      <c r="F11" s="16">
        <v>217</v>
      </c>
      <c r="G11" s="6">
        <v>0.45</v>
      </c>
      <c r="H11" s="16">
        <v>45</v>
      </c>
      <c r="I11" s="16" t="s">
        <v>46</v>
      </c>
      <c r="J11" s="16"/>
      <c r="K11" s="16">
        <v>1262</v>
      </c>
      <c r="L11" s="16">
        <f t="shared" si="2"/>
        <v>-321</v>
      </c>
      <c r="M11" s="16"/>
      <c r="N11" s="16"/>
      <c r="O11" s="16">
        <v>137.83900000000011</v>
      </c>
      <c r="P11" s="16"/>
      <c r="Q11" s="16"/>
      <c r="R11" s="16"/>
      <c r="S11" s="16"/>
      <c r="T11" s="16">
        <f t="shared" si="3"/>
        <v>188.2</v>
      </c>
      <c r="U11" s="4">
        <f>11*T11-S11-R11-Q11-O11-F11</f>
        <v>1715.3609999999996</v>
      </c>
      <c r="V11" s="4">
        <f>U11+$V$1*T11</f>
        <v>1756.7649999999996</v>
      </c>
      <c r="W11" s="4"/>
      <c r="X11" s="16"/>
      <c r="Y11" s="16"/>
      <c r="Z11" s="16">
        <f t="shared" si="4"/>
        <v>11.219999999999999</v>
      </c>
      <c r="AA11" s="16">
        <f t="shared" si="5"/>
        <v>1.885435706695006</v>
      </c>
      <c r="AB11" s="16">
        <v>158.4</v>
      </c>
      <c r="AC11" s="16">
        <v>100.4</v>
      </c>
      <c r="AD11" s="16">
        <v>145.4</v>
      </c>
      <c r="AE11" s="16">
        <v>163</v>
      </c>
      <c r="AF11" s="16">
        <v>152.80000000000001</v>
      </c>
      <c r="AG11" s="16">
        <v>151.19999999999999</v>
      </c>
      <c r="AH11" s="16">
        <v>121.8</v>
      </c>
      <c r="AI11" s="16">
        <v>115.2</v>
      </c>
      <c r="AJ11" s="16">
        <v>136.4</v>
      </c>
      <c r="AK11" s="16">
        <v>154.6</v>
      </c>
      <c r="AL11" s="16" t="s">
        <v>59</v>
      </c>
      <c r="AM11" s="16">
        <f t="shared" si="6"/>
        <v>791</v>
      </c>
      <c r="AN11" t="s">
        <v>60</v>
      </c>
    </row>
    <row r="12" spans="1:40" x14ac:dyDescent="0.25">
      <c r="A12" s="16" t="s">
        <v>61</v>
      </c>
      <c r="B12" s="16" t="s">
        <v>53</v>
      </c>
      <c r="C12" s="16">
        <v>64</v>
      </c>
      <c r="D12" s="16">
        <v>30</v>
      </c>
      <c r="E12" s="16">
        <v>99</v>
      </c>
      <c r="F12" s="16">
        <v>-5</v>
      </c>
      <c r="G12" s="6">
        <v>0.17</v>
      </c>
      <c r="H12" s="16">
        <v>180</v>
      </c>
      <c r="I12" s="16" t="s">
        <v>46</v>
      </c>
      <c r="J12" s="16"/>
      <c r="K12" s="16">
        <v>113</v>
      </c>
      <c r="L12" s="16">
        <f t="shared" si="2"/>
        <v>-14</v>
      </c>
      <c r="M12" s="16"/>
      <c r="N12" s="16"/>
      <c r="O12" s="16">
        <v>33.09999999999998</v>
      </c>
      <c r="P12" s="16"/>
      <c r="Q12" s="16"/>
      <c r="R12" s="16"/>
      <c r="S12" s="16"/>
      <c r="T12" s="16">
        <f t="shared" si="3"/>
        <v>19.8</v>
      </c>
      <c r="U12" s="4">
        <f>11*T12-S12-R12-Q12-O12-F12</f>
        <v>189.70000000000005</v>
      </c>
      <c r="V12" s="4">
        <f>U12</f>
        <v>189.70000000000005</v>
      </c>
      <c r="W12" s="4"/>
      <c r="X12" s="16"/>
      <c r="Y12" s="16"/>
      <c r="Z12" s="16">
        <f t="shared" si="4"/>
        <v>11</v>
      </c>
      <c r="AA12" s="16">
        <f t="shared" si="5"/>
        <v>1.4191919191919182</v>
      </c>
      <c r="AB12" s="16">
        <v>26.4</v>
      </c>
      <c r="AC12" s="16">
        <v>7.6</v>
      </c>
      <c r="AD12" s="16">
        <v>9</v>
      </c>
      <c r="AE12" s="16">
        <v>9.1999999999999993</v>
      </c>
      <c r="AF12" s="16">
        <v>6.6</v>
      </c>
      <c r="AG12" s="16">
        <v>19.399999999999999</v>
      </c>
      <c r="AH12" s="16">
        <v>18</v>
      </c>
      <c r="AI12" s="16">
        <v>11.6</v>
      </c>
      <c r="AJ12" s="16">
        <v>15</v>
      </c>
      <c r="AK12" s="16">
        <v>14</v>
      </c>
      <c r="AL12" s="16"/>
      <c r="AM12" s="16">
        <f t="shared" si="6"/>
        <v>32</v>
      </c>
      <c r="AN12" t="s">
        <v>62</v>
      </c>
    </row>
    <row r="13" spans="1:40" x14ac:dyDescent="0.25">
      <c r="A13" s="16" t="s">
        <v>63</v>
      </c>
      <c r="B13" s="16" t="s">
        <v>53</v>
      </c>
      <c r="C13" s="16">
        <v>3</v>
      </c>
      <c r="D13" s="16">
        <v>51</v>
      </c>
      <c r="E13" s="16">
        <v>34</v>
      </c>
      <c r="F13" s="16">
        <v>6</v>
      </c>
      <c r="G13" s="6">
        <v>0.3</v>
      </c>
      <c r="H13" s="16">
        <v>40</v>
      </c>
      <c r="I13" s="9" t="s">
        <v>64</v>
      </c>
      <c r="J13" s="16"/>
      <c r="K13" s="16">
        <v>113</v>
      </c>
      <c r="L13" s="16">
        <f t="shared" si="2"/>
        <v>-79</v>
      </c>
      <c r="M13" s="16"/>
      <c r="N13" s="16"/>
      <c r="O13" s="16">
        <v>50</v>
      </c>
      <c r="P13" s="16"/>
      <c r="Q13" s="16"/>
      <c r="R13" s="16"/>
      <c r="S13" s="16"/>
      <c r="T13" s="16">
        <f t="shared" si="3"/>
        <v>6.8</v>
      </c>
      <c r="U13" s="4">
        <v>30</v>
      </c>
      <c r="V13" s="4">
        <f>U13</f>
        <v>30</v>
      </c>
      <c r="W13" s="4"/>
      <c r="X13" s="16"/>
      <c r="Y13" s="16"/>
      <c r="Z13" s="16">
        <f t="shared" si="4"/>
        <v>12.647058823529411</v>
      </c>
      <c r="AA13" s="16">
        <f t="shared" si="5"/>
        <v>8.2352941176470598</v>
      </c>
      <c r="AB13" s="16">
        <v>-1.2</v>
      </c>
      <c r="AC13" s="16">
        <v>3.4</v>
      </c>
      <c r="AD13" s="16">
        <v>16.2</v>
      </c>
      <c r="AE13" s="16">
        <v>21.6</v>
      </c>
      <c r="AF13" s="16">
        <v>18.399999999999999</v>
      </c>
      <c r="AG13" s="16">
        <v>34.4</v>
      </c>
      <c r="AH13" s="16">
        <v>29.2</v>
      </c>
      <c r="AI13" s="16">
        <v>16.399999999999999</v>
      </c>
      <c r="AJ13" s="16">
        <v>19.8</v>
      </c>
      <c r="AK13" s="16">
        <v>23.6</v>
      </c>
      <c r="AL13" s="16"/>
      <c r="AM13" s="16">
        <f t="shared" si="6"/>
        <v>9</v>
      </c>
      <c r="AN13" t="s">
        <v>65</v>
      </c>
    </row>
    <row r="14" spans="1:40" x14ac:dyDescent="0.25">
      <c r="A14" s="16" t="s">
        <v>66</v>
      </c>
      <c r="B14" s="16" t="s">
        <v>53</v>
      </c>
      <c r="C14" s="16">
        <v>287</v>
      </c>
      <c r="D14" s="16">
        <v>265</v>
      </c>
      <c r="E14" s="16">
        <v>268</v>
      </c>
      <c r="F14" s="16">
        <v>254</v>
      </c>
      <c r="G14" s="6">
        <v>0.17</v>
      </c>
      <c r="H14" s="16">
        <v>180</v>
      </c>
      <c r="I14" s="16" t="s">
        <v>46</v>
      </c>
      <c r="J14" s="16"/>
      <c r="K14" s="16">
        <v>296</v>
      </c>
      <c r="L14" s="16">
        <f t="shared" si="2"/>
        <v>-28</v>
      </c>
      <c r="M14" s="16"/>
      <c r="N14" s="16"/>
      <c r="O14" s="16">
        <v>94.000000000000114</v>
      </c>
      <c r="P14" s="16"/>
      <c r="Q14" s="16"/>
      <c r="R14" s="16"/>
      <c r="S14" s="16"/>
      <c r="T14" s="16">
        <f t="shared" si="3"/>
        <v>53.6</v>
      </c>
      <c r="U14" s="4">
        <f>11*T14-S14-R14-Q14-O14-F14</f>
        <v>241.59999999999991</v>
      </c>
      <c r="V14" s="4">
        <v>400</v>
      </c>
      <c r="W14" s="4"/>
      <c r="X14" s="16" t="str">
        <f>VLOOKUP(A14,[1]Sheet!$A:$V,21,0)</f>
        <v>400шт</v>
      </c>
      <c r="Y14" s="16" t="str">
        <f>VLOOKUP(A14,[1]Sheet!$A:$V,22,0)</f>
        <v xml:space="preserve">Сроки хорошие, есть востребованность </v>
      </c>
      <c r="Z14" s="16">
        <f t="shared" si="4"/>
        <v>13.955223880597016</v>
      </c>
      <c r="AA14" s="16">
        <f t="shared" si="5"/>
        <v>6.4925373134328375</v>
      </c>
      <c r="AB14" s="16">
        <v>49</v>
      </c>
      <c r="AC14" s="16">
        <v>49.2</v>
      </c>
      <c r="AD14" s="16">
        <v>54.4</v>
      </c>
      <c r="AE14" s="16">
        <v>24</v>
      </c>
      <c r="AF14" s="16">
        <v>26.8</v>
      </c>
      <c r="AG14" s="16">
        <v>45.6</v>
      </c>
      <c r="AH14" s="16">
        <v>32</v>
      </c>
      <c r="AI14" s="16">
        <v>21.4</v>
      </c>
      <c r="AJ14" s="16">
        <v>18.2</v>
      </c>
      <c r="AK14" s="16">
        <v>21.2</v>
      </c>
      <c r="AL14" s="16"/>
      <c r="AM14" s="16">
        <f t="shared" si="6"/>
        <v>68</v>
      </c>
      <c r="AN14" t="s">
        <v>67</v>
      </c>
    </row>
    <row r="15" spans="1:40" x14ac:dyDescent="0.25">
      <c r="A15" s="16" t="s">
        <v>68</v>
      </c>
      <c r="B15" s="16" t="s">
        <v>45</v>
      </c>
      <c r="C15" s="16">
        <v>456.68700000000001</v>
      </c>
      <c r="D15" s="16">
        <v>410.15300000000002</v>
      </c>
      <c r="E15" s="16">
        <v>467.358</v>
      </c>
      <c r="F15" s="16">
        <v>325.83100000000002</v>
      </c>
      <c r="G15" s="6">
        <v>1</v>
      </c>
      <c r="H15" s="16">
        <v>70</v>
      </c>
      <c r="I15" s="9" t="s">
        <v>64</v>
      </c>
      <c r="J15" s="16"/>
      <c r="K15" s="16">
        <v>516.64800000000002</v>
      </c>
      <c r="L15" s="16">
        <f t="shared" si="2"/>
        <v>-49.29000000000002</v>
      </c>
      <c r="M15" s="16"/>
      <c r="N15" s="16"/>
      <c r="O15" s="16">
        <v>208.05294189999989</v>
      </c>
      <c r="P15" s="16"/>
      <c r="Q15" s="16"/>
      <c r="R15" s="16">
        <v>80</v>
      </c>
      <c r="S15" s="16"/>
      <c r="T15" s="16">
        <f t="shared" si="3"/>
        <v>93.471599999999995</v>
      </c>
      <c r="U15" s="4">
        <f>11*T15-S15-R15-Q15-O15-F15</f>
        <v>414.30365810000001</v>
      </c>
      <c r="V15" s="4">
        <f>U15</f>
        <v>414.30365810000001</v>
      </c>
      <c r="W15" s="4"/>
      <c r="X15" s="16"/>
      <c r="Y15" s="16"/>
      <c r="Z15" s="16">
        <f t="shared" si="4"/>
        <v>10.999999999999998</v>
      </c>
      <c r="AA15" s="16">
        <f t="shared" si="5"/>
        <v>6.5675985208341343</v>
      </c>
      <c r="AB15" s="16">
        <v>88.441000000000003</v>
      </c>
      <c r="AC15" s="16">
        <v>86.75739999999999</v>
      </c>
      <c r="AD15" s="16">
        <v>84.37</v>
      </c>
      <c r="AE15" s="16">
        <v>79.335000000000008</v>
      </c>
      <c r="AF15" s="16">
        <v>73.63</v>
      </c>
      <c r="AG15" s="16">
        <v>79.357799999999997</v>
      </c>
      <c r="AH15" s="16">
        <v>76.665199999999999</v>
      </c>
      <c r="AI15" s="16">
        <v>60.802999999999997</v>
      </c>
      <c r="AJ15" s="16">
        <v>75.010400000000004</v>
      </c>
      <c r="AK15" s="16">
        <v>103.798</v>
      </c>
      <c r="AL15" s="16"/>
      <c r="AM15" s="16">
        <f t="shared" si="6"/>
        <v>414</v>
      </c>
      <c r="AN15" t="s">
        <v>69</v>
      </c>
    </row>
    <row r="16" spans="1:40" x14ac:dyDescent="0.25">
      <c r="A16" s="16" t="s">
        <v>70</v>
      </c>
      <c r="B16" s="16" t="s">
        <v>45</v>
      </c>
      <c r="C16" s="16">
        <v>1044.616</v>
      </c>
      <c r="D16" s="16">
        <v>3082.04</v>
      </c>
      <c r="E16" s="16">
        <v>2120.3989999999999</v>
      </c>
      <c r="F16" s="16">
        <v>1708.3209999999999</v>
      </c>
      <c r="G16" s="6">
        <v>1</v>
      </c>
      <c r="H16" s="16">
        <v>50</v>
      </c>
      <c r="I16" s="16" t="s">
        <v>46</v>
      </c>
      <c r="J16" s="16"/>
      <c r="K16" s="16">
        <v>2405.3000000000002</v>
      </c>
      <c r="L16" s="16">
        <f t="shared" si="2"/>
        <v>-284.90100000000029</v>
      </c>
      <c r="M16" s="16"/>
      <c r="N16" s="16"/>
      <c r="O16" s="16">
        <v>922</v>
      </c>
      <c r="P16" s="16"/>
      <c r="Q16" s="16">
        <v>400</v>
      </c>
      <c r="R16" s="16">
        <v>600</v>
      </c>
      <c r="S16" s="16"/>
      <c r="T16" s="16">
        <f t="shared" si="3"/>
        <v>424.07979999999998</v>
      </c>
      <c r="U16" s="4">
        <f>11*T16-S16-R16-Q16-O16-F16</f>
        <v>1034.5568000000003</v>
      </c>
      <c r="V16" s="18">
        <v>600</v>
      </c>
      <c r="W16" s="18">
        <v>400</v>
      </c>
      <c r="X16" s="16"/>
      <c r="Y16" s="16"/>
      <c r="Z16" s="16">
        <f t="shared" si="4"/>
        <v>9.9752947440552457</v>
      </c>
      <c r="AA16" s="16">
        <f t="shared" si="5"/>
        <v>8.5604666857511251</v>
      </c>
      <c r="AB16" s="16">
        <v>400.34519999999998</v>
      </c>
      <c r="AC16" s="16">
        <v>421.65800000000002</v>
      </c>
      <c r="AD16" s="16">
        <v>435.88019999999989</v>
      </c>
      <c r="AE16" s="16">
        <v>443.73180000000002</v>
      </c>
      <c r="AF16" s="16">
        <v>379.55279999999999</v>
      </c>
      <c r="AG16" s="16">
        <v>332.78500000000003</v>
      </c>
      <c r="AH16" s="16">
        <v>290.48419999999999</v>
      </c>
      <c r="AI16" s="16">
        <v>294.3408</v>
      </c>
      <c r="AJ16" s="16">
        <v>370.44220000000001</v>
      </c>
      <c r="AK16" s="16">
        <v>447.33139999999997</v>
      </c>
      <c r="AL16" s="16"/>
      <c r="AM16" s="16">
        <f t="shared" si="6"/>
        <v>600</v>
      </c>
      <c r="AN16" t="s">
        <v>71</v>
      </c>
    </row>
    <row r="17" spans="1:40" x14ac:dyDescent="0.25">
      <c r="A17" s="16" t="s">
        <v>72</v>
      </c>
      <c r="B17" s="16" t="s">
        <v>45</v>
      </c>
      <c r="C17" s="16">
        <v>43.459000000000003</v>
      </c>
      <c r="D17" s="16">
        <v>84.74</v>
      </c>
      <c r="E17" s="16">
        <v>61.466999999999999</v>
      </c>
      <c r="F17" s="16">
        <v>66.497</v>
      </c>
      <c r="G17" s="6">
        <v>1</v>
      </c>
      <c r="H17" s="16">
        <v>60</v>
      </c>
      <c r="I17" s="16" t="s">
        <v>46</v>
      </c>
      <c r="J17" s="16"/>
      <c r="K17" s="16">
        <v>72</v>
      </c>
      <c r="L17" s="16">
        <f t="shared" si="2"/>
        <v>-10.533000000000001</v>
      </c>
      <c r="M17" s="16"/>
      <c r="N17" s="16"/>
      <c r="O17" s="16">
        <v>44.069200000000002</v>
      </c>
      <c r="P17" s="16"/>
      <c r="Q17" s="16"/>
      <c r="R17" s="16"/>
      <c r="S17" s="16"/>
      <c r="T17" s="16">
        <f t="shared" si="3"/>
        <v>12.2934</v>
      </c>
      <c r="U17" s="4">
        <f>11*T17-S17-R17-Q17-O17-F17</f>
        <v>24.661199999999994</v>
      </c>
      <c r="V17" s="4">
        <f>U17</f>
        <v>24.661199999999994</v>
      </c>
      <c r="W17" s="4"/>
      <c r="X17" s="16"/>
      <c r="Y17" s="16"/>
      <c r="Z17" s="16">
        <f t="shared" si="4"/>
        <v>10.999999999999998</v>
      </c>
      <c r="AA17" s="16">
        <f t="shared" si="5"/>
        <v>8.9939479720825819</v>
      </c>
      <c r="AB17" s="16">
        <v>14.3178</v>
      </c>
      <c r="AC17" s="16">
        <v>13.440799999999999</v>
      </c>
      <c r="AD17" s="16">
        <v>13.439399999999999</v>
      </c>
      <c r="AE17" s="16">
        <v>14.009399999999999</v>
      </c>
      <c r="AF17" s="16">
        <v>15.593999999999999</v>
      </c>
      <c r="AG17" s="16">
        <v>14.525</v>
      </c>
      <c r="AH17" s="16">
        <v>9.8002000000000002</v>
      </c>
      <c r="AI17" s="16">
        <v>6.9792000000000014</v>
      </c>
      <c r="AJ17" s="16">
        <v>11.373200000000001</v>
      </c>
      <c r="AK17" s="16">
        <v>21.314399999999999</v>
      </c>
      <c r="AL17" s="16"/>
      <c r="AM17" s="16">
        <f t="shared" si="6"/>
        <v>25</v>
      </c>
      <c r="AN17" t="s">
        <v>73</v>
      </c>
    </row>
    <row r="18" spans="1:40" x14ac:dyDescent="0.25">
      <c r="A18" s="16" t="s">
        <v>74</v>
      </c>
      <c r="B18" s="16" t="s">
        <v>45</v>
      </c>
      <c r="C18" s="16">
        <v>8.7959999999999994</v>
      </c>
      <c r="D18" s="16">
        <v>63.826000000000001</v>
      </c>
      <c r="E18" s="16">
        <v>36.127000000000002</v>
      </c>
      <c r="F18" s="16">
        <v>29.457999999999998</v>
      </c>
      <c r="G18" s="6">
        <v>1</v>
      </c>
      <c r="H18" s="16">
        <v>60</v>
      </c>
      <c r="I18" s="9" t="s">
        <v>64</v>
      </c>
      <c r="J18" s="16"/>
      <c r="K18" s="16">
        <v>39.9</v>
      </c>
      <c r="L18" s="16">
        <f t="shared" si="2"/>
        <v>-3.7729999999999961</v>
      </c>
      <c r="M18" s="16"/>
      <c r="N18" s="16"/>
      <c r="O18" s="16">
        <v>35.380799999999986</v>
      </c>
      <c r="P18" s="16"/>
      <c r="Q18" s="16"/>
      <c r="R18" s="16"/>
      <c r="S18" s="16"/>
      <c r="T18" s="16">
        <f t="shared" si="3"/>
        <v>7.2254000000000005</v>
      </c>
      <c r="U18" s="4">
        <f>11*T18-S18-R18-Q18-O18-F18</f>
        <v>14.640600000000013</v>
      </c>
      <c r="V18" s="4">
        <f>U18</f>
        <v>14.640600000000013</v>
      </c>
      <c r="W18" s="4"/>
      <c r="X18" s="16"/>
      <c r="Y18" s="16"/>
      <c r="Z18" s="16">
        <f t="shared" si="4"/>
        <v>10.999999999999998</v>
      </c>
      <c r="AA18" s="16">
        <f t="shared" si="5"/>
        <v>8.9737315581144284</v>
      </c>
      <c r="AB18" s="16">
        <v>9.3013999999999992</v>
      </c>
      <c r="AC18" s="16">
        <v>8.0855999999999995</v>
      </c>
      <c r="AD18" s="16">
        <v>8.6264000000000003</v>
      </c>
      <c r="AE18" s="16">
        <v>7.2308000000000003</v>
      </c>
      <c r="AF18" s="16">
        <v>4.5262000000000002</v>
      </c>
      <c r="AG18" s="16">
        <v>6.3393999999999986</v>
      </c>
      <c r="AH18" s="16">
        <v>6.4408000000000003</v>
      </c>
      <c r="AI18" s="16">
        <v>6.5603999999999996</v>
      </c>
      <c r="AJ18" s="16">
        <v>4.7707999999999986</v>
      </c>
      <c r="AK18" s="16">
        <v>6.2031999999999998</v>
      </c>
      <c r="AL18" s="16"/>
      <c r="AM18" s="16">
        <f t="shared" si="6"/>
        <v>15</v>
      </c>
      <c r="AN18" t="s">
        <v>75</v>
      </c>
    </row>
    <row r="19" spans="1:40" x14ac:dyDescent="0.25">
      <c r="A19" s="16" t="s">
        <v>76</v>
      </c>
      <c r="B19" s="16" t="s">
        <v>45</v>
      </c>
      <c r="C19" s="16">
        <v>19.204999999999998</v>
      </c>
      <c r="D19" s="16">
        <v>35.241</v>
      </c>
      <c r="E19" s="16">
        <v>31.625</v>
      </c>
      <c r="F19" s="16">
        <v>19.161999999999999</v>
      </c>
      <c r="G19" s="6">
        <v>1</v>
      </c>
      <c r="H19" s="16">
        <v>180</v>
      </c>
      <c r="I19" s="16" t="s">
        <v>46</v>
      </c>
      <c r="J19" s="16"/>
      <c r="K19" s="16">
        <v>31.75</v>
      </c>
      <c r="L19" s="16">
        <f t="shared" si="2"/>
        <v>-0.125</v>
      </c>
      <c r="M19" s="16"/>
      <c r="N19" s="16"/>
      <c r="O19" s="16">
        <v>50</v>
      </c>
      <c r="P19" s="16"/>
      <c r="Q19" s="16"/>
      <c r="R19" s="16"/>
      <c r="S19" s="16"/>
      <c r="T19" s="16">
        <f t="shared" si="3"/>
        <v>6.3250000000000002</v>
      </c>
      <c r="U19" s="4"/>
      <c r="V19" s="4">
        <v>50</v>
      </c>
      <c r="W19" s="4"/>
      <c r="X19" s="16">
        <f>VLOOKUP(A19,[1]Sheet!$A:$V,21,0)</f>
        <v>50</v>
      </c>
      <c r="Y19" s="16" t="str">
        <f>VLOOKUP(A19,[1]Sheet!$A:$V,22,0)</f>
        <v xml:space="preserve">Сроки хорошие, есть востребованность </v>
      </c>
      <c r="Z19" s="16">
        <f t="shared" si="4"/>
        <v>18.839841897233203</v>
      </c>
      <c r="AA19" s="16">
        <f t="shared" si="5"/>
        <v>10.934703557312254</v>
      </c>
      <c r="AB19" s="16">
        <v>6.3784000000000001</v>
      </c>
      <c r="AC19" s="16">
        <v>6.1204000000000001</v>
      </c>
      <c r="AD19" s="16">
        <v>5.7140000000000004</v>
      </c>
      <c r="AE19" s="16">
        <v>5.0237999999999996</v>
      </c>
      <c r="AF19" s="16">
        <v>4.1154000000000002</v>
      </c>
      <c r="AG19" s="16">
        <v>5.633</v>
      </c>
      <c r="AH19" s="16">
        <v>5.0154000000000014</v>
      </c>
      <c r="AI19" s="16">
        <v>2.7675999999999998</v>
      </c>
      <c r="AJ19" s="16">
        <v>2.0844</v>
      </c>
      <c r="AK19" s="16">
        <v>1.048</v>
      </c>
      <c r="AL19" s="16"/>
      <c r="AM19" s="16">
        <f t="shared" si="6"/>
        <v>50</v>
      </c>
      <c r="AN19" t="s">
        <v>77</v>
      </c>
    </row>
    <row r="20" spans="1:40" x14ac:dyDescent="0.25">
      <c r="A20" s="16" t="s">
        <v>78</v>
      </c>
      <c r="B20" s="16" t="s">
        <v>45</v>
      </c>
      <c r="C20" s="16">
        <v>212.245</v>
      </c>
      <c r="D20" s="16">
        <v>811.89499999999998</v>
      </c>
      <c r="E20" s="16">
        <v>378.1</v>
      </c>
      <c r="F20" s="16">
        <v>175.98599999999999</v>
      </c>
      <c r="G20" s="6">
        <v>1</v>
      </c>
      <c r="H20" s="16">
        <v>60</v>
      </c>
      <c r="I20" s="16" t="s">
        <v>46</v>
      </c>
      <c r="J20" s="16"/>
      <c r="K20" s="16">
        <v>386.8</v>
      </c>
      <c r="L20" s="16">
        <f t="shared" si="2"/>
        <v>-8.6999999999999886</v>
      </c>
      <c r="M20" s="16"/>
      <c r="N20" s="16"/>
      <c r="O20" s="16">
        <v>141.22173870800009</v>
      </c>
      <c r="P20" s="16"/>
      <c r="Q20" s="16"/>
      <c r="R20" s="16">
        <v>100</v>
      </c>
      <c r="S20" s="16"/>
      <c r="T20" s="16">
        <f t="shared" si="3"/>
        <v>75.62</v>
      </c>
      <c r="U20" s="4">
        <f>11*T20-S20-R20-Q20-O20-F20</f>
        <v>414.61226129199997</v>
      </c>
      <c r="V20" s="4">
        <f>U20+$V$1*T20</f>
        <v>431.24866129199995</v>
      </c>
      <c r="W20" s="4"/>
      <c r="X20" s="16"/>
      <c r="Y20" s="16"/>
      <c r="Z20" s="16">
        <f t="shared" si="4"/>
        <v>11.219999999999999</v>
      </c>
      <c r="AA20" s="16">
        <f t="shared" si="5"/>
        <v>5.5171613158952661</v>
      </c>
      <c r="AB20" s="16">
        <v>64.991</v>
      </c>
      <c r="AC20" s="16">
        <v>61.033200000000001</v>
      </c>
      <c r="AD20" s="16">
        <v>58.342399999999998</v>
      </c>
      <c r="AE20" s="16">
        <v>75.671999999999997</v>
      </c>
      <c r="AF20" s="16">
        <v>73.896600000000007</v>
      </c>
      <c r="AG20" s="16">
        <v>72.609400000000008</v>
      </c>
      <c r="AH20" s="16">
        <v>53.276200000000003</v>
      </c>
      <c r="AI20" s="16">
        <v>50.758800000000001</v>
      </c>
      <c r="AJ20" s="16">
        <v>59.435799999999993</v>
      </c>
      <c r="AK20" s="16">
        <v>77.672799999999995</v>
      </c>
      <c r="AL20" s="16"/>
      <c r="AM20" s="16">
        <f t="shared" si="6"/>
        <v>431</v>
      </c>
      <c r="AN20" t="s">
        <v>79</v>
      </c>
    </row>
    <row r="21" spans="1:40" x14ac:dyDescent="0.25">
      <c r="A21" s="16" t="s">
        <v>80</v>
      </c>
      <c r="B21" s="16" t="s">
        <v>45</v>
      </c>
      <c r="C21" s="16">
        <v>49.804000000000002</v>
      </c>
      <c r="D21" s="16">
        <v>185.221</v>
      </c>
      <c r="E21" s="16">
        <v>89.596999999999994</v>
      </c>
      <c r="F21" s="16">
        <v>131.286</v>
      </c>
      <c r="G21" s="6">
        <v>1</v>
      </c>
      <c r="H21" s="16">
        <v>70</v>
      </c>
      <c r="I21" s="16" t="s">
        <v>46</v>
      </c>
      <c r="J21" s="16"/>
      <c r="K21" s="16">
        <v>108.9</v>
      </c>
      <c r="L21" s="16">
        <f t="shared" si="2"/>
        <v>-19.303000000000011</v>
      </c>
      <c r="M21" s="16"/>
      <c r="N21" s="16"/>
      <c r="O21" s="16">
        <v>100</v>
      </c>
      <c r="P21" s="16"/>
      <c r="Q21" s="16"/>
      <c r="R21" s="16"/>
      <c r="S21" s="16"/>
      <c r="T21" s="16">
        <f t="shared" si="3"/>
        <v>17.9194</v>
      </c>
      <c r="U21" s="4"/>
      <c r="V21" s="4">
        <f>U21</f>
        <v>0</v>
      </c>
      <c r="W21" s="4"/>
      <c r="X21" s="16"/>
      <c r="Y21" s="16"/>
      <c r="Z21" s="16">
        <f t="shared" si="4"/>
        <v>12.907016976014821</v>
      </c>
      <c r="AA21" s="16">
        <f t="shared" si="5"/>
        <v>12.907016976014821</v>
      </c>
      <c r="AB21" s="16">
        <v>20.691400000000002</v>
      </c>
      <c r="AC21" s="16">
        <v>19.97</v>
      </c>
      <c r="AD21" s="16">
        <v>26.1326</v>
      </c>
      <c r="AE21" s="16">
        <v>13.5192</v>
      </c>
      <c r="AF21" s="16">
        <v>6.452</v>
      </c>
      <c r="AG21" s="16">
        <v>17.515000000000001</v>
      </c>
      <c r="AH21" s="16">
        <v>20.354600000000001</v>
      </c>
      <c r="AI21" s="16">
        <v>12.7774</v>
      </c>
      <c r="AJ21" s="16">
        <v>14.9056</v>
      </c>
      <c r="AK21" s="16">
        <v>21.267399999999999</v>
      </c>
      <c r="AL21" s="16"/>
      <c r="AM21" s="16">
        <f t="shared" si="6"/>
        <v>0</v>
      </c>
      <c r="AN21" t="s">
        <v>81</v>
      </c>
    </row>
    <row r="22" spans="1:40" x14ac:dyDescent="0.25">
      <c r="A22" s="16" t="s">
        <v>82</v>
      </c>
      <c r="B22" s="16" t="s">
        <v>45</v>
      </c>
      <c r="C22" s="16">
        <v>98.575000000000003</v>
      </c>
      <c r="D22" s="16">
        <v>89.527000000000001</v>
      </c>
      <c r="E22" s="16">
        <v>159.702</v>
      </c>
      <c r="F22" s="16">
        <v>1.9990000000000001</v>
      </c>
      <c r="G22" s="6">
        <v>1</v>
      </c>
      <c r="H22" s="16">
        <v>70</v>
      </c>
      <c r="I22" s="9" t="s">
        <v>64</v>
      </c>
      <c r="J22" s="16"/>
      <c r="K22" s="16">
        <v>221.4</v>
      </c>
      <c r="L22" s="16">
        <f t="shared" si="2"/>
        <v>-61.698000000000008</v>
      </c>
      <c r="M22" s="16"/>
      <c r="N22" s="16"/>
      <c r="O22" s="16">
        <v>90</v>
      </c>
      <c r="P22" s="16"/>
      <c r="Q22" s="16"/>
      <c r="R22" s="16"/>
      <c r="S22" s="16"/>
      <c r="T22" s="16">
        <f t="shared" si="3"/>
        <v>31.9404</v>
      </c>
      <c r="U22" s="4">
        <v>90</v>
      </c>
      <c r="V22" s="4">
        <v>120</v>
      </c>
      <c r="W22" s="4"/>
      <c r="X22" s="16">
        <f>VLOOKUP(A22,[1]Sheet!$A:$V,21,0)</f>
        <v>150</v>
      </c>
      <c r="Y22" s="16" t="str">
        <f>VLOOKUP(A22,[1]Sheet!$A:$V,22,0)</f>
        <v>Промо</v>
      </c>
      <c r="Z22" s="16">
        <f t="shared" si="4"/>
        <v>6.6373307785750955</v>
      </c>
      <c r="AA22" s="16">
        <f t="shared" si="5"/>
        <v>2.8803333709033074</v>
      </c>
      <c r="AB22" s="16">
        <v>32.387</v>
      </c>
      <c r="AC22" s="16">
        <v>26.2134</v>
      </c>
      <c r="AD22" s="16">
        <v>29.136800000000001</v>
      </c>
      <c r="AE22" s="16">
        <v>41.977400000000003</v>
      </c>
      <c r="AF22" s="16">
        <v>38.621600000000001</v>
      </c>
      <c r="AG22" s="16">
        <v>36.080399999999997</v>
      </c>
      <c r="AH22" s="16">
        <v>27.281199999999998</v>
      </c>
      <c r="AI22" s="16">
        <v>19.441600000000001</v>
      </c>
      <c r="AJ22" s="16">
        <v>26.1462</v>
      </c>
      <c r="AK22" s="16">
        <v>35.3934</v>
      </c>
      <c r="AL22" s="16" t="s">
        <v>83</v>
      </c>
      <c r="AM22" s="16">
        <f t="shared" si="6"/>
        <v>120</v>
      </c>
      <c r="AN22" t="s">
        <v>84</v>
      </c>
    </row>
    <row r="23" spans="1:40" x14ac:dyDescent="0.25">
      <c r="A23" s="16" t="s">
        <v>85</v>
      </c>
      <c r="B23" s="16" t="s">
        <v>45</v>
      </c>
      <c r="C23" s="16">
        <v>91.195999999999998</v>
      </c>
      <c r="D23" s="16">
        <v>2.6989999999999998</v>
      </c>
      <c r="E23" s="16">
        <v>36.369</v>
      </c>
      <c r="F23" s="16">
        <v>54.137</v>
      </c>
      <c r="G23" s="6">
        <v>1</v>
      </c>
      <c r="H23" s="16">
        <v>180</v>
      </c>
      <c r="I23" s="16" t="s">
        <v>46</v>
      </c>
      <c r="J23" s="16"/>
      <c r="K23" s="16">
        <v>37.57</v>
      </c>
      <c r="L23" s="16">
        <f t="shared" si="2"/>
        <v>-1.2010000000000005</v>
      </c>
      <c r="M23" s="16"/>
      <c r="N23" s="16"/>
      <c r="O23" s="16">
        <v>0</v>
      </c>
      <c r="P23" s="16"/>
      <c r="Q23" s="16"/>
      <c r="R23" s="16"/>
      <c r="S23" s="16"/>
      <c r="T23" s="16">
        <f t="shared" si="3"/>
        <v>7.2737999999999996</v>
      </c>
      <c r="U23" s="4">
        <f>11*T23-S23-R23-Q23-O23-F23</f>
        <v>25.874799999999993</v>
      </c>
      <c r="V23" s="4">
        <v>50</v>
      </c>
      <c r="W23" s="4"/>
      <c r="X23" s="16">
        <f>VLOOKUP(A23,[1]Sheet!$A:$V,21,0)</f>
        <v>50</v>
      </c>
      <c r="Y23" s="16"/>
      <c r="Z23" s="16">
        <f t="shared" si="4"/>
        <v>14.316725782947016</v>
      </c>
      <c r="AA23" s="16">
        <f t="shared" si="5"/>
        <v>7.442739695894856</v>
      </c>
      <c r="AB23" s="16">
        <v>6.770999999999999</v>
      </c>
      <c r="AC23" s="16">
        <v>5.3578000000000001</v>
      </c>
      <c r="AD23" s="16">
        <v>2.327</v>
      </c>
      <c r="AE23" s="16">
        <v>0.27739999999999998</v>
      </c>
      <c r="AF23" s="16">
        <v>1.9434</v>
      </c>
      <c r="AG23" s="16">
        <v>9.5144000000000002</v>
      </c>
      <c r="AH23" s="16">
        <v>7.9891999999999994</v>
      </c>
      <c r="AI23" s="16">
        <v>1.3806</v>
      </c>
      <c r="AJ23" s="16">
        <v>1.7283999999999999</v>
      </c>
      <c r="AK23" s="16">
        <v>4.5865999999999998</v>
      </c>
      <c r="AL23" s="16"/>
      <c r="AM23" s="16">
        <f t="shared" si="6"/>
        <v>50</v>
      </c>
      <c r="AN23" t="s">
        <v>86</v>
      </c>
    </row>
    <row r="24" spans="1:40" x14ac:dyDescent="0.25">
      <c r="A24" s="16" t="s">
        <v>87</v>
      </c>
      <c r="B24" s="16" t="s">
        <v>45</v>
      </c>
      <c r="C24" s="16">
        <v>125.309</v>
      </c>
      <c r="D24" s="16">
        <v>101.79600000000001</v>
      </c>
      <c r="E24" s="16">
        <v>187.83500000000001</v>
      </c>
      <c r="F24" s="16">
        <v>6.8159999999999998</v>
      </c>
      <c r="G24" s="6">
        <v>1</v>
      </c>
      <c r="H24" s="16">
        <v>70</v>
      </c>
      <c r="I24" s="9" t="s">
        <v>64</v>
      </c>
      <c r="J24" s="16"/>
      <c r="K24" s="16">
        <v>237.8</v>
      </c>
      <c r="L24" s="16">
        <f t="shared" si="2"/>
        <v>-49.965000000000003</v>
      </c>
      <c r="M24" s="16"/>
      <c r="N24" s="16"/>
      <c r="O24" s="16">
        <v>300</v>
      </c>
      <c r="P24" s="16"/>
      <c r="Q24" s="16"/>
      <c r="R24" s="16"/>
      <c r="S24" s="16"/>
      <c r="T24" s="16">
        <f t="shared" si="3"/>
        <v>37.567</v>
      </c>
      <c r="U24" s="4">
        <v>90</v>
      </c>
      <c r="V24" s="4">
        <v>150</v>
      </c>
      <c r="W24" s="4"/>
      <c r="X24" s="16">
        <f>VLOOKUP(A24,[1]Sheet!$A:$V,21,0)</f>
        <v>250</v>
      </c>
      <c r="Y24" s="16" t="str">
        <f>VLOOKUP(A24,[1]Sheet!$A:$V,22,0)</f>
        <v>Промо ЖЦ</v>
      </c>
      <c r="Z24" s="16">
        <f t="shared" si="4"/>
        <v>12.16003407245721</v>
      </c>
      <c r="AA24" s="16">
        <f t="shared" si="5"/>
        <v>8.1671679931855081</v>
      </c>
      <c r="AB24" s="16">
        <v>37.298999999999999</v>
      </c>
      <c r="AC24" s="16">
        <v>36.141000000000012</v>
      </c>
      <c r="AD24" s="16">
        <v>39.828000000000003</v>
      </c>
      <c r="AE24" s="16">
        <v>44.405000000000001</v>
      </c>
      <c r="AF24" s="16">
        <v>38.7042</v>
      </c>
      <c r="AG24" s="16">
        <v>38.443199999999997</v>
      </c>
      <c r="AH24" s="16">
        <v>28.137799999999999</v>
      </c>
      <c r="AI24" s="16">
        <v>28.372</v>
      </c>
      <c r="AJ24" s="16">
        <v>35.245800000000003</v>
      </c>
      <c r="AK24" s="16">
        <v>48.939599999999999</v>
      </c>
      <c r="AL24" s="16" t="s">
        <v>83</v>
      </c>
      <c r="AM24" s="16">
        <f t="shared" si="6"/>
        <v>150</v>
      </c>
      <c r="AN24" t="s">
        <v>88</v>
      </c>
    </row>
    <row r="25" spans="1:40" x14ac:dyDescent="0.25">
      <c r="A25" s="10" t="s">
        <v>89</v>
      </c>
      <c r="B25" s="10" t="s">
        <v>45</v>
      </c>
      <c r="C25" s="10"/>
      <c r="D25" s="10"/>
      <c r="E25" s="10"/>
      <c r="F25" s="10"/>
      <c r="G25" s="11">
        <v>0</v>
      </c>
      <c r="H25" s="10"/>
      <c r="I25" s="10" t="s">
        <v>46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/>
      <c r="S25" s="10"/>
      <c r="T25" s="10">
        <f t="shared" si="3"/>
        <v>0</v>
      </c>
      <c r="U25" s="12"/>
      <c r="V25" s="4">
        <f>U25</f>
        <v>0</v>
      </c>
      <c r="W25" s="4"/>
      <c r="X25" s="16"/>
      <c r="Y25" s="16"/>
      <c r="Z25" s="16" t="e">
        <f t="shared" si="4"/>
        <v>#DIV/0!</v>
      </c>
      <c r="AA25" s="10" t="e">
        <f t="shared" si="5"/>
        <v>#DIV/0!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 t="s">
        <v>54</v>
      </c>
      <c r="AM25" s="16">
        <f t="shared" si="6"/>
        <v>0</v>
      </c>
      <c r="AN25" t="s">
        <v>90</v>
      </c>
    </row>
    <row r="26" spans="1:40" x14ac:dyDescent="0.25">
      <c r="A26" s="16" t="s">
        <v>91</v>
      </c>
      <c r="B26" s="16" t="s">
        <v>45</v>
      </c>
      <c r="C26" s="16">
        <v>43.704000000000001</v>
      </c>
      <c r="D26" s="16">
        <v>9.9890000000000008</v>
      </c>
      <c r="E26" s="16">
        <v>25.58</v>
      </c>
      <c r="F26" s="16">
        <v>13.885999999999999</v>
      </c>
      <c r="G26" s="6">
        <v>1</v>
      </c>
      <c r="H26" s="16"/>
      <c r="I26" s="9" t="s">
        <v>64</v>
      </c>
      <c r="J26" s="16"/>
      <c r="K26" s="16">
        <v>104.4</v>
      </c>
      <c r="L26" s="16">
        <f t="shared" si="2"/>
        <v>-78.820000000000007</v>
      </c>
      <c r="M26" s="16"/>
      <c r="N26" s="16"/>
      <c r="O26" s="16">
        <v>87.27808739999999</v>
      </c>
      <c r="P26" s="16">
        <v>-92</v>
      </c>
      <c r="Q26" s="16"/>
      <c r="R26" s="16">
        <v>102.0453126</v>
      </c>
      <c r="S26" s="16"/>
      <c r="T26" s="16">
        <f t="shared" si="3"/>
        <v>5.1159999999999997</v>
      </c>
      <c r="U26" s="4">
        <v>100</v>
      </c>
      <c r="V26" s="4">
        <v>150</v>
      </c>
      <c r="W26" s="4"/>
      <c r="X26" s="16">
        <f>VLOOKUP(A26,[1]Sheet!$A:$V,21,0)</f>
        <v>200</v>
      </c>
      <c r="Y26" s="16"/>
      <c r="Z26" s="16">
        <f t="shared" si="4"/>
        <v>69.040148553557458</v>
      </c>
      <c r="AA26" s="16">
        <f t="shared" si="5"/>
        <v>39.720367474589523</v>
      </c>
      <c r="AB26" s="16">
        <v>17.8748</v>
      </c>
      <c r="AC26" s="16">
        <v>40.319000000000003</v>
      </c>
      <c r="AD26" s="16">
        <v>42.488399999999999</v>
      </c>
      <c r="AE26" s="16">
        <v>14.019600000000001</v>
      </c>
      <c r="AF26" s="16">
        <v>0.69540000000000002</v>
      </c>
      <c r="AG26" s="16">
        <v>3.7128000000000001</v>
      </c>
      <c r="AH26" s="16">
        <v>7.3063999999999991</v>
      </c>
      <c r="AI26" s="16">
        <v>22.351600000000001</v>
      </c>
      <c r="AJ26" s="16">
        <v>23.732600000000001</v>
      </c>
      <c r="AK26" s="16">
        <v>5.7994000000000003</v>
      </c>
      <c r="AL26" s="16"/>
      <c r="AM26" s="16">
        <f t="shared" si="6"/>
        <v>150</v>
      </c>
      <c r="AN26" t="s">
        <v>92</v>
      </c>
    </row>
    <row r="27" spans="1:40" x14ac:dyDescent="0.25">
      <c r="A27" s="16" t="s">
        <v>93</v>
      </c>
      <c r="B27" s="16" t="s">
        <v>45</v>
      </c>
      <c r="C27" s="16">
        <v>-2.5000000000000001E-2</v>
      </c>
      <c r="D27" s="16"/>
      <c r="E27" s="16">
        <v>-2.496</v>
      </c>
      <c r="F27" s="16">
        <v>-2.5000000000000001E-2</v>
      </c>
      <c r="G27" s="6">
        <v>1</v>
      </c>
      <c r="H27" s="16">
        <v>40</v>
      </c>
      <c r="I27" s="9" t="s">
        <v>64</v>
      </c>
      <c r="J27" s="16"/>
      <c r="K27" s="16"/>
      <c r="L27" s="16">
        <f t="shared" si="2"/>
        <v>-2.496</v>
      </c>
      <c r="M27" s="16"/>
      <c r="N27" s="16"/>
      <c r="O27" s="16">
        <v>90</v>
      </c>
      <c r="P27" s="16">
        <v>-90</v>
      </c>
      <c r="Q27" s="16"/>
      <c r="R27" s="16"/>
      <c r="S27" s="16"/>
      <c r="T27" s="16">
        <f t="shared" si="3"/>
        <v>-0.49919999999999998</v>
      </c>
      <c r="U27" s="4">
        <v>90</v>
      </c>
      <c r="V27" s="4">
        <f t="shared" ref="V27:V34" si="7">U27</f>
        <v>90</v>
      </c>
      <c r="W27" s="4"/>
      <c r="X27" s="16"/>
      <c r="Y27" s="16"/>
      <c r="Z27" s="16">
        <f t="shared" si="4"/>
        <v>-360.52684294871796</v>
      </c>
      <c r="AA27" s="16">
        <f t="shared" si="5"/>
        <v>-180.23838141025641</v>
      </c>
      <c r="AB27" s="16">
        <v>-0.2084</v>
      </c>
      <c r="AC27" s="16">
        <v>-0.311</v>
      </c>
      <c r="AD27" s="16">
        <v>-0.96479999999999999</v>
      </c>
      <c r="AE27" s="16">
        <v>-1.163</v>
      </c>
      <c r="AF27" s="16">
        <v>-0.50919999999999999</v>
      </c>
      <c r="AG27" s="16">
        <v>-0.21679999999999999</v>
      </c>
      <c r="AH27" s="16">
        <v>-0.21679999999999999</v>
      </c>
      <c r="AI27" s="16">
        <v>9.5777999999999999</v>
      </c>
      <c r="AJ27" s="16">
        <v>37.691400000000002</v>
      </c>
      <c r="AK27" s="16">
        <v>56.543799999999997</v>
      </c>
      <c r="AL27" s="16"/>
      <c r="AM27" s="16">
        <f t="shared" si="6"/>
        <v>90</v>
      </c>
      <c r="AN27" t="s">
        <v>94</v>
      </c>
    </row>
    <row r="28" spans="1:40" x14ac:dyDescent="0.25">
      <c r="A28" s="16" t="s">
        <v>95</v>
      </c>
      <c r="B28" s="16" t="s">
        <v>45</v>
      </c>
      <c r="C28" s="16">
        <v>36.277000000000001</v>
      </c>
      <c r="D28" s="16">
        <v>158.46700000000001</v>
      </c>
      <c r="E28" s="16">
        <v>135.279</v>
      </c>
      <c r="F28" s="16">
        <v>22.568999999999999</v>
      </c>
      <c r="G28" s="6">
        <v>1</v>
      </c>
      <c r="H28" s="16">
        <v>30</v>
      </c>
      <c r="I28" s="9" t="s">
        <v>64</v>
      </c>
      <c r="J28" s="16"/>
      <c r="K28" s="16">
        <v>299.89999999999998</v>
      </c>
      <c r="L28" s="16">
        <f t="shared" si="2"/>
        <v>-164.62099999999998</v>
      </c>
      <c r="M28" s="16"/>
      <c r="N28" s="16"/>
      <c r="O28" s="16">
        <v>95.554789200000002</v>
      </c>
      <c r="P28" s="16"/>
      <c r="Q28" s="16"/>
      <c r="R28" s="16">
        <v>111.72241080000001</v>
      </c>
      <c r="S28" s="16"/>
      <c r="T28" s="16">
        <f t="shared" si="3"/>
        <v>27.055799999999998</v>
      </c>
      <c r="U28" s="4">
        <f>11*T28-S28-R28-Q28-O28-F28</f>
        <v>67.767599999999959</v>
      </c>
      <c r="V28" s="4">
        <f t="shared" si="7"/>
        <v>67.767599999999959</v>
      </c>
      <c r="W28" s="4"/>
      <c r="X28" s="16"/>
      <c r="Y28" s="16"/>
      <c r="Z28" s="16">
        <f t="shared" si="4"/>
        <v>11</v>
      </c>
      <c r="AA28" s="16">
        <f t="shared" si="5"/>
        <v>8.4952653405184844</v>
      </c>
      <c r="AB28" s="16">
        <v>48.028799999999997</v>
      </c>
      <c r="AC28" s="16">
        <v>31.125599999999999</v>
      </c>
      <c r="AD28" s="16">
        <v>27.609400000000001</v>
      </c>
      <c r="AE28" s="16">
        <v>42.514200000000002</v>
      </c>
      <c r="AF28" s="16">
        <v>44.266199999999998</v>
      </c>
      <c r="AG28" s="16">
        <v>41.836200000000012</v>
      </c>
      <c r="AH28" s="16">
        <v>28.0486</v>
      </c>
      <c r="AI28" s="16">
        <v>11.816000000000001</v>
      </c>
      <c r="AJ28" s="16">
        <v>3.6137999999999999</v>
      </c>
      <c r="AK28" s="16">
        <v>28.007400000000001</v>
      </c>
      <c r="AL28" s="16" t="s">
        <v>59</v>
      </c>
      <c r="AM28" s="16">
        <f t="shared" si="6"/>
        <v>68</v>
      </c>
      <c r="AN28" t="s">
        <v>96</v>
      </c>
    </row>
    <row r="29" spans="1:40" x14ac:dyDescent="0.25">
      <c r="A29" s="16" t="s">
        <v>97</v>
      </c>
      <c r="B29" s="16" t="s">
        <v>45</v>
      </c>
      <c r="C29" s="16">
        <v>1.518</v>
      </c>
      <c r="D29" s="16">
        <v>1158.72</v>
      </c>
      <c r="E29" s="16">
        <v>517.31500000000005</v>
      </c>
      <c r="F29" s="16">
        <v>621.52099999999996</v>
      </c>
      <c r="G29" s="6">
        <v>1</v>
      </c>
      <c r="H29" s="16">
        <v>40</v>
      </c>
      <c r="I29" s="9" t="s">
        <v>64</v>
      </c>
      <c r="J29" s="16"/>
      <c r="K29" s="16">
        <v>631.29999999999995</v>
      </c>
      <c r="L29" s="16">
        <f t="shared" si="2"/>
        <v>-113.9849999999999</v>
      </c>
      <c r="M29" s="16"/>
      <c r="N29" s="16"/>
      <c r="O29" s="16">
        <v>360</v>
      </c>
      <c r="P29" s="16">
        <v>-360</v>
      </c>
      <c r="Q29" s="16"/>
      <c r="R29" s="16"/>
      <c r="S29" s="16"/>
      <c r="T29" s="16">
        <f t="shared" si="3"/>
        <v>103.46300000000001</v>
      </c>
      <c r="U29" s="4">
        <v>200</v>
      </c>
      <c r="V29" s="4">
        <f t="shared" si="7"/>
        <v>200</v>
      </c>
      <c r="W29" s="4"/>
      <c r="X29" s="16"/>
      <c r="Y29" s="16"/>
      <c r="Z29" s="16">
        <f t="shared" si="4"/>
        <v>11.419744256400838</v>
      </c>
      <c r="AA29" s="16">
        <f t="shared" si="5"/>
        <v>9.4866860616838853</v>
      </c>
      <c r="AB29" s="16">
        <v>27.103999999999999</v>
      </c>
      <c r="AC29" s="16">
        <v>-0.1542</v>
      </c>
      <c r="AD29" s="16">
        <v>-1.585</v>
      </c>
      <c r="AE29" s="16">
        <v>-2.5497999999999998</v>
      </c>
      <c r="AF29" s="16">
        <v>-1.9388000000000001</v>
      </c>
      <c r="AG29" s="16">
        <v>2.0426000000000002</v>
      </c>
      <c r="AH29" s="16">
        <v>72.69919999999999</v>
      </c>
      <c r="AI29" s="16">
        <v>116.389</v>
      </c>
      <c r="AJ29" s="16">
        <v>99.9422</v>
      </c>
      <c r="AK29" s="16">
        <v>194.2286</v>
      </c>
      <c r="AL29" s="16" t="s">
        <v>59</v>
      </c>
      <c r="AM29" s="16">
        <f t="shared" si="6"/>
        <v>200</v>
      </c>
      <c r="AN29" t="s">
        <v>98</v>
      </c>
    </row>
    <row r="30" spans="1:40" x14ac:dyDescent="0.25">
      <c r="A30" s="16" t="s">
        <v>99</v>
      </c>
      <c r="B30" s="16" t="s">
        <v>45</v>
      </c>
      <c r="C30" s="16">
        <v>-0.03</v>
      </c>
      <c r="D30" s="16">
        <v>17.488</v>
      </c>
      <c r="E30" s="16">
        <v>13.209</v>
      </c>
      <c r="F30" s="16">
        <v>4.2489999999999997</v>
      </c>
      <c r="G30" s="6">
        <v>1</v>
      </c>
      <c r="H30" s="16">
        <v>40</v>
      </c>
      <c r="I30" s="9" t="s">
        <v>64</v>
      </c>
      <c r="J30" s="16"/>
      <c r="K30" s="16">
        <v>12.1</v>
      </c>
      <c r="L30" s="16">
        <f t="shared" si="2"/>
        <v>1.109</v>
      </c>
      <c r="M30" s="16"/>
      <c r="N30" s="16"/>
      <c r="O30" s="16">
        <v>10</v>
      </c>
      <c r="P30" s="16"/>
      <c r="Q30" s="16"/>
      <c r="R30" s="16"/>
      <c r="S30" s="16"/>
      <c r="T30" s="16">
        <f t="shared" si="3"/>
        <v>2.6417999999999999</v>
      </c>
      <c r="U30" s="4">
        <f>11*T30-S30-R30-Q30-O30-F30</f>
        <v>14.8108</v>
      </c>
      <c r="V30" s="4">
        <f t="shared" si="7"/>
        <v>14.8108</v>
      </c>
      <c r="W30" s="4"/>
      <c r="X30" s="16"/>
      <c r="Y30" s="16"/>
      <c r="Z30" s="16">
        <f t="shared" si="4"/>
        <v>11</v>
      </c>
      <c r="AA30" s="16">
        <f t="shared" si="5"/>
        <v>5.3936709819062756</v>
      </c>
      <c r="AB30" s="16">
        <v>0</v>
      </c>
      <c r="AC30" s="16">
        <v>0</v>
      </c>
      <c r="AD30" s="16">
        <v>0</v>
      </c>
      <c r="AE30" s="16">
        <v>0.48099999999999998</v>
      </c>
      <c r="AF30" s="16">
        <v>1.6794</v>
      </c>
      <c r="AG30" s="16">
        <v>6.8876000000000008</v>
      </c>
      <c r="AH30" s="16">
        <v>7.1876000000000007</v>
      </c>
      <c r="AI30" s="16">
        <v>1.4984</v>
      </c>
      <c r="AJ30" s="16">
        <v>0</v>
      </c>
      <c r="AK30" s="16">
        <v>0</v>
      </c>
      <c r="AL30" s="16"/>
      <c r="AM30" s="16">
        <f t="shared" si="6"/>
        <v>15</v>
      </c>
      <c r="AN30" t="s">
        <v>100</v>
      </c>
    </row>
    <row r="31" spans="1:40" x14ac:dyDescent="0.25">
      <c r="A31" s="16" t="s">
        <v>101</v>
      </c>
      <c r="B31" s="16" t="s">
        <v>45</v>
      </c>
      <c r="C31" s="16">
        <v>33.783000000000001</v>
      </c>
      <c r="D31" s="16">
        <v>142.28800000000001</v>
      </c>
      <c r="E31" s="16">
        <v>26.774000000000001</v>
      </c>
      <c r="F31" s="16">
        <v>128.13900000000001</v>
      </c>
      <c r="G31" s="6">
        <v>1</v>
      </c>
      <c r="H31" s="16">
        <v>30</v>
      </c>
      <c r="I31" s="16" t="s">
        <v>46</v>
      </c>
      <c r="J31" s="16"/>
      <c r="K31" s="16">
        <v>117.5</v>
      </c>
      <c r="L31" s="16">
        <f t="shared" si="2"/>
        <v>-90.725999999999999</v>
      </c>
      <c r="M31" s="16"/>
      <c r="N31" s="16"/>
      <c r="O31" s="16">
        <v>40.243600000000022</v>
      </c>
      <c r="P31" s="16"/>
      <c r="Q31" s="16"/>
      <c r="R31" s="16"/>
      <c r="S31" s="16"/>
      <c r="T31" s="16">
        <f t="shared" si="3"/>
        <v>5.3548</v>
      </c>
      <c r="U31" s="4"/>
      <c r="V31" s="4">
        <f t="shared" si="7"/>
        <v>0</v>
      </c>
      <c r="W31" s="4"/>
      <c r="X31" s="16"/>
      <c r="Y31" s="16"/>
      <c r="Z31" s="16">
        <f t="shared" si="4"/>
        <v>31.44517068798088</v>
      </c>
      <c r="AA31" s="16">
        <f t="shared" si="5"/>
        <v>31.44517068798088</v>
      </c>
      <c r="AB31" s="16">
        <v>3.99</v>
      </c>
      <c r="AC31" s="16">
        <v>15.735799999999999</v>
      </c>
      <c r="AD31" s="16">
        <v>19.2578</v>
      </c>
      <c r="AE31" s="16">
        <v>9.5378000000000007</v>
      </c>
      <c r="AF31" s="16">
        <v>4.1444000000000001</v>
      </c>
      <c r="AG31" s="16">
        <v>12.799799999999999</v>
      </c>
      <c r="AH31" s="16">
        <v>20.229199999999999</v>
      </c>
      <c r="AI31" s="16">
        <v>9.969199999999999</v>
      </c>
      <c r="AJ31" s="16">
        <v>5.0338000000000003</v>
      </c>
      <c r="AK31" s="16">
        <v>7.6532</v>
      </c>
      <c r="AL31" s="14" t="s">
        <v>102</v>
      </c>
      <c r="AM31" s="16">
        <f t="shared" si="6"/>
        <v>0</v>
      </c>
      <c r="AN31" t="s">
        <v>103</v>
      </c>
    </row>
    <row r="32" spans="1:40" x14ac:dyDescent="0.25">
      <c r="A32" s="16" t="s">
        <v>104</v>
      </c>
      <c r="B32" s="16" t="s">
        <v>45</v>
      </c>
      <c r="C32" s="16">
        <v>18.972000000000001</v>
      </c>
      <c r="D32" s="16">
        <v>117.896</v>
      </c>
      <c r="E32" s="16">
        <v>61.607999999999997</v>
      </c>
      <c r="F32" s="16">
        <v>40.630000000000003</v>
      </c>
      <c r="G32" s="6">
        <v>1</v>
      </c>
      <c r="H32" s="16">
        <v>50</v>
      </c>
      <c r="I32" s="9" t="s">
        <v>64</v>
      </c>
      <c r="J32" s="16"/>
      <c r="K32" s="16">
        <v>119.9</v>
      </c>
      <c r="L32" s="16">
        <f t="shared" si="2"/>
        <v>-58.292000000000009</v>
      </c>
      <c r="M32" s="16"/>
      <c r="N32" s="16"/>
      <c r="O32" s="16">
        <v>100</v>
      </c>
      <c r="P32" s="16"/>
      <c r="Q32" s="16"/>
      <c r="R32" s="16"/>
      <c r="S32" s="16"/>
      <c r="T32" s="16">
        <f t="shared" si="3"/>
        <v>12.3216</v>
      </c>
      <c r="U32" s="4">
        <v>20</v>
      </c>
      <c r="V32" s="4">
        <f t="shared" si="7"/>
        <v>20</v>
      </c>
      <c r="W32" s="4"/>
      <c r="X32" s="16"/>
      <c r="Y32" s="16"/>
      <c r="Z32" s="16">
        <f t="shared" si="4"/>
        <v>13.036456304376054</v>
      </c>
      <c r="AA32" s="16">
        <f t="shared" si="5"/>
        <v>11.413290481755615</v>
      </c>
      <c r="AB32" s="16">
        <v>5.9024000000000001</v>
      </c>
      <c r="AC32" s="16">
        <v>2.0255999999999998</v>
      </c>
      <c r="AD32" s="16">
        <v>11.801600000000001</v>
      </c>
      <c r="AE32" s="16">
        <v>21.644400000000001</v>
      </c>
      <c r="AF32" s="16">
        <v>16.348800000000001</v>
      </c>
      <c r="AG32" s="16">
        <v>13.0716</v>
      </c>
      <c r="AH32" s="16">
        <v>12.183</v>
      </c>
      <c r="AI32" s="16">
        <v>16.6722</v>
      </c>
      <c r="AJ32" s="16">
        <v>19.813600000000001</v>
      </c>
      <c r="AK32" s="16">
        <v>12.786799999999999</v>
      </c>
      <c r="AL32" s="16" t="s">
        <v>83</v>
      </c>
      <c r="AM32" s="16">
        <f t="shared" si="6"/>
        <v>20</v>
      </c>
      <c r="AN32" t="s">
        <v>105</v>
      </c>
    </row>
    <row r="33" spans="1:40" x14ac:dyDescent="0.25">
      <c r="A33" s="16" t="s">
        <v>106</v>
      </c>
      <c r="B33" s="16" t="s">
        <v>45</v>
      </c>
      <c r="C33" s="16">
        <v>6.1639999999999997</v>
      </c>
      <c r="D33" s="16">
        <v>221.63399999999999</v>
      </c>
      <c r="E33" s="16">
        <v>117.15</v>
      </c>
      <c r="F33" s="16">
        <v>87.667000000000002</v>
      </c>
      <c r="G33" s="6">
        <v>1</v>
      </c>
      <c r="H33" s="16">
        <v>50</v>
      </c>
      <c r="I33" s="16" t="s">
        <v>46</v>
      </c>
      <c r="J33" s="16"/>
      <c r="K33" s="16">
        <v>95.1</v>
      </c>
      <c r="L33" s="16">
        <f t="shared" si="2"/>
        <v>22.050000000000011</v>
      </c>
      <c r="M33" s="16"/>
      <c r="N33" s="16"/>
      <c r="O33" s="16">
        <v>0</v>
      </c>
      <c r="P33" s="16"/>
      <c r="Q33" s="16"/>
      <c r="R33" s="16"/>
      <c r="S33" s="16"/>
      <c r="T33" s="16">
        <f t="shared" si="3"/>
        <v>23.43</v>
      </c>
      <c r="U33" s="4">
        <f>11*T33-S33-R33-Q33-O33-F33</f>
        <v>170.06300000000002</v>
      </c>
      <c r="V33" s="4">
        <f t="shared" si="7"/>
        <v>170.06300000000002</v>
      </c>
      <c r="W33" s="4"/>
      <c r="X33" s="16"/>
      <c r="Y33" s="16"/>
      <c r="Z33" s="16">
        <f t="shared" si="4"/>
        <v>11.000000000000002</v>
      </c>
      <c r="AA33" s="16">
        <f t="shared" si="5"/>
        <v>3.7416559965855742</v>
      </c>
      <c r="AB33" s="16">
        <v>7.003400000000001</v>
      </c>
      <c r="AC33" s="16">
        <v>13.5762</v>
      </c>
      <c r="AD33" s="16">
        <v>20.1646</v>
      </c>
      <c r="AE33" s="16">
        <v>12.2386</v>
      </c>
      <c r="AF33" s="16">
        <v>7.5937999999999999</v>
      </c>
      <c r="AG33" s="16">
        <v>11.585599999999999</v>
      </c>
      <c r="AH33" s="16">
        <v>11.974</v>
      </c>
      <c r="AI33" s="16">
        <v>13.573399999999999</v>
      </c>
      <c r="AJ33" s="16">
        <v>14.6586</v>
      </c>
      <c r="AK33" s="16">
        <v>12.297599999999999</v>
      </c>
      <c r="AL33" s="16"/>
      <c r="AM33" s="16">
        <f t="shared" si="6"/>
        <v>170</v>
      </c>
      <c r="AN33" t="s">
        <v>107</v>
      </c>
    </row>
    <row r="34" spans="1:40" x14ac:dyDescent="0.25">
      <c r="A34" s="16" t="s">
        <v>108</v>
      </c>
      <c r="B34" s="16" t="s">
        <v>53</v>
      </c>
      <c r="C34" s="16">
        <v>681.505</v>
      </c>
      <c r="D34" s="16">
        <v>869</v>
      </c>
      <c r="E34" s="16">
        <v>842</v>
      </c>
      <c r="F34" s="16">
        <v>503.505</v>
      </c>
      <c r="G34" s="6">
        <v>0.4</v>
      </c>
      <c r="H34" s="16">
        <v>45</v>
      </c>
      <c r="I34" s="9" t="s">
        <v>64</v>
      </c>
      <c r="J34" s="16"/>
      <c r="K34" s="16">
        <v>2948</v>
      </c>
      <c r="L34" s="16">
        <f t="shared" si="2"/>
        <v>-2106</v>
      </c>
      <c r="M34" s="16"/>
      <c r="N34" s="16"/>
      <c r="O34" s="16">
        <v>550</v>
      </c>
      <c r="P34" s="16">
        <v>-552.5</v>
      </c>
      <c r="Q34" s="16"/>
      <c r="R34" s="16"/>
      <c r="S34" s="16"/>
      <c r="T34" s="16">
        <f t="shared" si="3"/>
        <v>168.4</v>
      </c>
      <c r="U34" s="4">
        <v>600</v>
      </c>
      <c r="V34" s="4">
        <f t="shared" si="7"/>
        <v>600</v>
      </c>
      <c r="W34" s="4"/>
      <c r="X34" s="16"/>
      <c r="Y34" s="16"/>
      <c r="Z34" s="16">
        <f t="shared" si="4"/>
        <v>9.8189133016627075</v>
      </c>
      <c r="AA34" s="16">
        <f t="shared" si="5"/>
        <v>6.2559679334916867</v>
      </c>
      <c r="AB34" s="16">
        <v>297.2</v>
      </c>
      <c r="AC34" s="16">
        <v>169.4</v>
      </c>
      <c r="AD34" s="16">
        <v>158.80000000000001</v>
      </c>
      <c r="AE34" s="16">
        <v>244.8</v>
      </c>
      <c r="AF34" s="16">
        <v>275.8</v>
      </c>
      <c r="AG34" s="16">
        <v>345</v>
      </c>
      <c r="AH34" s="16">
        <v>296.8</v>
      </c>
      <c r="AI34" s="16">
        <v>241.8</v>
      </c>
      <c r="AJ34" s="16">
        <v>278.8</v>
      </c>
      <c r="AK34" s="16">
        <v>324.39999999999998</v>
      </c>
      <c r="AL34" s="16"/>
      <c r="AM34" s="16">
        <f t="shared" si="6"/>
        <v>240</v>
      </c>
      <c r="AN34" t="s">
        <v>109</v>
      </c>
    </row>
    <row r="35" spans="1:40" x14ac:dyDescent="0.25">
      <c r="A35" s="16" t="s">
        <v>110</v>
      </c>
      <c r="B35" s="16" t="s">
        <v>53</v>
      </c>
      <c r="C35" s="16">
        <v>-1</v>
      </c>
      <c r="D35" s="16">
        <v>720</v>
      </c>
      <c r="E35" s="16">
        <v>322</v>
      </c>
      <c r="F35" s="16">
        <v>335</v>
      </c>
      <c r="G35" s="6">
        <v>0.45</v>
      </c>
      <c r="H35" s="16">
        <v>50</v>
      </c>
      <c r="I35" s="16" t="s">
        <v>46</v>
      </c>
      <c r="J35" s="16"/>
      <c r="K35" s="16">
        <v>375</v>
      </c>
      <c r="L35" s="16">
        <f t="shared" si="2"/>
        <v>-53</v>
      </c>
      <c r="M35" s="16"/>
      <c r="N35" s="16"/>
      <c r="O35" s="16">
        <v>53.475999999999999</v>
      </c>
      <c r="P35" s="16"/>
      <c r="Q35" s="16"/>
      <c r="R35" s="16">
        <v>62.524000000000001</v>
      </c>
      <c r="S35" s="16"/>
      <c r="T35" s="16">
        <f t="shared" si="3"/>
        <v>64.400000000000006</v>
      </c>
      <c r="U35" s="4">
        <f>11*T35-S35-R35-Q35-O35-F35</f>
        <v>257.40000000000009</v>
      </c>
      <c r="V35" s="4">
        <f>U35+$V$1*T35</f>
        <v>271.5680000000001</v>
      </c>
      <c r="W35" s="4"/>
      <c r="X35" s="16"/>
      <c r="Y35" s="16"/>
      <c r="Z35" s="16">
        <f t="shared" si="4"/>
        <v>11.22</v>
      </c>
      <c r="AA35" s="16">
        <f t="shared" si="5"/>
        <v>7.0031055900621109</v>
      </c>
      <c r="AB35" s="16">
        <v>40.4</v>
      </c>
      <c r="AC35" s="16">
        <v>47</v>
      </c>
      <c r="AD35" s="16">
        <v>69.400000000000006</v>
      </c>
      <c r="AE35" s="16">
        <v>64</v>
      </c>
      <c r="AF35" s="16">
        <v>59.8</v>
      </c>
      <c r="AG35" s="16">
        <v>55.6</v>
      </c>
      <c r="AH35" s="16">
        <v>41.6</v>
      </c>
      <c r="AI35" s="16">
        <v>39.4</v>
      </c>
      <c r="AJ35" s="16">
        <v>68.8</v>
      </c>
      <c r="AK35" s="16">
        <v>92.6</v>
      </c>
      <c r="AL35" s="16"/>
      <c r="AM35" s="16">
        <f t="shared" si="6"/>
        <v>122</v>
      </c>
      <c r="AN35" t="s">
        <v>111</v>
      </c>
    </row>
    <row r="36" spans="1:40" x14ac:dyDescent="0.25">
      <c r="A36" s="16" t="s">
        <v>112</v>
      </c>
      <c r="B36" s="16" t="s">
        <v>53</v>
      </c>
      <c r="C36" s="16">
        <v>-14</v>
      </c>
      <c r="D36" s="16">
        <v>180</v>
      </c>
      <c r="E36" s="16">
        <v>122</v>
      </c>
      <c r="F36" s="16">
        <v>-49</v>
      </c>
      <c r="G36" s="6">
        <v>0.4</v>
      </c>
      <c r="H36" s="16">
        <v>45</v>
      </c>
      <c r="I36" s="9" t="s">
        <v>64</v>
      </c>
      <c r="J36" s="16"/>
      <c r="K36" s="16">
        <v>613</v>
      </c>
      <c r="L36" s="16">
        <f t="shared" si="2"/>
        <v>-491</v>
      </c>
      <c r="M36" s="16"/>
      <c r="N36" s="16"/>
      <c r="O36" s="16">
        <v>230</v>
      </c>
      <c r="P36" s="16"/>
      <c r="Q36" s="16"/>
      <c r="R36" s="16"/>
      <c r="S36" s="16"/>
      <c r="T36" s="16">
        <f t="shared" si="3"/>
        <v>24.4</v>
      </c>
      <c r="U36" s="4">
        <v>200</v>
      </c>
      <c r="V36" s="4">
        <f>U36</f>
        <v>200</v>
      </c>
      <c r="W36" s="4"/>
      <c r="X36" s="16"/>
      <c r="Y36" s="16"/>
      <c r="Z36" s="16">
        <f t="shared" si="4"/>
        <v>15.614754098360656</v>
      </c>
      <c r="AA36" s="16">
        <f t="shared" si="5"/>
        <v>7.418032786885246</v>
      </c>
      <c r="AB36" s="16">
        <v>-0.6</v>
      </c>
      <c r="AC36" s="16">
        <v>0.2</v>
      </c>
      <c r="AD36" s="16">
        <v>60.2</v>
      </c>
      <c r="AE36" s="16">
        <v>66.2</v>
      </c>
      <c r="AF36" s="16">
        <v>45.2</v>
      </c>
      <c r="AG36" s="16">
        <v>106.8</v>
      </c>
      <c r="AH36" s="16">
        <v>113.8</v>
      </c>
      <c r="AI36" s="16">
        <v>107</v>
      </c>
      <c r="AJ36" s="16">
        <v>101.8</v>
      </c>
      <c r="AK36" s="16">
        <v>124.8</v>
      </c>
      <c r="AL36" s="16"/>
      <c r="AM36" s="16">
        <f t="shared" si="6"/>
        <v>80</v>
      </c>
      <c r="AN36" t="s">
        <v>113</v>
      </c>
    </row>
    <row r="37" spans="1:40" x14ac:dyDescent="0.25">
      <c r="A37" s="16" t="s">
        <v>114</v>
      </c>
      <c r="B37" s="16" t="s">
        <v>53</v>
      </c>
      <c r="C37" s="16">
        <v>4</v>
      </c>
      <c r="D37" s="16">
        <v>3</v>
      </c>
      <c r="E37" s="16"/>
      <c r="F37" s="16">
        <v>4</v>
      </c>
      <c r="G37" s="6">
        <v>0.4</v>
      </c>
      <c r="H37" s="16">
        <v>40</v>
      </c>
      <c r="I37" s="9" t="s">
        <v>64</v>
      </c>
      <c r="J37" s="16"/>
      <c r="K37" s="16">
        <v>173</v>
      </c>
      <c r="L37" s="16">
        <f t="shared" si="2"/>
        <v>-173</v>
      </c>
      <c r="M37" s="16"/>
      <c r="N37" s="16"/>
      <c r="O37" s="16">
        <v>50</v>
      </c>
      <c r="P37" s="16">
        <v>-55</v>
      </c>
      <c r="Q37" s="16"/>
      <c r="R37" s="16"/>
      <c r="S37" s="16"/>
      <c r="T37" s="16">
        <f t="shared" si="3"/>
        <v>0</v>
      </c>
      <c r="U37" s="4">
        <v>40</v>
      </c>
      <c r="V37" s="4">
        <f>U37</f>
        <v>40</v>
      </c>
      <c r="W37" s="4"/>
      <c r="X37" s="16"/>
      <c r="Y37" s="16"/>
      <c r="Z37" s="16" t="e">
        <f t="shared" si="4"/>
        <v>#DIV/0!</v>
      </c>
      <c r="AA37" s="16" t="e">
        <f t="shared" si="5"/>
        <v>#DIV/0!</v>
      </c>
      <c r="AB37" s="16">
        <v>3</v>
      </c>
      <c r="AC37" s="16">
        <v>5.6</v>
      </c>
      <c r="AD37" s="16">
        <v>12.6</v>
      </c>
      <c r="AE37" s="16">
        <v>17.600000000000001</v>
      </c>
      <c r="AF37" s="16">
        <v>16.8</v>
      </c>
      <c r="AG37" s="16">
        <v>16.2</v>
      </c>
      <c r="AH37" s="16">
        <v>11.8</v>
      </c>
      <c r="AI37" s="16">
        <v>10.6</v>
      </c>
      <c r="AJ37" s="16">
        <v>20.6</v>
      </c>
      <c r="AK37" s="16">
        <v>26</v>
      </c>
      <c r="AL37" s="16"/>
      <c r="AM37" s="16">
        <f t="shared" si="6"/>
        <v>16</v>
      </c>
      <c r="AN37" t="s">
        <v>115</v>
      </c>
    </row>
    <row r="38" spans="1:40" x14ac:dyDescent="0.25">
      <c r="A38" s="16" t="s">
        <v>116</v>
      </c>
      <c r="B38" s="16" t="s">
        <v>45</v>
      </c>
      <c r="C38" s="16">
        <v>1.2509999999999999</v>
      </c>
      <c r="D38" s="16">
        <v>139.93799999999999</v>
      </c>
      <c r="E38" s="16">
        <v>35.722000000000001</v>
      </c>
      <c r="F38" s="16">
        <v>101.18899999999999</v>
      </c>
      <c r="G38" s="6">
        <v>1</v>
      </c>
      <c r="H38" s="16">
        <v>45</v>
      </c>
      <c r="I38" s="9" t="s">
        <v>64</v>
      </c>
      <c r="J38" s="16"/>
      <c r="K38" s="16">
        <v>48.951000000000001</v>
      </c>
      <c r="L38" s="16">
        <f t="shared" ref="L38:L69" si="8">E38-K38</f>
        <v>-13.228999999999999</v>
      </c>
      <c r="M38" s="16"/>
      <c r="N38" s="16"/>
      <c r="O38" s="16">
        <v>100</v>
      </c>
      <c r="P38" s="16"/>
      <c r="Q38" s="16"/>
      <c r="R38" s="16"/>
      <c r="S38" s="16"/>
      <c r="T38" s="16">
        <f t="shared" ref="T38:T69" si="9">E38/5</f>
        <v>7.1444000000000001</v>
      </c>
      <c r="U38" s="4"/>
      <c r="V38" s="4">
        <f>U38</f>
        <v>0</v>
      </c>
      <c r="W38" s="4"/>
      <c r="X38" s="16"/>
      <c r="Y38" s="16"/>
      <c r="Z38" s="16">
        <f t="shared" ref="Z38:Z69" si="10">(F38+O38+Q38+R38+S38+V38)/T38</f>
        <v>28.160377358490564</v>
      </c>
      <c r="AA38" s="16">
        <f t="shared" ref="AA38:AA69" si="11">(F38+O38+Q38+R38+S38)/T38</f>
        <v>28.160377358490564</v>
      </c>
      <c r="AB38" s="16">
        <v>1.1714</v>
      </c>
      <c r="AC38" s="16">
        <v>9.6359999999999992</v>
      </c>
      <c r="AD38" s="16">
        <v>15.555199999999999</v>
      </c>
      <c r="AE38" s="16">
        <v>6.1219999999999999</v>
      </c>
      <c r="AF38" s="16">
        <v>-6.3E-2</v>
      </c>
      <c r="AG38" s="16">
        <v>5.2148000000000003</v>
      </c>
      <c r="AH38" s="16">
        <v>6.1369999999999996</v>
      </c>
      <c r="AI38" s="16">
        <v>4.6671999999999993</v>
      </c>
      <c r="AJ38" s="16">
        <v>6.0350000000000001</v>
      </c>
      <c r="AK38" s="16">
        <v>5.3391999999999999</v>
      </c>
      <c r="AL38" s="16" t="s">
        <v>83</v>
      </c>
      <c r="AM38" s="16">
        <f t="shared" ref="AM38:AM69" si="12">ROUND(G38*V38,0)</f>
        <v>0</v>
      </c>
      <c r="AN38" t="s">
        <v>117</v>
      </c>
    </row>
    <row r="39" spans="1:40" x14ac:dyDescent="0.25">
      <c r="A39" s="16" t="s">
        <v>118</v>
      </c>
      <c r="B39" s="16" t="s">
        <v>53</v>
      </c>
      <c r="C39" s="16">
        <v>124</v>
      </c>
      <c r="D39" s="16">
        <v>40</v>
      </c>
      <c r="E39" s="16">
        <v>114</v>
      </c>
      <c r="F39" s="16">
        <v>53</v>
      </c>
      <c r="G39" s="6">
        <v>0.1</v>
      </c>
      <c r="H39" s="16">
        <v>731</v>
      </c>
      <c r="I39" s="16" t="s">
        <v>46</v>
      </c>
      <c r="J39" s="16"/>
      <c r="K39" s="16">
        <v>111</v>
      </c>
      <c r="L39" s="16">
        <f t="shared" si="8"/>
        <v>3</v>
      </c>
      <c r="M39" s="16"/>
      <c r="N39" s="16"/>
      <c r="O39" s="16">
        <v>230.5</v>
      </c>
      <c r="P39" s="16"/>
      <c r="Q39" s="16"/>
      <c r="R39" s="16">
        <v>269.5</v>
      </c>
      <c r="S39" s="16"/>
      <c r="T39" s="16">
        <f t="shared" si="9"/>
        <v>22.8</v>
      </c>
      <c r="U39" s="4"/>
      <c r="V39" s="4">
        <v>300</v>
      </c>
      <c r="W39" s="4"/>
      <c r="X39" s="16" t="str">
        <f>VLOOKUP(A39,[1]Sheet!$A:$V,21,0)</f>
        <v>500шт</v>
      </c>
      <c r="Y39" s="16" t="str">
        <f>VLOOKUP(A39,[1]Sheet!$A:$V,22,0)</f>
        <v>Промо N+1</v>
      </c>
      <c r="Z39" s="16">
        <f t="shared" si="10"/>
        <v>37.412280701754383</v>
      </c>
      <c r="AA39" s="16">
        <f t="shared" si="11"/>
        <v>24.254385964912281</v>
      </c>
      <c r="AB39" s="16">
        <v>25</v>
      </c>
      <c r="AC39" s="16">
        <v>20.6</v>
      </c>
      <c r="AD39" s="16">
        <v>18.8</v>
      </c>
      <c r="AE39" s="16">
        <v>12.2</v>
      </c>
      <c r="AF39" s="16">
        <v>7.6</v>
      </c>
      <c r="AG39" s="16">
        <v>11.8</v>
      </c>
      <c r="AH39" s="16">
        <v>17.600000000000001</v>
      </c>
      <c r="AI39" s="16">
        <v>22.8</v>
      </c>
      <c r="AJ39" s="16">
        <v>20.2</v>
      </c>
      <c r="AK39" s="16">
        <v>22</v>
      </c>
      <c r="AL39" s="16" t="s">
        <v>83</v>
      </c>
      <c r="AM39" s="16">
        <f t="shared" si="12"/>
        <v>30</v>
      </c>
      <c r="AN39" t="s">
        <v>119</v>
      </c>
    </row>
    <row r="40" spans="1:40" x14ac:dyDescent="0.25">
      <c r="A40" s="16" t="s">
        <v>120</v>
      </c>
      <c r="B40" s="16" t="s">
        <v>53</v>
      </c>
      <c r="C40" s="16"/>
      <c r="D40" s="16"/>
      <c r="E40" s="16">
        <v>-3</v>
      </c>
      <c r="F40" s="16"/>
      <c r="G40" s="6">
        <v>0.35</v>
      </c>
      <c r="H40" s="16">
        <v>40</v>
      </c>
      <c r="I40" s="9" t="s">
        <v>64</v>
      </c>
      <c r="J40" s="16"/>
      <c r="K40" s="16">
        <v>3</v>
      </c>
      <c r="L40" s="16">
        <f t="shared" si="8"/>
        <v>-6</v>
      </c>
      <c r="M40" s="16"/>
      <c r="N40" s="16"/>
      <c r="O40" s="16">
        <v>50</v>
      </c>
      <c r="P40" s="16">
        <v>-54.285714285714292</v>
      </c>
      <c r="Q40" s="16"/>
      <c r="R40" s="16"/>
      <c r="S40" s="16"/>
      <c r="T40" s="16">
        <f t="shared" si="9"/>
        <v>-0.6</v>
      </c>
      <c r="U40" s="4">
        <v>40</v>
      </c>
      <c r="V40" s="4">
        <v>100</v>
      </c>
      <c r="W40" s="4"/>
      <c r="X40" s="16" t="str">
        <f>VLOOKUP(A40,[1]Sheet!$A:$V,21,0)</f>
        <v>150шт</v>
      </c>
      <c r="Y40" s="16"/>
      <c r="Z40" s="16">
        <f t="shared" si="10"/>
        <v>-250</v>
      </c>
      <c r="AA40" s="16">
        <f t="shared" si="11"/>
        <v>-83.333333333333343</v>
      </c>
      <c r="AB40" s="16">
        <v>-0.8</v>
      </c>
      <c r="AC40" s="16">
        <v>-2.4</v>
      </c>
      <c r="AD40" s="16">
        <v>-2.8</v>
      </c>
      <c r="AE40" s="16">
        <v>-1.6</v>
      </c>
      <c r="AF40" s="16">
        <v>-1</v>
      </c>
      <c r="AG40" s="16">
        <v>-1.4</v>
      </c>
      <c r="AH40" s="16">
        <v>-0.8</v>
      </c>
      <c r="AI40" s="16">
        <v>10.8</v>
      </c>
      <c r="AJ40" s="16">
        <v>15.8</v>
      </c>
      <c r="AK40" s="16">
        <v>20.2</v>
      </c>
      <c r="AL40" s="16"/>
      <c r="AM40" s="16">
        <f t="shared" si="12"/>
        <v>35</v>
      </c>
      <c r="AN40" t="s">
        <v>121</v>
      </c>
    </row>
    <row r="41" spans="1:40" x14ac:dyDescent="0.25">
      <c r="A41" s="16" t="s">
        <v>122</v>
      </c>
      <c r="B41" s="16" t="s">
        <v>45</v>
      </c>
      <c r="C41" s="16">
        <v>4.3559999999999999</v>
      </c>
      <c r="D41" s="16">
        <v>34.92</v>
      </c>
      <c r="E41" s="16">
        <v>27.765000000000001</v>
      </c>
      <c r="F41" s="16">
        <v>5.625</v>
      </c>
      <c r="G41" s="6">
        <v>1</v>
      </c>
      <c r="H41" s="16">
        <v>40</v>
      </c>
      <c r="I41" s="9" t="s">
        <v>64</v>
      </c>
      <c r="J41" s="16"/>
      <c r="K41" s="16">
        <v>56.6</v>
      </c>
      <c r="L41" s="16">
        <f t="shared" si="8"/>
        <v>-28.835000000000001</v>
      </c>
      <c r="M41" s="16"/>
      <c r="N41" s="16"/>
      <c r="O41" s="16">
        <v>40</v>
      </c>
      <c r="P41" s="16">
        <v>-7</v>
      </c>
      <c r="Q41" s="16"/>
      <c r="R41" s="16"/>
      <c r="S41" s="16"/>
      <c r="T41" s="16">
        <f t="shared" si="9"/>
        <v>5.5529999999999999</v>
      </c>
      <c r="U41" s="4">
        <v>20</v>
      </c>
      <c r="V41" s="4">
        <v>100</v>
      </c>
      <c r="W41" s="4"/>
      <c r="X41" s="16" t="str">
        <f>VLOOKUP(A41,[1]Sheet!$A:$V,21,0)</f>
        <v>150кг</v>
      </c>
      <c r="Y41" s="16" t="str">
        <f>VLOOKUP(A41,[1]Sheet!$A:$V,22,0)</f>
        <v>Промо ЖЦ</v>
      </c>
      <c r="Z41" s="16">
        <f t="shared" si="10"/>
        <v>26.224563299117595</v>
      </c>
      <c r="AA41" s="16">
        <f t="shared" si="11"/>
        <v>8.216279488564739</v>
      </c>
      <c r="AB41" s="16">
        <v>-1.6140000000000001</v>
      </c>
      <c r="AC41" s="16">
        <v>5.4058000000000002</v>
      </c>
      <c r="AD41" s="16">
        <v>14.0082</v>
      </c>
      <c r="AE41" s="16">
        <v>16.4742</v>
      </c>
      <c r="AF41" s="16">
        <v>12.819800000000001</v>
      </c>
      <c r="AG41" s="16">
        <v>11.537800000000001</v>
      </c>
      <c r="AH41" s="16">
        <v>8.0475999999999992</v>
      </c>
      <c r="AI41" s="16">
        <v>10.005599999999999</v>
      </c>
      <c r="AJ41" s="16">
        <v>12.919600000000001</v>
      </c>
      <c r="AK41" s="16">
        <v>11.806800000000001</v>
      </c>
      <c r="AL41" s="16" t="s">
        <v>83</v>
      </c>
      <c r="AM41" s="16">
        <f t="shared" si="12"/>
        <v>100</v>
      </c>
      <c r="AN41" t="s">
        <v>123</v>
      </c>
    </row>
    <row r="42" spans="1:40" x14ac:dyDescent="0.25">
      <c r="A42" s="10" t="s">
        <v>124</v>
      </c>
      <c r="B42" s="10" t="s">
        <v>53</v>
      </c>
      <c r="C42" s="10">
        <v>1</v>
      </c>
      <c r="D42" s="10"/>
      <c r="E42" s="10">
        <v>-1</v>
      </c>
      <c r="F42" s="10">
        <v>1</v>
      </c>
      <c r="G42" s="11">
        <v>0</v>
      </c>
      <c r="H42" s="10">
        <v>50</v>
      </c>
      <c r="I42" s="10" t="s">
        <v>125</v>
      </c>
      <c r="J42" s="10"/>
      <c r="K42" s="10">
        <v>20</v>
      </c>
      <c r="L42" s="10">
        <f t="shared" si="8"/>
        <v>-21</v>
      </c>
      <c r="M42" s="10"/>
      <c r="N42" s="10"/>
      <c r="O42" s="10">
        <v>0</v>
      </c>
      <c r="P42" s="10"/>
      <c r="Q42" s="10"/>
      <c r="R42" s="10"/>
      <c r="S42" s="10"/>
      <c r="T42" s="10">
        <f t="shared" si="9"/>
        <v>-0.2</v>
      </c>
      <c r="U42" s="12"/>
      <c r="V42" s="4">
        <f>U42</f>
        <v>0</v>
      </c>
      <c r="W42" s="4"/>
      <c r="X42" s="16"/>
      <c r="Y42" s="16"/>
      <c r="Z42" s="16">
        <f t="shared" si="10"/>
        <v>-5</v>
      </c>
      <c r="AA42" s="10">
        <f t="shared" si="11"/>
        <v>-5</v>
      </c>
      <c r="AB42" s="10">
        <v>-0.2</v>
      </c>
      <c r="AC42" s="10">
        <v>0</v>
      </c>
      <c r="AD42" s="10">
        <v>1.4</v>
      </c>
      <c r="AE42" s="10">
        <v>2.6</v>
      </c>
      <c r="AF42" s="10">
        <v>2.2000000000000002</v>
      </c>
      <c r="AG42" s="10">
        <v>4.4000000000000004</v>
      </c>
      <c r="AH42" s="10">
        <v>4</v>
      </c>
      <c r="AI42" s="10">
        <v>2.2000000000000002</v>
      </c>
      <c r="AJ42" s="10">
        <v>3.2</v>
      </c>
      <c r="AK42" s="10">
        <v>7</v>
      </c>
      <c r="AL42" s="10"/>
      <c r="AM42" s="16">
        <f t="shared" si="12"/>
        <v>0</v>
      </c>
      <c r="AN42" t="s">
        <v>126</v>
      </c>
    </row>
    <row r="43" spans="1:40" x14ac:dyDescent="0.25">
      <c r="A43" s="16" t="s">
        <v>127</v>
      </c>
      <c r="B43" s="16" t="s">
        <v>53</v>
      </c>
      <c r="C43" s="16">
        <v>54</v>
      </c>
      <c r="D43" s="16">
        <v>108</v>
      </c>
      <c r="E43" s="16">
        <v>99</v>
      </c>
      <c r="F43" s="16">
        <v>49</v>
      </c>
      <c r="G43" s="6">
        <v>0.4</v>
      </c>
      <c r="H43" s="16">
        <v>40</v>
      </c>
      <c r="I43" s="9" t="s">
        <v>64</v>
      </c>
      <c r="J43" s="16"/>
      <c r="K43" s="16">
        <v>341</v>
      </c>
      <c r="L43" s="16">
        <f t="shared" si="8"/>
        <v>-242</v>
      </c>
      <c r="M43" s="16"/>
      <c r="N43" s="16"/>
      <c r="O43" s="16">
        <v>50</v>
      </c>
      <c r="P43" s="16"/>
      <c r="Q43" s="16"/>
      <c r="R43" s="16"/>
      <c r="S43" s="16"/>
      <c r="T43" s="16">
        <f t="shared" si="9"/>
        <v>19.8</v>
      </c>
      <c r="U43" s="4">
        <v>50</v>
      </c>
      <c r="V43" s="4">
        <f>U43</f>
        <v>50</v>
      </c>
      <c r="W43" s="4"/>
      <c r="X43" s="16"/>
      <c r="Y43" s="16"/>
      <c r="Z43" s="16">
        <f t="shared" si="10"/>
        <v>7.5252525252525251</v>
      </c>
      <c r="AA43" s="16">
        <f t="shared" si="11"/>
        <v>5</v>
      </c>
      <c r="AB43" s="16">
        <v>8.6</v>
      </c>
      <c r="AC43" s="16">
        <v>8.8000000000000007</v>
      </c>
      <c r="AD43" s="16">
        <v>24.4</v>
      </c>
      <c r="AE43" s="16">
        <v>15.4</v>
      </c>
      <c r="AF43" s="16">
        <v>-2.2000000000000002</v>
      </c>
      <c r="AG43" s="16">
        <v>-2.4</v>
      </c>
      <c r="AH43" s="16">
        <v>-3.6</v>
      </c>
      <c r="AI43" s="16">
        <v>-4.2</v>
      </c>
      <c r="AJ43" s="16">
        <v>-3</v>
      </c>
      <c r="AK43" s="16">
        <v>8.4</v>
      </c>
      <c r="AL43" s="16"/>
      <c r="AM43" s="16">
        <f t="shared" si="12"/>
        <v>20</v>
      </c>
      <c r="AN43" t="s">
        <v>128</v>
      </c>
    </row>
    <row r="44" spans="1:40" x14ac:dyDescent="0.25">
      <c r="A44" s="16" t="s">
        <v>129</v>
      </c>
      <c r="B44" s="16" t="s">
        <v>53</v>
      </c>
      <c r="C44" s="16">
        <v>123</v>
      </c>
      <c r="D44" s="16">
        <v>141</v>
      </c>
      <c r="E44" s="16">
        <v>151</v>
      </c>
      <c r="F44" s="16">
        <v>107</v>
      </c>
      <c r="G44" s="6">
        <v>0.4</v>
      </c>
      <c r="H44" s="16">
        <v>45</v>
      </c>
      <c r="I44" s="16" t="s">
        <v>46</v>
      </c>
      <c r="J44" s="16"/>
      <c r="K44" s="16">
        <v>567</v>
      </c>
      <c r="L44" s="16">
        <f t="shared" si="8"/>
        <v>-416</v>
      </c>
      <c r="M44" s="16"/>
      <c r="N44" s="16"/>
      <c r="O44" s="16">
        <v>150</v>
      </c>
      <c r="P44" s="16"/>
      <c r="Q44" s="16"/>
      <c r="R44" s="16"/>
      <c r="S44" s="16"/>
      <c r="T44" s="16">
        <f t="shared" si="9"/>
        <v>30.2</v>
      </c>
      <c r="U44" s="4">
        <v>80</v>
      </c>
      <c r="V44" s="4">
        <f>U44</f>
        <v>80</v>
      </c>
      <c r="W44" s="4"/>
      <c r="X44" s="16"/>
      <c r="Y44" s="16"/>
      <c r="Z44" s="16">
        <f t="shared" si="10"/>
        <v>11.158940397350994</v>
      </c>
      <c r="AA44" s="16">
        <f t="shared" si="11"/>
        <v>8.5099337748344368</v>
      </c>
      <c r="AB44" s="16">
        <v>28.6</v>
      </c>
      <c r="AC44" s="16">
        <v>42.4</v>
      </c>
      <c r="AD44" s="16">
        <v>40.799999999999997</v>
      </c>
      <c r="AE44" s="16">
        <v>18.2</v>
      </c>
      <c r="AF44" s="16">
        <v>29.8</v>
      </c>
      <c r="AG44" s="16">
        <v>45.4</v>
      </c>
      <c r="AH44" s="16">
        <v>46.2</v>
      </c>
      <c r="AI44" s="16">
        <v>24.8</v>
      </c>
      <c r="AJ44" s="16">
        <v>1</v>
      </c>
      <c r="AK44" s="16">
        <v>13.4</v>
      </c>
      <c r="AL44" s="16"/>
      <c r="AM44" s="16">
        <f t="shared" si="12"/>
        <v>32</v>
      </c>
      <c r="AN44" t="s">
        <v>130</v>
      </c>
    </row>
    <row r="45" spans="1:40" x14ac:dyDescent="0.25">
      <c r="A45" s="16" t="s">
        <v>131</v>
      </c>
      <c r="B45" s="16" t="s">
        <v>45</v>
      </c>
      <c r="C45" s="16">
        <v>-9.4359999999999999</v>
      </c>
      <c r="D45" s="16">
        <v>43.908999999999999</v>
      </c>
      <c r="E45" s="16">
        <v>26.379000000000001</v>
      </c>
      <c r="F45" s="16">
        <v>-10.053000000000001</v>
      </c>
      <c r="G45" s="6">
        <v>1</v>
      </c>
      <c r="H45" s="16">
        <v>40</v>
      </c>
      <c r="I45" s="9" t="s">
        <v>64</v>
      </c>
      <c r="J45" s="16"/>
      <c r="K45" s="16">
        <v>63.3</v>
      </c>
      <c r="L45" s="16">
        <f t="shared" si="8"/>
        <v>-36.920999999999992</v>
      </c>
      <c r="M45" s="16"/>
      <c r="N45" s="16"/>
      <c r="O45" s="16">
        <v>100</v>
      </c>
      <c r="P45" s="16">
        <v>-101</v>
      </c>
      <c r="Q45" s="16"/>
      <c r="R45" s="16"/>
      <c r="S45" s="16"/>
      <c r="T45" s="16">
        <f t="shared" si="9"/>
        <v>5.2758000000000003</v>
      </c>
      <c r="U45" s="4">
        <v>40</v>
      </c>
      <c r="V45" s="4">
        <f>U45</f>
        <v>40</v>
      </c>
      <c r="W45" s="4"/>
      <c r="X45" s="16"/>
      <c r="Y45" s="16"/>
      <c r="Z45" s="16">
        <f t="shared" si="10"/>
        <v>24.630766897911215</v>
      </c>
      <c r="AA45" s="16">
        <f t="shared" si="11"/>
        <v>17.048978353993707</v>
      </c>
      <c r="AB45" s="16">
        <v>-0.58460000000000001</v>
      </c>
      <c r="AC45" s="16">
        <v>1.7490000000000001</v>
      </c>
      <c r="AD45" s="16">
        <v>10.768800000000001</v>
      </c>
      <c r="AE45" s="16">
        <v>16.7926</v>
      </c>
      <c r="AF45" s="16">
        <v>16.431999999999999</v>
      </c>
      <c r="AG45" s="16">
        <v>25.953600000000002</v>
      </c>
      <c r="AH45" s="16">
        <v>18.532599999999999</v>
      </c>
      <c r="AI45" s="16">
        <v>11.743399999999999</v>
      </c>
      <c r="AJ45" s="16">
        <v>20.163799999999998</v>
      </c>
      <c r="AK45" s="16">
        <v>20.949200000000001</v>
      </c>
      <c r="AL45" s="16" t="s">
        <v>83</v>
      </c>
      <c r="AM45" s="16">
        <f t="shared" si="12"/>
        <v>40</v>
      </c>
      <c r="AN45" t="s">
        <v>132</v>
      </c>
    </row>
    <row r="46" spans="1:40" x14ac:dyDescent="0.25">
      <c r="A46" s="16" t="s">
        <v>133</v>
      </c>
      <c r="B46" s="16" t="s">
        <v>53</v>
      </c>
      <c r="C46" s="16">
        <v>-12</v>
      </c>
      <c r="D46" s="16">
        <v>108</v>
      </c>
      <c r="E46" s="16">
        <v>67</v>
      </c>
      <c r="F46" s="16">
        <v>21</v>
      </c>
      <c r="G46" s="6">
        <v>0.35</v>
      </c>
      <c r="H46" s="16">
        <v>40</v>
      </c>
      <c r="I46" s="9" t="s">
        <v>64</v>
      </c>
      <c r="J46" s="16"/>
      <c r="K46" s="16">
        <v>92</v>
      </c>
      <c r="L46" s="16">
        <f t="shared" si="8"/>
        <v>-25</v>
      </c>
      <c r="M46" s="16"/>
      <c r="N46" s="16"/>
      <c r="O46" s="16">
        <v>140</v>
      </c>
      <c r="P46" s="16"/>
      <c r="Q46" s="16"/>
      <c r="R46" s="16"/>
      <c r="S46" s="16"/>
      <c r="T46" s="16">
        <f t="shared" si="9"/>
        <v>13.4</v>
      </c>
      <c r="U46" s="4">
        <v>80</v>
      </c>
      <c r="V46" s="4">
        <f>U46</f>
        <v>80</v>
      </c>
      <c r="W46" s="4"/>
      <c r="X46" s="16"/>
      <c r="Y46" s="16"/>
      <c r="Z46" s="16">
        <f t="shared" si="10"/>
        <v>17.985074626865671</v>
      </c>
      <c r="AA46" s="16">
        <f t="shared" si="11"/>
        <v>12.014925373134329</v>
      </c>
      <c r="AB46" s="16">
        <v>0.4</v>
      </c>
      <c r="AC46" s="16">
        <v>13.8</v>
      </c>
      <c r="AD46" s="16">
        <v>44.6</v>
      </c>
      <c r="AE46" s="16">
        <v>77</v>
      </c>
      <c r="AF46" s="16">
        <v>65.400000000000006</v>
      </c>
      <c r="AG46" s="16">
        <v>53.2</v>
      </c>
      <c r="AH46" s="16">
        <v>48.8</v>
      </c>
      <c r="AI46" s="16">
        <v>40.6</v>
      </c>
      <c r="AJ46" s="16">
        <v>37.200000000000003</v>
      </c>
      <c r="AK46" s="16">
        <v>44</v>
      </c>
      <c r="AL46" s="16"/>
      <c r="AM46" s="16">
        <f t="shared" si="12"/>
        <v>28</v>
      </c>
      <c r="AN46" t="s">
        <v>134</v>
      </c>
    </row>
    <row r="47" spans="1:40" x14ac:dyDescent="0.25">
      <c r="A47" s="16" t="s">
        <v>135</v>
      </c>
      <c r="B47" s="16" t="s">
        <v>53</v>
      </c>
      <c r="C47" s="16">
        <v>7</v>
      </c>
      <c r="D47" s="16">
        <v>727</v>
      </c>
      <c r="E47" s="16">
        <v>243</v>
      </c>
      <c r="F47" s="16">
        <v>459</v>
      </c>
      <c r="G47" s="6">
        <v>0.4</v>
      </c>
      <c r="H47" s="16">
        <v>40</v>
      </c>
      <c r="I47" s="9" t="s">
        <v>64</v>
      </c>
      <c r="J47" s="16"/>
      <c r="K47" s="16">
        <v>404</v>
      </c>
      <c r="L47" s="16">
        <f t="shared" si="8"/>
        <v>-161</v>
      </c>
      <c r="M47" s="16"/>
      <c r="N47" s="16"/>
      <c r="O47" s="16">
        <v>89.1</v>
      </c>
      <c r="P47" s="16"/>
      <c r="Q47" s="16"/>
      <c r="R47" s="16"/>
      <c r="S47" s="16"/>
      <c r="T47" s="16">
        <f t="shared" si="9"/>
        <v>48.6</v>
      </c>
      <c r="U47" s="4"/>
      <c r="V47" s="4">
        <f>U47+$V$1*T47</f>
        <v>10.692</v>
      </c>
      <c r="W47" s="4"/>
      <c r="X47" s="16"/>
      <c r="Y47" s="16"/>
      <c r="Z47" s="16">
        <f t="shared" si="10"/>
        <v>11.497777777777777</v>
      </c>
      <c r="AA47" s="16">
        <f t="shared" si="11"/>
        <v>11.277777777777779</v>
      </c>
      <c r="AB47" s="16">
        <v>46</v>
      </c>
      <c r="AC47" s="16">
        <v>59.4</v>
      </c>
      <c r="AD47" s="16">
        <v>74.400000000000006</v>
      </c>
      <c r="AE47" s="16">
        <v>51.2</v>
      </c>
      <c r="AF47" s="16">
        <v>37.4</v>
      </c>
      <c r="AG47" s="16">
        <v>52.2</v>
      </c>
      <c r="AH47" s="16">
        <v>49.4</v>
      </c>
      <c r="AI47" s="16">
        <v>36</v>
      </c>
      <c r="AJ47" s="16">
        <v>40.799999999999997</v>
      </c>
      <c r="AK47" s="16">
        <v>54</v>
      </c>
      <c r="AL47" s="16"/>
      <c r="AM47" s="16">
        <f t="shared" si="12"/>
        <v>4</v>
      </c>
      <c r="AN47" t="s">
        <v>136</v>
      </c>
    </row>
    <row r="48" spans="1:40" x14ac:dyDescent="0.25">
      <c r="A48" s="16" t="s">
        <v>137</v>
      </c>
      <c r="B48" s="16" t="s">
        <v>45</v>
      </c>
      <c r="C48" s="16">
        <v>75.52</v>
      </c>
      <c r="D48" s="16">
        <v>53.886000000000003</v>
      </c>
      <c r="E48" s="16">
        <v>89.23</v>
      </c>
      <c r="F48" s="16">
        <v>40.438000000000002</v>
      </c>
      <c r="G48" s="6">
        <v>1</v>
      </c>
      <c r="H48" s="16">
        <v>50</v>
      </c>
      <c r="I48" s="16" t="s">
        <v>46</v>
      </c>
      <c r="J48" s="16"/>
      <c r="K48" s="16">
        <v>88.9</v>
      </c>
      <c r="L48" s="16">
        <f t="shared" si="8"/>
        <v>0.32999999999999829</v>
      </c>
      <c r="M48" s="16"/>
      <c r="N48" s="16"/>
      <c r="O48" s="16">
        <v>82.68907200000001</v>
      </c>
      <c r="P48" s="16"/>
      <c r="Q48" s="16"/>
      <c r="R48" s="16"/>
      <c r="S48" s="16"/>
      <c r="T48" s="16">
        <f t="shared" si="9"/>
        <v>17.846</v>
      </c>
      <c r="U48" s="4">
        <f>11*T48-S48-R48-Q48-O48-F48</f>
        <v>73.178927999999999</v>
      </c>
      <c r="V48" s="4">
        <f>U48</f>
        <v>73.178927999999999</v>
      </c>
      <c r="W48" s="4"/>
      <c r="X48" s="16"/>
      <c r="Y48" s="16"/>
      <c r="Z48" s="16">
        <f t="shared" si="10"/>
        <v>11</v>
      </c>
      <c r="AA48" s="16">
        <f t="shared" si="11"/>
        <v>6.8994212708730256</v>
      </c>
      <c r="AB48" s="16">
        <v>16.891999999999999</v>
      </c>
      <c r="AC48" s="16">
        <v>15.883800000000001</v>
      </c>
      <c r="AD48" s="16">
        <v>13.0962</v>
      </c>
      <c r="AE48" s="16">
        <v>16.213799999999999</v>
      </c>
      <c r="AF48" s="16">
        <v>20.591200000000001</v>
      </c>
      <c r="AG48" s="16">
        <v>19.520800000000001</v>
      </c>
      <c r="AH48" s="16">
        <v>15.0738</v>
      </c>
      <c r="AI48" s="16">
        <v>11.8742</v>
      </c>
      <c r="AJ48" s="16">
        <v>13.991400000000001</v>
      </c>
      <c r="AK48" s="16">
        <v>17.976199999999999</v>
      </c>
      <c r="AL48" s="16"/>
      <c r="AM48" s="16">
        <f t="shared" si="12"/>
        <v>73</v>
      </c>
      <c r="AN48" t="s">
        <v>138</v>
      </c>
    </row>
    <row r="49" spans="1:40" x14ac:dyDescent="0.25">
      <c r="A49" s="16" t="s">
        <v>139</v>
      </c>
      <c r="B49" s="16" t="s">
        <v>45</v>
      </c>
      <c r="C49" s="16">
        <v>28.436</v>
      </c>
      <c r="D49" s="16">
        <v>1.3</v>
      </c>
      <c r="E49" s="16">
        <v>-1.4870000000000001</v>
      </c>
      <c r="F49" s="16">
        <v>28.436</v>
      </c>
      <c r="G49" s="6">
        <v>1</v>
      </c>
      <c r="H49" s="16">
        <v>50</v>
      </c>
      <c r="I49" s="16" t="s">
        <v>46</v>
      </c>
      <c r="J49" s="16"/>
      <c r="K49" s="16">
        <v>132.19999999999999</v>
      </c>
      <c r="L49" s="16">
        <f t="shared" si="8"/>
        <v>-133.68699999999998</v>
      </c>
      <c r="M49" s="16"/>
      <c r="N49" s="16"/>
      <c r="O49" s="16">
        <v>92.199999999999989</v>
      </c>
      <c r="P49" s="16"/>
      <c r="Q49" s="16"/>
      <c r="R49" s="16">
        <v>107.8</v>
      </c>
      <c r="S49" s="16"/>
      <c r="T49" s="16">
        <f t="shared" si="9"/>
        <v>-0.2974</v>
      </c>
      <c r="U49" s="4"/>
      <c r="V49" s="4">
        <f>U49</f>
        <v>0</v>
      </c>
      <c r="W49" s="4"/>
      <c r="X49" s="16"/>
      <c r="Y49" s="16"/>
      <c r="Z49" s="16">
        <f t="shared" si="10"/>
        <v>-768.11028917283113</v>
      </c>
      <c r="AA49" s="16">
        <f t="shared" si="11"/>
        <v>-768.11028917283113</v>
      </c>
      <c r="AB49" s="16">
        <v>10.7278</v>
      </c>
      <c r="AC49" s="16">
        <v>16.38</v>
      </c>
      <c r="AD49" s="16">
        <v>5.3814000000000002</v>
      </c>
      <c r="AE49" s="16">
        <v>-1.0511999999999999</v>
      </c>
      <c r="AF49" s="16">
        <v>-0.624</v>
      </c>
      <c r="AG49" s="16">
        <v>14.5092</v>
      </c>
      <c r="AH49" s="16">
        <v>18.899000000000001</v>
      </c>
      <c r="AI49" s="16">
        <v>16.585999999999999</v>
      </c>
      <c r="AJ49" s="16">
        <v>22.036000000000001</v>
      </c>
      <c r="AK49" s="16">
        <v>27.9922</v>
      </c>
      <c r="AL49" s="15" t="s">
        <v>140</v>
      </c>
      <c r="AM49" s="16">
        <f t="shared" si="12"/>
        <v>0</v>
      </c>
      <c r="AN49" t="s">
        <v>141</v>
      </c>
    </row>
    <row r="50" spans="1:40" x14ac:dyDescent="0.25">
      <c r="A50" s="16" t="s">
        <v>142</v>
      </c>
      <c r="B50" s="16" t="s">
        <v>45</v>
      </c>
      <c r="C50" s="16">
        <v>0.434</v>
      </c>
      <c r="D50" s="16"/>
      <c r="E50" s="16">
        <v>-5.3559999999999999</v>
      </c>
      <c r="F50" s="16">
        <v>0.434</v>
      </c>
      <c r="G50" s="6">
        <v>1</v>
      </c>
      <c r="H50" s="16">
        <v>45</v>
      </c>
      <c r="I50" s="9" t="s">
        <v>64</v>
      </c>
      <c r="J50" s="16"/>
      <c r="K50" s="16">
        <v>1.4</v>
      </c>
      <c r="L50" s="16">
        <f t="shared" si="8"/>
        <v>-6.7560000000000002</v>
      </c>
      <c r="M50" s="16"/>
      <c r="N50" s="16"/>
      <c r="O50" s="16">
        <v>110</v>
      </c>
      <c r="P50" s="16">
        <v>-117</v>
      </c>
      <c r="Q50" s="16"/>
      <c r="R50" s="16"/>
      <c r="S50" s="16"/>
      <c r="T50" s="16">
        <f t="shared" si="9"/>
        <v>-1.0711999999999999</v>
      </c>
      <c r="U50" s="4">
        <v>80</v>
      </c>
      <c r="V50" s="4">
        <f>U50</f>
        <v>80</v>
      </c>
      <c r="W50" s="4"/>
      <c r="X50" s="16"/>
      <c r="Y50" s="16"/>
      <c r="Z50" s="16">
        <f t="shared" si="10"/>
        <v>-177.77632561613146</v>
      </c>
      <c r="AA50" s="16">
        <f t="shared" si="11"/>
        <v>-103.09372666168782</v>
      </c>
      <c r="AB50" s="16">
        <v>-1.0711999999999999</v>
      </c>
      <c r="AC50" s="16">
        <v>-0.8286</v>
      </c>
      <c r="AD50" s="16">
        <v>-1.7338</v>
      </c>
      <c r="AE50" s="16">
        <v>-0.9052</v>
      </c>
      <c r="AF50" s="16">
        <v>-0.41320000000000001</v>
      </c>
      <c r="AG50" s="16">
        <v>43.441600000000001</v>
      </c>
      <c r="AH50" s="16">
        <v>47.674599999999998</v>
      </c>
      <c r="AI50" s="16">
        <v>5.6109999999999998</v>
      </c>
      <c r="AJ50" s="16">
        <v>1.4787999999999999</v>
      </c>
      <c r="AK50" s="16">
        <v>26.138999999999999</v>
      </c>
      <c r="AL50" s="16"/>
      <c r="AM50" s="16">
        <f t="shared" si="12"/>
        <v>80</v>
      </c>
      <c r="AN50" t="s">
        <v>143</v>
      </c>
    </row>
    <row r="51" spans="1:40" x14ac:dyDescent="0.25">
      <c r="A51" s="16" t="s">
        <v>144</v>
      </c>
      <c r="B51" s="16" t="s">
        <v>53</v>
      </c>
      <c r="C51" s="16">
        <v>-2</v>
      </c>
      <c r="D51" s="16">
        <v>334</v>
      </c>
      <c r="E51" s="16">
        <v>102</v>
      </c>
      <c r="F51" s="16">
        <v>192</v>
      </c>
      <c r="G51" s="6">
        <v>0.45</v>
      </c>
      <c r="H51" s="16">
        <v>50</v>
      </c>
      <c r="I51" s="16" t="s">
        <v>46</v>
      </c>
      <c r="J51" s="16"/>
      <c r="K51" s="16">
        <v>169</v>
      </c>
      <c r="L51" s="16">
        <f t="shared" si="8"/>
        <v>-67</v>
      </c>
      <c r="M51" s="16"/>
      <c r="N51" s="16"/>
      <c r="O51" s="16">
        <v>61.313000000000002</v>
      </c>
      <c r="P51" s="16"/>
      <c r="Q51" s="16"/>
      <c r="R51" s="16">
        <v>71.686999999999998</v>
      </c>
      <c r="S51" s="16"/>
      <c r="T51" s="16">
        <f t="shared" si="9"/>
        <v>20.399999999999999</v>
      </c>
      <c r="U51" s="4"/>
      <c r="V51" s="4">
        <f>U51</f>
        <v>0</v>
      </c>
      <c r="W51" s="4"/>
      <c r="X51" s="16"/>
      <c r="Y51" s="16"/>
      <c r="Z51" s="16">
        <f t="shared" si="10"/>
        <v>15.931372549019608</v>
      </c>
      <c r="AA51" s="16">
        <f t="shared" si="11"/>
        <v>15.931372549019608</v>
      </c>
      <c r="AB51" s="16">
        <v>15.4</v>
      </c>
      <c r="AC51" s="16">
        <v>31.4</v>
      </c>
      <c r="AD51" s="16">
        <v>32.4</v>
      </c>
      <c r="AE51" s="16">
        <v>34</v>
      </c>
      <c r="AF51" s="16">
        <v>40.4</v>
      </c>
      <c r="AG51" s="16">
        <v>25.2</v>
      </c>
      <c r="AH51" s="16">
        <v>18.399999999999999</v>
      </c>
      <c r="AI51" s="16">
        <v>19.8</v>
      </c>
      <c r="AJ51" s="16">
        <v>29.6</v>
      </c>
      <c r="AK51" s="16">
        <v>39.4</v>
      </c>
      <c r="AL51" s="16"/>
      <c r="AM51" s="16">
        <f t="shared" si="12"/>
        <v>0</v>
      </c>
      <c r="AN51" t="s">
        <v>145</v>
      </c>
    </row>
    <row r="52" spans="1:40" x14ac:dyDescent="0.25">
      <c r="A52" s="16" t="s">
        <v>146</v>
      </c>
      <c r="B52" s="16" t="s">
        <v>53</v>
      </c>
      <c r="C52" s="16">
        <v>-7</v>
      </c>
      <c r="D52" s="16">
        <v>442</v>
      </c>
      <c r="E52" s="16">
        <v>243</v>
      </c>
      <c r="F52" s="16">
        <v>141</v>
      </c>
      <c r="G52" s="6">
        <v>0.45</v>
      </c>
      <c r="H52" s="16">
        <v>50</v>
      </c>
      <c r="I52" s="16" t="s">
        <v>46</v>
      </c>
      <c r="J52" s="16"/>
      <c r="K52" s="16">
        <v>289</v>
      </c>
      <c r="L52" s="16">
        <f t="shared" si="8"/>
        <v>-46</v>
      </c>
      <c r="M52" s="16"/>
      <c r="N52" s="16"/>
      <c r="O52" s="16">
        <v>0</v>
      </c>
      <c r="P52" s="16"/>
      <c r="Q52" s="16"/>
      <c r="R52" s="16"/>
      <c r="S52" s="16"/>
      <c r="T52" s="16">
        <f t="shared" si="9"/>
        <v>48.6</v>
      </c>
      <c r="U52" s="4">
        <f>11*T52-S52-R52-Q52-O52-F52</f>
        <v>393.6</v>
      </c>
      <c r="V52" s="4">
        <f>U52+$V$1*T52</f>
        <v>404.29200000000003</v>
      </c>
      <c r="W52" s="4"/>
      <c r="X52" s="16"/>
      <c r="Y52" s="16"/>
      <c r="Z52" s="16">
        <f t="shared" si="10"/>
        <v>11.22</v>
      </c>
      <c r="AA52" s="16">
        <f t="shared" si="11"/>
        <v>2.9012345679012346</v>
      </c>
      <c r="AB52" s="16">
        <v>28.2</v>
      </c>
      <c r="AC52" s="16">
        <v>18</v>
      </c>
      <c r="AD52" s="16">
        <v>39.200000000000003</v>
      </c>
      <c r="AE52" s="16">
        <v>60.8</v>
      </c>
      <c r="AF52" s="16">
        <v>57.4</v>
      </c>
      <c r="AG52" s="16">
        <v>45.4</v>
      </c>
      <c r="AH52" s="16">
        <v>38.200000000000003</v>
      </c>
      <c r="AI52" s="16">
        <v>34.200000000000003</v>
      </c>
      <c r="AJ52" s="16">
        <v>42.6</v>
      </c>
      <c r="AK52" s="16">
        <v>64.400000000000006</v>
      </c>
      <c r="AL52" s="16"/>
      <c r="AM52" s="16">
        <f t="shared" si="12"/>
        <v>182</v>
      </c>
      <c r="AN52" t="s">
        <v>147</v>
      </c>
    </row>
    <row r="53" spans="1:40" x14ac:dyDescent="0.25">
      <c r="A53" s="16" t="s">
        <v>148</v>
      </c>
      <c r="B53" s="16" t="s">
        <v>53</v>
      </c>
      <c r="C53" s="16">
        <v>25</v>
      </c>
      <c r="D53" s="16"/>
      <c r="E53" s="16">
        <v>20</v>
      </c>
      <c r="F53" s="16">
        <v>5</v>
      </c>
      <c r="G53" s="6">
        <v>0.4</v>
      </c>
      <c r="H53" s="16">
        <v>40</v>
      </c>
      <c r="I53" s="9" t="s">
        <v>64</v>
      </c>
      <c r="J53" s="16"/>
      <c r="K53" s="16">
        <v>71</v>
      </c>
      <c r="L53" s="16">
        <f t="shared" si="8"/>
        <v>-51</v>
      </c>
      <c r="M53" s="16"/>
      <c r="N53" s="16"/>
      <c r="O53" s="16">
        <v>50</v>
      </c>
      <c r="P53" s="16">
        <v>-55</v>
      </c>
      <c r="Q53" s="16"/>
      <c r="R53" s="16"/>
      <c r="S53" s="16"/>
      <c r="T53" s="16">
        <f t="shared" si="9"/>
        <v>4</v>
      </c>
      <c r="U53" s="4">
        <v>30</v>
      </c>
      <c r="V53" s="4">
        <f>U53</f>
        <v>30</v>
      </c>
      <c r="W53" s="4"/>
      <c r="X53" s="16"/>
      <c r="Y53" s="16"/>
      <c r="Z53" s="16">
        <f t="shared" si="10"/>
        <v>21.25</v>
      </c>
      <c r="AA53" s="16">
        <f t="shared" si="11"/>
        <v>13.75</v>
      </c>
      <c r="AB53" s="16">
        <v>6.8</v>
      </c>
      <c r="AC53" s="16">
        <v>14.2</v>
      </c>
      <c r="AD53" s="16">
        <v>16.399999999999999</v>
      </c>
      <c r="AE53" s="16">
        <v>5.4</v>
      </c>
      <c r="AF53" s="16">
        <v>1.4</v>
      </c>
      <c r="AG53" s="16">
        <v>11.6</v>
      </c>
      <c r="AH53" s="16">
        <v>12.6</v>
      </c>
      <c r="AI53" s="16">
        <v>5.4</v>
      </c>
      <c r="AJ53" s="16">
        <v>5</v>
      </c>
      <c r="AK53" s="16">
        <v>4.8</v>
      </c>
      <c r="AL53" s="16"/>
      <c r="AM53" s="16">
        <f t="shared" si="12"/>
        <v>12</v>
      </c>
      <c r="AN53" t="s">
        <v>149</v>
      </c>
    </row>
    <row r="54" spans="1:40" x14ac:dyDescent="0.25">
      <c r="A54" s="16" t="s">
        <v>150</v>
      </c>
      <c r="B54" s="16" t="s">
        <v>53</v>
      </c>
      <c r="C54" s="16">
        <v>19</v>
      </c>
      <c r="D54" s="16">
        <v>55</v>
      </c>
      <c r="E54" s="16">
        <v>43</v>
      </c>
      <c r="F54" s="16">
        <v>25</v>
      </c>
      <c r="G54" s="6">
        <v>0.4</v>
      </c>
      <c r="H54" s="16">
        <v>40</v>
      </c>
      <c r="I54" s="9" t="s">
        <v>64</v>
      </c>
      <c r="J54" s="16"/>
      <c r="K54" s="16">
        <v>65</v>
      </c>
      <c r="L54" s="16">
        <f t="shared" si="8"/>
        <v>-22</v>
      </c>
      <c r="M54" s="16"/>
      <c r="N54" s="16"/>
      <c r="O54" s="16">
        <v>50</v>
      </c>
      <c r="P54" s="16">
        <v>-55</v>
      </c>
      <c r="Q54" s="16"/>
      <c r="R54" s="16"/>
      <c r="S54" s="16"/>
      <c r="T54" s="16">
        <f t="shared" si="9"/>
        <v>8.6</v>
      </c>
      <c r="U54" s="4">
        <v>20</v>
      </c>
      <c r="V54" s="4">
        <f>U54</f>
        <v>20</v>
      </c>
      <c r="W54" s="4"/>
      <c r="X54" s="16"/>
      <c r="Y54" s="16"/>
      <c r="Z54" s="16">
        <f t="shared" si="10"/>
        <v>11.046511627906977</v>
      </c>
      <c r="AA54" s="16">
        <f t="shared" si="11"/>
        <v>8.720930232558139</v>
      </c>
      <c r="AB54" s="16">
        <v>7.4</v>
      </c>
      <c r="AC54" s="16">
        <v>8.1999999999999993</v>
      </c>
      <c r="AD54" s="16">
        <v>12.4</v>
      </c>
      <c r="AE54" s="16">
        <v>6.4</v>
      </c>
      <c r="AF54" s="16">
        <v>1.6</v>
      </c>
      <c r="AG54" s="16">
        <v>2.6</v>
      </c>
      <c r="AH54" s="16">
        <v>2.4</v>
      </c>
      <c r="AI54" s="16">
        <v>5.6</v>
      </c>
      <c r="AJ54" s="16">
        <v>7.2</v>
      </c>
      <c r="AK54" s="16">
        <v>17.2</v>
      </c>
      <c r="AL54" s="16"/>
      <c r="AM54" s="16">
        <f t="shared" si="12"/>
        <v>8</v>
      </c>
      <c r="AN54" t="s">
        <v>151</v>
      </c>
    </row>
    <row r="55" spans="1:40" x14ac:dyDescent="0.25">
      <c r="A55" s="16" t="s">
        <v>152</v>
      </c>
      <c r="B55" s="16" t="s">
        <v>45</v>
      </c>
      <c r="C55" s="16">
        <v>11.535</v>
      </c>
      <c r="D55" s="16">
        <v>96.981999999999999</v>
      </c>
      <c r="E55" s="16">
        <v>38.024999999999999</v>
      </c>
      <c r="F55" s="16">
        <v>67.028000000000006</v>
      </c>
      <c r="G55" s="6">
        <v>1</v>
      </c>
      <c r="H55" s="16">
        <v>50</v>
      </c>
      <c r="I55" s="16" t="s">
        <v>46</v>
      </c>
      <c r="J55" s="16"/>
      <c r="K55" s="16">
        <v>76</v>
      </c>
      <c r="L55" s="16">
        <f t="shared" si="8"/>
        <v>-37.975000000000001</v>
      </c>
      <c r="M55" s="16"/>
      <c r="N55" s="16"/>
      <c r="O55" s="16">
        <v>100</v>
      </c>
      <c r="P55" s="16"/>
      <c r="Q55" s="16"/>
      <c r="R55" s="16"/>
      <c r="S55" s="16"/>
      <c r="T55" s="16">
        <f t="shared" si="9"/>
        <v>7.6049999999999995</v>
      </c>
      <c r="U55" s="4"/>
      <c r="V55" s="4">
        <f>U55</f>
        <v>0</v>
      </c>
      <c r="W55" s="4"/>
      <c r="X55" s="16"/>
      <c r="Y55" s="16"/>
      <c r="Z55" s="16">
        <f t="shared" si="10"/>
        <v>21.962919132149906</v>
      </c>
      <c r="AA55" s="16">
        <f t="shared" si="11"/>
        <v>21.962919132149906</v>
      </c>
      <c r="AB55" s="16">
        <v>6.9670000000000014</v>
      </c>
      <c r="AC55" s="16">
        <v>5.6665999999999999</v>
      </c>
      <c r="AD55" s="16">
        <v>8.1686000000000014</v>
      </c>
      <c r="AE55" s="16">
        <v>15.286799999999999</v>
      </c>
      <c r="AF55" s="16">
        <v>16.098400000000002</v>
      </c>
      <c r="AG55" s="16">
        <v>11.240600000000001</v>
      </c>
      <c r="AH55" s="16">
        <v>10.952</v>
      </c>
      <c r="AI55" s="16">
        <v>10.156599999999999</v>
      </c>
      <c r="AJ55" s="16">
        <v>6.9614000000000003</v>
      </c>
      <c r="AK55" s="16">
        <v>12.7996</v>
      </c>
      <c r="AL55" s="16" t="s">
        <v>83</v>
      </c>
      <c r="AM55" s="16">
        <f t="shared" si="12"/>
        <v>0</v>
      </c>
      <c r="AN55" t="s">
        <v>153</v>
      </c>
    </row>
    <row r="56" spans="1:40" x14ac:dyDescent="0.25">
      <c r="A56" s="16" t="s">
        <v>154</v>
      </c>
      <c r="B56" s="16" t="s">
        <v>53</v>
      </c>
      <c r="C56" s="16">
        <v>190</v>
      </c>
      <c r="D56" s="16">
        <v>5</v>
      </c>
      <c r="E56" s="13">
        <f>82+E129</f>
        <v>96</v>
      </c>
      <c r="F56" s="13">
        <f>73+F129</f>
        <v>97</v>
      </c>
      <c r="G56" s="6">
        <v>0.1</v>
      </c>
      <c r="H56" s="16">
        <v>731</v>
      </c>
      <c r="I56" s="16" t="s">
        <v>46</v>
      </c>
      <c r="J56" s="16"/>
      <c r="K56" s="16">
        <v>79</v>
      </c>
      <c r="L56" s="16">
        <f t="shared" si="8"/>
        <v>17</v>
      </c>
      <c r="M56" s="16"/>
      <c r="N56" s="16"/>
      <c r="O56" s="16">
        <v>345.75</v>
      </c>
      <c r="P56" s="16"/>
      <c r="Q56" s="16"/>
      <c r="R56" s="16">
        <v>404.25</v>
      </c>
      <c r="S56" s="16"/>
      <c r="T56" s="16">
        <f t="shared" si="9"/>
        <v>19.2</v>
      </c>
      <c r="U56" s="4"/>
      <c r="V56" s="4">
        <v>200</v>
      </c>
      <c r="W56" s="4"/>
      <c r="X56" s="16" t="str">
        <f>VLOOKUP(A56,[1]Sheet!$A:$V,21,0)</f>
        <v>400шт</v>
      </c>
      <c r="Y56" s="16" t="str">
        <f>VLOOKUP(A56,[1]Sheet!$A:$V,22,0)</f>
        <v>Промо N+1 + бонус</v>
      </c>
      <c r="Z56" s="16">
        <f t="shared" si="10"/>
        <v>54.53125</v>
      </c>
      <c r="AA56" s="16">
        <f t="shared" si="11"/>
        <v>44.114583333333336</v>
      </c>
      <c r="AB56" s="16">
        <v>14.6</v>
      </c>
      <c r="AC56" s="16">
        <v>11.8</v>
      </c>
      <c r="AD56" s="16">
        <v>11</v>
      </c>
      <c r="AE56" s="16">
        <v>8.8000000000000007</v>
      </c>
      <c r="AF56" s="16">
        <v>7.2</v>
      </c>
      <c r="AG56" s="16">
        <v>5.6</v>
      </c>
      <c r="AH56" s="16">
        <v>9</v>
      </c>
      <c r="AI56" s="16">
        <v>20</v>
      </c>
      <c r="AJ56" s="16">
        <v>18.8</v>
      </c>
      <c r="AK56" s="16">
        <v>13.8</v>
      </c>
      <c r="AL56" s="8" t="s">
        <v>155</v>
      </c>
      <c r="AM56" s="16">
        <f t="shared" si="12"/>
        <v>20</v>
      </c>
      <c r="AN56" t="s">
        <v>156</v>
      </c>
    </row>
    <row r="57" spans="1:40" x14ac:dyDescent="0.25">
      <c r="A57" s="16" t="s">
        <v>157</v>
      </c>
      <c r="B57" s="16" t="s">
        <v>45</v>
      </c>
      <c r="C57" s="16">
        <v>120.30500000000001</v>
      </c>
      <c r="D57" s="16">
        <v>22.954000000000001</v>
      </c>
      <c r="E57" s="16">
        <v>141.88</v>
      </c>
      <c r="F57" s="16">
        <v>0.52600000000000002</v>
      </c>
      <c r="G57" s="6">
        <v>1</v>
      </c>
      <c r="H57" s="16">
        <v>50</v>
      </c>
      <c r="I57" s="16" t="s">
        <v>46</v>
      </c>
      <c r="J57" s="16"/>
      <c r="K57" s="16">
        <v>155</v>
      </c>
      <c r="L57" s="16">
        <f t="shared" si="8"/>
        <v>-13.120000000000005</v>
      </c>
      <c r="M57" s="16"/>
      <c r="N57" s="16"/>
      <c r="O57" s="16">
        <v>138.30000000000001</v>
      </c>
      <c r="P57" s="16"/>
      <c r="Q57" s="16"/>
      <c r="R57" s="16">
        <v>161.69999999999999</v>
      </c>
      <c r="S57" s="16"/>
      <c r="T57" s="16">
        <f t="shared" si="9"/>
        <v>28.375999999999998</v>
      </c>
      <c r="U57" s="4">
        <f>11*T57-S57-R57-Q57-O57-F57</f>
        <v>11.609999999999967</v>
      </c>
      <c r="V57" s="4">
        <v>80</v>
      </c>
      <c r="W57" s="4"/>
      <c r="X57" s="16" t="str">
        <f>VLOOKUP(A57,[1]Sheet!$A:$V,21,0)</f>
        <v>80кг</v>
      </c>
      <c r="Y57" s="16" t="str">
        <f>VLOOKUP(A57,[1]Sheet!$A:$V,22,0)</f>
        <v>Промо ЖЦ</v>
      </c>
      <c r="Z57" s="16">
        <f t="shared" si="10"/>
        <v>13.410135325627293</v>
      </c>
      <c r="AA57" s="16">
        <f t="shared" si="11"/>
        <v>10.590851423738371</v>
      </c>
      <c r="AB57" s="16">
        <v>33.974800000000002</v>
      </c>
      <c r="AC57" s="16">
        <v>26.335999999999999</v>
      </c>
      <c r="AD57" s="16">
        <v>11.852399999999999</v>
      </c>
      <c r="AE57" s="16">
        <v>21.3476</v>
      </c>
      <c r="AF57" s="16">
        <v>36.7468</v>
      </c>
      <c r="AG57" s="16">
        <v>31.912400000000002</v>
      </c>
      <c r="AH57" s="16">
        <v>21.061199999999999</v>
      </c>
      <c r="AI57" s="16">
        <v>16.559200000000001</v>
      </c>
      <c r="AJ57" s="16">
        <v>14.959199999999999</v>
      </c>
      <c r="AK57" s="16">
        <v>24.415600000000001</v>
      </c>
      <c r="AL57" s="16" t="s">
        <v>83</v>
      </c>
      <c r="AM57" s="16">
        <f t="shared" si="12"/>
        <v>80</v>
      </c>
      <c r="AN57" t="s">
        <v>158</v>
      </c>
    </row>
    <row r="58" spans="1:40" x14ac:dyDescent="0.25">
      <c r="A58" s="16" t="s">
        <v>159</v>
      </c>
      <c r="B58" s="16" t="s">
        <v>45</v>
      </c>
      <c r="C58" s="16">
        <v>27.266999999999999</v>
      </c>
      <c r="D58" s="16">
        <v>54.545000000000002</v>
      </c>
      <c r="E58" s="16">
        <v>37.557000000000002</v>
      </c>
      <c r="F58" s="16">
        <v>40.927</v>
      </c>
      <c r="G58" s="6">
        <v>1</v>
      </c>
      <c r="H58" s="16">
        <v>55</v>
      </c>
      <c r="I58" s="16" t="s">
        <v>46</v>
      </c>
      <c r="J58" s="16"/>
      <c r="K58" s="16">
        <v>39.200000000000003</v>
      </c>
      <c r="L58" s="16">
        <f t="shared" si="8"/>
        <v>-1.6430000000000007</v>
      </c>
      <c r="M58" s="16"/>
      <c r="N58" s="16"/>
      <c r="O58" s="16">
        <v>4</v>
      </c>
      <c r="P58" s="16"/>
      <c r="Q58" s="16"/>
      <c r="R58" s="16"/>
      <c r="S58" s="16"/>
      <c r="T58" s="16">
        <f t="shared" si="9"/>
        <v>7.5114000000000001</v>
      </c>
      <c r="U58" s="4">
        <f>11*T58-S58-R58-Q58-O58-F58</f>
        <v>37.698399999999999</v>
      </c>
      <c r="V58" s="4">
        <f>U58</f>
        <v>37.698399999999999</v>
      </c>
      <c r="W58" s="4"/>
      <c r="X58" s="16"/>
      <c r="Y58" s="16"/>
      <c r="Z58" s="16">
        <f t="shared" si="10"/>
        <v>11</v>
      </c>
      <c r="AA58" s="16">
        <f t="shared" si="11"/>
        <v>5.9811752802407003</v>
      </c>
      <c r="AB58" s="16">
        <v>6.9714</v>
      </c>
      <c r="AC58" s="16">
        <v>5.4367999999999999</v>
      </c>
      <c r="AD58" s="16">
        <v>7.0358000000000001</v>
      </c>
      <c r="AE58" s="16">
        <v>6.7897999999999996</v>
      </c>
      <c r="AF58" s="16">
        <v>5.1970000000000001</v>
      </c>
      <c r="AG58" s="16">
        <v>6.2530000000000001</v>
      </c>
      <c r="AH58" s="16">
        <v>6.7727999999999993</v>
      </c>
      <c r="AI58" s="16">
        <v>5.6981999999999999</v>
      </c>
      <c r="AJ58" s="16">
        <v>4.8959999999999999</v>
      </c>
      <c r="AK58" s="16">
        <v>5.1875999999999998</v>
      </c>
      <c r="AL58" s="16"/>
      <c r="AM58" s="16">
        <f t="shared" si="12"/>
        <v>38</v>
      </c>
      <c r="AN58" t="s">
        <v>160</v>
      </c>
    </row>
    <row r="59" spans="1:40" x14ac:dyDescent="0.25">
      <c r="A59" s="16" t="s">
        <v>161</v>
      </c>
      <c r="B59" s="16" t="s">
        <v>53</v>
      </c>
      <c r="C59" s="16">
        <v>99</v>
      </c>
      <c r="D59" s="16">
        <v>60</v>
      </c>
      <c r="E59" s="16">
        <v>126</v>
      </c>
      <c r="F59" s="16">
        <v>33</v>
      </c>
      <c r="G59" s="6">
        <v>0.1</v>
      </c>
      <c r="H59" s="16">
        <v>731</v>
      </c>
      <c r="I59" s="16" t="s">
        <v>46</v>
      </c>
      <c r="J59" s="16"/>
      <c r="K59" s="16">
        <v>126</v>
      </c>
      <c r="L59" s="16">
        <f t="shared" si="8"/>
        <v>0</v>
      </c>
      <c r="M59" s="16"/>
      <c r="N59" s="16"/>
      <c r="O59" s="16">
        <v>253.55</v>
      </c>
      <c r="P59" s="16"/>
      <c r="Q59" s="16"/>
      <c r="R59" s="16">
        <v>296.45</v>
      </c>
      <c r="S59" s="16"/>
      <c r="T59" s="16">
        <f t="shared" si="9"/>
        <v>25.2</v>
      </c>
      <c r="U59" s="4"/>
      <c r="V59" s="4">
        <v>300</v>
      </c>
      <c r="W59" s="4"/>
      <c r="X59" s="16" t="str">
        <f>VLOOKUP(A59,[1]Sheet!$A:$V,21,0)</f>
        <v>600ШТ</v>
      </c>
      <c r="Y59" s="16" t="str">
        <f>VLOOKUP(A59,[1]Sheet!$A:$V,22,0)</f>
        <v>Промо N+1</v>
      </c>
      <c r="Z59" s="16">
        <f t="shared" si="10"/>
        <v>35.039682539682538</v>
      </c>
      <c r="AA59" s="16">
        <f t="shared" si="11"/>
        <v>23.134920634920636</v>
      </c>
      <c r="AB59" s="16">
        <v>21.2</v>
      </c>
      <c r="AC59" s="16">
        <v>13.2</v>
      </c>
      <c r="AD59" s="16">
        <v>16.2</v>
      </c>
      <c r="AE59" s="16">
        <v>10</v>
      </c>
      <c r="AF59" s="16">
        <v>5</v>
      </c>
      <c r="AG59" s="16">
        <v>10.199999999999999</v>
      </c>
      <c r="AH59" s="16">
        <v>8.1999999999999993</v>
      </c>
      <c r="AI59" s="16">
        <v>17.2</v>
      </c>
      <c r="AJ59" s="16">
        <v>17.8</v>
      </c>
      <c r="AK59" s="16">
        <v>18.600000000000001</v>
      </c>
      <c r="AL59" s="16" t="s">
        <v>83</v>
      </c>
      <c r="AM59" s="16">
        <f t="shared" si="12"/>
        <v>30</v>
      </c>
      <c r="AN59" t="s">
        <v>162</v>
      </c>
    </row>
    <row r="60" spans="1:40" x14ac:dyDescent="0.25">
      <c r="A60" s="16" t="s">
        <v>163</v>
      </c>
      <c r="B60" s="16" t="s">
        <v>53</v>
      </c>
      <c r="C60" s="16">
        <v>1</v>
      </c>
      <c r="D60" s="16">
        <v>31</v>
      </c>
      <c r="E60" s="16">
        <v>6</v>
      </c>
      <c r="F60" s="16">
        <v>25</v>
      </c>
      <c r="G60" s="6">
        <v>0.4</v>
      </c>
      <c r="H60" s="16">
        <v>50</v>
      </c>
      <c r="I60" s="16" t="s">
        <v>46</v>
      </c>
      <c r="J60" s="16"/>
      <c r="K60" s="16">
        <v>9</v>
      </c>
      <c r="L60" s="16">
        <f t="shared" si="8"/>
        <v>-3</v>
      </c>
      <c r="M60" s="16"/>
      <c r="N60" s="16"/>
      <c r="O60" s="16">
        <v>6.3999999999999986</v>
      </c>
      <c r="P60" s="16"/>
      <c r="Q60" s="16"/>
      <c r="R60" s="16"/>
      <c r="S60" s="16"/>
      <c r="T60" s="16">
        <f t="shared" si="9"/>
        <v>1.2</v>
      </c>
      <c r="U60" s="4"/>
      <c r="V60" s="4">
        <f t="shared" ref="V60:V70" si="13">U60</f>
        <v>0</v>
      </c>
      <c r="W60" s="4"/>
      <c r="X60" s="16"/>
      <c r="Y60" s="16"/>
      <c r="Z60" s="16">
        <f t="shared" si="10"/>
        <v>26.166666666666668</v>
      </c>
      <c r="AA60" s="16">
        <f t="shared" si="11"/>
        <v>26.166666666666668</v>
      </c>
      <c r="AB60" s="16">
        <v>0.2</v>
      </c>
      <c r="AC60" s="16">
        <v>3</v>
      </c>
      <c r="AD60" s="16">
        <v>3.4</v>
      </c>
      <c r="AE60" s="16">
        <v>1.8</v>
      </c>
      <c r="AF60" s="16">
        <v>1.8</v>
      </c>
      <c r="AG60" s="16">
        <v>2</v>
      </c>
      <c r="AH60" s="16">
        <v>1.2</v>
      </c>
      <c r="AI60" s="16">
        <v>1</v>
      </c>
      <c r="AJ60" s="16">
        <v>1.4</v>
      </c>
      <c r="AK60" s="16">
        <v>2.4</v>
      </c>
      <c r="AL60" s="16"/>
      <c r="AM60" s="16">
        <f t="shared" si="12"/>
        <v>0</v>
      </c>
      <c r="AN60" t="s">
        <v>164</v>
      </c>
    </row>
    <row r="61" spans="1:40" x14ac:dyDescent="0.25">
      <c r="A61" s="16" t="s">
        <v>165</v>
      </c>
      <c r="B61" s="16" t="s">
        <v>45</v>
      </c>
      <c r="C61" s="16">
        <v>-19.175999999999998</v>
      </c>
      <c r="D61" s="16">
        <v>171.09</v>
      </c>
      <c r="E61" s="16">
        <v>96.222999999999999</v>
      </c>
      <c r="F61" s="16">
        <v>32.692</v>
      </c>
      <c r="G61" s="6">
        <v>1</v>
      </c>
      <c r="H61" s="16">
        <v>40</v>
      </c>
      <c r="I61" s="9" t="s">
        <v>64</v>
      </c>
      <c r="J61" s="16"/>
      <c r="K61" s="16">
        <v>127</v>
      </c>
      <c r="L61" s="16">
        <f t="shared" si="8"/>
        <v>-30.777000000000001</v>
      </c>
      <c r="M61" s="16"/>
      <c r="N61" s="16"/>
      <c r="O61" s="16">
        <v>60</v>
      </c>
      <c r="P61" s="16"/>
      <c r="Q61" s="16"/>
      <c r="R61" s="16"/>
      <c r="S61" s="16"/>
      <c r="T61" s="16">
        <f t="shared" si="9"/>
        <v>19.244599999999998</v>
      </c>
      <c r="U61" s="4">
        <v>60</v>
      </c>
      <c r="V61" s="4">
        <f t="shared" si="13"/>
        <v>60</v>
      </c>
      <c r="W61" s="4"/>
      <c r="X61" s="16"/>
      <c r="Y61" s="16"/>
      <c r="Z61" s="16">
        <f t="shared" si="10"/>
        <v>7.9342776675015338</v>
      </c>
      <c r="AA61" s="16">
        <f t="shared" si="11"/>
        <v>4.8165199588455989</v>
      </c>
      <c r="AB61" s="16">
        <v>2.0972</v>
      </c>
      <c r="AC61" s="16">
        <v>14.3964</v>
      </c>
      <c r="AD61" s="16">
        <v>41.171799999999998</v>
      </c>
      <c r="AE61" s="16">
        <v>27.4938</v>
      </c>
      <c r="AF61" s="16">
        <v>-0.44119999999999998</v>
      </c>
      <c r="AG61" s="16">
        <v>24.540400000000002</v>
      </c>
      <c r="AH61" s="16">
        <v>38.078800000000001</v>
      </c>
      <c r="AI61" s="16">
        <v>18.853999999999999</v>
      </c>
      <c r="AJ61" s="16">
        <v>16.659800000000001</v>
      </c>
      <c r="AK61" s="16">
        <v>14.296200000000001</v>
      </c>
      <c r="AL61" s="16"/>
      <c r="AM61" s="16">
        <f t="shared" si="12"/>
        <v>60</v>
      </c>
      <c r="AN61" t="s">
        <v>166</v>
      </c>
    </row>
    <row r="62" spans="1:40" x14ac:dyDescent="0.25">
      <c r="A62" s="16" t="s">
        <v>167</v>
      </c>
      <c r="B62" s="16" t="s">
        <v>45</v>
      </c>
      <c r="C62" s="16">
        <v>-8.2989999999999995</v>
      </c>
      <c r="D62" s="16">
        <v>210.52199999999999</v>
      </c>
      <c r="E62" s="16">
        <v>41.366999999999997</v>
      </c>
      <c r="F62" s="16">
        <v>151.49700000000001</v>
      </c>
      <c r="G62" s="6">
        <v>1</v>
      </c>
      <c r="H62" s="16">
        <v>40</v>
      </c>
      <c r="I62" s="9" t="s">
        <v>64</v>
      </c>
      <c r="J62" s="16"/>
      <c r="K62" s="16">
        <v>75.099999999999994</v>
      </c>
      <c r="L62" s="16">
        <f t="shared" si="8"/>
        <v>-33.732999999999997</v>
      </c>
      <c r="M62" s="16"/>
      <c r="N62" s="16"/>
      <c r="O62" s="16">
        <v>68.809413200000023</v>
      </c>
      <c r="P62" s="16"/>
      <c r="Q62" s="16"/>
      <c r="R62" s="16">
        <v>80.451786800000036</v>
      </c>
      <c r="S62" s="16"/>
      <c r="T62" s="16">
        <f t="shared" si="9"/>
        <v>8.2733999999999988</v>
      </c>
      <c r="U62" s="4"/>
      <c r="V62" s="4">
        <f t="shared" si="13"/>
        <v>0</v>
      </c>
      <c r="W62" s="4"/>
      <c r="X62" s="16"/>
      <c r="Y62" s="16"/>
      <c r="Z62" s="16">
        <f t="shared" si="10"/>
        <v>36.352430681461087</v>
      </c>
      <c r="AA62" s="16">
        <f t="shared" si="11"/>
        <v>36.352430681461087</v>
      </c>
      <c r="AB62" s="16">
        <v>11.537800000000001</v>
      </c>
      <c r="AC62" s="16">
        <v>27.928999999999998</v>
      </c>
      <c r="AD62" s="16">
        <v>28.781600000000001</v>
      </c>
      <c r="AE62" s="16">
        <v>10.379</v>
      </c>
      <c r="AF62" s="16">
        <v>0.11600000000000001</v>
      </c>
      <c r="AG62" s="16">
        <v>14.08</v>
      </c>
      <c r="AH62" s="16">
        <v>17.272600000000001</v>
      </c>
      <c r="AI62" s="16">
        <v>5.9125999999999994</v>
      </c>
      <c r="AJ62" s="16">
        <v>4.6542000000000003</v>
      </c>
      <c r="AK62" s="16">
        <v>3.8302</v>
      </c>
      <c r="AL62" s="16"/>
      <c r="AM62" s="16">
        <f t="shared" si="12"/>
        <v>0</v>
      </c>
      <c r="AN62" t="s">
        <v>168</v>
      </c>
    </row>
    <row r="63" spans="1:40" x14ac:dyDescent="0.25">
      <c r="A63" s="16" t="s">
        <v>169</v>
      </c>
      <c r="B63" s="16" t="s">
        <v>53</v>
      </c>
      <c r="C63" s="16">
        <v>279</v>
      </c>
      <c r="D63" s="16">
        <v>467</v>
      </c>
      <c r="E63" s="16">
        <v>576</v>
      </c>
      <c r="F63" s="16">
        <v>102</v>
      </c>
      <c r="G63" s="6">
        <v>0.4</v>
      </c>
      <c r="H63" s="16">
        <v>40</v>
      </c>
      <c r="I63" s="9" t="s">
        <v>64</v>
      </c>
      <c r="J63" s="16"/>
      <c r="K63" s="16">
        <v>678</v>
      </c>
      <c r="L63" s="16">
        <f t="shared" si="8"/>
        <v>-102</v>
      </c>
      <c r="M63" s="16"/>
      <c r="N63" s="16"/>
      <c r="O63" s="16">
        <v>251.7511779999999</v>
      </c>
      <c r="P63" s="16">
        <v>-257.5</v>
      </c>
      <c r="Q63" s="16"/>
      <c r="R63" s="16">
        <v>160</v>
      </c>
      <c r="S63" s="16">
        <v>-162.5</v>
      </c>
      <c r="T63" s="16">
        <f t="shared" si="9"/>
        <v>115.2</v>
      </c>
      <c r="U63" s="4">
        <v>200</v>
      </c>
      <c r="V63" s="4">
        <f t="shared" si="13"/>
        <v>200</v>
      </c>
      <c r="W63" s="4"/>
      <c r="X63" s="16"/>
      <c r="Y63" s="16"/>
      <c r="Z63" s="16">
        <f t="shared" si="10"/>
        <v>4.7851664756944432</v>
      </c>
      <c r="AA63" s="16">
        <f t="shared" si="11"/>
        <v>3.049055364583332</v>
      </c>
      <c r="AB63" s="16">
        <v>114</v>
      </c>
      <c r="AC63" s="16">
        <v>79.599999999999994</v>
      </c>
      <c r="AD63" s="16">
        <v>77.400000000000006</v>
      </c>
      <c r="AE63" s="16">
        <v>91.4</v>
      </c>
      <c r="AF63" s="16">
        <v>92.8</v>
      </c>
      <c r="AG63" s="16">
        <v>116.4</v>
      </c>
      <c r="AH63" s="16">
        <v>96.4</v>
      </c>
      <c r="AI63" s="16">
        <v>76.2</v>
      </c>
      <c r="AJ63" s="16">
        <v>89.8</v>
      </c>
      <c r="AK63" s="16">
        <v>109.4</v>
      </c>
      <c r="AL63" s="16"/>
      <c r="AM63" s="16">
        <f t="shared" si="12"/>
        <v>80</v>
      </c>
      <c r="AN63" t="s">
        <v>170</v>
      </c>
    </row>
    <row r="64" spans="1:40" x14ac:dyDescent="0.25">
      <c r="A64" s="16" t="s">
        <v>171</v>
      </c>
      <c r="B64" s="16" t="s">
        <v>53</v>
      </c>
      <c r="C64" s="16">
        <v>123</v>
      </c>
      <c r="D64" s="16">
        <v>217</v>
      </c>
      <c r="E64" s="16">
        <v>267</v>
      </c>
      <c r="F64" s="16">
        <v>55</v>
      </c>
      <c r="G64" s="6">
        <v>0.4</v>
      </c>
      <c r="H64" s="16">
        <v>40</v>
      </c>
      <c r="I64" s="16" t="s">
        <v>46</v>
      </c>
      <c r="J64" s="16"/>
      <c r="K64" s="16">
        <v>365</v>
      </c>
      <c r="L64" s="16">
        <f t="shared" si="8"/>
        <v>-98</v>
      </c>
      <c r="M64" s="16"/>
      <c r="N64" s="16"/>
      <c r="O64" s="16">
        <v>200</v>
      </c>
      <c r="P64" s="16"/>
      <c r="Q64" s="16"/>
      <c r="R64" s="16"/>
      <c r="S64" s="16"/>
      <c r="T64" s="16">
        <f t="shared" si="9"/>
        <v>53.4</v>
      </c>
      <c r="U64" s="4">
        <v>200</v>
      </c>
      <c r="V64" s="4">
        <f t="shared" si="13"/>
        <v>200</v>
      </c>
      <c r="W64" s="4"/>
      <c r="X64" s="16"/>
      <c r="Y64" s="16"/>
      <c r="Z64" s="16">
        <f t="shared" si="10"/>
        <v>8.5205992509363302</v>
      </c>
      <c r="AA64" s="16">
        <f t="shared" si="11"/>
        <v>4.7752808988764048</v>
      </c>
      <c r="AB64" s="16">
        <v>71.599999999999994</v>
      </c>
      <c r="AC64" s="16">
        <v>43.4</v>
      </c>
      <c r="AD64" s="16">
        <v>48.2</v>
      </c>
      <c r="AE64" s="16">
        <v>41.2</v>
      </c>
      <c r="AF64" s="16">
        <v>26.2</v>
      </c>
      <c r="AG64" s="16">
        <v>68.599999999999994</v>
      </c>
      <c r="AH64" s="16">
        <v>67</v>
      </c>
      <c r="AI64" s="16">
        <v>23</v>
      </c>
      <c r="AJ64" s="16">
        <v>6</v>
      </c>
      <c r="AK64" s="16">
        <v>53.4</v>
      </c>
      <c r="AL64" s="16"/>
      <c r="AM64" s="16">
        <f t="shared" si="12"/>
        <v>80</v>
      </c>
      <c r="AN64" t="s">
        <v>172</v>
      </c>
    </row>
    <row r="65" spans="1:40" x14ac:dyDescent="0.25">
      <c r="A65" s="16" t="s">
        <v>173</v>
      </c>
      <c r="B65" s="16" t="s">
        <v>45</v>
      </c>
      <c r="C65" s="16">
        <v>23.126000000000001</v>
      </c>
      <c r="D65" s="16">
        <v>70.885999999999996</v>
      </c>
      <c r="E65" s="16">
        <v>91.087000000000003</v>
      </c>
      <c r="F65" s="16">
        <v>-3.306</v>
      </c>
      <c r="G65" s="6">
        <v>1</v>
      </c>
      <c r="H65" s="16">
        <v>40</v>
      </c>
      <c r="I65" s="9" t="s">
        <v>64</v>
      </c>
      <c r="J65" s="16"/>
      <c r="K65" s="16">
        <v>152.69999999999999</v>
      </c>
      <c r="L65" s="16">
        <f t="shared" si="8"/>
        <v>-61.612999999999985</v>
      </c>
      <c r="M65" s="16"/>
      <c r="N65" s="16"/>
      <c r="O65" s="16">
        <v>90</v>
      </c>
      <c r="P65" s="16">
        <v>-92</v>
      </c>
      <c r="Q65" s="16"/>
      <c r="R65" s="16"/>
      <c r="S65" s="16"/>
      <c r="T65" s="16">
        <f t="shared" si="9"/>
        <v>18.217400000000001</v>
      </c>
      <c r="U65" s="4">
        <v>70</v>
      </c>
      <c r="V65" s="4">
        <f t="shared" si="13"/>
        <v>70</v>
      </c>
      <c r="W65" s="4"/>
      <c r="X65" s="16"/>
      <c r="Y65" s="16"/>
      <c r="Z65" s="16">
        <f t="shared" si="10"/>
        <v>8.6013371831326104</v>
      </c>
      <c r="AA65" s="16">
        <f t="shared" si="11"/>
        <v>4.7588569170134045</v>
      </c>
      <c r="AB65" s="16">
        <v>20.844200000000001</v>
      </c>
      <c r="AC65" s="16">
        <v>20.661999999999999</v>
      </c>
      <c r="AD65" s="16">
        <v>14.938599999999999</v>
      </c>
      <c r="AE65" s="16">
        <v>33.050400000000003</v>
      </c>
      <c r="AF65" s="16">
        <v>30.191199999999998</v>
      </c>
      <c r="AG65" s="16">
        <v>25.393000000000001</v>
      </c>
      <c r="AH65" s="16">
        <v>20.536000000000001</v>
      </c>
      <c r="AI65" s="16">
        <v>16.688199999999998</v>
      </c>
      <c r="AJ65" s="16">
        <v>22.345800000000001</v>
      </c>
      <c r="AK65" s="16">
        <v>30.636800000000001</v>
      </c>
      <c r="AL65" s="16"/>
      <c r="AM65" s="16">
        <f t="shared" si="12"/>
        <v>70</v>
      </c>
      <c r="AN65" t="s">
        <v>174</v>
      </c>
    </row>
    <row r="66" spans="1:40" x14ac:dyDescent="0.25">
      <c r="A66" s="16" t="s">
        <v>175</v>
      </c>
      <c r="B66" s="16" t="s">
        <v>45</v>
      </c>
      <c r="C66" s="16">
        <v>12.417999999999999</v>
      </c>
      <c r="D66" s="16">
        <v>54.002000000000002</v>
      </c>
      <c r="E66" s="16">
        <v>56.923000000000002</v>
      </c>
      <c r="F66" s="16">
        <v>12.180999999999999</v>
      </c>
      <c r="G66" s="6">
        <v>1</v>
      </c>
      <c r="H66" s="16">
        <v>40</v>
      </c>
      <c r="I66" s="9" t="s">
        <v>64</v>
      </c>
      <c r="J66" s="16"/>
      <c r="K66" s="16">
        <v>160.80000000000001</v>
      </c>
      <c r="L66" s="16">
        <f t="shared" si="8"/>
        <v>-103.87700000000001</v>
      </c>
      <c r="M66" s="16"/>
      <c r="N66" s="16"/>
      <c r="O66" s="16">
        <v>60</v>
      </c>
      <c r="P66" s="16">
        <v>-65</v>
      </c>
      <c r="Q66" s="16"/>
      <c r="R66" s="16"/>
      <c r="S66" s="16"/>
      <c r="T66" s="16">
        <f t="shared" si="9"/>
        <v>11.384600000000001</v>
      </c>
      <c r="U66" s="4">
        <v>50</v>
      </c>
      <c r="V66" s="4">
        <f t="shared" si="13"/>
        <v>50</v>
      </c>
      <c r="W66" s="4"/>
      <c r="X66" s="16"/>
      <c r="Y66" s="16"/>
      <c r="Z66" s="16">
        <f t="shared" si="10"/>
        <v>10.732129367742388</v>
      </c>
      <c r="AA66" s="16">
        <f t="shared" si="11"/>
        <v>6.3402315408534333</v>
      </c>
      <c r="AB66" s="16">
        <v>8.4802</v>
      </c>
      <c r="AC66" s="16">
        <v>12.4748</v>
      </c>
      <c r="AD66" s="16">
        <v>12.3028</v>
      </c>
      <c r="AE66" s="16">
        <v>24.300599999999999</v>
      </c>
      <c r="AF66" s="16">
        <v>29.9604</v>
      </c>
      <c r="AG66" s="16">
        <v>28.129000000000001</v>
      </c>
      <c r="AH66" s="16">
        <v>21.1816</v>
      </c>
      <c r="AI66" s="16">
        <v>16.5672</v>
      </c>
      <c r="AJ66" s="16">
        <v>20.6828</v>
      </c>
      <c r="AK66" s="16">
        <v>25.505199999999999</v>
      </c>
      <c r="AL66" s="16"/>
      <c r="AM66" s="16">
        <f t="shared" si="12"/>
        <v>50</v>
      </c>
      <c r="AN66" t="s">
        <v>176</v>
      </c>
    </row>
    <row r="67" spans="1:40" x14ac:dyDescent="0.25">
      <c r="A67" s="16" t="s">
        <v>177</v>
      </c>
      <c r="B67" s="16" t="s">
        <v>45</v>
      </c>
      <c r="C67" s="16">
        <v>196.68</v>
      </c>
      <c r="D67" s="16">
        <v>301.03699999999998</v>
      </c>
      <c r="E67" s="16">
        <v>379.13299999999998</v>
      </c>
      <c r="F67" s="16">
        <v>125.00700000000001</v>
      </c>
      <c r="G67" s="6">
        <v>1</v>
      </c>
      <c r="H67" s="16">
        <v>40</v>
      </c>
      <c r="I67" s="9" t="s">
        <v>64</v>
      </c>
      <c r="J67" s="16"/>
      <c r="K67" s="16">
        <v>498.6</v>
      </c>
      <c r="L67" s="16">
        <f t="shared" si="8"/>
        <v>-119.46700000000004</v>
      </c>
      <c r="M67" s="16"/>
      <c r="N67" s="16"/>
      <c r="O67" s="16">
        <v>360</v>
      </c>
      <c r="P67" s="16">
        <v>-362</v>
      </c>
      <c r="Q67" s="16"/>
      <c r="R67" s="16"/>
      <c r="S67" s="16"/>
      <c r="T67" s="16">
        <f t="shared" si="9"/>
        <v>75.826599999999999</v>
      </c>
      <c r="U67" s="4">
        <v>300</v>
      </c>
      <c r="V67" s="4">
        <f t="shared" si="13"/>
        <v>300</v>
      </c>
      <c r="W67" s="4"/>
      <c r="X67" s="16"/>
      <c r="Y67" s="16"/>
      <c r="Z67" s="16">
        <f t="shared" si="10"/>
        <v>10.352659884526011</v>
      </c>
      <c r="AA67" s="16">
        <f t="shared" si="11"/>
        <v>6.3962646353654256</v>
      </c>
      <c r="AB67" s="16">
        <v>76.188999999999993</v>
      </c>
      <c r="AC67" s="16">
        <v>96.034199999999998</v>
      </c>
      <c r="AD67" s="16">
        <v>98.497799999999998</v>
      </c>
      <c r="AE67" s="16">
        <v>30.181999999999999</v>
      </c>
      <c r="AF67" s="16">
        <v>6.6635999999999997</v>
      </c>
      <c r="AG67" s="16">
        <v>112.02800000000001</v>
      </c>
      <c r="AH67" s="16">
        <v>120.03919999999999</v>
      </c>
      <c r="AI67" s="16">
        <v>49.153199999999998</v>
      </c>
      <c r="AJ67" s="16">
        <v>53.758000000000003</v>
      </c>
      <c r="AK67" s="16">
        <v>60.426599999999993</v>
      </c>
      <c r="AL67" s="16"/>
      <c r="AM67" s="16">
        <f t="shared" si="12"/>
        <v>300</v>
      </c>
      <c r="AN67" t="s">
        <v>178</v>
      </c>
    </row>
    <row r="68" spans="1:40" x14ac:dyDescent="0.25">
      <c r="A68" s="16" t="s">
        <v>179</v>
      </c>
      <c r="B68" s="16" t="s">
        <v>45</v>
      </c>
      <c r="C68" s="16">
        <v>77.366</v>
      </c>
      <c r="D68" s="16">
        <v>70.870999999999995</v>
      </c>
      <c r="E68" s="16">
        <v>81.123999999999995</v>
      </c>
      <c r="F68" s="16">
        <v>52.805999999999997</v>
      </c>
      <c r="G68" s="6">
        <v>1</v>
      </c>
      <c r="H68" s="16">
        <v>40</v>
      </c>
      <c r="I68" s="9" t="s">
        <v>64</v>
      </c>
      <c r="J68" s="16"/>
      <c r="K68" s="16">
        <v>277.39999999999998</v>
      </c>
      <c r="L68" s="16">
        <f t="shared" si="8"/>
        <v>-196.27599999999998</v>
      </c>
      <c r="M68" s="16"/>
      <c r="N68" s="16"/>
      <c r="O68" s="16">
        <v>90</v>
      </c>
      <c r="P68" s="16">
        <v>-92</v>
      </c>
      <c r="Q68" s="16"/>
      <c r="R68" s="16"/>
      <c r="S68" s="16"/>
      <c r="T68" s="16">
        <f t="shared" si="9"/>
        <v>16.224799999999998</v>
      </c>
      <c r="U68" s="4">
        <v>90</v>
      </c>
      <c r="V68" s="4">
        <f t="shared" si="13"/>
        <v>90</v>
      </c>
      <c r="W68" s="4"/>
      <c r="X68" s="16"/>
      <c r="Y68" s="16"/>
      <c r="Z68" s="16">
        <f t="shared" si="10"/>
        <v>14.348774715250729</v>
      </c>
      <c r="AA68" s="16">
        <f t="shared" si="11"/>
        <v>8.801710960997978</v>
      </c>
      <c r="AB68" s="16">
        <v>34.017000000000003</v>
      </c>
      <c r="AC68" s="16">
        <v>35.487000000000002</v>
      </c>
      <c r="AD68" s="16">
        <v>19.944600000000001</v>
      </c>
      <c r="AE68" s="16">
        <v>39.397399999999998</v>
      </c>
      <c r="AF68" s="16">
        <v>36.114600000000003</v>
      </c>
      <c r="AG68" s="16">
        <v>34.558800000000012</v>
      </c>
      <c r="AH68" s="16">
        <v>25.469000000000001</v>
      </c>
      <c r="AI68" s="16">
        <v>24.119199999999999</v>
      </c>
      <c r="AJ68" s="16">
        <v>27.015599999999999</v>
      </c>
      <c r="AK68" s="16">
        <v>23.341799999999999</v>
      </c>
      <c r="AL68" s="16"/>
      <c r="AM68" s="16">
        <f t="shared" si="12"/>
        <v>90</v>
      </c>
      <c r="AN68" t="s">
        <v>180</v>
      </c>
    </row>
    <row r="69" spans="1:40" x14ac:dyDescent="0.25">
      <c r="A69" s="10" t="s">
        <v>181</v>
      </c>
      <c r="B69" s="10" t="s">
        <v>53</v>
      </c>
      <c r="C69" s="10"/>
      <c r="D69" s="10"/>
      <c r="E69" s="10"/>
      <c r="F69" s="10"/>
      <c r="G69" s="11">
        <v>0</v>
      </c>
      <c r="H69" s="10"/>
      <c r="I69" s="10" t="s">
        <v>46</v>
      </c>
      <c r="J69" s="10"/>
      <c r="K69" s="10"/>
      <c r="L69" s="10">
        <f t="shared" si="8"/>
        <v>0</v>
      </c>
      <c r="M69" s="10"/>
      <c r="N69" s="10"/>
      <c r="O69" s="10">
        <v>0</v>
      </c>
      <c r="P69" s="10"/>
      <c r="Q69" s="10"/>
      <c r="R69" s="10"/>
      <c r="S69" s="10"/>
      <c r="T69" s="10">
        <f t="shared" si="9"/>
        <v>0</v>
      </c>
      <c r="U69" s="12"/>
      <c r="V69" s="4">
        <f t="shared" si="13"/>
        <v>0</v>
      </c>
      <c r="W69" s="4"/>
      <c r="X69" s="16"/>
      <c r="Y69" s="16"/>
      <c r="Z69" s="16" t="e">
        <f t="shared" si="10"/>
        <v>#DIV/0!</v>
      </c>
      <c r="AA69" s="10" t="e">
        <f t="shared" si="11"/>
        <v>#DIV/0!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 t="s">
        <v>54</v>
      </c>
      <c r="AM69" s="16">
        <f t="shared" si="12"/>
        <v>0</v>
      </c>
      <c r="AN69" t="s">
        <v>182</v>
      </c>
    </row>
    <row r="70" spans="1:40" x14ac:dyDescent="0.25">
      <c r="A70" s="16" t="s">
        <v>183</v>
      </c>
      <c r="B70" s="16" t="s">
        <v>45</v>
      </c>
      <c r="C70" s="16">
        <v>99.566000000000003</v>
      </c>
      <c r="D70" s="16">
        <v>223.02099999999999</v>
      </c>
      <c r="E70" s="16">
        <v>57.676000000000002</v>
      </c>
      <c r="F70" s="16">
        <v>236.86600000000001</v>
      </c>
      <c r="G70" s="6">
        <v>1</v>
      </c>
      <c r="H70" s="16">
        <v>30</v>
      </c>
      <c r="I70" s="9" t="s">
        <v>64</v>
      </c>
      <c r="J70" s="16"/>
      <c r="K70" s="16">
        <v>216.4</v>
      </c>
      <c r="L70" s="16">
        <f t="shared" ref="L70:L101" si="14">E70-K70</f>
        <v>-158.72399999999999</v>
      </c>
      <c r="M70" s="16"/>
      <c r="N70" s="16"/>
      <c r="O70" s="16">
        <v>44.915199999999999</v>
      </c>
      <c r="P70" s="16"/>
      <c r="Q70" s="16"/>
      <c r="R70" s="16"/>
      <c r="S70" s="16"/>
      <c r="T70" s="16">
        <f t="shared" ref="T70:T101" si="15">E70/5</f>
        <v>11.5352</v>
      </c>
      <c r="U70" s="4"/>
      <c r="V70" s="4">
        <f t="shared" si="13"/>
        <v>0</v>
      </c>
      <c r="W70" s="4"/>
      <c r="X70" s="16"/>
      <c r="Y70" s="16"/>
      <c r="Z70" s="16">
        <f t="shared" ref="Z70:Z101" si="16">(F70+O70+Q70+R70+S70+V70)/T70</f>
        <v>24.427942298356339</v>
      </c>
      <c r="AA70" s="16">
        <f t="shared" ref="AA70:AA101" si="17">(F70+O70+Q70+R70+S70)/T70</f>
        <v>24.427942298356339</v>
      </c>
      <c r="AB70" s="16">
        <v>1.75</v>
      </c>
      <c r="AC70" s="16">
        <v>29.075600000000001</v>
      </c>
      <c r="AD70" s="16">
        <v>33.2898</v>
      </c>
      <c r="AE70" s="16">
        <v>11.0556</v>
      </c>
      <c r="AF70" s="16">
        <v>4.7800000000000002E-2</v>
      </c>
      <c r="AG70" s="16">
        <v>28.5642</v>
      </c>
      <c r="AH70" s="16">
        <v>35.5794</v>
      </c>
      <c r="AI70" s="16">
        <v>22.786799999999999</v>
      </c>
      <c r="AJ70" s="16">
        <v>21.472200000000001</v>
      </c>
      <c r="AK70" s="16">
        <v>26.0868</v>
      </c>
      <c r="AL70" s="15" t="s">
        <v>184</v>
      </c>
      <c r="AM70" s="16">
        <f t="shared" ref="AM70:AM101" si="18">ROUND(G70*V70,0)</f>
        <v>0</v>
      </c>
      <c r="AN70" t="s">
        <v>185</v>
      </c>
    </row>
    <row r="71" spans="1:40" x14ac:dyDescent="0.25">
      <c r="A71" s="16" t="s">
        <v>186</v>
      </c>
      <c r="B71" s="16" t="s">
        <v>53</v>
      </c>
      <c r="C71" s="16">
        <v>109</v>
      </c>
      <c r="D71" s="16">
        <v>88</v>
      </c>
      <c r="E71" s="16">
        <v>185</v>
      </c>
      <c r="F71" s="16">
        <v>4</v>
      </c>
      <c r="G71" s="6">
        <v>0.6</v>
      </c>
      <c r="H71" s="16">
        <v>60</v>
      </c>
      <c r="I71" s="16" t="s">
        <v>46</v>
      </c>
      <c r="J71" s="16"/>
      <c r="K71" s="16">
        <v>234</v>
      </c>
      <c r="L71" s="16">
        <f t="shared" si="14"/>
        <v>-49</v>
      </c>
      <c r="M71" s="16"/>
      <c r="N71" s="16"/>
      <c r="O71" s="16">
        <v>0</v>
      </c>
      <c r="P71" s="16"/>
      <c r="Q71" s="16"/>
      <c r="R71" s="16"/>
      <c r="S71" s="16"/>
      <c r="T71" s="16">
        <f t="shared" si="15"/>
        <v>37</v>
      </c>
      <c r="U71" s="4">
        <f>11*T71-S71-R71-Q71-O71-F71</f>
        <v>403</v>
      </c>
      <c r="V71" s="4">
        <f>U71+$V$1*T71</f>
        <v>411.14</v>
      </c>
      <c r="W71" s="4"/>
      <c r="X71" s="16"/>
      <c r="Y71" s="16"/>
      <c r="Z71" s="16">
        <f t="shared" si="16"/>
        <v>11.219999999999999</v>
      </c>
      <c r="AA71" s="16">
        <f t="shared" si="17"/>
        <v>0.10810810810810811</v>
      </c>
      <c r="AB71" s="16">
        <v>27.2</v>
      </c>
      <c r="AC71" s="16">
        <v>8.6</v>
      </c>
      <c r="AD71" s="16">
        <v>18.600000000000001</v>
      </c>
      <c r="AE71" s="16">
        <v>21.6</v>
      </c>
      <c r="AF71" s="16">
        <v>26</v>
      </c>
      <c r="AG71" s="16">
        <v>22.8</v>
      </c>
      <c r="AH71" s="16">
        <v>9.8000000000000007</v>
      </c>
      <c r="AI71" s="16">
        <v>15.2</v>
      </c>
      <c r="AJ71" s="16">
        <v>27</v>
      </c>
      <c r="AK71" s="16">
        <v>26.6</v>
      </c>
      <c r="AL71" s="16"/>
      <c r="AM71" s="16">
        <f t="shared" si="18"/>
        <v>247</v>
      </c>
      <c r="AN71" t="s">
        <v>187</v>
      </c>
    </row>
    <row r="72" spans="1:40" x14ac:dyDescent="0.25">
      <c r="A72" s="16" t="s">
        <v>188</v>
      </c>
      <c r="B72" s="16" t="s">
        <v>53</v>
      </c>
      <c r="C72" s="16">
        <v>206</v>
      </c>
      <c r="D72" s="16">
        <v>113</v>
      </c>
      <c r="E72" s="16">
        <v>255</v>
      </c>
      <c r="F72" s="16">
        <v>36</v>
      </c>
      <c r="G72" s="6">
        <v>0.6</v>
      </c>
      <c r="H72" s="16">
        <v>60</v>
      </c>
      <c r="I72" s="16" t="s">
        <v>46</v>
      </c>
      <c r="J72" s="16"/>
      <c r="K72" s="16">
        <v>267</v>
      </c>
      <c r="L72" s="16">
        <f t="shared" si="14"/>
        <v>-12</v>
      </c>
      <c r="M72" s="16"/>
      <c r="N72" s="16"/>
      <c r="O72" s="16">
        <v>70</v>
      </c>
      <c r="P72" s="16"/>
      <c r="Q72" s="16"/>
      <c r="R72" s="16"/>
      <c r="S72" s="16"/>
      <c r="T72" s="16">
        <f t="shared" si="15"/>
        <v>51</v>
      </c>
      <c r="U72" s="4">
        <f>11*T72-S72-R72-Q72-O72-F72</f>
        <v>455</v>
      </c>
      <c r="V72" s="4">
        <f>U72+$V$1*T72</f>
        <v>466.22</v>
      </c>
      <c r="W72" s="4"/>
      <c r="X72" s="16"/>
      <c r="Y72" s="16"/>
      <c r="Z72" s="16">
        <f t="shared" si="16"/>
        <v>11.22</v>
      </c>
      <c r="AA72" s="16">
        <f t="shared" si="17"/>
        <v>2.0784313725490198</v>
      </c>
      <c r="AB72" s="16">
        <v>42</v>
      </c>
      <c r="AC72" s="16">
        <v>18.399999999999999</v>
      </c>
      <c r="AD72" s="16">
        <v>32</v>
      </c>
      <c r="AE72" s="16">
        <v>28.4</v>
      </c>
      <c r="AF72" s="16">
        <v>31.4</v>
      </c>
      <c r="AG72" s="16">
        <v>38.799999999999997</v>
      </c>
      <c r="AH72" s="16">
        <v>27.8</v>
      </c>
      <c r="AI72" s="16">
        <v>15.2</v>
      </c>
      <c r="AJ72" s="16">
        <v>26.6</v>
      </c>
      <c r="AK72" s="16">
        <v>40.799999999999997</v>
      </c>
      <c r="AL72" s="16"/>
      <c r="AM72" s="16">
        <f t="shared" si="18"/>
        <v>280</v>
      </c>
      <c r="AN72" t="s">
        <v>189</v>
      </c>
    </row>
    <row r="73" spans="1:40" x14ac:dyDescent="0.25">
      <c r="A73" s="16" t="s">
        <v>190</v>
      </c>
      <c r="B73" s="16" t="s">
        <v>53</v>
      </c>
      <c r="C73" s="16">
        <v>5</v>
      </c>
      <c r="D73" s="16">
        <v>216</v>
      </c>
      <c r="E73" s="16">
        <v>107</v>
      </c>
      <c r="F73" s="16">
        <v>109</v>
      </c>
      <c r="G73" s="6">
        <v>0.4</v>
      </c>
      <c r="H73" s="16">
        <v>90</v>
      </c>
      <c r="I73" s="16" t="s">
        <v>46</v>
      </c>
      <c r="J73" s="16"/>
      <c r="K73" s="16">
        <v>150</v>
      </c>
      <c r="L73" s="16">
        <f t="shared" si="14"/>
        <v>-43</v>
      </c>
      <c r="M73" s="16"/>
      <c r="N73" s="16"/>
      <c r="O73" s="16">
        <v>82.97999999999999</v>
      </c>
      <c r="P73" s="16"/>
      <c r="Q73" s="16"/>
      <c r="R73" s="16">
        <v>97.02000000000001</v>
      </c>
      <c r="S73" s="16"/>
      <c r="T73" s="16">
        <f t="shared" si="15"/>
        <v>21.4</v>
      </c>
      <c r="U73" s="4"/>
      <c r="V73" s="4">
        <f>U73</f>
        <v>0</v>
      </c>
      <c r="W73" s="4"/>
      <c r="X73" s="16"/>
      <c r="Y73" s="16"/>
      <c r="Z73" s="16">
        <f t="shared" si="16"/>
        <v>13.504672897196263</v>
      </c>
      <c r="AA73" s="16">
        <f t="shared" si="17"/>
        <v>13.504672897196263</v>
      </c>
      <c r="AB73" s="16">
        <v>17</v>
      </c>
      <c r="AC73" s="16">
        <v>24.2</v>
      </c>
      <c r="AD73" s="16">
        <v>25.2</v>
      </c>
      <c r="AE73" s="16">
        <v>23.6</v>
      </c>
      <c r="AF73" s="16">
        <v>19</v>
      </c>
      <c r="AG73" s="16">
        <v>18.8</v>
      </c>
      <c r="AH73" s="16">
        <v>19.8</v>
      </c>
      <c r="AI73" s="16">
        <v>17.600000000000001</v>
      </c>
      <c r="AJ73" s="16">
        <v>13.6</v>
      </c>
      <c r="AK73" s="16">
        <v>19</v>
      </c>
      <c r="AL73" s="16"/>
      <c r="AM73" s="16">
        <f t="shared" si="18"/>
        <v>0</v>
      </c>
      <c r="AN73" t="s">
        <v>191</v>
      </c>
    </row>
    <row r="74" spans="1:40" x14ac:dyDescent="0.25">
      <c r="A74" s="16" t="s">
        <v>192</v>
      </c>
      <c r="B74" s="16" t="s">
        <v>53</v>
      </c>
      <c r="C74" s="16">
        <v>17</v>
      </c>
      <c r="D74" s="16">
        <v>176</v>
      </c>
      <c r="E74" s="16">
        <v>159</v>
      </c>
      <c r="F74" s="16">
        <v>28</v>
      </c>
      <c r="G74" s="6">
        <v>0.33</v>
      </c>
      <c r="H74" s="16">
        <v>60</v>
      </c>
      <c r="I74" s="9" t="s">
        <v>64</v>
      </c>
      <c r="J74" s="16"/>
      <c r="K74" s="16">
        <v>250</v>
      </c>
      <c r="L74" s="16">
        <f t="shared" si="14"/>
        <v>-91</v>
      </c>
      <c r="M74" s="16"/>
      <c r="N74" s="16"/>
      <c r="O74" s="16">
        <v>69.149999999999991</v>
      </c>
      <c r="P74" s="16"/>
      <c r="Q74" s="16"/>
      <c r="R74" s="16">
        <v>80.850000000000009</v>
      </c>
      <c r="S74" s="16"/>
      <c r="T74" s="16">
        <f t="shared" si="15"/>
        <v>31.8</v>
      </c>
      <c r="U74" s="4">
        <v>100</v>
      </c>
      <c r="V74" s="4">
        <f>U74</f>
        <v>100</v>
      </c>
      <c r="W74" s="4"/>
      <c r="X74" s="16"/>
      <c r="Y74" s="16"/>
      <c r="Z74" s="16">
        <f t="shared" si="16"/>
        <v>8.7421383647798745</v>
      </c>
      <c r="AA74" s="16">
        <f t="shared" si="17"/>
        <v>5.5974842767295598</v>
      </c>
      <c r="AB74" s="16">
        <v>29.6</v>
      </c>
      <c r="AC74" s="16">
        <v>46.4</v>
      </c>
      <c r="AD74" s="16">
        <v>50.6</v>
      </c>
      <c r="AE74" s="16">
        <v>37.799999999999997</v>
      </c>
      <c r="AF74" s="16">
        <v>30.4</v>
      </c>
      <c r="AG74" s="16">
        <v>37</v>
      </c>
      <c r="AH74" s="16">
        <v>38.200000000000003</v>
      </c>
      <c r="AI74" s="16">
        <v>31.8</v>
      </c>
      <c r="AJ74" s="16">
        <v>24.8</v>
      </c>
      <c r="AK74" s="16">
        <v>29.4</v>
      </c>
      <c r="AL74" s="16"/>
      <c r="AM74" s="16">
        <f t="shared" si="18"/>
        <v>33</v>
      </c>
      <c r="AN74" t="s">
        <v>193</v>
      </c>
    </row>
    <row r="75" spans="1:40" x14ac:dyDescent="0.25">
      <c r="A75" s="16" t="s">
        <v>194</v>
      </c>
      <c r="B75" s="16" t="s">
        <v>53</v>
      </c>
      <c r="C75" s="16">
        <v>90</v>
      </c>
      <c r="D75" s="16">
        <v>184</v>
      </c>
      <c r="E75" s="16">
        <v>162</v>
      </c>
      <c r="F75" s="16">
        <v>107</v>
      </c>
      <c r="G75" s="6">
        <v>0.35</v>
      </c>
      <c r="H75" s="16">
        <v>90</v>
      </c>
      <c r="I75" s="16" t="s">
        <v>46</v>
      </c>
      <c r="J75" s="16"/>
      <c r="K75" s="16">
        <v>168</v>
      </c>
      <c r="L75" s="16">
        <f t="shared" si="14"/>
        <v>-6</v>
      </c>
      <c r="M75" s="16"/>
      <c r="N75" s="16"/>
      <c r="O75" s="16">
        <v>100</v>
      </c>
      <c r="P75" s="16"/>
      <c r="Q75" s="16"/>
      <c r="R75" s="16"/>
      <c r="S75" s="16"/>
      <c r="T75" s="16">
        <f t="shared" si="15"/>
        <v>32.4</v>
      </c>
      <c r="U75" s="4">
        <f>11*T75-S75-R75-Q75-O75-F75</f>
        <v>149.39999999999998</v>
      </c>
      <c r="V75" s="4">
        <f>U75+$V$1*T75</f>
        <v>156.52799999999996</v>
      </c>
      <c r="W75" s="4"/>
      <c r="X75" s="16"/>
      <c r="Y75" s="16"/>
      <c r="Z75" s="16">
        <f t="shared" si="16"/>
        <v>11.219999999999999</v>
      </c>
      <c r="AA75" s="16">
        <f t="shared" si="17"/>
        <v>6.3888888888888893</v>
      </c>
      <c r="AB75" s="16">
        <v>29.2</v>
      </c>
      <c r="AC75" s="16">
        <v>27.2</v>
      </c>
      <c r="AD75" s="16">
        <v>29.8</v>
      </c>
      <c r="AE75" s="16">
        <v>25.6</v>
      </c>
      <c r="AF75" s="16">
        <v>21.8</v>
      </c>
      <c r="AG75" s="16">
        <v>26.8</v>
      </c>
      <c r="AH75" s="16">
        <v>32.6</v>
      </c>
      <c r="AI75" s="16">
        <v>30.2</v>
      </c>
      <c r="AJ75" s="16">
        <v>21.8</v>
      </c>
      <c r="AK75" s="16">
        <v>25.6</v>
      </c>
      <c r="AL75" s="16"/>
      <c r="AM75" s="16">
        <f t="shared" si="18"/>
        <v>55</v>
      </c>
      <c r="AN75" t="s">
        <v>195</v>
      </c>
    </row>
    <row r="76" spans="1:40" x14ac:dyDescent="0.25">
      <c r="A76" s="16" t="s">
        <v>196</v>
      </c>
      <c r="B76" s="16" t="s">
        <v>53</v>
      </c>
      <c r="C76" s="16"/>
      <c r="D76" s="16"/>
      <c r="E76" s="16"/>
      <c r="F76" s="16"/>
      <c r="G76" s="6">
        <v>0.37</v>
      </c>
      <c r="H76" s="16"/>
      <c r="I76" s="16" t="s">
        <v>46</v>
      </c>
      <c r="J76" s="16"/>
      <c r="K76" s="16"/>
      <c r="L76" s="16">
        <f t="shared" si="14"/>
        <v>0</v>
      </c>
      <c r="M76" s="16"/>
      <c r="N76" s="16"/>
      <c r="O76" s="16">
        <v>23</v>
      </c>
      <c r="P76" s="16"/>
      <c r="Q76" s="16"/>
      <c r="R76" s="16"/>
      <c r="S76" s="16"/>
      <c r="T76" s="16">
        <f t="shared" si="15"/>
        <v>0</v>
      </c>
      <c r="U76" s="4"/>
      <c r="V76" s="4">
        <f t="shared" ref="V76:V84" si="19">U76</f>
        <v>0</v>
      </c>
      <c r="W76" s="4"/>
      <c r="X76" s="16"/>
      <c r="Y76" s="16"/>
      <c r="Z76" s="16" t="e">
        <f t="shared" si="16"/>
        <v>#DIV/0!</v>
      </c>
      <c r="AA76" s="16" t="e">
        <f t="shared" si="17"/>
        <v>#DIV/0!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 t="s">
        <v>197</v>
      </c>
      <c r="AM76" s="16">
        <f t="shared" si="18"/>
        <v>0</v>
      </c>
      <c r="AN76" t="s">
        <v>198</v>
      </c>
    </row>
    <row r="77" spans="1:40" x14ac:dyDescent="0.25">
      <c r="A77" s="16" t="s">
        <v>199</v>
      </c>
      <c r="B77" s="16" t="s">
        <v>53</v>
      </c>
      <c r="C77" s="16">
        <v>80</v>
      </c>
      <c r="D77" s="16">
        <v>32</v>
      </c>
      <c r="E77" s="16">
        <v>95</v>
      </c>
      <c r="F77" s="16">
        <v>6</v>
      </c>
      <c r="G77" s="6">
        <v>0.6</v>
      </c>
      <c r="H77" s="16">
        <v>70</v>
      </c>
      <c r="I77" s="16" t="s">
        <v>46</v>
      </c>
      <c r="J77" s="16"/>
      <c r="K77" s="16">
        <v>152</v>
      </c>
      <c r="L77" s="16">
        <f t="shared" si="14"/>
        <v>-57</v>
      </c>
      <c r="M77" s="16"/>
      <c r="N77" s="16"/>
      <c r="O77" s="16">
        <v>10</v>
      </c>
      <c r="P77" s="16"/>
      <c r="Q77" s="16"/>
      <c r="R77" s="16"/>
      <c r="S77" s="16"/>
      <c r="T77" s="16">
        <f t="shared" si="15"/>
        <v>19</v>
      </c>
      <c r="U77" s="4">
        <f>11*T77-S77-R77-Q77-O77-F77</f>
        <v>193</v>
      </c>
      <c r="V77" s="4">
        <f t="shared" si="19"/>
        <v>193</v>
      </c>
      <c r="W77" s="4"/>
      <c r="X77" s="16"/>
      <c r="Y77" s="16"/>
      <c r="Z77" s="16">
        <f t="shared" si="16"/>
        <v>11</v>
      </c>
      <c r="AA77" s="16">
        <f t="shared" si="17"/>
        <v>0.84210526315789469</v>
      </c>
      <c r="AB77" s="16">
        <v>18.399999999999999</v>
      </c>
      <c r="AC77" s="16">
        <v>8.4</v>
      </c>
      <c r="AD77" s="16">
        <v>11.8</v>
      </c>
      <c r="AE77" s="16">
        <v>10.6</v>
      </c>
      <c r="AF77" s="16">
        <v>8.6</v>
      </c>
      <c r="AG77" s="16">
        <v>14.6</v>
      </c>
      <c r="AH77" s="16">
        <v>17</v>
      </c>
      <c r="AI77" s="16">
        <v>8.1999999999999993</v>
      </c>
      <c r="AJ77" s="16">
        <v>3</v>
      </c>
      <c r="AK77" s="16">
        <v>16</v>
      </c>
      <c r="AL77" s="16"/>
      <c r="AM77" s="16">
        <f t="shared" si="18"/>
        <v>116</v>
      </c>
      <c r="AN77" t="s">
        <v>200</v>
      </c>
    </row>
    <row r="78" spans="1:40" x14ac:dyDescent="0.25">
      <c r="A78" s="16" t="s">
        <v>201</v>
      </c>
      <c r="B78" s="16" t="s">
        <v>53</v>
      </c>
      <c r="C78" s="16">
        <v>56</v>
      </c>
      <c r="D78" s="16">
        <v>85</v>
      </c>
      <c r="E78" s="16">
        <v>48</v>
      </c>
      <c r="F78" s="16">
        <v>92</v>
      </c>
      <c r="G78" s="6">
        <v>0.33</v>
      </c>
      <c r="H78" s="16">
        <v>40</v>
      </c>
      <c r="I78" s="16" t="s">
        <v>46</v>
      </c>
      <c r="J78" s="16"/>
      <c r="K78" s="16">
        <v>50</v>
      </c>
      <c r="L78" s="16">
        <f t="shared" si="14"/>
        <v>-2</v>
      </c>
      <c r="M78" s="16"/>
      <c r="N78" s="16"/>
      <c r="O78" s="16">
        <v>16.199999999999989</v>
      </c>
      <c r="P78" s="16"/>
      <c r="Q78" s="16"/>
      <c r="R78" s="16"/>
      <c r="S78" s="16"/>
      <c r="T78" s="16">
        <f t="shared" si="15"/>
        <v>9.6</v>
      </c>
      <c r="U78" s="4"/>
      <c r="V78" s="4">
        <f t="shared" si="19"/>
        <v>0</v>
      </c>
      <c r="W78" s="4"/>
      <c r="X78" s="16"/>
      <c r="Y78" s="16"/>
      <c r="Z78" s="16">
        <f t="shared" si="16"/>
        <v>11.270833333333332</v>
      </c>
      <c r="AA78" s="16">
        <f t="shared" si="17"/>
        <v>11.270833333333332</v>
      </c>
      <c r="AB78" s="16">
        <v>13.4</v>
      </c>
      <c r="AC78" s="16">
        <v>11</v>
      </c>
      <c r="AD78" s="16">
        <v>16.600000000000001</v>
      </c>
      <c r="AE78" s="16">
        <v>4.8</v>
      </c>
      <c r="AF78" s="16">
        <v>3.2</v>
      </c>
      <c r="AG78" s="16">
        <v>4.8</v>
      </c>
      <c r="AH78" s="16">
        <v>6.8</v>
      </c>
      <c r="AI78" s="16">
        <v>9.8000000000000007</v>
      </c>
      <c r="AJ78" s="16">
        <v>10.8</v>
      </c>
      <c r="AK78" s="16">
        <v>16.2</v>
      </c>
      <c r="AL78" s="16"/>
      <c r="AM78" s="16">
        <f t="shared" si="18"/>
        <v>0</v>
      </c>
      <c r="AN78" t="s">
        <v>202</v>
      </c>
    </row>
    <row r="79" spans="1:40" x14ac:dyDescent="0.25">
      <c r="A79" s="16" t="s">
        <v>203</v>
      </c>
      <c r="B79" s="16" t="s">
        <v>53</v>
      </c>
      <c r="C79" s="16">
        <v>41</v>
      </c>
      <c r="D79" s="16">
        <v>24</v>
      </c>
      <c r="E79" s="16">
        <v>42</v>
      </c>
      <c r="F79" s="16">
        <v>20</v>
      </c>
      <c r="G79" s="6">
        <v>0.4</v>
      </c>
      <c r="H79" s="16">
        <v>55</v>
      </c>
      <c r="I79" s="16" t="s">
        <v>46</v>
      </c>
      <c r="J79" s="16"/>
      <c r="K79" s="16">
        <v>82</v>
      </c>
      <c r="L79" s="16">
        <f t="shared" si="14"/>
        <v>-40</v>
      </c>
      <c r="M79" s="16"/>
      <c r="N79" s="16"/>
      <c r="O79" s="16">
        <v>100</v>
      </c>
      <c r="P79" s="16"/>
      <c r="Q79" s="16"/>
      <c r="R79" s="16"/>
      <c r="S79" s="16"/>
      <c r="T79" s="16">
        <f t="shared" si="15"/>
        <v>8.4</v>
      </c>
      <c r="U79" s="4"/>
      <c r="V79" s="4">
        <f t="shared" si="19"/>
        <v>0</v>
      </c>
      <c r="W79" s="4"/>
      <c r="X79" s="16"/>
      <c r="Y79" s="16"/>
      <c r="Z79" s="16">
        <f t="shared" si="16"/>
        <v>14.285714285714285</v>
      </c>
      <c r="AA79" s="16">
        <f t="shared" si="17"/>
        <v>14.285714285714285</v>
      </c>
      <c r="AB79" s="16">
        <v>10.6</v>
      </c>
      <c r="AC79" s="16">
        <v>6.2</v>
      </c>
      <c r="AD79" s="16">
        <v>7</v>
      </c>
      <c r="AE79" s="16">
        <v>6.8</v>
      </c>
      <c r="AF79" s="16">
        <v>4.2</v>
      </c>
      <c r="AG79" s="16">
        <v>9</v>
      </c>
      <c r="AH79" s="16">
        <v>11.2</v>
      </c>
      <c r="AI79" s="16">
        <v>7.2</v>
      </c>
      <c r="AJ79" s="16">
        <v>6</v>
      </c>
      <c r="AK79" s="16">
        <v>7.2</v>
      </c>
      <c r="AL79" s="16"/>
      <c r="AM79" s="16">
        <f t="shared" si="18"/>
        <v>0</v>
      </c>
      <c r="AN79" t="s">
        <v>204</v>
      </c>
    </row>
    <row r="80" spans="1:40" x14ac:dyDescent="0.25">
      <c r="A80" s="16" t="s">
        <v>205</v>
      </c>
      <c r="B80" s="16" t="s">
        <v>53</v>
      </c>
      <c r="C80" s="16">
        <v>16</v>
      </c>
      <c r="D80" s="16">
        <v>1</v>
      </c>
      <c r="E80" s="16">
        <v>18</v>
      </c>
      <c r="F80" s="16">
        <v>-2</v>
      </c>
      <c r="G80" s="6">
        <v>0.35</v>
      </c>
      <c r="H80" s="16">
        <v>40</v>
      </c>
      <c r="I80" s="9" t="s">
        <v>64</v>
      </c>
      <c r="J80" s="16"/>
      <c r="K80" s="16">
        <v>19</v>
      </c>
      <c r="L80" s="16">
        <f t="shared" si="14"/>
        <v>-1</v>
      </c>
      <c r="M80" s="16"/>
      <c r="N80" s="16"/>
      <c r="O80" s="16">
        <v>0</v>
      </c>
      <c r="P80" s="16"/>
      <c r="Q80" s="16"/>
      <c r="R80" s="16"/>
      <c r="S80" s="16"/>
      <c r="T80" s="16">
        <f t="shared" si="15"/>
        <v>3.6</v>
      </c>
      <c r="U80" s="4">
        <f>11*T80-S80-R80-Q80-O80-F80</f>
        <v>41.6</v>
      </c>
      <c r="V80" s="4">
        <f t="shared" si="19"/>
        <v>41.6</v>
      </c>
      <c r="W80" s="4"/>
      <c r="X80" s="16"/>
      <c r="Y80" s="16"/>
      <c r="Z80" s="16">
        <f t="shared" si="16"/>
        <v>11</v>
      </c>
      <c r="AA80" s="16">
        <f t="shared" si="17"/>
        <v>-0.55555555555555558</v>
      </c>
      <c r="AB80" s="16">
        <v>4.4000000000000004</v>
      </c>
      <c r="AC80" s="16">
        <v>1</v>
      </c>
      <c r="AD80" s="16">
        <v>-0.4</v>
      </c>
      <c r="AE80" s="16">
        <v>-0.6</v>
      </c>
      <c r="AF80" s="16">
        <v>0.4</v>
      </c>
      <c r="AG80" s="16">
        <v>1.4</v>
      </c>
      <c r="AH80" s="16">
        <v>0.6</v>
      </c>
      <c r="AI80" s="16">
        <v>1.4</v>
      </c>
      <c r="AJ80" s="16">
        <v>4</v>
      </c>
      <c r="AK80" s="16">
        <v>6.8</v>
      </c>
      <c r="AL80" s="16" t="s">
        <v>206</v>
      </c>
      <c r="AM80" s="16">
        <f t="shared" si="18"/>
        <v>15</v>
      </c>
      <c r="AN80" t="s">
        <v>207</v>
      </c>
    </row>
    <row r="81" spans="1:40" x14ac:dyDescent="0.25">
      <c r="A81" s="16" t="s">
        <v>208</v>
      </c>
      <c r="B81" s="16" t="s">
        <v>53</v>
      </c>
      <c r="C81" s="16">
        <v>78</v>
      </c>
      <c r="D81" s="16">
        <v>78</v>
      </c>
      <c r="E81" s="16">
        <v>55</v>
      </c>
      <c r="F81" s="16">
        <v>99</v>
      </c>
      <c r="G81" s="6">
        <v>0.35</v>
      </c>
      <c r="H81" s="16">
        <v>45</v>
      </c>
      <c r="I81" s="9" t="s">
        <v>64</v>
      </c>
      <c r="J81" s="16"/>
      <c r="K81" s="16">
        <v>53</v>
      </c>
      <c r="L81" s="16">
        <f t="shared" si="14"/>
        <v>2</v>
      </c>
      <c r="M81" s="16"/>
      <c r="N81" s="16"/>
      <c r="O81" s="16">
        <v>0</v>
      </c>
      <c r="P81" s="16"/>
      <c r="Q81" s="16"/>
      <c r="R81" s="16"/>
      <c r="S81" s="16"/>
      <c r="T81" s="16">
        <f t="shared" si="15"/>
        <v>11</v>
      </c>
      <c r="U81" s="4">
        <f>11*T81-S81-R81-Q81-O81-F81</f>
        <v>22</v>
      </c>
      <c r="V81" s="4">
        <f t="shared" si="19"/>
        <v>22</v>
      </c>
      <c r="W81" s="4"/>
      <c r="X81" s="16"/>
      <c r="Y81" s="16"/>
      <c r="Z81" s="16">
        <f t="shared" si="16"/>
        <v>11</v>
      </c>
      <c r="AA81" s="16">
        <f t="shared" si="17"/>
        <v>9</v>
      </c>
      <c r="AB81" s="16">
        <v>7</v>
      </c>
      <c r="AC81" s="16">
        <v>9.4</v>
      </c>
      <c r="AD81" s="16">
        <v>13</v>
      </c>
      <c r="AE81" s="16">
        <v>18</v>
      </c>
      <c r="AF81" s="16">
        <v>20.6</v>
      </c>
      <c r="AG81" s="16">
        <v>16.600000000000001</v>
      </c>
      <c r="AH81" s="16">
        <v>12.4</v>
      </c>
      <c r="AI81" s="16">
        <v>5.6</v>
      </c>
      <c r="AJ81" s="16">
        <v>14.8</v>
      </c>
      <c r="AK81" s="16">
        <v>33</v>
      </c>
      <c r="AL81" s="16"/>
      <c r="AM81" s="16">
        <f t="shared" si="18"/>
        <v>8</v>
      </c>
      <c r="AN81" t="s">
        <v>209</v>
      </c>
    </row>
    <row r="82" spans="1:40" x14ac:dyDescent="0.25">
      <c r="A82" s="10" t="s">
        <v>210</v>
      </c>
      <c r="B82" s="10" t="s">
        <v>53</v>
      </c>
      <c r="C82" s="10"/>
      <c r="D82" s="10"/>
      <c r="E82" s="10"/>
      <c r="F82" s="10"/>
      <c r="G82" s="11">
        <v>0</v>
      </c>
      <c r="H82" s="10"/>
      <c r="I82" s="10" t="s">
        <v>46</v>
      </c>
      <c r="J82" s="10"/>
      <c r="K82" s="10"/>
      <c r="L82" s="10">
        <f t="shared" si="14"/>
        <v>0</v>
      </c>
      <c r="M82" s="10"/>
      <c r="N82" s="10"/>
      <c r="O82" s="10">
        <v>0</v>
      </c>
      <c r="P82" s="10"/>
      <c r="Q82" s="10"/>
      <c r="R82" s="10"/>
      <c r="S82" s="10"/>
      <c r="T82" s="10">
        <f t="shared" si="15"/>
        <v>0</v>
      </c>
      <c r="U82" s="12"/>
      <c r="V82" s="4">
        <f t="shared" si="19"/>
        <v>0</v>
      </c>
      <c r="W82" s="4"/>
      <c r="X82" s="16"/>
      <c r="Y82" s="16"/>
      <c r="Z82" s="16" t="e">
        <f t="shared" si="16"/>
        <v>#DIV/0!</v>
      </c>
      <c r="AA82" s="10" t="e">
        <f t="shared" si="17"/>
        <v>#DIV/0!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 t="s">
        <v>54</v>
      </c>
      <c r="AM82" s="16">
        <f t="shared" si="18"/>
        <v>0</v>
      </c>
      <c r="AN82" t="s">
        <v>211</v>
      </c>
    </row>
    <row r="83" spans="1:40" x14ac:dyDescent="0.25">
      <c r="A83" s="10" t="s">
        <v>212</v>
      </c>
      <c r="B83" s="10" t="s">
        <v>45</v>
      </c>
      <c r="C83" s="10"/>
      <c r="D83" s="10"/>
      <c r="E83" s="10"/>
      <c r="F83" s="10"/>
      <c r="G83" s="11">
        <v>0</v>
      </c>
      <c r="H83" s="10"/>
      <c r="I83" s="10" t="s">
        <v>46</v>
      </c>
      <c r="J83" s="10"/>
      <c r="K83" s="10"/>
      <c r="L83" s="10">
        <f t="shared" si="14"/>
        <v>0</v>
      </c>
      <c r="M83" s="10"/>
      <c r="N83" s="10"/>
      <c r="O83" s="10">
        <v>0</v>
      </c>
      <c r="P83" s="10"/>
      <c r="Q83" s="10"/>
      <c r="R83" s="10"/>
      <c r="S83" s="10"/>
      <c r="T83" s="10">
        <f t="shared" si="15"/>
        <v>0</v>
      </c>
      <c r="U83" s="12"/>
      <c r="V83" s="4">
        <f t="shared" si="19"/>
        <v>0</v>
      </c>
      <c r="W83" s="4"/>
      <c r="X83" s="16"/>
      <c r="Y83" s="16"/>
      <c r="Z83" s="16" t="e">
        <f t="shared" si="16"/>
        <v>#DIV/0!</v>
      </c>
      <c r="AA83" s="10" t="e">
        <f t="shared" si="17"/>
        <v>#DIV/0!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 t="s">
        <v>54</v>
      </c>
      <c r="AM83" s="16">
        <f t="shared" si="18"/>
        <v>0</v>
      </c>
      <c r="AN83" t="s">
        <v>213</v>
      </c>
    </row>
    <row r="84" spans="1:40" x14ac:dyDescent="0.25">
      <c r="A84" s="10" t="s">
        <v>214</v>
      </c>
      <c r="B84" s="10" t="s">
        <v>45</v>
      </c>
      <c r="C84" s="10"/>
      <c r="D84" s="10"/>
      <c r="E84" s="10"/>
      <c r="F84" s="10"/>
      <c r="G84" s="11">
        <v>0</v>
      </c>
      <c r="H84" s="10"/>
      <c r="I84" s="10" t="s">
        <v>46</v>
      </c>
      <c r="J84" s="10"/>
      <c r="K84" s="10"/>
      <c r="L84" s="10">
        <f t="shared" si="14"/>
        <v>0</v>
      </c>
      <c r="M84" s="10"/>
      <c r="N84" s="10"/>
      <c r="O84" s="10">
        <v>0</v>
      </c>
      <c r="P84" s="10"/>
      <c r="Q84" s="10"/>
      <c r="R84" s="10"/>
      <c r="S84" s="10"/>
      <c r="T84" s="10">
        <f t="shared" si="15"/>
        <v>0</v>
      </c>
      <c r="U84" s="12"/>
      <c r="V84" s="4">
        <f t="shared" si="19"/>
        <v>0</v>
      </c>
      <c r="W84" s="4"/>
      <c r="X84" s="16"/>
      <c r="Y84" s="16"/>
      <c r="Z84" s="16" t="e">
        <f t="shared" si="16"/>
        <v>#DIV/0!</v>
      </c>
      <c r="AA84" s="10" t="e">
        <f t="shared" si="17"/>
        <v>#DIV/0!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 t="s">
        <v>54</v>
      </c>
      <c r="AM84" s="16">
        <f t="shared" si="18"/>
        <v>0</v>
      </c>
      <c r="AN84" t="s">
        <v>215</v>
      </c>
    </row>
    <row r="85" spans="1:40" x14ac:dyDescent="0.25">
      <c r="A85" s="16" t="s">
        <v>216</v>
      </c>
      <c r="B85" s="16" t="s">
        <v>45</v>
      </c>
      <c r="C85" s="16">
        <v>138.459</v>
      </c>
      <c r="D85" s="16">
        <v>212.184</v>
      </c>
      <c r="E85" s="16">
        <v>177.77699999999999</v>
      </c>
      <c r="F85" s="16">
        <v>143.07400000000001</v>
      </c>
      <c r="G85" s="6">
        <v>1</v>
      </c>
      <c r="H85" s="16">
        <v>60</v>
      </c>
      <c r="I85" s="16" t="s">
        <v>46</v>
      </c>
      <c r="J85" s="16"/>
      <c r="K85" s="16">
        <v>196.8</v>
      </c>
      <c r="L85" s="16">
        <f t="shared" si="14"/>
        <v>-19.023000000000025</v>
      </c>
      <c r="M85" s="16"/>
      <c r="N85" s="16"/>
      <c r="O85" s="16">
        <v>81.244599999999977</v>
      </c>
      <c r="P85" s="16"/>
      <c r="Q85" s="16"/>
      <c r="R85" s="16"/>
      <c r="S85" s="16"/>
      <c r="T85" s="16">
        <f t="shared" si="15"/>
        <v>35.555399999999999</v>
      </c>
      <c r="U85" s="4">
        <f>11*T85-S85-R85-Q85-O85-F85</f>
        <v>166.79079999999999</v>
      </c>
      <c r="V85" s="4">
        <f>U85+$V$1*T85</f>
        <v>174.612988</v>
      </c>
      <c r="W85" s="4"/>
      <c r="X85" s="16"/>
      <c r="Y85" s="16"/>
      <c r="Z85" s="16">
        <f t="shared" si="16"/>
        <v>11.22</v>
      </c>
      <c r="AA85" s="16">
        <f t="shared" si="17"/>
        <v>6.3089882268234927</v>
      </c>
      <c r="AB85" s="16">
        <v>38.276200000000003</v>
      </c>
      <c r="AC85" s="16">
        <v>32.9236</v>
      </c>
      <c r="AD85" s="16">
        <v>36.190600000000003</v>
      </c>
      <c r="AE85" s="16">
        <v>32.9358</v>
      </c>
      <c r="AF85" s="16">
        <v>27.771799999999999</v>
      </c>
      <c r="AG85" s="16">
        <v>31.998000000000001</v>
      </c>
      <c r="AH85" s="16">
        <v>23.875599999999999</v>
      </c>
      <c r="AI85" s="16">
        <v>20.068999999999999</v>
      </c>
      <c r="AJ85" s="16">
        <v>23.865600000000001</v>
      </c>
      <c r="AK85" s="16">
        <v>32.620199999999997</v>
      </c>
      <c r="AL85" s="16"/>
      <c r="AM85" s="16">
        <f t="shared" si="18"/>
        <v>175</v>
      </c>
      <c r="AN85" t="s">
        <v>217</v>
      </c>
    </row>
    <row r="86" spans="1:40" x14ac:dyDescent="0.25">
      <c r="A86" s="10" t="s">
        <v>218</v>
      </c>
      <c r="B86" s="10" t="s">
        <v>53</v>
      </c>
      <c r="C86" s="10"/>
      <c r="D86" s="10"/>
      <c r="E86" s="10"/>
      <c r="F86" s="10"/>
      <c r="G86" s="11">
        <v>0</v>
      </c>
      <c r="H86" s="10"/>
      <c r="I86" s="10" t="s">
        <v>46</v>
      </c>
      <c r="J86" s="10"/>
      <c r="K86" s="10"/>
      <c r="L86" s="10">
        <f t="shared" si="14"/>
        <v>0</v>
      </c>
      <c r="M86" s="10"/>
      <c r="N86" s="10"/>
      <c r="O86" s="10">
        <v>0</v>
      </c>
      <c r="P86" s="10"/>
      <c r="Q86" s="10"/>
      <c r="R86" s="10"/>
      <c r="S86" s="10"/>
      <c r="T86" s="10">
        <f t="shared" si="15"/>
        <v>0</v>
      </c>
      <c r="U86" s="12"/>
      <c r="V86" s="4">
        <f>U86</f>
        <v>0</v>
      </c>
      <c r="W86" s="4"/>
      <c r="X86" s="16"/>
      <c r="Y86" s="16"/>
      <c r="Z86" s="16" t="e">
        <f t="shared" si="16"/>
        <v>#DIV/0!</v>
      </c>
      <c r="AA86" s="10" t="e">
        <f t="shared" si="17"/>
        <v>#DIV/0!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 t="s">
        <v>54</v>
      </c>
      <c r="AM86" s="16">
        <f t="shared" si="18"/>
        <v>0</v>
      </c>
      <c r="AN86" t="s">
        <v>219</v>
      </c>
    </row>
    <row r="87" spans="1:40" x14ac:dyDescent="0.25">
      <c r="A87" s="16" t="s">
        <v>220</v>
      </c>
      <c r="B87" s="16" t="s">
        <v>45</v>
      </c>
      <c r="C87" s="16">
        <v>887.32</v>
      </c>
      <c r="D87" s="16">
        <v>1792.0940000000001</v>
      </c>
      <c r="E87" s="16">
        <v>1513.1</v>
      </c>
      <c r="F87" s="16">
        <v>936.11099999999999</v>
      </c>
      <c r="G87" s="6">
        <v>1</v>
      </c>
      <c r="H87" s="16">
        <v>60</v>
      </c>
      <c r="I87" s="16" t="s">
        <v>46</v>
      </c>
      <c r="J87" s="16"/>
      <c r="K87" s="16">
        <v>1755</v>
      </c>
      <c r="L87" s="16">
        <f t="shared" si="14"/>
        <v>-241.90000000000009</v>
      </c>
      <c r="M87" s="16"/>
      <c r="N87" s="16"/>
      <c r="O87" s="16">
        <v>585.0119734499998</v>
      </c>
      <c r="P87" s="16"/>
      <c r="Q87" s="16">
        <v>1000</v>
      </c>
      <c r="R87" s="16">
        <v>683.99447654999983</v>
      </c>
      <c r="S87" s="16"/>
      <c r="T87" s="16">
        <f t="shared" si="15"/>
        <v>302.62</v>
      </c>
      <c r="U87" s="4">
        <f>11*T87-S87-R87-Q87-O87-F87</f>
        <v>123.70255000000031</v>
      </c>
      <c r="V87" s="18"/>
      <c r="W87" s="18">
        <v>160</v>
      </c>
      <c r="X87" s="16"/>
      <c r="Y87" s="16"/>
      <c r="Z87" s="16">
        <f t="shared" si="16"/>
        <v>10.591228107858038</v>
      </c>
      <c r="AA87" s="16">
        <f t="shared" si="17"/>
        <v>10.591228107858038</v>
      </c>
      <c r="AB87" s="16">
        <v>310.3272</v>
      </c>
      <c r="AC87" s="16">
        <v>282.59039999999999</v>
      </c>
      <c r="AD87" s="16">
        <v>311.91120000000001</v>
      </c>
      <c r="AE87" s="16">
        <v>314.94979999999998</v>
      </c>
      <c r="AF87" s="16">
        <v>244.9546</v>
      </c>
      <c r="AG87" s="16">
        <v>250.4194</v>
      </c>
      <c r="AH87" s="16">
        <v>227.70859999999999</v>
      </c>
      <c r="AI87" s="16">
        <v>184.99260000000001</v>
      </c>
      <c r="AJ87" s="16">
        <v>192.30119999999999</v>
      </c>
      <c r="AK87" s="16">
        <v>242.393</v>
      </c>
      <c r="AL87" s="16"/>
      <c r="AM87" s="16">
        <f t="shared" si="18"/>
        <v>0</v>
      </c>
      <c r="AN87" t="s">
        <v>221</v>
      </c>
    </row>
    <row r="88" spans="1:40" x14ac:dyDescent="0.25">
      <c r="A88" s="16" t="s">
        <v>222</v>
      </c>
      <c r="B88" s="16" t="s">
        <v>45</v>
      </c>
      <c r="C88" s="16">
        <v>1002.107</v>
      </c>
      <c r="D88" s="16">
        <v>667.68</v>
      </c>
      <c r="E88" s="16">
        <v>1248.307</v>
      </c>
      <c r="F88" s="16">
        <v>226.19499999999999</v>
      </c>
      <c r="G88" s="6">
        <v>1</v>
      </c>
      <c r="H88" s="16">
        <v>60</v>
      </c>
      <c r="I88" s="16" t="s">
        <v>46</v>
      </c>
      <c r="J88" s="16"/>
      <c r="K88" s="16">
        <v>1427.52</v>
      </c>
      <c r="L88" s="16">
        <f t="shared" si="14"/>
        <v>-179.21299999999997</v>
      </c>
      <c r="M88" s="16"/>
      <c r="N88" s="16"/>
      <c r="O88" s="16">
        <v>368.8</v>
      </c>
      <c r="P88" s="16"/>
      <c r="Q88" s="16">
        <v>900</v>
      </c>
      <c r="R88" s="16">
        <v>250</v>
      </c>
      <c r="S88" s="16"/>
      <c r="T88" s="16">
        <f t="shared" si="15"/>
        <v>249.66140000000001</v>
      </c>
      <c r="U88" s="4">
        <f>11*T88-S88-R88-Q88-O88-F88</f>
        <v>1001.2804000000001</v>
      </c>
      <c r="V88" s="18">
        <v>700</v>
      </c>
      <c r="W88" s="18">
        <v>300</v>
      </c>
      <c r="X88" s="16"/>
      <c r="Y88" s="16"/>
      <c r="Z88" s="16">
        <f t="shared" si="16"/>
        <v>9.7932439696324689</v>
      </c>
      <c r="AA88" s="16">
        <f t="shared" si="17"/>
        <v>6.9894465063481972</v>
      </c>
      <c r="AB88" s="16">
        <v>205.2064</v>
      </c>
      <c r="AC88" s="16">
        <v>161.07499999999999</v>
      </c>
      <c r="AD88" s="16">
        <v>169.74440000000001</v>
      </c>
      <c r="AE88" s="16">
        <v>188.2424</v>
      </c>
      <c r="AF88" s="16">
        <v>175.36760000000001</v>
      </c>
      <c r="AG88" s="16">
        <v>241.06899999999999</v>
      </c>
      <c r="AH88" s="16">
        <v>210.56899999999999</v>
      </c>
      <c r="AI88" s="16">
        <v>112.8832</v>
      </c>
      <c r="AJ88" s="16">
        <v>123.03279999999999</v>
      </c>
      <c r="AK88" s="16">
        <v>190.5642</v>
      </c>
      <c r="AL88" s="16"/>
      <c r="AM88" s="16">
        <f t="shared" si="18"/>
        <v>700</v>
      </c>
      <c r="AN88" t="s">
        <v>223</v>
      </c>
    </row>
    <row r="89" spans="1:40" x14ac:dyDescent="0.25">
      <c r="A89" s="16" t="s">
        <v>224</v>
      </c>
      <c r="B89" s="16" t="s">
        <v>45</v>
      </c>
      <c r="C89" s="16">
        <v>1353.3040000000001</v>
      </c>
      <c r="D89" s="16">
        <v>2099.5360000000001</v>
      </c>
      <c r="E89" s="16">
        <v>1342.3879999999999</v>
      </c>
      <c r="F89" s="16">
        <v>1990.9369999999999</v>
      </c>
      <c r="G89" s="6">
        <v>1</v>
      </c>
      <c r="H89" s="16">
        <v>60</v>
      </c>
      <c r="I89" s="16" t="s">
        <v>46</v>
      </c>
      <c r="J89" s="16"/>
      <c r="K89" s="16">
        <v>2001.9490000000001</v>
      </c>
      <c r="L89" s="16">
        <f t="shared" si="14"/>
        <v>-659.56100000000015</v>
      </c>
      <c r="M89" s="16"/>
      <c r="N89" s="16"/>
      <c r="O89" s="16">
        <v>613.13</v>
      </c>
      <c r="P89" s="16"/>
      <c r="Q89" s="16"/>
      <c r="R89" s="16">
        <v>400</v>
      </c>
      <c r="S89" s="16"/>
      <c r="T89" s="16">
        <f t="shared" si="15"/>
        <v>268.4776</v>
      </c>
      <c r="U89" s="4"/>
      <c r="V89" s="18"/>
      <c r="W89" s="18"/>
      <c r="X89" s="16"/>
      <c r="Y89" s="16"/>
      <c r="Z89" s="16">
        <f t="shared" si="16"/>
        <v>11.189264951712918</v>
      </c>
      <c r="AA89" s="16">
        <f t="shared" si="17"/>
        <v>11.189264951712918</v>
      </c>
      <c r="AB89" s="16">
        <v>268.70100000000002</v>
      </c>
      <c r="AC89" s="16">
        <v>349.07299999999998</v>
      </c>
      <c r="AD89" s="16">
        <v>386.24540000000002</v>
      </c>
      <c r="AE89" s="16">
        <v>423.5804</v>
      </c>
      <c r="AF89" s="16">
        <v>376.52600000000001</v>
      </c>
      <c r="AG89" s="16">
        <v>336.5274</v>
      </c>
      <c r="AH89" s="16">
        <v>281.4778</v>
      </c>
      <c r="AI89" s="16">
        <v>275.24520000000001</v>
      </c>
      <c r="AJ89" s="16">
        <v>319.42960000000011</v>
      </c>
      <c r="AK89" s="16">
        <v>353.96559999999999</v>
      </c>
      <c r="AL89" s="16"/>
      <c r="AM89" s="16">
        <f t="shared" si="18"/>
        <v>0</v>
      </c>
      <c r="AN89" t="s">
        <v>225</v>
      </c>
    </row>
    <row r="90" spans="1:40" x14ac:dyDescent="0.25">
      <c r="A90" s="10" t="s">
        <v>226</v>
      </c>
      <c r="B90" s="10" t="s">
        <v>45</v>
      </c>
      <c r="C90" s="10"/>
      <c r="D90" s="10"/>
      <c r="E90" s="10"/>
      <c r="F90" s="10"/>
      <c r="G90" s="11">
        <v>0</v>
      </c>
      <c r="H90" s="10"/>
      <c r="I90" s="10" t="s">
        <v>46</v>
      </c>
      <c r="J90" s="10"/>
      <c r="K90" s="10"/>
      <c r="L90" s="10">
        <f t="shared" si="14"/>
        <v>0</v>
      </c>
      <c r="M90" s="10"/>
      <c r="N90" s="10"/>
      <c r="O90" s="10">
        <v>0</v>
      </c>
      <c r="P90" s="10"/>
      <c r="Q90" s="10"/>
      <c r="R90" s="10"/>
      <c r="S90" s="10"/>
      <c r="T90" s="10">
        <f t="shared" si="15"/>
        <v>0</v>
      </c>
      <c r="U90" s="12"/>
      <c r="V90" s="4">
        <f t="shared" ref="V90:V103" si="20">U90</f>
        <v>0</v>
      </c>
      <c r="W90" s="4"/>
      <c r="X90" s="16"/>
      <c r="Y90" s="16"/>
      <c r="Z90" s="16" t="e">
        <f t="shared" si="16"/>
        <v>#DIV/0!</v>
      </c>
      <c r="AA90" s="10" t="e">
        <f t="shared" si="17"/>
        <v>#DIV/0!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 t="s">
        <v>54</v>
      </c>
      <c r="AM90" s="16">
        <f t="shared" si="18"/>
        <v>0</v>
      </c>
      <c r="AN90" t="s">
        <v>227</v>
      </c>
    </row>
    <row r="91" spans="1:40" x14ac:dyDescent="0.25">
      <c r="A91" s="16" t="s">
        <v>228</v>
      </c>
      <c r="B91" s="16" t="s">
        <v>53</v>
      </c>
      <c r="C91" s="16">
        <v>-3</v>
      </c>
      <c r="D91" s="16"/>
      <c r="E91" s="16">
        <v>-5</v>
      </c>
      <c r="F91" s="16">
        <v>-3</v>
      </c>
      <c r="G91" s="6">
        <v>0.3</v>
      </c>
      <c r="H91" s="16">
        <v>40</v>
      </c>
      <c r="I91" s="9" t="s">
        <v>64</v>
      </c>
      <c r="J91" s="16"/>
      <c r="K91" s="16">
        <v>14</v>
      </c>
      <c r="L91" s="16">
        <f t="shared" si="14"/>
        <v>-19</v>
      </c>
      <c r="M91" s="16"/>
      <c r="N91" s="16"/>
      <c r="O91" s="16">
        <v>55</v>
      </c>
      <c r="P91" s="16">
        <v>-60</v>
      </c>
      <c r="Q91" s="16"/>
      <c r="R91" s="16"/>
      <c r="S91" s="16"/>
      <c r="T91" s="16">
        <f t="shared" si="15"/>
        <v>-1</v>
      </c>
      <c r="U91" s="4">
        <v>40</v>
      </c>
      <c r="V91" s="4">
        <f t="shared" si="20"/>
        <v>40</v>
      </c>
      <c r="W91" s="4"/>
      <c r="X91" s="16"/>
      <c r="Y91" s="16"/>
      <c r="Z91" s="16">
        <f t="shared" si="16"/>
        <v>-92</v>
      </c>
      <c r="AA91" s="16">
        <f t="shared" si="17"/>
        <v>-52</v>
      </c>
      <c r="AB91" s="16">
        <v>-0.8</v>
      </c>
      <c r="AC91" s="16">
        <v>-1.2</v>
      </c>
      <c r="AD91" s="16">
        <v>-0.4</v>
      </c>
      <c r="AE91" s="16">
        <v>10.8</v>
      </c>
      <c r="AF91" s="16">
        <v>19.399999999999999</v>
      </c>
      <c r="AG91" s="16">
        <v>20.2</v>
      </c>
      <c r="AH91" s="16">
        <v>9.8000000000000007</v>
      </c>
      <c r="AI91" s="16">
        <v>5.4</v>
      </c>
      <c r="AJ91" s="16">
        <v>12.2</v>
      </c>
      <c r="AK91" s="16">
        <v>28.4</v>
      </c>
      <c r="AL91" s="16"/>
      <c r="AM91" s="16">
        <f t="shared" si="18"/>
        <v>12</v>
      </c>
      <c r="AN91" t="s">
        <v>229</v>
      </c>
    </row>
    <row r="92" spans="1:40" x14ac:dyDescent="0.25">
      <c r="A92" s="10" t="s">
        <v>230</v>
      </c>
      <c r="B92" s="10" t="s">
        <v>53</v>
      </c>
      <c r="C92" s="10"/>
      <c r="D92" s="10"/>
      <c r="E92" s="10"/>
      <c r="F92" s="10"/>
      <c r="G92" s="11">
        <v>0</v>
      </c>
      <c r="H92" s="10"/>
      <c r="I92" s="10" t="s">
        <v>46</v>
      </c>
      <c r="J92" s="10"/>
      <c r="K92" s="10"/>
      <c r="L92" s="10">
        <f t="shared" si="14"/>
        <v>0</v>
      </c>
      <c r="M92" s="10"/>
      <c r="N92" s="10"/>
      <c r="O92" s="10">
        <v>0</v>
      </c>
      <c r="P92" s="10"/>
      <c r="Q92" s="10"/>
      <c r="R92" s="10"/>
      <c r="S92" s="10"/>
      <c r="T92" s="10">
        <f t="shared" si="15"/>
        <v>0</v>
      </c>
      <c r="U92" s="12"/>
      <c r="V92" s="4">
        <f t="shared" si="20"/>
        <v>0</v>
      </c>
      <c r="W92" s="4"/>
      <c r="X92" s="16"/>
      <c r="Y92" s="16"/>
      <c r="Z92" s="16" t="e">
        <f t="shared" si="16"/>
        <v>#DIV/0!</v>
      </c>
      <c r="AA92" s="10" t="e">
        <f t="shared" si="17"/>
        <v>#DIV/0!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 t="s">
        <v>54</v>
      </c>
      <c r="AM92" s="16">
        <f t="shared" si="18"/>
        <v>0</v>
      </c>
      <c r="AN92" t="s">
        <v>231</v>
      </c>
    </row>
    <row r="93" spans="1:40" x14ac:dyDescent="0.25">
      <c r="A93" s="16" t="s">
        <v>232</v>
      </c>
      <c r="B93" s="16" t="s">
        <v>53</v>
      </c>
      <c r="C93" s="16">
        <v>29</v>
      </c>
      <c r="D93" s="16">
        <v>54</v>
      </c>
      <c r="E93" s="16">
        <v>39</v>
      </c>
      <c r="F93" s="16">
        <v>42</v>
      </c>
      <c r="G93" s="6">
        <v>7.0000000000000007E-2</v>
      </c>
      <c r="H93" s="16">
        <v>90</v>
      </c>
      <c r="I93" s="9" t="s">
        <v>64</v>
      </c>
      <c r="J93" s="16"/>
      <c r="K93" s="16">
        <v>119</v>
      </c>
      <c r="L93" s="16">
        <f t="shared" si="14"/>
        <v>-80</v>
      </c>
      <c r="M93" s="16"/>
      <c r="N93" s="16"/>
      <c r="O93" s="16">
        <v>60</v>
      </c>
      <c r="P93" s="16">
        <v>-71.428571428571416</v>
      </c>
      <c r="Q93" s="16"/>
      <c r="R93" s="16"/>
      <c r="S93" s="16"/>
      <c r="T93" s="16">
        <f t="shared" si="15"/>
        <v>7.8</v>
      </c>
      <c r="U93" s="4">
        <v>50</v>
      </c>
      <c r="V93" s="4">
        <f t="shared" si="20"/>
        <v>50</v>
      </c>
      <c r="W93" s="4"/>
      <c r="X93" s="16"/>
      <c r="Y93" s="16"/>
      <c r="Z93" s="16">
        <f t="shared" si="16"/>
        <v>19.487179487179489</v>
      </c>
      <c r="AA93" s="16">
        <f t="shared" si="17"/>
        <v>13.076923076923077</v>
      </c>
      <c r="AB93" s="16">
        <v>10.6</v>
      </c>
      <c r="AC93" s="16">
        <v>21.2</v>
      </c>
      <c r="AD93" s="16">
        <v>22.4</v>
      </c>
      <c r="AE93" s="16">
        <v>25.6</v>
      </c>
      <c r="AF93" s="16">
        <v>25.4</v>
      </c>
      <c r="AG93" s="16">
        <v>15.4</v>
      </c>
      <c r="AH93" s="16">
        <v>12.2</v>
      </c>
      <c r="AI93" s="16">
        <v>8.4</v>
      </c>
      <c r="AJ93" s="16">
        <v>10.8</v>
      </c>
      <c r="AK93" s="16">
        <v>19.600000000000001</v>
      </c>
      <c r="AL93" s="16" t="s">
        <v>233</v>
      </c>
      <c r="AM93" s="16">
        <f t="shared" si="18"/>
        <v>4</v>
      </c>
      <c r="AN93" t="s">
        <v>234</v>
      </c>
    </row>
    <row r="94" spans="1:40" x14ac:dyDescent="0.25">
      <c r="A94" s="16" t="s">
        <v>235</v>
      </c>
      <c r="B94" s="16" t="s">
        <v>53</v>
      </c>
      <c r="C94" s="16">
        <v>19</v>
      </c>
      <c r="D94" s="16">
        <v>92</v>
      </c>
      <c r="E94" s="16">
        <v>30</v>
      </c>
      <c r="F94" s="16">
        <v>79</v>
      </c>
      <c r="G94" s="6">
        <v>7.0000000000000007E-2</v>
      </c>
      <c r="H94" s="16">
        <v>90</v>
      </c>
      <c r="I94" s="9" t="s">
        <v>64</v>
      </c>
      <c r="J94" s="16"/>
      <c r="K94" s="16">
        <v>153</v>
      </c>
      <c r="L94" s="16">
        <f t="shared" si="14"/>
        <v>-123</v>
      </c>
      <c r="M94" s="16"/>
      <c r="N94" s="16"/>
      <c r="O94" s="16">
        <v>70</v>
      </c>
      <c r="P94" s="16"/>
      <c r="Q94" s="16"/>
      <c r="R94" s="16"/>
      <c r="S94" s="16"/>
      <c r="T94" s="16">
        <f t="shared" si="15"/>
        <v>6</v>
      </c>
      <c r="U94" s="4">
        <v>30</v>
      </c>
      <c r="V94" s="4">
        <f t="shared" si="20"/>
        <v>30</v>
      </c>
      <c r="W94" s="4"/>
      <c r="X94" s="16"/>
      <c r="Y94" s="16"/>
      <c r="Z94" s="16">
        <f t="shared" si="16"/>
        <v>29.833333333333332</v>
      </c>
      <c r="AA94" s="16">
        <f t="shared" si="17"/>
        <v>24.833333333333332</v>
      </c>
      <c r="AB94" s="16">
        <v>1.4</v>
      </c>
      <c r="AC94" s="16">
        <v>12.6</v>
      </c>
      <c r="AD94" s="16">
        <v>13.6</v>
      </c>
      <c r="AE94" s="16">
        <v>1.6</v>
      </c>
      <c r="AF94" s="16">
        <v>0.4</v>
      </c>
      <c r="AG94" s="16">
        <v>9.8000000000000007</v>
      </c>
      <c r="AH94" s="16">
        <v>13.8</v>
      </c>
      <c r="AI94" s="16">
        <v>17.8</v>
      </c>
      <c r="AJ94" s="16">
        <v>18.8</v>
      </c>
      <c r="AK94" s="16">
        <v>16.399999999999999</v>
      </c>
      <c r="AL94" s="16" t="s">
        <v>233</v>
      </c>
      <c r="AM94" s="16">
        <f t="shared" si="18"/>
        <v>2</v>
      </c>
      <c r="AN94" t="s">
        <v>236</v>
      </c>
    </row>
    <row r="95" spans="1:40" x14ac:dyDescent="0.25">
      <c r="A95" s="16" t="s">
        <v>237</v>
      </c>
      <c r="B95" s="16" t="s">
        <v>53</v>
      </c>
      <c r="C95" s="16">
        <v>68</v>
      </c>
      <c r="D95" s="16">
        <v>127</v>
      </c>
      <c r="E95" s="16">
        <v>99</v>
      </c>
      <c r="F95" s="16">
        <v>88</v>
      </c>
      <c r="G95" s="6">
        <v>7.0000000000000007E-2</v>
      </c>
      <c r="H95" s="16">
        <v>90</v>
      </c>
      <c r="I95" s="9" t="s">
        <v>64</v>
      </c>
      <c r="J95" s="16"/>
      <c r="K95" s="16">
        <v>116</v>
      </c>
      <c r="L95" s="16">
        <f t="shared" si="14"/>
        <v>-17</v>
      </c>
      <c r="M95" s="16"/>
      <c r="N95" s="16"/>
      <c r="O95" s="16">
        <v>100</v>
      </c>
      <c r="P95" s="16"/>
      <c r="Q95" s="16"/>
      <c r="R95" s="16"/>
      <c r="S95" s="16"/>
      <c r="T95" s="16">
        <f t="shared" si="15"/>
        <v>19.8</v>
      </c>
      <c r="U95" s="4">
        <f>11*T95-S95-R95-Q95-O95-F95</f>
        <v>29.800000000000011</v>
      </c>
      <c r="V95" s="4">
        <f t="shared" si="20"/>
        <v>29.800000000000011</v>
      </c>
      <c r="W95" s="4"/>
      <c r="X95" s="16"/>
      <c r="Y95" s="16"/>
      <c r="Z95" s="16">
        <f t="shared" si="16"/>
        <v>11</v>
      </c>
      <c r="AA95" s="16">
        <f t="shared" si="17"/>
        <v>9.4949494949494948</v>
      </c>
      <c r="AB95" s="16">
        <v>22</v>
      </c>
      <c r="AC95" s="16">
        <v>17.399999999999999</v>
      </c>
      <c r="AD95" s="16">
        <v>16.8</v>
      </c>
      <c r="AE95" s="16">
        <v>24.6</v>
      </c>
      <c r="AF95" s="16">
        <v>23.6</v>
      </c>
      <c r="AG95" s="16">
        <v>12.4</v>
      </c>
      <c r="AH95" s="16">
        <v>7.2</v>
      </c>
      <c r="AI95" s="16">
        <v>6.8</v>
      </c>
      <c r="AJ95" s="16">
        <v>10</v>
      </c>
      <c r="AK95" s="16">
        <v>18.399999999999999</v>
      </c>
      <c r="AL95" s="16" t="s">
        <v>233</v>
      </c>
      <c r="AM95" s="16">
        <f t="shared" si="18"/>
        <v>2</v>
      </c>
      <c r="AN95" t="s">
        <v>238</v>
      </c>
    </row>
    <row r="96" spans="1:40" x14ac:dyDescent="0.25">
      <c r="A96" s="10" t="s">
        <v>239</v>
      </c>
      <c r="B96" s="10" t="s">
        <v>53</v>
      </c>
      <c r="C96" s="10">
        <v>1</v>
      </c>
      <c r="D96" s="10"/>
      <c r="E96" s="10"/>
      <c r="F96" s="10">
        <v>1</v>
      </c>
      <c r="G96" s="11">
        <v>0</v>
      </c>
      <c r="H96" s="10">
        <v>90</v>
      </c>
      <c r="I96" s="10" t="s">
        <v>125</v>
      </c>
      <c r="J96" s="10"/>
      <c r="K96" s="10">
        <v>28</v>
      </c>
      <c r="L96" s="10">
        <f t="shared" si="14"/>
        <v>-28</v>
      </c>
      <c r="M96" s="10"/>
      <c r="N96" s="10"/>
      <c r="O96" s="10">
        <v>0</v>
      </c>
      <c r="P96" s="10"/>
      <c r="Q96" s="10"/>
      <c r="R96" s="10"/>
      <c r="S96" s="10"/>
      <c r="T96" s="10">
        <f t="shared" si="15"/>
        <v>0</v>
      </c>
      <c r="U96" s="12"/>
      <c r="V96" s="4">
        <f t="shared" si="20"/>
        <v>0</v>
      </c>
      <c r="W96" s="4"/>
      <c r="X96" s="16"/>
      <c r="Y96" s="16"/>
      <c r="Z96" s="16" t="e">
        <f t="shared" si="16"/>
        <v>#DIV/0!</v>
      </c>
      <c r="AA96" s="10" t="e">
        <f t="shared" si="17"/>
        <v>#DIV/0!</v>
      </c>
      <c r="AB96" s="10">
        <v>0.2</v>
      </c>
      <c r="AC96" s="10">
        <v>1.4</v>
      </c>
      <c r="AD96" s="10">
        <v>3.8</v>
      </c>
      <c r="AE96" s="10">
        <v>10</v>
      </c>
      <c r="AF96" s="10">
        <v>11.2</v>
      </c>
      <c r="AG96" s="10">
        <v>9.8000000000000007</v>
      </c>
      <c r="AH96" s="10">
        <v>9</v>
      </c>
      <c r="AI96" s="10">
        <v>7.4</v>
      </c>
      <c r="AJ96" s="10">
        <v>7.4</v>
      </c>
      <c r="AK96" s="10">
        <v>8.6</v>
      </c>
      <c r="AL96" s="10"/>
      <c r="AM96" s="16">
        <f t="shared" si="18"/>
        <v>0</v>
      </c>
      <c r="AN96" t="s">
        <v>240</v>
      </c>
    </row>
    <row r="97" spans="1:40" x14ac:dyDescent="0.25">
      <c r="A97" s="16" t="s">
        <v>241</v>
      </c>
      <c r="B97" s="16" t="s">
        <v>53</v>
      </c>
      <c r="C97" s="16"/>
      <c r="D97" s="16"/>
      <c r="E97" s="16"/>
      <c r="F97" s="16"/>
      <c r="G97" s="6">
        <v>0.3</v>
      </c>
      <c r="H97" s="16"/>
      <c r="I97" s="16" t="s">
        <v>46</v>
      </c>
      <c r="J97" s="16"/>
      <c r="K97" s="16"/>
      <c r="L97" s="16">
        <f t="shared" si="14"/>
        <v>0</v>
      </c>
      <c r="M97" s="16"/>
      <c r="N97" s="16"/>
      <c r="O97" s="16">
        <v>80</v>
      </c>
      <c r="P97" s="16"/>
      <c r="Q97" s="16"/>
      <c r="R97" s="16"/>
      <c r="S97" s="16"/>
      <c r="T97" s="16">
        <f t="shared" si="15"/>
        <v>0</v>
      </c>
      <c r="U97" s="4"/>
      <c r="V97" s="4">
        <f t="shared" si="20"/>
        <v>0</v>
      </c>
      <c r="W97" s="4"/>
      <c r="X97" s="16"/>
      <c r="Y97" s="16"/>
      <c r="Z97" s="16" t="e">
        <f t="shared" si="16"/>
        <v>#DIV/0!</v>
      </c>
      <c r="AA97" s="16" t="e">
        <f t="shared" si="17"/>
        <v>#DIV/0!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 t="s">
        <v>197</v>
      </c>
      <c r="AM97" s="16">
        <f t="shared" si="18"/>
        <v>0</v>
      </c>
      <c r="AN97" t="s">
        <v>242</v>
      </c>
    </row>
    <row r="98" spans="1:40" x14ac:dyDescent="0.25">
      <c r="A98" s="16" t="s">
        <v>243</v>
      </c>
      <c r="B98" s="16" t="s">
        <v>45</v>
      </c>
      <c r="C98" s="16">
        <v>14.276999999999999</v>
      </c>
      <c r="D98" s="16"/>
      <c r="E98" s="16">
        <v>1.0209999999999999</v>
      </c>
      <c r="F98" s="16">
        <v>12.237</v>
      </c>
      <c r="G98" s="6">
        <v>1</v>
      </c>
      <c r="H98" s="16">
        <v>55</v>
      </c>
      <c r="I98" s="9" t="s">
        <v>64</v>
      </c>
      <c r="J98" s="16"/>
      <c r="K98" s="16">
        <v>2.6</v>
      </c>
      <c r="L98" s="16">
        <f t="shared" si="14"/>
        <v>-1.5790000000000002</v>
      </c>
      <c r="M98" s="16"/>
      <c r="N98" s="16"/>
      <c r="O98" s="16">
        <v>0</v>
      </c>
      <c r="P98" s="16"/>
      <c r="Q98" s="16"/>
      <c r="R98" s="16"/>
      <c r="S98" s="16"/>
      <c r="T98" s="16">
        <f t="shared" si="15"/>
        <v>0.20419999999999999</v>
      </c>
      <c r="U98" s="4"/>
      <c r="V98" s="4">
        <f t="shared" si="20"/>
        <v>0</v>
      </c>
      <c r="W98" s="4"/>
      <c r="X98" s="16"/>
      <c r="Y98" s="16"/>
      <c r="Z98" s="16">
        <f t="shared" si="16"/>
        <v>59.926542605288937</v>
      </c>
      <c r="AA98" s="16">
        <f t="shared" si="17"/>
        <v>59.926542605288937</v>
      </c>
      <c r="AB98" s="16">
        <v>0.2034</v>
      </c>
      <c r="AC98" s="16">
        <v>0.40780000000000011</v>
      </c>
      <c r="AD98" s="16">
        <v>-0.11600000000000001</v>
      </c>
      <c r="AE98" s="16">
        <v>-0.64339999999999997</v>
      </c>
      <c r="AF98" s="16">
        <v>-0.32300000000000001</v>
      </c>
      <c r="AG98" s="16">
        <v>0</v>
      </c>
      <c r="AH98" s="16">
        <v>2.1076000000000001</v>
      </c>
      <c r="AI98" s="16">
        <v>1.9372</v>
      </c>
      <c r="AJ98" s="16">
        <v>2.2138</v>
      </c>
      <c r="AK98" s="16">
        <v>4.1204000000000001</v>
      </c>
      <c r="AL98" s="15" t="s">
        <v>244</v>
      </c>
      <c r="AM98" s="16">
        <f t="shared" si="18"/>
        <v>0</v>
      </c>
      <c r="AN98" t="s">
        <v>245</v>
      </c>
    </row>
    <row r="99" spans="1:40" x14ac:dyDescent="0.25">
      <c r="A99" s="16" t="s">
        <v>246</v>
      </c>
      <c r="B99" s="16" t="s">
        <v>53</v>
      </c>
      <c r="C99" s="16">
        <v>51</v>
      </c>
      <c r="D99" s="16">
        <v>80</v>
      </c>
      <c r="E99" s="16">
        <v>16</v>
      </c>
      <c r="F99" s="16">
        <v>113</v>
      </c>
      <c r="G99" s="6">
        <v>0.11</v>
      </c>
      <c r="H99" s="16">
        <v>30</v>
      </c>
      <c r="I99" s="16" t="s">
        <v>46</v>
      </c>
      <c r="J99" s="16"/>
      <c r="K99" s="16">
        <v>108</v>
      </c>
      <c r="L99" s="16">
        <f t="shared" si="14"/>
        <v>-92</v>
      </c>
      <c r="M99" s="16"/>
      <c r="N99" s="16"/>
      <c r="O99" s="16">
        <v>0</v>
      </c>
      <c r="P99" s="16"/>
      <c r="Q99" s="16"/>
      <c r="R99" s="16"/>
      <c r="S99" s="16"/>
      <c r="T99" s="16">
        <f t="shared" si="15"/>
        <v>3.2</v>
      </c>
      <c r="U99" s="4"/>
      <c r="V99" s="4">
        <f t="shared" si="20"/>
        <v>0</v>
      </c>
      <c r="W99" s="4"/>
      <c r="X99" s="16"/>
      <c r="Y99" s="16"/>
      <c r="Z99" s="16">
        <f t="shared" si="16"/>
        <v>35.3125</v>
      </c>
      <c r="AA99" s="16">
        <f t="shared" si="17"/>
        <v>35.3125</v>
      </c>
      <c r="AB99" s="16">
        <v>3.6</v>
      </c>
      <c r="AC99" s="16">
        <v>0.4</v>
      </c>
      <c r="AD99" s="16">
        <v>1.6</v>
      </c>
      <c r="AE99" s="16">
        <v>11.4</v>
      </c>
      <c r="AF99" s="16">
        <v>0</v>
      </c>
      <c r="AG99" s="16">
        <v>0</v>
      </c>
      <c r="AH99" s="16">
        <v>0</v>
      </c>
      <c r="AI99" s="16">
        <v>0</v>
      </c>
      <c r="AJ99" s="16">
        <v>3.2</v>
      </c>
      <c r="AK99" s="16">
        <v>3.2</v>
      </c>
      <c r="AL99" s="15" t="s">
        <v>247</v>
      </c>
      <c r="AM99" s="16">
        <f t="shared" si="18"/>
        <v>0</v>
      </c>
      <c r="AN99" t="s">
        <v>248</v>
      </c>
    </row>
    <row r="100" spans="1:40" x14ac:dyDescent="0.25">
      <c r="A100" s="10" t="s">
        <v>249</v>
      </c>
      <c r="B100" s="10" t="s">
        <v>53</v>
      </c>
      <c r="C100" s="10"/>
      <c r="D100" s="10"/>
      <c r="E100" s="10"/>
      <c r="F100" s="10"/>
      <c r="G100" s="11">
        <v>0</v>
      </c>
      <c r="H100" s="10"/>
      <c r="I100" s="10" t="s">
        <v>46</v>
      </c>
      <c r="J100" s="10"/>
      <c r="K100" s="10"/>
      <c r="L100" s="10">
        <f t="shared" si="14"/>
        <v>0</v>
      </c>
      <c r="M100" s="10"/>
      <c r="N100" s="10"/>
      <c r="O100" s="10">
        <v>0</v>
      </c>
      <c r="P100" s="10"/>
      <c r="Q100" s="10"/>
      <c r="R100" s="10"/>
      <c r="S100" s="10"/>
      <c r="T100" s="10">
        <f t="shared" si="15"/>
        <v>0</v>
      </c>
      <c r="U100" s="12"/>
      <c r="V100" s="4">
        <f t="shared" si="20"/>
        <v>0</v>
      </c>
      <c r="W100" s="4"/>
      <c r="X100" s="16"/>
      <c r="Y100" s="16"/>
      <c r="Z100" s="16" t="e">
        <f t="shared" si="16"/>
        <v>#DIV/0!</v>
      </c>
      <c r="AA100" s="10" t="e">
        <f t="shared" si="17"/>
        <v>#DIV/0!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 t="s">
        <v>54</v>
      </c>
      <c r="AM100" s="16">
        <f t="shared" si="18"/>
        <v>0</v>
      </c>
      <c r="AN100" t="s">
        <v>250</v>
      </c>
    </row>
    <row r="101" spans="1:40" x14ac:dyDescent="0.25">
      <c r="A101" s="16" t="s">
        <v>251</v>
      </c>
      <c r="B101" s="16" t="s">
        <v>53</v>
      </c>
      <c r="C101" s="16">
        <v>94</v>
      </c>
      <c r="D101" s="16">
        <v>132</v>
      </c>
      <c r="E101" s="16">
        <v>112</v>
      </c>
      <c r="F101" s="16">
        <v>93</v>
      </c>
      <c r="G101" s="6">
        <v>0.08</v>
      </c>
      <c r="H101" s="16">
        <v>45</v>
      </c>
      <c r="I101" s="16" t="s">
        <v>46</v>
      </c>
      <c r="J101" s="16"/>
      <c r="K101" s="16">
        <v>136</v>
      </c>
      <c r="L101" s="16">
        <f t="shared" si="14"/>
        <v>-24</v>
      </c>
      <c r="M101" s="16"/>
      <c r="N101" s="16"/>
      <c r="O101" s="16">
        <v>48</v>
      </c>
      <c r="P101" s="16"/>
      <c r="Q101" s="16"/>
      <c r="R101" s="16"/>
      <c r="S101" s="16"/>
      <c r="T101" s="16">
        <f t="shared" si="15"/>
        <v>22.4</v>
      </c>
      <c r="U101" s="4">
        <f>11*T101-S101-R101-Q101-O101-F101</f>
        <v>105.39999999999998</v>
      </c>
      <c r="V101" s="4">
        <f t="shared" si="20"/>
        <v>105.39999999999998</v>
      </c>
      <c r="W101" s="4"/>
      <c r="X101" s="16"/>
      <c r="Y101" s="16"/>
      <c r="Z101" s="16">
        <f t="shared" si="16"/>
        <v>11</v>
      </c>
      <c r="AA101" s="16">
        <f t="shared" si="17"/>
        <v>6.2946428571428577</v>
      </c>
      <c r="AB101" s="16">
        <v>19.399999999999999</v>
      </c>
      <c r="AC101" s="16">
        <v>14.4</v>
      </c>
      <c r="AD101" s="16">
        <v>21.6</v>
      </c>
      <c r="AE101" s="16">
        <v>26.2</v>
      </c>
      <c r="AF101" s="16">
        <v>19.600000000000001</v>
      </c>
      <c r="AG101" s="16">
        <v>16.399999999999999</v>
      </c>
      <c r="AH101" s="16">
        <v>14.8</v>
      </c>
      <c r="AI101" s="16">
        <v>14</v>
      </c>
      <c r="AJ101" s="16">
        <v>17.399999999999999</v>
      </c>
      <c r="AK101" s="16">
        <v>23</v>
      </c>
      <c r="AL101" s="16" t="s">
        <v>252</v>
      </c>
      <c r="AM101" s="16">
        <f t="shared" si="18"/>
        <v>8</v>
      </c>
      <c r="AN101" t="s">
        <v>253</v>
      </c>
    </row>
    <row r="102" spans="1:40" x14ac:dyDescent="0.25">
      <c r="A102" s="16" t="s">
        <v>254</v>
      </c>
      <c r="B102" s="16" t="s">
        <v>53</v>
      </c>
      <c r="C102" s="16">
        <v>111</v>
      </c>
      <c r="D102" s="16">
        <v>44</v>
      </c>
      <c r="E102" s="16">
        <v>90</v>
      </c>
      <c r="F102" s="16">
        <v>51</v>
      </c>
      <c r="G102" s="6">
        <v>0.08</v>
      </c>
      <c r="H102" s="16">
        <v>45</v>
      </c>
      <c r="I102" s="16" t="s">
        <v>46</v>
      </c>
      <c r="J102" s="16"/>
      <c r="K102" s="16">
        <v>112</v>
      </c>
      <c r="L102" s="16">
        <f t="shared" ref="L102:L130" si="21">E102-K102</f>
        <v>-22</v>
      </c>
      <c r="M102" s="16"/>
      <c r="N102" s="16"/>
      <c r="O102" s="16">
        <v>50</v>
      </c>
      <c r="P102" s="16"/>
      <c r="Q102" s="16"/>
      <c r="R102" s="16"/>
      <c r="S102" s="16"/>
      <c r="T102" s="16">
        <f t="shared" ref="T102:T130" si="22">E102/5</f>
        <v>18</v>
      </c>
      <c r="U102" s="4">
        <f>11*T102-S102-R102-Q102-O102-F102</f>
        <v>97</v>
      </c>
      <c r="V102" s="4">
        <f t="shared" si="20"/>
        <v>97</v>
      </c>
      <c r="W102" s="4"/>
      <c r="X102" s="16"/>
      <c r="Y102" s="16"/>
      <c r="Z102" s="16">
        <f t="shared" ref="Z102:Z130" si="23">(F102+O102+Q102+R102+S102+V102)/T102</f>
        <v>11</v>
      </c>
      <c r="AA102" s="16">
        <f t="shared" ref="AA102:AA130" si="24">(F102+O102+Q102+R102+S102)/T102</f>
        <v>5.6111111111111107</v>
      </c>
      <c r="AB102" s="16">
        <v>15.6</v>
      </c>
      <c r="AC102" s="16">
        <v>11.6</v>
      </c>
      <c r="AD102" s="16">
        <v>11.6</v>
      </c>
      <c r="AE102" s="16">
        <v>16.600000000000001</v>
      </c>
      <c r="AF102" s="16">
        <v>15.2</v>
      </c>
      <c r="AG102" s="16">
        <v>10.199999999999999</v>
      </c>
      <c r="AH102" s="16">
        <v>18.2</v>
      </c>
      <c r="AI102" s="16">
        <v>15.6</v>
      </c>
      <c r="AJ102" s="16">
        <v>12</v>
      </c>
      <c r="AK102" s="16">
        <v>14</v>
      </c>
      <c r="AL102" s="16" t="s">
        <v>252</v>
      </c>
      <c r="AM102" s="16">
        <f t="shared" ref="AM102:AM130" si="25">ROUND(G102*V102,0)</f>
        <v>8</v>
      </c>
      <c r="AN102" t="s">
        <v>255</v>
      </c>
    </row>
    <row r="103" spans="1:40" x14ac:dyDescent="0.25">
      <c r="A103" s="16" t="s">
        <v>256</v>
      </c>
      <c r="B103" s="16" t="s">
        <v>53</v>
      </c>
      <c r="C103" s="16">
        <v>70</v>
      </c>
      <c r="D103" s="16"/>
      <c r="E103" s="16">
        <v>7</v>
      </c>
      <c r="F103" s="16">
        <v>63</v>
      </c>
      <c r="G103" s="6">
        <v>0.17</v>
      </c>
      <c r="H103" s="16">
        <v>30</v>
      </c>
      <c r="I103" s="16" t="s">
        <v>46</v>
      </c>
      <c r="J103" s="16"/>
      <c r="K103" s="16">
        <v>49</v>
      </c>
      <c r="L103" s="16">
        <f t="shared" si="21"/>
        <v>-42</v>
      </c>
      <c r="M103" s="16"/>
      <c r="N103" s="16"/>
      <c r="O103" s="16">
        <v>0</v>
      </c>
      <c r="P103" s="16"/>
      <c r="Q103" s="16"/>
      <c r="R103" s="16"/>
      <c r="S103" s="16"/>
      <c r="T103" s="16">
        <f t="shared" si="22"/>
        <v>1.4</v>
      </c>
      <c r="U103" s="4"/>
      <c r="V103" s="4">
        <f t="shared" si="20"/>
        <v>0</v>
      </c>
      <c r="W103" s="4"/>
      <c r="X103" s="16"/>
      <c r="Y103" s="16"/>
      <c r="Z103" s="16">
        <f t="shared" si="23"/>
        <v>45</v>
      </c>
      <c r="AA103" s="16">
        <f t="shared" si="24"/>
        <v>45</v>
      </c>
      <c r="AB103" s="16">
        <v>1.2</v>
      </c>
      <c r="AC103" s="16">
        <v>0.4</v>
      </c>
      <c r="AD103" s="16">
        <v>3.6</v>
      </c>
      <c r="AE103" s="16">
        <v>3.4</v>
      </c>
      <c r="AF103" s="16">
        <v>0</v>
      </c>
      <c r="AG103" s="16">
        <v>0</v>
      </c>
      <c r="AH103" s="16">
        <v>0</v>
      </c>
      <c r="AI103" s="16">
        <v>0.4</v>
      </c>
      <c r="AJ103" s="16">
        <v>0.8</v>
      </c>
      <c r="AK103" s="16">
        <v>0.4</v>
      </c>
      <c r="AL103" s="15" t="s">
        <v>257</v>
      </c>
      <c r="AM103" s="16">
        <f t="shared" si="25"/>
        <v>0</v>
      </c>
      <c r="AN103" t="s">
        <v>258</v>
      </c>
    </row>
    <row r="104" spans="1:40" x14ac:dyDescent="0.25">
      <c r="A104" s="16" t="s">
        <v>259</v>
      </c>
      <c r="B104" s="16" t="s">
        <v>45</v>
      </c>
      <c r="C104" s="16">
        <v>-37.613</v>
      </c>
      <c r="D104" s="16">
        <v>72.566999999999993</v>
      </c>
      <c r="E104" s="16">
        <v>37.179000000000002</v>
      </c>
      <c r="F104" s="16">
        <v>7.1829999999999998</v>
      </c>
      <c r="G104" s="6">
        <v>1</v>
      </c>
      <c r="H104" s="16">
        <v>40</v>
      </c>
      <c r="I104" s="9" t="s">
        <v>64</v>
      </c>
      <c r="J104" s="16"/>
      <c r="K104" s="16">
        <v>50.6</v>
      </c>
      <c r="L104" s="16">
        <f t="shared" si="21"/>
        <v>-13.420999999999999</v>
      </c>
      <c r="M104" s="16"/>
      <c r="N104" s="16"/>
      <c r="O104" s="16">
        <v>60</v>
      </c>
      <c r="P104" s="16"/>
      <c r="Q104" s="16"/>
      <c r="R104" s="16"/>
      <c r="S104" s="16"/>
      <c r="T104" s="16">
        <f t="shared" si="22"/>
        <v>7.4358000000000004</v>
      </c>
      <c r="U104" s="4">
        <v>40</v>
      </c>
      <c r="V104" s="4">
        <v>100</v>
      </c>
      <c r="W104" s="4"/>
      <c r="X104" s="16" t="str">
        <f>VLOOKUP(A104,[1]Sheet!$A:$V,21,0)</f>
        <v>150КГ</v>
      </c>
      <c r="Y104" s="16" t="str">
        <f>VLOOKUP(A104,[1]Sheet!$A:$V,22,0)</f>
        <v>Промо жц</v>
      </c>
      <c r="Z104" s="16">
        <f t="shared" si="23"/>
        <v>22.483525646198121</v>
      </c>
      <c r="AA104" s="16">
        <f t="shared" si="24"/>
        <v>9.0350735630328938</v>
      </c>
      <c r="AB104" s="16">
        <v>1.85</v>
      </c>
      <c r="AC104" s="16">
        <v>1.1499999999999999</v>
      </c>
      <c r="AD104" s="16">
        <v>11.496</v>
      </c>
      <c r="AE104" s="16">
        <v>18.886600000000001</v>
      </c>
      <c r="AF104" s="16">
        <v>18.115600000000001</v>
      </c>
      <c r="AG104" s="16">
        <v>24.947399999999998</v>
      </c>
      <c r="AH104" s="16">
        <v>22.3066</v>
      </c>
      <c r="AI104" s="16">
        <v>15.290800000000001</v>
      </c>
      <c r="AJ104" s="16">
        <v>20.459199999999999</v>
      </c>
      <c r="AK104" s="16">
        <v>22.341999999999999</v>
      </c>
      <c r="AL104" s="16"/>
      <c r="AM104" s="16">
        <f t="shared" si="25"/>
        <v>100</v>
      </c>
      <c r="AN104" t="s">
        <v>260</v>
      </c>
    </row>
    <row r="105" spans="1:40" x14ac:dyDescent="0.25">
      <c r="A105" s="16" t="s">
        <v>261</v>
      </c>
      <c r="B105" s="16" t="s">
        <v>45</v>
      </c>
      <c r="C105" s="16">
        <v>3.0009999999999999</v>
      </c>
      <c r="D105" s="16">
        <v>84.167000000000002</v>
      </c>
      <c r="E105" s="16">
        <v>44.923999999999999</v>
      </c>
      <c r="F105" s="16">
        <v>38.671999999999997</v>
      </c>
      <c r="G105" s="6">
        <v>1</v>
      </c>
      <c r="H105" s="16">
        <v>40</v>
      </c>
      <c r="I105" s="9" t="s">
        <v>64</v>
      </c>
      <c r="J105" s="16"/>
      <c r="K105" s="16">
        <v>55.8</v>
      </c>
      <c r="L105" s="16">
        <f t="shared" si="21"/>
        <v>-10.875999999999998</v>
      </c>
      <c r="M105" s="16"/>
      <c r="N105" s="16"/>
      <c r="O105" s="16">
        <v>70</v>
      </c>
      <c r="P105" s="16">
        <v>-70</v>
      </c>
      <c r="Q105" s="16"/>
      <c r="R105" s="16"/>
      <c r="S105" s="16"/>
      <c r="T105" s="16">
        <f t="shared" si="22"/>
        <v>8.9847999999999999</v>
      </c>
      <c r="U105" s="4">
        <v>40</v>
      </c>
      <c r="V105" s="4">
        <v>100</v>
      </c>
      <c r="W105" s="4"/>
      <c r="X105" s="16" t="str">
        <f>VLOOKUP(A105,[1]Sheet!$A:$V,21,0)</f>
        <v>150КГ</v>
      </c>
      <c r="Y105" s="16" t="str">
        <f>VLOOKUP(A105,[1]Sheet!$A:$V,22,0)</f>
        <v>Промо жц</v>
      </c>
      <c r="Z105" s="16">
        <f t="shared" si="23"/>
        <v>23.225002225981658</v>
      </c>
      <c r="AA105" s="16">
        <f t="shared" si="24"/>
        <v>12.095093936425963</v>
      </c>
      <c r="AB105" s="16">
        <v>1.7248000000000001</v>
      </c>
      <c r="AC105" s="16">
        <v>5.3618000000000006</v>
      </c>
      <c r="AD105" s="16">
        <v>15.671200000000001</v>
      </c>
      <c r="AE105" s="16">
        <v>16.325800000000001</v>
      </c>
      <c r="AF105" s="16">
        <v>12.1866</v>
      </c>
      <c r="AG105" s="16">
        <v>20.2988</v>
      </c>
      <c r="AH105" s="16">
        <v>19.150400000000001</v>
      </c>
      <c r="AI105" s="16">
        <v>10.0184</v>
      </c>
      <c r="AJ105" s="16">
        <v>10.5992</v>
      </c>
      <c r="AK105" s="16">
        <v>15.360799999999999</v>
      </c>
      <c r="AL105" s="16"/>
      <c r="AM105" s="16">
        <f t="shared" si="25"/>
        <v>100</v>
      </c>
      <c r="AN105" t="s">
        <v>262</v>
      </c>
    </row>
    <row r="106" spans="1:40" x14ac:dyDescent="0.25">
      <c r="A106" s="16" t="s">
        <v>263</v>
      </c>
      <c r="B106" s="16" t="s">
        <v>45</v>
      </c>
      <c r="C106" s="16">
        <v>8.9009999999999998</v>
      </c>
      <c r="D106" s="16"/>
      <c r="E106" s="16">
        <v>14.801</v>
      </c>
      <c r="F106" s="16">
        <v>0.46800000000000003</v>
      </c>
      <c r="G106" s="6">
        <v>1</v>
      </c>
      <c r="H106" s="16">
        <v>40</v>
      </c>
      <c r="I106" s="9" t="s">
        <v>64</v>
      </c>
      <c r="J106" s="16"/>
      <c r="K106" s="16">
        <v>79.3</v>
      </c>
      <c r="L106" s="16">
        <f t="shared" si="21"/>
        <v>-64.498999999999995</v>
      </c>
      <c r="M106" s="16"/>
      <c r="N106" s="16"/>
      <c r="O106" s="16">
        <v>70</v>
      </c>
      <c r="P106" s="16">
        <v>-70</v>
      </c>
      <c r="Q106" s="16"/>
      <c r="R106" s="16"/>
      <c r="S106" s="16"/>
      <c r="T106" s="16">
        <f t="shared" si="22"/>
        <v>2.9601999999999999</v>
      </c>
      <c r="U106" s="4">
        <v>50</v>
      </c>
      <c r="V106" s="4">
        <v>100</v>
      </c>
      <c r="W106" s="4"/>
      <c r="X106" s="16" t="str">
        <f>VLOOKUP(A106,[1]Sheet!$A:$V,21,0)</f>
        <v>150КГ</v>
      </c>
      <c r="Y106" s="16" t="str">
        <f>VLOOKUP(A106,[1]Sheet!$A:$V,22,0)</f>
        <v>Промо жц</v>
      </c>
      <c r="Z106" s="16">
        <f t="shared" si="23"/>
        <v>57.586649550706042</v>
      </c>
      <c r="AA106" s="16">
        <f t="shared" si="24"/>
        <v>23.805148300790488</v>
      </c>
      <c r="AB106" s="16">
        <v>5.3917999999999999</v>
      </c>
      <c r="AC106" s="16">
        <v>4.0991999999999997</v>
      </c>
      <c r="AD106" s="16">
        <v>11.083399999999999</v>
      </c>
      <c r="AE106" s="16">
        <v>18.302600000000002</v>
      </c>
      <c r="AF106" s="16">
        <v>15.167199999999999</v>
      </c>
      <c r="AG106" s="16">
        <v>24.976800000000001</v>
      </c>
      <c r="AH106" s="16">
        <v>27.531199999999998</v>
      </c>
      <c r="AI106" s="16">
        <v>20.959199999999999</v>
      </c>
      <c r="AJ106" s="16">
        <v>21.774000000000001</v>
      </c>
      <c r="AK106" s="16">
        <v>25.6434</v>
      </c>
      <c r="AL106" s="16"/>
      <c r="AM106" s="16">
        <f t="shared" si="25"/>
        <v>100</v>
      </c>
      <c r="AN106" t="s">
        <v>264</v>
      </c>
    </row>
    <row r="107" spans="1:40" x14ac:dyDescent="0.25">
      <c r="A107" s="10" t="s">
        <v>265</v>
      </c>
      <c r="B107" s="10" t="s">
        <v>53</v>
      </c>
      <c r="C107" s="10"/>
      <c r="D107" s="10"/>
      <c r="E107" s="10"/>
      <c r="F107" s="10"/>
      <c r="G107" s="11">
        <v>0</v>
      </c>
      <c r="H107" s="10"/>
      <c r="I107" s="10" t="s">
        <v>46</v>
      </c>
      <c r="J107" s="10"/>
      <c r="K107" s="10"/>
      <c r="L107" s="10">
        <f t="shared" si="21"/>
        <v>0</v>
      </c>
      <c r="M107" s="10"/>
      <c r="N107" s="10"/>
      <c r="O107" s="10">
        <v>0</v>
      </c>
      <c r="P107" s="10"/>
      <c r="Q107" s="10"/>
      <c r="R107" s="10"/>
      <c r="S107" s="10"/>
      <c r="T107" s="10">
        <f t="shared" si="22"/>
        <v>0</v>
      </c>
      <c r="U107" s="12"/>
      <c r="V107" s="4">
        <f>U107</f>
        <v>0</v>
      </c>
      <c r="W107" s="4"/>
      <c r="X107" s="16"/>
      <c r="Y107" s="16"/>
      <c r="Z107" s="16" t="e">
        <f t="shared" si="23"/>
        <v>#DIV/0!</v>
      </c>
      <c r="AA107" s="10" t="e">
        <f t="shared" si="24"/>
        <v>#DIV/0!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 t="s">
        <v>54</v>
      </c>
      <c r="AM107" s="16">
        <f t="shared" si="25"/>
        <v>0</v>
      </c>
      <c r="AN107" t="s">
        <v>266</v>
      </c>
    </row>
    <row r="108" spans="1:40" x14ac:dyDescent="0.25">
      <c r="A108" s="10" t="s">
        <v>267</v>
      </c>
      <c r="B108" s="10" t="s">
        <v>45</v>
      </c>
      <c r="C108" s="10"/>
      <c r="D108" s="10"/>
      <c r="E108" s="10"/>
      <c r="F108" s="10"/>
      <c r="G108" s="11">
        <v>0</v>
      </c>
      <c r="H108" s="10"/>
      <c r="I108" s="10" t="s">
        <v>46</v>
      </c>
      <c r="J108" s="10"/>
      <c r="K108" s="10"/>
      <c r="L108" s="10">
        <f t="shared" si="21"/>
        <v>0</v>
      </c>
      <c r="M108" s="10"/>
      <c r="N108" s="10"/>
      <c r="O108" s="10">
        <v>0</v>
      </c>
      <c r="P108" s="10"/>
      <c r="Q108" s="10"/>
      <c r="R108" s="10"/>
      <c r="S108" s="10"/>
      <c r="T108" s="10">
        <f t="shared" si="22"/>
        <v>0</v>
      </c>
      <c r="U108" s="12"/>
      <c r="V108" s="4">
        <f>U108</f>
        <v>0</v>
      </c>
      <c r="W108" s="4"/>
      <c r="X108" s="16"/>
      <c r="Y108" s="16"/>
      <c r="Z108" s="16" t="e">
        <f t="shared" si="23"/>
        <v>#DIV/0!</v>
      </c>
      <c r="AA108" s="10" t="e">
        <f t="shared" si="24"/>
        <v>#DIV/0!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 t="s">
        <v>54</v>
      </c>
      <c r="AM108" s="16">
        <f t="shared" si="25"/>
        <v>0</v>
      </c>
      <c r="AN108" t="s">
        <v>268</v>
      </c>
    </row>
    <row r="109" spans="1:40" x14ac:dyDescent="0.25">
      <c r="A109" s="16" t="s">
        <v>269</v>
      </c>
      <c r="B109" s="16" t="s">
        <v>53</v>
      </c>
      <c r="C109" s="16">
        <v>3</v>
      </c>
      <c r="D109" s="16">
        <v>72</v>
      </c>
      <c r="E109" s="16">
        <v>37</v>
      </c>
      <c r="F109" s="16">
        <v>2</v>
      </c>
      <c r="G109" s="6">
        <v>0.28000000000000003</v>
      </c>
      <c r="H109" s="16">
        <v>40</v>
      </c>
      <c r="I109" s="9" t="s">
        <v>64</v>
      </c>
      <c r="J109" s="16"/>
      <c r="K109" s="16">
        <v>228</v>
      </c>
      <c r="L109" s="16">
        <f t="shared" si="21"/>
        <v>-191</v>
      </c>
      <c r="M109" s="16"/>
      <c r="N109" s="16"/>
      <c r="O109" s="16">
        <v>90</v>
      </c>
      <c r="P109" s="16"/>
      <c r="Q109" s="16"/>
      <c r="R109" s="16"/>
      <c r="S109" s="16"/>
      <c r="T109" s="16">
        <f t="shared" si="22"/>
        <v>7.4</v>
      </c>
      <c r="U109" s="4">
        <v>80</v>
      </c>
      <c r="V109" s="4">
        <v>150</v>
      </c>
      <c r="W109" s="4"/>
      <c r="X109" s="16" t="str">
        <f>VLOOKUP(A109,[1]Sheet!$A:$V,21,0)</f>
        <v>200ШТ</v>
      </c>
      <c r="Y109" s="16"/>
      <c r="Z109" s="16">
        <f t="shared" si="23"/>
        <v>32.702702702702702</v>
      </c>
      <c r="AA109" s="16">
        <f t="shared" si="24"/>
        <v>12.432432432432432</v>
      </c>
      <c r="AB109" s="16">
        <v>-2</v>
      </c>
      <c r="AC109" s="16">
        <v>-3.4</v>
      </c>
      <c r="AD109" s="16">
        <v>-3.8</v>
      </c>
      <c r="AE109" s="16">
        <v>18.399999999999999</v>
      </c>
      <c r="AF109" s="16">
        <v>41</v>
      </c>
      <c r="AG109" s="16">
        <v>43.2</v>
      </c>
      <c r="AH109" s="16">
        <v>41</v>
      </c>
      <c r="AI109" s="16">
        <v>34</v>
      </c>
      <c r="AJ109" s="16">
        <v>24.2</v>
      </c>
      <c r="AK109" s="16">
        <v>32.6</v>
      </c>
      <c r="AL109" s="16"/>
      <c r="AM109" s="16">
        <f t="shared" si="25"/>
        <v>42</v>
      </c>
      <c r="AN109" t="s">
        <v>270</v>
      </c>
    </row>
    <row r="110" spans="1:40" x14ac:dyDescent="0.25">
      <c r="A110" s="16" t="s">
        <v>271</v>
      </c>
      <c r="B110" s="16" t="s">
        <v>53</v>
      </c>
      <c r="C110" s="16">
        <v>1</v>
      </c>
      <c r="D110" s="16">
        <v>72</v>
      </c>
      <c r="E110" s="16">
        <v>44</v>
      </c>
      <c r="F110" s="16"/>
      <c r="G110" s="6">
        <v>0.28000000000000003</v>
      </c>
      <c r="H110" s="16">
        <v>40</v>
      </c>
      <c r="I110" s="9" t="s">
        <v>64</v>
      </c>
      <c r="J110" s="16"/>
      <c r="K110" s="16">
        <v>147</v>
      </c>
      <c r="L110" s="16">
        <f t="shared" si="21"/>
        <v>-103</v>
      </c>
      <c r="M110" s="16"/>
      <c r="N110" s="16"/>
      <c r="O110" s="16">
        <v>90</v>
      </c>
      <c r="P110" s="16"/>
      <c r="Q110" s="16"/>
      <c r="R110" s="16"/>
      <c r="S110" s="16"/>
      <c r="T110" s="16">
        <f t="shared" si="22"/>
        <v>8.8000000000000007</v>
      </c>
      <c r="U110" s="4">
        <v>100</v>
      </c>
      <c r="V110" s="4">
        <v>200</v>
      </c>
      <c r="W110" s="4"/>
      <c r="X110" s="16" t="str">
        <f>VLOOKUP(A110,[1]Sheet!$A:$V,21,0)</f>
        <v>250ШТ</v>
      </c>
      <c r="Y110" s="16"/>
      <c r="Z110" s="16">
        <f t="shared" si="23"/>
        <v>32.954545454545453</v>
      </c>
      <c r="AA110" s="16">
        <f t="shared" si="24"/>
        <v>10.227272727272727</v>
      </c>
      <c r="AB110" s="16">
        <v>-1.2</v>
      </c>
      <c r="AC110" s="16">
        <v>-1.4</v>
      </c>
      <c r="AD110" s="16">
        <v>0.6</v>
      </c>
      <c r="AE110" s="16">
        <v>27.6</v>
      </c>
      <c r="AF110" s="16">
        <v>49.6</v>
      </c>
      <c r="AG110" s="16">
        <v>46.2</v>
      </c>
      <c r="AH110" s="16">
        <v>36</v>
      </c>
      <c r="AI110" s="16">
        <v>21</v>
      </c>
      <c r="AJ110" s="16">
        <v>19.399999999999999</v>
      </c>
      <c r="AK110" s="16">
        <v>32.799999999999997</v>
      </c>
      <c r="AL110" s="16"/>
      <c r="AM110" s="16">
        <f t="shared" si="25"/>
        <v>56</v>
      </c>
      <c r="AN110" t="s">
        <v>272</v>
      </c>
    </row>
    <row r="111" spans="1:40" x14ac:dyDescent="0.25">
      <c r="A111" s="16" t="s">
        <v>273</v>
      </c>
      <c r="B111" s="16" t="s">
        <v>53</v>
      </c>
      <c r="C111" s="16">
        <v>-6</v>
      </c>
      <c r="D111" s="16">
        <v>54</v>
      </c>
      <c r="E111" s="16">
        <v>24</v>
      </c>
      <c r="F111" s="16">
        <v>-7</v>
      </c>
      <c r="G111" s="6">
        <v>0.28000000000000003</v>
      </c>
      <c r="H111" s="16">
        <v>40</v>
      </c>
      <c r="I111" s="9" t="s">
        <v>64</v>
      </c>
      <c r="J111" s="16"/>
      <c r="K111" s="16">
        <v>158</v>
      </c>
      <c r="L111" s="16">
        <f t="shared" si="21"/>
        <v>-134</v>
      </c>
      <c r="M111" s="16"/>
      <c r="N111" s="16"/>
      <c r="O111" s="16">
        <v>60</v>
      </c>
      <c r="P111" s="16"/>
      <c r="Q111" s="16"/>
      <c r="R111" s="16"/>
      <c r="S111" s="16"/>
      <c r="T111" s="16">
        <f t="shared" si="22"/>
        <v>4.8</v>
      </c>
      <c r="U111" s="4">
        <v>80</v>
      </c>
      <c r="V111" s="4">
        <v>180</v>
      </c>
      <c r="W111" s="4"/>
      <c r="X111" s="16" t="str">
        <f>VLOOKUP(A111,[1]Sheet!$A:$V,21,0)</f>
        <v>250ШТ</v>
      </c>
      <c r="Y111" s="16"/>
      <c r="Z111" s="16">
        <f t="shared" si="23"/>
        <v>48.541666666666671</v>
      </c>
      <c r="AA111" s="16">
        <f t="shared" si="24"/>
        <v>11.041666666666668</v>
      </c>
      <c r="AB111" s="16">
        <v>0</v>
      </c>
      <c r="AC111" s="16">
        <v>1.2</v>
      </c>
      <c r="AD111" s="16">
        <v>1.2</v>
      </c>
      <c r="AE111" s="16">
        <v>7.4</v>
      </c>
      <c r="AF111" s="16">
        <v>32.6</v>
      </c>
      <c r="AG111" s="16">
        <v>47</v>
      </c>
      <c r="AH111" s="16">
        <v>37.200000000000003</v>
      </c>
      <c r="AI111" s="16">
        <v>34.799999999999997</v>
      </c>
      <c r="AJ111" s="16">
        <v>33.200000000000003</v>
      </c>
      <c r="AK111" s="16">
        <v>37.799999999999997</v>
      </c>
      <c r="AL111" s="16"/>
      <c r="AM111" s="16">
        <f t="shared" si="25"/>
        <v>50</v>
      </c>
      <c r="AN111" t="s">
        <v>274</v>
      </c>
    </row>
    <row r="112" spans="1:40" x14ac:dyDescent="0.25">
      <c r="A112" s="16" t="s">
        <v>275</v>
      </c>
      <c r="B112" s="16" t="s">
        <v>53</v>
      </c>
      <c r="C112" s="16">
        <v>104</v>
      </c>
      <c r="D112" s="16"/>
      <c r="E112" s="16">
        <v>75</v>
      </c>
      <c r="F112" s="16">
        <v>28</v>
      </c>
      <c r="G112" s="6">
        <v>0.09</v>
      </c>
      <c r="H112" s="16">
        <v>45</v>
      </c>
      <c r="I112" s="16" t="s">
        <v>46</v>
      </c>
      <c r="J112" s="16"/>
      <c r="K112" s="16">
        <v>73</v>
      </c>
      <c r="L112" s="16">
        <f t="shared" si="21"/>
        <v>2</v>
      </c>
      <c r="M112" s="16"/>
      <c r="N112" s="16"/>
      <c r="O112" s="16">
        <v>40</v>
      </c>
      <c r="P112" s="16"/>
      <c r="Q112" s="16"/>
      <c r="R112" s="16"/>
      <c r="S112" s="16"/>
      <c r="T112" s="16">
        <f t="shared" si="22"/>
        <v>15</v>
      </c>
      <c r="U112" s="4">
        <f>11*T112-S112-R112-Q112-O112-F112</f>
        <v>97</v>
      </c>
      <c r="V112" s="4">
        <f t="shared" ref="V112:V117" si="26">U112</f>
        <v>97</v>
      </c>
      <c r="W112" s="4"/>
      <c r="X112" s="16"/>
      <c r="Y112" s="16"/>
      <c r="Z112" s="16">
        <f t="shared" si="23"/>
        <v>11</v>
      </c>
      <c r="AA112" s="16">
        <f t="shared" si="24"/>
        <v>4.5333333333333332</v>
      </c>
      <c r="AB112" s="16">
        <v>15</v>
      </c>
      <c r="AC112" s="16">
        <v>10</v>
      </c>
      <c r="AD112" s="16">
        <v>8.1999999999999993</v>
      </c>
      <c r="AE112" s="16">
        <v>8.4</v>
      </c>
      <c r="AF112" s="16">
        <v>9.4</v>
      </c>
      <c r="AG112" s="16">
        <v>10</v>
      </c>
      <c r="AH112" s="16">
        <v>5.6</v>
      </c>
      <c r="AI112" s="16">
        <v>2.4</v>
      </c>
      <c r="AJ112" s="16">
        <v>3.6</v>
      </c>
      <c r="AK112" s="16">
        <v>8.1999999999999993</v>
      </c>
      <c r="AL112" s="16" t="s">
        <v>252</v>
      </c>
      <c r="AM112" s="16">
        <f t="shared" si="25"/>
        <v>9</v>
      </c>
      <c r="AN112" t="s">
        <v>276</v>
      </c>
    </row>
    <row r="113" spans="1:40" x14ac:dyDescent="0.25">
      <c r="A113" s="16" t="s">
        <v>277</v>
      </c>
      <c r="B113" s="16" t="s">
        <v>45</v>
      </c>
      <c r="C113" s="16">
        <v>62.417000000000002</v>
      </c>
      <c r="D113" s="16">
        <v>61.363999999999997</v>
      </c>
      <c r="E113" s="16">
        <v>32.317999999999998</v>
      </c>
      <c r="F113" s="16">
        <v>91.462999999999994</v>
      </c>
      <c r="G113" s="6">
        <v>1</v>
      </c>
      <c r="H113" s="16">
        <v>60</v>
      </c>
      <c r="I113" s="16" t="s">
        <v>46</v>
      </c>
      <c r="J113" s="16"/>
      <c r="K113" s="16">
        <v>32.5</v>
      </c>
      <c r="L113" s="16">
        <f t="shared" si="21"/>
        <v>-0.18200000000000216</v>
      </c>
      <c r="M113" s="16"/>
      <c r="N113" s="16"/>
      <c r="O113" s="16">
        <v>0</v>
      </c>
      <c r="P113" s="16"/>
      <c r="Q113" s="16"/>
      <c r="R113" s="16"/>
      <c r="S113" s="16"/>
      <c r="T113" s="16">
        <f t="shared" si="22"/>
        <v>6.4635999999999996</v>
      </c>
      <c r="U113" s="4"/>
      <c r="V113" s="4">
        <f t="shared" si="26"/>
        <v>0</v>
      </c>
      <c r="W113" s="4"/>
      <c r="X113" s="16"/>
      <c r="Y113" s="16"/>
      <c r="Z113" s="16">
        <f t="shared" si="23"/>
        <v>14.150473420384925</v>
      </c>
      <c r="AA113" s="16">
        <f t="shared" si="24"/>
        <v>14.150473420384925</v>
      </c>
      <c r="AB113" s="16">
        <v>6.4147999999999996</v>
      </c>
      <c r="AC113" s="16">
        <v>7.0069999999999997</v>
      </c>
      <c r="AD113" s="16">
        <v>6.0356000000000014</v>
      </c>
      <c r="AE113" s="16">
        <v>11.877599999999999</v>
      </c>
      <c r="AF113" s="16">
        <v>12.359</v>
      </c>
      <c r="AG113" s="16">
        <v>9.2641999999999989</v>
      </c>
      <c r="AH113" s="16">
        <v>7.4257999999999997</v>
      </c>
      <c r="AI113" s="16">
        <v>8.0817999999999994</v>
      </c>
      <c r="AJ113" s="16">
        <v>7.9066000000000001</v>
      </c>
      <c r="AK113" s="16">
        <v>7.5061999999999998</v>
      </c>
      <c r="AL113" s="16"/>
      <c r="AM113" s="16">
        <f t="shared" si="25"/>
        <v>0</v>
      </c>
      <c r="AN113" t="s">
        <v>278</v>
      </c>
    </row>
    <row r="114" spans="1:40" x14ac:dyDescent="0.25">
      <c r="A114" s="16" t="s">
        <v>279</v>
      </c>
      <c r="B114" s="16" t="s">
        <v>45</v>
      </c>
      <c r="C114" s="16">
        <v>49.819000000000003</v>
      </c>
      <c r="D114" s="16">
        <v>117.717</v>
      </c>
      <c r="E114" s="16">
        <v>57.116</v>
      </c>
      <c r="F114" s="16">
        <v>110.42</v>
      </c>
      <c r="G114" s="6">
        <v>1</v>
      </c>
      <c r="H114" s="16">
        <v>50</v>
      </c>
      <c r="I114" s="16" t="s">
        <v>46</v>
      </c>
      <c r="J114" s="16"/>
      <c r="K114" s="16">
        <v>57.5</v>
      </c>
      <c r="L114" s="16">
        <f t="shared" si="21"/>
        <v>-0.38400000000000034</v>
      </c>
      <c r="M114" s="16"/>
      <c r="N114" s="16"/>
      <c r="O114" s="16">
        <v>0</v>
      </c>
      <c r="P114" s="16"/>
      <c r="Q114" s="16"/>
      <c r="R114" s="16"/>
      <c r="S114" s="16"/>
      <c r="T114" s="16">
        <f t="shared" si="22"/>
        <v>11.4232</v>
      </c>
      <c r="U114" s="4">
        <f>11*T114-S114-R114-Q114-O114-F114</f>
        <v>15.235199999999992</v>
      </c>
      <c r="V114" s="4">
        <f t="shared" si="26"/>
        <v>15.235199999999992</v>
      </c>
      <c r="W114" s="4"/>
      <c r="X114" s="16"/>
      <c r="Y114" s="16"/>
      <c r="Z114" s="16">
        <f t="shared" si="23"/>
        <v>11</v>
      </c>
      <c r="AA114" s="16">
        <f t="shared" si="24"/>
        <v>9.6662931577841587</v>
      </c>
      <c r="AB114" s="16">
        <v>9.4489999999999998</v>
      </c>
      <c r="AC114" s="16">
        <v>6.4813999999999989</v>
      </c>
      <c r="AD114" s="16">
        <v>7.4802000000000008</v>
      </c>
      <c r="AE114" s="16">
        <v>18.96</v>
      </c>
      <c r="AF114" s="16">
        <v>21.4636</v>
      </c>
      <c r="AG114" s="16">
        <v>13.702</v>
      </c>
      <c r="AH114" s="16">
        <v>12.7056</v>
      </c>
      <c r="AI114" s="16">
        <v>13.9284</v>
      </c>
      <c r="AJ114" s="16">
        <v>8.4375999999999998</v>
      </c>
      <c r="AK114" s="16">
        <v>7.9498000000000006</v>
      </c>
      <c r="AL114" s="16"/>
      <c r="AM114" s="16">
        <f t="shared" si="25"/>
        <v>15</v>
      </c>
      <c r="AN114" t="s">
        <v>280</v>
      </c>
    </row>
    <row r="115" spans="1:40" x14ac:dyDescent="0.25">
      <c r="A115" s="16" t="s">
        <v>281</v>
      </c>
      <c r="B115" s="16" t="s">
        <v>53</v>
      </c>
      <c r="C115" s="16">
        <v>72</v>
      </c>
      <c r="D115" s="16">
        <v>40</v>
      </c>
      <c r="E115" s="16">
        <v>69</v>
      </c>
      <c r="F115" s="16">
        <v>43</v>
      </c>
      <c r="G115" s="6">
        <v>0.09</v>
      </c>
      <c r="H115" s="16">
        <v>45</v>
      </c>
      <c r="I115" s="16" t="s">
        <v>46</v>
      </c>
      <c r="J115" s="16"/>
      <c r="K115" s="16">
        <v>65</v>
      </c>
      <c r="L115" s="16">
        <f t="shared" si="21"/>
        <v>4</v>
      </c>
      <c r="M115" s="16"/>
      <c r="N115" s="16"/>
      <c r="O115" s="16">
        <v>0</v>
      </c>
      <c r="P115" s="16"/>
      <c r="Q115" s="16"/>
      <c r="R115" s="16"/>
      <c r="S115" s="16"/>
      <c r="T115" s="16">
        <f t="shared" si="22"/>
        <v>13.8</v>
      </c>
      <c r="U115" s="4">
        <f>11*T115-S115-R115-Q115-O115-F115</f>
        <v>108.80000000000001</v>
      </c>
      <c r="V115" s="4">
        <f t="shared" si="26"/>
        <v>108.80000000000001</v>
      </c>
      <c r="W115" s="4"/>
      <c r="X115" s="16"/>
      <c r="Y115" s="16"/>
      <c r="Z115" s="16">
        <f t="shared" si="23"/>
        <v>11</v>
      </c>
      <c r="AA115" s="16">
        <f t="shared" si="24"/>
        <v>3.1159420289855069</v>
      </c>
      <c r="AB115" s="16">
        <v>12</v>
      </c>
      <c r="AC115" s="16">
        <v>7</v>
      </c>
      <c r="AD115" s="16">
        <v>7.6</v>
      </c>
      <c r="AE115" s="16">
        <v>10.8</v>
      </c>
      <c r="AF115" s="16">
        <v>11</v>
      </c>
      <c r="AG115" s="16">
        <v>11.8</v>
      </c>
      <c r="AH115" s="16">
        <v>6</v>
      </c>
      <c r="AI115" s="16">
        <v>3.4</v>
      </c>
      <c r="AJ115" s="16">
        <v>6.2</v>
      </c>
      <c r="AK115" s="16">
        <v>9.4</v>
      </c>
      <c r="AL115" s="16" t="s">
        <v>252</v>
      </c>
      <c r="AM115" s="16">
        <f t="shared" si="25"/>
        <v>10</v>
      </c>
      <c r="AN115" t="s">
        <v>282</v>
      </c>
    </row>
    <row r="116" spans="1:40" x14ac:dyDescent="0.25">
      <c r="A116" s="16" t="s">
        <v>283</v>
      </c>
      <c r="B116" s="16" t="s">
        <v>53</v>
      </c>
      <c r="C116" s="16">
        <v>98</v>
      </c>
      <c r="D116" s="16">
        <v>40</v>
      </c>
      <c r="E116" s="16">
        <v>73</v>
      </c>
      <c r="F116" s="16">
        <v>65</v>
      </c>
      <c r="G116" s="6">
        <v>0.09</v>
      </c>
      <c r="H116" s="16">
        <v>45</v>
      </c>
      <c r="I116" s="16" t="s">
        <v>46</v>
      </c>
      <c r="J116" s="16"/>
      <c r="K116" s="16">
        <v>69</v>
      </c>
      <c r="L116" s="16">
        <f t="shared" si="21"/>
        <v>4</v>
      </c>
      <c r="M116" s="16"/>
      <c r="N116" s="16"/>
      <c r="O116" s="16">
        <v>0</v>
      </c>
      <c r="P116" s="16"/>
      <c r="Q116" s="16"/>
      <c r="R116" s="16"/>
      <c r="S116" s="16"/>
      <c r="T116" s="16">
        <f t="shared" si="22"/>
        <v>14.6</v>
      </c>
      <c r="U116" s="4">
        <f>11*T116-S116-R116-Q116-O116-F116</f>
        <v>95.6</v>
      </c>
      <c r="V116" s="4">
        <f t="shared" si="26"/>
        <v>95.6</v>
      </c>
      <c r="W116" s="4"/>
      <c r="X116" s="16"/>
      <c r="Y116" s="16"/>
      <c r="Z116" s="16">
        <f t="shared" si="23"/>
        <v>11</v>
      </c>
      <c r="AA116" s="16">
        <f t="shared" si="24"/>
        <v>4.4520547945205484</v>
      </c>
      <c r="AB116" s="16">
        <v>14</v>
      </c>
      <c r="AC116" s="16">
        <v>9.1999999999999993</v>
      </c>
      <c r="AD116" s="16">
        <v>12.2</v>
      </c>
      <c r="AE116" s="16">
        <v>5.8</v>
      </c>
      <c r="AF116" s="16">
        <v>10</v>
      </c>
      <c r="AG116" s="16">
        <v>13.4</v>
      </c>
      <c r="AH116" s="16">
        <v>7.2</v>
      </c>
      <c r="AI116" s="16">
        <v>5.6</v>
      </c>
      <c r="AJ116" s="16">
        <v>5.6</v>
      </c>
      <c r="AK116" s="16">
        <v>7.8</v>
      </c>
      <c r="AL116" s="16" t="s">
        <v>252</v>
      </c>
      <c r="AM116" s="16">
        <f t="shared" si="25"/>
        <v>9</v>
      </c>
      <c r="AN116" t="s">
        <v>284</v>
      </c>
    </row>
    <row r="117" spans="1:40" x14ac:dyDescent="0.25">
      <c r="A117" s="16" t="s">
        <v>285</v>
      </c>
      <c r="B117" s="16" t="s">
        <v>45</v>
      </c>
      <c r="C117" s="16">
        <v>45.308999999999997</v>
      </c>
      <c r="D117" s="16">
        <v>124.624</v>
      </c>
      <c r="E117" s="16">
        <v>84.948999999999998</v>
      </c>
      <c r="F117" s="16">
        <v>66.415000000000006</v>
      </c>
      <c r="G117" s="6">
        <v>1</v>
      </c>
      <c r="H117" s="16">
        <v>60</v>
      </c>
      <c r="I117" s="16" t="s">
        <v>46</v>
      </c>
      <c r="J117" s="16"/>
      <c r="K117" s="16">
        <v>103.6</v>
      </c>
      <c r="L117" s="16">
        <f t="shared" si="21"/>
        <v>-18.650999999999996</v>
      </c>
      <c r="M117" s="16"/>
      <c r="N117" s="16"/>
      <c r="O117" s="16">
        <v>21.829000000000001</v>
      </c>
      <c r="P117" s="16"/>
      <c r="Q117" s="16"/>
      <c r="R117" s="16"/>
      <c r="S117" s="16"/>
      <c r="T117" s="16">
        <f t="shared" si="22"/>
        <v>16.989799999999999</v>
      </c>
      <c r="U117" s="4">
        <f>11*T117-S117-R117-Q117-O117-F117</f>
        <v>98.643799999999985</v>
      </c>
      <c r="V117" s="4">
        <f t="shared" si="26"/>
        <v>98.643799999999985</v>
      </c>
      <c r="W117" s="4"/>
      <c r="X117" s="16"/>
      <c r="Y117" s="16"/>
      <c r="Z117" s="16">
        <f t="shared" si="23"/>
        <v>10.999999999999998</v>
      </c>
      <c r="AA117" s="16">
        <f t="shared" si="24"/>
        <v>5.1939398933477738</v>
      </c>
      <c r="AB117" s="16">
        <v>15.9558</v>
      </c>
      <c r="AC117" s="16">
        <v>9.9768000000000008</v>
      </c>
      <c r="AD117" s="16">
        <v>13.449199999999999</v>
      </c>
      <c r="AE117" s="16">
        <v>20.5716</v>
      </c>
      <c r="AF117" s="16">
        <v>16.994599999999998</v>
      </c>
      <c r="AG117" s="16">
        <v>15.692399999999999</v>
      </c>
      <c r="AH117" s="16">
        <v>14.6084</v>
      </c>
      <c r="AI117" s="16">
        <v>7.5492000000000008</v>
      </c>
      <c r="AJ117" s="16">
        <v>5.8979999999999997</v>
      </c>
      <c r="AK117" s="16">
        <v>11.662599999999999</v>
      </c>
      <c r="AL117" s="16"/>
      <c r="AM117" s="16">
        <f t="shared" si="25"/>
        <v>99</v>
      </c>
      <c r="AN117" t="s">
        <v>286</v>
      </c>
    </row>
    <row r="118" spans="1:40" x14ac:dyDescent="0.25">
      <c r="A118" s="16" t="s">
        <v>287</v>
      </c>
      <c r="B118" s="16" t="s">
        <v>45</v>
      </c>
      <c r="C118" s="16">
        <v>117.34099999999999</v>
      </c>
      <c r="D118" s="16">
        <v>107.21</v>
      </c>
      <c r="E118" s="16">
        <v>119.982</v>
      </c>
      <c r="F118" s="16">
        <v>89.879000000000005</v>
      </c>
      <c r="G118" s="6">
        <v>1</v>
      </c>
      <c r="H118" s="16">
        <v>60</v>
      </c>
      <c r="I118" s="16" t="s">
        <v>46</v>
      </c>
      <c r="J118" s="16"/>
      <c r="K118" s="16">
        <v>133.5</v>
      </c>
      <c r="L118" s="16">
        <f t="shared" si="21"/>
        <v>-13.518000000000001</v>
      </c>
      <c r="M118" s="16"/>
      <c r="N118" s="16"/>
      <c r="O118" s="16">
        <v>84.348247999999984</v>
      </c>
      <c r="P118" s="16"/>
      <c r="Q118" s="16"/>
      <c r="R118" s="16">
        <v>98.619752000000005</v>
      </c>
      <c r="S118" s="16"/>
      <c r="T118" s="16">
        <f t="shared" si="22"/>
        <v>23.996400000000001</v>
      </c>
      <c r="U118" s="4"/>
      <c r="V118" s="4">
        <v>100</v>
      </c>
      <c r="W118" s="4"/>
      <c r="X118" s="16" t="str">
        <f>VLOOKUP(A118,[1]Sheet!$A:$V,21,0)</f>
        <v>100КГ</v>
      </c>
      <c r="Y118" s="16" t="str">
        <f>VLOOKUP(A118,[1]Sheet!$A:$V,22,0)</f>
        <v>Промо ЖЦ</v>
      </c>
      <c r="Z118" s="16">
        <f t="shared" si="23"/>
        <v>15.537622310013168</v>
      </c>
      <c r="AA118" s="16">
        <f t="shared" si="24"/>
        <v>11.370330549582436</v>
      </c>
      <c r="AB118" s="16">
        <v>29.323</v>
      </c>
      <c r="AC118" s="16">
        <v>27.450399999999998</v>
      </c>
      <c r="AD118" s="16">
        <v>22.645399999999999</v>
      </c>
      <c r="AE118" s="16">
        <v>19.9846</v>
      </c>
      <c r="AF118" s="16">
        <v>26.598199999999999</v>
      </c>
      <c r="AG118" s="16">
        <v>30.647200000000002</v>
      </c>
      <c r="AH118" s="16">
        <v>27.384</v>
      </c>
      <c r="AI118" s="16">
        <v>11.255599999999999</v>
      </c>
      <c r="AJ118" s="16">
        <v>13.8432</v>
      </c>
      <c r="AK118" s="16">
        <v>24.488800000000001</v>
      </c>
      <c r="AL118" s="16"/>
      <c r="AM118" s="16">
        <f t="shared" si="25"/>
        <v>100</v>
      </c>
      <c r="AN118" t="s">
        <v>288</v>
      </c>
    </row>
    <row r="119" spans="1:40" x14ac:dyDescent="0.25">
      <c r="A119" s="16" t="s">
        <v>289</v>
      </c>
      <c r="B119" s="16" t="s">
        <v>45</v>
      </c>
      <c r="C119" s="16">
        <v>16.047999999999998</v>
      </c>
      <c r="D119" s="16">
        <v>77.198999999999998</v>
      </c>
      <c r="E119" s="16">
        <v>26.04</v>
      </c>
      <c r="F119" s="16">
        <v>57.037999999999997</v>
      </c>
      <c r="G119" s="6">
        <v>1</v>
      </c>
      <c r="H119" s="16">
        <v>60</v>
      </c>
      <c r="I119" s="16" t="s">
        <v>46</v>
      </c>
      <c r="J119" s="16"/>
      <c r="K119" s="16">
        <v>44.9</v>
      </c>
      <c r="L119" s="16">
        <f t="shared" si="21"/>
        <v>-18.86</v>
      </c>
      <c r="M119" s="16"/>
      <c r="N119" s="16"/>
      <c r="O119" s="16">
        <v>20.714399999999991</v>
      </c>
      <c r="P119" s="16"/>
      <c r="Q119" s="16"/>
      <c r="R119" s="16"/>
      <c r="S119" s="16"/>
      <c r="T119" s="16">
        <f t="shared" si="22"/>
        <v>5.2080000000000002</v>
      </c>
      <c r="U119" s="4"/>
      <c r="V119" s="4">
        <f>U119</f>
        <v>0</v>
      </c>
      <c r="W119" s="4"/>
      <c r="X119" s="16"/>
      <c r="Y119" s="16"/>
      <c r="Z119" s="16">
        <f t="shared" si="23"/>
        <v>14.929416282642087</v>
      </c>
      <c r="AA119" s="16">
        <f t="shared" si="24"/>
        <v>14.929416282642087</v>
      </c>
      <c r="AB119" s="16">
        <v>6.9459999999999997</v>
      </c>
      <c r="AC119" s="16">
        <v>7.2998000000000003</v>
      </c>
      <c r="AD119" s="16">
        <v>8.6598000000000006</v>
      </c>
      <c r="AE119" s="16">
        <v>5.4184000000000001</v>
      </c>
      <c r="AF119" s="16">
        <v>5.4029999999999996</v>
      </c>
      <c r="AG119" s="16">
        <v>3.9361999999999999</v>
      </c>
      <c r="AH119" s="16">
        <v>5.5831999999999997</v>
      </c>
      <c r="AI119" s="16">
        <v>5.3019999999999996</v>
      </c>
      <c r="AJ119" s="16">
        <v>3.3967999999999998</v>
      </c>
      <c r="AK119" s="16">
        <v>6.5150000000000006</v>
      </c>
      <c r="AL119" s="16"/>
      <c r="AM119" s="16">
        <f t="shared" si="25"/>
        <v>0</v>
      </c>
      <c r="AN119" t="s">
        <v>290</v>
      </c>
    </row>
    <row r="120" spans="1:40" x14ac:dyDescent="0.25">
      <c r="A120" s="16" t="s">
        <v>291</v>
      </c>
      <c r="B120" s="16" t="s">
        <v>45</v>
      </c>
      <c r="C120" s="16">
        <v>543.221</v>
      </c>
      <c r="D120" s="16">
        <v>1404.4860000000001</v>
      </c>
      <c r="E120" s="16">
        <v>520.83399999999995</v>
      </c>
      <c r="F120" s="16">
        <v>1391.7339999999999</v>
      </c>
      <c r="G120" s="6">
        <v>1</v>
      </c>
      <c r="H120" s="16">
        <v>60</v>
      </c>
      <c r="I120" s="16" t="s">
        <v>46</v>
      </c>
      <c r="J120" s="16"/>
      <c r="K120" s="16">
        <v>817.46500000000003</v>
      </c>
      <c r="L120" s="16">
        <f t="shared" si="21"/>
        <v>-296.63100000000009</v>
      </c>
      <c r="M120" s="16"/>
      <c r="N120" s="16"/>
      <c r="O120" s="16">
        <v>0</v>
      </c>
      <c r="P120" s="16"/>
      <c r="Q120" s="16"/>
      <c r="R120" s="16"/>
      <c r="S120" s="16"/>
      <c r="T120" s="16">
        <f t="shared" si="22"/>
        <v>104.16679999999999</v>
      </c>
      <c r="U120" s="4"/>
      <c r="V120" s="4">
        <f>U120</f>
        <v>0</v>
      </c>
      <c r="W120" s="4"/>
      <c r="X120" s="16"/>
      <c r="Y120" s="16"/>
      <c r="Z120" s="16">
        <f t="shared" si="23"/>
        <v>13.360629298394498</v>
      </c>
      <c r="AA120" s="16">
        <f t="shared" si="24"/>
        <v>13.360629298394498</v>
      </c>
      <c r="AB120" s="16">
        <v>38.833199999999998</v>
      </c>
      <c r="AC120" s="16">
        <v>101.4106</v>
      </c>
      <c r="AD120" s="16">
        <v>172.1686</v>
      </c>
      <c r="AE120" s="16">
        <v>194.34620000000001</v>
      </c>
      <c r="AF120" s="16">
        <v>173.6292</v>
      </c>
      <c r="AG120" s="16">
        <v>165.13419999999999</v>
      </c>
      <c r="AH120" s="16">
        <v>149.19040000000001</v>
      </c>
      <c r="AI120" s="16">
        <v>130.2586</v>
      </c>
      <c r="AJ120" s="16">
        <v>161.93</v>
      </c>
      <c r="AK120" s="16">
        <v>151.02940000000001</v>
      </c>
      <c r="AL120" s="16"/>
      <c r="AM120" s="16">
        <f t="shared" si="25"/>
        <v>0</v>
      </c>
      <c r="AN120" t="s">
        <v>292</v>
      </c>
    </row>
    <row r="121" spans="1:40" x14ac:dyDescent="0.25">
      <c r="A121" s="16" t="s">
        <v>293</v>
      </c>
      <c r="B121" s="16" t="s">
        <v>53</v>
      </c>
      <c r="C121" s="16">
        <v>5</v>
      </c>
      <c r="D121" s="16">
        <v>168</v>
      </c>
      <c r="E121" s="16">
        <v>52</v>
      </c>
      <c r="F121" s="16">
        <v>121</v>
      </c>
      <c r="G121" s="6">
        <v>0.25</v>
      </c>
      <c r="H121" s="16">
        <v>1096</v>
      </c>
      <c r="I121" s="16" t="s">
        <v>46</v>
      </c>
      <c r="J121" s="16"/>
      <c r="K121" s="16">
        <v>61</v>
      </c>
      <c r="L121" s="16">
        <f t="shared" si="21"/>
        <v>-9</v>
      </c>
      <c r="M121" s="16"/>
      <c r="N121" s="16"/>
      <c r="O121" s="16">
        <v>180</v>
      </c>
      <c r="P121" s="16"/>
      <c r="Q121" s="16"/>
      <c r="R121" s="16"/>
      <c r="S121" s="16"/>
      <c r="T121" s="16">
        <f t="shared" si="22"/>
        <v>10.4</v>
      </c>
      <c r="U121" s="4">
        <v>60</v>
      </c>
      <c r="V121" s="4">
        <f>U121</f>
        <v>60</v>
      </c>
      <c r="W121" s="4"/>
      <c r="X121" s="16"/>
      <c r="Y121" s="16"/>
      <c r="Z121" s="16">
        <f t="shared" si="23"/>
        <v>34.71153846153846</v>
      </c>
      <c r="AA121" s="16">
        <f t="shared" si="24"/>
        <v>28.94230769230769</v>
      </c>
      <c r="AB121" s="16">
        <v>4.8</v>
      </c>
      <c r="AC121" s="16">
        <v>28.2</v>
      </c>
      <c r="AD121" s="16">
        <v>28.8</v>
      </c>
      <c r="AE121" s="16">
        <v>0</v>
      </c>
      <c r="AF121" s="16">
        <v>0</v>
      </c>
      <c r="AG121" s="16">
        <v>1.8</v>
      </c>
      <c r="AH121" s="16">
        <v>8.1999999999999993</v>
      </c>
      <c r="AI121" s="16">
        <v>40.200000000000003</v>
      </c>
      <c r="AJ121" s="16">
        <v>33.799999999999997</v>
      </c>
      <c r="AK121" s="16">
        <v>0</v>
      </c>
      <c r="AL121" s="16"/>
      <c r="AM121" s="16">
        <f t="shared" si="25"/>
        <v>15</v>
      </c>
      <c r="AN121" t="s">
        <v>294</v>
      </c>
    </row>
    <row r="122" spans="1:40" x14ac:dyDescent="0.25">
      <c r="A122" s="16" t="s">
        <v>295</v>
      </c>
      <c r="B122" s="16" t="s">
        <v>53</v>
      </c>
      <c r="C122" s="16">
        <v>121</v>
      </c>
      <c r="D122" s="16">
        <v>111</v>
      </c>
      <c r="E122" s="13">
        <f>44+E130</f>
        <v>56</v>
      </c>
      <c r="F122" s="16">
        <v>95</v>
      </c>
      <c r="G122" s="6">
        <v>0.32500000000000001</v>
      </c>
      <c r="H122" s="16">
        <v>1096</v>
      </c>
      <c r="I122" s="16" t="s">
        <v>46</v>
      </c>
      <c r="J122" s="16"/>
      <c r="K122" s="16">
        <v>44</v>
      </c>
      <c r="L122" s="16">
        <f t="shared" si="21"/>
        <v>12</v>
      </c>
      <c r="M122" s="16"/>
      <c r="N122" s="16"/>
      <c r="O122" s="16">
        <v>110</v>
      </c>
      <c r="P122" s="16"/>
      <c r="Q122" s="16"/>
      <c r="R122" s="16"/>
      <c r="S122" s="16"/>
      <c r="T122" s="16">
        <f t="shared" si="22"/>
        <v>11.2</v>
      </c>
      <c r="U122" s="4">
        <v>20</v>
      </c>
      <c r="V122" s="4">
        <v>300</v>
      </c>
      <c r="W122" s="4"/>
      <c r="X122" s="16" t="str">
        <f>VLOOKUP(A122,[1]Sheet!$A:$V,21,0)</f>
        <v>400шт</v>
      </c>
      <c r="Y122" s="16" t="str">
        <f>VLOOKUP(A122,[1]Sheet!$A:$V,22,0)</f>
        <v>Промо N+1</v>
      </c>
      <c r="Z122" s="16">
        <f t="shared" si="23"/>
        <v>45.089285714285715</v>
      </c>
      <c r="AA122" s="16">
        <f t="shared" si="24"/>
        <v>18.303571428571431</v>
      </c>
      <c r="AB122" s="16">
        <v>18</v>
      </c>
      <c r="AC122" s="16">
        <v>20</v>
      </c>
      <c r="AD122" s="16">
        <v>16.399999999999999</v>
      </c>
      <c r="AE122" s="16">
        <v>4.2</v>
      </c>
      <c r="AF122" s="16">
        <v>4.2</v>
      </c>
      <c r="AG122" s="16">
        <v>5.8</v>
      </c>
      <c r="AH122" s="16">
        <v>7.2</v>
      </c>
      <c r="AI122" s="16">
        <v>21.2</v>
      </c>
      <c r="AJ122" s="16">
        <v>15.8</v>
      </c>
      <c r="AK122" s="16">
        <v>0</v>
      </c>
      <c r="AL122" s="16"/>
      <c r="AM122" s="16">
        <f t="shared" si="25"/>
        <v>98</v>
      </c>
      <c r="AN122" t="s">
        <v>296</v>
      </c>
    </row>
    <row r="123" spans="1:40" x14ac:dyDescent="0.25">
      <c r="A123" s="16" t="s">
        <v>297</v>
      </c>
      <c r="B123" s="16" t="s">
        <v>53</v>
      </c>
      <c r="C123" s="16">
        <v>150</v>
      </c>
      <c r="D123" s="16">
        <v>480</v>
      </c>
      <c r="E123" s="16">
        <v>216</v>
      </c>
      <c r="F123" s="16">
        <v>414</v>
      </c>
      <c r="G123" s="6">
        <v>0.25</v>
      </c>
      <c r="H123" s="16">
        <v>1096</v>
      </c>
      <c r="I123" s="16" t="s">
        <v>46</v>
      </c>
      <c r="J123" s="16"/>
      <c r="K123" s="16">
        <v>239</v>
      </c>
      <c r="L123" s="16">
        <f t="shared" si="21"/>
        <v>-23</v>
      </c>
      <c r="M123" s="16"/>
      <c r="N123" s="16"/>
      <c r="O123" s="16">
        <v>130.64739999999989</v>
      </c>
      <c r="P123" s="16"/>
      <c r="Q123" s="16"/>
      <c r="R123" s="16">
        <v>50</v>
      </c>
      <c r="S123" s="16"/>
      <c r="T123" s="16">
        <f t="shared" si="22"/>
        <v>43.2</v>
      </c>
      <c r="U123" s="4"/>
      <c r="V123" s="4">
        <f t="shared" ref="V123:V130" si="27">U123</f>
        <v>0</v>
      </c>
      <c r="W123" s="4"/>
      <c r="X123" s="16"/>
      <c r="Y123" s="16"/>
      <c r="Z123" s="16">
        <f t="shared" si="23"/>
        <v>13.764986111111106</v>
      </c>
      <c r="AA123" s="16">
        <f t="shared" si="24"/>
        <v>13.764986111111106</v>
      </c>
      <c r="AB123" s="16">
        <v>44</v>
      </c>
      <c r="AC123" s="16">
        <v>62.8</v>
      </c>
      <c r="AD123" s="16">
        <v>77.599999999999994</v>
      </c>
      <c r="AE123" s="16">
        <v>29.6</v>
      </c>
      <c r="AF123" s="16">
        <v>1.2</v>
      </c>
      <c r="AG123" s="16">
        <v>1.8</v>
      </c>
      <c r="AH123" s="16">
        <v>8</v>
      </c>
      <c r="AI123" s="16">
        <v>40.4</v>
      </c>
      <c r="AJ123" s="16">
        <v>34.4</v>
      </c>
      <c r="AK123" s="16">
        <v>0</v>
      </c>
      <c r="AL123" s="16" t="s">
        <v>298</v>
      </c>
      <c r="AM123" s="16">
        <f t="shared" si="25"/>
        <v>0</v>
      </c>
      <c r="AN123" t="s">
        <v>299</v>
      </c>
    </row>
    <row r="124" spans="1:40" x14ac:dyDescent="0.25">
      <c r="A124" s="16" t="s">
        <v>300</v>
      </c>
      <c r="B124" s="16" t="s">
        <v>53</v>
      </c>
      <c r="C124" s="16">
        <v>-13</v>
      </c>
      <c r="D124" s="16"/>
      <c r="E124" s="16">
        <v>-1</v>
      </c>
      <c r="F124" s="16">
        <v>-13</v>
      </c>
      <c r="G124" s="6">
        <v>0.3</v>
      </c>
      <c r="H124" s="16">
        <v>40</v>
      </c>
      <c r="I124" s="9" t="s">
        <v>64</v>
      </c>
      <c r="J124" s="16"/>
      <c r="K124" s="16">
        <v>14</v>
      </c>
      <c r="L124" s="16">
        <f t="shared" si="21"/>
        <v>-15</v>
      </c>
      <c r="M124" s="16"/>
      <c r="N124" s="16"/>
      <c r="O124" s="16">
        <v>36</v>
      </c>
      <c r="P124" s="16">
        <v>-43.333333333333336</v>
      </c>
      <c r="Q124" s="16"/>
      <c r="R124" s="16"/>
      <c r="S124" s="16"/>
      <c r="T124" s="16">
        <f t="shared" si="22"/>
        <v>-0.2</v>
      </c>
      <c r="U124" s="4">
        <v>60</v>
      </c>
      <c r="V124" s="4">
        <f t="shared" si="27"/>
        <v>60</v>
      </c>
      <c r="W124" s="4"/>
      <c r="X124" s="16"/>
      <c r="Y124" s="16"/>
      <c r="Z124" s="16">
        <f t="shared" si="23"/>
        <v>-415</v>
      </c>
      <c r="AA124" s="16">
        <f t="shared" si="24"/>
        <v>-115</v>
      </c>
      <c r="AB124" s="16">
        <v>0</v>
      </c>
      <c r="AC124" s="16">
        <v>21.8</v>
      </c>
      <c r="AD124" s="16">
        <v>46.2</v>
      </c>
      <c r="AE124" s="16">
        <v>55.2</v>
      </c>
      <c r="AF124" s="16">
        <v>43.487000000000002</v>
      </c>
      <c r="AG124" s="16">
        <v>36.4</v>
      </c>
      <c r="AH124" s="16">
        <v>33.200000000000003</v>
      </c>
      <c r="AI124" s="16">
        <v>32.200000000000003</v>
      </c>
      <c r="AJ124" s="16">
        <v>32</v>
      </c>
      <c r="AK124" s="16">
        <v>44.4</v>
      </c>
      <c r="AL124" s="16"/>
      <c r="AM124" s="16">
        <f t="shared" si="25"/>
        <v>18</v>
      </c>
      <c r="AN124" t="s">
        <v>301</v>
      </c>
    </row>
    <row r="125" spans="1:40" x14ac:dyDescent="0.25">
      <c r="A125" s="16" t="s">
        <v>302</v>
      </c>
      <c r="B125" s="16" t="s">
        <v>53</v>
      </c>
      <c r="C125" s="16">
        <v>3</v>
      </c>
      <c r="D125" s="16"/>
      <c r="E125" s="16">
        <v>-10</v>
      </c>
      <c r="F125" s="16">
        <v>3</v>
      </c>
      <c r="G125" s="6">
        <v>0.3</v>
      </c>
      <c r="H125" s="16">
        <v>40</v>
      </c>
      <c r="I125" s="9" t="s">
        <v>64</v>
      </c>
      <c r="J125" s="16"/>
      <c r="K125" s="16">
        <v>33</v>
      </c>
      <c r="L125" s="16">
        <f t="shared" si="21"/>
        <v>-43</v>
      </c>
      <c r="M125" s="16"/>
      <c r="N125" s="16"/>
      <c r="O125" s="16">
        <v>60</v>
      </c>
      <c r="P125" s="16">
        <v>-60</v>
      </c>
      <c r="Q125" s="16"/>
      <c r="R125" s="16"/>
      <c r="S125" s="16"/>
      <c r="T125" s="16">
        <f t="shared" si="22"/>
        <v>-2</v>
      </c>
      <c r="U125" s="4">
        <v>60</v>
      </c>
      <c r="V125" s="4">
        <f t="shared" si="27"/>
        <v>60</v>
      </c>
      <c r="W125" s="4"/>
      <c r="X125" s="16"/>
      <c r="Y125" s="16"/>
      <c r="Z125" s="16">
        <f t="shared" si="23"/>
        <v>-61.5</v>
      </c>
      <c r="AA125" s="16">
        <f t="shared" si="24"/>
        <v>-31.5</v>
      </c>
      <c r="AB125" s="16">
        <v>-1.8</v>
      </c>
      <c r="AC125" s="16">
        <v>-2</v>
      </c>
      <c r="AD125" s="16">
        <v>-1.6</v>
      </c>
      <c r="AE125" s="16">
        <v>9.4</v>
      </c>
      <c r="AF125" s="16">
        <v>19</v>
      </c>
      <c r="AG125" s="16">
        <v>30.6</v>
      </c>
      <c r="AH125" s="16">
        <v>31</v>
      </c>
      <c r="AI125" s="16">
        <v>25.2</v>
      </c>
      <c r="AJ125" s="16">
        <v>24.6</v>
      </c>
      <c r="AK125" s="16">
        <v>23.6</v>
      </c>
      <c r="AL125" s="16"/>
      <c r="AM125" s="16">
        <f t="shared" si="25"/>
        <v>18</v>
      </c>
      <c r="AN125" t="s">
        <v>303</v>
      </c>
    </row>
    <row r="126" spans="1:40" x14ac:dyDescent="0.25">
      <c r="A126" s="16" t="s">
        <v>304</v>
      </c>
      <c r="B126" s="16" t="s">
        <v>45</v>
      </c>
      <c r="C126" s="16">
        <v>0.23799999999999999</v>
      </c>
      <c r="D126" s="16">
        <v>53.085000000000001</v>
      </c>
      <c r="E126" s="16">
        <v>9.26</v>
      </c>
      <c r="F126" s="16">
        <v>42.704999999999998</v>
      </c>
      <c r="G126" s="6">
        <v>1</v>
      </c>
      <c r="H126" s="16">
        <v>50</v>
      </c>
      <c r="I126" s="16" t="s">
        <v>46</v>
      </c>
      <c r="J126" s="16"/>
      <c r="K126" s="16">
        <v>9.1</v>
      </c>
      <c r="L126" s="16">
        <f t="shared" si="21"/>
        <v>0.16000000000000014</v>
      </c>
      <c r="M126" s="16"/>
      <c r="N126" s="16"/>
      <c r="O126" s="16">
        <v>0</v>
      </c>
      <c r="P126" s="16"/>
      <c r="Q126" s="16"/>
      <c r="R126" s="16"/>
      <c r="S126" s="16"/>
      <c r="T126" s="16">
        <f t="shared" si="22"/>
        <v>1.8519999999999999</v>
      </c>
      <c r="U126" s="4"/>
      <c r="V126" s="4">
        <f t="shared" si="27"/>
        <v>0</v>
      </c>
      <c r="W126" s="4"/>
      <c r="X126" s="16"/>
      <c r="Y126" s="16"/>
      <c r="Z126" s="16">
        <f t="shared" si="23"/>
        <v>23.058855291576673</v>
      </c>
      <c r="AA126" s="16">
        <f t="shared" si="24"/>
        <v>23.058855291576673</v>
      </c>
      <c r="AB126" s="16">
        <v>0.26700000000000002</v>
      </c>
      <c r="AC126" s="16">
        <v>1.8872</v>
      </c>
      <c r="AD126" s="16">
        <v>2.9937999999999998</v>
      </c>
      <c r="AE126" s="16">
        <v>4.6555999999999997</v>
      </c>
      <c r="AF126" s="16">
        <v>3.5312000000000001</v>
      </c>
      <c r="AG126" s="16">
        <v>1.0506</v>
      </c>
      <c r="AH126" s="16">
        <v>1.6064000000000001</v>
      </c>
      <c r="AI126" s="16">
        <v>2.1257999999999999</v>
      </c>
      <c r="AJ126" s="16">
        <v>2.6814</v>
      </c>
      <c r="AK126" s="16">
        <v>3.0156000000000001</v>
      </c>
      <c r="AL126" s="16"/>
      <c r="AM126" s="16">
        <f t="shared" si="25"/>
        <v>0</v>
      </c>
      <c r="AN126" t="s">
        <v>305</v>
      </c>
    </row>
    <row r="127" spans="1:40" x14ac:dyDescent="0.25">
      <c r="A127" s="16" t="s">
        <v>306</v>
      </c>
      <c r="B127" s="16" t="s">
        <v>53</v>
      </c>
      <c r="C127" s="16">
        <v>2</v>
      </c>
      <c r="D127" s="16"/>
      <c r="E127" s="16">
        <v>-2</v>
      </c>
      <c r="F127" s="16"/>
      <c r="G127" s="6">
        <v>0.3</v>
      </c>
      <c r="H127" s="16">
        <v>40</v>
      </c>
      <c r="I127" s="9" t="s">
        <v>64</v>
      </c>
      <c r="J127" s="16"/>
      <c r="K127" s="16">
        <v>17</v>
      </c>
      <c r="L127" s="16">
        <f t="shared" si="21"/>
        <v>-19</v>
      </c>
      <c r="M127" s="16"/>
      <c r="N127" s="16"/>
      <c r="O127" s="16">
        <v>90</v>
      </c>
      <c r="P127" s="16">
        <v>-90</v>
      </c>
      <c r="Q127" s="16"/>
      <c r="R127" s="16"/>
      <c r="S127" s="16"/>
      <c r="T127" s="16">
        <f t="shared" si="22"/>
        <v>-0.4</v>
      </c>
      <c r="U127" s="4">
        <v>40</v>
      </c>
      <c r="V127" s="4">
        <f t="shared" si="27"/>
        <v>40</v>
      </c>
      <c r="W127" s="4"/>
      <c r="X127" s="16"/>
      <c r="Y127" s="16"/>
      <c r="Z127" s="16">
        <f t="shared" si="23"/>
        <v>-325</v>
      </c>
      <c r="AA127" s="16">
        <f t="shared" si="24"/>
        <v>-225</v>
      </c>
      <c r="AB127" s="16">
        <v>0.4</v>
      </c>
      <c r="AC127" s="16">
        <v>17.8</v>
      </c>
      <c r="AD127" s="16">
        <v>33.4</v>
      </c>
      <c r="AE127" s="16">
        <v>17.8</v>
      </c>
      <c r="AF127" s="16">
        <v>5.4</v>
      </c>
      <c r="AG127" s="16">
        <v>17.8</v>
      </c>
      <c r="AH127" s="16">
        <v>18.600000000000001</v>
      </c>
      <c r="AI127" s="16">
        <v>19.600000000000001</v>
      </c>
      <c r="AJ127" s="16">
        <v>19.8</v>
      </c>
      <c r="AK127" s="16">
        <v>17.600000000000001</v>
      </c>
      <c r="AL127" s="16"/>
      <c r="AM127" s="16">
        <f t="shared" si="25"/>
        <v>12</v>
      </c>
      <c r="AN127" t="s">
        <v>307</v>
      </c>
    </row>
    <row r="128" spans="1:40" x14ac:dyDescent="0.25">
      <c r="A128" s="16" t="s">
        <v>308</v>
      </c>
      <c r="B128" s="16" t="s">
        <v>53</v>
      </c>
      <c r="C128" s="16">
        <v>35</v>
      </c>
      <c r="D128" s="16">
        <v>46</v>
      </c>
      <c r="E128" s="16">
        <v>39</v>
      </c>
      <c r="F128" s="16">
        <v>39</v>
      </c>
      <c r="G128" s="6">
        <v>0.12</v>
      </c>
      <c r="H128" s="16">
        <v>45</v>
      </c>
      <c r="I128" s="9" t="s">
        <v>64</v>
      </c>
      <c r="J128" s="16"/>
      <c r="K128" s="16">
        <v>50</v>
      </c>
      <c r="L128" s="16">
        <f t="shared" si="21"/>
        <v>-11</v>
      </c>
      <c r="M128" s="16"/>
      <c r="N128" s="16"/>
      <c r="O128" s="16">
        <v>70</v>
      </c>
      <c r="P128" s="16">
        <v>-75</v>
      </c>
      <c r="Q128" s="16"/>
      <c r="R128" s="16"/>
      <c r="S128" s="16"/>
      <c r="T128" s="16">
        <f t="shared" si="22"/>
        <v>7.8</v>
      </c>
      <c r="U128" s="4">
        <v>20</v>
      </c>
      <c r="V128" s="4">
        <f t="shared" si="27"/>
        <v>20</v>
      </c>
      <c r="W128" s="4"/>
      <c r="X128" s="16"/>
      <c r="Y128" s="16"/>
      <c r="Z128" s="16">
        <f t="shared" si="23"/>
        <v>16.53846153846154</v>
      </c>
      <c r="AA128" s="16">
        <f t="shared" si="24"/>
        <v>13.974358974358974</v>
      </c>
      <c r="AB128" s="16">
        <v>11.4</v>
      </c>
      <c r="AC128" s="16">
        <v>9.4</v>
      </c>
      <c r="AD128" s="16">
        <v>6.8</v>
      </c>
      <c r="AE128" s="16">
        <v>6.6</v>
      </c>
      <c r="AF128" s="16">
        <v>7</v>
      </c>
      <c r="AG128" s="16">
        <v>9.1999999999999993</v>
      </c>
      <c r="AH128" s="16">
        <v>9</v>
      </c>
      <c r="AI128" s="16">
        <v>5.6</v>
      </c>
      <c r="AJ128" s="16">
        <v>5.4</v>
      </c>
      <c r="AK128" s="16">
        <v>8</v>
      </c>
      <c r="AL128" s="16"/>
      <c r="AM128" s="16">
        <f t="shared" si="25"/>
        <v>2</v>
      </c>
      <c r="AN128" t="s">
        <v>309</v>
      </c>
    </row>
    <row r="129" spans="1:39" x14ac:dyDescent="0.25">
      <c r="A129" s="10" t="s">
        <v>310</v>
      </c>
      <c r="B129" s="10" t="s">
        <v>53</v>
      </c>
      <c r="C129" s="10"/>
      <c r="D129" s="10">
        <v>38</v>
      </c>
      <c r="E129" s="13">
        <v>14</v>
      </c>
      <c r="F129" s="13">
        <v>24</v>
      </c>
      <c r="G129" s="11">
        <v>0</v>
      </c>
      <c r="H129" s="10"/>
      <c r="I129" s="10" t="s">
        <v>311</v>
      </c>
      <c r="J129" s="10" t="s">
        <v>154</v>
      </c>
      <c r="K129" s="10">
        <v>14</v>
      </c>
      <c r="L129" s="10">
        <f t="shared" si="21"/>
        <v>0</v>
      </c>
      <c r="M129" s="10"/>
      <c r="N129" s="10"/>
      <c r="O129" s="10"/>
      <c r="P129" s="10"/>
      <c r="Q129" s="10"/>
      <c r="R129" s="10"/>
      <c r="S129" s="10"/>
      <c r="T129" s="10">
        <f t="shared" si="22"/>
        <v>2.8</v>
      </c>
      <c r="U129" s="12"/>
      <c r="V129" s="4">
        <f t="shared" si="27"/>
        <v>0</v>
      </c>
      <c r="W129" s="4"/>
      <c r="X129" s="16"/>
      <c r="Y129" s="16"/>
      <c r="Z129" s="16">
        <f t="shared" si="23"/>
        <v>8.5714285714285712</v>
      </c>
      <c r="AA129" s="10">
        <f t="shared" si="24"/>
        <v>8.5714285714285712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/>
      <c r="AM129" s="16">
        <f t="shared" si="25"/>
        <v>0</v>
      </c>
    </row>
    <row r="130" spans="1:39" x14ac:dyDescent="0.25">
      <c r="A130" s="10" t="s">
        <v>312</v>
      </c>
      <c r="B130" s="10" t="s">
        <v>53</v>
      </c>
      <c r="C130" s="10">
        <v>-66</v>
      </c>
      <c r="D130" s="10">
        <v>80</v>
      </c>
      <c r="E130" s="13">
        <v>12</v>
      </c>
      <c r="F130" s="10"/>
      <c r="G130" s="11">
        <v>0</v>
      </c>
      <c r="H130" s="10"/>
      <c r="I130" s="10" t="s">
        <v>311</v>
      </c>
      <c r="J130" s="10" t="s">
        <v>295</v>
      </c>
      <c r="K130" s="10">
        <v>14</v>
      </c>
      <c r="L130" s="10">
        <f t="shared" si="21"/>
        <v>-2</v>
      </c>
      <c r="M130" s="10"/>
      <c r="N130" s="10"/>
      <c r="O130" s="10">
        <v>0</v>
      </c>
      <c r="P130" s="10"/>
      <c r="Q130" s="10"/>
      <c r="R130" s="10"/>
      <c r="S130" s="10"/>
      <c r="T130" s="10">
        <f t="shared" si="22"/>
        <v>2.4</v>
      </c>
      <c r="U130" s="12"/>
      <c r="V130" s="4">
        <f t="shared" si="27"/>
        <v>0</v>
      </c>
      <c r="W130" s="4"/>
      <c r="X130" s="16"/>
      <c r="Y130" s="16"/>
      <c r="Z130" s="16">
        <f t="shared" si="23"/>
        <v>0</v>
      </c>
      <c r="AA130" s="10">
        <f t="shared" si="24"/>
        <v>0</v>
      </c>
      <c r="AB130" s="10">
        <v>3.4</v>
      </c>
      <c r="AC130" s="10">
        <v>9</v>
      </c>
      <c r="AD130" s="10">
        <v>12.4</v>
      </c>
      <c r="AE130" s="10">
        <v>4.2</v>
      </c>
      <c r="AF130" s="10">
        <v>0.2</v>
      </c>
      <c r="AG130" s="10">
        <v>0</v>
      </c>
      <c r="AH130" s="10">
        <v>0.8</v>
      </c>
      <c r="AI130" s="10">
        <v>1.8</v>
      </c>
      <c r="AJ130" s="10">
        <v>1</v>
      </c>
      <c r="AK130" s="10">
        <v>0</v>
      </c>
      <c r="AL130" s="10"/>
      <c r="AM130" s="16">
        <f t="shared" si="25"/>
        <v>0</v>
      </c>
    </row>
    <row r="131" spans="1:39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</row>
    <row r="132" spans="1:39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</row>
    <row r="133" spans="1:39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</row>
    <row r="134" spans="1:39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</row>
    <row r="135" spans="1:39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</row>
    <row r="136" spans="1:39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</row>
    <row r="137" spans="1:39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</row>
    <row r="138" spans="1:39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</row>
    <row r="139" spans="1:39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</row>
    <row r="140" spans="1:39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</row>
    <row r="141" spans="1:39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</row>
    <row r="142" spans="1:39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</row>
    <row r="143" spans="1:39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</row>
    <row r="144" spans="1:39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</row>
    <row r="145" spans="1:39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</row>
    <row r="146" spans="1:39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</row>
    <row r="147" spans="1:39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</row>
    <row r="148" spans="1:39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</row>
    <row r="149" spans="1:39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</row>
    <row r="150" spans="1:39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</row>
    <row r="151" spans="1:39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</row>
    <row r="152" spans="1:39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</row>
    <row r="153" spans="1:39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</row>
    <row r="154" spans="1:39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</row>
    <row r="155" spans="1:39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</row>
    <row r="156" spans="1:39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</row>
    <row r="157" spans="1:39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</row>
    <row r="158" spans="1:39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</row>
    <row r="159" spans="1:39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</row>
    <row r="160" spans="1:39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</row>
    <row r="161" spans="1:39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</row>
    <row r="162" spans="1:39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</row>
    <row r="163" spans="1:39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</row>
    <row r="164" spans="1:39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</row>
    <row r="165" spans="1:39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</row>
    <row r="166" spans="1:39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</row>
    <row r="167" spans="1:39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</row>
    <row r="168" spans="1:39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</row>
    <row r="169" spans="1:39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</row>
    <row r="170" spans="1:39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</row>
    <row r="171" spans="1:39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</row>
    <row r="172" spans="1:39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</row>
    <row r="173" spans="1:39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</row>
    <row r="174" spans="1:39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</row>
    <row r="175" spans="1:39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</row>
    <row r="176" spans="1:39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</row>
    <row r="177" spans="1:39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</row>
    <row r="178" spans="1:39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</row>
    <row r="179" spans="1:39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</row>
    <row r="180" spans="1:39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</row>
    <row r="181" spans="1:39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</row>
    <row r="182" spans="1:39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</row>
    <row r="183" spans="1:39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</row>
    <row r="184" spans="1:39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</row>
    <row r="185" spans="1:39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</row>
    <row r="186" spans="1:39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</row>
    <row r="187" spans="1:39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</row>
    <row r="188" spans="1:39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</row>
    <row r="189" spans="1:39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</row>
    <row r="190" spans="1:39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</row>
    <row r="191" spans="1:39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</row>
    <row r="192" spans="1:39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</row>
    <row r="193" spans="1:39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</row>
    <row r="194" spans="1:39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</row>
    <row r="195" spans="1:39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</row>
    <row r="196" spans="1:39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</row>
    <row r="197" spans="1:39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</row>
    <row r="198" spans="1:39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</row>
    <row r="199" spans="1:39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</row>
    <row r="200" spans="1:39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</row>
    <row r="201" spans="1:39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</row>
    <row r="202" spans="1:39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</row>
    <row r="203" spans="1:39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</row>
    <row r="204" spans="1:39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</row>
    <row r="205" spans="1:39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</row>
    <row r="206" spans="1:39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</row>
    <row r="207" spans="1:39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</row>
    <row r="208" spans="1:39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</row>
    <row r="209" spans="1:39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</row>
    <row r="210" spans="1:39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</row>
    <row r="211" spans="1:39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</row>
    <row r="212" spans="1:39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</row>
    <row r="213" spans="1:39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</row>
    <row r="214" spans="1:39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</row>
    <row r="215" spans="1:39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</row>
    <row r="216" spans="1:39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</row>
    <row r="217" spans="1:39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</row>
    <row r="218" spans="1:39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</row>
    <row r="219" spans="1:39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</row>
    <row r="220" spans="1:39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</row>
    <row r="221" spans="1:39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</row>
    <row r="222" spans="1:39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</row>
    <row r="223" spans="1:39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</row>
    <row r="224" spans="1:39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</row>
    <row r="225" spans="1:39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</row>
    <row r="226" spans="1:39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</row>
    <row r="227" spans="1:39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</row>
    <row r="228" spans="1:39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</row>
    <row r="229" spans="1:39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</row>
    <row r="230" spans="1:39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</row>
    <row r="231" spans="1:39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</row>
    <row r="232" spans="1:39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</row>
    <row r="233" spans="1:39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</row>
    <row r="234" spans="1:39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</row>
    <row r="235" spans="1:39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</row>
    <row r="236" spans="1:39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</row>
    <row r="237" spans="1:39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</row>
    <row r="238" spans="1:39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</row>
    <row r="239" spans="1:39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</row>
    <row r="240" spans="1:39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</row>
    <row r="241" spans="1:39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</row>
    <row r="242" spans="1:39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</row>
    <row r="243" spans="1:39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</row>
    <row r="244" spans="1:39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</row>
    <row r="245" spans="1:39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</row>
    <row r="246" spans="1:39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</row>
    <row r="247" spans="1:39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</row>
    <row r="248" spans="1:39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</row>
    <row r="249" spans="1:39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</row>
    <row r="250" spans="1:39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</row>
    <row r="251" spans="1:39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</row>
    <row r="252" spans="1:39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</row>
    <row r="253" spans="1:39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</row>
    <row r="254" spans="1:39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</row>
    <row r="255" spans="1:39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</row>
    <row r="256" spans="1:39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</row>
    <row r="257" spans="1:39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</row>
    <row r="258" spans="1:39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</row>
    <row r="259" spans="1:39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</row>
    <row r="260" spans="1:39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</row>
    <row r="261" spans="1:39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</row>
    <row r="262" spans="1:39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</row>
    <row r="263" spans="1:39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</row>
    <row r="264" spans="1:39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</row>
    <row r="265" spans="1:39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</row>
    <row r="266" spans="1:39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</row>
    <row r="267" spans="1:39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</row>
    <row r="268" spans="1:39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</row>
    <row r="269" spans="1:39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</row>
    <row r="270" spans="1:39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</row>
    <row r="271" spans="1:39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</row>
    <row r="272" spans="1:39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</row>
    <row r="273" spans="1:39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</row>
    <row r="274" spans="1:39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</row>
    <row r="275" spans="1:39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</row>
    <row r="276" spans="1:39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</row>
    <row r="277" spans="1:39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</row>
    <row r="278" spans="1:39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</row>
    <row r="279" spans="1:39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</row>
    <row r="280" spans="1:39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</row>
    <row r="281" spans="1:39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</row>
    <row r="282" spans="1:39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</row>
    <row r="283" spans="1:39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</row>
    <row r="284" spans="1:39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</row>
    <row r="285" spans="1:39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</row>
    <row r="286" spans="1:39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</row>
    <row r="287" spans="1:39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</row>
    <row r="288" spans="1:39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</row>
    <row r="289" spans="1:39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</row>
    <row r="290" spans="1:39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</row>
    <row r="291" spans="1:39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</row>
    <row r="292" spans="1:39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</row>
    <row r="293" spans="1:39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</row>
    <row r="294" spans="1:39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</row>
    <row r="295" spans="1:39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</row>
    <row r="296" spans="1:39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</row>
    <row r="297" spans="1:39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</row>
    <row r="298" spans="1:39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</row>
    <row r="299" spans="1:39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</row>
    <row r="300" spans="1:39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</row>
    <row r="301" spans="1:39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</row>
    <row r="302" spans="1:39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</row>
    <row r="303" spans="1:39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</row>
    <row r="304" spans="1:39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</row>
    <row r="305" spans="1:39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</row>
    <row r="306" spans="1:39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</row>
    <row r="307" spans="1:39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</row>
    <row r="308" spans="1:39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</row>
    <row r="309" spans="1:39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</row>
    <row r="310" spans="1:39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</row>
    <row r="311" spans="1:39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</row>
    <row r="312" spans="1:39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</row>
    <row r="313" spans="1:39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</row>
    <row r="314" spans="1:39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</row>
    <row r="315" spans="1:39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</row>
    <row r="316" spans="1:39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</row>
    <row r="317" spans="1:39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</row>
    <row r="318" spans="1:39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</row>
    <row r="319" spans="1:39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</row>
    <row r="320" spans="1:39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</row>
    <row r="321" spans="1:39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</row>
    <row r="322" spans="1:39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</row>
    <row r="323" spans="1:39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</row>
    <row r="324" spans="1:39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</row>
    <row r="325" spans="1:39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</row>
    <row r="326" spans="1:39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</row>
    <row r="327" spans="1:39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</row>
    <row r="328" spans="1:39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</row>
    <row r="329" spans="1:39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</row>
    <row r="330" spans="1:39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</row>
    <row r="331" spans="1:39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</row>
    <row r="332" spans="1:39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</row>
    <row r="333" spans="1:39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</row>
    <row r="334" spans="1:39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</row>
    <row r="335" spans="1:39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</row>
    <row r="336" spans="1:39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</row>
    <row r="337" spans="1:39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</row>
    <row r="338" spans="1:39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</row>
    <row r="339" spans="1:39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</row>
    <row r="340" spans="1:39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</row>
    <row r="341" spans="1:39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</row>
    <row r="342" spans="1:39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</row>
    <row r="343" spans="1:39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</row>
    <row r="344" spans="1:39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</row>
    <row r="345" spans="1:39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</row>
    <row r="346" spans="1:39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</row>
    <row r="347" spans="1:39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</row>
    <row r="348" spans="1:39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</row>
    <row r="349" spans="1:39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</row>
    <row r="350" spans="1:39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</row>
    <row r="351" spans="1:39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</row>
    <row r="352" spans="1:39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</row>
    <row r="353" spans="1:39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</row>
    <row r="354" spans="1:39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</row>
    <row r="355" spans="1:39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</row>
    <row r="356" spans="1:39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</row>
    <row r="357" spans="1:39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</row>
    <row r="358" spans="1:39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</row>
    <row r="359" spans="1:39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</row>
    <row r="360" spans="1:39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</row>
    <row r="361" spans="1:39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</row>
    <row r="362" spans="1:39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</row>
    <row r="363" spans="1:39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</row>
    <row r="364" spans="1:39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</row>
    <row r="365" spans="1:39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</row>
    <row r="366" spans="1:39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</row>
    <row r="367" spans="1:39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</row>
    <row r="368" spans="1:39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</row>
    <row r="369" spans="1:39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</row>
    <row r="370" spans="1:39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</row>
    <row r="371" spans="1:39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</row>
    <row r="372" spans="1:39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</row>
    <row r="373" spans="1:39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</row>
    <row r="374" spans="1:39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</row>
    <row r="375" spans="1:39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</row>
    <row r="376" spans="1:39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</row>
    <row r="377" spans="1:39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</row>
    <row r="378" spans="1:39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</row>
    <row r="379" spans="1:39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</row>
    <row r="380" spans="1:39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</row>
    <row r="381" spans="1:39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</row>
    <row r="382" spans="1:39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</row>
    <row r="383" spans="1:39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</row>
    <row r="384" spans="1:39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</row>
    <row r="385" spans="1:39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</row>
    <row r="386" spans="1:39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</row>
    <row r="387" spans="1:39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</row>
    <row r="388" spans="1:39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</row>
    <row r="389" spans="1:39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</row>
    <row r="390" spans="1:39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</row>
    <row r="391" spans="1:39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</row>
    <row r="392" spans="1:39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</row>
    <row r="393" spans="1:39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</row>
    <row r="394" spans="1:39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</row>
    <row r="395" spans="1:39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</row>
    <row r="396" spans="1:39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</row>
    <row r="397" spans="1:39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</row>
    <row r="398" spans="1:39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</row>
    <row r="399" spans="1:39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</row>
    <row r="400" spans="1:39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</row>
    <row r="401" spans="1:39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</row>
    <row r="402" spans="1:39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</row>
    <row r="403" spans="1:39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</row>
    <row r="404" spans="1:39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</row>
    <row r="405" spans="1:39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</row>
    <row r="406" spans="1:39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</row>
    <row r="407" spans="1:39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</row>
    <row r="408" spans="1:39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</row>
    <row r="409" spans="1:39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</row>
    <row r="410" spans="1:39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</row>
    <row r="411" spans="1:39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</row>
    <row r="412" spans="1:39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</row>
    <row r="413" spans="1:39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</row>
    <row r="414" spans="1:39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</row>
    <row r="415" spans="1:39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</row>
    <row r="416" spans="1:39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</row>
    <row r="417" spans="1:39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</row>
    <row r="418" spans="1:39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</row>
    <row r="419" spans="1:39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</row>
    <row r="420" spans="1:39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</row>
    <row r="421" spans="1:39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</row>
    <row r="422" spans="1:39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</row>
    <row r="423" spans="1:39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</row>
    <row r="424" spans="1:39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</row>
    <row r="425" spans="1:39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</row>
    <row r="426" spans="1:39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</row>
    <row r="427" spans="1:39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</row>
    <row r="428" spans="1:39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</row>
    <row r="429" spans="1:39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</row>
    <row r="430" spans="1:39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</row>
    <row r="431" spans="1:39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</row>
    <row r="432" spans="1:39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</row>
    <row r="433" spans="1:39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</row>
    <row r="434" spans="1:39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</row>
    <row r="435" spans="1:39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</row>
    <row r="436" spans="1:39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</row>
    <row r="437" spans="1:39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</row>
    <row r="438" spans="1:39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</row>
    <row r="439" spans="1:39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</row>
    <row r="440" spans="1:39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</row>
    <row r="441" spans="1:39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</row>
    <row r="442" spans="1:39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</row>
    <row r="443" spans="1:39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</row>
    <row r="444" spans="1:39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</row>
    <row r="445" spans="1:39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</row>
    <row r="446" spans="1:39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</row>
    <row r="447" spans="1:39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</row>
    <row r="448" spans="1:39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</row>
    <row r="449" spans="1:39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</row>
    <row r="450" spans="1:39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</row>
    <row r="451" spans="1:39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</row>
    <row r="452" spans="1:39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</row>
    <row r="453" spans="1:39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</row>
    <row r="454" spans="1:39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</row>
    <row r="455" spans="1:39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</row>
    <row r="456" spans="1:39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</row>
    <row r="457" spans="1:39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</row>
    <row r="458" spans="1:39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</row>
    <row r="459" spans="1:39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</row>
    <row r="460" spans="1:39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</row>
    <row r="461" spans="1:39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</row>
    <row r="462" spans="1:39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</row>
    <row r="463" spans="1:39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</row>
    <row r="464" spans="1:39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</row>
    <row r="465" spans="1:39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</row>
    <row r="466" spans="1:39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</row>
    <row r="467" spans="1:39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</row>
    <row r="468" spans="1:39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</row>
    <row r="469" spans="1:39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</row>
    <row r="470" spans="1:39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</row>
    <row r="471" spans="1:39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</row>
    <row r="472" spans="1:39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</row>
    <row r="473" spans="1:39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</row>
    <row r="474" spans="1:39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</row>
    <row r="475" spans="1:39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</row>
    <row r="476" spans="1:39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</row>
    <row r="477" spans="1:39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</row>
    <row r="478" spans="1:39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</row>
    <row r="479" spans="1:39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</row>
    <row r="480" spans="1:39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</row>
    <row r="481" spans="1:39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</row>
    <row r="482" spans="1:39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</row>
    <row r="483" spans="1:39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</row>
    <row r="484" spans="1:39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</row>
    <row r="485" spans="1:39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</row>
    <row r="486" spans="1:39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</row>
    <row r="487" spans="1:39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</row>
    <row r="488" spans="1:39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</row>
    <row r="489" spans="1:39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</row>
    <row r="490" spans="1:39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</row>
    <row r="491" spans="1:39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</row>
    <row r="492" spans="1:39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</row>
    <row r="493" spans="1:39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</row>
    <row r="494" spans="1:39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</row>
    <row r="495" spans="1:39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</row>
    <row r="496" spans="1:39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</row>
    <row r="497" spans="1:39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</row>
    <row r="498" spans="1:39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</row>
  </sheetData>
  <autoFilter ref="A3:AN130" xr:uid="{7FF78DF6-B48B-4F0A-AC3C-5E06C4122D49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K10" sqref="K10"/>
    </sheetView>
  </sheetViews>
  <sheetFormatPr defaultRowHeight="15" x14ac:dyDescent="0.25"/>
  <cols>
    <col min="2" max="2" width="9.140625" style="17" customWidth="1"/>
    <col min="3" max="3" width="111.140625" bestFit="1" customWidth="1"/>
  </cols>
  <sheetData>
    <row r="1" spans="1:8" x14ac:dyDescent="0.25">
      <c r="A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</row>
    <row r="2" spans="1:8" x14ac:dyDescent="0.25">
      <c r="A2" t="s">
        <v>319</v>
      </c>
      <c r="B2" s="17" t="str">
        <f t="shared" ref="B2:B25" si="0">SUBSTITUTE(A2," ","")</f>
        <v>SU001051</v>
      </c>
      <c r="C2" t="s">
        <v>320</v>
      </c>
      <c r="D2" t="s">
        <v>321</v>
      </c>
      <c r="E2" t="s">
        <v>322</v>
      </c>
      <c r="F2" t="s">
        <v>322</v>
      </c>
      <c r="G2" t="s">
        <v>323</v>
      </c>
      <c r="H2">
        <f t="shared" ref="H2:H25" si="1">--SUBSTITUTE(G2," ","")</f>
        <v>-92</v>
      </c>
    </row>
    <row r="3" spans="1:8" x14ac:dyDescent="0.25">
      <c r="A3" t="s">
        <v>324</v>
      </c>
      <c r="B3" s="17" t="str">
        <f t="shared" si="0"/>
        <v>SU002074</v>
      </c>
      <c r="C3" t="s">
        <v>325</v>
      </c>
      <c r="D3" t="s">
        <v>326</v>
      </c>
      <c r="E3" t="s">
        <v>322</v>
      </c>
      <c r="F3" t="s">
        <v>322</v>
      </c>
      <c r="G3" t="s">
        <v>327</v>
      </c>
      <c r="H3">
        <f t="shared" si="1"/>
        <v>-360</v>
      </c>
    </row>
    <row r="4" spans="1:8" x14ac:dyDescent="0.25">
      <c r="A4" t="s">
        <v>328</v>
      </c>
      <c r="B4" s="17" t="str">
        <f t="shared" si="0"/>
        <v>SU002205</v>
      </c>
      <c r="C4" t="s">
        <v>329</v>
      </c>
      <c r="D4" t="s">
        <v>330</v>
      </c>
      <c r="E4" t="s">
        <v>322</v>
      </c>
      <c r="F4" t="s">
        <v>322</v>
      </c>
      <c r="G4" t="s">
        <v>331</v>
      </c>
      <c r="H4">
        <f t="shared" si="1"/>
        <v>-22</v>
      </c>
    </row>
    <row r="5" spans="1:8" x14ac:dyDescent="0.25">
      <c r="A5" t="s">
        <v>332</v>
      </c>
      <c r="B5" s="17" t="str">
        <f t="shared" si="0"/>
        <v>SU002287</v>
      </c>
      <c r="C5" t="s">
        <v>333</v>
      </c>
      <c r="D5" t="s">
        <v>334</v>
      </c>
      <c r="E5" t="s">
        <v>322</v>
      </c>
      <c r="F5" t="s">
        <v>322</v>
      </c>
      <c r="G5" t="s">
        <v>335</v>
      </c>
      <c r="H5">
        <f t="shared" si="1"/>
        <v>-90</v>
      </c>
    </row>
    <row r="6" spans="1:8" x14ac:dyDescent="0.25">
      <c r="A6" t="s">
        <v>336</v>
      </c>
      <c r="B6" s="17" t="str">
        <f t="shared" si="0"/>
        <v>SU002618</v>
      </c>
      <c r="C6" t="s">
        <v>337</v>
      </c>
      <c r="D6" t="s">
        <v>338</v>
      </c>
      <c r="E6" t="s">
        <v>322</v>
      </c>
      <c r="F6" t="s">
        <v>322</v>
      </c>
      <c r="G6" t="s">
        <v>339</v>
      </c>
      <c r="H6">
        <f t="shared" si="1"/>
        <v>-221</v>
      </c>
    </row>
    <row r="7" spans="1:8" x14ac:dyDescent="0.25">
      <c r="A7" t="s">
        <v>340</v>
      </c>
      <c r="B7" s="17" t="str">
        <f t="shared" si="0"/>
        <v>SU002655</v>
      </c>
      <c r="C7" t="s">
        <v>341</v>
      </c>
      <c r="D7" t="s">
        <v>342</v>
      </c>
      <c r="E7" t="s">
        <v>322</v>
      </c>
      <c r="F7" t="s">
        <v>322</v>
      </c>
      <c r="G7" t="s">
        <v>343</v>
      </c>
      <c r="H7">
        <f t="shared" si="1"/>
        <v>-117</v>
      </c>
    </row>
    <row r="8" spans="1:8" x14ac:dyDescent="0.25">
      <c r="A8" t="s">
        <v>344</v>
      </c>
      <c r="B8" s="17" t="str">
        <f t="shared" si="0"/>
        <v>SU002660</v>
      </c>
      <c r="C8" t="s">
        <v>345</v>
      </c>
      <c r="D8" t="s">
        <v>346</v>
      </c>
      <c r="E8" t="s">
        <v>322</v>
      </c>
      <c r="F8" t="s">
        <v>322</v>
      </c>
      <c r="G8" t="s">
        <v>347</v>
      </c>
      <c r="H8">
        <f t="shared" si="1"/>
        <v>-19</v>
      </c>
    </row>
    <row r="9" spans="1:8" x14ac:dyDescent="0.25">
      <c r="A9" t="s">
        <v>348</v>
      </c>
      <c r="B9" s="17" t="str">
        <f t="shared" si="0"/>
        <v>SU002756</v>
      </c>
      <c r="C9" t="s">
        <v>349</v>
      </c>
      <c r="D9" t="s">
        <v>350</v>
      </c>
      <c r="E9" t="s">
        <v>350</v>
      </c>
      <c r="F9" t="s">
        <v>351</v>
      </c>
      <c r="G9" t="s">
        <v>352</v>
      </c>
      <c r="H9">
        <f t="shared" si="1"/>
        <v>-7</v>
      </c>
    </row>
    <row r="10" spans="1:8" x14ac:dyDescent="0.25">
      <c r="A10" t="s">
        <v>353</v>
      </c>
      <c r="B10" s="17" t="str">
        <f t="shared" si="0"/>
        <v>SU002758</v>
      </c>
      <c r="C10" t="s">
        <v>354</v>
      </c>
      <c r="D10" t="s">
        <v>330</v>
      </c>
      <c r="E10" t="s">
        <v>322</v>
      </c>
      <c r="F10" t="s">
        <v>322</v>
      </c>
      <c r="G10" t="s">
        <v>331</v>
      </c>
      <c r="H10">
        <f t="shared" si="1"/>
        <v>-22</v>
      </c>
    </row>
    <row r="11" spans="1:8" x14ac:dyDescent="0.25">
      <c r="A11" t="s">
        <v>355</v>
      </c>
      <c r="B11" s="17" t="str">
        <f t="shared" si="0"/>
        <v>SU002759</v>
      </c>
      <c r="C11" t="s">
        <v>356</v>
      </c>
      <c r="D11" t="s">
        <v>330</v>
      </c>
      <c r="E11" t="s">
        <v>330</v>
      </c>
      <c r="F11" t="s">
        <v>322</v>
      </c>
      <c r="G11" t="s">
        <v>331</v>
      </c>
      <c r="H11">
        <f t="shared" si="1"/>
        <v>-22</v>
      </c>
    </row>
    <row r="12" spans="1:8" x14ac:dyDescent="0.25">
      <c r="A12" t="s">
        <v>357</v>
      </c>
      <c r="B12" s="17" t="str">
        <f t="shared" si="0"/>
        <v>SU002842</v>
      </c>
      <c r="C12" t="s">
        <v>358</v>
      </c>
      <c r="D12" t="s">
        <v>359</v>
      </c>
      <c r="E12" t="s">
        <v>322</v>
      </c>
      <c r="F12" t="s">
        <v>322</v>
      </c>
      <c r="G12" t="s">
        <v>360</v>
      </c>
      <c r="H12">
        <f t="shared" si="1"/>
        <v>-103</v>
      </c>
    </row>
    <row r="13" spans="1:8" x14ac:dyDescent="0.25">
      <c r="A13" t="s">
        <v>361</v>
      </c>
      <c r="B13" s="17" t="str">
        <f t="shared" si="0"/>
        <v>SU002847</v>
      </c>
      <c r="C13" t="s">
        <v>362</v>
      </c>
      <c r="D13" t="s">
        <v>363</v>
      </c>
      <c r="E13" t="s">
        <v>322</v>
      </c>
      <c r="F13" t="s">
        <v>322</v>
      </c>
      <c r="G13" t="s">
        <v>364</v>
      </c>
      <c r="H13">
        <f t="shared" si="1"/>
        <v>-101</v>
      </c>
    </row>
    <row r="14" spans="1:8" x14ac:dyDescent="0.25">
      <c r="A14" t="s">
        <v>365</v>
      </c>
      <c r="B14" s="17" t="str">
        <f t="shared" si="0"/>
        <v>SU002941</v>
      </c>
      <c r="C14" t="s">
        <v>366</v>
      </c>
      <c r="D14" t="s">
        <v>321</v>
      </c>
      <c r="E14" t="s">
        <v>322</v>
      </c>
      <c r="F14" t="s">
        <v>322</v>
      </c>
      <c r="G14" t="s">
        <v>323</v>
      </c>
      <c r="H14">
        <f t="shared" si="1"/>
        <v>-92</v>
      </c>
    </row>
    <row r="15" spans="1:8" x14ac:dyDescent="0.25">
      <c r="A15" t="s">
        <v>367</v>
      </c>
      <c r="B15" s="17" t="str">
        <f t="shared" si="0"/>
        <v>SU002942</v>
      </c>
      <c r="C15" t="s">
        <v>368</v>
      </c>
      <c r="D15" t="s">
        <v>369</v>
      </c>
      <c r="E15" t="s">
        <v>322</v>
      </c>
      <c r="F15" t="s">
        <v>322</v>
      </c>
      <c r="G15" t="s">
        <v>370</v>
      </c>
      <c r="H15">
        <f t="shared" si="1"/>
        <v>-18</v>
      </c>
    </row>
    <row r="16" spans="1:8" x14ac:dyDescent="0.25">
      <c r="A16" t="s">
        <v>371</v>
      </c>
      <c r="B16" s="17" t="str">
        <f t="shared" si="0"/>
        <v>SU002943</v>
      </c>
      <c r="C16" t="s">
        <v>372</v>
      </c>
      <c r="D16" t="s">
        <v>373</v>
      </c>
      <c r="E16" t="s">
        <v>322</v>
      </c>
      <c r="F16" t="s">
        <v>322</v>
      </c>
      <c r="G16" t="s">
        <v>374</v>
      </c>
      <c r="H16">
        <f t="shared" si="1"/>
        <v>-65</v>
      </c>
    </row>
    <row r="17" spans="1:8" x14ac:dyDescent="0.25">
      <c r="A17" t="s">
        <v>375</v>
      </c>
      <c r="B17" s="17" t="str">
        <f t="shared" si="0"/>
        <v>SU002944</v>
      </c>
      <c r="C17" t="s">
        <v>376</v>
      </c>
      <c r="D17" t="s">
        <v>377</v>
      </c>
      <c r="E17" t="s">
        <v>377</v>
      </c>
      <c r="F17" t="s">
        <v>322</v>
      </c>
      <c r="G17" t="s">
        <v>378</v>
      </c>
      <c r="H17">
        <f t="shared" si="1"/>
        <v>-13</v>
      </c>
    </row>
    <row r="18" spans="1:8" x14ac:dyDescent="0.25">
      <c r="A18" t="s">
        <v>379</v>
      </c>
      <c r="B18" s="17" t="str">
        <f t="shared" si="0"/>
        <v>SU002945</v>
      </c>
      <c r="C18" t="s">
        <v>380</v>
      </c>
      <c r="D18" t="s">
        <v>381</v>
      </c>
      <c r="E18" t="s">
        <v>322</v>
      </c>
      <c r="F18" t="s">
        <v>322</v>
      </c>
      <c r="G18" t="s">
        <v>382</v>
      </c>
      <c r="H18">
        <f t="shared" si="1"/>
        <v>-362</v>
      </c>
    </row>
    <row r="19" spans="1:8" x14ac:dyDescent="0.25">
      <c r="A19" t="s">
        <v>383</v>
      </c>
      <c r="B19" s="17" t="str">
        <f t="shared" si="0"/>
        <v>SU002947</v>
      </c>
      <c r="C19" t="s">
        <v>384</v>
      </c>
      <c r="D19" t="s">
        <v>321</v>
      </c>
      <c r="E19" t="s">
        <v>321</v>
      </c>
      <c r="F19" t="s">
        <v>322</v>
      </c>
      <c r="G19" t="s">
        <v>323</v>
      </c>
      <c r="H19">
        <f t="shared" si="1"/>
        <v>-92</v>
      </c>
    </row>
    <row r="20" spans="1:8" x14ac:dyDescent="0.25">
      <c r="A20" t="s">
        <v>385</v>
      </c>
      <c r="B20" s="17" t="str">
        <f t="shared" si="0"/>
        <v>SU002948</v>
      </c>
      <c r="C20" t="s">
        <v>386</v>
      </c>
      <c r="D20" t="s">
        <v>369</v>
      </c>
      <c r="E20" t="s">
        <v>322</v>
      </c>
      <c r="F20" t="s">
        <v>322</v>
      </c>
      <c r="G20" t="s">
        <v>370</v>
      </c>
      <c r="H20">
        <f t="shared" si="1"/>
        <v>-18</v>
      </c>
    </row>
    <row r="21" spans="1:8" x14ac:dyDescent="0.25">
      <c r="A21" t="s">
        <v>387</v>
      </c>
      <c r="B21" s="17" t="str">
        <f t="shared" si="0"/>
        <v>SU003829</v>
      </c>
      <c r="C21" t="s">
        <v>388</v>
      </c>
      <c r="D21" t="s">
        <v>389</v>
      </c>
      <c r="E21" t="s">
        <v>322</v>
      </c>
      <c r="F21" t="s">
        <v>322</v>
      </c>
      <c r="G21" t="s">
        <v>390</v>
      </c>
      <c r="H21">
        <f t="shared" si="1"/>
        <v>-27</v>
      </c>
    </row>
    <row r="22" spans="1:8" x14ac:dyDescent="0.25">
      <c r="A22" t="s">
        <v>391</v>
      </c>
      <c r="B22" s="17" t="str">
        <f t="shared" si="0"/>
        <v>SU003893</v>
      </c>
      <c r="C22" t="s">
        <v>392</v>
      </c>
      <c r="D22" t="s">
        <v>393</v>
      </c>
      <c r="E22" t="s">
        <v>322</v>
      </c>
      <c r="F22" t="s">
        <v>322</v>
      </c>
      <c r="G22" t="s">
        <v>394</v>
      </c>
      <c r="H22">
        <f t="shared" si="1"/>
        <v>-5</v>
      </c>
    </row>
    <row r="23" spans="1:8" x14ac:dyDescent="0.25">
      <c r="A23" t="s">
        <v>395</v>
      </c>
      <c r="B23" s="17" t="str">
        <f t="shared" si="0"/>
        <v>SU003921</v>
      </c>
      <c r="C23" t="s">
        <v>396</v>
      </c>
      <c r="D23" t="s">
        <v>397</v>
      </c>
      <c r="E23" t="s">
        <v>322</v>
      </c>
      <c r="F23" t="s">
        <v>322</v>
      </c>
      <c r="G23" t="s">
        <v>398</v>
      </c>
      <c r="H23">
        <f t="shared" si="1"/>
        <v>-9</v>
      </c>
    </row>
    <row r="24" spans="1:8" x14ac:dyDescent="0.25">
      <c r="A24" t="s">
        <v>399</v>
      </c>
      <c r="B24" s="17" t="str">
        <f t="shared" si="0"/>
        <v>SU004041</v>
      </c>
      <c r="C24" t="s">
        <v>400</v>
      </c>
      <c r="D24" t="s">
        <v>401</v>
      </c>
      <c r="E24" t="s">
        <v>322</v>
      </c>
      <c r="F24" t="s">
        <v>322</v>
      </c>
      <c r="G24" t="s">
        <v>402</v>
      </c>
      <c r="H24">
        <f t="shared" si="1"/>
        <v>-70</v>
      </c>
    </row>
    <row r="25" spans="1:8" x14ac:dyDescent="0.25">
      <c r="A25" t="s">
        <v>403</v>
      </c>
      <c r="B25" s="17" t="str">
        <f t="shared" si="0"/>
        <v>SU004047</v>
      </c>
      <c r="C25" t="s">
        <v>404</v>
      </c>
      <c r="D25" t="s">
        <v>401</v>
      </c>
      <c r="E25" t="s">
        <v>401</v>
      </c>
      <c r="F25" t="s">
        <v>322</v>
      </c>
      <c r="G25" t="s">
        <v>402</v>
      </c>
      <c r="H25">
        <f t="shared" si="1"/>
        <v>-70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31,08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2026-09-03T12:17:24Z</dcterms:created>
  <dcterms:modified xsi:type="dcterms:W3CDTF">2026-09-08T08:42:58Z</dcterms:modified>
</cp:coreProperties>
</file>