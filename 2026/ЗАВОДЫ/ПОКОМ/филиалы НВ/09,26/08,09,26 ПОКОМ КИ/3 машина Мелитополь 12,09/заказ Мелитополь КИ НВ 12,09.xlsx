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58EE94C-33AA-43CC-9B61-F9CB99AE10A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73" i="1" l="1"/>
  <c r="X562" i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1" i="1"/>
  <c r="Y430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4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Y405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Y386" i="1" s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Y339" i="1" s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9" i="1" s="1"/>
  <c r="P287" i="1"/>
  <c r="X285" i="1"/>
  <c r="X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Y285" i="1" s="1"/>
  <c r="P276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Y273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M573" i="1" s="1"/>
  <c r="P266" i="1"/>
  <c r="X263" i="1"/>
  <c r="X262" i="1"/>
  <c r="BO261" i="1"/>
  <c r="BM261" i="1"/>
  <c r="Y261" i="1"/>
  <c r="Y262" i="1" s="1"/>
  <c r="P261" i="1"/>
  <c r="X259" i="1"/>
  <c r="X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58" i="1" s="1"/>
  <c r="P255" i="1"/>
  <c r="X253" i="1"/>
  <c r="X252" i="1"/>
  <c r="BO251" i="1"/>
  <c r="BM251" i="1"/>
  <c r="Y251" i="1"/>
  <c r="BP251" i="1" s="1"/>
  <c r="P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Y252" i="1" s="1"/>
  <c r="P247" i="1"/>
  <c r="X245" i="1"/>
  <c r="X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44" i="1" s="1"/>
  <c r="P230" i="1"/>
  <c r="X228" i="1"/>
  <c r="Y227" i="1"/>
  <c r="X227" i="1"/>
  <c r="BP226" i="1"/>
  <c r="BO226" i="1"/>
  <c r="BN226" i="1"/>
  <c r="BM226" i="1"/>
  <c r="Z226" i="1"/>
  <c r="Z227" i="1" s="1"/>
  <c r="Y226" i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Y203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BP194" i="1" s="1"/>
  <c r="P194" i="1"/>
  <c r="BP193" i="1"/>
  <c r="BO193" i="1"/>
  <c r="BN193" i="1"/>
  <c r="BM193" i="1"/>
  <c r="Z193" i="1"/>
  <c r="Y193" i="1"/>
  <c r="BP192" i="1"/>
  <c r="BO192" i="1"/>
  <c r="BN192" i="1"/>
  <c r="BM192" i="1"/>
  <c r="Z192" i="1"/>
  <c r="Y192" i="1"/>
  <c r="P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BP189" i="1" s="1"/>
  <c r="BO188" i="1"/>
  <c r="BM188" i="1"/>
  <c r="Y188" i="1"/>
  <c r="BP188" i="1" s="1"/>
  <c r="P188" i="1"/>
  <c r="BP187" i="1"/>
  <c r="BO187" i="1"/>
  <c r="BN187" i="1"/>
  <c r="BM187" i="1"/>
  <c r="Z187" i="1"/>
  <c r="Y187" i="1"/>
  <c r="BP186" i="1"/>
  <c r="BO186" i="1"/>
  <c r="BN186" i="1"/>
  <c r="BM186" i="1"/>
  <c r="Z186" i="1"/>
  <c r="Y186" i="1"/>
  <c r="P186" i="1"/>
  <c r="BO185" i="1"/>
  <c r="BM185" i="1"/>
  <c r="Y185" i="1"/>
  <c r="BP185" i="1" s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97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573" i="1" s="1"/>
  <c r="P140" i="1"/>
  <c r="X137" i="1"/>
  <c r="X136" i="1"/>
  <c r="BO135" i="1"/>
  <c r="BM135" i="1"/>
  <c r="Y135" i="1"/>
  <c r="BP135" i="1" s="1"/>
  <c r="BO134" i="1"/>
  <c r="BM134" i="1"/>
  <c r="Y134" i="1"/>
  <c r="Y136" i="1" s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Y131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21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Y113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1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73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63" i="1" s="1"/>
  <c r="X24" i="1"/>
  <c r="X567" i="1" s="1"/>
  <c r="BP23" i="1"/>
  <c r="BO23" i="1"/>
  <c r="BN23" i="1"/>
  <c r="BM23" i="1"/>
  <c r="Z23" i="1"/>
  <c r="Y23" i="1"/>
  <c r="P23" i="1"/>
  <c r="BO22" i="1"/>
  <c r="X565" i="1" s="1"/>
  <c r="BM22" i="1"/>
  <c r="X564" i="1" s="1"/>
  <c r="X566" i="1" s="1"/>
  <c r="Y22" i="1"/>
  <c r="B573" i="1" s="1"/>
  <c r="P22" i="1"/>
  <c r="H10" i="1"/>
  <c r="A9" i="1"/>
  <c r="F10" i="1" s="1"/>
  <c r="D7" i="1"/>
  <c r="Q6" i="1"/>
  <c r="P2" i="1"/>
  <c r="Z68" i="1" l="1"/>
  <c r="Z163" i="1"/>
  <c r="Z32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Y180" i="1"/>
  <c r="Y196" i="1"/>
  <c r="Y202" i="1"/>
  <c r="Y222" i="1"/>
  <c r="Y245" i="1"/>
  <c r="Y253" i="1"/>
  <c r="Y259" i="1"/>
  <c r="Y263" i="1"/>
  <c r="Y268" i="1"/>
  <c r="Y274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BP311" i="1"/>
  <c r="BN311" i="1"/>
  <c r="Z311" i="1"/>
  <c r="Y315" i="1"/>
  <c r="Z329" i="1"/>
  <c r="BP327" i="1"/>
  <c r="BN327" i="1"/>
  <c r="Z327" i="1"/>
  <c r="BP336" i="1"/>
  <c r="BN336" i="1"/>
  <c r="Z336" i="1"/>
  <c r="BP350" i="1"/>
  <c r="BN350" i="1"/>
  <c r="Z350" i="1"/>
  <c r="Z354" i="1" s="1"/>
  <c r="Y354" i="1"/>
  <c r="BP358" i="1"/>
  <c r="BN358" i="1"/>
  <c r="Z358" i="1"/>
  <c r="Z359" i="1" s="1"/>
  <c r="Y360" i="1"/>
  <c r="S573" i="1"/>
  <c r="Y366" i="1"/>
  <c r="BP363" i="1"/>
  <c r="BN363" i="1"/>
  <c r="Z363" i="1"/>
  <c r="Z366" i="1" s="1"/>
  <c r="BP372" i="1"/>
  <c r="BN372" i="1"/>
  <c r="Z372" i="1"/>
  <c r="BP380" i="1"/>
  <c r="BN380" i="1"/>
  <c r="Z380" i="1"/>
  <c r="BP384" i="1"/>
  <c r="BN384" i="1"/>
  <c r="Z384" i="1"/>
  <c r="Y393" i="1"/>
  <c r="BP388" i="1"/>
  <c r="BN388" i="1"/>
  <c r="Z388" i="1"/>
  <c r="Y392" i="1"/>
  <c r="BP396" i="1"/>
  <c r="BN396" i="1"/>
  <c r="Z396" i="1"/>
  <c r="Z398" i="1" s="1"/>
  <c r="BP404" i="1"/>
  <c r="BN404" i="1"/>
  <c r="Z404" i="1"/>
  <c r="Y406" i="1"/>
  <c r="Y411" i="1"/>
  <c r="BP408" i="1"/>
  <c r="BN408" i="1"/>
  <c r="Z408" i="1"/>
  <c r="Z411" i="1" s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G573" i="1"/>
  <c r="X573" i="1"/>
  <c r="F9" i="1"/>
  <c r="J9" i="1"/>
  <c r="Z22" i="1"/>
  <c r="Z24" i="1" s="1"/>
  <c r="BN22" i="1"/>
  <c r="BP22" i="1"/>
  <c r="Y25" i="1"/>
  <c r="Z28" i="1"/>
  <c r="BN28" i="1"/>
  <c r="Z30" i="1"/>
  <c r="BN30" i="1"/>
  <c r="C573" i="1"/>
  <c r="Z38" i="1"/>
  <c r="Z42" i="1" s="1"/>
  <c r="BN38" i="1"/>
  <c r="Z40" i="1"/>
  <c r="BN40" i="1"/>
  <c r="Y43" i="1"/>
  <c r="D573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73" i="1"/>
  <c r="Z86" i="1"/>
  <c r="Z90" i="1" s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Z105" i="1"/>
  <c r="Z112" i="1" s="1"/>
  <c r="BN105" i="1"/>
  <c r="Z107" i="1"/>
  <c r="BN107" i="1"/>
  <c r="Z109" i="1"/>
  <c r="BN109" i="1"/>
  <c r="Z110" i="1"/>
  <c r="BN110" i="1"/>
  <c r="Z116" i="1"/>
  <c r="Z120" i="1" s="1"/>
  <c r="BN116" i="1"/>
  <c r="Z118" i="1"/>
  <c r="BN118" i="1"/>
  <c r="Z125" i="1"/>
  <c r="Z131" i="1" s="1"/>
  <c r="BN125" i="1"/>
  <c r="Z126" i="1"/>
  <c r="BN126" i="1"/>
  <c r="Z129" i="1"/>
  <c r="BN129" i="1"/>
  <c r="Z130" i="1"/>
  <c r="BN130" i="1"/>
  <c r="Z134" i="1"/>
  <c r="Z136" i="1" s="1"/>
  <c r="BN134" i="1"/>
  <c r="BP134" i="1"/>
  <c r="Z135" i="1"/>
  <c r="BN135" i="1"/>
  <c r="Z140" i="1"/>
  <c r="Z142" i="1" s="1"/>
  <c r="BN140" i="1"/>
  <c r="BP140" i="1"/>
  <c r="Y143" i="1"/>
  <c r="Z146" i="1"/>
  <c r="Z147" i="1" s="1"/>
  <c r="BN146" i="1"/>
  <c r="Z150" i="1"/>
  <c r="Z152" i="1" s="1"/>
  <c r="BN150" i="1"/>
  <c r="BP150" i="1"/>
  <c r="I573" i="1"/>
  <c r="Z157" i="1"/>
  <c r="BN157" i="1"/>
  <c r="Z159" i="1"/>
  <c r="BN159" i="1"/>
  <c r="Z161" i="1"/>
  <c r="BN161" i="1"/>
  <c r="Y164" i="1"/>
  <c r="J573" i="1"/>
  <c r="Z172" i="1"/>
  <c r="Z174" i="1" s="1"/>
  <c r="BN172" i="1"/>
  <c r="Y175" i="1"/>
  <c r="Z178" i="1"/>
  <c r="Z179" i="1" s="1"/>
  <c r="BN178" i="1"/>
  <c r="Z182" i="1"/>
  <c r="Z196" i="1" s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Z200" i="1"/>
  <c r="Z202" i="1" s="1"/>
  <c r="BN200" i="1"/>
  <c r="K573" i="1"/>
  <c r="Z216" i="1"/>
  <c r="Z222" i="1" s="1"/>
  <c r="BN216" i="1"/>
  <c r="Z218" i="1"/>
  <c r="BN218" i="1"/>
  <c r="Z220" i="1"/>
  <c r="BN220" i="1"/>
  <c r="Y223" i="1"/>
  <c r="L573" i="1"/>
  <c r="Y228" i="1"/>
  <c r="Z231" i="1"/>
  <c r="Z244" i="1" s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Z247" i="1"/>
  <c r="BN247" i="1"/>
  <c r="BP247" i="1"/>
  <c r="Z249" i="1"/>
  <c r="BN249" i="1"/>
  <c r="Z251" i="1"/>
  <c r="BN251" i="1"/>
  <c r="Z255" i="1"/>
  <c r="Z258" i="1" s="1"/>
  <c r="BN255" i="1"/>
  <c r="BP255" i="1"/>
  <c r="Z257" i="1"/>
  <c r="BN257" i="1"/>
  <c r="Z261" i="1"/>
  <c r="Z262" i="1" s="1"/>
  <c r="BN261" i="1"/>
  <c r="BP261" i="1"/>
  <c r="Z266" i="1"/>
  <c r="Z268" i="1" s="1"/>
  <c r="BN266" i="1"/>
  <c r="BP266" i="1"/>
  <c r="Y269" i="1"/>
  <c r="Z272" i="1"/>
  <c r="Z273" i="1" s="1"/>
  <c r="BN272" i="1"/>
  <c r="Z276" i="1"/>
  <c r="Z284" i="1" s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Y304" i="1"/>
  <c r="BP309" i="1"/>
  <c r="BN309" i="1"/>
  <c r="Z309" i="1"/>
  <c r="Z315" i="1" s="1"/>
  <c r="BP313" i="1"/>
  <c r="BN313" i="1"/>
  <c r="Z313" i="1"/>
  <c r="Y330" i="1"/>
  <c r="Y329" i="1"/>
  <c r="Z338" i="1"/>
  <c r="BP334" i="1"/>
  <c r="BN334" i="1"/>
  <c r="Z334" i="1"/>
  <c r="Y338" i="1"/>
  <c r="BP343" i="1"/>
  <c r="BN343" i="1"/>
  <c r="Z343" i="1"/>
  <c r="Z345" i="1" s="1"/>
  <c r="BP352" i="1"/>
  <c r="BN352" i="1"/>
  <c r="Z352" i="1"/>
  <c r="Y359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Y399" i="1"/>
  <c r="Y398" i="1"/>
  <c r="BP402" i="1"/>
  <c r="BN402" i="1"/>
  <c r="Z402" i="1"/>
  <c r="Z405" i="1" s="1"/>
  <c r="BP410" i="1"/>
  <c r="BN410" i="1"/>
  <c r="Z410" i="1"/>
  <c r="Y412" i="1"/>
  <c r="Y417" i="1"/>
  <c r="BP414" i="1"/>
  <c r="BN414" i="1"/>
  <c r="Z414" i="1"/>
  <c r="Z417" i="1" s="1"/>
  <c r="Y423" i="1"/>
  <c r="Z430" i="1"/>
  <c r="BP428" i="1"/>
  <c r="BN428" i="1"/>
  <c r="Z428" i="1"/>
  <c r="BP438" i="1"/>
  <c r="BN438" i="1"/>
  <c r="Z438" i="1"/>
  <c r="Z443" i="1" s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Y563" i="1" l="1"/>
  <c r="Y564" i="1"/>
  <c r="Z533" i="1"/>
  <c r="Z476" i="1"/>
  <c r="Z455" i="1"/>
  <c r="Y567" i="1"/>
  <c r="Z517" i="1"/>
  <c r="Z487" i="1"/>
  <c r="Z385" i="1"/>
  <c r="Z375" i="1"/>
  <c r="Z299" i="1"/>
  <c r="Z252" i="1"/>
  <c r="Z100" i="1"/>
  <c r="Z74" i="1"/>
  <c r="Z568" i="1" s="1"/>
  <c r="Z61" i="1"/>
  <c r="Y565" i="1"/>
  <c r="Z503" i="1"/>
  <c r="Z392" i="1"/>
  <c r="Y566" i="1" l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<sst xmlns="http://schemas.openxmlformats.org/spreadsheetml/2006/main" count="2588" uniqueCount="926">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</sst>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9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953" t="s">
        <v>0</v>
      </c>
      <c r="E1" s="696"/>
      <c r="F1" s="696"/>
      <c r="G1" s="12" t="s">
        <v>1</v>
      </c>
      <c r="H1" s="953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999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1"/>
      <c r="R2" s="661"/>
      <c r="S2" s="661"/>
      <c r="T2" s="661"/>
      <c r="U2" s="661"/>
      <c r="V2" s="661"/>
      <c r="W2" s="661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1"/>
      <c r="Q3" s="661"/>
      <c r="R3" s="661"/>
      <c r="S3" s="661"/>
      <c r="T3" s="661"/>
      <c r="U3" s="661"/>
      <c r="V3" s="661"/>
      <c r="W3" s="661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905" t="s">
        <v>8</v>
      </c>
      <c r="B5" s="779"/>
      <c r="C5" s="686"/>
      <c r="D5" s="792"/>
      <c r="E5" s="794"/>
      <c r="F5" s="728" t="s">
        <v>9</v>
      </c>
      <c r="G5" s="686"/>
      <c r="H5" s="792"/>
      <c r="I5" s="793"/>
      <c r="J5" s="793"/>
      <c r="K5" s="793"/>
      <c r="L5" s="793"/>
      <c r="M5" s="794"/>
      <c r="N5" s="58"/>
      <c r="P5" s="24" t="s">
        <v>10</v>
      </c>
      <c r="Q5" s="702">
        <v>46272</v>
      </c>
      <c r="R5" s="703"/>
      <c r="T5" s="872" t="s">
        <v>11</v>
      </c>
      <c r="U5" s="873"/>
      <c r="V5" s="876" t="s">
        <v>12</v>
      </c>
      <c r="W5" s="703"/>
      <c r="AB5" s="51"/>
      <c r="AC5" s="51"/>
      <c r="AD5" s="51"/>
      <c r="AE5" s="51"/>
    </row>
    <row r="6" spans="1:32" s="645" customFormat="1" ht="24" customHeight="1" x14ac:dyDescent="0.2">
      <c r="A6" s="905" t="s">
        <v>13</v>
      </c>
      <c r="B6" s="779"/>
      <c r="C6" s="686"/>
      <c r="D6" s="797"/>
      <c r="E6" s="798"/>
      <c r="F6" s="798"/>
      <c r="G6" s="798"/>
      <c r="H6" s="798"/>
      <c r="I6" s="798"/>
      <c r="J6" s="798"/>
      <c r="K6" s="798"/>
      <c r="L6" s="798"/>
      <c r="M6" s="703"/>
      <c r="N6" s="59"/>
      <c r="P6" s="24" t="s">
        <v>14</v>
      </c>
      <c r="Q6" s="715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83" t="s">
        <v>15</v>
      </c>
      <c r="U6" s="873"/>
      <c r="V6" s="722" t="s">
        <v>16</v>
      </c>
      <c r="W6" s="723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972">
        <f>IFERROR(VLOOKUP(DeliveryAddress,Table,3,0),1)</f>
        <v>1</v>
      </c>
      <c r="E7" s="973"/>
      <c r="F7" s="973"/>
      <c r="G7" s="973"/>
      <c r="H7" s="973"/>
      <c r="I7" s="973"/>
      <c r="J7" s="973"/>
      <c r="K7" s="973"/>
      <c r="L7" s="973"/>
      <c r="M7" s="878"/>
      <c r="N7" s="60"/>
      <c r="P7" s="24"/>
      <c r="Q7" s="42"/>
      <c r="R7" s="42"/>
      <c r="T7" s="661"/>
      <c r="U7" s="873"/>
      <c r="V7" s="724"/>
      <c r="W7" s="725"/>
      <c r="AB7" s="51"/>
      <c r="AC7" s="51"/>
      <c r="AD7" s="51"/>
      <c r="AE7" s="51"/>
    </row>
    <row r="8" spans="1:32" s="645" customFormat="1" ht="25.5" customHeight="1" x14ac:dyDescent="0.2">
      <c r="A8" s="687" t="s">
        <v>17</v>
      </c>
      <c r="B8" s="676"/>
      <c r="C8" s="677"/>
      <c r="D8" s="982"/>
      <c r="E8" s="983"/>
      <c r="F8" s="983"/>
      <c r="G8" s="983"/>
      <c r="H8" s="983"/>
      <c r="I8" s="983"/>
      <c r="J8" s="983"/>
      <c r="K8" s="983"/>
      <c r="L8" s="983"/>
      <c r="M8" s="984"/>
      <c r="N8" s="61"/>
      <c r="P8" s="24" t="s">
        <v>18</v>
      </c>
      <c r="Q8" s="877">
        <v>0.41666666666666669</v>
      </c>
      <c r="R8" s="878"/>
      <c r="T8" s="661"/>
      <c r="U8" s="873"/>
      <c r="V8" s="724"/>
      <c r="W8" s="725"/>
      <c r="AB8" s="51"/>
      <c r="AC8" s="51"/>
      <c r="AD8" s="51"/>
      <c r="AE8" s="51"/>
    </row>
    <row r="9" spans="1:32" s="645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744"/>
      <c r="E9" s="745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847" t="str">
        <f>IF(AND($A$9="Тип доверенности/получателя при получении в адресе перегруза:",$D$9="Разовая доверенность"),"Введите ФИО","")</f>
        <v/>
      </c>
      <c r="I9" s="745"/>
      <c r="J9" s="8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45"/>
      <c r="L9" s="745"/>
      <c r="M9" s="745"/>
      <c r="N9" s="643"/>
      <c r="P9" s="26" t="s">
        <v>19</v>
      </c>
      <c r="Q9" s="915"/>
      <c r="R9" s="733"/>
      <c r="T9" s="661"/>
      <c r="U9" s="873"/>
      <c r="V9" s="726"/>
      <c r="W9" s="727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744"/>
      <c r="E10" s="745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817" t="str">
        <f>IFERROR(VLOOKUP($D$10,Proxy,2,FALSE),"")</f>
        <v/>
      </c>
      <c r="I10" s="661"/>
      <c r="J10" s="661"/>
      <c r="K10" s="661"/>
      <c r="L10" s="661"/>
      <c r="M10" s="661"/>
      <c r="N10" s="644"/>
      <c r="P10" s="26" t="s">
        <v>20</v>
      </c>
      <c r="Q10" s="884"/>
      <c r="R10" s="885"/>
      <c r="U10" s="24" t="s">
        <v>21</v>
      </c>
      <c r="V10" s="1029" t="s">
        <v>22</v>
      </c>
      <c r="W10" s="723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18"/>
      <c r="R11" s="703"/>
      <c r="U11" s="24" t="s">
        <v>25</v>
      </c>
      <c r="V11" s="732" t="s">
        <v>26</v>
      </c>
      <c r="W11" s="733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56" t="s">
        <v>27</v>
      </c>
      <c r="B12" s="779"/>
      <c r="C12" s="779"/>
      <c r="D12" s="779"/>
      <c r="E12" s="779"/>
      <c r="F12" s="779"/>
      <c r="G12" s="779"/>
      <c r="H12" s="779"/>
      <c r="I12" s="779"/>
      <c r="J12" s="779"/>
      <c r="K12" s="779"/>
      <c r="L12" s="779"/>
      <c r="M12" s="686"/>
      <c r="N12" s="62"/>
      <c r="P12" s="24" t="s">
        <v>28</v>
      </c>
      <c r="Q12" s="877"/>
      <c r="R12" s="878"/>
      <c r="S12" s="23"/>
      <c r="U12" s="24"/>
      <c r="V12" s="696"/>
      <c r="W12" s="661"/>
      <c r="AB12" s="51"/>
      <c r="AC12" s="51"/>
      <c r="AD12" s="51"/>
      <c r="AE12" s="51"/>
    </row>
    <row r="13" spans="1:32" s="645" customFormat="1" ht="23.25" customHeight="1" x14ac:dyDescent="0.2">
      <c r="A13" s="856" t="s">
        <v>29</v>
      </c>
      <c r="B13" s="779"/>
      <c r="C13" s="779"/>
      <c r="D13" s="779"/>
      <c r="E13" s="779"/>
      <c r="F13" s="779"/>
      <c r="G13" s="779"/>
      <c r="H13" s="779"/>
      <c r="I13" s="779"/>
      <c r="J13" s="779"/>
      <c r="K13" s="779"/>
      <c r="L13" s="779"/>
      <c r="M13" s="686"/>
      <c r="N13" s="62"/>
      <c r="O13" s="26"/>
      <c r="P13" s="26" t="s">
        <v>30</v>
      </c>
      <c r="Q13" s="732"/>
      <c r="R13" s="73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56" t="s">
        <v>31</v>
      </c>
      <c r="B14" s="779"/>
      <c r="C14" s="779"/>
      <c r="D14" s="779"/>
      <c r="E14" s="779"/>
      <c r="F14" s="779"/>
      <c r="G14" s="779"/>
      <c r="H14" s="779"/>
      <c r="I14" s="779"/>
      <c r="J14" s="779"/>
      <c r="K14" s="779"/>
      <c r="L14" s="779"/>
      <c r="M14" s="68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58" t="s">
        <v>32</v>
      </c>
      <c r="B15" s="779"/>
      <c r="C15" s="779"/>
      <c r="D15" s="779"/>
      <c r="E15" s="779"/>
      <c r="F15" s="779"/>
      <c r="G15" s="779"/>
      <c r="H15" s="779"/>
      <c r="I15" s="779"/>
      <c r="J15" s="779"/>
      <c r="K15" s="779"/>
      <c r="L15" s="779"/>
      <c r="M15" s="686"/>
      <c r="N15" s="63"/>
      <c r="P15" s="895" t="s">
        <v>33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96"/>
      <c r="Q16" s="896"/>
      <c r="R16" s="896"/>
      <c r="S16" s="896"/>
      <c r="T16" s="8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908" t="s">
        <v>36</v>
      </c>
      <c r="D17" s="662" t="s">
        <v>37</v>
      </c>
      <c r="E17" s="66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1032"/>
      <c r="R17" s="1032"/>
      <c r="S17" s="1032"/>
      <c r="T17" s="663"/>
      <c r="U17" s="685" t="s">
        <v>49</v>
      </c>
      <c r="V17" s="686"/>
      <c r="W17" s="662" t="s">
        <v>50</v>
      </c>
      <c r="X17" s="662" t="s">
        <v>51</v>
      </c>
      <c r="Y17" s="680" t="s">
        <v>52</v>
      </c>
      <c r="Z17" s="828" t="s">
        <v>53</v>
      </c>
      <c r="AA17" s="716" t="s">
        <v>54</v>
      </c>
      <c r="AB17" s="716" t="s">
        <v>55</v>
      </c>
      <c r="AC17" s="716" t="s">
        <v>56</v>
      </c>
      <c r="AD17" s="716" t="s">
        <v>57</v>
      </c>
      <c r="AE17" s="717"/>
      <c r="AF17" s="718"/>
      <c r="AG17" s="66"/>
      <c r="BD17" s="65" t="s">
        <v>58</v>
      </c>
    </row>
    <row r="18" spans="1:68" ht="14.25" customHeight="1" x14ac:dyDescent="0.2">
      <c r="A18" s="672"/>
      <c r="B18" s="672"/>
      <c r="C18" s="672"/>
      <c r="D18" s="664"/>
      <c r="E18" s="665"/>
      <c r="F18" s="672"/>
      <c r="G18" s="672"/>
      <c r="H18" s="672"/>
      <c r="I18" s="672"/>
      <c r="J18" s="672"/>
      <c r="K18" s="672"/>
      <c r="L18" s="672"/>
      <c r="M18" s="672"/>
      <c r="N18" s="672"/>
      <c r="O18" s="672"/>
      <c r="P18" s="664"/>
      <c r="Q18" s="1033"/>
      <c r="R18" s="1033"/>
      <c r="S18" s="1033"/>
      <c r="T18" s="665"/>
      <c r="U18" s="67" t="s">
        <v>59</v>
      </c>
      <c r="V18" s="67" t="s">
        <v>60</v>
      </c>
      <c r="W18" s="672"/>
      <c r="X18" s="672"/>
      <c r="Y18" s="681"/>
      <c r="Z18" s="829"/>
      <c r="AA18" s="818"/>
      <c r="AB18" s="818"/>
      <c r="AC18" s="818"/>
      <c r="AD18" s="719"/>
      <c r="AE18" s="720"/>
      <c r="AF18" s="721"/>
      <c r="AG18" s="66"/>
      <c r="BD18" s="65"/>
    </row>
    <row r="19" spans="1:68" ht="27.75" customHeight="1" x14ac:dyDescent="0.2">
      <c r="A19" s="711" t="s">
        <v>61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660" t="s">
        <v>61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46"/>
      <c r="AB20" s="646"/>
      <c r="AC20" s="646"/>
    </row>
    <row r="21" spans="1:68" ht="14.25" customHeight="1" x14ac:dyDescent="0.25">
      <c r="A21" s="674" t="s">
        <v>62</v>
      </c>
      <c r="B21" s="661"/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  <c r="N21" s="661"/>
      <c r="O21" s="661"/>
      <c r="P21" s="661"/>
      <c r="Q21" s="661"/>
      <c r="R21" s="661"/>
      <c r="S21" s="661"/>
      <c r="T21" s="661"/>
      <c r="U21" s="661"/>
      <c r="V21" s="661"/>
      <c r="W21" s="661"/>
      <c r="X21" s="661"/>
      <c r="Y21" s="661"/>
      <c r="Z21" s="661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7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8"/>
      <c r="P24" s="675" t="s">
        <v>72</v>
      </c>
      <c r="Q24" s="676"/>
      <c r="R24" s="676"/>
      <c r="S24" s="676"/>
      <c r="T24" s="676"/>
      <c r="U24" s="676"/>
      <c r="V24" s="677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8"/>
      <c r="P25" s="675" t="s">
        <v>72</v>
      </c>
      <c r="Q25" s="676"/>
      <c r="R25" s="676"/>
      <c r="S25" s="676"/>
      <c r="T25" s="676"/>
      <c r="U25" s="676"/>
      <c r="V25" s="677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74" t="s">
        <v>74</v>
      </c>
      <c r="B26" s="661"/>
      <c r="C26" s="661"/>
      <c r="D26" s="661"/>
      <c r="E26" s="661"/>
      <c r="F26" s="661"/>
      <c r="G26" s="661"/>
      <c r="H26" s="661"/>
      <c r="I26" s="661"/>
      <c r="J26" s="661"/>
      <c r="K26" s="661"/>
      <c r="L26" s="661"/>
      <c r="M26" s="661"/>
      <c r="N26" s="661"/>
      <c r="O26" s="661"/>
      <c r="P26" s="661"/>
      <c r="Q26" s="661"/>
      <c r="R26" s="661"/>
      <c r="S26" s="661"/>
      <c r="T26" s="661"/>
      <c r="U26" s="661"/>
      <c r="V26" s="661"/>
      <c r="W26" s="661"/>
      <c r="X26" s="661"/>
      <c r="Y26" s="661"/>
      <c r="Z26" s="661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10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10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7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8"/>
      <c r="P32" s="675" t="s">
        <v>72</v>
      </c>
      <c r="Q32" s="676"/>
      <c r="R32" s="676"/>
      <c r="S32" s="676"/>
      <c r="T32" s="676"/>
      <c r="U32" s="676"/>
      <c r="V32" s="677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8"/>
      <c r="P33" s="675" t="s">
        <v>72</v>
      </c>
      <c r="Q33" s="676"/>
      <c r="R33" s="676"/>
      <c r="S33" s="676"/>
      <c r="T33" s="676"/>
      <c r="U33" s="676"/>
      <c r="V33" s="677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customHeight="1" x14ac:dyDescent="0.2">
      <c r="A34" s="711" t="s">
        <v>92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48"/>
      <c r="AB34" s="48"/>
      <c r="AC34" s="48"/>
    </row>
    <row r="35" spans="1:68" ht="16.5" customHeight="1" x14ac:dyDescent="0.25">
      <c r="A35" s="660" t="s">
        <v>93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46"/>
      <c r="AB35" s="646"/>
      <c r="AC35" s="646"/>
    </row>
    <row r="36" spans="1:68" ht="14.25" customHeight="1" x14ac:dyDescent="0.25">
      <c r="A36" s="674" t="s">
        <v>74</v>
      </c>
      <c r="B36" s="661"/>
      <c r="C36" s="661"/>
      <c r="D36" s="661"/>
      <c r="E36" s="661"/>
      <c r="F36" s="661"/>
      <c r="G36" s="661"/>
      <c r="H36" s="661"/>
      <c r="I36" s="661"/>
      <c r="J36" s="661"/>
      <c r="K36" s="661"/>
      <c r="L36" s="661"/>
      <c r="M36" s="661"/>
      <c r="N36" s="661"/>
      <c r="O36" s="661"/>
      <c r="P36" s="661"/>
      <c r="Q36" s="661"/>
      <c r="R36" s="661"/>
      <c r="S36" s="661"/>
      <c r="T36" s="661"/>
      <c r="U36" s="661"/>
      <c r="V36" s="661"/>
      <c r="W36" s="661"/>
      <c r="X36" s="661"/>
      <c r="Y36" s="661"/>
      <c r="Z36" s="661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0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6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6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7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8"/>
      <c r="P42" s="675" t="s">
        <v>72</v>
      </c>
      <c r="Q42" s="676"/>
      <c r="R42" s="676"/>
      <c r="S42" s="676"/>
      <c r="T42" s="676"/>
      <c r="U42" s="676"/>
      <c r="V42" s="677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8"/>
      <c r="P43" s="675" t="s">
        <v>72</v>
      </c>
      <c r="Q43" s="676"/>
      <c r="R43" s="676"/>
      <c r="S43" s="676"/>
      <c r="T43" s="676"/>
      <c r="U43" s="676"/>
      <c r="V43" s="677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711" t="s">
        <v>109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48"/>
      <c r="AB44" s="48"/>
      <c r="AC44" s="48"/>
    </row>
    <row r="45" spans="1:68" ht="16.5" customHeight="1" x14ac:dyDescent="0.25">
      <c r="A45" s="660" t="s">
        <v>110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46"/>
      <c r="AB45" s="646"/>
      <c r="AC45" s="646"/>
    </row>
    <row r="46" spans="1:68" ht="14.25" customHeight="1" x14ac:dyDescent="0.25">
      <c r="A46" s="674" t="s">
        <v>111</v>
      </c>
      <c r="B46" s="661"/>
      <c r="C46" s="661"/>
      <c r="D46" s="661"/>
      <c r="E46" s="661"/>
      <c r="F46" s="661"/>
      <c r="G46" s="661"/>
      <c r="H46" s="661"/>
      <c r="I46" s="661"/>
      <c r="J46" s="661"/>
      <c r="K46" s="661"/>
      <c r="L46" s="661"/>
      <c r="M46" s="661"/>
      <c r="N46" s="661"/>
      <c r="O46" s="661"/>
      <c r="P46" s="661"/>
      <c r="Q46" s="661"/>
      <c r="R46" s="661"/>
      <c r="S46" s="661"/>
      <c r="T46" s="661"/>
      <c r="U46" s="661"/>
      <c r="V46" s="661"/>
      <c r="W46" s="661"/>
      <c r="X46" s="661"/>
      <c r="Y46" s="661"/>
      <c r="Z46" s="661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250</v>
      </c>
      <c r="Y47" s="652">
        <f>IFERROR(IF(X47="",0,CEILING((X47/$H47),1)*$H47),"")</f>
        <v>259.20000000000005</v>
      </c>
      <c r="Z47" s="36">
        <f>IFERROR(IF(Y47=0,"",ROUNDUP(Y47/H47,0)*0.01898),"")</f>
        <v>0.45552000000000004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259.4907407407407</v>
      </c>
      <c r="BN47" s="64">
        <f>IFERROR(Y47*I47/H47,"0")</f>
        <v>269.04000000000002</v>
      </c>
      <c r="BO47" s="64">
        <f>IFERROR(1/J47*(X47/H47),"0")</f>
        <v>0.36168981481481477</v>
      </c>
      <c r="BP47" s="64">
        <f>IFERROR(1/J47*(Y47/H47),"0")</f>
        <v>0.37500000000000006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6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15</v>
      </c>
      <c r="Y49" s="652">
        <f>IFERROR(IF(X49="",0,CEILING((X49/$H49),1)*$H49),"")</f>
        <v>16</v>
      </c>
      <c r="Z49" s="36">
        <f>IFERROR(IF(Y49=0,"",ROUNDUP(Y49/H49,0)*0.00902),"")</f>
        <v>3.6080000000000001E-2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15.712500000000002</v>
      </c>
      <c r="BN49" s="64">
        <f>IFERROR(Y49*I49/H49,"0")</f>
        <v>16.760000000000002</v>
      </c>
      <c r="BO49" s="64">
        <f>IFERROR(1/J49*(X49/H49),"0")</f>
        <v>2.8409090909090912E-2</v>
      </c>
      <c r="BP49" s="64">
        <f>IFERROR(1/J49*(Y49/H49),"0")</f>
        <v>3.0303030303030304E-2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7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8"/>
      <c r="P51" s="675" t="s">
        <v>72</v>
      </c>
      <c r="Q51" s="676"/>
      <c r="R51" s="676"/>
      <c r="S51" s="676"/>
      <c r="T51" s="676"/>
      <c r="U51" s="676"/>
      <c r="V51" s="677"/>
      <c r="W51" s="37" t="s">
        <v>73</v>
      </c>
      <c r="X51" s="653">
        <f>IFERROR(X47/H47,"0")+IFERROR(X48/H48,"0")+IFERROR(X49/H49,"0")+IFERROR(X50/H50,"0")</f>
        <v>26.898148148148145</v>
      </c>
      <c r="Y51" s="653">
        <f>IFERROR(Y47/H47,"0")+IFERROR(Y48/H48,"0")+IFERROR(Y49/H49,"0")+IFERROR(Y50/H50,"0")</f>
        <v>28.000000000000004</v>
      </c>
      <c r="Z51" s="653">
        <f>IFERROR(IF(Z47="",0,Z47),"0")+IFERROR(IF(Z48="",0,Z48),"0")+IFERROR(IF(Z49="",0,Z49),"0")+IFERROR(IF(Z50="",0,Z50),"0")</f>
        <v>0.49160000000000004</v>
      </c>
      <c r="AA51" s="654"/>
      <c r="AB51" s="654"/>
      <c r="AC51" s="654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8"/>
      <c r="P52" s="675" t="s">
        <v>72</v>
      </c>
      <c r="Q52" s="676"/>
      <c r="R52" s="676"/>
      <c r="S52" s="676"/>
      <c r="T52" s="676"/>
      <c r="U52" s="676"/>
      <c r="V52" s="677"/>
      <c r="W52" s="37" t="s">
        <v>67</v>
      </c>
      <c r="X52" s="653">
        <f>IFERROR(SUM(X47:X50),"0")</f>
        <v>265</v>
      </c>
      <c r="Y52" s="653">
        <f>IFERROR(SUM(Y47:Y50),"0")</f>
        <v>275.20000000000005</v>
      </c>
      <c r="Z52" s="37"/>
      <c r="AA52" s="654"/>
      <c r="AB52" s="654"/>
      <c r="AC52" s="654"/>
    </row>
    <row r="53" spans="1:68" ht="16.5" customHeight="1" x14ac:dyDescent="0.25">
      <c r="A53" s="660" t="s">
        <v>126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46"/>
      <c r="AB53" s="646"/>
      <c r="AC53" s="646"/>
    </row>
    <row r="54" spans="1:68" ht="14.25" customHeight="1" x14ac:dyDescent="0.25">
      <c r="A54" s="674" t="s">
        <v>111</v>
      </c>
      <c r="B54" s="661"/>
      <c r="C54" s="661"/>
      <c r="D54" s="661"/>
      <c r="E54" s="661"/>
      <c r="F54" s="661"/>
      <c r="G54" s="661"/>
      <c r="H54" s="661"/>
      <c r="I54" s="661"/>
      <c r="J54" s="661"/>
      <c r="K54" s="661"/>
      <c r="L54" s="661"/>
      <c r="M54" s="661"/>
      <c r="N54" s="661"/>
      <c r="O54" s="661"/>
      <c r="P54" s="661"/>
      <c r="Q54" s="661"/>
      <c r="R54" s="661"/>
      <c r="S54" s="661"/>
      <c r="T54" s="661"/>
      <c r="U54" s="661"/>
      <c r="V54" s="661"/>
      <c r="W54" s="661"/>
      <c r="X54" s="661"/>
      <c r="Y54" s="661"/>
      <c r="Z54" s="661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10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0</v>
      </c>
      <c r="Y56" s="65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7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67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12</v>
      </c>
      <c r="Y58" s="652">
        <f t="shared" si="0"/>
        <v>12</v>
      </c>
      <c r="Z58" s="36">
        <f>IFERROR(IF(Y58=0,"",ROUNDUP(Y58/H58,0)*0.00902),"")</f>
        <v>2.7060000000000001E-2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12.57</v>
      </c>
      <c r="BN58" s="64">
        <f t="shared" si="2"/>
        <v>12.57</v>
      </c>
      <c r="BO58" s="64">
        <f t="shared" si="3"/>
        <v>2.2727272727272728E-2</v>
      </c>
      <c r="BP58" s="64">
        <f t="shared" si="4"/>
        <v>2.2727272727272728E-2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7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67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8"/>
      <c r="P61" s="675" t="s">
        <v>72</v>
      </c>
      <c r="Q61" s="676"/>
      <c r="R61" s="676"/>
      <c r="S61" s="676"/>
      <c r="T61" s="676"/>
      <c r="U61" s="676"/>
      <c r="V61" s="677"/>
      <c r="W61" s="37" t="s">
        <v>73</v>
      </c>
      <c r="X61" s="653">
        <f>IFERROR(X55/H55,"0")+IFERROR(X56/H56,"0")+IFERROR(X57/H57,"0")+IFERROR(X58/H58,"0")+IFERROR(X59/H59,"0")+IFERROR(X60/H60,"0")</f>
        <v>3</v>
      </c>
      <c r="Y61" s="653">
        <f>IFERROR(Y55/H55,"0")+IFERROR(Y56/H56,"0")+IFERROR(Y57/H57,"0")+IFERROR(Y58/H58,"0")+IFERROR(Y59/H59,"0")+IFERROR(Y60/H60,"0")</f>
        <v>3</v>
      </c>
      <c r="Z61" s="653">
        <f>IFERROR(IF(Z55="",0,Z55),"0")+IFERROR(IF(Z56="",0,Z56),"0")+IFERROR(IF(Z57="",0,Z57),"0")+IFERROR(IF(Z58="",0,Z58),"0")+IFERROR(IF(Z59="",0,Z59),"0")+IFERROR(IF(Z60="",0,Z60),"0")</f>
        <v>2.7060000000000001E-2</v>
      </c>
      <c r="AA61" s="654"/>
      <c r="AB61" s="654"/>
      <c r="AC61" s="654"/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8"/>
      <c r="P62" s="675" t="s">
        <v>72</v>
      </c>
      <c r="Q62" s="676"/>
      <c r="R62" s="676"/>
      <c r="S62" s="676"/>
      <c r="T62" s="676"/>
      <c r="U62" s="676"/>
      <c r="V62" s="677"/>
      <c r="W62" s="37" t="s">
        <v>67</v>
      </c>
      <c r="X62" s="653">
        <f>IFERROR(SUM(X55:X60),"0")</f>
        <v>12</v>
      </c>
      <c r="Y62" s="653">
        <f>IFERROR(SUM(Y55:Y60),"0")</f>
        <v>12</v>
      </c>
      <c r="Z62" s="37"/>
      <c r="AA62" s="654"/>
      <c r="AB62" s="654"/>
      <c r="AC62" s="654"/>
    </row>
    <row r="63" spans="1:68" ht="14.25" customHeight="1" x14ac:dyDescent="0.25">
      <c r="A63" s="674" t="s">
        <v>144</v>
      </c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1"/>
      <c r="P63" s="661"/>
      <c r="Q63" s="661"/>
      <c r="R63" s="661"/>
      <c r="S63" s="661"/>
      <c r="T63" s="661"/>
      <c r="U63" s="661"/>
      <c r="V63" s="661"/>
      <c r="W63" s="661"/>
      <c r="X63" s="661"/>
      <c r="Y63" s="661"/>
      <c r="Z63" s="661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7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7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9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7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67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8"/>
      <c r="P68" s="675" t="s">
        <v>72</v>
      </c>
      <c r="Q68" s="676"/>
      <c r="R68" s="676"/>
      <c r="S68" s="676"/>
      <c r="T68" s="676"/>
      <c r="U68" s="676"/>
      <c r="V68" s="677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8"/>
      <c r="P69" s="675" t="s">
        <v>72</v>
      </c>
      <c r="Q69" s="676"/>
      <c r="R69" s="676"/>
      <c r="S69" s="676"/>
      <c r="T69" s="676"/>
      <c r="U69" s="676"/>
      <c r="V69" s="677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customHeight="1" x14ac:dyDescent="0.25">
      <c r="A70" s="674" t="s">
        <v>74</v>
      </c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1"/>
      <c r="P70" s="661"/>
      <c r="Q70" s="661"/>
      <c r="R70" s="661"/>
      <c r="S70" s="661"/>
      <c r="T70" s="661"/>
      <c r="U70" s="661"/>
      <c r="V70" s="661"/>
      <c r="W70" s="661"/>
      <c r="X70" s="661"/>
      <c r="Y70" s="661"/>
      <c r="Z70" s="661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66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70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10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67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8"/>
      <c r="P74" s="675" t="s">
        <v>72</v>
      </c>
      <c r="Q74" s="676"/>
      <c r="R74" s="676"/>
      <c r="S74" s="676"/>
      <c r="T74" s="676"/>
      <c r="U74" s="676"/>
      <c r="V74" s="677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8"/>
      <c r="P75" s="675" t="s">
        <v>72</v>
      </c>
      <c r="Q75" s="676"/>
      <c r="R75" s="676"/>
      <c r="S75" s="676"/>
      <c r="T75" s="676"/>
      <c r="U75" s="676"/>
      <c r="V75" s="677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customHeight="1" x14ac:dyDescent="0.25">
      <c r="A76" s="674" t="s">
        <v>162</v>
      </c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1"/>
      <c r="P76" s="661"/>
      <c r="Q76" s="661"/>
      <c r="R76" s="661"/>
      <c r="S76" s="661"/>
      <c r="T76" s="661"/>
      <c r="U76" s="661"/>
      <c r="V76" s="661"/>
      <c r="W76" s="661"/>
      <c r="X76" s="661"/>
      <c r="Y76" s="661"/>
      <c r="Z76" s="661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496</v>
      </c>
      <c r="Y77" s="652">
        <f>IFERROR(IF(X77="",0,CEILING((X77/$H77),1)*$H77),"")</f>
        <v>499.2</v>
      </c>
      <c r="Z77" s="36">
        <f>IFERROR(IF(Y77=0,"",ROUNDUP(Y77/H77,0)*0.01898),"")</f>
        <v>1.21472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522.07179487179496</v>
      </c>
      <c r="BN77" s="64">
        <f>IFERROR(Y77*I77/H77,"0")</f>
        <v>525.44000000000005</v>
      </c>
      <c r="BO77" s="64">
        <f>IFERROR(1/J77*(X77/H77),"0")</f>
        <v>0.99358974358974361</v>
      </c>
      <c r="BP77" s="64">
        <f>IFERROR(1/J77*(Y77/H77),"0")</f>
        <v>1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10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67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8"/>
      <c r="P81" s="675" t="s">
        <v>72</v>
      </c>
      <c r="Q81" s="676"/>
      <c r="R81" s="676"/>
      <c r="S81" s="676"/>
      <c r="T81" s="676"/>
      <c r="U81" s="676"/>
      <c r="V81" s="677"/>
      <c r="W81" s="37" t="s">
        <v>73</v>
      </c>
      <c r="X81" s="653">
        <f>IFERROR(X77/H77,"0")+IFERROR(X78/H78,"0")+IFERROR(X79/H79,"0")+IFERROR(X80/H80,"0")</f>
        <v>63.589743589743591</v>
      </c>
      <c r="Y81" s="653">
        <f>IFERROR(Y77/H77,"0")+IFERROR(Y78/H78,"0")+IFERROR(Y79/H79,"0")+IFERROR(Y80/H80,"0")</f>
        <v>64</v>
      </c>
      <c r="Z81" s="653">
        <f>IFERROR(IF(Z77="",0,Z77),"0")+IFERROR(IF(Z78="",0,Z78),"0")+IFERROR(IF(Z79="",0,Z79),"0")+IFERROR(IF(Z80="",0,Z80),"0")</f>
        <v>1.21472</v>
      </c>
      <c r="AA81" s="654"/>
      <c r="AB81" s="654"/>
      <c r="AC81" s="654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8"/>
      <c r="P82" s="675" t="s">
        <v>72</v>
      </c>
      <c r="Q82" s="676"/>
      <c r="R82" s="676"/>
      <c r="S82" s="676"/>
      <c r="T82" s="676"/>
      <c r="U82" s="676"/>
      <c r="V82" s="677"/>
      <c r="W82" s="37" t="s">
        <v>67</v>
      </c>
      <c r="X82" s="653">
        <f>IFERROR(SUM(X77:X80),"0")</f>
        <v>496</v>
      </c>
      <c r="Y82" s="653">
        <f>IFERROR(SUM(Y77:Y80),"0")</f>
        <v>499.2</v>
      </c>
      <c r="Z82" s="37"/>
      <c r="AA82" s="654"/>
      <c r="AB82" s="654"/>
      <c r="AC82" s="654"/>
    </row>
    <row r="83" spans="1:68" ht="16.5" customHeight="1" x14ac:dyDescent="0.25">
      <c r="A83" s="660" t="s">
        <v>171</v>
      </c>
      <c r="B83" s="661"/>
      <c r="C83" s="661"/>
      <c r="D83" s="661"/>
      <c r="E83" s="661"/>
      <c r="F83" s="661"/>
      <c r="G83" s="661"/>
      <c r="H83" s="661"/>
      <c r="I83" s="661"/>
      <c r="J83" s="661"/>
      <c r="K83" s="661"/>
      <c r="L83" s="661"/>
      <c r="M83" s="661"/>
      <c r="N83" s="661"/>
      <c r="O83" s="661"/>
      <c r="P83" s="661"/>
      <c r="Q83" s="661"/>
      <c r="R83" s="661"/>
      <c r="S83" s="661"/>
      <c r="T83" s="661"/>
      <c r="U83" s="661"/>
      <c r="V83" s="661"/>
      <c r="W83" s="661"/>
      <c r="X83" s="661"/>
      <c r="Y83" s="661"/>
      <c r="Z83" s="661"/>
      <c r="AA83" s="646"/>
      <c r="AB83" s="646"/>
      <c r="AC83" s="646"/>
    </row>
    <row r="84" spans="1:68" ht="14.25" customHeight="1" x14ac:dyDescent="0.25">
      <c r="A84" s="674" t="s">
        <v>111</v>
      </c>
      <c r="B84" s="661"/>
      <c r="C84" s="661"/>
      <c r="D84" s="661"/>
      <c r="E84" s="661"/>
      <c r="F84" s="661"/>
      <c r="G84" s="661"/>
      <c r="H84" s="661"/>
      <c r="I84" s="661"/>
      <c r="J84" s="661"/>
      <c r="K84" s="661"/>
      <c r="L84" s="661"/>
      <c r="M84" s="661"/>
      <c r="N84" s="661"/>
      <c r="O84" s="661"/>
      <c r="P84" s="661"/>
      <c r="Q84" s="661"/>
      <c r="R84" s="661"/>
      <c r="S84" s="661"/>
      <c r="T84" s="661"/>
      <c r="U84" s="661"/>
      <c r="V84" s="661"/>
      <c r="W84" s="661"/>
      <c r="X84" s="661"/>
      <c r="Y84" s="661"/>
      <c r="Z84" s="661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6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30</v>
      </c>
      <c r="Y85" s="652">
        <f>IFERROR(IF(X85="",0,CEILING((X85/$H85),1)*$H85),"")</f>
        <v>32.400000000000006</v>
      </c>
      <c r="Z85" s="36">
        <f>IFERROR(IF(Y85=0,"",ROUNDUP(Y85/H85,0)*0.01898),"")</f>
        <v>5.6940000000000004E-2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31.138888888888889</v>
      </c>
      <c r="BN85" s="64">
        <f>IFERROR(Y85*I85/H85,"0")</f>
        <v>33.630000000000003</v>
      </c>
      <c r="BO85" s="64">
        <f>IFERROR(1/J85*(X85/H85),"0")</f>
        <v>4.3402777777777776E-2</v>
      </c>
      <c r="BP85" s="64">
        <f>IFERROR(1/J85*(Y85/H85),"0")</f>
        <v>4.6875000000000007E-2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10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65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0</v>
      </c>
      <c r="Y89" s="652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67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8"/>
      <c r="P90" s="675" t="s">
        <v>72</v>
      </c>
      <c r="Q90" s="676"/>
      <c r="R90" s="676"/>
      <c r="S90" s="676"/>
      <c r="T90" s="676"/>
      <c r="U90" s="676"/>
      <c r="V90" s="677"/>
      <c r="W90" s="37" t="s">
        <v>73</v>
      </c>
      <c r="X90" s="653">
        <f>IFERROR(X85/H85,"0")+IFERROR(X86/H86,"0")+IFERROR(X87/H87,"0")+IFERROR(X88/H88,"0")+IFERROR(X89/H89,"0")</f>
        <v>2.7777777777777777</v>
      </c>
      <c r="Y90" s="653">
        <f>IFERROR(Y85/H85,"0")+IFERROR(Y86/H86,"0")+IFERROR(Y87/H87,"0")+IFERROR(Y88/H88,"0")+IFERROR(Y89/H89,"0")</f>
        <v>3.0000000000000004</v>
      </c>
      <c r="Z90" s="653">
        <f>IFERROR(IF(Z85="",0,Z85),"0")+IFERROR(IF(Z86="",0,Z86),"0")+IFERROR(IF(Z87="",0,Z87),"0")+IFERROR(IF(Z88="",0,Z88),"0")+IFERROR(IF(Z89="",0,Z89),"0")</f>
        <v>5.6940000000000004E-2</v>
      </c>
      <c r="AA90" s="654"/>
      <c r="AB90" s="654"/>
      <c r="AC90" s="654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8"/>
      <c r="P91" s="675" t="s">
        <v>72</v>
      </c>
      <c r="Q91" s="676"/>
      <c r="R91" s="676"/>
      <c r="S91" s="676"/>
      <c r="T91" s="676"/>
      <c r="U91" s="676"/>
      <c r="V91" s="677"/>
      <c r="W91" s="37" t="s">
        <v>67</v>
      </c>
      <c r="X91" s="653">
        <f>IFERROR(SUM(X85:X89),"0")</f>
        <v>30</v>
      </c>
      <c r="Y91" s="653">
        <f>IFERROR(SUM(Y85:Y89),"0")</f>
        <v>32.400000000000006</v>
      </c>
      <c r="Z91" s="37"/>
      <c r="AA91" s="654"/>
      <c r="AB91" s="654"/>
      <c r="AC91" s="654"/>
    </row>
    <row r="92" spans="1:68" ht="14.25" customHeight="1" x14ac:dyDescent="0.25">
      <c r="A92" s="674" t="s">
        <v>74</v>
      </c>
      <c r="B92" s="661"/>
      <c r="C92" s="661"/>
      <c r="D92" s="661"/>
      <c r="E92" s="661"/>
      <c r="F92" s="661"/>
      <c r="G92" s="661"/>
      <c r="H92" s="661"/>
      <c r="I92" s="661"/>
      <c r="J92" s="661"/>
      <c r="K92" s="661"/>
      <c r="L92" s="661"/>
      <c r="M92" s="661"/>
      <c r="N92" s="661"/>
      <c r="O92" s="661"/>
      <c r="P92" s="661"/>
      <c r="Q92" s="661"/>
      <c r="R92" s="661"/>
      <c r="S92" s="661"/>
      <c r="T92" s="661"/>
      <c r="U92" s="661"/>
      <c r="V92" s="661"/>
      <c r="W92" s="661"/>
      <c r="X92" s="661"/>
      <c r="Y92" s="661"/>
      <c r="Z92" s="661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900</v>
      </c>
      <c r="Y93" s="652">
        <f t="shared" ref="Y93:Y99" si="5">IFERROR(IF(X93="",0,CEILING((X93/$H93),1)*$H93),"")</f>
        <v>907.19999999999993</v>
      </c>
      <c r="Z93" s="36">
        <f>IFERROR(IF(Y93=0,"",ROUNDUP(Y93/H93,0)*0.01898),"")</f>
        <v>2.1257600000000001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954.88888888888891</v>
      </c>
      <c r="BN93" s="64">
        <f t="shared" ref="BN93:BN99" si="7">IFERROR(Y93*I93/H93,"0")</f>
        <v>962.52799999999991</v>
      </c>
      <c r="BO93" s="64">
        <f t="shared" ref="BO93:BO99" si="8">IFERROR(1/J93*(X93/H93),"0")</f>
        <v>1.7361111111111112</v>
      </c>
      <c r="BP93" s="64">
        <f t="shared" ref="BP93:BP99" si="9">IFERROR(1/J93*(Y93/H93),"0")</f>
        <v>1.75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980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9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4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95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203</v>
      </c>
      <c r="Y97" s="652">
        <f t="shared" si="5"/>
        <v>205.20000000000002</v>
      </c>
      <c r="Z97" s="36">
        <f>IFERROR(IF(Y97=0,"",ROUNDUP(Y97/H97,0)*0.00651),"")</f>
        <v>0.49476000000000003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221.94666666666663</v>
      </c>
      <c r="BN97" s="64">
        <f t="shared" si="7"/>
        <v>224.352</v>
      </c>
      <c r="BO97" s="64">
        <f t="shared" si="8"/>
        <v>0.4131054131054131</v>
      </c>
      <c r="BP97" s="64">
        <f t="shared" si="9"/>
        <v>0.4175824175824176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795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10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67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8"/>
      <c r="P100" s="675" t="s">
        <v>72</v>
      </c>
      <c r="Q100" s="676"/>
      <c r="R100" s="676"/>
      <c r="S100" s="676"/>
      <c r="T100" s="676"/>
      <c r="U100" s="676"/>
      <c r="V100" s="677"/>
      <c r="W100" s="37" t="s">
        <v>73</v>
      </c>
      <c r="X100" s="653">
        <f>IFERROR(X93/H93,"0")+IFERROR(X94/H94,"0")+IFERROR(X95/H95,"0")+IFERROR(X96/H96,"0")+IFERROR(X97/H97,"0")+IFERROR(X98/H98,"0")+IFERROR(X99/H99,"0")</f>
        <v>186.2962962962963</v>
      </c>
      <c r="Y100" s="653">
        <f>IFERROR(Y93/H93,"0")+IFERROR(Y94/H94,"0")+IFERROR(Y95/H95,"0")+IFERROR(Y96/H96,"0")+IFERROR(Y97/H97,"0")+IFERROR(Y98/H98,"0")+IFERROR(Y99/H99,"0")</f>
        <v>188</v>
      </c>
      <c r="Z100" s="653">
        <f>IFERROR(IF(Z93="",0,Z93),"0")+IFERROR(IF(Z94="",0,Z94),"0")+IFERROR(IF(Z95="",0,Z95),"0")+IFERROR(IF(Z96="",0,Z96),"0")+IFERROR(IF(Z97="",0,Z97),"0")+IFERROR(IF(Z98="",0,Z98),"0")+IFERROR(IF(Z99="",0,Z99),"0")</f>
        <v>2.62052</v>
      </c>
      <c r="AA100" s="654"/>
      <c r="AB100" s="654"/>
      <c r="AC100" s="654"/>
    </row>
    <row r="101" spans="1:68" x14ac:dyDescent="0.2">
      <c r="A101" s="661"/>
      <c r="B101" s="661"/>
      <c r="C101" s="661"/>
      <c r="D101" s="661"/>
      <c r="E101" s="661"/>
      <c r="F101" s="661"/>
      <c r="G101" s="661"/>
      <c r="H101" s="661"/>
      <c r="I101" s="661"/>
      <c r="J101" s="661"/>
      <c r="K101" s="661"/>
      <c r="L101" s="661"/>
      <c r="M101" s="661"/>
      <c r="N101" s="661"/>
      <c r="O101" s="668"/>
      <c r="P101" s="675" t="s">
        <v>72</v>
      </c>
      <c r="Q101" s="676"/>
      <c r="R101" s="676"/>
      <c r="S101" s="676"/>
      <c r="T101" s="676"/>
      <c r="U101" s="676"/>
      <c r="V101" s="677"/>
      <c r="W101" s="37" t="s">
        <v>67</v>
      </c>
      <c r="X101" s="653">
        <f>IFERROR(SUM(X93:X99),"0")</f>
        <v>1103</v>
      </c>
      <c r="Y101" s="653">
        <f>IFERROR(SUM(Y93:Y99),"0")</f>
        <v>1112.3999999999999</v>
      </c>
      <c r="Z101" s="37"/>
      <c r="AA101" s="654"/>
      <c r="AB101" s="654"/>
      <c r="AC101" s="654"/>
    </row>
    <row r="102" spans="1:68" ht="16.5" customHeight="1" x14ac:dyDescent="0.25">
      <c r="A102" s="660" t="s">
        <v>201</v>
      </c>
      <c r="B102" s="661"/>
      <c r="C102" s="661"/>
      <c r="D102" s="661"/>
      <c r="E102" s="661"/>
      <c r="F102" s="661"/>
      <c r="G102" s="661"/>
      <c r="H102" s="661"/>
      <c r="I102" s="661"/>
      <c r="J102" s="661"/>
      <c r="K102" s="661"/>
      <c r="L102" s="661"/>
      <c r="M102" s="661"/>
      <c r="N102" s="661"/>
      <c r="O102" s="661"/>
      <c r="P102" s="661"/>
      <c r="Q102" s="661"/>
      <c r="R102" s="661"/>
      <c r="S102" s="661"/>
      <c r="T102" s="661"/>
      <c r="U102" s="661"/>
      <c r="V102" s="661"/>
      <c r="W102" s="661"/>
      <c r="X102" s="661"/>
      <c r="Y102" s="661"/>
      <c r="Z102" s="661"/>
      <c r="AA102" s="646"/>
      <c r="AB102" s="646"/>
      <c r="AC102" s="646"/>
    </row>
    <row r="103" spans="1:68" ht="14.25" customHeight="1" x14ac:dyDescent="0.25">
      <c r="A103" s="674" t="s">
        <v>111</v>
      </c>
      <c r="B103" s="661"/>
      <c r="C103" s="661"/>
      <c r="D103" s="661"/>
      <c r="E103" s="661"/>
      <c r="F103" s="661"/>
      <c r="G103" s="661"/>
      <c r="H103" s="661"/>
      <c r="I103" s="661"/>
      <c r="J103" s="661"/>
      <c r="K103" s="661"/>
      <c r="L103" s="661"/>
      <c r="M103" s="661"/>
      <c r="N103" s="661"/>
      <c r="O103" s="661"/>
      <c r="P103" s="661"/>
      <c r="Q103" s="661"/>
      <c r="R103" s="661"/>
      <c r="S103" s="661"/>
      <c r="T103" s="661"/>
      <c r="U103" s="661"/>
      <c r="V103" s="661"/>
      <c r="W103" s="661"/>
      <c r="X103" s="661"/>
      <c r="Y103" s="661"/>
      <c r="Z103" s="661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10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76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80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8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0</v>
      </c>
      <c r="Y109" s="652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757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67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8"/>
      <c r="P112" s="675" t="s">
        <v>72</v>
      </c>
      <c r="Q112" s="676"/>
      <c r="R112" s="676"/>
      <c r="S112" s="676"/>
      <c r="T112" s="676"/>
      <c r="U112" s="676"/>
      <c r="V112" s="677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0</v>
      </c>
      <c r="Y112" s="653">
        <f>IFERROR(Y104/H104,"0")+IFERROR(Y105/H105,"0")+IFERROR(Y106/H106,"0")+IFERROR(Y107/H107,"0")+IFERROR(Y108/H108,"0")+IFERROR(Y109/H109,"0")+IFERROR(Y110/H110,"0")+IFERROR(Y111/H111,"0")</f>
        <v>0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54"/>
      <c r="AB112" s="654"/>
      <c r="AC112" s="654"/>
    </row>
    <row r="113" spans="1:68" x14ac:dyDescent="0.2">
      <c r="A113" s="661"/>
      <c r="B113" s="661"/>
      <c r="C113" s="661"/>
      <c r="D113" s="661"/>
      <c r="E113" s="661"/>
      <c r="F113" s="661"/>
      <c r="G113" s="661"/>
      <c r="H113" s="661"/>
      <c r="I113" s="661"/>
      <c r="J113" s="661"/>
      <c r="K113" s="661"/>
      <c r="L113" s="661"/>
      <c r="M113" s="661"/>
      <c r="N113" s="661"/>
      <c r="O113" s="668"/>
      <c r="P113" s="675" t="s">
        <v>72</v>
      </c>
      <c r="Q113" s="676"/>
      <c r="R113" s="676"/>
      <c r="S113" s="676"/>
      <c r="T113" s="676"/>
      <c r="U113" s="676"/>
      <c r="V113" s="677"/>
      <c r="W113" s="37" t="s">
        <v>67</v>
      </c>
      <c r="X113" s="653">
        <f>IFERROR(SUM(X104:X111),"0")</f>
        <v>0</v>
      </c>
      <c r="Y113" s="653">
        <f>IFERROR(SUM(Y104:Y111),"0")</f>
        <v>0</v>
      </c>
      <c r="Z113" s="37"/>
      <c r="AA113" s="654"/>
      <c r="AB113" s="654"/>
      <c r="AC113" s="654"/>
    </row>
    <row r="114" spans="1:68" ht="14.25" customHeight="1" x14ac:dyDescent="0.25">
      <c r="A114" s="674" t="s">
        <v>144</v>
      </c>
      <c r="B114" s="661"/>
      <c r="C114" s="661"/>
      <c r="D114" s="661"/>
      <c r="E114" s="661"/>
      <c r="F114" s="661"/>
      <c r="G114" s="661"/>
      <c r="H114" s="661"/>
      <c r="I114" s="661"/>
      <c r="J114" s="661"/>
      <c r="K114" s="661"/>
      <c r="L114" s="661"/>
      <c r="M114" s="661"/>
      <c r="N114" s="661"/>
      <c r="O114" s="661"/>
      <c r="P114" s="661"/>
      <c r="Q114" s="661"/>
      <c r="R114" s="661"/>
      <c r="S114" s="661"/>
      <c r="T114" s="661"/>
      <c r="U114" s="661"/>
      <c r="V114" s="661"/>
      <c r="W114" s="661"/>
      <c r="X114" s="661"/>
      <c r="Y114" s="661"/>
      <c r="Z114" s="661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9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92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93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67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8"/>
      <c r="P120" s="675" t="s">
        <v>72</v>
      </c>
      <c r="Q120" s="676"/>
      <c r="R120" s="676"/>
      <c r="S120" s="676"/>
      <c r="T120" s="676"/>
      <c r="U120" s="676"/>
      <c r="V120" s="677"/>
      <c r="W120" s="37" t="s">
        <v>73</v>
      </c>
      <c r="X120" s="653">
        <f>IFERROR(X115/H115,"0")+IFERROR(X116/H116,"0")+IFERROR(X117/H117,"0")+IFERROR(X118/H118,"0")+IFERROR(X119/H119,"0")</f>
        <v>0</v>
      </c>
      <c r="Y120" s="653">
        <f>IFERROR(Y115/H115,"0")+IFERROR(Y116/H116,"0")+IFERROR(Y117/H117,"0")+IFERROR(Y118/H118,"0")+IFERROR(Y119/H119,"0")</f>
        <v>0</v>
      </c>
      <c r="Z120" s="653">
        <f>IFERROR(IF(Z115="",0,Z115),"0")+IFERROR(IF(Z116="",0,Z116),"0")+IFERROR(IF(Z117="",0,Z117),"0")+IFERROR(IF(Z118="",0,Z118),"0")+IFERROR(IF(Z119="",0,Z119),"0")</f>
        <v>0</v>
      </c>
      <c r="AA120" s="654"/>
      <c r="AB120" s="654"/>
      <c r="AC120" s="654"/>
    </row>
    <row r="121" spans="1:68" x14ac:dyDescent="0.2">
      <c r="A121" s="661"/>
      <c r="B121" s="661"/>
      <c r="C121" s="661"/>
      <c r="D121" s="661"/>
      <c r="E121" s="661"/>
      <c r="F121" s="661"/>
      <c r="G121" s="661"/>
      <c r="H121" s="661"/>
      <c r="I121" s="661"/>
      <c r="J121" s="661"/>
      <c r="K121" s="661"/>
      <c r="L121" s="661"/>
      <c r="M121" s="661"/>
      <c r="N121" s="661"/>
      <c r="O121" s="668"/>
      <c r="P121" s="675" t="s">
        <v>72</v>
      </c>
      <c r="Q121" s="676"/>
      <c r="R121" s="676"/>
      <c r="S121" s="676"/>
      <c r="T121" s="676"/>
      <c r="U121" s="676"/>
      <c r="V121" s="677"/>
      <c r="W121" s="37" t="s">
        <v>67</v>
      </c>
      <c r="X121" s="653">
        <f>IFERROR(SUM(X115:X119),"0")</f>
        <v>0</v>
      </c>
      <c r="Y121" s="653">
        <f>IFERROR(SUM(Y115:Y119),"0")</f>
        <v>0</v>
      </c>
      <c r="Z121" s="37"/>
      <c r="AA121" s="654"/>
      <c r="AB121" s="654"/>
      <c r="AC121" s="654"/>
    </row>
    <row r="122" spans="1:68" ht="14.25" customHeight="1" x14ac:dyDescent="0.25">
      <c r="A122" s="674" t="s">
        <v>74</v>
      </c>
      <c r="B122" s="661"/>
      <c r="C122" s="661"/>
      <c r="D122" s="661"/>
      <c r="E122" s="661"/>
      <c r="F122" s="661"/>
      <c r="G122" s="661"/>
      <c r="H122" s="661"/>
      <c r="I122" s="661"/>
      <c r="J122" s="661"/>
      <c r="K122" s="661"/>
      <c r="L122" s="661"/>
      <c r="M122" s="661"/>
      <c r="N122" s="661"/>
      <c r="O122" s="661"/>
      <c r="P122" s="661"/>
      <c r="Q122" s="661"/>
      <c r="R122" s="661"/>
      <c r="S122" s="661"/>
      <c r="T122" s="661"/>
      <c r="U122" s="661"/>
      <c r="V122" s="661"/>
      <c r="W122" s="661"/>
      <c r="X122" s="661"/>
      <c r="Y122" s="661"/>
      <c r="Z122" s="661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1000</v>
      </c>
      <c r="Y123" s="652">
        <f t="shared" ref="Y123:Y130" si="15">IFERROR(IF(X123="",0,CEILING((X123/$H123),1)*$H123),"")</f>
        <v>1004.4</v>
      </c>
      <c r="Z123" s="36">
        <f>IFERROR(IF(Y123=0,"",ROUNDUP(Y123/H123,0)*0.01898),"")</f>
        <v>2.3535200000000001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1060.2469135802469</v>
      </c>
      <c r="BN123" s="64">
        <f t="shared" ref="BN123:BN130" si="17">IFERROR(Y123*I123/H123,"0")</f>
        <v>1064.9119999999998</v>
      </c>
      <c r="BO123" s="64">
        <f t="shared" ref="BO123:BO130" si="18">IFERROR(1/J123*(X123/H123),"0")</f>
        <v>1.9290123456790125</v>
      </c>
      <c r="BP123" s="64">
        <f t="shared" ref="BP123:BP130" si="19">IFERROR(1/J123*(Y123/H123),"0")</f>
        <v>1.9375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684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77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690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7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239</v>
      </c>
      <c r="Y127" s="652">
        <f t="shared" si="15"/>
        <v>240.3</v>
      </c>
      <c r="Z127" s="36">
        <f t="shared" si="20"/>
        <v>0.57938999999999996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261.30666666666667</v>
      </c>
      <c r="BN127" s="64">
        <f t="shared" si="17"/>
        <v>262.72799999999995</v>
      </c>
      <c r="BO127" s="64">
        <f t="shared" si="18"/>
        <v>0.48636548636548643</v>
      </c>
      <c r="BP127" s="64">
        <f t="shared" si="19"/>
        <v>0.48901098901098905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750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9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78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67"/>
      <c r="B131" s="661"/>
      <c r="C131" s="661"/>
      <c r="D131" s="661"/>
      <c r="E131" s="661"/>
      <c r="F131" s="661"/>
      <c r="G131" s="661"/>
      <c r="H131" s="661"/>
      <c r="I131" s="661"/>
      <c r="J131" s="661"/>
      <c r="K131" s="661"/>
      <c r="L131" s="661"/>
      <c r="M131" s="661"/>
      <c r="N131" s="661"/>
      <c r="O131" s="668"/>
      <c r="P131" s="675" t="s">
        <v>72</v>
      </c>
      <c r="Q131" s="676"/>
      <c r="R131" s="676"/>
      <c r="S131" s="676"/>
      <c r="T131" s="676"/>
      <c r="U131" s="676"/>
      <c r="V131" s="677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211.97530864197532</v>
      </c>
      <c r="Y131" s="653">
        <f>IFERROR(Y123/H123,"0")+IFERROR(Y124/H124,"0")+IFERROR(Y125/H125,"0")+IFERROR(Y126/H126,"0")+IFERROR(Y127/H127,"0")+IFERROR(Y128/H128,"0")+IFERROR(Y129/H129,"0")+IFERROR(Y130/H130,"0")</f>
        <v>213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2.9329100000000001</v>
      </c>
      <c r="AA131" s="654"/>
      <c r="AB131" s="654"/>
      <c r="AC131" s="654"/>
    </row>
    <row r="132" spans="1:68" x14ac:dyDescent="0.2">
      <c r="A132" s="661"/>
      <c r="B132" s="661"/>
      <c r="C132" s="661"/>
      <c r="D132" s="661"/>
      <c r="E132" s="661"/>
      <c r="F132" s="661"/>
      <c r="G132" s="661"/>
      <c r="H132" s="661"/>
      <c r="I132" s="661"/>
      <c r="J132" s="661"/>
      <c r="K132" s="661"/>
      <c r="L132" s="661"/>
      <c r="M132" s="661"/>
      <c r="N132" s="661"/>
      <c r="O132" s="668"/>
      <c r="P132" s="675" t="s">
        <v>72</v>
      </c>
      <c r="Q132" s="676"/>
      <c r="R132" s="676"/>
      <c r="S132" s="676"/>
      <c r="T132" s="676"/>
      <c r="U132" s="676"/>
      <c r="V132" s="677"/>
      <c r="W132" s="37" t="s">
        <v>67</v>
      </c>
      <c r="X132" s="653">
        <f>IFERROR(SUM(X123:X130),"0")</f>
        <v>1239</v>
      </c>
      <c r="Y132" s="653">
        <f>IFERROR(SUM(Y123:Y130),"0")</f>
        <v>1244.7</v>
      </c>
      <c r="Z132" s="37"/>
      <c r="AA132" s="654"/>
      <c r="AB132" s="654"/>
      <c r="AC132" s="654"/>
    </row>
    <row r="133" spans="1:68" ht="14.25" customHeight="1" x14ac:dyDescent="0.25">
      <c r="A133" s="674" t="s">
        <v>162</v>
      </c>
      <c r="B133" s="661"/>
      <c r="C133" s="661"/>
      <c r="D133" s="661"/>
      <c r="E133" s="661"/>
      <c r="F133" s="661"/>
      <c r="G133" s="661"/>
      <c r="H133" s="661"/>
      <c r="I133" s="661"/>
      <c r="J133" s="661"/>
      <c r="K133" s="661"/>
      <c r="L133" s="661"/>
      <c r="M133" s="661"/>
      <c r="N133" s="661"/>
      <c r="O133" s="661"/>
      <c r="P133" s="661"/>
      <c r="Q133" s="661"/>
      <c r="R133" s="661"/>
      <c r="S133" s="661"/>
      <c r="T133" s="661"/>
      <c r="U133" s="661"/>
      <c r="V133" s="661"/>
      <c r="W133" s="661"/>
      <c r="X133" s="661"/>
      <c r="Y133" s="661"/>
      <c r="Z133" s="661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7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46</v>
      </c>
      <c r="Y134" s="652">
        <f>IFERROR(IF(X134="",0,CEILING((X134/$H134),1)*$H134),"")</f>
        <v>47.519999999999996</v>
      </c>
      <c r="Z134" s="36">
        <f>IFERROR(IF(Y134=0,"",ROUNDUP(Y134/H134,0)*0.00651),"")</f>
        <v>0.15623999999999999</v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51.993939393939392</v>
      </c>
      <c r="BN134" s="64">
        <f>IFERROR(Y134*I134/H134,"0")</f>
        <v>53.711999999999996</v>
      </c>
      <c r="BO134" s="64">
        <f>IFERROR(1/J134*(X134/H134),"0")</f>
        <v>0.12765012765012765</v>
      </c>
      <c r="BP134" s="64">
        <f>IFERROR(1/J134*(Y134/H134),"0")</f>
        <v>0.13186813186813187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747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67"/>
      <c r="B136" s="661"/>
      <c r="C136" s="661"/>
      <c r="D136" s="661"/>
      <c r="E136" s="661"/>
      <c r="F136" s="661"/>
      <c r="G136" s="661"/>
      <c r="H136" s="661"/>
      <c r="I136" s="661"/>
      <c r="J136" s="661"/>
      <c r="K136" s="661"/>
      <c r="L136" s="661"/>
      <c r="M136" s="661"/>
      <c r="N136" s="661"/>
      <c r="O136" s="668"/>
      <c r="P136" s="675" t="s">
        <v>72</v>
      </c>
      <c r="Q136" s="676"/>
      <c r="R136" s="676"/>
      <c r="S136" s="676"/>
      <c r="T136" s="676"/>
      <c r="U136" s="676"/>
      <c r="V136" s="677"/>
      <c r="W136" s="37" t="s">
        <v>73</v>
      </c>
      <c r="X136" s="653">
        <f>IFERROR(X134/H134,"0")+IFERROR(X135/H135,"0")</f>
        <v>23.232323232323232</v>
      </c>
      <c r="Y136" s="653">
        <f>IFERROR(Y134/H134,"0")+IFERROR(Y135/H135,"0")</f>
        <v>23.999999999999996</v>
      </c>
      <c r="Z136" s="653">
        <f>IFERROR(IF(Z134="",0,Z134),"0")+IFERROR(IF(Z135="",0,Z135),"0")</f>
        <v>0.15623999999999999</v>
      </c>
      <c r="AA136" s="654"/>
      <c r="AB136" s="654"/>
      <c r="AC136" s="654"/>
    </row>
    <row r="137" spans="1:68" x14ac:dyDescent="0.2">
      <c r="A137" s="661"/>
      <c r="B137" s="661"/>
      <c r="C137" s="661"/>
      <c r="D137" s="661"/>
      <c r="E137" s="661"/>
      <c r="F137" s="661"/>
      <c r="G137" s="661"/>
      <c r="H137" s="661"/>
      <c r="I137" s="661"/>
      <c r="J137" s="661"/>
      <c r="K137" s="661"/>
      <c r="L137" s="661"/>
      <c r="M137" s="661"/>
      <c r="N137" s="661"/>
      <c r="O137" s="668"/>
      <c r="P137" s="675" t="s">
        <v>72</v>
      </c>
      <c r="Q137" s="676"/>
      <c r="R137" s="676"/>
      <c r="S137" s="676"/>
      <c r="T137" s="676"/>
      <c r="U137" s="676"/>
      <c r="V137" s="677"/>
      <c r="W137" s="37" t="s">
        <v>67</v>
      </c>
      <c r="X137" s="653">
        <f>IFERROR(SUM(X134:X135),"0")</f>
        <v>46</v>
      </c>
      <c r="Y137" s="653">
        <f>IFERROR(SUM(Y134:Y135),"0")</f>
        <v>47.519999999999996</v>
      </c>
      <c r="Z137" s="37"/>
      <c r="AA137" s="654"/>
      <c r="AB137" s="654"/>
      <c r="AC137" s="654"/>
    </row>
    <row r="138" spans="1:68" ht="16.5" customHeight="1" x14ac:dyDescent="0.25">
      <c r="A138" s="660" t="s">
        <v>254</v>
      </c>
      <c r="B138" s="661"/>
      <c r="C138" s="661"/>
      <c r="D138" s="661"/>
      <c r="E138" s="661"/>
      <c r="F138" s="661"/>
      <c r="G138" s="661"/>
      <c r="H138" s="661"/>
      <c r="I138" s="661"/>
      <c r="J138" s="661"/>
      <c r="K138" s="661"/>
      <c r="L138" s="661"/>
      <c r="M138" s="661"/>
      <c r="N138" s="661"/>
      <c r="O138" s="661"/>
      <c r="P138" s="661"/>
      <c r="Q138" s="661"/>
      <c r="R138" s="661"/>
      <c r="S138" s="661"/>
      <c r="T138" s="661"/>
      <c r="U138" s="661"/>
      <c r="V138" s="661"/>
      <c r="W138" s="661"/>
      <c r="X138" s="661"/>
      <c r="Y138" s="661"/>
      <c r="Z138" s="661"/>
      <c r="AA138" s="646"/>
      <c r="AB138" s="646"/>
      <c r="AC138" s="646"/>
    </row>
    <row r="139" spans="1:68" ht="14.25" customHeight="1" x14ac:dyDescent="0.25">
      <c r="A139" s="674" t="s">
        <v>111</v>
      </c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1"/>
      <c r="P139" s="661"/>
      <c r="Q139" s="661"/>
      <c r="R139" s="661"/>
      <c r="S139" s="661"/>
      <c r="T139" s="661"/>
      <c r="U139" s="661"/>
      <c r="V139" s="661"/>
      <c r="W139" s="661"/>
      <c r="X139" s="661"/>
      <c r="Y139" s="661"/>
      <c r="Z139" s="661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67"/>
      <c r="B142" s="661"/>
      <c r="C142" s="661"/>
      <c r="D142" s="661"/>
      <c r="E142" s="661"/>
      <c r="F142" s="661"/>
      <c r="G142" s="661"/>
      <c r="H142" s="661"/>
      <c r="I142" s="661"/>
      <c r="J142" s="661"/>
      <c r="K142" s="661"/>
      <c r="L142" s="661"/>
      <c r="M142" s="661"/>
      <c r="N142" s="661"/>
      <c r="O142" s="668"/>
      <c r="P142" s="675" t="s">
        <v>72</v>
      </c>
      <c r="Q142" s="676"/>
      <c r="R142" s="676"/>
      <c r="S142" s="676"/>
      <c r="T142" s="676"/>
      <c r="U142" s="676"/>
      <c r="V142" s="677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x14ac:dyDescent="0.2">
      <c r="A143" s="661"/>
      <c r="B143" s="661"/>
      <c r="C143" s="661"/>
      <c r="D143" s="661"/>
      <c r="E143" s="661"/>
      <c r="F143" s="661"/>
      <c r="G143" s="661"/>
      <c r="H143" s="661"/>
      <c r="I143" s="661"/>
      <c r="J143" s="661"/>
      <c r="K143" s="661"/>
      <c r="L143" s="661"/>
      <c r="M143" s="661"/>
      <c r="N143" s="661"/>
      <c r="O143" s="668"/>
      <c r="P143" s="675" t="s">
        <v>72</v>
      </c>
      <c r="Q143" s="676"/>
      <c r="R143" s="676"/>
      <c r="S143" s="676"/>
      <c r="T143" s="676"/>
      <c r="U143" s="676"/>
      <c r="V143" s="677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customHeight="1" x14ac:dyDescent="0.25">
      <c r="A144" s="674" t="s">
        <v>62</v>
      </c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1"/>
      <c r="P144" s="661"/>
      <c r="Q144" s="661"/>
      <c r="R144" s="661"/>
      <c r="S144" s="661"/>
      <c r="T144" s="661"/>
      <c r="U144" s="661"/>
      <c r="V144" s="661"/>
      <c r="W144" s="661"/>
      <c r="X144" s="661"/>
      <c r="Y144" s="661"/>
      <c r="Z144" s="661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9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46</v>
      </c>
      <c r="Y145" s="652">
        <f>IFERROR(IF(X145="",0,CEILING((X145/$H145),1)*$H145),"")</f>
        <v>47.599999999999994</v>
      </c>
      <c r="Z145" s="36">
        <f>IFERROR(IF(Y145=0,"",ROUNDUP(Y145/H145,0)*0.00651),"")</f>
        <v>0.11067</v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50.402857142857151</v>
      </c>
      <c r="BN145" s="64">
        <f>IFERROR(Y145*I145/H145,"0")</f>
        <v>52.156000000000006</v>
      </c>
      <c r="BO145" s="64">
        <f>IFERROR(1/J145*(X145/H145),"0")</f>
        <v>9.0266875981161718E-2</v>
      </c>
      <c r="BP145" s="64">
        <f>IFERROR(1/J145*(Y145/H145),"0")</f>
        <v>9.3406593406593408E-2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67"/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8"/>
      <c r="P147" s="675" t="s">
        <v>72</v>
      </c>
      <c r="Q147" s="676"/>
      <c r="R147" s="676"/>
      <c r="S147" s="676"/>
      <c r="T147" s="676"/>
      <c r="U147" s="676"/>
      <c r="V147" s="677"/>
      <c r="W147" s="37" t="s">
        <v>73</v>
      </c>
      <c r="X147" s="653">
        <f>IFERROR(X145/H145,"0")+IFERROR(X146/H146,"0")</f>
        <v>16.428571428571431</v>
      </c>
      <c r="Y147" s="653">
        <f>IFERROR(Y145/H145,"0")+IFERROR(Y146/H146,"0")</f>
        <v>17</v>
      </c>
      <c r="Z147" s="653">
        <f>IFERROR(IF(Z145="",0,Z145),"0")+IFERROR(IF(Z146="",0,Z146),"0")</f>
        <v>0.11067</v>
      </c>
      <c r="AA147" s="654"/>
      <c r="AB147" s="654"/>
      <c r="AC147" s="654"/>
    </row>
    <row r="148" spans="1:68" x14ac:dyDescent="0.2">
      <c r="A148" s="661"/>
      <c r="B148" s="661"/>
      <c r="C148" s="661"/>
      <c r="D148" s="661"/>
      <c r="E148" s="661"/>
      <c r="F148" s="661"/>
      <c r="G148" s="661"/>
      <c r="H148" s="661"/>
      <c r="I148" s="661"/>
      <c r="J148" s="661"/>
      <c r="K148" s="661"/>
      <c r="L148" s="661"/>
      <c r="M148" s="661"/>
      <c r="N148" s="661"/>
      <c r="O148" s="668"/>
      <c r="P148" s="675" t="s">
        <v>72</v>
      </c>
      <c r="Q148" s="676"/>
      <c r="R148" s="676"/>
      <c r="S148" s="676"/>
      <c r="T148" s="676"/>
      <c r="U148" s="676"/>
      <c r="V148" s="677"/>
      <c r="W148" s="37" t="s">
        <v>67</v>
      </c>
      <c r="X148" s="653">
        <f>IFERROR(SUM(X145:X146),"0")</f>
        <v>46</v>
      </c>
      <c r="Y148" s="653">
        <f>IFERROR(SUM(Y145:Y146),"0")</f>
        <v>47.599999999999994</v>
      </c>
      <c r="Z148" s="37"/>
      <c r="AA148" s="654"/>
      <c r="AB148" s="654"/>
      <c r="AC148" s="654"/>
    </row>
    <row r="149" spans="1:68" ht="14.25" customHeight="1" x14ac:dyDescent="0.25">
      <c r="A149" s="674" t="s">
        <v>74</v>
      </c>
      <c r="B149" s="661"/>
      <c r="C149" s="661"/>
      <c r="D149" s="661"/>
      <c r="E149" s="661"/>
      <c r="F149" s="661"/>
      <c r="G149" s="661"/>
      <c r="H149" s="661"/>
      <c r="I149" s="661"/>
      <c r="J149" s="661"/>
      <c r="K149" s="661"/>
      <c r="L149" s="661"/>
      <c r="M149" s="661"/>
      <c r="N149" s="661"/>
      <c r="O149" s="661"/>
      <c r="P149" s="661"/>
      <c r="Q149" s="661"/>
      <c r="R149" s="661"/>
      <c r="S149" s="661"/>
      <c r="T149" s="661"/>
      <c r="U149" s="661"/>
      <c r="V149" s="661"/>
      <c r="W149" s="661"/>
      <c r="X149" s="661"/>
      <c r="Y149" s="661"/>
      <c r="Z149" s="661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10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33</v>
      </c>
      <c r="Y150" s="652">
        <f>IFERROR(IF(X150="",0,CEILING((X150/$H150),1)*$H150),"")</f>
        <v>34.32</v>
      </c>
      <c r="Z150" s="36">
        <f>IFERROR(IF(Y150=0,"",ROUNDUP(Y150/H150,0)*0.00651),"")</f>
        <v>8.4629999999999997E-2</v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36.349999999999994</v>
      </c>
      <c r="BN150" s="64">
        <f>IFERROR(Y150*I150/H150,"0")</f>
        <v>37.803999999999995</v>
      </c>
      <c r="BO150" s="64">
        <f>IFERROR(1/J150*(X150/H150),"0")</f>
        <v>6.8681318681318687E-2</v>
      </c>
      <c r="BP150" s="64">
        <f>IFERROR(1/J150*(Y150/H150),"0")</f>
        <v>7.1428571428571438E-2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67"/>
      <c r="B152" s="661"/>
      <c r="C152" s="661"/>
      <c r="D152" s="661"/>
      <c r="E152" s="661"/>
      <c r="F152" s="661"/>
      <c r="G152" s="661"/>
      <c r="H152" s="661"/>
      <c r="I152" s="661"/>
      <c r="J152" s="661"/>
      <c r="K152" s="661"/>
      <c r="L152" s="661"/>
      <c r="M152" s="661"/>
      <c r="N152" s="661"/>
      <c r="O152" s="668"/>
      <c r="P152" s="675" t="s">
        <v>72</v>
      </c>
      <c r="Q152" s="676"/>
      <c r="R152" s="676"/>
      <c r="S152" s="676"/>
      <c r="T152" s="676"/>
      <c r="U152" s="676"/>
      <c r="V152" s="677"/>
      <c r="W152" s="37" t="s">
        <v>73</v>
      </c>
      <c r="X152" s="653">
        <f>IFERROR(X150/H150,"0")+IFERROR(X151/H151,"0")</f>
        <v>12.5</v>
      </c>
      <c r="Y152" s="653">
        <f>IFERROR(Y150/H150,"0")+IFERROR(Y151/H151,"0")</f>
        <v>13</v>
      </c>
      <c r="Z152" s="653">
        <f>IFERROR(IF(Z150="",0,Z150),"0")+IFERROR(IF(Z151="",0,Z151),"0")</f>
        <v>8.4629999999999997E-2</v>
      </c>
      <c r="AA152" s="654"/>
      <c r="AB152" s="654"/>
      <c r="AC152" s="654"/>
    </row>
    <row r="153" spans="1:68" x14ac:dyDescent="0.2">
      <c r="A153" s="661"/>
      <c r="B153" s="661"/>
      <c r="C153" s="661"/>
      <c r="D153" s="661"/>
      <c r="E153" s="661"/>
      <c r="F153" s="661"/>
      <c r="G153" s="661"/>
      <c r="H153" s="661"/>
      <c r="I153" s="661"/>
      <c r="J153" s="661"/>
      <c r="K153" s="661"/>
      <c r="L153" s="661"/>
      <c r="M153" s="661"/>
      <c r="N153" s="661"/>
      <c r="O153" s="668"/>
      <c r="P153" s="675" t="s">
        <v>72</v>
      </c>
      <c r="Q153" s="676"/>
      <c r="R153" s="676"/>
      <c r="S153" s="676"/>
      <c r="T153" s="676"/>
      <c r="U153" s="676"/>
      <c r="V153" s="677"/>
      <c r="W153" s="37" t="s">
        <v>67</v>
      </c>
      <c r="X153" s="653">
        <f>IFERROR(SUM(X150:X151),"0")</f>
        <v>33</v>
      </c>
      <c r="Y153" s="653">
        <f>IFERROR(SUM(Y150:Y151),"0")</f>
        <v>34.32</v>
      </c>
      <c r="Z153" s="37"/>
      <c r="AA153" s="654"/>
      <c r="AB153" s="654"/>
      <c r="AC153" s="654"/>
    </row>
    <row r="154" spans="1:68" ht="16.5" customHeight="1" x14ac:dyDescent="0.25">
      <c r="A154" s="660" t="s">
        <v>267</v>
      </c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1"/>
      <c r="P154" s="661"/>
      <c r="Q154" s="661"/>
      <c r="R154" s="661"/>
      <c r="S154" s="661"/>
      <c r="T154" s="661"/>
      <c r="U154" s="661"/>
      <c r="V154" s="661"/>
      <c r="W154" s="661"/>
      <c r="X154" s="661"/>
      <c r="Y154" s="661"/>
      <c r="Z154" s="661"/>
      <c r="AA154" s="646"/>
      <c r="AB154" s="646"/>
      <c r="AC154" s="646"/>
    </row>
    <row r="155" spans="1:68" ht="14.25" customHeight="1" x14ac:dyDescent="0.25">
      <c r="A155" s="674" t="s">
        <v>74</v>
      </c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1"/>
      <c r="P155" s="661"/>
      <c r="Q155" s="661"/>
      <c r="R155" s="661"/>
      <c r="S155" s="661"/>
      <c r="T155" s="661"/>
      <c r="U155" s="661"/>
      <c r="V155" s="661"/>
      <c r="W155" s="661"/>
      <c r="X155" s="661"/>
      <c r="Y155" s="661"/>
      <c r="Z155" s="661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4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10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9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9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67"/>
      <c r="B163" s="661"/>
      <c r="C163" s="661"/>
      <c r="D163" s="661"/>
      <c r="E163" s="661"/>
      <c r="F163" s="661"/>
      <c r="G163" s="661"/>
      <c r="H163" s="661"/>
      <c r="I163" s="661"/>
      <c r="J163" s="661"/>
      <c r="K163" s="661"/>
      <c r="L163" s="661"/>
      <c r="M163" s="661"/>
      <c r="N163" s="661"/>
      <c r="O163" s="668"/>
      <c r="P163" s="675" t="s">
        <v>72</v>
      </c>
      <c r="Q163" s="676"/>
      <c r="R163" s="676"/>
      <c r="S163" s="676"/>
      <c r="T163" s="676"/>
      <c r="U163" s="676"/>
      <c r="V163" s="677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1"/>
      <c r="B164" s="661"/>
      <c r="C164" s="661"/>
      <c r="D164" s="661"/>
      <c r="E164" s="661"/>
      <c r="F164" s="661"/>
      <c r="G164" s="661"/>
      <c r="H164" s="661"/>
      <c r="I164" s="661"/>
      <c r="J164" s="661"/>
      <c r="K164" s="661"/>
      <c r="L164" s="661"/>
      <c r="M164" s="661"/>
      <c r="N164" s="661"/>
      <c r="O164" s="668"/>
      <c r="P164" s="675" t="s">
        <v>72</v>
      </c>
      <c r="Q164" s="676"/>
      <c r="R164" s="676"/>
      <c r="S164" s="676"/>
      <c r="T164" s="676"/>
      <c r="U164" s="676"/>
      <c r="V164" s="677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74" t="s">
        <v>283</v>
      </c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1"/>
      <c r="P165" s="661"/>
      <c r="Q165" s="661"/>
      <c r="R165" s="661"/>
      <c r="S165" s="661"/>
      <c r="T165" s="661"/>
      <c r="U165" s="661"/>
      <c r="V165" s="661"/>
      <c r="W165" s="661"/>
      <c r="X165" s="661"/>
      <c r="Y165" s="661"/>
      <c r="Z165" s="661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9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7"/>
      <c r="B167" s="661"/>
      <c r="C167" s="661"/>
      <c r="D167" s="661"/>
      <c r="E167" s="661"/>
      <c r="F167" s="661"/>
      <c r="G167" s="661"/>
      <c r="H167" s="661"/>
      <c r="I167" s="661"/>
      <c r="J167" s="661"/>
      <c r="K167" s="661"/>
      <c r="L167" s="661"/>
      <c r="M167" s="661"/>
      <c r="N167" s="661"/>
      <c r="O167" s="668"/>
      <c r="P167" s="675" t="s">
        <v>72</v>
      </c>
      <c r="Q167" s="676"/>
      <c r="R167" s="676"/>
      <c r="S167" s="676"/>
      <c r="T167" s="676"/>
      <c r="U167" s="676"/>
      <c r="V167" s="677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1"/>
      <c r="B168" s="661"/>
      <c r="C168" s="661"/>
      <c r="D168" s="661"/>
      <c r="E168" s="661"/>
      <c r="F168" s="661"/>
      <c r="G168" s="661"/>
      <c r="H168" s="661"/>
      <c r="I168" s="661"/>
      <c r="J168" s="661"/>
      <c r="K168" s="661"/>
      <c r="L168" s="661"/>
      <c r="M168" s="661"/>
      <c r="N168" s="661"/>
      <c r="O168" s="668"/>
      <c r="P168" s="675" t="s">
        <v>72</v>
      </c>
      <c r="Q168" s="676"/>
      <c r="R168" s="676"/>
      <c r="S168" s="676"/>
      <c r="T168" s="676"/>
      <c r="U168" s="676"/>
      <c r="V168" s="677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0" t="s">
        <v>109</v>
      </c>
      <c r="B169" s="661"/>
      <c r="C169" s="661"/>
      <c r="D169" s="661"/>
      <c r="E169" s="661"/>
      <c r="F169" s="661"/>
      <c r="G169" s="661"/>
      <c r="H169" s="661"/>
      <c r="I169" s="661"/>
      <c r="J169" s="661"/>
      <c r="K169" s="661"/>
      <c r="L169" s="661"/>
      <c r="M169" s="661"/>
      <c r="N169" s="661"/>
      <c r="O169" s="661"/>
      <c r="P169" s="661"/>
      <c r="Q169" s="661"/>
      <c r="R169" s="661"/>
      <c r="S169" s="661"/>
      <c r="T169" s="661"/>
      <c r="U169" s="661"/>
      <c r="V169" s="661"/>
      <c r="W169" s="661"/>
      <c r="X169" s="661"/>
      <c r="Y169" s="661"/>
      <c r="Z169" s="661"/>
      <c r="AA169" s="646"/>
      <c r="AB169" s="646"/>
      <c r="AC169" s="646"/>
    </row>
    <row r="170" spans="1:68" ht="14.25" customHeight="1" x14ac:dyDescent="0.25">
      <c r="A170" s="674" t="s">
        <v>111</v>
      </c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1"/>
      <c r="P170" s="661"/>
      <c r="Q170" s="661"/>
      <c r="R170" s="661"/>
      <c r="S170" s="661"/>
      <c r="T170" s="661"/>
      <c r="U170" s="661"/>
      <c r="V170" s="661"/>
      <c r="W170" s="661"/>
      <c r="X170" s="661"/>
      <c r="Y170" s="661"/>
      <c r="Z170" s="661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96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102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9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67"/>
      <c r="B174" s="661"/>
      <c r="C174" s="661"/>
      <c r="D174" s="661"/>
      <c r="E174" s="661"/>
      <c r="F174" s="661"/>
      <c r="G174" s="661"/>
      <c r="H174" s="661"/>
      <c r="I174" s="661"/>
      <c r="J174" s="661"/>
      <c r="K174" s="661"/>
      <c r="L174" s="661"/>
      <c r="M174" s="661"/>
      <c r="N174" s="661"/>
      <c r="O174" s="668"/>
      <c r="P174" s="675" t="s">
        <v>72</v>
      </c>
      <c r="Q174" s="676"/>
      <c r="R174" s="676"/>
      <c r="S174" s="676"/>
      <c r="T174" s="676"/>
      <c r="U174" s="676"/>
      <c r="V174" s="677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x14ac:dyDescent="0.2">
      <c r="A175" s="661"/>
      <c r="B175" s="661"/>
      <c r="C175" s="661"/>
      <c r="D175" s="661"/>
      <c r="E175" s="661"/>
      <c r="F175" s="661"/>
      <c r="G175" s="661"/>
      <c r="H175" s="661"/>
      <c r="I175" s="661"/>
      <c r="J175" s="661"/>
      <c r="K175" s="661"/>
      <c r="L175" s="661"/>
      <c r="M175" s="661"/>
      <c r="N175" s="661"/>
      <c r="O175" s="668"/>
      <c r="P175" s="675" t="s">
        <v>72</v>
      </c>
      <c r="Q175" s="676"/>
      <c r="R175" s="676"/>
      <c r="S175" s="676"/>
      <c r="T175" s="676"/>
      <c r="U175" s="676"/>
      <c r="V175" s="677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customHeight="1" x14ac:dyDescent="0.25">
      <c r="A176" s="674" t="s">
        <v>144</v>
      </c>
      <c r="B176" s="661"/>
      <c r="C176" s="661"/>
      <c r="D176" s="661"/>
      <c r="E176" s="661"/>
      <c r="F176" s="661"/>
      <c r="G176" s="661"/>
      <c r="H176" s="661"/>
      <c r="I176" s="661"/>
      <c r="J176" s="661"/>
      <c r="K176" s="661"/>
      <c r="L176" s="661"/>
      <c r="M176" s="661"/>
      <c r="N176" s="661"/>
      <c r="O176" s="661"/>
      <c r="P176" s="661"/>
      <c r="Q176" s="661"/>
      <c r="R176" s="661"/>
      <c r="S176" s="661"/>
      <c r="T176" s="661"/>
      <c r="U176" s="661"/>
      <c r="V176" s="661"/>
      <c r="W176" s="661"/>
      <c r="X176" s="661"/>
      <c r="Y176" s="661"/>
      <c r="Z176" s="661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7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67"/>
      <c r="B179" s="661"/>
      <c r="C179" s="661"/>
      <c r="D179" s="661"/>
      <c r="E179" s="661"/>
      <c r="F179" s="661"/>
      <c r="G179" s="661"/>
      <c r="H179" s="661"/>
      <c r="I179" s="661"/>
      <c r="J179" s="661"/>
      <c r="K179" s="661"/>
      <c r="L179" s="661"/>
      <c r="M179" s="661"/>
      <c r="N179" s="661"/>
      <c r="O179" s="668"/>
      <c r="P179" s="675" t="s">
        <v>72</v>
      </c>
      <c r="Q179" s="676"/>
      <c r="R179" s="676"/>
      <c r="S179" s="676"/>
      <c r="T179" s="676"/>
      <c r="U179" s="676"/>
      <c r="V179" s="677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1"/>
      <c r="B180" s="661"/>
      <c r="C180" s="661"/>
      <c r="D180" s="661"/>
      <c r="E180" s="661"/>
      <c r="F180" s="661"/>
      <c r="G180" s="661"/>
      <c r="H180" s="661"/>
      <c r="I180" s="661"/>
      <c r="J180" s="661"/>
      <c r="K180" s="661"/>
      <c r="L180" s="661"/>
      <c r="M180" s="661"/>
      <c r="N180" s="661"/>
      <c r="O180" s="668"/>
      <c r="P180" s="675" t="s">
        <v>72</v>
      </c>
      <c r="Q180" s="676"/>
      <c r="R180" s="676"/>
      <c r="S180" s="676"/>
      <c r="T180" s="676"/>
      <c r="U180" s="676"/>
      <c r="V180" s="677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74" t="s">
        <v>62</v>
      </c>
      <c r="B181" s="661"/>
      <c r="C181" s="661"/>
      <c r="D181" s="661"/>
      <c r="E181" s="661"/>
      <c r="F181" s="661"/>
      <c r="G181" s="661"/>
      <c r="H181" s="661"/>
      <c r="I181" s="661"/>
      <c r="J181" s="661"/>
      <c r="K181" s="661"/>
      <c r="L181" s="661"/>
      <c r="M181" s="661"/>
      <c r="N181" s="661"/>
      <c r="O181" s="661"/>
      <c r="P181" s="661"/>
      <c r="Q181" s="661"/>
      <c r="R181" s="661"/>
      <c r="S181" s="661"/>
      <c r="T181" s="661"/>
      <c r="U181" s="661"/>
      <c r="V181" s="661"/>
      <c r="W181" s="661"/>
      <c r="X181" s="661"/>
      <c r="Y181" s="661"/>
      <c r="Z181" s="661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92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150</v>
      </c>
      <c r="Y182" s="652">
        <f t="shared" ref="Y182:Y195" si="27">IFERROR(IF(X182="",0,CEILING((X182/$H182),1)*$H182),"")</f>
        <v>150.5</v>
      </c>
      <c r="Z182" s="36">
        <f t="shared" ref="Z182:Z187" si="28">IFERROR(IF(Y182=0,"",ROUNDUP(Y182/H182,0)*0.00902),"")</f>
        <v>0.38785999999999998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158.14285714285714</v>
      </c>
      <c r="BN182" s="64">
        <f t="shared" ref="BN182:BN195" si="30">IFERROR(Y182*I182/H182,"0")</f>
        <v>158.67000000000002</v>
      </c>
      <c r="BO182" s="64">
        <f t="shared" ref="BO182:BO195" si="31">IFERROR(1/J182*(X182/H182),"0")</f>
        <v>0.32467532467532467</v>
      </c>
      <c r="BP182" s="64">
        <f t="shared" ref="BP182:BP195" si="32">IFERROR(1/J182*(Y182/H182),"0")</f>
        <v>0.32575757575757575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7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9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20</v>
      </c>
      <c r="Y184" s="652">
        <f t="shared" si="27"/>
        <v>21</v>
      </c>
      <c r="Z184" s="36">
        <f t="shared" si="28"/>
        <v>5.4120000000000001E-2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21.085714285714285</v>
      </c>
      <c r="BN184" s="64">
        <f t="shared" si="30"/>
        <v>22.139999999999997</v>
      </c>
      <c r="BO184" s="64">
        <f t="shared" si="31"/>
        <v>4.3290043290043295E-2</v>
      </c>
      <c r="BP184" s="64">
        <f t="shared" si="32"/>
        <v>4.5454545454545456E-2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90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73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100</v>
      </c>
      <c r="Y186" s="652">
        <f t="shared" si="27"/>
        <v>101.5</v>
      </c>
      <c r="Z186" s="36">
        <f t="shared" si="28"/>
        <v>0.26158000000000003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105.42857142857143</v>
      </c>
      <c r="BN186" s="64">
        <f t="shared" si="30"/>
        <v>107.00999999999999</v>
      </c>
      <c r="BO186" s="64">
        <f t="shared" si="31"/>
        <v>0.21645021645021648</v>
      </c>
      <c r="BP186" s="64">
        <f t="shared" si="32"/>
        <v>0.2196969696969697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941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28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39</v>
      </c>
      <c r="Y190" s="652">
        <f t="shared" si="27"/>
        <v>40.32</v>
      </c>
      <c r="Z190" s="36">
        <f>IFERROR(IF(Y190=0,"",ROUNDUP(Y190/H190,0)*0.00502),"")</f>
        <v>0.12048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41.321428571428577</v>
      </c>
      <c r="BN190" s="64">
        <f t="shared" si="30"/>
        <v>42.72</v>
      </c>
      <c r="BO190" s="64">
        <f t="shared" si="31"/>
        <v>9.9206349206349215E-2</v>
      </c>
      <c r="BP190" s="64">
        <f t="shared" si="32"/>
        <v>0.10256410256410257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7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95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42</v>
      </c>
      <c r="Y192" s="652">
        <f t="shared" si="27"/>
        <v>42</v>
      </c>
      <c r="Z192" s="36">
        <f>IFERROR(IF(Y192=0,"",ROUNDUP(Y192/H192,0)*0.00502),"")</f>
        <v>0.1255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44.500000000000007</v>
      </c>
      <c r="BN192" s="64">
        <f t="shared" si="30"/>
        <v>44.500000000000007</v>
      </c>
      <c r="BO192" s="64">
        <f t="shared" si="31"/>
        <v>0.10683760683760685</v>
      </c>
      <c r="BP192" s="64">
        <f t="shared" si="32"/>
        <v>0.10683760683760685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809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93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9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42</v>
      </c>
      <c r="Y195" s="652">
        <f t="shared" si="27"/>
        <v>42</v>
      </c>
      <c r="Z195" s="36">
        <f>IFERROR(IF(Y195=0,"",ROUNDUP(Y195/H195,0)*0.00502),"")</f>
        <v>0.1255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44.500000000000007</v>
      </c>
      <c r="BN195" s="64">
        <f t="shared" si="30"/>
        <v>44.500000000000007</v>
      </c>
      <c r="BO195" s="64">
        <f t="shared" si="31"/>
        <v>0.10683760683760685</v>
      </c>
      <c r="BP195" s="64">
        <f t="shared" si="32"/>
        <v>0.10683760683760685</v>
      </c>
    </row>
    <row r="196" spans="1:68" x14ac:dyDescent="0.2">
      <c r="A196" s="667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8"/>
      <c r="P196" s="675" t="s">
        <v>72</v>
      </c>
      <c r="Q196" s="676"/>
      <c r="R196" s="676"/>
      <c r="S196" s="676"/>
      <c r="T196" s="676"/>
      <c r="U196" s="676"/>
      <c r="V196" s="677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150.35714285714286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152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1.07504</v>
      </c>
      <c r="AA196" s="654"/>
      <c r="AB196" s="654"/>
      <c r="AC196" s="654"/>
    </row>
    <row r="197" spans="1:68" x14ac:dyDescent="0.2">
      <c r="A197" s="661"/>
      <c r="B197" s="661"/>
      <c r="C197" s="661"/>
      <c r="D197" s="661"/>
      <c r="E197" s="661"/>
      <c r="F197" s="661"/>
      <c r="G197" s="661"/>
      <c r="H197" s="661"/>
      <c r="I197" s="661"/>
      <c r="J197" s="661"/>
      <c r="K197" s="661"/>
      <c r="L197" s="661"/>
      <c r="M197" s="661"/>
      <c r="N197" s="661"/>
      <c r="O197" s="668"/>
      <c r="P197" s="675" t="s">
        <v>72</v>
      </c>
      <c r="Q197" s="676"/>
      <c r="R197" s="676"/>
      <c r="S197" s="676"/>
      <c r="T197" s="676"/>
      <c r="U197" s="676"/>
      <c r="V197" s="677"/>
      <c r="W197" s="37" t="s">
        <v>67</v>
      </c>
      <c r="X197" s="653">
        <f>IFERROR(SUM(X182:X195),"0")</f>
        <v>393</v>
      </c>
      <c r="Y197" s="653">
        <f>IFERROR(SUM(Y182:Y195),"0")</f>
        <v>397.32</v>
      </c>
      <c r="Z197" s="37"/>
      <c r="AA197" s="654"/>
      <c r="AB197" s="654"/>
      <c r="AC197" s="654"/>
    </row>
    <row r="198" spans="1:68" ht="14.25" customHeight="1" x14ac:dyDescent="0.25">
      <c r="A198" s="674" t="s">
        <v>74</v>
      </c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1"/>
      <c r="P198" s="661"/>
      <c r="Q198" s="661"/>
      <c r="R198" s="661"/>
      <c r="S198" s="661"/>
      <c r="T198" s="661"/>
      <c r="U198" s="661"/>
      <c r="V198" s="661"/>
      <c r="W198" s="661"/>
      <c r="X198" s="661"/>
      <c r="Y198" s="661"/>
      <c r="Z198" s="661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7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78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67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8"/>
      <c r="P202" s="675" t="s">
        <v>72</v>
      </c>
      <c r="Q202" s="676"/>
      <c r="R202" s="676"/>
      <c r="S202" s="676"/>
      <c r="T202" s="676"/>
      <c r="U202" s="676"/>
      <c r="V202" s="677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8"/>
      <c r="P203" s="675" t="s">
        <v>72</v>
      </c>
      <c r="Q203" s="676"/>
      <c r="R203" s="676"/>
      <c r="S203" s="676"/>
      <c r="T203" s="676"/>
      <c r="U203" s="676"/>
      <c r="V203" s="677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customHeight="1" x14ac:dyDescent="0.25">
      <c r="A204" s="674" t="s">
        <v>283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9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67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8"/>
      <c r="P206" s="675" t="s">
        <v>72</v>
      </c>
      <c r="Q206" s="676"/>
      <c r="R206" s="676"/>
      <c r="S206" s="676"/>
      <c r="T206" s="676"/>
      <c r="U206" s="676"/>
      <c r="V206" s="677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8"/>
      <c r="P207" s="675" t="s">
        <v>72</v>
      </c>
      <c r="Q207" s="676"/>
      <c r="R207" s="676"/>
      <c r="S207" s="676"/>
      <c r="T207" s="676"/>
      <c r="U207" s="676"/>
      <c r="V207" s="677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74" t="s">
        <v>355</v>
      </c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1"/>
      <c r="P208" s="661"/>
      <c r="Q208" s="661"/>
      <c r="R208" s="661"/>
      <c r="S208" s="661"/>
      <c r="T208" s="661"/>
      <c r="U208" s="661"/>
      <c r="V208" s="661"/>
      <c r="W208" s="661"/>
      <c r="X208" s="661"/>
      <c r="Y208" s="661"/>
      <c r="Z208" s="661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99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67"/>
      <c r="B210" s="661"/>
      <c r="C210" s="661"/>
      <c r="D210" s="661"/>
      <c r="E210" s="661"/>
      <c r="F210" s="661"/>
      <c r="G210" s="661"/>
      <c r="H210" s="661"/>
      <c r="I210" s="661"/>
      <c r="J210" s="661"/>
      <c r="K210" s="661"/>
      <c r="L210" s="661"/>
      <c r="M210" s="661"/>
      <c r="N210" s="661"/>
      <c r="O210" s="668"/>
      <c r="P210" s="675" t="s">
        <v>72</v>
      </c>
      <c r="Q210" s="676"/>
      <c r="R210" s="676"/>
      <c r="S210" s="676"/>
      <c r="T210" s="676"/>
      <c r="U210" s="676"/>
      <c r="V210" s="677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1"/>
      <c r="B211" s="661"/>
      <c r="C211" s="661"/>
      <c r="D211" s="661"/>
      <c r="E211" s="661"/>
      <c r="F211" s="661"/>
      <c r="G211" s="661"/>
      <c r="H211" s="661"/>
      <c r="I211" s="661"/>
      <c r="J211" s="661"/>
      <c r="K211" s="661"/>
      <c r="L211" s="661"/>
      <c r="M211" s="661"/>
      <c r="N211" s="661"/>
      <c r="O211" s="668"/>
      <c r="P211" s="675" t="s">
        <v>72</v>
      </c>
      <c r="Q211" s="676"/>
      <c r="R211" s="676"/>
      <c r="S211" s="676"/>
      <c r="T211" s="676"/>
      <c r="U211" s="676"/>
      <c r="V211" s="677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711" t="s">
        <v>359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48"/>
      <c r="AB212" s="48"/>
      <c r="AC212" s="48"/>
    </row>
    <row r="213" spans="1:68" ht="16.5" customHeight="1" x14ac:dyDescent="0.25">
      <c r="A213" s="660" t="s">
        <v>360</v>
      </c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1"/>
      <c r="P213" s="661"/>
      <c r="Q213" s="661"/>
      <c r="R213" s="661"/>
      <c r="S213" s="661"/>
      <c r="T213" s="661"/>
      <c r="U213" s="661"/>
      <c r="V213" s="661"/>
      <c r="W213" s="661"/>
      <c r="X213" s="661"/>
      <c r="Y213" s="661"/>
      <c r="Z213" s="661"/>
      <c r="AA213" s="646"/>
      <c r="AB213" s="646"/>
      <c r="AC213" s="646"/>
    </row>
    <row r="214" spans="1:68" ht="14.25" customHeight="1" x14ac:dyDescent="0.25">
      <c r="A214" s="674" t="s">
        <v>111</v>
      </c>
      <c r="B214" s="661"/>
      <c r="C214" s="661"/>
      <c r="D214" s="661"/>
      <c r="E214" s="661"/>
      <c r="F214" s="661"/>
      <c r="G214" s="661"/>
      <c r="H214" s="661"/>
      <c r="I214" s="661"/>
      <c r="J214" s="661"/>
      <c r="K214" s="661"/>
      <c r="L214" s="661"/>
      <c r="M214" s="661"/>
      <c r="N214" s="661"/>
      <c r="O214" s="661"/>
      <c r="P214" s="661"/>
      <c r="Q214" s="661"/>
      <c r="R214" s="661"/>
      <c r="S214" s="661"/>
      <c r="T214" s="661"/>
      <c r="U214" s="661"/>
      <c r="V214" s="661"/>
      <c r="W214" s="661"/>
      <c r="X214" s="661"/>
      <c r="Y214" s="661"/>
      <c r="Z214" s="661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10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6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3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10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10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67"/>
      <c r="B222" s="661"/>
      <c r="C222" s="661"/>
      <c r="D222" s="661"/>
      <c r="E222" s="661"/>
      <c r="F222" s="661"/>
      <c r="G222" s="661"/>
      <c r="H222" s="661"/>
      <c r="I222" s="661"/>
      <c r="J222" s="661"/>
      <c r="K222" s="661"/>
      <c r="L222" s="661"/>
      <c r="M222" s="661"/>
      <c r="N222" s="661"/>
      <c r="O222" s="668"/>
      <c r="P222" s="675" t="s">
        <v>72</v>
      </c>
      <c r="Q222" s="676"/>
      <c r="R222" s="676"/>
      <c r="S222" s="676"/>
      <c r="T222" s="676"/>
      <c r="U222" s="676"/>
      <c r="V222" s="677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8"/>
      <c r="P223" s="675" t="s">
        <v>72</v>
      </c>
      <c r="Q223" s="676"/>
      <c r="R223" s="676"/>
      <c r="S223" s="676"/>
      <c r="T223" s="676"/>
      <c r="U223" s="676"/>
      <c r="V223" s="677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0" t="s">
        <v>381</v>
      </c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1"/>
      <c r="P224" s="661"/>
      <c r="Q224" s="661"/>
      <c r="R224" s="661"/>
      <c r="S224" s="661"/>
      <c r="T224" s="661"/>
      <c r="U224" s="661"/>
      <c r="V224" s="661"/>
      <c r="W224" s="661"/>
      <c r="X224" s="661"/>
      <c r="Y224" s="661"/>
      <c r="Z224" s="661"/>
      <c r="AA224" s="646"/>
      <c r="AB224" s="646"/>
      <c r="AC224" s="646"/>
    </row>
    <row r="225" spans="1:68" ht="14.25" customHeight="1" x14ac:dyDescent="0.25">
      <c r="A225" s="674" t="s">
        <v>144</v>
      </c>
      <c r="B225" s="661"/>
      <c r="C225" s="661"/>
      <c r="D225" s="661"/>
      <c r="E225" s="661"/>
      <c r="F225" s="661"/>
      <c r="G225" s="661"/>
      <c r="H225" s="661"/>
      <c r="I225" s="661"/>
      <c r="J225" s="661"/>
      <c r="K225" s="661"/>
      <c r="L225" s="661"/>
      <c r="M225" s="661"/>
      <c r="N225" s="661"/>
      <c r="O225" s="661"/>
      <c r="P225" s="661"/>
      <c r="Q225" s="661"/>
      <c r="R225" s="661"/>
      <c r="S225" s="661"/>
      <c r="T225" s="661"/>
      <c r="U225" s="661"/>
      <c r="V225" s="661"/>
      <c r="W225" s="661"/>
      <c r="X225" s="661"/>
      <c r="Y225" s="661"/>
      <c r="Z225" s="661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67"/>
      <c r="B227" s="661"/>
      <c r="C227" s="661"/>
      <c r="D227" s="661"/>
      <c r="E227" s="661"/>
      <c r="F227" s="661"/>
      <c r="G227" s="661"/>
      <c r="H227" s="661"/>
      <c r="I227" s="661"/>
      <c r="J227" s="661"/>
      <c r="K227" s="661"/>
      <c r="L227" s="661"/>
      <c r="M227" s="661"/>
      <c r="N227" s="661"/>
      <c r="O227" s="668"/>
      <c r="P227" s="675" t="s">
        <v>72</v>
      </c>
      <c r="Q227" s="676"/>
      <c r="R227" s="676"/>
      <c r="S227" s="676"/>
      <c r="T227" s="676"/>
      <c r="U227" s="676"/>
      <c r="V227" s="677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1"/>
      <c r="B228" s="661"/>
      <c r="C228" s="661"/>
      <c r="D228" s="661"/>
      <c r="E228" s="661"/>
      <c r="F228" s="661"/>
      <c r="G228" s="661"/>
      <c r="H228" s="661"/>
      <c r="I228" s="661"/>
      <c r="J228" s="661"/>
      <c r="K228" s="661"/>
      <c r="L228" s="661"/>
      <c r="M228" s="661"/>
      <c r="N228" s="661"/>
      <c r="O228" s="668"/>
      <c r="P228" s="675" t="s">
        <v>72</v>
      </c>
      <c r="Q228" s="676"/>
      <c r="R228" s="676"/>
      <c r="S228" s="676"/>
      <c r="T228" s="676"/>
      <c r="U228" s="676"/>
      <c r="V228" s="677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74" t="s">
        <v>62</v>
      </c>
      <c r="B229" s="661"/>
      <c r="C229" s="661"/>
      <c r="D229" s="661"/>
      <c r="E229" s="661"/>
      <c r="F229" s="661"/>
      <c r="G229" s="661"/>
      <c r="H229" s="661"/>
      <c r="I229" s="661"/>
      <c r="J229" s="661"/>
      <c r="K229" s="661"/>
      <c r="L229" s="661"/>
      <c r="M229" s="661"/>
      <c r="N229" s="661"/>
      <c r="O229" s="661"/>
      <c r="P229" s="661"/>
      <c r="Q229" s="661"/>
      <c r="R229" s="661"/>
      <c r="S229" s="661"/>
      <c r="T229" s="661"/>
      <c r="U229" s="661"/>
      <c r="V229" s="661"/>
      <c r="W229" s="661"/>
      <c r="X229" s="661"/>
      <c r="Y229" s="661"/>
      <c r="Z229" s="661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9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50</v>
      </c>
      <c r="Y230" s="652">
        <f t="shared" ref="Y230:Y243" si="39">IFERROR(IF(X230="",0,CEILING((X230/$H230),1)*$H230),"")</f>
        <v>50.400000000000006</v>
      </c>
      <c r="Z230" s="36">
        <f>IFERROR(IF(Y230=0,"",ROUNDUP(Y230/H230,0)*0.00902),"")</f>
        <v>0.10824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52.976190476190474</v>
      </c>
      <c r="BN230" s="64">
        <f t="shared" ref="BN230:BN243" si="41">IFERROR(Y230*I230/H230,"0")</f>
        <v>53.400000000000006</v>
      </c>
      <c r="BO230" s="64">
        <f t="shared" ref="BO230:BO243" si="42">IFERROR(1/J230*(X230/H230),"0")</f>
        <v>9.0187590187590191E-2</v>
      </c>
      <c r="BP230" s="64">
        <f t="shared" ref="BP230:BP243" si="43">IFERROR(1/J230*(Y230/H230),"0")</f>
        <v>9.0909090909090912E-2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10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50</v>
      </c>
      <c r="Y232" s="652">
        <f t="shared" si="39"/>
        <v>50.400000000000006</v>
      </c>
      <c r="Z232" s="36">
        <f>IFERROR(IF(Y232=0,"",ROUNDUP(Y232/H232,0)*0.00902),"")</f>
        <v>0.10824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52.261904761904752</v>
      </c>
      <c r="BN232" s="64">
        <f t="shared" si="41"/>
        <v>52.68</v>
      </c>
      <c r="BO232" s="64">
        <f t="shared" si="42"/>
        <v>9.0187590187590191E-2</v>
      </c>
      <c r="BP232" s="64">
        <f t="shared" si="43"/>
        <v>9.0909090909090912E-2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5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3</v>
      </c>
      <c r="Y233" s="652">
        <f t="shared" si="39"/>
        <v>3.2</v>
      </c>
      <c r="Z233" s="36">
        <f>IFERROR(IF(Y233=0,"",ROUNDUP(Y233/H233,0)*0.00556),"")</f>
        <v>2.2239999999999999E-2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3.4874999999999998</v>
      </c>
      <c r="BN233" s="64">
        <f t="shared" si="41"/>
        <v>3.72</v>
      </c>
      <c r="BO233" s="64">
        <f t="shared" si="42"/>
        <v>1.488095238095238E-2</v>
      </c>
      <c r="BP233" s="64">
        <f t="shared" si="43"/>
        <v>1.5873015873015872E-2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9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7</v>
      </c>
      <c r="Y234" s="652">
        <f t="shared" si="39"/>
        <v>8.4</v>
      </c>
      <c r="Z234" s="36">
        <f t="shared" ref="Z234:Z239" si="44">IFERROR(IF(Y234=0,"",ROUNDUP(Y234/H234,0)*0.00502),"")</f>
        <v>2.0080000000000001E-2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7.4333333333333327</v>
      </c>
      <c r="BN234" s="64">
        <f t="shared" si="41"/>
        <v>8.92</v>
      </c>
      <c r="BO234" s="64">
        <f t="shared" si="42"/>
        <v>1.4245014245014245E-2</v>
      </c>
      <c r="BP234" s="64">
        <f t="shared" si="43"/>
        <v>1.7094017094017096E-2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98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5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93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18</v>
      </c>
      <c r="Y239" s="652">
        <f t="shared" si="39"/>
        <v>18</v>
      </c>
      <c r="Z239" s="36">
        <f t="shared" si="44"/>
        <v>5.0200000000000002E-2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19.3</v>
      </c>
      <c r="BN239" s="64">
        <f t="shared" si="41"/>
        <v>19.3</v>
      </c>
      <c r="BO239" s="64">
        <f t="shared" si="42"/>
        <v>4.2735042735042736E-2</v>
      </c>
      <c r="BP239" s="64">
        <f t="shared" si="43"/>
        <v>4.2735042735042736E-2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95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9</v>
      </c>
      <c r="Y240" s="652">
        <f t="shared" si="39"/>
        <v>9.6000000000000014</v>
      </c>
      <c r="Z240" s="36">
        <f>IFERROR(IF(Y240=0,"",ROUNDUP(Y240/H240,0)*0.00417),"")</f>
        <v>5.0040000000000001E-2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11.362499999999999</v>
      </c>
      <c r="BN240" s="64">
        <f t="shared" si="41"/>
        <v>12.120000000000001</v>
      </c>
      <c r="BO240" s="64">
        <f t="shared" si="42"/>
        <v>3.3482142857142856E-2</v>
      </c>
      <c r="BP240" s="64">
        <f t="shared" si="43"/>
        <v>3.5714285714285719E-2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76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60</v>
      </c>
      <c r="Y241" s="652">
        <f t="shared" si="39"/>
        <v>60.900000000000006</v>
      </c>
      <c r="Z241" s="36">
        <f>IFERROR(IF(Y241=0,"",ROUNDUP(Y241/H241,0)*0.00502),"")</f>
        <v>0.14558000000000001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62.857142857142854</v>
      </c>
      <c r="BN241" s="64">
        <f t="shared" si="41"/>
        <v>63.800000000000004</v>
      </c>
      <c r="BO241" s="64">
        <f t="shared" si="42"/>
        <v>0.12210012210012211</v>
      </c>
      <c r="BP241" s="64">
        <f t="shared" si="43"/>
        <v>0.12393162393162395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7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67"/>
      <c r="B244" s="661"/>
      <c r="C244" s="661"/>
      <c r="D244" s="661"/>
      <c r="E244" s="661"/>
      <c r="F244" s="661"/>
      <c r="G244" s="661"/>
      <c r="H244" s="661"/>
      <c r="I244" s="661"/>
      <c r="J244" s="661"/>
      <c r="K244" s="661"/>
      <c r="L244" s="661"/>
      <c r="M244" s="661"/>
      <c r="N244" s="661"/>
      <c r="O244" s="668"/>
      <c r="P244" s="675" t="s">
        <v>72</v>
      </c>
      <c r="Q244" s="676"/>
      <c r="R244" s="676"/>
      <c r="S244" s="676"/>
      <c r="T244" s="676"/>
      <c r="U244" s="676"/>
      <c r="V244" s="677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80.714285714285708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83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0.50462000000000007</v>
      </c>
      <c r="AA244" s="654"/>
      <c r="AB244" s="654"/>
      <c r="AC244" s="654"/>
    </row>
    <row r="245" spans="1:68" x14ac:dyDescent="0.2">
      <c r="A245" s="661"/>
      <c r="B245" s="661"/>
      <c r="C245" s="661"/>
      <c r="D245" s="661"/>
      <c r="E245" s="661"/>
      <c r="F245" s="661"/>
      <c r="G245" s="661"/>
      <c r="H245" s="661"/>
      <c r="I245" s="661"/>
      <c r="J245" s="661"/>
      <c r="K245" s="661"/>
      <c r="L245" s="661"/>
      <c r="M245" s="661"/>
      <c r="N245" s="661"/>
      <c r="O245" s="668"/>
      <c r="P245" s="675" t="s">
        <v>72</v>
      </c>
      <c r="Q245" s="676"/>
      <c r="R245" s="676"/>
      <c r="S245" s="676"/>
      <c r="T245" s="676"/>
      <c r="U245" s="676"/>
      <c r="V245" s="677"/>
      <c r="W245" s="37" t="s">
        <v>67</v>
      </c>
      <c r="X245" s="653">
        <f>IFERROR(SUM(X230:X243),"0")</f>
        <v>197</v>
      </c>
      <c r="Y245" s="653">
        <f>IFERROR(SUM(Y230:Y243),"0")</f>
        <v>200.90000000000003</v>
      </c>
      <c r="Z245" s="37"/>
      <c r="AA245" s="654"/>
      <c r="AB245" s="654"/>
      <c r="AC245" s="654"/>
    </row>
    <row r="246" spans="1:68" ht="14.25" customHeight="1" x14ac:dyDescent="0.25">
      <c r="A246" s="674" t="s">
        <v>74</v>
      </c>
      <c r="B246" s="661"/>
      <c r="C246" s="661"/>
      <c r="D246" s="661"/>
      <c r="E246" s="661"/>
      <c r="F246" s="661"/>
      <c r="G246" s="661"/>
      <c r="H246" s="661"/>
      <c r="I246" s="661"/>
      <c r="J246" s="661"/>
      <c r="K246" s="661"/>
      <c r="L246" s="661"/>
      <c r="M246" s="661"/>
      <c r="N246" s="661"/>
      <c r="O246" s="661"/>
      <c r="P246" s="661"/>
      <c r="Q246" s="661"/>
      <c r="R246" s="661"/>
      <c r="S246" s="661"/>
      <c r="T246" s="661"/>
      <c r="U246" s="661"/>
      <c r="V246" s="661"/>
      <c r="W246" s="661"/>
      <c r="X246" s="661"/>
      <c r="Y246" s="661"/>
      <c r="Z246" s="661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76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10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9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2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67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8"/>
      <c r="P252" s="675" t="s">
        <v>72</v>
      </c>
      <c r="Q252" s="676"/>
      <c r="R252" s="676"/>
      <c r="S252" s="676"/>
      <c r="T252" s="676"/>
      <c r="U252" s="676"/>
      <c r="V252" s="677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8"/>
      <c r="P253" s="675" t="s">
        <v>72</v>
      </c>
      <c r="Q253" s="676"/>
      <c r="R253" s="676"/>
      <c r="S253" s="676"/>
      <c r="T253" s="676"/>
      <c r="U253" s="676"/>
      <c r="V253" s="677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74" t="s">
        <v>283</v>
      </c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1"/>
      <c r="P254" s="661"/>
      <c r="Q254" s="661"/>
      <c r="R254" s="661"/>
      <c r="S254" s="661"/>
      <c r="T254" s="661"/>
      <c r="U254" s="661"/>
      <c r="V254" s="661"/>
      <c r="W254" s="661"/>
      <c r="X254" s="661"/>
      <c r="Y254" s="661"/>
      <c r="Z254" s="661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9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2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3</v>
      </c>
      <c r="Y256" s="652">
        <f>IFERROR(IF(X256="",0,CEILING((X256/$H256),1)*$H256),"")</f>
        <v>3.7800000000000002</v>
      </c>
      <c r="Z256" s="36">
        <f>IFERROR(IF(Y256=0,"",ROUNDUP(Y256/H256,0)*0.0059),"")</f>
        <v>1.77E-2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3.4523809523809521</v>
      </c>
      <c r="BN256" s="64">
        <f>IFERROR(Y256*I256/H256,"0")</f>
        <v>4.3499999999999996</v>
      </c>
      <c r="BO256" s="64">
        <f>IFERROR(1/J256*(X256/H256),"0")</f>
        <v>1.1022927689594356E-2</v>
      </c>
      <c r="BP256" s="64">
        <f>IFERROR(1/J256*(Y256/H256),"0")</f>
        <v>1.3888888888888888E-2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81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2</v>
      </c>
      <c r="Y257" s="652">
        <f>IFERROR(IF(X257="",0,CEILING((X257/$H257),1)*$H257),"")</f>
        <v>2.52</v>
      </c>
      <c r="Z257" s="36">
        <f>IFERROR(IF(Y257=0,"",ROUNDUP(Y257/H257,0)*0.0059),"")</f>
        <v>1.18E-2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2.3015873015873014</v>
      </c>
      <c r="BN257" s="64">
        <f>IFERROR(Y257*I257/H257,"0")</f>
        <v>2.9</v>
      </c>
      <c r="BO257" s="64">
        <f>IFERROR(1/J257*(X257/H257),"0")</f>
        <v>7.3486184597295699E-3</v>
      </c>
      <c r="BP257" s="64">
        <f>IFERROR(1/J257*(Y257/H257),"0")</f>
        <v>9.2592592592592587E-3</v>
      </c>
    </row>
    <row r="258" spans="1:68" x14ac:dyDescent="0.2">
      <c r="A258" s="667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8"/>
      <c r="P258" s="675" t="s">
        <v>72</v>
      </c>
      <c r="Q258" s="676"/>
      <c r="R258" s="676"/>
      <c r="S258" s="676"/>
      <c r="T258" s="676"/>
      <c r="U258" s="676"/>
      <c r="V258" s="677"/>
      <c r="W258" s="37" t="s">
        <v>73</v>
      </c>
      <c r="X258" s="653">
        <f>IFERROR(X255/H255,"0")+IFERROR(X256/H256,"0")+IFERROR(X257/H257,"0")</f>
        <v>3.9682539682539684</v>
      </c>
      <c r="Y258" s="653">
        <f>IFERROR(Y255/H255,"0")+IFERROR(Y256/H256,"0")+IFERROR(Y257/H257,"0")</f>
        <v>5</v>
      </c>
      <c r="Z258" s="653">
        <f>IFERROR(IF(Z255="",0,Z255),"0")+IFERROR(IF(Z256="",0,Z256),"0")+IFERROR(IF(Z257="",0,Z257),"0")</f>
        <v>2.9499999999999998E-2</v>
      </c>
      <c r="AA258" s="654"/>
      <c r="AB258" s="654"/>
      <c r="AC258" s="654"/>
    </row>
    <row r="259" spans="1:68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8"/>
      <c r="P259" s="675" t="s">
        <v>72</v>
      </c>
      <c r="Q259" s="676"/>
      <c r="R259" s="676"/>
      <c r="S259" s="676"/>
      <c r="T259" s="676"/>
      <c r="U259" s="676"/>
      <c r="V259" s="677"/>
      <c r="W259" s="37" t="s">
        <v>67</v>
      </c>
      <c r="X259" s="653">
        <f>IFERROR(SUM(X255:X257),"0")</f>
        <v>5</v>
      </c>
      <c r="Y259" s="653">
        <f>IFERROR(SUM(Y255:Y257),"0")</f>
        <v>6.3000000000000007</v>
      </c>
      <c r="Z259" s="37"/>
      <c r="AA259" s="654"/>
      <c r="AB259" s="654"/>
      <c r="AC259" s="654"/>
    </row>
    <row r="260" spans="1:68" ht="14.25" customHeight="1" x14ac:dyDescent="0.25">
      <c r="A260" s="674" t="s">
        <v>445</v>
      </c>
      <c r="B260" s="661"/>
      <c r="C260" s="661"/>
      <c r="D260" s="661"/>
      <c r="E260" s="661"/>
      <c r="F260" s="661"/>
      <c r="G260" s="661"/>
      <c r="H260" s="661"/>
      <c r="I260" s="661"/>
      <c r="J260" s="661"/>
      <c r="K260" s="661"/>
      <c r="L260" s="661"/>
      <c r="M260" s="661"/>
      <c r="N260" s="661"/>
      <c r="O260" s="661"/>
      <c r="P260" s="661"/>
      <c r="Q260" s="661"/>
      <c r="R260" s="661"/>
      <c r="S260" s="661"/>
      <c r="T260" s="661"/>
      <c r="U260" s="661"/>
      <c r="V260" s="661"/>
      <c r="W260" s="661"/>
      <c r="X260" s="661"/>
      <c r="Y260" s="661"/>
      <c r="Z260" s="661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0</v>
      </c>
      <c r="Y261" s="652">
        <f>IFERROR(IF(X261="",0,CEILING((X261/$H261),1)*$H261),"")</f>
        <v>0</v>
      </c>
      <c r="Z261" s="36" t="str">
        <f>IFERROR(IF(Y261=0,"",ROUNDUP(Y261/H261,0)*0.0059),"")</f>
        <v/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67"/>
      <c r="B262" s="661"/>
      <c r="C262" s="661"/>
      <c r="D262" s="661"/>
      <c r="E262" s="661"/>
      <c r="F262" s="661"/>
      <c r="G262" s="661"/>
      <c r="H262" s="661"/>
      <c r="I262" s="661"/>
      <c r="J262" s="661"/>
      <c r="K262" s="661"/>
      <c r="L262" s="661"/>
      <c r="M262" s="661"/>
      <c r="N262" s="661"/>
      <c r="O262" s="668"/>
      <c r="P262" s="675" t="s">
        <v>72</v>
      </c>
      <c r="Q262" s="676"/>
      <c r="R262" s="676"/>
      <c r="S262" s="676"/>
      <c r="T262" s="676"/>
      <c r="U262" s="676"/>
      <c r="V262" s="677"/>
      <c r="W262" s="37" t="s">
        <v>73</v>
      </c>
      <c r="X262" s="653">
        <f>IFERROR(X261/H261,"0")</f>
        <v>0</v>
      </c>
      <c r="Y262" s="653">
        <f>IFERROR(Y261/H261,"0")</f>
        <v>0</v>
      </c>
      <c r="Z262" s="653">
        <f>IFERROR(IF(Z261="",0,Z261),"0")</f>
        <v>0</v>
      </c>
      <c r="AA262" s="654"/>
      <c r="AB262" s="654"/>
      <c r="AC262" s="654"/>
    </row>
    <row r="263" spans="1:68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8"/>
      <c r="P263" s="675" t="s">
        <v>72</v>
      </c>
      <c r="Q263" s="676"/>
      <c r="R263" s="676"/>
      <c r="S263" s="676"/>
      <c r="T263" s="676"/>
      <c r="U263" s="676"/>
      <c r="V263" s="677"/>
      <c r="W263" s="37" t="s">
        <v>67</v>
      </c>
      <c r="X263" s="653">
        <f>IFERROR(SUM(X261:X261),"0")</f>
        <v>0</v>
      </c>
      <c r="Y263" s="653">
        <f>IFERROR(SUM(Y261:Y261),"0")</f>
        <v>0</v>
      </c>
      <c r="Z263" s="37"/>
      <c r="AA263" s="654"/>
      <c r="AB263" s="654"/>
      <c r="AC263" s="654"/>
    </row>
    <row r="264" spans="1:68" ht="16.5" customHeight="1" x14ac:dyDescent="0.25">
      <c r="A264" s="660" t="s">
        <v>448</v>
      </c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1"/>
      <c r="P264" s="661"/>
      <c r="Q264" s="661"/>
      <c r="R264" s="661"/>
      <c r="S264" s="661"/>
      <c r="T264" s="661"/>
      <c r="U264" s="661"/>
      <c r="V264" s="661"/>
      <c r="W264" s="661"/>
      <c r="X264" s="661"/>
      <c r="Y264" s="661"/>
      <c r="Z264" s="661"/>
      <c r="AA264" s="646"/>
      <c r="AB264" s="646"/>
      <c r="AC264" s="646"/>
    </row>
    <row r="265" spans="1:68" ht="14.25" customHeight="1" x14ac:dyDescent="0.25">
      <c r="A265" s="674" t="s">
        <v>111</v>
      </c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1"/>
      <c r="P265" s="661"/>
      <c r="Q265" s="661"/>
      <c r="R265" s="661"/>
      <c r="S265" s="661"/>
      <c r="T265" s="661"/>
      <c r="U265" s="661"/>
      <c r="V265" s="661"/>
      <c r="W265" s="661"/>
      <c r="X265" s="661"/>
      <c r="Y265" s="661"/>
      <c r="Z265" s="661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9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67"/>
      <c r="B268" s="661"/>
      <c r="C268" s="661"/>
      <c r="D268" s="661"/>
      <c r="E268" s="661"/>
      <c r="F268" s="661"/>
      <c r="G268" s="661"/>
      <c r="H268" s="661"/>
      <c r="I268" s="661"/>
      <c r="J268" s="661"/>
      <c r="K268" s="661"/>
      <c r="L268" s="661"/>
      <c r="M268" s="661"/>
      <c r="N268" s="661"/>
      <c r="O268" s="668"/>
      <c r="P268" s="675" t="s">
        <v>72</v>
      </c>
      <c r="Q268" s="676"/>
      <c r="R268" s="676"/>
      <c r="S268" s="676"/>
      <c r="T268" s="676"/>
      <c r="U268" s="676"/>
      <c r="V268" s="677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8"/>
      <c r="P269" s="675" t="s">
        <v>72</v>
      </c>
      <c r="Q269" s="676"/>
      <c r="R269" s="676"/>
      <c r="S269" s="676"/>
      <c r="T269" s="676"/>
      <c r="U269" s="676"/>
      <c r="V269" s="677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74" t="s">
        <v>144</v>
      </c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1"/>
      <c r="P270" s="661"/>
      <c r="Q270" s="661"/>
      <c r="R270" s="661"/>
      <c r="S270" s="661"/>
      <c r="T270" s="661"/>
      <c r="U270" s="661"/>
      <c r="V270" s="661"/>
      <c r="W270" s="661"/>
      <c r="X270" s="661"/>
      <c r="Y270" s="661"/>
      <c r="Z270" s="661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9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67"/>
      <c r="B273" s="661"/>
      <c r="C273" s="661"/>
      <c r="D273" s="661"/>
      <c r="E273" s="661"/>
      <c r="F273" s="661"/>
      <c r="G273" s="661"/>
      <c r="H273" s="661"/>
      <c r="I273" s="661"/>
      <c r="J273" s="661"/>
      <c r="K273" s="661"/>
      <c r="L273" s="661"/>
      <c r="M273" s="661"/>
      <c r="N273" s="661"/>
      <c r="O273" s="668"/>
      <c r="P273" s="675" t="s">
        <v>72</v>
      </c>
      <c r="Q273" s="676"/>
      <c r="R273" s="676"/>
      <c r="S273" s="676"/>
      <c r="T273" s="676"/>
      <c r="U273" s="676"/>
      <c r="V273" s="677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8"/>
      <c r="P274" s="675" t="s">
        <v>72</v>
      </c>
      <c r="Q274" s="676"/>
      <c r="R274" s="676"/>
      <c r="S274" s="676"/>
      <c r="T274" s="676"/>
      <c r="U274" s="676"/>
      <c r="V274" s="677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74" t="s">
        <v>62</v>
      </c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1"/>
      <c r="P275" s="661"/>
      <c r="Q275" s="661"/>
      <c r="R275" s="661"/>
      <c r="S275" s="661"/>
      <c r="T275" s="661"/>
      <c r="U275" s="661"/>
      <c r="V275" s="661"/>
      <c r="W275" s="661"/>
      <c r="X275" s="661"/>
      <c r="Y275" s="661"/>
      <c r="Z275" s="661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7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92</v>
      </c>
      <c r="Y276" s="652">
        <f t="shared" ref="Y276:Y283" si="45">IFERROR(IF(X276="",0,CEILING((X276/$H276),1)*$H276),"")</f>
        <v>97.2</v>
      </c>
      <c r="Z276" s="36">
        <f>IFERROR(IF(Y276=0,"",ROUNDUP(Y276/H276,0)*0.00902),"")</f>
        <v>0.16236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95.237037037037027</v>
      </c>
      <c r="BN276" s="64">
        <f t="shared" ref="BN276:BN283" si="47">IFERROR(Y276*I276/H276,"0")</f>
        <v>100.61999999999999</v>
      </c>
      <c r="BO276" s="64">
        <f t="shared" ref="BO276:BO283" si="48">IFERROR(1/J276*(X276/H276),"0")</f>
        <v>0.12906846240179573</v>
      </c>
      <c r="BP276" s="64">
        <f t="shared" ref="BP276:BP283" si="49">IFERROR(1/J276*(Y276/H276),"0")</f>
        <v>0.13636363636363635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90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60</v>
      </c>
      <c r="Y277" s="652">
        <f t="shared" si="45"/>
        <v>64.800000000000011</v>
      </c>
      <c r="Z277" s="36">
        <f>IFERROR(IF(Y277=0,"",ROUNDUP(Y277/H277,0)*0.00902),"")</f>
        <v>0.10824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62.1111111111111</v>
      </c>
      <c r="BN277" s="64">
        <f t="shared" si="47"/>
        <v>67.08</v>
      </c>
      <c r="BO277" s="64">
        <f t="shared" si="48"/>
        <v>8.4175084175084181E-2</v>
      </c>
      <c r="BP277" s="64">
        <f t="shared" si="49"/>
        <v>9.0909090909090925E-2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7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100</v>
      </c>
      <c r="Y278" s="652">
        <f t="shared" si="45"/>
        <v>102.60000000000001</v>
      </c>
      <c r="Z278" s="36">
        <f>IFERROR(IF(Y278=0,"",ROUNDUP(Y278/H278,0)*0.00902),"")</f>
        <v>0.17138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103.5185185185185</v>
      </c>
      <c r="BN278" s="64">
        <f t="shared" si="47"/>
        <v>106.21</v>
      </c>
      <c r="BO278" s="64">
        <f t="shared" si="48"/>
        <v>0.14029180695847362</v>
      </c>
      <c r="BP278" s="64">
        <f t="shared" si="49"/>
        <v>0.14393939393939395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78</v>
      </c>
      <c r="Y279" s="652">
        <f t="shared" si="45"/>
        <v>81</v>
      </c>
      <c r="Z279" s="36">
        <f>IFERROR(IF(Y279=0,"",ROUNDUP(Y279/H279,0)*0.00902),"")</f>
        <v>0.1353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80.74444444444444</v>
      </c>
      <c r="BN279" s="64">
        <f t="shared" si="47"/>
        <v>83.85</v>
      </c>
      <c r="BO279" s="64">
        <f t="shared" si="48"/>
        <v>0.10942760942760942</v>
      </c>
      <c r="BP279" s="64">
        <f t="shared" si="49"/>
        <v>0.11363636363636363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9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9</v>
      </c>
      <c r="Y280" s="652">
        <f t="shared" si="45"/>
        <v>9</v>
      </c>
      <c r="Z280" s="36">
        <f>IFERROR(IF(Y280=0,"",ROUNDUP(Y280/H280,0)*0.00502),"")</f>
        <v>2.5100000000000001E-2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9.65</v>
      </c>
      <c r="BN280" s="64">
        <f t="shared" si="47"/>
        <v>9.65</v>
      </c>
      <c r="BO280" s="64">
        <f t="shared" si="48"/>
        <v>2.1367521367521368E-2</v>
      </c>
      <c r="BP280" s="64">
        <f t="shared" si="49"/>
        <v>2.1367521367521368E-2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9</v>
      </c>
      <c r="Y281" s="652">
        <f t="shared" si="45"/>
        <v>9</v>
      </c>
      <c r="Z281" s="36">
        <f>IFERROR(IF(Y281=0,"",ROUNDUP(Y281/H281,0)*0.00502),"")</f>
        <v>2.5100000000000001E-2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9.4999999999999982</v>
      </c>
      <c r="BN281" s="64">
        <f t="shared" si="47"/>
        <v>9.4999999999999982</v>
      </c>
      <c r="BO281" s="64">
        <f t="shared" si="48"/>
        <v>2.1367521367521368E-2</v>
      </c>
      <c r="BP281" s="64">
        <f t="shared" si="49"/>
        <v>2.1367521367521368E-2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78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9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15</v>
      </c>
      <c r="Y283" s="652">
        <f t="shared" si="45"/>
        <v>16.2</v>
      </c>
      <c r="Z283" s="36">
        <f>IFERROR(IF(Y283=0,"",ROUNDUP(Y283/H283,0)*0.00502),"")</f>
        <v>4.5179999999999998E-2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15.833333333333332</v>
      </c>
      <c r="BN283" s="64">
        <f t="shared" si="47"/>
        <v>17.099999999999998</v>
      </c>
      <c r="BO283" s="64">
        <f t="shared" si="48"/>
        <v>3.561253561253562E-2</v>
      </c>
      <c r="BP283" s="64">
        <f t="shared" si="49"/>
        <v>3.8461538461538464E-2</v>
      </c>
    </row>
    <row r="284" spans="1:68" x14ac:dyDescent="0.2">
      <c r="A284" s="667"/>
      <c r="B284" s="661"/>
      <c r="C284" s="661"/>
      <c r="D284" s="661"/>
      <c r="E284" s="661"/>
      <c r="F284" s="661"/>
      <c r="G284" s="661"/>
      <c r="H284" s="661"/>
      <c r="I284" s="661"/>
      <c r="J284" s="661"/>
      <c r="K284" s="661"/>
      <c r="L284" s="661"/>
      <c r="M284" s="661"/>
      <c r="N284" s="661"/>
      <c r="O284" s="668"/>
      <c r="P284" s="675" t="s">
        <v>72</v>
      </c>
      <c r="Q284" s="676"/>
      <c r="R284" s="676"/>
      <c r="S284" s="676"/>
      <c r="T284" s="676"/>
      <c r="U284" s="676"/>
      <c r="V284" s="677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79.444444444444443</v>
      </c>
      <c r="Y284" s="653">
        <f>IFERROR(Y276/H276,"0")+IFERROR(Y277/H277,"0")+IFERROR(Y278/H278,"0")+IFERROR(Y279/H279,"0")+IFERROR(Y280/H280,"0")+IFERROR(Y281/H281,"0")+IFERROR(Y282/H282,"0")+IFERROR(Y283/H283,"0")</f>
        <v>83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0.67266000000000004</v>
      </c>
      <c r="AA284" s="654"/>
      <c r="AB284" s="654"/>
      <c r="AC284" s="654"/>
    </row>
    <row r="285" spans="1:68" x14ac:dyDescent="0.2">
      <c r="A285" s="661"/>
      <c r="B285" s="661"/>
      <c r="C285" s="661"/>
      <c r="D285" s="661"/>
      <c r="E285" s="661"/>
      <c r="F285" s="661"/>
      <c r="G285" s="661"/>
      <c r="H285" s="661"/>
      <c r="I285" s="661"/>
      <c r="J285" s="661"/>
      <c r="K285" s="661"/>
      <c r="L285" s="661"/>
      <c r="M285" s="661"/>
      <c r="N285" s="661"/>
      <c r="O285" s="668"/>
      <c r="P285" s="675" t="s">
        <v>72</v>
      </c>
      <c r="Q285" s="676"/>
      <c r="R285" s="676"/>
      <c r="S285" s="676"/>
      <c r="T285" s="676"/>
      <c r="U285" s="676"/>
      <c r="V285" s="677"/>
      <c r="W285" s="37" t="s">
        <v>67</v>
      </c>
      <c r="X285" s="653">
        <f>IFERROR(SUM(X276:X283),"0")</f>
        <v>363</v>
      </c>
      <c r="Y285" s="653">
        <f>IFERROR(SUM(Y276:Y283),"0")</f>
        <v>379.8</v>
      </c>
      <c r="Z285" s="37"/>
      <c r="AA285" s="654"/>
      <c r="AB285" s="654"/>
      <c r="AC285" s="654"/>
    </row>
    <row r="286" spans="1:68" ht="14.25" customHeight="1" x14ac:dyDescent="0.25">
      <c r="A286" s="674" t="s">
        <v>74</v>
      </c>
      <c r="B286" s="661"/>
      <c r="C286" s="661"/>
      <c r="D286" s="661"/>
      <c r="E286" s="661"/>
      <c r="F286" s="661"/>
      <c r="G286" s="661"/>
      <c r="H286" s="661"/>
      <c r="I286" s="661"/>
      <c r="J286" s="661"/>
      <c r="K286" s="661"/>
      <c r="L286" s="661"/>
      <c r="M286" s="661"/>
      <c r="N286" s="661"/>
      <c r="O286" s="661"/>
      <c r="P286" s="661"/>
      <c r="Q286" s="661"/>
      <c r="R286" s="661"/>
      <c r="S286" s="661"/>
      <c r="T286" s="661"/>
      <c r="U286" s="661"/>
      <c r="V286" s="661"/>
      <c r="W286" s="661"/>
      <c r="X286" s="661"/>
      <c r="Y286" s="661"/>
      <c r="Z286" s="661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147</v>
      </c>
      <c r="Y287" s="652">
        <f t="shared" ref="Y287:Y298" si="50">IFERROR(IF(X287="",0,CEILING((X287/$H287),1)*$H287),"")</f>
        <v>153.9</v>
      </c>
      <c r="Z287" s="36">
        <f>IFERROR(IF(Y287=0,"",ROUNDUP(Y287/H287,0)*0.01898),"")</f>
        <v>0.36062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155.96518518518519</v>
      </c>
      <c r="BN287" s="64">
        <f t="shared" ref="BN287:BN298" si="52">IFERROR(Y287*I287/H287,"0")</f>
        <v>163.286</v>
      </c>
      <c r="BO287" s="64">
        <f t="shared" ref="BO287:BO298" si="53">IFERROR(1/J287*(X287/H287),"0")</f>
        <v>0.28356481481481483</v>
      </c>
      <c r="BP287" s="64">
        <f t="shared" ref="BP287:BP298" si="54">IFERROR(1/J287*(Y287/H287),"0")</f>
        <v>0.296875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7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360</v>
      </c>
      <c r="Y288" s="652">
        <f t="shared" si="50"/>
        <v>364.5</v>
      </c>
      <c r="Z288" s="36">
        <f>IFERROR(IF(Y288=0,"",ROUNDUP(Y288/H288,0)*0.01898),"")</f>
        <v>0.85409999999999997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381.15555555555557</v>
      </c>
      <c r="BN288" s="64">
        <f t="shared" si="52"/>
        <v>385.92000000000007</v>
      </c>
      <c r="BO288" s="64">
        <f t="shared" si="53"/>
        <v>0.69444444444444442</v>
      </c>
      <c r="BP288" s="64">
        <f t="shared" si="54"/>
        <v>0.703125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28</v>
      </c>
      <c r="Y289" s="652">
        <f t="shared" si="50"/>
        <v>34.799999999999997</v>
      </c>
      <c r="Z289" s="36">
        <f>IFERROR(IF(Y289=0,"",ROUNDUP(Y289/H289,0)*0.01898),"")</f>
        <v>7.5920000000000001E-2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29.589885057471268</v>
      </c>
      <c r="BN289" s="64">
        <f t="shared" si="52"/>
        <v>36.776000000000003</v>
      </c>
      <c r="BO289" s="64">
        <f t="shared" si="53"/>
        <v>5.0287356321839081E-2</v>
      </c>
      <c r="BP289" s="64">
        <f t="shared" si="54"/>
        <v>6.25E-2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10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0</v>
      </c>
      <c r="Y290" s="652">
        <f t="shared" si="50"/>
        <v>0</v>
      </c>
      <c r="Z290" s="36" t="str">
        <f>IFERROR(IF(Y290=0,"",ROUNDUP(Y290/H290,0)*0.00651),"")</f>
        <v/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0</v>
      </c>
      <c r="BN290" s="64">
        <f t="shared" si="52"/>
        <v>0</v>
      </c>
      <c r="BO290" s="64">
        <f t="shared" si="53"/>
        <v>0</v>
      </c>
      <c r="BP290" s="64">
        <f t="shared" si="54"/>
        <v>0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6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140</v>
      </c>
      <c r="Y293" s="652">
        <f t="shared" si="50"/>
        <v>141.6</v>
      </c>
      <c r="Z293" s="36">
        <f>IFERROR(IF(Y293=0,"",ROUNDUP(Y293/H293,0)*0.00651),"")</f>
        <v>0.38408999999999999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154.70000000000002</v>
      </c>
      <c r="BN293" s="64">
        <f t="shared" si="52"/>
        <v>156.46800000000002</v>
      </c>
      <c r="BO293" s="64">
        <f t="shared" si="53"/>
        <v>0.32051282051282054</v>
      </c>
      <c r="BP293" s="64">
        <f t="shared" si="54"/>
        <v>0.32417582417582419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6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7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80</v>
      </c>
      <c r="Y295" s="652">
        <f t="shared" si="50"/>
        <v>81.599999999999994</v>
      </c>
      <c r="Z295" s="36">
        <f>IFERROR(IF(Y295=0,"",ROUNDUP(Y295/H295,0)*0.00651),"")</f>
        <v>0.22134000000000001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88.40000000000002</v>
      </c>
      <c r="BN295" s="64">
        <f t="shared" si="52"/>
        <v>90.168000000000006</v>
      </c>
      <c r="BO295" s="64">
        <f t="shared" si="53"/>
        <v>0.18315018315018317</v>
      </c>
      <c r="BP295" s="64">
        <f t="shared" si="54"/>
        <v>0.18681318681318682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60</v>
      </c>
      <c r="Y296" s="652">
        <f t="shared" si="50"/>
        <v>60</v>
      </c>
      <c r="Z296" s="36">
        <f>IFERROR(IF(Y296=0,"",ROUNDUP(Y296/H296,0)*0.00651),"")</f>
        <v>0.16275000000000001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66.300000000000011</v>
      </c>
      <c r="BN296" s="64">
        <f t="shared" si="52"/>
        <v>66.300000000000011</v>
      </c>
      <c r="BO296" s="64">
        <f t="shared" si="53"/>
        <v>0.13736263736263737</v>
      </c>
      <c r="BP296" s="64">
        <f t="shared" si="54"/>
        <v>0.13736263736263737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163</v>
      </c>
      <c r="Y297" s="652">
        <f t="shared" si="50"/>
        <v>163.19999999999999</v>
      </c>
      <c r="Z297" s="36">
        <f>IFERROR(IF(Y297=0,"",ROUNDUP(Y297/H297,0)*0.00651),"")</f>
        <v>0.44268000000000002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180.52249999999998</v>
      </c>
      <c r="BN297" s="64">
        <f t="shared" si="52"/>
        <v>180.74399999999997</v>
      </c>
      <c r="BO297" s="64">
        <f t="shared" si="53"/>
        <v>0.37316849816849823</v>
      </c>
      <c r="BP297" s="64">
        <f t="shared" si="54"/>
        <v>0.37362637362637363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74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67"/>
      <c r="B299" s="661"/>
      <c r="C299" s="661"/>
      <c r="D299" s="661"/>
      <c r="E299" s="661"/>
      <c r="F299" s="661"/>
      <c r="G299" s="661"/>
      <c r="H299" s="661"/>
      <c r="I299" s="661"/>
      <c r="J299" s="661"/>
      <c r="K299" s="661"/>
      <c r="L299" s="661"/>
      <c r="M299" s="661"/>
      <c r="N299" s="661"/>
      <c r="O299" s="668"/>
      <c r="P299" s="675" t="s">
        <v>72</v>
      </c>
      <c r="Q299" s="676"/>
      <c r="R299" s="676"/>
      <c r="S299" s="676"/>
      <c r="T299" s="676"/>
      <c r="U299" s="676"/>
      <c r="V299" s="677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250.39431673052366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254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2.5015000000000005</v>
      </c>
      <c r="AA299" s="654"/>
      <c r="AB299" s="654"/>
      <c r="AC299" s="654"/>
    </row>
    <row r="300" spans="1:68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8"/>
      <c r="P300" s="675" t="s">
        <v>72</v>
      </c>
      <c r="Q300" s="676"/>
      <c r="R300" s="676"/>
      <c r="S300" s="676"/>
      <c r="T300" s="676"/>
      <c r="U300" s="676"/>
      <c r="V300" s="677"/>
      <c r="W300" s="37" t="s">
        <v>67</v>
      </c>
      <c r="X300" s="653">
        <f>IFERROR(SUM(X287:X298),"0")</f>
        <v>978</v>
      </c>
      <c r="Y300" s="653">
        <f>IFERROR(SUM(Y287:Y298),"0")</f>
        <v>999.59999999999991</v>
      </c>
      <c r="Z300" s="37"/>
      <c r="AA300" s="654"/>
      <c r="AB300" s="654"/>
      <c r="AC300" s="654"/>
    </row>
    <row r="301" spans="1:68" ht="14.25" customHeight="1" x14ac:dyDescent="0.25">
      <c r="A301" s="674" t="s">
        <v>162</v>
      </c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1"/>
      <c r="P301" s="661"/>
      <c r="Q301" s="661"/>
      <c r="R301" s="661"/>
      <c r="S301" s="661"/>
      <c r="T301" s="661"/>
      <c r="U301" s="661"/>
      <c r="V301" s="661"/>
      <c r="W301" s="661"/>
      <c r="X301" s="661"/>
      <c r="Y301" s="661"/>
      <c r="Z301" s="661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102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10</v>
      </c>
      <c r="Y302" s="652">
        <f>IFERROR(IF(X302="",0,CEILING((X302/$H302),1)*$H302),"")</f>
        <v>12</v>
      </c>
      <c r="Z302" s="36">
        <f>IFERROR(IF(Y302=0,"",ROUNDUP(Y302/H302,0)*0.00651),"")</f>
        <v>3.2550000000000003E-2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11.050000000000002</v>
      </c>
      <c r="BN302" s="64">
        <f>IFERROR(Y302*I302/H302,"0")</f>
        <v>13.260000000000002</v>
      </c>
      <c r="BO302" s="64">
        <f>IFERROR(1/J302*(X302/H302),"0")</f>
        <v>2.2893772893772896E-2</v>
      </c>
      <c r="BP302" s="64">
        <f>IFERROR(1/J302*(Y302/H302),"0")</f>
        <v>2.7472527472527476E-2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94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20</v>
      </c>
      <c r="Y303" s="652">
        <f>IFERROR(IF(X303="",0,CEILING((X303/$H303),1)*$H303),"")</f>
        <v>21.599999999999998</v>
      </c>
      <c r="Z303" s="36">
        <f>IFERROR(IF(Y303=0,"",ROUNDUP(Y303/H303,0)*0.00651),"")</f>
        <v>5.8590000000000003E-2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22.100000000000005</v>
      </c>
      <c r="BN303" s="64">
        <f>IFERROR(Y303*I303/H303,"0")</f>
        <v>23.868000000000002</v>
      </c>
      <c r="BO303" s="64">
        <f>IFERROR(1/J303*(X303/H303),"0")</f>
        <v>4.5787545787545791E-2</v>
      </c>
      <c r="BP303" s="64">
        <f>IFERROR(1/J303*(Y303/H303),"0")</f>
        <v>4.9450549450549455E-2</v>
      </c>
    </row>
    <row r="304" spans="1:68" x14ac:dyDescent="0.2">
      <c r="A304" s="667"/>
      <c r="B304" s="661"/>
      <c r="C304" s="661"/>
      <c r="D304" s="661"/>
      <c r="E304" s="661"/>
      <c r="F304" s="661"/>
      <c r="G304" s="661"/>
      <c r="H304" s="661"/>
      <c r="I304" s="661"/>
      <c r="J304" s="661"/>
      <c r="K304" s="661"/>
      <c r="L304" s="661"/>
      <c r="M304" s="661"/>
      <c r="N304" s="661"/>
      <c r="O304" s="668"/>
      <c r="P304" s="675" t="s">
        <v>72</v>
      </c>
      <c r="Q304" s="676"/>
      <c r="R304" s="676"/>
      <c r="S304" s="676"/>
      <c r="T304" s="676"/>
      <c r="U304" s="676"/>
      <c r="V304" s="677"/>
      <c r="W304" s="37" t="s">
        <v>73</v>
      </c>
      <c r="X304" s="653">
        <f>IFERROR(X302/H302,"0")+IFERROR(X303/H303,"0")</f>
        <v>12.5</v>
      </c>
      <c r="Y304" s="653">
        <f>IFERROR(Y302/H302,"0")+IFERROR(Y303/H303,"0")</f>
        <v>14</v>
      </c>
      <c r="Z304" s="653">
        <f>IFERROR(IF(Z302="",0,Z302),"0")+IFERROR(IF(Z303="",0,Z303),"0")</f>
        <v>9.1139999999999999E-2</v>
      </c>
      <c r="AA304" s="654"/>
      <c r="AB304" s="654"/>
      <c r="AC304" s="654"/>
    </row>
    <row r="305" spans="1:68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8"/>
      <c r="P305" s="675" t="s">
        <v>72</v>
      </c>
      <c r="Q305" s="676"/>
      <c r="R305" s="676"/>
      <c r="S305" s="676"/>
      <c r="T305" s="676"/>
      <c r="U305" s="676"/>
      <c r="V305" s="677"/>
      <c r="W305" s="37" t="s">
        <v>67</v>
      </c>
      <c r="X305" s="653">
        <f>IFERROR(SUM(X302:X303),"0")</f>
        <v>30</v>
      </c>
      <c r="Y305" s="653">
        <f>IFERROR(SUM(Y302:Y303),"0")</f>
        <v>33.599999999999994</v>
      </c>
      <c r="Z305" s="37"/>
      <c r="AA305" s="654"/>
      <c r="AB305" s="654"/>
      <c r="AC305" s="654"/>
    </row>
    <row r="306" spans="1:68" ht="16.5" customHeight="1" x14ac:dyDescent="0.25">
      <c r="A306" s="660" t="s">
        <v>516</v>
      </c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1"/>
      <c r="P306" s="661"/>
      <c r="Q306" s="661"/>
      <c r="R306" s="661"/>
      <c r="S306" s="661"/>
      <c r="T306" s="661"/>
      <c r="U306" s="661"/>
      <c r="V306" s="661"/>
      <c r="W306" s="661"/>
      <c r="X306" s="661"/>
      <c r="Y306" s="661"/>
      <c r="Z306" s="661"/>
      <c r="AA306" s="646"/>
      <c r="AB306" s="646"/>
      <c r="AC306" s="646"/>
    </row>
    <row r="307" spans="1:68" ht="14.25" customHeight="1" x14ac:dyDescent="0.25">
      <c r="A307" s="674" t="s">
        <v>111</v>
      </c>
      <c r="B307" s="661"/>
      <c r="C307" s="661"/>
      <c r="D307" s="661"/>
      <c r="E307" s="661"/>
      <c r="F307" s="661"/>
      <c r="G307" s="661"/>
      <c r="H307" s="661"/>
      <c r="I307" s="661"/>
      <c r="J307" s="661"/>
      <c r="K307" s="661"/>
      <c r="L307" s="661"/>
      <c r="M307" s="661"/>
      <c r="N307" s="661"/>
      <c r="O307" s="661"/>
      <c r="P307" s="661"/>
      <c r="Q307" s="661"/>
      <c r="R307" s="661"/>
      <c r="S307" s="661"/>
      <c r="T307" s="661"/>
      <c r="U307" s="661"/>
      <c r="V307" s="661"/>
      <c r="W307" s="661"/>
      <c r="X307" s="661"/>
      <c r="Y307" s="661"/>
      <c r="Z307" s="661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90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17</v>
      </c>
      <c r="Y308" s="652">
        <f t="shared" ref="Y308:Y314" si="55">IFERROR(IF(X308="",0,CEILING((X308/$H308),1)*$H308),"")</f>
        <v>23.2</v>
      </c>
      <c r="Z308" s="36">
        <f>IFERROR(IF(Y308=0,"",ROUNDUP(Y308/H308,0)*0.01898),"")</f>
        <v>3.7960000000000001E-2</v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17.600862068965515</v>
      </c>
      <c r="BN308" s="64">
        <f t="shared" ref="BN308:BN314" si="57">IFERROR(Y308*I308/H308,"0")</f>
        <v>24.02</v>
      </c>
      <c r="BO308" s="64">
        <f t="shared" ref="BO308:BO314" si="58">IFERROR(1/J308*(X308/H308),"0")</f>
        <v>2.2898706896551727E-2</v>
      </c>
      <c r="BP308" s="64">
        <f t="shared" ref="BP308:BP314" si="59">IFERROR(1/J308*(Y308/H308),"0")</f>
        <v>3.125E-2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9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6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8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x14ac:dyDescent="0.2">
      <c r="A315" s="667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8"/>
      <c r="P315" s="675" t="s">
        <v>72</v>
      </c>
      <c r="Q315" s="676"/>
      <c r="R315" s="676"/>
      <c r="S315" s="676"/>
      <c r="T315" s="676"/>
      <c r="U315" s="676"/>
      <c r="V315" s="677"/>
      <c r="W315" s="37" t="s">
        <v>73</v>
      </c>
      <c r="X315" s="653">
        <f>IFERROR(X308/H308,"0")+IFERROR(X309/H309,"0")+IFERROR(X310/H310,"0")+IFERROR(X311/H311,"0")+IFERROR(X312/H312,"0")+IFERROR(X313/H313,"0")+IFERROR(X314/H314,"0")</f>
        <v>1.4655172413793105</v>
      </c>
      <c r="Y315" s="653">
        <f>IFERROR(Y308/H308,"0")+IFERROR(Y309/H309,"0")+IFERROR(Y310/H310,"0")+IFERROR(Y311/H311,"0")+IFERROR(Y312/H312,"0")+IFERROR(Y313/H313,"0")+IFERROR(Y314/H314,"0")</f>
        <v>2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3.7960000000000001E-2</v>
      </c>
      <c r="AA315" s="654"/>
      <c r="AB315" s="654"/>
      <c r="AC315" s="654"/>
    </row>
    <row r="316" spans="1:68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8"/>
      <c r="P316" s="675" t="s">
        <v>72</v>
      </c>
      <c r="Q316" s="676"/>
      <c r="R316" s="676"/>
      <c r="S316" s="676"/>
      <c r="T316" s="676"/>
      <c r="U316" s="676"/>
      <c r="V316" s="677"/>
      <c r="W316" s="37" t="s">
        <v>67</v>
      </c>
      <c r="X316" s="653">
        <f>IFERROR(SUM(X308:X314),"0")</f>
        <v>17</v>
      </c>
      <c r="Y316" s="653">
        <f>IFERROR(SUM(Y308:Y314),"0")</f>
        <v>23.2</v>
      </c>
      <c r="Z316" s="37"/>
      <c r="AA316" s="654"/>
      <c r="AB316" s="654"/>
      <c r="AC316" s="654"/>
    </row>
    <row r="317" spans="1:68" ht="14.25" customHeight="1" x14ac:dyDescent="0.25">
      <c r="A317" s="674" t="s">
        <v>144</v>
      </c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1"/>
      <c r="P317" s="661"/>
      <c r="Q317" s="661"/>
      <c r="R317" s="661"/>
      <c r="S317" s="661"/>
      <c r="T317" s="661"/>
      <c r="U317" s="661"/>
      <c r="V317" s="661"/>
      <c r="W317" s="661"/>
      <c r="X317" s="661"/>
      <c r="Y317" s="661"/>
      <c r="Z317" s="661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2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67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8"/>
      <c r="P319" s="675" t="s">
        <v>72</v>
      </c>
      <c r="Q319" s="676"/>
      <c r="R319" s="676"/>
      <c r="S319" s="676"/>
      <c r="T319" s="676"/>
      <c r="U319" s="676"/>
      <c r="V319" s="677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8"/>
      <c r="P320" s="675" t="s">
        <v>72</v>
      </c>
      <c r="Q320" s="676"/>
      <c r="R320" s="676"/>
      <c r="S320" s="676"/>
      <c r="T320" s="676"/>
      <c r="U320" s="676"/>
      <c r="V320" s="677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74" t="s">
        <v>538</v>
      </c>
      <c r="B321" s="661"/>
      <c r="C321" s="661"/>
      <c r="D321" s="661"/>
      <c r="E321" s="661"/>
      <c r="F321" s="661"/>
      <c r="G321" s="661"/>
      <c r="H321" s="661"/>
      <c r="I321" s="661"/>
      <c r="J321" s="661"/>
      <c r="K321" s="661"/>
      <c r="L321" s="661"/>
      <c r="M321" s="661"/>
      <c r="N321" s="661"/>
      <c r="O321" s="661"/>
      <c r="P321" s="661"/>
      <c r="Q321" s="661"/>
      <c r="R321" s="661"/>
      <c r="S321" s="661"/>
      <c r="T321" s="661"/>
      <c r="U321" s="661"/>
      <c r="V321" s="661"/>
      <c r="W321" s="661"/>
      <c r="X321" s="661"/>
      <c r="Y321" s="661"/>
      <c r="Z321" s="661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4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4.3888888888888893</v>
      </c>
      <c r="BN322" s="64">
        <f>IFERROR(Y322*I322/H322,"0")</f>
        <v>5.9250000000000007</v>
      </c>
      <c r="BO322" s="64">
        <f>IFERROR(1/J322*(X322/H322),"0")</f>
        <v>1.0288065843621399E-2</v>
      </c>
      <c r="BP322" s="64">
        <f>IFERROR(1/J322*(Y322/H322),"0")</f>
        <v>1.3888888888888888E-2</v>
      </c>
    </row>
    <row r="323" spans="1:68" x14ac:dyDescent="0.2">
      <c r="A323" s="667"/>
      <c r="B323" s="661"/>
      <c r="C323" s="661"/>
      <c r="D323" s="661"/>
      <c r="E323" s="661"/>
      <c r="F323" s="661"/>
      <c r="G323" s="661"/>
      <c r="H323" s="661"/>
      <c r="I323" s="661"/>
      <c r="J323" s="661"/>
      <c r="K323" s="661"/>
      <c r="L323" s="661"/>
      <c r="M323" s="661"/>
      <c r="N323" s="661"/>
      <c r="O323" s="668"/>
      <c r="P323" s="675" t="s">
        <v>72</v>
      </c>
      <c r="Q323" s="676"/>
      <c r="R323" s="676"/>
      <c r="S323" s="676"/>
      <c r="T323" s="676"/>
      <c r="U323" s="676"/>
      <c r="V323" s="677"/>
      <c r="W323" s="37" t="s">
        <v>73</v>
      </c>
      <c r="X323" s="653">
        <f>IFERROR(X322/H322,"0")</f>
        <v>2.2222222222222223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61"/>
      <c r="B324" s="661"/>
      <c r="C324" s="661"/>
      <c r="D324" s="661"/>
      <c r="E324" s="661"/>
      <c r="F324" s="661"/>
      <c r="G324" s="661"/>
      <c r="H324" s="661"/>
      <c r="I324" s="661"/>
      <c r="J324" s="661"/>
      <c r="K324" s="661"/>
      <c r="L324" s="661"/>
      <c r="M324" s="661"/>
      <c r="N324" s="661"/>
      <c r="O324" s="668"/>
      <c r="P324" s="675" t="s">
        <v>72</v>
      </c>
      <c r="Q324" s="676"/>
      <c r="R324" s="676"/>
      <c r="S324" s="676"/>
      <c r="T324" s="676"/>
      <c r="U324" s="676"/>
      <c r="V324" s="677"/>
      <c r="W324" s="37" t="s">
        <v>67</v>
      </c>
      <c r="X324" s="653">
        <f>IFERROR(SUM(X322:X322),"0")</f>
        <v>4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customHeight="1" x14ac:dyDescent="0.25">
      <c r="A325" s="674" t="s">
        <v>355</v>
      </c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1"/>
      <c r="P325" s="661"/>
      <c r="Q325" s="661"/>
      <c r="R325" s="661"/>
      <c r="S325" s="661"/>
      <c r="T325" s="661"/>
      <c r="U325" s="661"/>
      <c r="V325" s="661"/>
      <c r="W325" s="661"/>
      <c r="X325" s="661"/>
      <c r="Y325" s="661"/>
      <c r="Z325" s="661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10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10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7"/>
      <c r="B329" s="661"/>
      <c r="C329" s="661"/>
      <c r="D329" s="661"/>
      <c r="E329" s="661"/>
      <c r="F329" s="661"/>
      <c r="G329" s="661"/>
      <c r="H329" s="661"/>
      <c r="I329" s="661"/>
      <c r="J329" s="661"/>
      <c r="K329" s="661"/>
      <c r="L329" s="661"/>
      <c r="M329" s="661"/>
      <c r="N329" s="661"/>
      <c r="O329" s="668"/>
      <c r="P329" s="675" t="s">
        <v>72</v>
      </c>
      <c r="Q329" s="676"/>
      <c r="R329" s="676"/>
      <c r="S329" s="676"/>
      <c r="T329" s="676"/>
      <c r="U329" s="676"/>
      <c r="V329" s="677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1"/>
      <c r="B330" s="661"/>
      <c r="C330" s="661"/>
      <c r="D330" s="661"/>
      <c r="E330" s="661"/>
      <c r="F330" s="661"/>
      <c r="G330" s="661"/>
      <c r="H330" s="661"/>
      <c r="I330" s="661"/>
      <c r="J330" s="661"/>
      <c r="K330" s="661"/>
      <c r="L330" s="661"/>
      <c r="M330" s="661"/>
      <c r="N330" s="661"/>
      <c r="O330" s="668"/>
      <c r="P330" s="675" t="s">
        <v>72</v>
      </c>
      <c r="Q330" s="676"/>
      <c r="R330" s="676"/>
      <c r="S330" s="676"/>
      <c r="T330" s="676"/>
      <c r="U330" s="676"/>
      <c r="V330" s="677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0" t="s">
        <v>549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46"/>
      <c r="AB331" s="646"/>
      <c r="AC331" s="646"/>
    </row>
    <row r="332" spans="1:68" ht="14.25" customHeight="1" x14ac:dyDescent="0.25">
      <c r="A332" s="674" t="s">
        <v>111</v>
      </c>
      <c r="B332" s="661"/>
      <c r="C332" s="661"/>
      <c r="D332" s="661"/>
      <c r="E332" s="661"/>
      <c r="F332" s="661"/>
      <c r="G332" s="661"/>
      <c r="H332" s="661"/>
      <c r="I332" s="661"/>
      <c r="J332" s="661"/>
      <c r="K332" s="661"/>
      <c r="L332" s="661"/>
      <c r="M332" s="661"/>
      <c r="N332" s="661"/>
      <c r="O332" s="661"/>
      <c r="P332" s="661"/>
      <c r="Q332" s="661"/>
      <c r="R332" s="661"/>
      <c r="S332" s="661"/>
      <c r="T332" s="661"/>
      <c r="U332" s="661"/>
      <c r="V332" s="661"/>
      <c r="W332" s="661"/>
      <c r="X332" s="661"/>
      <c r="Y332" s="661"/>
      <c r="Z332" s="661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9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8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9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67"/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8"/>
      <c r="P338" s="675" t="s">
        <v>72</v>
      </c>
      <c r="Q338" s="676"/>
      <c r="R338" s="676"/>
      <c r="S338" s="676"/>
      <c r="T338" s="676"/>
      <c r="U338" s="676"/>
      <c r="V338" s="677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1"/>
      <c r="B339" s="661"/>
      <c r="C339" s="661"/>
      <c r="D339" s="661"/>
      <c r="E339" s="661"/>
      <c r="F339" s="661"/>
      <c r="G339" s="661"/>
      <c r="H339" s="661"/>
      <c r="I339" s="661"/>
      <c r="J339" s="661"/>
      <c r="K339" s="661"/>
      <c r="L339" s="661"/>
      <c r="M339" s="661"/>
      <c r="N339" s="661"/>
      <c r="O339" s="668"/>
      <c r="P339" s="675" t="s">
        <v>72</v>
      </c>
      <c r="Q339" s="676"/>
      <c r="R339" s="676"/>
      <c r="S339" s="676"/>
      <c r="T339" s="676"/>
      <c r="U339" s="676"/>
      <c r="V339" s="677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0" t="s">
        <v>565</v>
      </c>
      <c r="B340" s="661"/>
      <c r="C340" s="661"/>
      <c r="D340" s="661"/>
      <c r="E340" s="661"/>
      <c r="F340" s="661"/>
      <c r="G340" s="661"/>
      <c r="H340" s="661"/>
      <c r="I340" s="661"/>
      <c r="J340" s="661"/>
      <c r="K340" s="661"/>
      <c r="L340" s="661"/>
      <c r="M340" s="661"/>
      <c r="N340" s="661"/>
      <c r="O340" s="661"/>
      <c r="P340" s="661"/>
      <c r="Q340" s="661"/>
      <c r="R340" s="661"/>
      <c r="S340" s="661"/>
      <c r="T340" s="661"/>
      <c r="U340" s="661"/>
      <c r="V340" s="661"/>
      <c r="W340" s="661"/>
      <c r="X340" s="661"/>
      <c r="Y340" s="661"/>
      <c r="Z340" s="661"/>
      <c r="AA340" s="646"/>
      <c r="AB340" s="646"/>
      <c r="AC340" s="646"/>
    </row>
    <row r="341" spans="1:68" ht="14.25" customHeight="1" x14ac:dyDescent="0.25">
      <c r="A341" s="674" t="s">
        <v>74</v>
      </c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1"/>
      <c r="P341" s="661"/>
      <c r="Q341" s="661"/>
      <c r="R341" s="661"/>
      <c r="S341" s="661"/>
      <c r="T341" s="661"/>
      <c r="U341" s="661"/>
      <c r="V341" s="661"/>
      <c r="W341" s="661"/>
      <c r="X341" s="661"/>
      <c r="Y341" s="661"/>
      <c r="Z341" s="661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73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8</v>
      </c>
      <c r="Y343" s="652">
        <f>IFERROR(IF(X343="",0,CEILING((X343/$H343),1)*$H343),"")</f>
        <v>9.6</v>
      </c>
      <c r="Z343" s="36">
        <f>IFERROR(IF(Y343=0,"",ROUNDUP(Y343/H343,0)*0.00651),"")</f>
        <v>2.6040000000000001E-2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8.8400000000000016</v>
      </c>
      <c r="BN343" s="64">
        <f>IFERROR(Y343*I343/H343,"0")</f>
        <v>10.608000000000001</v>
      </c>
      <c r="BO343" s="64">
        <f>IFERROR(1/J343*(X343/H343),"0")</f>
        <v>1.8315018315018316E-2</v>
      </c>
      <c r="BP343" s="64">
        <f>IFERROR(1/J343*(Y343/H343),"0")</f>
        <v>2.197802197802198E-2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0</v>
      </c>
      <c r="Y344" s="6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7"/>
      <c r="B345" s="661"/>
      <c r="C345" s="661"/>
      <c r="D345" s="661"/>
      <c r="E345" s="661"/>
      <c r="F345" s="661"/>
      <c r="G345" s="661"/>
      <c r="H345" s="661"/>
      <c r="I345" s="661"/>
      <c r="J345" s="661"/>
      <c r="K345" s="661"/>
      <c r="L345" s="661"/>
      <c r="M345" s="661"/>
      <c r="N345" s="661"/>
      <c r="O345" s="668"/>
      <c r="P345" s="675" t="s">
        <v>72</v>
      </c>
      <c r="Q345" s="676"/>
      <c r="R345" s="676"/>
      <c r="S345" s="676"/>
      <c r="T345" s="676"/>
      <c r="U345" s="676"/>
      <c r="V345" s="677"/>
      <c r="W345" s="37" t="s">
        <v>73</v>
      </c>
      <c r="X345" s="653">
        <f>IFERROR(X342/H342,"0")+IFERROR(X343/H343,"0")+IFERROR(X344/H344,"0")</f>
        <v>3.3333333333333335</v>
      </c>
      <c r="Y345" s="653">
        <f>IFERROR(Y342/H342,"0")+IFERROR(Y343/H343,"0")+IFERROR(Y344/H344,"0")</f>
        <v>4</v>
      </c>
      <c r="Z345" s="653">
        <f>IFERROR(IF(Z342="",0,Z342),"0")+IFERROR(IF(Z343="",0,Z343),"0")+IFERROR(IF(Z344="",0,Z344),"0")</f>
        <v>2.6040000000000001E-2</v>
      </c>
      <c r="AA345" s="654"/>
      <c r="AB345" s="654"/>
      <c r="AC345" s="654"/>
    </row>
    <row r="346" spans="1:68" x14ac:dyDescent="0.2">
      <c r="A346" s="661"/>
      <c r="B346" s="661"/>
      <c r="C346" s="661"/>
      <c r="D346" s="661"/>
      <c r="E346" s="661"/>
      <c r="F346" s="661"/>
      <c r="G346" s="661"/>
      <c r="H346" s="661"/>
      <c r="I346" s="661"/>
      <c r="J346" s="661"/>
      <c r="K346" s="661"/>
      <c r="L346" s="661"/>
      <c r="M346" s="661"/>
      <c r="N346" s="661"/>
      <c r="O346" s="668"/>
      <c r="P346" s="675" t="s">
        <v>72</v>
      </c>
      <c r="Q346" s="676"/>
      <c r="R346" s="676"/>
      <c r="S346" s="676"/>
      <c r="T346" s="676"/>
      <c r="U346" s="676"/>
      <c r="V346" s="677"/>
      <c r="W346" s="37" t="s">
        <v>67</v>
      </c>
      <c r="X346" s="653">
        <f>IFERROR(SUM(X342:X344),"0")</f>
        <v>8</v>
      </c>
      <c r="Y346" s="653">
        <f>IFERROR(SUM(Y342:Y344),"0")</f>
        <v>9.6</v>
      </c>
      <c r="Z346" s="37"/>
      <c r="AA346" s="654"/>
      <c r="AB346" s="654"/>
      <c r="AC346" s="654"/>
    </row>
    <row r="347" spans="1:68" ht="16.5" customHeight="1" x14ac:dyDescent="0.25">
      <c r="A347" s="660" t="s">
        <v>574</v>
      </c>
      <c r="B347" s="661"/>
      <c r="C347" s="661"/>
      <c r="D347" s="661"/>
      <c r="E347" s="661"/>
      <c r="F347" s="661"/>
      <c r="G347" s="661"/>
      <c r="H347" s="661"/>
      <c r="I347" s="661"/>
      <c r="J347" s="661"/>
      <c r="K347" s="661"/>
      <c r="L347" s="661"/>
      <c r="M347" s="661"/>
      <c r="N347" s="661"/>
      <c r="O347" s="661"/>
      <c r="P347" s="661"/>
      <c r="Q347" s="661"/>
      <c r="R347" s="661"/>
      <c r="S347" s="661"/>
      <c r="T347" s="661"/>
      <c r="U347" s="661"/>
      <c r="V347" s="661"/>
      <c r="W347" s="661"/>
      <c r="X347" s="661"/>
      <c r="Y347" s="661"/>
      <c r="Z347" s="661"/>
      <c r="AA347" s="646"/>
      <c r="AB347" s="646"/>
      <c r="AC347" s="646"/>
    </row>
    <row r="348" spans="1:68" ht="14.25" customHeight="1" x14ac:dyDescent="0.25">
      <c r="A348" s="674" t="s">
        <v>62</v>
      </c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1"/>
      <c r="P348" s="661"/>
      <c r="Q348" s="661"/>
      <c r="R348" s="661"/>
      <c r="S348" s="661"/>
      <c r="T348" s="661"/>
      <c r="U348" s="661"/>
      <c r="V348" s="661"/>
      <c r="W348" s="661"/>
      <c r="X348" s="661"/>
      <c r="Y348" s="661"/>
      <c r="Z348" s="661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74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94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9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94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67"/>
      <c r="B354" s="661"/>
      <c r="C354" s="661"/>
      <c r="D354" s="661"/>
      <c r="E354" s="661"/>
      <c r="F354" s="661"/>
      <c r="G354" s="661"/>
      <c r="H354" s="661"/>
      <c r="I354" s="661"/>
      <c r="J354" s="661"/>
      <c r="K354" s="661"/>
      <c r="L354" s="661"/>
      <c r="M354" s="661"/>
      <c r="N354" s="661"/>
      <c r="O354" s="668"/>
      <c r="P354" s="675" t="s">
        <v>72</v>
      </c>
      <c r="Q354" s="676"/>
      <c r="R354" s="676"/>
      <c r="S354" s="676"/>
      <c r="T354" s="676"/>
      <c r="U354" s="676"/>
      <c r="V354" s="677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8"/>
      <c r="P355" s="675" t="s">
        <v>72</v>
      </c>
      <c r="Q355" s="676"/>
      <c r="R355" s="676"/>
      <c r="S355" s="676"/>
      <c r="T355" s="676"/>
      <c r="U355" s="676"/>
      <c r="V355" s="677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74" t="s">
        <v>74</v>
      </c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1"/>
      <c r="P356" s="661"/>
      <c r="Q356" s="661"/>
      <c r="R356" s="661"/>
      <c r="S356" s="661"/>
      <c r="T356" s="661"/>
      <c r="U356" s="661"/>
      <c r="V356" s="661"/>
      <c r="W356" s="661"/>
      <c r="X356" s="661"/>
      <c r="Y356" s="661"/>
      <c r="Z356" s="661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73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9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67"/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8"/>
      <c r="P359" s="675" t="s">
        <v>72</v>
      </c>
      <c r="Q359" s="676"/>
      <c r="R359" s="676"/>
      <c r="S359" s="676"/>
      <c r="T359" s="676"/>
      <c r="U359" s="676"/>
      <c r="V359" s="677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1"/>
      <c r="B360" s="661"/>
      <c r="C360" s="661"/>
      <c r="D360" s="661"/>
      <c r="E360" s="661"/>
      <c r="F360" s="661"/>
      <c r="G360" s="661"/>
      <c r="H360" s="661"/>
      <c r="I360" s="661"/>
      <c r="J360" s="661"/>
      <c r="K360" s="661"/>
      <c r="L360" s="661"/>
      <c r="M360" s="661"/>
      <c r="N360" s="661"/>
      <c r="O360" s="668"/>
      <c r="P360" s="675" t="s">
        <v>72</v>
      </c>
      <c r="Q360" s="676"/>
      <c r="R360" s="676"/>
      <c r="S360" s="676"/>
      <c r="T360" s="676"/>
      <c r="U360" s="676"/>
      <c r="V360" s="677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0" t="s">
        <v>595</v>
      </c>
      <c r="B361" s="661"/>
      <c r="C361" s="661"/>
      <c r="D361" s="661"/>
      <c r="E361" s="661"/>
      <c r="F361" s="661"/>
      <c r="G361" s="661"/>
      <c r="H361" s="661"/>
      <c r="I361" s="661"/>
      <c r="J361" s="661"/>
      <c r="K361" s="661"/>
      <c r="L361" s="661"/>
      <c r="M361" s="661"/>
      <c r="N361" s="661"/>
      <c r="O361" s="661"/>
      <c r="P361" s="661"/>
      <c r="Q361" s="661"/>
      <c r="R361" s="661"/>
      <c r="S361" s="661"/>
      <c r="T361" s="661"/>
      <c r="U361" s="661"/>
      <c r="V361" s="661"/>
      <c r="W361" s="661"/>
      <c r="X361" s="661"/>
      <c r="Y361" s="661"/>
      <c r="Z361" s="661"/>
      <c r="AA361" s="646"/>
      <c r="AB361" s="646"/>
      <c r="AC361" s="646"/>
    </row>
    <row r="362" spans="1:68" ht="14.25" customHeight="1" x14ac:dyDescent="0.25">
      <c r="A362" s="674" t="s">
        <v>111</v>
      </c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1"/>
      <c r="P362" s="661"/>
      <c r="Q362" s="661"/>
      <c r="R362" s="661"/>
      <c r="S362" s="661"/>
      <c r="T362" s="661"/>
      <c r="U362" s="661"/>
      <c r="V362" s="661"/>
      <c r="W362" s="661"/>
      <c r="X362" s="661"/>
      <c r="Y362" s="661"/>
      <c r="Z362" s="661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6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207</v>
      </c>
      <c r="Y363" s="652">
        <f>IFERROR(IF(X363="",0,CEILING((X363/$H363),1)*$H363),"")</f>
        <v>210.6</v>
      </c>
      <c r="Z363" s="36">
        <f>IFERROR(IF(Y363=0,"",ROUNDUP(Y363/H363,0)*0.01898),"")</f>
        <v>0.51246000000000003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217.88076923076926</v>
      </c>
      <c r="BN363" s="64">
        <f>IFERROR(Y363*I363/H363,"0")</f>
        <v>221.67000000000002</v>
      </c>
      <c r="BO363" s="64">
        <f>IFERROR(1/J363*(X363/H363),"0")</f>
        <v>0.41466346153846156</v>
      </c>
      <c r="BP363" s="64">
        <f>IFERROR(1/J363*(Y363/H363),"0")</f>
        <v>0.421875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7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0</v>
      </c>
      <c r="Y364" s="652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67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48</v>
      </c>
      <c r="Y365" s="652">
        <f>IFERROR(IF(X365="",0,CEILING((X365/$H365),1)*$H365),"")</f>
        <v>54.6</v>
      </c>
      <c r="Z365" s="36">
        <f>IFERROR(IF(Y365=0,"",ROUNDUP(Y365/H365,0)*0.01898),"")</f>
        <v>0.13286000000000001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50.523076923076928</v>
      </c>
      <c r="BN365" s="64">
        <f>IFERROR(Y365*I365/H365,"0")</f>
        <v>57.470000000000013</v>
      </c>
      <c r="BO365" s="64">
        <f>IFERROR(1/J365*(X365/H365),"0")</f>
        <v>9.6153846153846159E-2</v>
      </c>
      <c r="BP365" s="64">
        <f>IFERROR(1/J365*(Y365/H365),"0")</f>
        <v>0.109375</v>
      </c>
    </row>
    <row r="366" spans="1:68" x14ac:dyDescent="0.2">
      <c r="A366" s="667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8"/>
      <c r="P366" s="675" t="s">
        <v>72</v>
      </c>
      <c r="Q366" s="676"/>
      <c r="R366" s="676"/>
      <c r="S366" s="676"/>
      <c r="T366" s="676"/>
      <c r="U366" s="676"/>
      <c r="V366" s="677"/>
      <c r="W366" s="37" t="s">
        <v>73</v>
      </c>
      <c r="X366" s="653">
        <f>IFERROR(X363/H363,"0")+IFERROR(X364/H364,"0")+IFERROR(X365/H365,"0")</f>
        <v>32.692307692307693</v>
      </c>
      <c r="Y366" s="653">
        <f>IFERROR(Y363/H363,"0")+IFERROR(Y364/H364,"0")+IFERROR(Y365/H365,"0")</f>
        <v>34</v>
      </c>
      <c r="Z366" s="653">
        <f>IFERROR(IF(Z363="",0,Z363),"0")+IFERROR(IF(Z364="",0,Z364),"0")+IFERROR(IF(Z365="",0,Z365),"0")</f>
        <v>0.64532</v>
      </c>
      <c r="AA366" s="654"/>
      <c r="AB366" s="654"/>
      <c r="AC366" s="654"/>
    </row>
    <row r="367" spans="1:68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8"/>
      <c r="P367" s="675" t="s">
        <v>72</v>
      </c>
      <c r="Q367" s="676"/>
      <c r="R367" s="676"/>
      <c r="S367" s="676"/>
      <c r="T367" s="676"/>
      <c r="U367" s="676"/>
      <c r="V367" s="677"/>
      <c r="W367" s="37" t="s">
        <v>67</v>
      </c>
      <c r="X367" s="653">
        <f>IFERROR(SUM(X363:X365),"0")</f>
        <v>255</v>
      </c>
      <c r="Y367" s="653">
        <f>IFERROR(SUM(Y363:Y365),"0")</f>
        <v>265.2</v>
      </c>
      <c r="Z367" s="37"/>
      <c r="AA367" s="654"/>
      <c r="AB367" s="654"/>
      <c r="AC367" s="654"/>
    </row>
    <row r="368" spans="1:68" ht="16.5" customHeight="1" x14ac:dyDescent="0.25">
      <c r="A368" s="660" t="s">
        <v>604</v>
      </c>
      <c r="B368" s="661"/>
      <c r="C368" s="661"/>
      <c r="D368" s="661"/>
      <c r="E368" s="661"/>
      <c r="F368" s="661"/>
      <c r="G368" s="661"/>
      <c r="H368" s="661"/>
      <c r="I368" s="661"/>
      <c r="J368" s="661"/>
      <c r="K368" s="661"/>
      <c r="L368" s="661"/>
      <c r="M368" s="661"/>
      <c r="N368" s="661"/>
      <c r="O368" s="661"/>
      <c r="P368" s="661"/>
      <c r="Q368" s="661"/>
      <c r="R368" s="661"/>
      <c r="S368" s="661"/>
      <c r="T368" s="661"/>
      <c r="U368" s="661"/>
      <c r="V368" s="661"/>
      <c r="W368" s="661"/>
      <c r="X368" s="661"/>
      <c r="Y368" s="661"/>
      <c r="Z368" s="661"/>
      <c r="AA368" s="646"/>
      <c r="AB368" s="646"/>
      <c r="AC368" s="646"/>
    </row>
    <row r="369" spans="1:68" ht="14.25" customHeight="1" x14ac:dyDescent="0.25">
      <c r="A369" s="674" t="s">
        <v>111</v>
      </c>
      <c r="B369" s="661"/>
      <c r="C369" s="661"/>
      <c r="D369" s="661"/>
      <c r="E369" s="661"/>
      <c r="F369" s="661"/>
      <c r="G369" s="661"/>
      <c r="H369" s="661"/>
      <c r="I369" s="661"/>
      <c r="J369" s="661"/>
      <c r="K369" s="661"/>
      <c r="L369" s="661"/>
      <c r="M369" s="661"/>
      <c r="N369" s="661"/>
      <c r="O369" s="661"/>
      <c r="P369" s="661"/>
      <c r="Q369" s="661"/>
      <c r="R369" s="661"/>
      <c r="S369" s="661"/>
      <c r="T369" s="661"/>
      <c r="U369" s="661"/>
      <c r="V369" s="661"/>
      <c r="W369" s="661"/>
      <c r="X369" s="661"/>
      <c r="Y369" s="661"/>
      <c r="Z369" s="661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7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8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67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67"/>
      <c r="B375" s="661"/>
      <c r="C375" s="661"/>
      <c r="D375" s="661"/>
      <c r="E375" s="661"/>
      <c r="F375" s="661"/>
      <c r="G375" s="661"/>
      <c r="H375" s="661"/>
      <c r="I375" s="661"/>
      <c r="J375" s="661"/>
      <c r="K375" s="661"/>
      <c r="L375" s="661"/>
      <c r="M375" s="661"/>
      <c r="N375" s="661"/>
      <c r="O375" s="668"/>
      <c r="P375" s="675" t="s">
        <v>72</v>
      </c>
      <c r="Q375" s="676"/>
      <c r="R375" s="676"/>
      <c r="S375" s="676"/>
      <c r="T375" s="676"/>
      <c r="U375" s="676"/>
      <c r="V375" s="677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8"/>
      <c r="P376" s="675" t="s">
        <v>72</v>
      </c>
      <c r="Q376" s="676"/>
      <c r="R376" s="676"/>
      <c r="S376" s="676"/>
      <c r="T376" s="676"/>
      <c r="U376" s="676"/>
      <c r="V376" s="677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customHeight="1" x14ac:dyDescent="0.25">
      <c r="A377" s="674" t="s">
        <v>62</v>
      </c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1"/>
      <c r="P377" s="661"/>
      <c r="Q377" s="661"/>
      <c r="R377" s="661"/>
      <c r="S377" s="661"/>
      <c r="T377" s="661"/>
      <c r="U377" s="661"/>
      <c r="V377" s="661"/>
      <c r="W377" s="661"/>
      <c r="X377" s="661"/>
      <c r="Y377" s="661"/>
      <c r="Z377" s="661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9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10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9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9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69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10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9</v>
      </c>
      <c r="Y384" s="652">
        <f t="shared" si="60"/>
        <v>9</v>
      </c>
      <c r="Z384" s="36">
        <f>IFERROR(IF(Y384=0,"",ROUNDUP(Y384/H384,0)*0.00651),"")</f>
        <v>3.2550000000000003E-2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10.139999999999999</v>
      </c>
      <c r="BN384" s="64">
        <f t="shared" si="62"/>
        <v>10.139999999999999</v>
      </c>
      <c r="BO384" s="64">
        <f t="shared" si="63"/>
        <v>2.7472527472527476E-2</v>
      </c>
      <c r="BP384" s="64">
        <f t="shared" si="64"/>
        <v>2.7472527472527476E-2</v>
      </c>
    </row>
    <row r="385" spans="1:68" x14ac:dyDescent="0.2">
      <c r="A385" s="667"/>
      <c r="B385" s="661"/>
      <c r="C385" s="661"/>
      <c r="D385" s="661"/>
      <c r="E385" s="661"/>
      <c r="F385" s="661"/>
      <c r="G385" s="661"/>
      <c r="H385" s="661"/>
      <c r="I385" s="661"/>
      <c r="J385" s="661"/>
      <c r="K385" s="661"/>
      <c r="L385" s="661"/>
      <c r="M385" s="661"/>
      <c r="N385" s="661"/>
      <c r="O385" s="668"/>
      <c r="P385" s="675" t="s">
        <v>72</v>
      </c>
      <c r="Q385" s="676"/>
      <c r="R385" s="676"/>
      <c r="S385" s="676"/>
      <c r="T385" s="676"/>
      <c r="U385" s="676"/>
      <c r="V385" s="677"/>
      <c r="W385" s="37" t="s">
        <v>73</v>
      </c>
      <c r="X385" s="653">
        <f>IFERROR(X378/H378,"0")+IFERROR(X379/H379,"0")+IFERROR(X380/H380,"0")+IFERROR(X381/H381,"0")+IFERROR(X382/H382,"0")+IFERROR(X383/H383,"0")+IFERROR(X384/H384,"0")</f>
        <v>5</v>
      </c>
      <c r="Y385" s="653">
        <f>IFERROR(Y378/H378,"0")+IFERROR(Y379/H379,"0")+IFERROR(Y380/H380,"0")+IFERROR(Y381/H381,"0")+IFERROR(Y382/H382,"0")+IFERROR(Y383/H383,"0")+IFERROR(Y384/H384,"0")</f>
        <v>5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3.2550000000000003E-2</v>
      </c>
      <c r="AA385" s="654"/>
      <c r="AB385" s="654"/>
      <c r="AC385" s="654"/>
    </row>
    <row r="386" spans="1:68" x14ac:dyDescent="0.2">
      <c r="A386" s="661"/>
      <c r="B386" s="661"/>
      <c r="C386" s="661"/>
      <c r="D386" s="661"/>
      <c r="E386" s="661"/>
      <c r="F386" s="661"/>
      <c r="G386" s="661"/>
      <c r="H386" s="661"/>
      <c r="I386" s="661"/>
      <c r="J386" s="661"/>
      <c r="K386" s="661"/>
      <c r="L386" s="661"/>
      <c r="M386" s="661"/>
      <c r="N386" s="661"/>
      <c r="O386" s="668"/>
      <c r="P386" s="675" t="s">
        <v>72</v>
      </c>
      <c r="Q386" s="676"/>
      <c r="R386" s="676"/>
      <c r="S386" s="676"/>
      <c r="T386" s="676"/>
      <c r="U386" s="676"/>
      <c r="V386" s="677"/>
      <c r="W386" s="37" t="s">
        <v>67</v>
      </c>
      <c r="X386" s="653">
        <f>IFERROR(SUM(X378:X384),"0")</f>
        <v>9</v>
      </c>
      <c r="Y386" s="653">
        <f>IFERROR(SUM(Y378:Y384),"0")</f>
        <v>9</v>
      </c>
      <c r="Z386" s="37"/>
      <c r="AA386" s="654"/>
      <c r="AB386" s="654"/>
      <c r="AC386" s="654"/>
    </row>
    <row r="387" spans="1:68" ht="14.25" customHeight="1" x14ac:dyDescent="0.25">
      <c r="A387" s="674" t="s">
        <v>74</v>
      </c>
      <c r="B387" s="661"/>
      <c r="C387" s="661"/>
      <c r="D387" s="661"/>
      <c r="E387" s="661"/>
      <c r="F387" s="661"/>
      <c r="G387" s="661"/>
      <c r="H387" s="661"/>
      <c r="I387" s="661"/>
      <c r="J387" s="661"/>
      <c r="K387" s="661"/>
      <c r="L387" s="661"/>
      <c r="M387" s="661"/>
      <c r="N387" s="661"/>
      <c r="O387" s="661"/>
      <c r="P387" s="661"/>
      <c r="Q387" s="661"/>
      <c r="R387" s="661"/>
      <c r="S387" s="661"/>
      <c r="T387" s="661"/>
      <c r="U387" s="661"/>
      <c r="V387" s="661"/>
      <c r="W387" s="661"/>
      <c r="X387" s="661"/>
      <c r="Y387" s="661"/>
      <c r="Z387" s="661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101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4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10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67"/>
      <c r="B392" s="661"/>
      <c r="C392" s="661"/>
      <c r="D392" s="661"/>
      <c r="E392" s="661"/>
      <c r="F392" s="661"/>
      <c r="G392" s="661"/>
      <c r="H392" s="661"/>
      <c r="I392" s="661"/>
      <c r="J392" s="661"/>
      <c r="K392" s="661"/>
      <c r="L392" s="661"/>
      <c r="M392" s="661"/>
      <c r="N392" s="661"/>
      <c r="O392" s="668"/>
      <c r="P392" s="675" t="s">
        <v>72</v>
      </c>
      <c r="Q392" s="676"/>
      <c r="R392" s="676"/>
      <c r="S392" s="676"/>
      <c r="T392" s="676"/>
      <c r="U392" s="676"/>
      <c r="V392" s="677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1"/>
      <c r="B393" s="661"/>
      <c r="C393" s="661"/>
      <c r="D393" s="661"/>
      <c r="E393" s="661"/>
      <c r="F393" s="661"/>
      <c r="G393" s="661"/>
      <c r="H393" s="661"/>
      <c r="I393" s="661"/>
      <c r="J393" s="661"/>
      <c r="K393" s="661"/>
      <c r="L393" s="661"/>
      <c r="M393" s="661"/>
      <c r="N393" s="661"/>
      <c r="O393" s="668"/>
      <c r="P393" s="675" t="s">
        <v>72</v>
      </c>
      <c r="Q393" s="676"/>
      <c r="R393" s="676"/>
      <c r="S393" s="676"/>
      <c r="T393" s="676"/>
      <c r="U393" s="676"/>
      <c r="V393" s="677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74" t="s">
        <v>162</v>
      </c>
      <c r="B394" s="661"/>
      <c r="C394" s="661"/>
      <c r="D394" s="661"/>
      <c r="E394" s="661"/>
      <c r="F394" s="661"/>
      <c r="G394" s="661"/>
      <c r="H394" s="661"/>
      <c r="I394" s="661"/>
      <c r="J394" s="661"/>
      <c r="K394" s="661"/>
      <c r="L394" s="661"/>
      <c r="M394" s="661"/>
      <c r="N394" s="661"/>
      <c r="O394" s="661"/>
      <c r="P394" s="661"/>
      <c r="Q394" s="661"/>
      <c r="R394" s="661"/>
      <c r="S394" s="661"/>
      <c r="T394" s="661"/>
      <c r="U394" s="661"/>
      <c r="V394" s="661"/>
      <c r="W394" s="661"/>
      <c r="X394" s="661"/>
      <c r="Y394" s="661"/>
      <c r="Z394" s="661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7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200</v>
      </c>
      <c r="Y396" s="652">
        <f>IFERROR(IF(X396="",0,CEILING((X396/$H396),1)*$H396),"")</f>
        <v>202.79999999999998</v>
      </c>
      <c r="Z396" s="36">
        <f>IFERROR(IF(Y396=0,"",ROUNDUP(Y396/H396,0)*0.01898),"")</f>
        <v>0.49348000000000003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212.66666666666669</v>
      </c>
      <c r="BN396" s="64">
        <f>IFERROR(Y396*I396/H396,"0")</f>
        <v>215.64399999999998</v>
      </c>
      <c r="BO396" s="64">
        <f>IFERROR(1/J396*(X396/H396),"0")</f>
        <v>0.40064102564102566</v>
      </c>
      <c r="BP396" s="64">
        <f>IFERROR(1/J396*(Y396/H396),"0")</f>
        <v>0.40625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64</v>
      </c>
      <c r="Y397" s="652">
        <f>IFERROR(IF(X397="",0,CEILING((X397/$H397),1)*$H397),"")</f>
        <v>67.2</v>
      </c>
      <c r="Z397" s="36">
        <f>IFERROR(IF(Y397=0,"",ROUNDUP(Y397/H397,0)*0.01898),"")</f>
        <v>0.15184</v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67.763809523809527</v>
      </c>
      <c r="BN397" s="64">
        <f>IFERROR(Y397*I397/H397,"0")</f>
        <v>71.152000000000001</v>
      </c>
      <c r="BO397" s="64">
        <f>IFERROR(1/J397*(X397/H397),"0")</f>
        <v>0.11904761904761904</v>
      </c>
      <c r="BP397" s="64">
        <f>IFERROR(1/J397*(Y397/H397),"0")</f>
        <v>0.125</v>
      </c>
    </row>
    <row r="398" spans="1:68" x14ac:dyDescent="0.2">
      <c r="A398" s="667"/>
      <c r="B398" s="661"/>
      <c r="C398" s="661"/>
      <c r="D398" s="661"/>
      <c r="E398" s="661"/>
      <c r="F398" s="661"/>
      <c r="G398" s="661"/>
      <c r="H398" s="661"/>
      <c r="I398" s="661"/>
      <c r="J398" s="661"/>
      <c r="K398" s="661"/>
      <c r="L398" s="661"/>
      <c r="M398" s="661"/>
      <c r="N398" s="661"/>
      <c r="O398" s="668"/>
      <c r="P398" s="675" t="s">
        <v>72</v>
      </c>
      <c r="Q398" s="676"/>
      <c r="R398" s="676"/>
      <c r="S398" s="676"/>
      <c r="T398" s="676"/>
      <c r="U398" s="676"/>
      <c r="V398" s="677"/>
      <c r="W398" s="37" t="s">
        <v>73</v>
      </c>
      <c r="X398" s="653">
        <f>IFERROR(X395/H395,"0")+IFERROR(X396/H396,"0")+IFERROR(X397/H397,"0")</f>
        <v>33.260073260073263</v>
      </c>
      <c r="Y398" s="653">
        <f>IFERROR(Y395/H395,"0")+IFERROR(Y396/H396,"0")+IFERROR(Y397/H397,"0")</f>
        <v>34</v>
      </c>
      <c r="Z398" s="653">
        <f>IFERROR(IF(Z395="",0,Z395),"0")+IFERROR(IF(Z396="",0,Z396),"0")+IFERROR(IF(Z397="",0,Z397),"0")</f>
        <v>0.64532</v>
      </c>
      <c r="AA398" s="654"/>
      <c r="AB398" s="654"/>
      <c r="AC398" s="654"/>
    </row>
    <row r="399" spans="1:68" x14ac:dyDescent="0.2">
      <c r="A399" s="661"/>
      <c r="B399" s="661"/>
      <c r="C399" s="661"/>
      <c r="D399" s="661"/>
      <c r="E399" s="661"/>
      <c r="F399" s="661"/>
      <c r="G399" s="661"/>
      <c r="H399" s="661"/>
      <c r="I399" s="661"/>
      <c r="J399" s="661"/>
      <c r="K399" s="661"/>
      <c r="L399" s="661"/>
      <c r="M399" s="661"/>
      <c r="N399" s="661"/>
      <c r="O399" s="668"/>
      <c r="P399" s="675" t="s">
        <v>72</v>
      </c>
      <c r="Q399" s="676"/>
      <c r="R399" s="676"/>
      <c r="S399" s="676"/>
      <c r="T399" s="676"/>
      <c r="U399" s="676"/>
      <c r="V399" s="677"/>
      <c r="W399" s="37" t="s">
        <v>67</v>
      </c>
      <c r="X399" s="653">
        <f>IFERROR(SUM(X395:X397),"0")</f>
        <v>264</v>
      </c>
      <c r="Y399" s="653">
        <f>IFERROR(SUM(Y395:Y397),"0")</f>
        <v>270</v>
      </c>
      <c r="Z399" s="37"/>
      <c r="AA399" s="654"/>
      <c r="AB399" s="654"/>
      <c r="AC399" s="654"/>
    </row>
    <row r="400" spans="1:68" ht="14.25" customHeight="1" x14ac:dyDescent="0.25">
      <c r="A400" s="674" t="s">
        <v>283</v>
      </c>
      <c r="B400" s="661"/>
      <c r="C400" s="661"/>
      <c r="D400" s="661"/>
      <c r="E400" s="661"/>
      <c r="F400" s="661"/>
      <c r="G400" s="661"/>
      <c r="H400" s="661"/>
      <c r="I400" s="661"/>
      <c r="J400" s="661"/>
      <c r="K400" s="661"/>
      <c r="L400" s="661"/>
      <c r="M400" s="661"/>
      <c r="N400" s="661"/>
      <c r="O400" s="661"/>
      <c r="P400" s="661"/>
      <c r="Q400" s="661"/>
      <c r="R400" s="661"/>
      <c r="S400" s="661"/>
      <c r="T400" s="661"/>
      <c r="U400" s="661"/>
      <c r="V400" s="661"/>
      <c r="W400" s="661"/>
      <c r="X400" s="661"/>
      <c r="Y400" s="661"/>
      <c r="Z400" s="661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9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0</v>
      </c>
      <c r="Y403" s="65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10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667"/>
      <c r="B405" s="661"/>
      <c r="C405" s="661"/>
      <c r="D405" s="661"/>
      <c r="E405" s="661"/>
      <c r="F405" s="661"/>
      <c r="G405" s="661"/>
      <c r="H405" s="661"/>
      <c r="I405" s="661"/>
      <c r="J405" s="661"/>
      <c r="K405" s="661"/>
      <c r="L405" s="661"/>
      <c r="M405" s="661"/>
      <c r="N405" s="661"/>
      <c r="O405" s="668"/>
      <c r="P405" s="675" t="s">
        <v>72</v>
      </c>
      <c r="Q405" s="676"/>
      <c r="R405" s="676"/>
      <c r="S405" s="676"/>
      <c r="T405" s="676"/>
      <c r="U405" s="676"/>
      <c r="V405" s="677"/>
      <c r="W405" s="37" t="s">
        <v>73</v>
      </c>
      <c r="X405" s="653">
        <f>IFERROR(X401/H401,"0")+IFERROR(X402/H402,"0")+IFERROR(X403/H403,"0")+IFERROR(X404/H404,"0")</f>
        <v>0</v>
      </c>
      <c r="Y405" s="653">
        <f>IFERROR(Y401/H401,"0")+IFERROR(Y402/H402,"0")+IFERROR(Y403/H403,"0")+IFERROR(Y404/H404,"0")</f>
        <v>0</v>
      </c>
      <c r="Z405" s="653">
        <f>IFERROR(IF(Z401="",0,Z401),"0")+IFERROR(IF(Z402="",0,Z402),"0")+IFERROR(IF(Z403="",0,Z403),"0")+IFERROR(IF(Z404="",0,Z404),"0")</f>
        <v>0</v>
      </c>
      <c r="AA405" s="654"/>
      <c r="AB405" s="654"/>
      <c r="AC405" s="654"/>
    </row>
    <row r="406" spans="1:68" x14ac:dyDescent="0.2">
      <c r="A406" s="661"/>
      <c r="B406" s="661"/>
      <c r="C406" s="661"/>
      <c r="D406" s="661"/>
      <c r="E406" s="661"/>
      <c r="F406" s="661"/>
      <c r="G406" s="661"/>
      <c r="H406" s="661"/>
      <c r="I406" s="661"/>
      <c r="J406" s="661"/>
      <c r="K406" s="661"/>
      <c r="L406" s="661"/>
      <c r="M406" s="661"/>
      <c r="N406" s="661"/>
      <c r="O406" s="668"/>
      <c r="P406" s="675" t="s">
        <v>72</v>
      </c>
      <c r="Q406" s="676"/>
      <c r="R406" s="676"/>
      <c r="S406" s="676"/>
      <c r="T406" s="676"/>
      <c r="U406" s="676"/>
      <c r="V406" s="677"/>
      <c r="W406" s="37" t="s">
        <v>67</v>
      </c>
      <c r="X406" s="653">
        <f>IFERROR(SUM(X401:X404),"0")</f>
        <v>0</v>
      </c>
      <c r="Y406" s="653">
        <f>IFERROR(SUM(Y401:Y404),"0")</f>
        <v>0</v>
      </c>
      <c r="Z406" s="37"/>
      <c r="AA406" s="654"/>
      <c r="AB406" s="654"/>
      <c r="AC406" s="654"/>
    </row>
    <row r="407" spans="1:68" ht="14.25" customHeight="1" x14ac:dyDescent="0.25">
      <c r="A407" s="674" t="s">
        <v>667</v>
      </c>
      <c r="B407" s="661"/>
      <c r="C407" s="661"/>
      <c r="D407" s="661"/>
      <c r="E407" s="661"/>
      <c r="F407" s="661"/>
      <c r="G407" s="661"/>
      <c r="H407" s="661"/>
      <c r="I407" s="661"/>
      <c r="J407" s="661"/>
      <c r="K407" s="661"/>
      <c r="L407" s="661"/>
      <c r="M407" s="661"/>
      <c r="N407" s="661"/>
      <c r="O407" s="661"/>
      <c r="P407" s="661"/>
      <c r="Q407" s="661"/>
      <c r="R407" s="661"/>
      <c r="S407" s="661"/>
      <c r="T407" s="661"/>
      <c r="U407" s="661"/>
      <c r="V407" s="661"/>
      <c r="W407" s="661"/>
      <c r="X407" s="661"/>
      <c r="Y407" s="661"/>
      <c r="Z407" s="661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7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0</v>
      </c>
      <c r="Y408" s="652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77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10</v>
      </c>
      <c r="Y409" s="652">
        <f>IFERROR(IF(X409="",0,CEILING((X409/$H409),1)*$H409),"")</f>
        <v>10</v>
      </c>
      <c r="Z409" s="36">
        <f>IFERROR(IF(Y409=0,"",ROUNDUP(Y409/H409,0)*0.00474),"")</f>
        <v>2.3700000000000002E-2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11.200000000000001</v>
      </c>
      <c r="BN409" s="64">
        <f>IFERROR(Y409*I409/H409,"0")</f>
        <v>11.200000000000001</v>
      </c>
      <c r="BO409" s="64">
        <f>IFERROR(1/J409*(X409/H409),"0")</f>
        <v>2.1008403361344536E-2</v>
      </c>
      <c r="BP409" s="64">
        <f>IFERROR(1/J409*(Y409/H409),"0")</f>
        <v>2.1008403361344536E-2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67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40</v>
      </c>
      <c r="Y410" s="652">
        <f>IFERROR(IF(X410="",0,CEILING((X410/$H410),1)*$H410),"")</f>
        <v>40</v>
      </c>
      <c r="Z410" s="36">
        <f>IFERROR(IF(Y410=0,"",ROUNDUP(Y410/H410,0)*0.00474),"")</f>
        <v>9.4800000000000009E-2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44.800000000000004</v>
      </c>
      <c r="BN410" s="64">
        <f>IFERROR(Y410*I410/H410,"0")</f>
        <v>44.800000000000004</v>
      </c>
      <c r="BO410" s="64">
        <f>IFERROR(1/J410*(X410/H410),"0")</f>
        <v>8.4033613445378144E-2</v>
      </c>
      <c r="BP410" s="64">
        <f>IFERROR(1/J410*(Y410/H410),"0")</f>
        <v>8.4033613445378144E-2</v>
      </c>
    </row>
    <row r="411" spans="1:68" x14ac:dyDescent="0.2">
      <c r="A411" s="667"/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8"/>
      <c r="P411" s="675" t="s">
        <v>72</v>
      </c>
      <c r="Q411" s="676"/>
      <c r="R411" s="676"/>
      <c r="S411" s="676"/>
      <c r="T411" s="676"/>
      <c r="U411" s="676"/>
      <c r="V411" s="677"/>
      <c r="W411" s="37" t="s">
        <v>73</v>
      </c>
      <c r="X411" s="653">
        <f>IFERROR(X408/H408,"0")+IFERROR(X409/H409,"0")+IFERROR(X410/H410,"0")</f>
        <v>25</v>
      </c>
      <c r="Y411" s="653">
        <f>IFERROR(Y408/H408,"0")+IFERROR(Y409/H409,"0")+IFERROR(Y410/H410,"0")</f>
        <v>25</v>
      </c>
      <c r="Z411" s="653">
        <f>IFERROR(IF(Z408="",0,Z408),"0")+IFERROR(IF(Z409="",0,Z409),"0")+IFERROR(IF(Z410="",0,Z410),"0")</f>
        <v>0.11850000000000001</v>
      </c>
      <c r="AA411" s="654"/>
      <c r="AB411" s="654"/>
      <c r="AC411" s="654"/>
    </row>
    <row r="412" spans="1:68" x14ac:dyDescent="0.2">
      <c r="A412" s="661"/>
      <c r="B412" s="661"/>
      <c r="C412" s="661"/>
      <c r="D412" s="661"/>
      <c r="E412" s="661"/>
      <c r="F412" s="661"/>
      <c r="G412" s="661"/>
      <c r="H412" s="661"/>
      <c r="I412" s="661"/>
      <c r="J412" s="661"/>
      <c r="K412" s="661"/>
      <c r="L412" s="661"/>
      <c r="M412" s="661"/>
      <c r="N412" s="661"/>
      <c r="O412" s="668"/>
      <c r="P412" s="675" t="s">
        <v>72</v>
      </c>
      <c r="Q412" s="676"/>
      <c r="R412" s="676"/>
      <c r="S412" s="676"/>
      <c r="T412" s="676"/>
      <c r="U412" s="676"/>
      <c r="V412" s="677"/>
      <c r="W412" s="37" t="s">
        <v>67</v>
      </c>
      <c r="X412" s="653">
        <f>IFERROR(SUM(X408:X410),"0")</f>
        <v>50</v>
      </c>
      <c r="Y412" s="653">
        <f>IFERROR(SUM(Y408:Y410),"0")</f>
        <v>50</v>
      </c>
      <c r="Z412" s="37"/>
      <c r="AA412" s="654"/>
      <c r="AB412" s="654"/>
      <c r="AC412" s="654"/>
    </row>
    <row r="413" spans="1:68" ht="14.25" customHeight="1" x14ac:dyDescent="0.25">
      <c r="A413" s="674" t="s">
        <v>676</v>
      </c>
      <c r="B413" s="661"/>
      <c r="C413" s="661"/>
      <c r="D413" s="661"/>
      <c r="E413" s="661"/>
      <c r="F413" s="661"/>
      <c r="G413" s="661"/>
      <c r="H413" s="661"/>
      <c r="I413" s="661"/>
      <c r="J413" s="661"/>
      <c r="K413" s="661"/>
      <c r="L413" s="661"/>
      <c r="M413" s="661"/>
      <c r="N413" s="661"/>
      <c r="O413" s="661"/>
      <c r="P413" s="661"/>
      <c r="Q413" s="661"/>
      <c r="R413" s="661"/>
      <c r="S413" s="661"/>
      <c r="T413" s="661"/>
      <c r="U413" s="661"/>
      <c r="V413" s="661"/>
      <c r="W413" s="661"/>
      <c r="X413" s="661"/>
      <c r="Y413" s="661"/>
      <c r="Z413" s="661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75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92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75</v>
      </c>
      <c r="Y416" s="652">
        <f>IFERROR(IF(X416="",0,CEILING((X416/$H416),1)*$H416),"")</f>
        <v>75</v>
      </c>
      <c r="Z416" s="36">
        <f>IFERROR(IF(Y416=0,"",ROUNDUP(Y416/H416,0)*0.0045),"")</f>
        <v>0.11249999999999999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80.500000000000014</v>
      </c>
      <c r="BN416" s="64">
        <f>IFERROR(Y416*I416/H416,"0")</f>
        <v>80.500000000000014</v>
      </c>
      <c r="BO416" s="64">
        <f>IFERROR(1/J416*(X416/H416),"0")</f>
        <v>0.11160714285714285</v>
      </c>
      <c r="BP416" s="64">
        <f>IFERROR(1/J416*(Y416/H416),"0")</f>
        <v>0.11160714285714285</v>
      </c>
    </row>
    <row r="417" spans="1:68" x14ac:dyDescent="0.2">
      <c r="A417" s="667"/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8"/>
      <c r="P417" s="675" t="s">
        <v>72</v>
      </c>
      <c r="Q417" s="676"/>
      <c r="R417" s="676"/>
      <c r="S417" s="676"/>
      <c r="T417" s="676"/>
      <c r="U417" s="676"/>
      <c r="V417" s="677"/>
      <c r="W417" s="37" t="s">
        <v>73</v>
      </c>
      <c r="X417" s="653">
        <f>IFERROR(X414/H414,"0")+IFERROR(X415/H415,"0")+IFERROR(X416/H416,"0")</f>
        <v>25</v>
      </c>
      <c r="Y417" s="653">
        <f>IFERROR(Y414/H414,"0")+IFERROR(Y415/H415,"0")+IFERROR(Y416/H416,"0")</f>
        <v>25</v>
      </c>
      <c r="Z417" s="653">
        <f>IFERROR(IF(Z414="",0,Z414),"0")+IFERROR(IF(Z415="",0,Z415),"0")+IFERROR(IF(Z416="",0,Z416),"0")</f>
        <v>0.11249999999999999</v>
      </c>
      <c r="AA417" s="654"/>
      <c r="AB417" s="654"/>
      <c r="AC417" s="654"/>
    </row>
    <row r="418" spans="1:68" x14ac:dyDescent="0.2">
      <c r="A418" s="661"/>
      <c r="B418" s="661"/>
      <c r="C418" s="661"/>
      <c r="D418" s="661"/>
      <c r="E418" s="661"/>
      <c r="F418" s="661"/>
      <c r="G418" s="661"/>
      <c r="H418" s="661"/>
      <c r="I418" s="661"/>
      <c r="J418" s="661"/>
      <c r="K418" s="661"/>
      <c r="L418" s="661"/>
      <c r="M418" s="661"/>
      <c r="N418" s="661"/>
      <c r="O418" s="668"/>
      <c r="P418" s="675" t="s">
        <v>72</v>
      </c>
      <c r="Q418" s="676"/>
      <c r="R418" s="676"/>
      <c r="S418" s="676"/>
      <c r="T418" s="676"/>
      <c r="U418" s="676"/>
      <c r="V418" s="677"/>
      <c r="W418" s="37" t="s">
        <v>67</v>
      </c>
      <c r="X418" s="653">
        <f>IFERROR(SUM(X414:X416),"0")</f>
        <v>75</v>
      </c>
      <c r="Y418" s="653">
        <f>IFERROR(SUM(Y414:Y416),"0")</f>
        <v>75</v>
      </c>
      <c r="Z418" s="37"/>
      <c r="AA418" s="654"/>
      <c r="AB418" s="654"/>
      <c r="AC418" s="654"/>
    </row>
    <row r="419" spans="1:68" ht="16.5" customHeight="1" x14ac:dyDescent="0.25">
      <c r="A419" s="660" t="s">
        <v>685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646"/>
      <c r="AB419" s="646"/>
      <c r="AC419" s="646"/>
    </row>
    <row r="420" spans="1:68" ht="14.25" customHeight="1" x14ac:dyDescent="0.25">
      <c r="A420" s="674" t="s">
        <v>74</v>
      </c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1"/>
      <c r="P420" s="661"/>
      <c r="Q420" s="661"/>
      <c r="R420" s="661"/>
      <c r="S420" s="661"/>
      <c r="T420" s="661"/>
      <c r="U420" s="661"/>
      <c r="V420" s="661"/>
      <c r="W420" s="661"/>
      <c r="X420" s="661"/>
      <c r="Y420" s="661"/>
      <c r="Z420" s="661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67"/>
      <c r="B423" s="661"/>
      <c r="C423" s="661"/>
      <c r="D423" s="661"/>
      <c r="E423" s="661"/>
      <c r="F423" s="661"/>
      <c r="G423" s="661"/>
      <c r="H423" s="661"/>
      <c r="I423" s="661"/>
      <c r="J423" s="661"/>
      <c r="K423" s="661"/>
      <c r="L423" s="661"/>
      <c r="M423" s="661"/>
      <c r="N423" s="661"/>
      <c r="O423" s="668"/>
      <c r="P423" s="675" t="s">
        <v>72</v>
      </c>
      <c r="Q423" s="676"/>
      <c r="R423" s="676"/>
      <c r="S423" s="676"/>
      <c r="T423" s="676"/>
      <c r="U423" s="676"/>
      <c r="V423" s="677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1"/>
      <c r="B424" s="661"/>
      <c r="C424" s="661"/>
      <c r="D424" s="661"/>
      <c r="E424" s="661"/>
      <c r="F424" s="661"/>
      <c r="G424" s="661"/>
      <c r="H424" s="661"/>
      <c r="I424" s="661"/>
      <c r="J424" s="661"/>
      <c r="K424" s="661"/>
      <c r="L424" s="661"/>
      <c r="M424" s="661"/>
      <c r="N424" s="661"/>
      <c r="O424" s="668"/>
      <c r="P424" s="675" t="s">
        <v>72</v>
      </c>
      <c r="Q424" s="676"/>
      <c r="R424" s="676"/>
      <c r="S424" s="676"/>
      <c r="T424" s="676"/>
      <c r="U424" s="676"/>
      <c r="V424" s="677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0" t="s">
        <v>692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46"/>
      <c r="AB425" s="646"/>
      <c r="AC425" s="646"/>
    </row>
    <row r="426" spans="1:68" ht="14.25" customHeight="1" x14ac:dyDescent="0.25">
      <c r="A426" s="674" t="s">
        <v>74</v>
      </c>
      <c r="B426" s="661"/>
      <c r="C426" s="661"/>
      <c r="D426" s="661"/>
      <c r="E426" s="661"/>
      <c r="F426" s="661"/>
      <c r="G426" s="661"/>
      <c r="H426" s="661"/>
      <c r="I426" s="661"/>
      <c r="J426" s="661"/>
      <c r="K426" s="661"/>
      <c r="L426" s="661"/>
      <c r="M426" s="661"/>
      <c r="N426" s="661"/>
      <c r="O426" s="661"/>
      <c r="P426" s="661"/>
      <c r="Q426" s="661"/>
      <c r="R426" s="661"/>
      <c r="S426" s="661"/>
      <c r="T426" s="661"/>
      <c r="U426" s="661"/>
      <c r="V426" s="661"/>
      <c r="W426" s="661"/>
      <c r="X426" s="661"/>
      <c r="Y426" s="661"/>
      <c r="Z426" s="661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9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96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13</v>
      </c>
      <c r="Y428" s="652">
        <f>IFERROR(IF(X428="",0,CEILING((X428/$H428),1)*$H428),"")</f>
        <v>14.700000000000001</v>
      </c>
      <c r="Z428" s="36">
        <f>IFERROR(IF(Y428=0,"",ROUNDUP(Y428/H428,0)*0.00651),"")</f>
        <v>4.5569999999999999E-2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14.559999999999999</v>
      </c>
      <c r="BN428" s="64">
        <f>IFERROR(Y428*I428/H428,"0")</f>
        <v>16.463999999999999</v>
      </c>
      <c r="BO428" s="64">
        <f>IFERROR(1/J428*(X428/H428),"0")</f>
        <v>3.4013605442176867E-2</v>
      </c>
      <c r="BP428" s="64">
        <f>IFERROR(1/J428*(Y428/H428),"0")</f>
        <v>3.8461538461538464E-2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4</v>
      </c>
      <c r="Y429" s="652">
        <f>IFERROR(IF(X429="",0,CEILING((X429/$H429),1)*$H429),"")</f>
        <v>4.2</v>
      </c>
      <c r="Z429" s="36">
        <f>IFERROR(IF(Y429=0,"",ROUNDUP(Y429/H429,0)*0.00651),"")</f>
        <v>1.302E-2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4.4571428571428564</v>
      </c>
      <c r="BN429" s="64">
        <f>IFERROR(Y429*I429/H429,"0")</f>
        <v>4.68</v>
      </c>
      <c r="BO429" s="64">
        <f>IFERROR(1/J429*(X429/H429),"0")</f>
        <v>1.0465724751439037E-2</v>
      </c>
      <c r="BP429" s="64">
        <f>IFERROR(1/J429*(Y429/H429),"0")</f>
        <v>1.098901098901099E-2</v>
      </c>
    </row>
    <row r="430" spans="1:68" x14ac:dyDescent="0.2">
      <c r="A430" s="667"/>
      <c r="B430" s="661"/>
      <c r="C430" s="661"/>
      <c r="D430" s="661"/>
      <c r="E430" s="661"/>
      <c r="F430" s="661"/>
      <c r="G430" s="661"/>
      <c r="H430" s="661"/>
      <c r="I430" s="661"/>
      <c r="J430" s="661"/>
      <c r="K430" s="661"/>
      <c r="L430" s="661"/>
      <c r="M430" s="661"/>
      <c r="N430" s="661"/>
      <c r="O430" s="668"/>
      <c r="P430" s="675" t="s">
        <v>72</v>
      </c>
      <c r="Q430" s="676"/>
      <c r="R430" s="676"/>
      <c r="S430" s="676"/>
      <c r="T430" s="676"/>
      <c r="U430" s="676"/>
      <c r="V430" s="677"/>
      <c r="W430" s="37" t="s">
        <v>73</v>
      </c>
      <c r="X430" s="653">
        <f>IFERROR(X427/H427,"0")+IFERROR(X428/H428,"0")+IFERROR(X429/H429,"0")</f>
        <v>8.0952380952380949</v>
      </c>
      <c r="Y430" s="653">
        <f>IFERROR(Y427/H427,"0")+IFERROR(Y428/H428,"0")+IFERROR(Y429/H429,"0")</f>
        <v>9</v>
      </c>
      <c r="Z430" s="653">
        <f>IFERROR(IF(Z427="",0,Z427),"0")+IFERROR(IF(Z428="",0,Z428),"0")+IFERROR(IF(Z429="",0,Z429),"0")</f>
        <v>5.8590000000000003E-2</v>
      </c>
      <c r="AA430" s="654"/>
      <c r="AB430" s="654"/>
      <c r="AC430" s="654"/>
    </row>
    <row r="431" spans="1:68" x14ac:dyDescent="0.2">
      <c r="A431" s="661"/>
      <c r="B431" s="661"/>
      <c r="C431" s="661"/>
      <c r="D431" s="661"/>
      <c r="E431" s="661"/>
      <c r="F431" s="661"/>
      <c r="G431" s="661"/>
      <c r="H431" s="661"/>
      <c r="I431" s="661"/>
      <c r="J431" s="661"/>
      <c r="K431" s="661"/>
      <c r="L431" s="661"/>
      <c r="M431" s="661"/>
      <c r="N431" s="661"/>
      <c r="O431" s="668"/>
      <c r="P431" s="675" t="s">
        <v>72</v>
      </c>
      <c r="Q431" s="676"/>
      <c r="R431" s="676"/>
      <c r="S431" s="676"/>
      <c r="T431" s="676"/>
      <c r="U431" s="676"/>
      <c r="V431" s="677"/>
      <c r="W431" s="37" t="s">
        <v>67</v>
      </c>
      <c r="X431" s="653">
        <f>IFERROR(SUM(X427:X429),"0")</f>
        <v>17</v>
      </c>
      <c r="Y431" s="653">
        <f>IFERROR(SUM(Y427:Y429),"0")</f>
        <v>18.900000000000002</v>
      </c>
      <c r="Z431" s="37"/>
      <c r="AA431" s="654"/>
      <c r="AB431" s="654"/>
      <c r="AC431" s="654"/>
    </row>
    <row r="432" spans="1:68" ht="27.75" customHeight="1" x14ac:dyDescent="0.2">
      <c r="A432" s="711" t="s">
        <v>702</v>
      </c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2"/>
      <c r="P432" s="712"/>
      <c r="Q432" s="712"/>
      <c r="R432" s="712"/>
      <c r="S432" s="712"/>
      <c r="T432" s="712"/>
      <c r="U432" s="712"/>
      <c r="V432" s="712"/>
      <c r="W432" s="712"/>
      <c r="X432" s="712"/>
      <c r="Y432" s="712"/>
      <c r="Z432" s="712"/>
      <c r="AA432" s="48"/>
      <c r="AB432" s="48"/>
      <c r="AC432" s="48"/>
    </row>
    <row r="433" spans="1:68" ht="16.5" customHeight="1" x14ac:dyDescent="0.25">
      <c r="A433" s="660" t="s">
        <v>703</v>
      </c>
      <c r="B433" s="661"/>
      <c r="C433" s="661"/>
      <c r="D433" s="661"/>
      <c r="E433" s="661"/>
      <c r="F433" s="661"/>
      <c r="G433" s="661"/>
      <c r="H433" s="661"/>
      <c r="I433" s="661"/>
      <c r="J433" s="661"/>
      <c r="K433" s="661"/>
      <c r="L433" s="661"/>
      <c r="M433" s="661"/>
      <c r="N433" s="661"/>
      <c r="O433" s="661"/>
      <c r="P433" s="661"/>
      <c r="Q433" s="661"/>
      <c r="R433" s="661"/>
      <c r="S433" s="661"/>
      <c r="T433" s="661"/>
      <c r="U433" s="661"/>
      <c r="V433" s="661"/>
      <c r="W433" s="661"/>
      <c r="X433" s="661"/>
      <c r="Y433" s="661"/>
      <c r="Z433" s="661"/>
      <c r="AA433" s="646"/>
      <c r="AB433" s="646"/>
      <c r="AC433" s="646"/>
    </row>
    <row r="434" spans="1:68" ht="14.25" customHeight="1" x14ac:dyDescent="0.25">
      <c r="A434" s="674" t="s">
        <v>111</v>
      </c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1"/>
      <c r="P434" s="661"/>
      <c r="Q434" s="661"/>
      <c r="R434" s="661"/>
      <c r="S434" s="661"/>
      <c r="T434" s="661"/>
      <c r="U434" s="661"/>
      <c r="V434" s="661"/>
      <c r="W434" s="661"/>
      <c r="X434" s="661"/>
      <c r="Y434" s="661"/>
      <c r="Z434" s="661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70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2536</v>
      </c>
      <c r="Y436" s="652">
        <f t="shared" si="65"/>
        <v>2550</v>
      </c>
      <c r="Z436" s="36">
        <f>IFERROR(IF(Y436=0,"",ROUNDUP(Y436/H436,0)*0.02175),"")</f>
        <v>3.6974999999999998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2615.4613333333332</v>
      </c>
      <c r="BN436" s="64">
        <f t="shared" si="67"/>
        <v>2629.9</v>
      </c>
      <c r="BO436" s="64">
        <f t="shared" si="68"/>
        <v>3.5222222222222221</v>
      </c>
      <c r="BP436" s="64">
        <f t="shared" si="69"/>
        <v>3.5416666666666665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10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1570</v>
      </c>
      <c r="Y437" s="652">
        <f t="shared" si="65"/>
        <v>1575</v>
      </c>
      <c r="Z437" s="36">
        <f>IFERROR(IF(Y437=0,"",ROUNDUP(Y437/H437,0)*0.02175),"")</f>
        <v>2.2837499999999999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1619.1933333333334</v>
      </c>
      <c r="BN437" s="64">
        <f t="shared" si="67"/>
        <v>1624.35</v>
      </c>
      <c r="BO437" s="64">
        <f t="shared" si="68"/>
        <v>2.1805555555555554</v>
      </c>
      <c r="BP437" s="64">
        <f t="shared" si="69"/>
        <v>2.1875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2008</v>
      </c>
      <c r="Y438" s="652">
        <f t="shared" si="65"/>
        <v>2010</v>
      </c>
      <c r="Z438" s="36">
        <f>IFERROR(IF(Y438=0,"",ROUNDUP(Y438/H438,0)*0.02175),"")</f>
        <v>2.9144999999999999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2070.9173333333333</v>
      </c>
      <c r="BN438" s="64">
        <f t="shared" si="67"/>
        <v>2072.98</v>
      </c>
      <c r="BO438" s="64">
        <f t="shared" si="68"/>
        <v>2.7888888888888888</v>
      </c>
      <c r="BP438" s="64">
        <f t="shared" si="69"/>
        <v>2.7916666666666665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7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692</v>
      </c>
      <c r="Y439" s="652">
        <f t="shared" si="65"/>
        <v>705</v>
      </c>
      <c r="Z439" s="36">
        <f>IFERROR(IF(Y439=0,"",ROUNDUP(Y439/H439,0)*0.02175),"")</f>
        <v>1.0222499999999999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713.68266666666671</v>
      </c>
      <c r="BN439" s="64">
        <f t="shared" si="67"/>
        <v>727.09</v>
      </c>
      <c r="BO439" s="64">
        <f t="shared" si="68"/>
        <v>0.96111111111111103</v>
      </c>
      <c r="BP439" s="64">
        <f t="shared" si="69"/>
        <v>0.97916666666666663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5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9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67"/>
      <c r="B443" s="661"/>
      <c r="C443" s="661"/>
      <c r="D443" s="661"/>
      <c r="E443" s="661"/>
      <c r="F443" s="661"/>
      <c r="G443" s="661"/>
      <c r="H443" s="661"/>
      <c r="I443" s="661"/>
      <c r="J443" s="661"/>
      <c r="K443" s="661"/>
      <c r="L443" s="661"/>
      <c r="M443" s="661"/>
      <c r="N443" s="661"/>
      <c r="O443" s="668"/>
      <c r="P443" s="675" t="s">
        <v>72</v>
      </c>
      <c r="Q443" s="676"/>
      <c r="R443" s="676"/>
      <c r="S443" s="676"/>
      <c r="T443" s="676"/>
      <c r="U443" s="676"/>
      <c r="V443" s="677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453.73333333333335</v>
      </c>
      <c r="Y443" s="653">
        <f>IFERROR(Y435/H435,"0")+IFERROR(Y436/H436,"0")+IFERROR(Y437/H437,"0")+IFERROR(Y438/H438,"0")+IFERROR(Y439/H439,"0")+IFERROR(Y440/H440,"0")+IFERROR(Y441/H441,"0")+IFERROR(Y442/H442,"0")</f>
        <v>456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9.9179999999999993</v>
      </c>
      <c r="AA443" s="654"/>
      <c r="AB443" s="654"/>
      <c r="AC443" s="654"/>
    </row>
    <row r="444" spans="1:68" x14ac:dyDescent="0.2">
      <c r="A444" s="661"/>
      <c r="B444" s="661"/>
      <c r="C444" s="661"/>
      <c r="D444" s="661"/>
      <c r="E444" s="661"/>
      <c r="F444" s="661"/>
      <c r="G444" s="661"/>
      <c r="H444" s="661"/>
      <c r="I444" s="661"/>
      <c r="J444" s="661"/>
      <c r="K444" s="661"/>
      <c r="L444" s="661"/>
      <c r="M444" s="661"/>
      <c r="N444" s="661"/>
      <c r="O444" s="668"/>
      <c r="P444" s="675" t="s">
        <v>72</v>
      </c>
      <c r="Q444" s="676"/>
      <c r="R444" s="676"/>
      <c r="S444" s="676"/>
      <c r="T444" s="676"/>
      <c r="U444" s="676"/>
      <c r="V444" s="677"/>
      <c r="W444" s="37" t="s">
        <v>67</v>
      </c>
      <c r="X444" s="653">
        <f>IFERROR(SUM(X435:X442),"0")</f>
        <v>6806</v>
      </c>
      <c r="Y444" s="653">
        <f>IFERROR(SUM(Y435:Y442),"0")</f>
        <v>6840</v>
      </c>
      <c r="Z444" s="37"/>
      <c r="AA444" s="654"/>
      <c r="AB444" s="654"/>
      <c r="AC444" s="654"/>
    </row>
    <row r="445" spans="1:68" ht="14.25" customHeight="1" x14ac:dyDescent="0.25">
      <c r="A445" s="674" t="s">
        <v>144</v>
      </c>
      <c r="B445" s="661"/>
      <c r="C445" s="661"/>
      <c r="D445" s="661"/>
      <c r="E445" s="661"/>
      <c r="F445" s="661"/>
      <c r="G445" s="661"/>
      <c r="H445" s="661"/>
      <c r="I445" s="661"/>
      <c r="J445" s="661"/>
      <c r="K445" s="661"/>
      <c r="L445" s="661"/>
      <c r="M445" s="661"/>
      <c r="N445" s="661"/>
      <c r="O445" s="661"/>
      <c r="P445" s="661"/>
      <c r="Q445" s="661"/>
      <c r="R445" s="661"/>
      <c r="S445" s="661"/>
      <c r="T445" s="661"/>
      <c r="U445" s="661"/>
      <c r="V445" s="661"/>
      <c r="W445" s="661"/>
      <c r="X445" s="661"/>
      <c r="Y445" s="661"/>
      <c r="Z445" s="661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2670</v>
      </c>
      <c r="Y446" s="652">
        <f>IFERROR(IF(X446="",0,CEILING((X446/$H446),1)*$H446),"")</f>
        <v>2670</v>
      </c>
      <c r="Z446" s="36">
        <f>IFERROR(IF(Y446=0,"",ROUNDUP(Y446/H446,0)*0.02175),"")</f>
        <v>3.8714999999999997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2753.6600000000003</v>
      </c>
      <c r="BN446" s="64">
        <f>IFERROR(Y446*I446/H446,"0")</f>
        <v>2753.6600000000003</v>
      </c>
      <c r="BO446" s="64">
        <f>IFERROR(1/J446*(X446/H446),"0")</f>
        <v>3.708333333333333</v>
      </c>
      <c r="BP446" s="64">
        <f>IFERROR(1/J446*(Y446/H446),"0")</f>
        <v>3.708333333333333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6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67"/>
      <c r="B449" s="661"/>
      <c r="C449" s="661"/>
      <c r="D449" s="661"/>
      <c r="E449" s="661"/>
      <c r="F449" s="661"/>
      <c r="G449" s="661"/>
      <c r="H449" s="661"/>
      <c r="I449" s="661"/>
      <c r="J449" s="661"/>
      <c r="K449" s="661"/>
      <c r="L449" s="661"/>
      <c r="M449" s="661"/>
      <c r="N449" s="661"/>
      <c r="O449" s="668"/>
      <c r="P449" s="675" t="s">
        <v>72</v>
      </c>
      <c r="Q449" s="676"/>
      <c r="R449" s="676"/>
      <c r="S449" s="676"/>
      <c r="T449" s="676"/>
      <c r="U449" s="676"/>
      <c r="V449" s="677"/>
      <c r="W449" s="37" t="s">
        <v>73</v>
      </c>
      <c r="X449" s="653">
        <f>IFERROR(X446/H446,"0")+IFERROR(X447/H447,"0")+IFERROR(X448/H448,"0")</f>
        <v>178</v>
      </c>
      <c r="Y449" s="653">
        <f>IFERROR(Y446/H446,"0")+IFERROR(Y447/H447,"0")+IFERROR(Y448/H448,"0")</f>
        <v>178</v>
      </c>
      <c r="Z449" s="653">
        <f>IFERROR(IF(Z446="",0,Z446),"0")+IFERROR(IF(Z447="",0,Z447),"0")+IFERROR(IF(Z448="",0,Z448),"0")</f>
        <v>3.8714999999999997</v>
      </c>
      <c r="AA449" s="654"/>
      <c r="AB449" s="654"/>
      <c r="AC449" s="654"/>
    </row>
    <row r="450" spans="1:68" x14ac:dyDescent="0.2">
      <c r="A450" s="661"/>
      <c r="B450" s="661"/>
      <c r="C450" s="661"/>
      <c r="D450" s="661"/>
      <c r="E450" s="661"/>
      <c r="F450" s="661"/>
      <c r="G450" s="661"/>
      <c r="H450" s="661"/>
      <c r="I450" s="661"/>
      <c r="J450" s="661"/>
      <c r="K450" s="661"/>
      <c r="L450" s="661"/>
      <c r="M450" s="661"/>
      <c r="N450" s="661"/>
      <c r="O450" s="668"/>
      <c r="P450" s="675" t="s">
        <v>72</v>
      </c>
      <c r="Q450" s="676"/>
      <c r="R450" s="676"/>
      <c r="S450" s="676"/>
      <c r="T450" s="676"/>
      <c r="U450" s="676"/>
      <c r="V450" s="677"/>
      <c r="W450" s="37" t="s">
        <v>67</v>
      </c>
      <c r="X450" s="653">
        <f>IFERROR(SUM(X446:X448),"0")</f>
        <v>2670</v>
      </c>
      <c r="Y450" s="653">
        <f>IFERROR(SUM(Y446:Y448),"0")</f>
        <v>2670</v>
      </c>
      <c r="Z450" s="37"/>
      <c r="AA450" s="654"/>
      <c r="AB450" s="654"/>
      <c r="AC450" s="654"/>
    </row>
    <row r="451" spans="1:68" ht="14.25" customHeight="1" x14ac:dyDescent="0.25">
      <c r="A451" s="674" t="s">
        <v>74</v>
      </c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1"/>
      <c r="P451" s="661"/>
      <c r="Q451" s="661"/>
      <c r="R451" s="661"/>
      <c r="S451" s="661"/>
      <c r="T451" s="661"/>
      <c r="U451" s="661"/>
      <c r="V451" s="661"/>
      <c r="W451" s="661"/>
      <c r="X451" s="661"/>
      <c r="Y451" s="661"/>
      <c r="Z451" s="661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10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9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10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67"/>
      <c r="B455" s="661"/>
      <c r="C455" s="661"/>
      <c r="D455" s="661"/>
      <c r="E455" s="661"/>
      <c r="F455" s="661"/>
      <c r="G455" s="661"/>
      <c r="H455" s="661"/>
      <c r="I455" s="661"/>
      <c r="J455" s="661"/>
      <c r="K455" s="661"/>
      <c r="L455" s="661"/>
      <c r="M455" s="661"/>
      <c r="N455" s="661"/>
      <c r="O455" s="668"/>
      <c r="P455" s="675" t="s">
        <v>72</v>
      </c>
      <c r="Q455" s="676"/>
      <c r="R455" s="676"/>
      <c r="S455" s="676"/>
      <c r="T455" s="676"/>
      <c r="U455" s="676"/>
      <c r="V455" s="677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x14ac:dyDescent="0.2">
      <c r="A456" s="661"/>
      <c r="B456" s="661"/>
      <c r="C456" s="661"/>
      <c r="D456" s="661"/>
      <c r="E456" s="661"/>
      <c r="F456" s="661"/>
      <c r="G456" s="661"/>
      <c r="H456" s="661"/>
      <c r="I456" s="661"/>
      <c r="J456" s="661"/>
      <c r="K456" s="661"/>
      <c r="L456" s="661"/>
      <c r="M456" s="661"/>
      <c r="N456" s="661"/>
      <c r="O456" s="668"/>
      <c r="P456" s="675" t="s">
        <v>72</v>
      </c>
      <c r="Q456" s="676"/>
      <c r="R456" s="676"/>
      <c r="S456" s="676"/>
      <c r="T456" s="676"/>
      <c r="U456" s="676"/>
      <c r="V456" s="677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customHeight="1" x14ac:dyDescent="0.25">
      <c r="A457" s="674" t="s">
        <v>162</v>
      </c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1"/>
      <c r="P457" s="661"/>
      <c r="Q457" s="661"/>
      <c r="R457" s="661"/>
      <c r="S457" s="661"/>
      <c r="T457" s="661"/>
      <c r="U457" s="661"/>
      <c r="V457" s="661"/>
      <c r="W457" s="661"/>
      <c r="X457" s="661"/>
      <c r="Y457" s="661"/>
      <c r="Z457" s="661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9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30</v>
      </c>
      <c r="Y459" s="652">
        <f>IFERROR(IF(X459="",0,CEILING((X459/$H459),1)*$H459),"")</f>
        <v>36</v>
      </c>
      <c r="Z459" s="36">
        <f>IFERROR(IF(Y459=0,"",ROUNDUP(Y459/H459,0)*0.01898),"")</f>
        <v>7.5920000000000001E-2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31.646666666666665</v>
      </c>
      <c r="BN459" s="64">
        <f>IFERROR(Y459*I459/H459,"0")</f>
        <v>37.975999999999999</v>
      </c>
      <c r="BO459" s="64">
        <f>IFERROR(1/J459*(X459/H459),"0")</f>
        <v>5.2083333333333336E-2</v>
      </c>
      <c r="BP459" s="64">
        <f>IFERROR(1/J459*(Y459/H459),"0")</f>
        <v>6.25E-2</v>
      </c>
    </row>
    <row r="460" spans="1:68" x14ac:dyDescent="0.2">
      <c r="A460" s="667"/>
      <c r="B460" s="661"/>
      <c r="C460" s="661"/>
      <c r="D460" s="661"/>
      <c r="E460" s="661"/>
      <c r="F460" s="661"/>
      <c r="G460" s="661"/>
      <c r="H460" s="661"/>
      <c r="I460" s="661"/>
      <c r="J460" s="661"/>
      <c r="K460" s="661"/>
      <c r="L460" s="661"/>
      <c r="M460" s="661"/>
      <c r="N460" s="661"/>
      <c r="O460" s="668"/>
      <c r="P460" s="675" t="s">
        <v>72</v>
      </c>
      <c r="Q460" s="676"/>
      <c r="R460" s="676"/>
      <c r="S460" s="676"/>
      <c r="T460" s="676"/>
      <c r="U460" s="676"/>
      <c r="V460" s="677"/>
      <c r="W460" s="37" t="s">
        <v>73</v>
      </c>
      <c r="X460" s="653">
        <f>IFERROR(X458/H458,"0")+IFERROR(X459/H459,"0")</f>
        <v>3.3333333333333335</v>
      </c>
      <c r="Y460" s="653">
        <f>IFERROR(Y458/H458,"0")+IFERROR(Y459/H459,"0")</f>
        <v>4</v>
      </c>
      <c r="Z460" s="653">
        <f>IFERROR(IF(Z458="",0,Z458),"0")+IFERROR(IF(Z459="",0,Z459),"0")</f>
        <v>7.5920000000000001E-2</v>
      </c>
      <c r="AA460" s="654"/>
      <c r="AB460" s="654"/>
      <c r="AC460" s="654"/>
    </row>
    <row r="461" spans="1:68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8"/>
      <c r="P461" s="675" t="s">
        <v>72</v>
      </c>
      <c r="Q461" s="676"/>
      <c r="R461" s="676"/>
      <c r="S461" s="676"/>
      <c r="T461" s="676"/>
      <c r="U461" s="676"/>
      <c r="V461" s="677"/>
      <c r="W461" s="37" t="s">
        <v>67</v>
      </c>
      <c r="X461" s="653">
        <f>IFERROR(SUM(X458:X459),"0")</f>
        <v>30</v>
      </c>
      <c r="Y461" s="653">
        <f>IFERROR(SUM(Y458:Y459),"0")</f>
        <v>36</v>
      </c>
      <c r="Z461" s="37"/>
      <c r="AA461" s="654"/>
      <c r="AB461" s="654"/>
      <c r="AC461" s="654"/>
    </row>
    <row r="462" spans="1:68" ht="16.5" customHeight="1" x14ac:dyDescent="0.25">
      <c r="A462" s="660" t="s">
        <v>752</v>
      </c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1"/>
      <c r="P462" s="661"/>
      <c r="Q462" s="661"/>
      <c r="R462" s="661"/>
      <c r="S462" s="661"/>
      <c r="T462" s="661"/>
      <c r="U462" s="661"/>
      <c r="V462" s="661"/>
      <c r="W462" s="661"/>
      <c r="X462" s="661"/>
      <c r="Y462" s="661"/>
      <c r="Z462" s="661"/>
      <c r="AA462" s="646"/>
      <c r="AB462" s="646"/>
      <c r="AC462" s="646"/>
    </row>
    <row r="463" spans="1:68" ht="14.25" customHeight="1" x14ac:dyDescent="0.25">
      <c r="A463" s="674" t="s">
        <v>111</v>
      </c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1"/>
      <c r="P463" s="661"/>
      <c r="Q463" s="661"/>
      <c r="R463" s="661"/>
      <c r="S463" s="661"/>
      <c r="T463" s="661"/>
      <c r="U463" s="661"/>
      <c r="V463" s="661"/>
      <c r="W463" s="661"/>
      <c r="X463" s="661"/>
      <c r="Y463" s="661"/>
      <c r="Z463" s="661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9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67"/>
      <c r="B466" s="661"/>
      <c r="C466" s="661"/>
      <c r="D466" s="661"/>
      <c r="E466" s="661"/>
      <c r="F466" s="661"/>
      <c r="G466" s="661"/>
      <c r="H466" s="661"/>
      <c r="I466" s="661"/>
      <c r="J466" s="661"/>
      <c r="K466" s="661"/>
      <c r="L466" s="661"/>
      <c r="M466" s="661"/>
      <c r="N466" s="661"/>
      <c r="O466" s="668"/>
      <c r="P466" s="675" t="s">
        <v>72</v>
      </c>
      <c r="Q466" s="676"/>
      <c r="R466" s="676"/>
      <c r="S466" s="676"/>
      <c r="T466" s="676"/>
      <c r="U466" s="676"/>
      <c r="V466" s="677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8"/>
      <c r="P467" s="675" t="s">
        <v>72</v>
      </c>
      <c r="Q467" s="676"/>
      <c r="R467" s="676"/>
      <c r="S467" s="676"/>
      <c r="T467" s="676"/>
      <c r="U467" s="676"/>
      <c r="V467" s="677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74" t="s">
        <v>62</v>
      </c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1"/>
      <c r="P468" s="661"/>
      <c r="Q468" s="661"/>
      <c r="R468" s="661"/>
      <c r="S468" s="661"/>
      <c r="T468" s="661"/>
      <c r="U468" s="661"/>
      <c r="V468" s="661"/>
      <c r="W468" s="661"/>
      <c r="X468" s="661"/>
      <c r="Y468" s="661"/>
      <c r="Z468" s="661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67"/>
      <c r="B470" s="661"/>
      <c r="C470" s="661"/>
      <c r="D470" s="661"/>
      <c r="E470" s="661"/>
      <c r="F470" s="661"/>
      <c r="G470" s="661"/>
      <c r="H470" s="661"/>
      <c r="I470" s="661"/>
      <c r="J470" s="661"/>
      <c r="K470" s="661"/>
      <c r="L470" s="661"/>
      <c r="M470" s="661"/>
      <c r="N470" s="661"/>
      <c r="O470" s="668"/>
      <c r="P470" s="675" t="s">
        <v>72</v>
      </c>
      <c r="Q470" s="676"/>
      <c r="R470" s="676"/>
      <c r="S470" s="676"/>
      <c r="T470" s="676"/>
      <c r="U470" s="676"/>
      <c r="V470" s="677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1"/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8"/>
      <c r="P471" s="675" t="s">
        <v>72</v>
      </c>
      <c r="Q471" s="676"/>
      <c r="R471" s="676"/>
      <c r="S471" s="676"/>
      <c r="T471" s="676"/>
      <c r="U471" s="676"/>
      <c r="V471" s="677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74" t="s">
        <v>74</v>
      </c>
      <c r="B472" s="661"/>
      <c r="C472" s="661"/>
      <c r="D472" s="661"/>
      <c r="E472" s="661"/>
      <c r="F472" s="661"/>
      <c r="G472" s="661"/>
      <c r="H472" s="661"/>
      <c r="I472" s="661"/>
      <c r="J472" s="661"/>
      <c r="K472" s="661"/>
      <c r="L472" s="661"/>
      <c r="M472" s="661"/>
      <c r="N472" s="661"/>
      <c r="O472" s="661"/>
      <c r="P472" s="661"/>
      <c r="Q472" s="661"/>
      <c r="R472" s="661"/>
      <c r="S472" s="661"/>
      <c r="T472" s="661"/>
      <c r="U472" s="661"/>
      <c r="V472" s="661"/>
      <c r="W472" s="661"/>
      <c r="X472" s="661"/>
      <c r="Y472" s="661"/>
      <c r="Z472" s="661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700</v>
      </c>
      <c r="Y473" s="652">
        <f>IFERROR(IF(X473="",0,CEILING((X473/$H473),1)*$H473),"")</f>
        <v>702</v>
      </c>
      <c r="Z473" s="36">
        <f>IFERROR(IF(Y473=0,"",ROUNDUP(Y473/H473,0)*0.01898),"")</f>
        <v>1.48044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738.42222222222222</v>
      </c>
      <c r="BN473" s="64">
        <f>IFERROR(Y473*I473/H473,"0")</f>
        <v>740.53199999999993</v>
      </c>
      <c r="BO473" s="64">
        <f>IFERROR(1/J473*(X473/H473),"0")</f>
        <v>1.2152777777777777</v>
      </c>
      <c r="BP473" s="64">
        <f>IFERROR(1/J473*(Y473/H473),"0")</f>
        <v>1.21875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8</v>
      </c>
      <c r="Y474" s="652">
        <f>IFERROR(IF(X474="",0,CEILING((X474/$H474),1)*$H474),"")</f>
        <v>9.6</v>
      </c>
      <c r="Z474" s="36">
        <f>IFERROR(IF(Y474=0,"",ROUNDUP(Y474/H474,0)*0.00651),"")</f>
        <v>2.6040000000000001E-2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8.8800000000000008</v>
      </c>
      <c r="BN474" s="64">
        <f>IFERROR(Y474*I474/H474,"0")</f>
        <v>10.656000000000001</v>
      </c>
      <c r="BO474" s="64">
        <f>IFERROR(1/J474*(X474/H474),"0")</f>
        <v>1.8315018315018316E-2</v>
      </c>
      <c r="BP474" s="64">
        <f>IFERROR(1/J474*(Y474/H474),"0")</f>
        <v>2.197802197802198E-2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8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67"/>
      <c r="B476" s="661"/>
      <c r="C476" s="661"/>
      <c r="D476" s="661"/>
      <c r="E476" s="661"/>
      <c r="F476" s="661"/>
      <c r="G476" s="661"/>
      <c r="H476" s="661"/>
      <c r="I476" s="661"/>
      <c r="J476" s="661"/>
      <c r="K476" s="661"/>
      <c r="L476" s="661"/>
      <c r="M476" s="661"/>
      <c r="N476" s="661"/>
      <c r="O476" s="668"/>
      <c r="P476" s="675" t="s">
        <v>72</v>
      </c>
      <c r="Q476" s="676"/>
      <c r="R476" s="676"/>
      <c r="S476" s="676"/>
      <c r="T476" s="676"/>
      <c r="U476" s="676"/>
      <c r="V476" s="677"/>
      <c r="W476" s="37" t="s">
        <v>73</v>
      </c>
      <c r="X476" s="653">
        <f>IFERROR(X473/H473,"0")+IFERROR(X474/H474,"0")+IFERROR(X475/H475,"0")</f>
        <v>81.1111111111111</v>
      </c>
      <c r="Y476" s="653">
        <f>IFERROR(Y473/H473,"0")+IFERROR(Y474/H474,"0")+IFERROR(Y475/H475,"0")</f>
        <v>82</v>
      </c>
      <c r="Z476" s="653">
        <f>IFERROR(IF(Z473="",0,Z473),"0")+IFERROR(IF(Z474="",0,Z474),"0")+IFERROR(IF(Z475="",0,Z475),"0")</f>
        <v>1.50648</v>
      </c>
      <c r="AA476" s="654"/>
      <c r="AB476" s="654"/>
      <c r="AC476" s="654"/>
    </row>
    <row r="477" spans="1:68" x14ac:dyDescent="0.2">
      <c r="A477" s="661"/>
      <c r="B477" s="661"/>
      <c r="C477" s="661"/>
      <c r="D477" s="661"/>
      <c r="E477" s="661"/>
      <c r="F477" s="661"/>
      <c r="G477" s="661"/>
      <c r="H477" s="661"/>
      <c r="I477" s="661"/>
      <c r="J477" s="661"/>
      <c r="K477" s="661"/>
      <c r="L477" s="661"/>
      <c r="M477" s="661"/>
      <c r="N477" s="661"/>
      <c r="O477" s="668"/>
      <c r="P477" s="675" t="s">
        <v>72</v>
      </c>
      <c r="Q477" s="676"/>
      <c r="R477" s="676"/>
      <c r="S477" s="676"/>
      <c r="T477" s="676"/>
      <c r="U477" s="676"/>
      <c r="V477" s="677"/>
      <c r="W477" s="37" t="s">
        <v>67</v>
      </c>
      <c r="X477" s="653">
        <f>IFERROR(SUM(X473:X475),"0")</f>
        <v>708</v>
      </c>
      <c r="Y477" s="653">
        <f>IFERROR(SUM(Y473:Y475),"0")</f>
        <v>711.6</v>
      </c>
      <c r="Z477" s="37"/>
      <c r="AA477" s="654"/>
      <c r="AB477" s="654"/>
      <c r="AC477" s="654"/>
    </row>
    <row r="478" spans="1:68" ht="27.75" customHeight="1" x14ac:dyDescent="0.2">
      <c r="A478" s="711" t="s">
        <v>768</v>
      </c>
      <c r="B478" s="712"/>
      <c r="C478" s="712"/>
      <c r="D478" s="712"/>
      <c r="E478" s="712"/>
      <c r="F478" s="712"/>
      <c r="G478" s="712"/>
      <c r="H478" s="712"/>
      <c r="I478" s="712"/>
      <c r="J478" s="712"/>
      <c r="K478" s="712"/>
      <c r="L478" s="712"/>
      <c r="M478" s="712"/>
      <c r="N478" s="712"/>
      <c r="O478" s="712"/>
      <c r="P478" s="712"/>
      <c r="Q478" s="712"/>
      <c r="R478" s="712"/>
      <c r="S478" s="712"/>
      <c r="T478" s="712"/>
      <c r="U478" s="712"/>
      <c r="V478" s="712"/>
      <c r="W478" s="712"/>
      <c r="X478" s="712"/>
      <c r="Y478" s="712"/>
      <c r="Z478" s="712"/>
      <c r="AA478" s="48"/>
      <c r="AB478" s="48"/>
      <c r="AC478" s="48"/>
    </row>
    <row r="479" spans="1:68" ht="16.5" customHeight="1" x14ac:dyDescent="0.25">
      <c r="A479" s="660" t="s">
        <v>769</v>
      </c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1"/>
      <c r="P479" s="661"/>
      <c r="Q479" s="661"/>
      <c r="R479" s="661"/>
      <c r="S479" s="661"/>
      <c r="T479" s="661"/>
      <c r="U479" s="661"/>
      <c r="V479" s="661"/>
      <c r="W479" s="661"/>
      <c r="X479" s="661"/>
      <c r="Y479" s="661"/>
      <c r="Z479" s="661"/>
      <c r="AA479" s="646"/>
      <c r="AB479" s="646"/>
      <c r="AC479" s="646"/>
    </row>
    <row r="480" spans="1:68" ht="14.25" customHeight="1" x14ac:dyDescent="0.25">
      <c r="A480" s="674" t="s">
        <v>62</v>
      </c>
      <c r="B480" s="661"/>
      <c r="C480" s="661"/>
      <c r="D480" s="661"/>
      <c r="E480" s="661"/>
      <c r="F480" s="661"/>
      <c r="G480" s="661"/>
      <c r="H480" s="661"/>
      <c r="I480" s="661"/>
      <c r="J480" s="661"/>
      <c r="K480" s="661"/>
      <c r="L480" s="661"/>
      <c r="M480" s="661"/>
      <c r="N480" s="661"/>
      <c r="O480" s="661"/>
      <c r="P480" s="661"/>
      <c r="Q480" s="661"/>
      <c r="R480" s="661"/>
      <c r="S480" s="661"/>
      <c r="T480" s="661"/>
      <c r="U480" s="661"/>
      <c r="V480" s="661"/>
      <c r="W480" s="661"/>
      <c r="X480" s="661"/>
      <c r="Y480" s="661"/>
      <c r="Z480" s="661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9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15</v>
      </c>
      <c r="Y481" s="652">
        <f t="shared" ref="Y481:Y486" si="70">IFERROR(IF(X481="",0,CEILING((X481/$H481),1)*$H481),"")</f>
        <v>16.200000000000003</v>
      </c>
      <c r="Z481" s="36">
        <f>IFERROR(IF(Y481=0,"",ROUNDUP(Y481/H481,0)*0.00902),"")</f>
        <v>2.7060000000000001E-2</v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15.527777777777775</v>
      </c>
      <c r="BN481" s="64">
        <f t="shared" ref="BN481:BN486" si="72">IFERROR(Y481*I481/H481,"0")</f>
        <v>16.77</v>
      </c>
      <c r="BO481" s="64">
        <f t="shared" ref="BO481:BO486" si="73">IFERROR(1/J481*(X481/H481),"0")</f>
        <v>2.1043771043771045E-2</v>
      </c>
      <c r="BP481" s="64">
        <f t="shared" ref="BP481:BP486" si="74">IFERROR(1/J481*(Y481/H481),"0")</f>
        <v>2.2727272727272731E-2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95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7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7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67"/>
      <c r="B487" s="661"/>
      <c r="C487" s="661"/>
      <c r="D487" s="661"/>
      <c r="E487" s="661"/>
      <c r="F487" s="661"/>
      <c r="G487" s="661"/>
      <c r="H487" s="661"/>
      <c r="I487" s="661"/>
      <c r="J487" s="661"/>
      <c r="K487" s="661"/>
      <c r="L487" s="661"/>
      <c r="M487" s="661"/>
      <c r="N487" s="661"/>
      <c r="O487" s="668"/>
      <c r="P487" s="675" t="s">
        <v>72</v>
      </c>
      <c r="Q487" s="676"/>
      <c r="R487" s="676"/>
      <c r="S487" s="676"/>
      <c r="T487" s="676"/>
      <c r="U487" s="676"/>
      <c r="V487" s="677"/>
      <c r="W487" s="37" t="s">
        <v>73</v>
      </c>
      <c r="X487" s="653">
        <f>IFERROR(X481/H481,"0")+IFERROR(X482/H482,"0")+IFERROR(X483/H483,"0")+IFERROR(X484/H484,"0")+IFERROR(X485/H485,"0")+IFERROR(X486/H486,"0")</f>
        <v>2.7777777777777777</v>
      </c>
      <c r="Y487" s="653">
        <f>IFERROR(Y481/H481,"0")+IFERROR(Y482/H482,"0")+IFERROR(Y483/H483,"0")+IFERROR(Y484/H484,"0")+IFERROR(Y485/H485,"0")+IFERROR(Y486/H486,"0")</f>
        <v>3.0000000000000004</v>
      </c>
      <c r="Z487" s="653">
        <f>IFERROR(IF(Z481="",0,Z481),"0")+IFERROR(IF(Z482="",0,Z482),"0")+IFERROR(IF(Z483="",0,Z483),"0")+IFERROR(IF(Z484="",0,Z484),"0")+IFERROR(IF(Z485="",0,Z485),"0")+IFERROR(IF(Z486="",0,Z486),"0")</f>
        <v>2.7060000000000001E-2</v>
      </c>
      <c r="AA487" s="654"/>
      <c r="AB487" s="654"/>
      <c r="AC487" s="654"/>
    </row>
    <row r="488" spans="1:68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8"/>
      <c r="P488" s="675" t="s">
        <v>72</v>
      </c>
      <c r="Q488" s="676"/>
      <c r="R488" s="676"/>
      <c r="S488" s="676"/>
      <c r="T488" s="676"/>
      <c r="U488" s="676"/>
      <c r="V488" s="677"/>
      <c r="W488" s="37" t="s">
        <v>67</v>
      </c>
      <c r="X488" s="653">
        <f>IFERROR(SUM(X481:X486),"0")</f>
        <v>15</v>
      </c>
      <c r="Y488" s="653">
        <f>IFERROR(SUM(Y481:Y486),"0")</f>
        <v>16.200000000000003</v>
      </c>
      <c r="Z488" s="37"/>
      <c r="AA488" s="654"/>
      <c r="AB488" s="654"/>
      <c r="AC488" s="654"/>
    </row>
    <row r="489" spans="1:68" ht="14.25" customHeight="1" x14ac:dyDescent="0.25">
      <c r="A489" s="674" t="s">
        <v>74</v>
      </c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1"/>
      <c r="P489" s="661"/>
      <c r="Q489" s="661"/>
      <c r="R489" s="661"/>
      <c r="S489" s="661"/>
      <c r="T489" s="661"/>
      <c r="U489" s="661"/>
      <c r="V489" s="661"/>
      <c r="W489" s="661"/>
      <c r="X489" s="661"/>
      <c r="Y489" s="661"/>
      <c r="Z489" s="661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7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67"/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8"/>
      <c r="P492" s="675" t="s">
        <v>72</v>
      </c>
      <c r="Q492" s="676"/>
      <c r="R492" s="676"/>
      <c r="S492" s="676"/>
      <c r="T492" s="676"/>
      <c r="U492" s="676"/>
      <c r="V492" s="677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1"/>
      <c r="B493" s="661"/>
      <c r="C493" s="661"/>
      <c r="D493" s="661"/>
      <c r="E493" s="661"/>
      <c r="F493" s="661"/>
      <c r="G493" s="661"/>
      <c r="H493" s="661"/>
      <c r="I493" s="661"/>
      <c r="J493" s="661"/>
      <c r="K493" s="661"/>
      <c r="L493" s="661"/>
      <c r="M493" s="661"/>
      <c r="N493" s="661"/>
      <c r="O493" s="668"/>
      <c r="P493" s="675" t="s">
        <v>72</v>
      </c>
      <c r="Q493" s="676"/>
      <c r="R493" s="676"/>
      <c r="S493" s="676"/>
      <c r="T493" s="676"/>
      <c r="U493" s="676"/>
      <c r="V493" s="677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0" t="s">
        <v>792</v>
      </c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1"/>
      <c r="P494" s="661"/>
      <c r="Q494" s="661"/>
      <c r="R494" s="661"/>
      <c r="S494" s="661"/>
      <c r="T494" s="661"/>
      <c r="U494" s="661"/>
      <c r="V494" s="661"/>
      <c r="W494" s="661"/>
      <c r="X494" s="661"/>
      <c r="Y494" s="661"/>
      <c r="Z494" s="661"/>
      <c r="AA494" s="646"/>
      <c r="AB494" s="646"/>
      <c r="AC494" s="646"/>
    </row>
    <row r="495" spans="1:68" ht="14.25" customHeight="1" x14ac:dyDescent="0.25">
      <c r="A495" s="674" t="s">
        <v>144</v>
      </c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1"/>
      <c r="P495" s="661"/>
      <c r="Q495" s="661"/>
      <c r="R495" s="661"/>
      <c r="S495" s="661"/>
      <c r="T495" s="661"/>
      <c r="U495" s="661"/>
      <c r="V495" s="661"/>
      <c r="W495" s="661"/>
      <c r="X495" s="661"/>
      <c r="Y495" s="661"/>
      <c r="Z495" s="661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67"/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8"/>
      <c r="P497" s="675" t="s">
        <v>72</v>
      </c>
      <c r="Q497" s="676"/>
      <c r="R497" s="676"/>
      <c r="S497" s="676"/>
      <c r="T497" s="676"/>
      <c r="U497" s="676"/>
      <c r="V497" s="677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1"/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8"/>
      <c r="P498" s="675" t="s">
        <v>72</v>
      </c>
      <c r="Q498" s="676"/>
      <c r="R498" s="676"/>
      <c r="S498" s="676"/>
      <c r="T498" s="676"/>
      <c r="U498" s="676"/>
      <c r="V498" s="677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74" t="s">
        <v>62</v>
      </c>
      <c r="B499" s="661"/>
      <c r="C499" s="661"/>
      <c r="D499" s="661"/>
      <c r="E499" s="661"/>
      <c r="F499" s="661"/>
      <c r="G499" s="661"/>
      <c r="H499" s="661"/>
      <c r="I499" s="661"/>
      <c r="J499" s="661"/>
      <c r="K499" s="661"/>
      <c r="L499" s="661"/>
      <c r="M499" s="661"/>
      <c r="N499" s="661"/>
      <c r="O499" s="661"/>
      <c r="P499" s="661"/>
      <c r="Q499" s="661"/>
      <c r="R499" s="661"/>
      <c r="S499" s="661"/>
      <c r="T499" s="661"/>
      <c r="U499" s="661"/>
      <c r="V499" s="661"/>
      <c r="W499" s="661"/>
      <c r="X499" s="661"/>
      <c r="Y499" s="661"/>
      <c r="Z499" s="661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10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67"/>
      <c r="B503" s="661"/>
      <c r="C503" s="661"/>
      <c r="D503" s="661"/>
      <c r="E503" s="661"/>
      <c r="F503" s="661"/>
      <c r="G503" s="661"/>
      <c r="H503" s="661"/>
      <c r="I503" s="661"/>
      <c r="J503" s="661"/>
      <c r="K503" s="661"/>
      <c r="L503" s="661"/>
      <c r="M503" s="661"/>
      <c r="N503" s="661"/>
      <c r="O503" s="668"/>
      <c r="P503" s="675" t="s">
        <v>72</v>
      </c>
      <c r="Q503" s="676"/>
      <c r="R503" s="676"/>
      <c r="S503" s="676"/>
      <c r="T503" s="676"/>
      <c r="U503" s="676"/>
      <c r="V503" s="677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x14ac:dyDescent="0.2">
      <c r="A504" s="661"/>
      <c r="B504" s="661"/>
      <c r="C504" s="661"/>
      <c r="D504" s="661"/>
      <c r="E504" s="661"/>
      <c r="F504" s="661"/>
      <c r="G504" s="661"/>
      <c r="H504" s="661"/>
      <c r="I504" s="661"/>
      <c r="J504" s="661"/>
      <c r="K504" s="661"/>
      <c r="L504" s="661"/>
      <c r="M504" s="661"/>
      <c r="N504" s="661"/>
      <c r="O504" s="668"/>
      <c r="P504" s="675" t="s">
        <v>72</v>
      </c>
      <c r="Q504" s="676"/>
      <c r="R504" s="676"/>
      <c r="S504" s="676"/>
      <c r="T504" s="676"/>
      <c r="U504" s="676"/>
      <c r="V504" s="677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customHeight="1" x14ac:dyDescent="0.2">
      <c r="A505" s="711" t="s">
        <v>804</v>
      </c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2"/>
      <c r="P505" s="712"/>
      <c r="Q505" s="712"/>
      <c r="R505" s="712"/>
      <c r="S505" s="712"/>
      <c r="T505" s="712"/>
      <c r="U505" s="712"/>
      <c r="V505" s="712"/>
      <c r="W505" s="712"/>
      <c r="X505" s="712"/>
      <c r="Y505" s="712"/>
      <c r="Z505" s="712"/>
      <c r="AA505" s="48"/>
      <c r="AB505" s="48"/>
      <c r="AC505" s="48"/>
    </row>
    <row r="506" spans="1:68" ht="16.5" customHeight="1" x14ac:dyDescent="0.25">
      <c r="A506" s="660" t="s">
        <v>804</v>
      </c>
      <c r="B506" s="661"/>
      <c r="C506" s="661"/>
      <c r="D506" s="661"/>
      <c r="E506" s="661"/>
      <c r="F506" s="661"/>
      <c r="G506" s="661"/>
      <c r="H506" s="661"/>
      <c r="I506" s="661"/>
      <c r="J506" s="661"/>
      <c r="K506" s="661"/>
      <c r="L506" s="661"/>
      <c r="M506" s="661"/>
      <c r="N506" s="661"/>
      <c r="O506" s="661"/>
      <c r="P506" s="661"/>
      <c r="Q506" s="661"/>
      <c r="R506" s="661"/>
      <c r="S506" s="661"/>
      <c r="T506" s="661"/>
      <c r="U506" s="661"/>
      <c r="V506" s="661"/>
      <c r="W506" s="661"/>
      <c r="X506" s="661"/>
      <c r="Y506" s="661"/>
      <c r="Z506" s="661"/>
      <c r="AA506" s="646"/>
      <c r="AB506" s="646"/>
      <c r="AC506" s="646"/>
    </row>
    <row r="507" spans="1:68" ht="14.25" customHeight="1" x14ac:dyDescent="0.25">
      <c r="A507" s="674" t="s">
        <v>111</v>
      </c>
      <c r="B507" s="661"/>
      <c r="C507" s="661"/>
      <c r="D507" s="661"/>
      <c r="E507" s="661"/>
      <c r="F507" s="661"/>
      <c r="G507" s="661"/>
      <c r="H507" s="661"/>
      <c r="I507" s="661"/>
      <c r="J507" s="661"/>
      <c r="K507" s="661"/>
      <c r="L507" s="661"/>
      <c r="M507" s="661"/>
      <c r="N507" s="661"/>
      <c r="O507" s="661"/>
      <c r="P507" s="661"/>
      <c r="Q507" s="661"/>
      <c r="R507" s="661"/>
      <c r="S507" s="661"/>
      <c r="T507" s="661"/>
      <c r="U507" s="661"/>
      <c r="V507" s="661"/>
      <c r="W507" s="661"/>
      <c r="X507" s="661"/>
      <c r="Y507" s="661"/>
      <c r="Z507" s="661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96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20</v>
      </c>
      <c r="Y508" s="652">
        <f t="shared" ref="Y508:Y516" si="75">IFERROR(IF(X508="",0,CEILING((X508/$H508),1)*$H508),"")</f>
        <v>21.12</v>
      </c>
      <c r="Z508" s="36">
        <f t="shared" ref="Z508:Z513" si="76">IFERROR(IF(Y508=0,"",ROUNDUP(Y508/H508,0)*0.01196),"")</f>
        <v>4.7840000000000001E-2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21.325757575757574</v>
      </c>
      <c r="BN508" s="64">
        <f t="shared" ref="BN508:BN516" si="78">IFERROR(Y508*I508/H508,"0")</f>
        <v>22.52</v>
      </c>
      <c r="BO508" s="64">
        <f t="shared" ref="BO508:BO516" si="79">IFERROR(1/J508*(X508/H508),"0")</f>
        <v>3.6421911421911424E-2</v>
      </c>
      <c r="BP508" s="64">
        <f t="shared" ref="BP508:BP516" si="80">IFERROR(1/J508*(Y508/H508),"0")</f>
        <v>3.8461538461538464E-2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73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6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46</v>
      </c>
      <c r="Y510" s="652">
        <f t="shared" si="75"/>
        <v>47.52</v>
      </c>
      <c r="Z510" s="36">
        <f t="shared" si="76"/>
        <v>0.10764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49.049242424242422</v>
      </c>
      <c r="BN510" s="64">
        <f t="shared" si="78"/>
        <v>50.669999999999995</v>
      </c>
      <c r="BO510" s="64">
        <f t="shared" si="79"/>
        <v>8.3770396270396258E-2</v>
      </c>
      <c r="BP510" s="64">
        <f t="shared" si="80"/>
        <v>8.6538461538461536E-2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105</v>
      </c>
      <c r="Y511" s="652">
        <f t="shared" si="75"/>
        <v>105.60000000000001</v>
      </c>
      <c r="Z511" s="36">
        <f t="shared" si="76"/>
        <v>0.2392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111.96022727272727</v>
      </c>
      <c r="BN511" s="64">
        <f t="shared" si="78"/>
        <v>112.6</v>
      </c>
      <c r="BO511" s="64">
        <f t="shared" si="79"/>
        <v>0.19121503496503497</v>
      </c>
      <c r="BP511" s="64">
        <f t="shared" si="80"/>
        <v>0.19230769230769232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600</v>
      </c>
      <c r="Y513" s="652">
        <f t="shared" si="75"/>
        <v>601.92000000000007</v>
      </c>
      <c r="Z513" s="36">
        <f t="shared" si="76"/>
        <v>1.36344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639.77272727272725</v>
      </c>
      <c r="BN513" s="64">
        <f t="shared" si="78"/>
        <v>641.82000000000005</v>
      </c>
      <c r="BO513" s="64">
        <f t="shared" si="79"/>
        <v>1.0926573426573427</v>
      </c>
      <c r="BP513" s="64">
        <f t="shared" si="80"/>
        <v>1.0961538461538463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7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67"/>
      <c r="B517" s="661"/>
      <c r="C517" s="661"/>
      <c r="D517" s="661"/>
      <c r="E517" s="661"/>
      <c r="F517" s="661"/>
      <c r="G517" s="661"/>
      <c r="H517" s="661"/>
      <c r="I517" s="661"/>
      <c r="J517" s="661"/>
      <c r="K517" s="661"/>
      <c r="L517" s="661"/>
      <c r="M517" s="661"/>
      <c r="N517" s="661"/>
      <c r="O517" s="668"/>
      <c r="P517" s="675" t="s">
        <v>72</v>
      </c>
      <c r="Q517" s="676"/>
      <c r="R517" s="676"/>
      <c r="S517" s="676"/>
      <c r="T517" s="676"/>
      <c r="U517" s="676"/>
      <c r="V517" s="677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146.02272727272725</v>
      </c>
      <c r="Y517" s="653">
        <f>IFERROR(Y508/H508,"0")+IFERROR(Y509/H509,"0")+IFERROR(Y510/H510,"0")+IFERROR(Y511/H511,"0")+IFERROR(Y512/H512,"0")+IFERROR(Y513/H513,"0")+IFERROR(Y514/H514,"0")+IFERROR(Y515/H515,"0")+IFERROR(Y516/H516,"0")</f>
        <v>147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1.7581199999999999</v>
      </c>
      <c r="AA517" s="654"/>
      <c r="AB517" s="654"/>
      <c r="AC517" s="654"/>
    </row>
    <row r="518" spans="1:68" x14ac:dyDescent="0.2">
      <c r="A518" s="661"/>
      <c r="B518" s="661"/>
      <c r="C518" s="661"/>
      <c r="D518" s="661"/>
      <c r="E518" s="661"/>
      <c r="F518" s="661"/>
      <c r="G518" s="661"/>
      <c r="H518" s="661"/>
      <c r="I518" s="661"/>
      <c r="J518" s="661"/>
      <c r="K518" s="661"/>
      <c r="L518" s="661"/>
      <c r="M518" s="661"/>
      <c r="N518" s="661"/>
      <c r="O518" s="668"/>
      <c r="P518" s="675" t="s">
        <v>72</v>
      </c>
      <c r="Q518" s="676"/>
      <c r="R518" s="676"/>
      <c r="S518" s="676"/>
      <c r="T518" s="676"/>
      <c r="U518" s="676"/>
      <c r="V518" s="677"/>
      <c r="W518" s="37" t="s">
        <v>67</v>
      </c>
      <c r="X518" s="653">
        <f>IFERROR(SUM(X508:X516),"0")</f>
        <v>771</v>
      </c>
      <c r="Y518" s="653">
        <f>IFERROR(SUM(Y508:Y516),"0")</f>
        <v>776.16000000000008</v>
      </c>
      <c r="Z518" s="37"/>
      <c r="AA518" s="654"/>
      <c r="AB518" s="654"/>
      <c r="AC518" s="654"/>
    </row>
    <row r="519" spans="1:68" ht="14.25" customHeight="1" x14ac:dyDescent="0.25">
      <c r="A519" s="674" t="s">
        <v>144</v>
      </c>
      <c r="B519" s="661"/>
      <c r="C519" s="661"/>
      <c r="D519" s="661"/>
      <c r="E519" s="661"/>
      <c r="F519" s="661"/>
      <c r="G519" s="661"/>
      <c r="H519" s="661"/>
      <c r="I519" s="661"/>
      <c r="J519" s="661"/>
      <c r="K519" s="661"/>
      <c r="L519" s="661"/>
      <c r="M519" s="661"/>
      <c r="N519" s="661"/>
      <c r="O519" s="661"/>
      <c r="P519" s="661"/>
      <c r="Q519" s="661"/>
      <c r="R519" s="661"/>
      <c r="S519" s="661"/>
      <c r="T519" s="661"/>
      <c r="U519" s="661"/>
      <c r="V519" s="661"/>
      <c r="W519" s="661"/>
      <c r="X519" s="661"/>
      <c r="Y519" s="661"/>
      <c r="Z519" s="661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10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580</v>
      </c>
      <c r="Y520" s="652">
        <f>IFERROR(IF(X520="",0,CEILING((X520/$H520),1)*$H520),"")</f>
        <v>580.80000000000007</v>
      </c>
      <c r="Z520" s="36">
        <f>IFERROR(IF(Y520=0,"",ROUNDUP(Y520/H520,0)*0.01196),"")</f>
        <v>1.3156000000000001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618.44696969696963</v>
      </c>
      <c r="BN520" s="64">
        <f>IFERROR(Y520*I520/H520,"0")</f>
        <v>619.30000000000007</v>
      </c>
      <c r="BO520" s="64">
        <f>IFERROR(1/J520*(X520/H520),"0")</f>
        <v>1.0562354312354312</v>
      </c>
      <c r="BP520" s="64">
        <f>IFERROR(1/J520*(Y520/H520),"0")</f>
        <v>1.0576923076923079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67"/>
      <c r="B523" s="661"/>
      <c r="C523" s="661"/>
      <c r="D523" s="661"/>
      <c r="E523" s="661"/>
      <c r="F523" s="661"/>
      <c r="G523" s="661"/>
      <c r="H523" s="661"/>
      <c r="I523" s="661"/>
      <c r="J523" s="661"/>
      <c r="K523" s="661"/>
      <c r="L523" s="661"/>
      <c r="M523" s="661"/>
      <c r="N523" s="661"/>
      <c r="O523" s="668"/>
      <c r="P523" s="675" t="s">
        <v>72</v>
      </c>
      <c r="Q523" s="676"/>
      <c r="R523" s="676"/>
      <c r="S523" s="676"/>
      <c r="T523" s="676"/>
      <c r="U523" s="676"/>
      <c r="V523" s="677"/>
      <c r="W523" s="37" t="s">
        <v>73</v>
      </c>
      <c r="X523" s="653">
        <f>IFERROR(X520/H520,"0")+IFERROR(X521/H521,"0")+IFERROR(X522/H522,"0")</f>
        <v>109.84848484848484</v>
      </c>
      <c r="Y523" s="653">
        <f>IFERROR(Y520/H520,"0")+IFERROR(Y521/H521,"0")+IFERROR(Y522/H522,"0")</f>
        <v>110.00000000000001</v>
      </c>
      <c r="Z523" s="653">
        <f>IFERROR(IF(Z520="",0,Z520),"0")+IFERROR(IF(Z521="",0,Z521),"0")+IFERROR(IF(Z522="",0,Z522),"0")</f>
        <v>1.3156000000000001</v>
      </c>
      <c r="AA523" s="654"/>
      <c r="AB523" s="654"/>
      <c r="AC523" s="654"/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8"/>
      <c r="P524" s="675" t="s">
        <v>72</v>
      </c>
      <c r="Q524" s="676"/>
      <c r="R524" s="676"/>
      <c r="S524" s="676"/>
      <c r="T524" s="676"/>
      <c r="U524" s="676"/>
      <c r="V524" s="677"/>
      <c r="W524" s="37" t="s">
        <v>67</v>
      </c>
      <c r="X524" s="653">
        <f>IFERROR(SUM(X520:X522),"0")</f>
        <v>580</v>
      </c>
      <c r="Y524" s="653">
        <f>IFERROR(SUM(Y520:Y522),"0")</f>
        <v>580.80000000000007</v>
      </c>
      <c r="Z524" s="37"/>
      <c r="AA524" s="654"/>
      <c r="AB524" s="654"/>
      <c r="AC524" s="654"/>
    </row>
    <row r="525" spans="1:68" ht="14.25" customHeight="1" x14ac:dyDescent="0.25">
      <c r="A525" s="674" t="s">
        <v>62</v>
      </c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1"/>
      <c r="P525" s="661"/>
      <c r="Q525" s="661"/>
      <c r="R525" s="661"/>
      <c r="S525" s="661"/>
      <c r="T525" s="661"/>
      <c r="U525" s="661"/>
      <c r="V525" s="661"/>
      <c r="W525" s="661"/>
      <c r="X525" s="661"/>
      <c r="Y525" s="661"/>
      <c r="Z525" s="661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7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0</v>
      </c>
      <c r="Y526" s="652">
        <f t="shared" ref="Y526:Y532" si="81"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0</v>
      </c>
      <c r="BN526" s="64">
        <f t="shared" ref="BN526:BN532" si="83">IFERROR(Y526*I526/H526,"0")</f>
        <v>0</v>
      </c>
      <c r="BO526" s="64">
        <f t="shared" ref="BO526:BO532" si="84">IFERROR(1/J526*(X526/H526),"0")</f>
        <v>0</v>
      </c>
      <c r="BP526" s="64">
        <f t="shared" ref="BP526:BP532" si="85">IFERROR(1/J526*(Y526/H526),"0")</f>
        <v>0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99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0</v>
      </c>
      <c r="Y527" s="652">
        <f t="shared" si="81"/>
        <v>0</v>
      </c>
      <c r="Z527" s="36" t="str">
        <f>IFERROR(IF(Y527=0,"",ROUNDUP(Y527/H527,0)*0.01196),"")</f>
        <v/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0</v>
      </c>
      <c r="BN527" s="64">
        <f t="shared" si="83"/>
        <v>0</v>
      </c>
      <c r="BO527" s="64">
        <f t="shared" si="84"/>
        <v>0</v>
      </c>
      <c r="BP527" s="64">
        <f t="shared" si="85"/>
        <v>0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6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50</v>
      </c>
      <c r="Y528" s="652">
        <f t="shared" si="81"/>
        <v>52.800000000000004</v>
      </c>
      <c r="Z528" s="36">
        <f>IFERROR(IF(Y528=0,"",ROUNDUP(Y528/H528,0)*0.01196),"")</f>
        <v>0.1196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53.314393939393938</v>
      </c>
      <c r="BN528" s="64">
        <f t="shared" si="83"/>
        <v>56.3</v>
      </c>
      <c r="BO528" s="64">
        <f t="shared" si="84"/>
        <v>9.1054778554778545E-2</v>
      </c>
      <c r="BP528" s="64">
        <f t="shared" si="85"/>
        <v>9.6153846153846159E-2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9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3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12</v>
      </c>
      <c r="Y532" s="652">
        <f t="shared" si="81"/>
        <v>14.399999999999999</v>
      </c>
      <c r="Z532" s="36">
        <f>IFERROR(IF(Y532=0,"",ROUNDUP(Y532/H532,0)*0.00902),"")</f>
        <v>2.7060000000000001E-2</v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16.675000000000001</v>
      </c>
      <c r="BN532" s="64">
        <f t="shared" si="83"/>
        <v>20.009999999999998</v>
      </c>
      <c r="BO532" s="64">
        <f t="shared" si="84"/>
        <v>1.893939393939394E-2</v>
      </c>
      <c r="BP532" s="64">
        <f t="shared" si="85"/>
        <v>2.2727272727272728E-2</v>
      </c>
    </row>
    <row r="533" spans="1:68" x14ac:dyDescent="0.2">
      <c r="A533" s="667"/>
      <c r="B533" s="661"/>
      <c r="C533" s="661"/>
      <c r="D533" s="661"/>
      <c r="E533" s="661"/>
      <c r="F533" s="661"/>
      <c r="G533" s="661"/>
      <c r="H533" s="661"/>
      <c r="I533" s="661"/>
      <c r="J533" s="661"/>
      <c r="K533" s="661"/>
      <c r="L533" s="661"/>
      <c r="M533" s="661"/>
      <c r="N533" s="661"/>
      <c r="O533" s="668"/>
      <c r="P533" s="675" t="s">
        <v>72</v>
      </c>
      <c r="Q533" s="676"/>
      <c r="R533" s="676"/>
      <c r="S533" s="676"/>
      <c r="T533" s="676"/>
      <c r="U533" s="676"/>
      <c r="V533" s="677"/>
      <c r="W533" s="37" t="s">
        <v>73</v>
      </c>
      <c r="X533" s="653">
        <f>IFERROR(X526/H526,"0")+IFERROR(X527/H527,"0")+IFERROR(X528/H528,"0")+IFERROR(X529/H529,"0")+IFERROR(X530/H530,"0")+IFERROR(X531/H531,"0")+IFERROR(X532/H532,"0")</f>
        <v>11.969696969696969</v>
      </c>
      <c r="Y533" s="653">
        <f>IFERROR(Y526/H526,"0")+IFERROR(Y527/H527,"0")+IFERROR(Y528/H528,"0")+IFERROR(Y529/H529,"0")+IFERROR(Y530/H530,"0")+IFERROR(Y531/H531,"0")+IFERROR(Y532/H532,"0")</f>
        <v>13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0.14666000000000001</v>
      </c>
      <c r="AA533" s="654"/>
      <c r="AB533" s="654"/>
      <c r="AC533" s="654"/>
    </row>
    <row r="534" spans="1:68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8"/>
      <c r="P534" s="675" t="s">
        <v>72</v>
      </c>
      <c r="Q534" s="676"/>
      <c r="R534" s="676"/>
      <c r="S534" s="676"/>
      <c r="T534" s="676"/>
      <c r="U534" s="676"/>
      <c r="V534" s="677"/>
      <c r="W534" s="37" t="s">
        <v>67</v>
      </c>
      <c r="X534" s="653">
        <f>IFERROR(SUM(X526:X532),"0")</f>
        <v>62</v>
      </c>
      <c r="Y534" s="653">
        <f>IFERROR(SUM(Y526:Y532),"0")</f>
        <v>67.2</v>
      </c>
      <c r="Z534" s="37"/>
      <c r="AA534" s="654"/>
      <c r="AB534" s="654"/>
      <c r="AC534" s="654"/>
    </row>
    <row r="535" spans="1:68" ht="27.75" customHeight="1" x14ac:dyDescent="0.2">
      <c r="A535" s="711" t="s">
        <v>851</v>
      </c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2"/>
      <c r="P535" s="712"/>
      <c r="Q535" s="712"/>
      <c r="R535" s="712"/>
      <c r="S535" s="712"/>
      <c r="T535" s="712"/>
      <c r="U535" s="712"/>
      <c r="V535" s="712"/>
      <c r="W535" s="712"/>
      <c r="X535" s="712"/>
      <c r="Y535" s="712"/>
      <c r="Z535" s="712"/>
      <c r="AA535" s="48"/>
      <c r="AB535" s="48"/>
      <c r="AC535" s="48"/>
    </row>
    <row r="536" spans="1:68" ht="16.5" customHeight="1" x14ac:dyDescent="0.25">
      <c r="A536" s="660" t="s">
        <v>851</v>
      </c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1"/>
      <c r="P536" s="661"/>
      <c r="Q536" s="661"/>
      <c r="R536" s="661"/>
      <c r="S536" s="661"/>
      <c r="T536" s="661"/>
      <c r="U536" s="661"/>
      <c r="V536" s="661"/>
      <c r="W536" s="661"/>
      <c r="X536" s="661"/>
      <c r="Y536" s="661"/>
      <c r="Z536" s="661"/>
      <c r="AA536" s="646"/>
      <c r="AB536" s="646"/>
      <c r="AC536" s="646"/>
    </row>
    <row r="537" spans="1:68" ht="14.25" customHeight="1" x14ac:dyDescent="0.25">
      <c r="A537" s="674" t="s">
        <v>111</v>
      </c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1"/>
      <c r="P537" s="661"/>
      <c r="Q537" s="661"/>
      <c r="R537" s="661"/>
      <c r="S537" s="661"/>
      <c r="T537" s="661"/>
      <c r="U537" s="661"/>
      <c r="V537" s="661"/>
      <c r="W537" s="661"/>
      <c r="X537" s="661"/>
      <c r="Y537" s="661"/>
      <c r="Z537" s="661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67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8"/>
      <c r="P539" s="675" t="s">
        <v>72</v>
      </c>
      <c r="Q539" s="676"/>
      <c r="R539" s="676"/>
      <c r="S539" s="676"/>
      <c r="T539" s="676"/>
      <c r="U539" s="676"/>
      <c r="V539" s="677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8"/>
      <c r="P540" s="675" t="s">
        <v>72</v>
      </c>
      <c r="Q540" s="676"/>
      <c r="R540" s="676"/>
      <c r="S540" s="676"/>
      <c r="T540" s="676"/>
      <c r="U540" s="676"/>
      <c r="V540" s="677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74" t="s">
        <v>144</v>
      </c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1"/>
      <c r="P541" s="661"/>
      <c r="Q541" s="661"/>
      <c r="R541" s="661"/>
      <c r="S541" s="661"/>
      <c r="T541" s="661"/>
      <c r="U541" s="661"/>
      <c r="V541" s="661"/>
      <c r="W541" s="661"/>
      <c r="X541" s="661"/>
      <c r="Y541" s="661"/>
      <c r="Z541" s="661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95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67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8"/>
      <c r="P543" s="675" t="s">
        <v>72</v>
      </c>
      <c r="Q543" s="676"/>
      <c r="R543" s="676"/>
      <c r="S543" s="676"/>
      <c r="T543" s="676"/>
      <c r="U543" s="676"/>
      <c r="V543" s="677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8"/>
      <c r="P544" s="675" t="s">
        <v>72</v>
      </c>
      <c r="Q544" s="676"/>
      <c r="R544" s="676"/>
      <c r="S544" s="676"/>
      <c r="T544" s="676"/>
      <c r="U544" s="676"/>
      <c r="V544" s="677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74" t="s">
        <v>62</v>
      </c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1"/>
      <c r="P545" s="661"/>
      <c r="Q545" s="661"/>
      <c r="R545" s="661"/>
      <c r="S545" s="661"/>
      <c r="T545" s="661"/>
      <c r="U545" s="661"/>
      <c r="V545" s="661"/>
      <c r="W545" s="661"/>
      <c r="X545" s="661"/>
      <c r="Y545" s="661"/>
      <c r="Z545" s="661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7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8"/>
      <c r="P547" s="675" t="s">
        <v>72</v>
      </c>
      <c r="Q547" s="676"/>
      <c r="R547" s="676"/>
      <c r="S547" s="676"/>
      <c r="T547" s="676"/>
      <c r="U547" s="676"/>
      <c r="V547" s="677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8"/>
      <c r="P548" s="675" t="s">
        <v>72</v>
      </c>
      <c r="Q548" s="676"/>
      <c r="R548" s="676"/>
      <c r="S548" s="676"/>
      <c r="T548" s="676"/>
      <c r="U548" s="676"/>
      <c r="V548" s="677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74" t="s">
        <v>74</v>
      </c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1"/>
      <c r="P549" s="661"/>
      <c r="Q549" s="661"/>
      <c r="R549" s="661"/>
      <c r="S549" s="661"/>
      <c r="T549" s="661"/>
      <c r="U549" s="661"/>
      <c r="V549" s="661"/>
      <c r="W549" s="661"/>
      <c r="X549" s="661"/>
      <c r="Y549" s="661"/>
      <c r="Z549" s="661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98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30</v>
      </c>
      <c r="Y550" s="652">
        <f>IFERROR(IF(X550="",0,CEILING((X550/$H550),1)*$H550),"")</f>
        <v>36</v>
      </c>
      <c r="Z550" s="36">
        <f>IFERROR(IF(Y550=0,"",ROUNDUP(Y550/H550,0)*0.01898),"")</f>
        <v>7.5920000000000001E-2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31.646666666666665</v>
      </c>
      <c r="BN550" s="64">
        <f>IFERROR(Y550*I550/H550,"0")</f>
        <v>37.975999999999999</v>
      </c>
      <c r="BO550" s="64">
        <f>IFERROR(1/J550*(X550/H550),"0")</f>
        <v>5.2083333333333336E-2</v>
      </c>
      <c r="BP550" s="64">
        <f>IFERROR(1/J550*(Y550/H550),"0")</f>
        <v>6.25E-2</v>
      </c>
    </row>
    <row r="551" spans="1:68" x14ac:dyDescent="0.2">
      <c r="A551" s="667"/>
      <c r="B551" s="661"/>
      <c r="C551" s="661"/>
      <c r="D551" s="661"/>
      <c r="E551" s="661"/>
      <c r="F551" s="661"/>
      <c r="G551" s="661"/>
      <c r="H551" s="661"/>
      <c r="I551" s="661"/>
      <c r="J551" s="661"/>
      <c r="K551" s="661"/>
      <c r="L551" s="661"/>
      <c r="M551" s="661"/>
      <c r="N551" s="661"/>
      <c r="O551" s="668"/>
      <c r="P551" s="675" t="s">
        <v>72</v>
      </c>
      <c r="Q551" s="676"/>
      <c r="R551" s="676"/>
      <c r="S551" s="676"/>
      <c r="T551" s="676"/>
      <c r="U551" s="676"/>
      <c r="V551" s="677"/>
      <c r="W551" s="37" t="s">
        <v>73</v>
      </c>
      <c r="X551" s="653">
        <f>IFERROR(X550/H550,"0")</f>
        <v>3.3333333333333335</v>
      </c>
      <c r="Y551" s="653">
        <f>IFERROR(Y550/H550,"0")</f>
        <v>4</v>
      </c>
      <c r="Z551" s="653">
        <f>IFERROR(IF(Z550="",0,Z550),"0")</f>
        <v>7.5920000000000001E-2</v>
      </c>
      <c r="AA551" s="654"/>
      <c r="AB551" s="654"/>
      <c r="AC551" s="654"/>
    </row>
    <row r="552" spans="1:68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8"/>
      <c r="P552" s="675" t="s">
        <v>72</v>
      </c>
      <c r="Q552" s="676"/>
      <c r="R552" s="676"/>
      <c r="S552" s="676"/>
      <c r="T552" s="676"/>
      <c r="U552" s="676"/>
      <c r="V552" s="677"/>
      <c r="W552" s="37" t="s">
        <v>67</v>
      </c>
      <c r="X552" s="653">
        <f>IFERROR(SUM(X550:X550),"0")</f>
        <v>30</v>
      </c>
      <c r="Y552" s="653">
        <f>IFERROR(SUM(Y550:Y550),"0")</f>
        <v>36</v>
      </c>
      <c r="Z552" s="37"/>
      <c r="AA552" s="654"/>
      <c r="AB552" s="654"/>
      <c r="AC552" s="654"/>
    </row>
    <row r="553" spans="1:68" ht="14.25" customHeight="1" x14ac:dyDescent="0.25">
      <c r="A553" s="674" t="s">
        <v>162</v>
      </c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1"/>
      <c r="P553" s="661"/>
      <c r="Q553" s="661"/>
      <c r="R553" s="661"/>
      <c r="S553" s="661"/>
      <c r="T553" s="661"/>
      <c r="U553" s="661"/>
      <c r="V553" s="661"/>
      <c r="W553" s="661"/>
      <c r="X553" s="661"/>
      <c r="Y553" s="661"/>
      <c r="Z553" s="661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80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77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67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8"/>
      <c r="P556" s="675" t="s">
        <v>72</v>
      </c>
      <c r="Q556" s="676"/>
      <c r="R556" s="676"/>
      <c r="S556" s="676"/>
      <c r="T556" s="676"/>
      <c r="U556" s="676"/>
      <c r="V556" s="677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8"/>
      <c r="P557" s="675" t="s">
        <v>72</v>
      </c>
      <c r="Q557" s="676"/>
      <c r="R557" s="676"/>
      <c r="S557" s="676"/>
      <c r="T557" s="676"/>
      <c r="U557" s="676"/>
      <c r="V557" s="677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0" t="s">
        <v>870</v>
      </c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1"/>
      <c r="P558" s="661"/>
      <c r="Q558" s="661"/>
      <c r="R558" s="661"/>
      <c r="S558" s="661"/>
      <c r="T558" s="661"/>
      <c r="U558" s="661"/>
      <c r="V558" s="661"/>
      <c r="W558" s="661"/>
      <c r="X558" s="661"/>
      <c r="Y558" s="661"/>
      <c r="Z558" s="661"/>
      <c r="AA558" s="646"/>
      <c r="AB558" s="646"/>
      <c r="AC558" s="646"/>
    </row>
    <row r="559" spans="1:68" ht="14.25" customHeight="1" x14ac:dyDescent="0.25">
      <c r="A559" s="674" t="s">
        <v>144</v>
      </c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1"/>
      <c r="P559" s="661"/>
      <c r="Q559" s="661"/>
      <c r="R559" s="661"/>
      <c r="S559" s="661"/>
      <c r="T559" s="661"/>
      <c r="U559" s="661"/>
      <c r="V559" s="661"/>
      <c r="W559" s="661"/>
      <c r="X559" s="661"/>
      <c r="Y559" s="661"/>
      <c r="Z559" s="661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7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67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68"/>
      <c r="P561" s="675" t="s">
        <v>72</v>
      </c>
      <c r="Q561" s="676"/>
      <c r="R561" s="676"/>
      <c r="S561" s="676"/>
      <c r="T561" s="676"/>
      <c r="U561" s="676"/>
      <c r="V561" s="677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68"/>
      <c r="P562" s="675" t="s">
        <v>72</v>
      </c>
      <c r="Q562" s="676"/>
      <c r="R562" s="676"/>
      <c r="S562" s="676"/>
      <c r="T562" s="676"/>
      <c r="U562" s="676"/>
      <c r="V562" s="677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94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873"/>
      <c r="P563" s="778" t="s">
        <v>874</v>
      </c>
      <c r="Q563" s="779"/>
      <c r="R563" s="779"/>
      <c r="S563" s="779"/>
      <c r="T563" s="779"/>
      <c r="U563" s="779"/>
      <c r="V563" s="686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17607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17783.120000000003</v>
      </c>
      <c r="Z563" s="37"/>
      <c r="AA563" s="654"/>
      <c r="AB563" s="654"/>
      <c r="AC563" s="654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873"/>
      <c r="P564" s="778" t="s">
        <v>875</v>
      </c>
      <c r="Q564" s="779"/>
      <c r="R564" s="779"/>
      <c r="S564" s="779"/>
      <c r="T564" s="779"/>
      <c r="U564" s="779"/>
      <c r="V564" s="686"/>
      <c r="W564" s="37" t="s">
        <v>67</v>
      </c>
      <c r="X564" s="653">
        <f>IFERROR(SUM(BM22:BM560),"0")</f>
        <v>18429.812072535595</v>
      </c>
      <c r="Y564" s="653">
        <f>IFERROR(SUM(BN22:BN560),"0")</f>
        <v>18616.544999999995</v>
      </c>
      <c r="Z564" s="37"/>
      <c r="AA564" s="654"/>
      <c r="AB564" s="654"/>
      <c r="AC564" s="654"/>
    </row>
    <row r="565" spans="1:32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873"/>
      <c r="P565" s="778" t="s">
        <v>876</v>
      </c>
      <c r="Q565" s="779"/>
      <c r="R565" s="779"/>
      <c r="S565" s="779"/>
      <c r="T565" s="779"/>
      <c r="U565" s="779"/>
      <c r="V565" s="686"/>
      <c r="W565" s="37" t="s">
        <v>877</v>
      </c>
      <c r="X565" s="38">
        <f>ROUNDUP(SUM(BO22:BO560),0)</f>
        <v>29</v>
      </c>
      <c r="Y565" s="38">
        <f>ROUNDUP(SUM(BP22:BP560),0)</f>
        <v>30</v>
      </c>
      <c r="Z565" s="37"/>
      <c r="AA565" s="654"/>
      <c r="AB565" s="654"/>
      <c r="AC565" s="654"/>
    </row>
    <row r="566" spans="1:32" x14ac:dyDescent="0.2">
      <c r="A566" s="661"/>
      <c r="B566" s="661"/>
      <c r="C566" s="661"/>
      <c r="D566" s="661"/>
      <c r="E566" s="661"/>
      <c r="F566" s="661"/>
      <c r="G566" s="661"/>
      <c r="H566" s="661"/>
      <c r="I566" s="661"/>
      <c r="J566" s="661"/>
      <c r="K566" s="661"/>
      <c r="L566" s="661"/>
      <c r="M566" s="661"/>
      <c r="N566" s="661"/>
      <c r="O566" s="873"/>
      <c r="P566" s="778" t="s">
        <v>878</v>
      </c>
      <c r="Q566" s="779"/>
      <c r="R566" s="779"/>
      <c r="S566" s="779"/>
      <c r="T566" s="779"/>
      <c r="U566" s="779"/>
      <c r="V566" s="686"/>
      <c r="W566" s="37" t="s">
        <v>67</v>
      </c>
      <c r="X566" s="653">
        <f>GrossWeightTotal+PalletQtyTotal*25</f>
        <v>19154.812072535595</v>
      </c>
      <c r="Y566" s="653">
        <f>GrossWeightTotalR+PalletQtyTotalR*25</f>
        <v>19366.544999999995</v>
      </c>
      <c r="Z566" s="37"/>
      <c r="AA566" s="654"/>
      <c r="AB566" s="654"/>
      <c r="AC566" s="654"/>
    </row>
    <row r="567" spans="1:32" x14ac:dyDescent="0.2">
      <c r="A567" s="661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61"/>
      <c r="O567" s="873"/>
      <c r="P567" s="778" t="s">
        <v>879</v>
      </c>
      <c r="Q567" s="779"/>
      <c r="R567" s="779"/>
      <c r="S567" s="779"/>
      <c r="T567" s="779"/>
      <c r="U567" s="779"/>
      <c r="V567" s="686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2250.2751026538385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2282</v>
      </c>
      <c r="Z567" s="37"/>
      <c r="AA567" s="654"/>
      <c r="AB567" s="654"/>
      <c r="AC567" s="654"/>
    </row>
    <row r="568" spans="1:32" ht="14.25" customHeight="1" x14ac:dyDescent="0.2">
      <c r="A568" s="661"/>
      <c r="B568" s="661"/>
      <c r="C568" s="661"/>
      <c r="D568" s="661"/>
      <c r="E568" s="661"/>
      <c r="F568" s="661"/>
      <c r="G568" s="661"/>
      <c r="H568" s="661"/>
      <c r="I568" s="661"/>
      <c r="J568" s="661"/>
      <c r="K568" s="661"/>
      <c r="L568" s="661"/>
      <c r="M568" s="661"/>
      <c r="N568" s="661"/>
      <c r="O568" s="873"/>
      <c r="P568" s="778" t="s">
        <v>880</v>
      </c>
      <c r="Q568" s="779"/>
      <c r="R568" s="779"/>
      <c r="S568" s="779"/>
      <c r="T568" s="779"/>
      <c r="U568" s="779"/>
      <c r="V568" s="686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32.959490000000002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862"/>
      <c r="F570" s="862"/>
      <c r="G570" s="862"/>
      <c r="H570" s="862"/>
      <c r="I570" s="862"/>
      <c r="J570" s="700"/>
      <c r="K570" s="682" t="s">
        <v>359</v>
      </c>
      <c r="L570" s="862"/>
      <c r="M570" s="862"/>
      <c r="N570" s="862"/>
      <c r="O570" s="862"/>
      <c r="P570" s="862"/>
      <c r="Q570" s="862"/>
      <c r="R570" s="862"/>
      <c r="S570" s="862"/>
      <c r="T570" s="862"/>
      <c r="U570" s="862"/>
      <c r="V570" s="700"/>
      <c r="W570" s="682" t="s">
        <v>702</v>
      </c>
      <c r="X570" s="700"/>
      <c r="Y570" s="682" t="s">
        <v>768</v>
      </c>
      <c r="Z570" s="700"/>
      <c r="AA570" s="648" t="s">
        <v>804</v>
      </c>
      <c r="AB570" s="682" t="s">
        <v>851</v>
      </c>
      <c r="AC570" s="700"/>
      <c r="AF570" s="649"/>
    </row>
    <row r="571" spans="1:32" ht="14.25" customHeight="1" thickTop="1" x14ac:dyDescent="0.2">
      <c r="A571" s="813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814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275.20000000000005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511.2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1144.8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1292.22</v>
      </c>
      <c r="H573" s="46">
        <f>IFERROR(Y140*1,"0")+IFERROR(Y141*1,"0")+IFERROR(Y145*1,"0")+IFERROR(Y146*1,"0")+IFERROR(Y150*1,"0")+IFERROR(Y151*1,"0")</f>
        <v>81.919999999999987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397.32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207.20000000000005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1412.9999999999998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28.6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9.6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265.2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404</v>
      </c>
      <c r="U573" s="46">
        <f>IFERROR(Y421*1,"0")+IFERROR(Y422*1,"0")</f>
        <v>0</v>
      </c>
      <c r="V573" s="46">
        <f>IFERROR(Y427*1,"0")+IFERROR(Y428*1,"0")+IFERROR(Y429*1,"0")</f>
        <v>18.900000000000002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9546</v>
      </c>
      <c r="X573" s="46">
        <f>IFERROR(Y464*1,"0")+IFERROR(Y465*1,"0")+IFERROR(Y469*1,"0")+IFERROR(Y473*1,"0")+IFERROR(Y474*1,"0")+IFERROR(Y475*1,"0")</f>
        <v>711.6</v>
      </c>
      <c r="Y573" s="46">
        <f>IFERROR(Y481*1,"0")+IFERROR(Y482*1,"0")+IFERROR(Y483*1,"0")+IFERROR(Y484*1,"0")+IFERROR(Y485*1,"0")+IFERROR(Y486*1,"0")+IFERROR(Y490*1,"0")+IFERROR(Y491*1,"0")</f>
        <v>16.200000000000003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1424.16</v>
      </c>
      <c r="AB573" s="46">
        <f>IFERROR(Y538*1,"0")+IFERROR(Y542*1,"0")+IFERROR(Y546*1,"0")+IFERROR(Y550*1,"0")+IFERROR(Y554*1,"0")+IFERROR(Y555*1,"0")</f>
        <v>36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