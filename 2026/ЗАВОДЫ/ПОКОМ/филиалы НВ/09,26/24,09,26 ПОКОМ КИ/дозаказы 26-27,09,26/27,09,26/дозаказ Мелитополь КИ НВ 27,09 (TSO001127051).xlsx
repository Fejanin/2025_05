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КИ\дозаказы 26-27,09,26\"/>
    </mc:Choice>
  </mc:AlternateContent>
  <xr:revisionPtr revIDLastSave="0" documentId="13_ncr:1_{3F9E929D-39CF-4C7E-8C5B-8773678E5D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Y538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P509" i="2"/>
  <c r="BO509" i="2"/>
  <c r="BM509" i="2"/>
  <c r="Y509" i="2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Y453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Z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Z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Z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P248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Z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Y203" i="2"/>
  <c r="X203" i="2"/>
  <c r="Y202" i="2"/>
  <c r="X202" i="2"/>
  <c r="BP201" i="2"/>
  <c r="BO201" i="2"/>
  <c r="BN201" i="2"/>
  <c r="BM201" i="2"/>
  <c r="Z201" i="2"/>
  <c r="Z202" i="2" s="1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P166" i="2"/>
  <c r="BO166" i="2"/>
  <c r="BM166" i="2"/>
  <c r="Y166" i="2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P140" i="2"/>
  <c r="BO140" i="2"/>
  <c r="BN140" i="2"/>
  <c r="BM140" i="2"/>
  <c r="Z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Y43" i="2" s="1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29" i="2" l="1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249" i="2" l="1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<sst xmlns="http://schemas.openxmlformats.org/spreadsheetml/2006/main" count="4359" uniqueCount="922">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</sst>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44" sqref="AA4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46298</v>
      </c>
      <c r="R5" s="1006"/>
      <c r="T5" s="1007" t="s">
        <v>3</v>
      </c>
      <c r="U5" s="1008"/>
      <c r="V5" s="1009" t="s">
        <v>879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/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Суббота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7" t="s">
        <v>75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54"/>
      <c r="AB19" s="54"/>
      <c r="AC19" s="54"/>
    </row>
    <row r="20" spans="1:68" ht="16.5" hidden="1" customHeight="1" x14ac:dyDescent="0.25">
      <c r="A20" s="676" t="s">
        <v>75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6"/>
      <c r="U20" s="676"/>
      <c r="V20" s="676"/>
      <c r="W20" s="676"/>
      <c r="X20" s="676"/>
      <c r="Y20" s="676"/>
      <c r="Z20" s="676"/>
      <c r="AA20" s="65"/>
      <c r="AB20" s="65"/>
      <c r="AC20" s="79"/>
    </row>
    <row r="21" spans="1:68" ht="14.25" hidden="1" customHeight="1" x14ac:dyDescent="0.25">
      <c r="A21" s="669" t="s">
        <v>76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0">
        <v>4680115886643</v>
      </c>
      <c r="E22" s="670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0">
        <v>4680115889071</v>
      </c>
      <c r="E23" s="670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9" t="s">
        <v>85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0">
        <v>4680115885912</v>
      </c>
      <c r="E27" s="67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0">
        <v>4607091388237</v>
      </c>
      <c r="E28" s="67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0">
        <v>4680115887350</v>
      </c>
      <c r="E29" s="67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0">
        <v>4680115885905</v>
      </c>
      <c r="E30" s="67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0">
        <v>4680115887619</v>
      </c>
      <c r="E31" s="67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7" t="s">
        <v>45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54"/>
      <c r="AB34" s="54"/>
      <c r="AC34" s="54"/>
    </row>
    <row r="35" spans="1:68" ht="16.5" hidden="1" customHeight="1" x14ac:dyDescent="0.25">
      <c r="A35" s="676" t="s">
        <v>103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5"/>
      <c r="AB35" s="65"/>
      <c r="AC35" s="79"/>
    </row>
    <row r="36" spans="1:68" ht="14.25" hidden="1" customHeight="1" x14ac:dyDescent="0.25">
      <c r="A36" s="669" t="s">
        <v>85</v>
      </c>
      <c r="B36" s="669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0">
        <v>4680115889354</v>
      </c>
      <c r="E37" s="670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2"/>
      <c r="R37" s="672"/>
      <c r="S37" s="672"/>
      <c r="T37" s="673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0">
        <v>4680115888463</v>
      </c>
      <c r="E38" s="670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2"/>
      <c r="R38" s="672"/>
      <c r="S38" s="672"/>
      <c r="T38" s="673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0">
        <v>4680115889590</v>
      </c>
      <c r="E39" s="670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2"/>
      <c r="R39" s="672"/>
      <c r="S39" s="672"/>
      <c r="T39" s="673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0">
        <v>4680115888272</v>
      </c>
      <c r="E40" s="670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2"/>
      <c r="R40" s="672"/>
      <c r="S40" s="672"/>
      <c r="T40" s="673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0">
        <v>4680115888364</v>
      </c>
      <c r="E41" s="670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2"/>
      <c r="R41" s="672"/>
      <c r="S41" s="672"/>
      <c r="T41" s="673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7" t="s">
        <v>119</v>
      </c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54"/>
      <c r="AB44" s="54"/>
      <c r="AC44" s="54"/>
    </row>
    <row r="45" spans="1:68" ht="16.5" hidden="1" customHeight="1" x14ac:dyDescent="0.25">
      <c r="A45" s="676" t="s">
        <v>120</v>
      </c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  <c r="Q45" s="676"/>
      <c r="R45" s="676"/>
      <c r="S45" s="676"/>
      <c r="T45" s="676"/>
      <c r="U45" s="676"/>
      <c r="V45" s="676"/>
      <c r="W45" s="676"/>
      <c r="X45" s="676"/>
      <c r="Y45" s="676"/>
      <c r="Z45" s="676"/>
      <c r="AA45" s="65"/>
      <c r="AB45" s="65"/>
      <c r="AC45" s="79"/>
    </row>
    <row r="46" spans="1:68" ht="14.25" hidden="1" customHeight="1" x14ac:dyDescent="0.25">
      <c r="A46" s="669" t="s">
        <v>121</v>
      </c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0">
        <v>4607091385670</v>
      </c>
      <c r="E47" s="670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2"/>
      <c r="R47" s="672"/>
      <c r="S47" s="672"/>
      <c r="T47" s="673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0">
        <v>4680115887725</v>
      </c>
      <c r="E48" s="670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2"/>
      <c r="R48" s="672"/>
      <c r="S48" s="672"/>
      <c r="T48" s="673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0">
        <v>4607091385687</v>
      </c>
      <c r="E49" s="670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2"/>
      <c r="R49" s="672"/>
      <c r="S49" s="672"/>
      <c r="T49" s="673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0">
        <v>4680115882539</v>
      </c>
      <c r="E50" s="670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2"/>
      <c r="R50" s="672"/>
      <c r="S50" s="672"/>
      <c r="T50" s="673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6" t="s">
        <v>136</v>
      </c>
      <c r="B53" s="676"/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5"/>
      <c r="AB53" s="65"/>
      <c r="AC53" s="79"/>
    </row>
    <row r="54" spans="1:68" ht="14.25" hidden="1" customHeight="1" x14ac:dyDescent="0.25">
      <c r="A54" s="669" t="s">
        <v>121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0">
        <v>4680115885882</v>
      </c>
      <c r="E55" s="670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2"/>
      <c r="R55" s="672"/>
      <c r="S55" s="672"/>
      <c r="T55" s="673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0">
        <v>4680115881426</v>
      </c>
      <c r="E56" s="670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2"/>
      <c r="R56" s="672"/>
      <c r="S56" s="672"/>
      <c r="T56" s="673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70">
        <v>4680115881426</v>
      </c>
      <c r="E57" s="670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72"/>
      <c r="R57" s="672"/>
      <c r="S57" s="672"/>
      <c r="T57" s="673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70">
        <v>4680115880283</v>
      </c>
      <c r="E58" s="670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72"/>
      <c r="R58" s="672"/>
      <c r="S58" s="672"/>
      <c r="T58" s="673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70">
        <v>4680115881525</v>
      </c>
      <c r="E59" s="670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72"/>
      <c r="R59" s="672"/>
      <c r="S59" s="672"/>
      <c r="T59" s="673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70">
        <v>4680115881525</v>
      </c>
      <c r="E60" s="670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72"/>
      <c r="R60" s="672"/>
      <c r="S60" s="672"/>
      <c r="T60" s="673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70">
        <v>4680115885899</v>
      </c>
      <c r="E61" s="670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72"/>
      <c r="R61" s="672"/>
      <c r="S61" s="672"/>
      <c r="T61" s="673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70">
        <v>4680115881419</v>
      </c>
      <c r="E62" s="670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72"/>
      <c r="R62" s="672"/>
      <c r="S62" s="672"/>
      <c r="T62" s="673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70">
        <v>4680115881419</v>
      </c>
      <c r="E63" s="670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72"/>
      <c r="R63" s="672"/>
      <c r="S63" s="672"/>
      <c r="T63" s="673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0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7" t="s">
        <v>40</v>
      </c>
      <c r="Q64" s="658"/>
      <c r="R64" s="658"/>
      <c r="S64" s="658"/>
      <c r="T64" s="658"/>
      <c r="U64" s="658"/>
      <c r="V64" s="659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7" t="s">
        <v>40</v>
      </c>
      <c r="Q65" s="658"/>
      <c r="R65" s="658"/>
      <c r="S65" s="658"/>
      <c r="T65" s="658"/>
      <c r="U65" s="658"/>
      <c r="V65" s="659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9" t="s">
        <v>158</v>
      </c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70">
        <v>4680115881440</v>
      </c>
      <c r="E67" s="670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72"/>
      <c r="R67" s="672"/>
      <c r="S67" s="672"/>
      <c r="T67" s="673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70">
        <v>4680115881440</v>
      </c>
      <c r="E68" s="670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72"/>
      <c r="R68" s="672"/>
      <c r="S68" s="672"/>
      <c r="T68" s="673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70">
        <v>4680115885950</v>
      </c>
      <c r="E69" s="670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72"/>
      <c r="R69" s="672"/>
      <c r="S69" s="672"/>
      <c r="T69" s="673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70">
        <v>4680115887688</v>
      </c>
      <c r="E70" s="670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72"/>
      <c r="R70" s="672"/>
      <c r="S70" s="672"/>
      <c r="T70" s="673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70">
        <v>4680115881433</v>
      </c>
      <c r="E71" s="670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72"/>
      <c r="R71" s="672"/>
      <c r="S71" s="672"/>
      <c r="T71" s="673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0"/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1"/>
      <c r="P72" s="657" t="s">
        <v>40</v>
      </c>
      <c r="Q72" s="658"/>
      <c r="R72" s="658"/>
      <c r="S72" s="658"/>
      <c r="T72" s="658"/>
      <c r="U72" s="658"/>
      <c r="V72" s="659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0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7" t="s">
        <v>40</v>
      </c>
      <c r="Q73" s="658"/>
      <c r="R73" s="658"/>
      <c r="S73" s="658"/>
      <c r="T73" s="658"/>
      <c r="U73" s="658"/>
      <c r="V73" s="659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9" t="s">
        <v>85</v>
      </c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70">
        <v>4680115884311</v>
      </c>
      <c r="E75" s="670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72"/>
      <c r="R75" s="672"/>
      <c r="S75" s="672"/>
      <c r="T75" s="673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70">
        <v>4680115884403</v>
      </c>
      <c r="E76" s="67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72"/>
      <c r="R76" s="672"/>
      <c r="S76" s="672"/>
      <c r="T76" s="673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0"/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1"/>
      <c r="P77" s="657" t="s">
        <v>40</v>
      </c>
      <c r="Q77" s="658"/>
      <c r="R77" s="658"/>
      <c r="S77" s="658"/>
      <c r="T77" s="658"/>
      <c r="U77" s="658"/>
      <c r="V77" s="659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0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7" t="s">
        <v>40</v>
      </c>
      <c r="Q78" s="658"/>
      <c r="R78" s="658"/>
      <c r="S78" s="658"/>
      <c r="T78" s="658"/>
      <c r="U78" s="658"/>
      <c r="V78" s="659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9" t="s">
        <v>177</v>
      </c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70">
        <v>4680115881532</v>
      </c>
      <c r="E80" s="67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70">
        <v>4680115881532</v>
      </c>
      <c r="E81" s="670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72"/>
      <c r="R81" s="672"/>
      <c r="S81" s="672"/>
      <c r="T81" s="673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70">
        <v>4680115881464</v>
      </c>
      <c r="E82" s="670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0"/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1"/>
      <c r="P83" s="657" t="s">
        <v>40</v>
      </c>
      <c r="Q83" s="658"/>
      <c r="R83" s="658"/>
      <c r="S83" s="658"/>
      <c r="T83" s="658"/>
      <c r="U83" s="658"/>
      <c r="V83" s="659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0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7" t="s">
        <v>40</v>
      </c>
      <c r="Q84" s="658"/>
      <c r="R84" s="658"/>
      <c r="S84" s="658"/>
      <c r="T84" s="658"/>
      <c r="U84" s="658"/>
      <c r="V84" s="659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6" t="s">
        <v>185</v>
      </c>
      <c r="B85" s="676"/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5"/>
      <c r="AB85" s="65"/>
      <c r="AC85" s="79"/>
    </row>
    <row r="86" spans="1:68" ht="14.25" hidden="1" customHeight="1" x14ac:dyDescent="0.25">
      <c r="A86" s="669" t="s">
        <v>121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70">
        <v>4680115881327</v>
      </c>
      <c r="E87" s="670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670">
        <v>4680115887732</v>
      </c>
      <c r="E88" s="670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92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2"/>
      <c r="R88" s="672"/>
      <c r="S88" s="672"/>
      <c r="T88" s="673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670">
        <v>4680115881518</v>
      </c>
      <c r="E89" s="670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9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2"/>
      <c r="R89" s="672"/>
      <c r="S89" s="672"/>
      <c r="T89" s="673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670">
        <v>4680115881518</v>
      </c>
      <c r="E90" s="670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72"/>
      <c r="R90" s="672"/>
      <c r="S90" s="672"/>
      <c r="T90" s="673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670">
        <v>4680115881303</v>
      </c>
      <c r="E91" s="670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72"/>
      <c r="R91" s="672"/>
      <c r="S91" s="672"/>
      <c r="T91" s="673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60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7" t="s">
        <v>40</v>
      </c>
      <c r="Q93" s="658"/>
      <c r="R93" s="658"/>
      <c r="S93" s="658"/>
      <c r="T93" s="658"/>
      <c r="U93" s="658"/>
      <c r="V93" s="659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9" t="s">
        <v>85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670">
        <v>4607091386967</v>
      </c>
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72"/>
      <c r="R95" s="672"/>
      <c r="S95" s="672"/>
      <c r="T95" s="673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670">
        <v>4680115884953</v>
      </c>
      <c r="E96" s="670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670">
        <v>4607091385731</v>
      </c>
      <c r="E97" s="670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72"/>
      <c r="R97" s="672"/>
      <c r="S97" s="672"/>
      <c r="T97" s="673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70">
        <v>4680115880894</v>
      </c>
      <c r="E98" s="670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0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7" t="s">
        <v>40</v>
      </c>
      <c r="Q100" s="658"/>
      <c r="R100" s="658"/>
      <c r="S100" s="658"/>
      <c r="T100" s="658"/>
      <c r="U100" s="658"/>
      <c r="V100" s="659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6" t="s">
        <v>208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5"/>
      <c r="AB101" s="65"/>
      <c r="AC101" s="79"/>
    </row>
    <row r="102" spans="1:68" ht="14.25" hidden="1" customHeight="1" x14ac:dyDescent="0.25">
      <c r="A102" s="669" t="s">
        <v>121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70">
        <v>4680115882133</v>
      </c>
      <c r="E103" s="670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670">
        <v>4680115882133</v>
      </c>
      <c r="E104" s="670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72"/>
      <c r="R104" s="672"/>
      <c r="S104" s="672"/>
      <c r="T104" s="673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670">
        <v>4680115887718</v>
      </c>
      <c r="E105" s="670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70">
        <v>4680115880269</v>
      </c>
      <c r="E106" s="670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670">
        <v>4680115880269</v>
      </c>
      <c r="E107" s="670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912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72"/>
      <c r="R107" s="672"/>
      <c r="S107" s="672"/>
      <c r="T107" s="673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670">
        <v>4680115880429</v>
      </c>
      <c r="E108" s="670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72"/>
      <c r="R108" s="672"/>
      <c r="S108" s="672"/>
      <c r="T108" s="673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670">
        <v>4680115881457</v>
      </c>
      <c r="E109" s="670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670">
        <v>4680115881457</v>
      </c>
      <c r="E110" s="670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72"/>
      <c r="R110" s="672"/>
      <c r="S110" s="672"/>
      <c r="T110" s="673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670">
        <v>4680115889477</v>
      </c>
      <c r="E111" s="670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90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72"/>
      <c r="R111" s="672"/>
      <c r="S111" s="672"/>
      <c r="T111" s="673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60"/>
      <c r="B112" s="660"/>
      <c r="C112" s="660"/>
      <c r="D112" s="660"/>
      <c r="E112" s="660"/>
      <c r="F112" s="660"/>
      <c r="G112" s="660"/>
      <c r="H112" s="660"/>
      <c r="I112" s="660"/>
      <c r="J112" s="660"/>
      <c r="K112" s="660"/>
      <c r="L112" s="660"/>
      <c r="M112" s="660"/>
      <c r="N112" s="660"/>
      <c r="O112" s="661"/>
      <c r="P112" s="657" t="s">
        <v>40</v>
      </c>
      <c r="Q112" s="658"/>
      <c r="R112" s="658"/>
      <c r="S112" s="658"/>
      <c r="T112" s="658"/>
      <c r="U112" s="658"/>
      <c r="V112" s="659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0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7" t="s">
        <v>40</v>
      </c>
      <c r="Q113" s="658"/>
      <c r="R113" s="658"/>
      <c r="S113" s="658"/>
      <c r="T113" s="658"/>
      <c r="U113" s="658"/>
      <c r="V113" s="659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9" t="s">
        <v>158</v>
      </c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670">
        <v>4680115881488</v>
      </c>
      <c r="E115" s="670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0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2"/>
      <c r="R115" s="672"/>
      <c r="S115" s="672"/>
      <c r="T115" s="673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0">
        <v>4680115887664</v>
      </c>
      <c r="E116" s="670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2"/>
      <c r="R116" s="672"/>
      <c r="S116" s="672"/>
      <c r="T116" s="673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0">
        <v>4680115887664</v>
      </c>
      <c r="E117" s="670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2"/>
      <c r="R117" s="672"/>
      <c r="S117" s="672"/>
      <c r="T117" s="673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0">
        <v>4680115882775</v>
      </c>
      <c r="E118" s="670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2"/>
      <c r="R118" s="672"/>
      <c r="S118" s="672"/>
      <c r="T118" s="673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0">
        <v>4680115880658</v>
      </c>
      <c r="E119" s="670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2"/>
      <c r="R119" s="672"/>
      <c r="S119" s="672"/>
      <c r="T119" s="673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7" t="s">
        <v>40</v>
      </c>
      <c r="Q120" s="658"/>
      <c r="R120" s="658"/>
      <c r="S120" s="658"/>
      <c r="T120" s="658"/>
      <c r="U120" s="658"/>
      <c r="V120" s="65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0"/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1"/>
      <c r="P121" s="657" t="s">
        <v>40</v>
      </c>
      <c r="Q121" s="658"/>
      <c r="R121" s="658"/>
      <c r="S121" s="658"/>
      <c r="T121" s="658"/>
      <c r="U121" s="658"/>
      <c r="V121" s="65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69" t="s">
        <v>85</v>
      </c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670">
        <v>4607091385168</v>
      </c>
      <c r="E123" s="670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72"/>
      <c r="R123" s="672"/>
      <c r="S123" s="672"/>
      <c r="T123" s="673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670">
        <v>4607091383256</v>
      </c>
      <c r="E124" s="670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72"/>
      <c r="R124" s="672"/>
      <c r="S124" s="672"/>
      <c r="T124" s="673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670">
        <v>4607091385748</v>
      </c>
      <c r="E125" s="670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72"/>
      <c r="R125" s="672"/>
      <c r="S125" s="672"/>
      <c r="T125" s="673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670">
        <v>4680115884533</v>
      </c>
      <c r="E126" s="670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72"/>
      <c r="R126" s="672"/>
      <c r="S126" s="672"/>
      <c r="T126" s="673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69" t="s">
        <v>177</v>
      </c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670">
        <v>4680115880238</v>
      </c>
      <c r="E130" s="670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90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72"/>
      <c r="R130" s="672"/>
      <c r="S130" s="672"/>
      <c r="T130" s="673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7" t="s">
        <v>40</v>
      </c>
      <c r="Q131" s="658"/>
      <c r="R131" s="658"/>
      <c r="S131" s="658"/>
      <c r="T131" s="658"/>
      <c r="U131" s="658"/>
      <c r="V131" s="659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60"/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1"/>
      <c r="P132" s="657" t="s">
        <v>40</v>
      </c>
      <c r="Q132" s="658"/>
      <c r="R132" s="658"/>
      <c r="S132" s="658"/>
      <c r="T132" s="658"/>
      <c r="U132" s="658"/>
      <c r="V132" s="659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76" t="s">
        <v>254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5"/>
      <c r="AB133" s="65"/>
      <c r="AC133" s="79"/>
    </row>
    <row r="134" spans="1:68" ht="14.25" hidden="1" customHeight="1" x14ac:dyDescent="0.25">
      <c r="A134" s="669" t="s">
        <v>121</v>
      </c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670">
        <v>4680115882577</v>
      </c>
      <c r="E135" s="670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72"/>
      <c r="R135" s="672"/>
      <c r="S135" s="672"/>
      <c r="T135" s="673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670">
        <v>4680115882577</v>
      </c>
      <c r="E136" s="670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7" t="s">
        <v>40</v>
      </c>
      <c r="Q137" s="658"/>
      <c r="R137" s="658"/>
      <c r="S137" s="658"/>
      <c r="T137" s="658"/>
      <c r="U137" s="658"/>
      <c r="V137" s="659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69" t="s">
        <v>76</v>
      </c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670">
        <v>4680115883444</v>
      </c>
      <c r="E140" s="670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2"/>
      <c r="R140" s="672"/>
      <c r="S140" s="672"/>
      <c r="T140" s="673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670">
        <v>4680115883444</v>
      </c>
      <c r="E141" s="670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7" t="s">
        <v>40</v>
      </c>
      <c r="Q142" s="658"/>
      <c r="R142" s="658"/>
      <c r="S142" s="658"/>
      <c r="T142" s="658"/>
      <c r="U142" s="658"/>
      <c r="V142" s="65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69" t="s">
        <v>85</v>
      </c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670">
        <v>4680115882584</v>
      </c>
      <c r="E145" s="670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72"/>
      <c r="R145" s="672"/>
      <c r="S145" s="672"/>
      <c r="T145" s="673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670">
        <v>4680115882584</v>
      </c>
      <c r="E146" s="670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7" t="s">
        <v>40</v>
      </c>
      <c r="Q147" s="658"/>
      <c r="R147" s="658"/>
      <c r="S147" s="658"/>
      <c r="T147" s="658"/>
      <c r="U147" s="658"/>
      <c r="V147" s="65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0"/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1"/>
      <c r="P148" s="657" t="s">
        <v>40</v>
      </c>
      <c r="Q148" s="658"/>
      <c r="R148" s="658"/>
      <c r="S148" s="658"/>
      <c r="T148" s="658"/>
      <c r="U148" s="658"/>
      <c r="V148" s="65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76" t="s">
        <v>267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5"/>
      <c r="AB149" s="65"/>
      <c r="AC149" s="79"/>
    </row>
    <row r="150" spans="1:68" ht="14.25" hidden="1" customHeight="1" x14ac:dyDescent="0.25">
      <c r="A150" s="669" t="s">
        <v>85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670">
        <v>4680115888203</v>
      </c>
      <c r="E151" s="670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72"/>
      <c r="R151" s="672"/>
      <c r="S151" s="672"/>
      <c r="T151" s="673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670">
        <v>4680115888180</v>
      </c>
      <c r="E152" s="670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72"/>
      <c r="R152" s="672"/>
      <c r="S152" s="672"/>
      <c r="T152" s="673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670">
        <v>4680115888180</v>
      </c>
      <c r="E153" s="670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72"/>
      <c r="R153" s="672"/>
      <c r="S153" s="672"/>
      <c r="T153" s="673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670">
        <v>4680115888197</v>
      </c>
      <c r="E154" s="670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72"/>
      <c r="R154" s="672"/>
      <c r="S154" s="672"/>
      <c r="T154" s="673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670">
        <v>4680115888210</v>
      </c>
      <c r="E155" s="670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72"/>
      <c r="R155" s="672"/>
      <c r="S155" s="672"/>
      <c r="T155" s="673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670">
        <v>4680115888210</v>
      </c>
      <c r="E156" s="670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72"/>
      <c r="R156" s="672"/>
      <c r="S156" s="672"/>
      <c r="T156" s="673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669" t="s">
        <v>282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670">
        <v>4680115889132</v>
      </c>
      <c r="E160" s="670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72"/>
      <c r="R160" s="672"/>
      <c r="S160" s="672"/>
      <c r="T160" s="673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7" t="s">
        <v>40</v>
      </c>
      <c r="Q161" s="658"/>
      <c r="R161" s="658"/>
      <c r="S161" s="658"/>
      <c r="T161" s="658"/>
      <c r="U161" s="658"/>
      <c r="V161" s="659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660"/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1"/>
      <c r="P162" s="657" t="s">
        <v>40</v>
      </c>
      <c r="Q162" s="658"/>
      <c r="R162" s="658"/>
      <c r="S162" s="658"/>
      <c r="T162" s="658"/>
      <c r="U162" s="658"/>
      <c r="V162" s="659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676" t="s">
        <v>119</v>
      </c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6"/>
      <c r="P163" s="676"/>
      <c r="Q163" s="676"/>
      <c r="R163" s="676"/>
      <c r="S163" s="676"/>
      <c r="T163" s="676"/>
      <c r="U163" s="676"/>
      <c r="V163" s="676"/>
      <c r="W163" s="676"/>
      <c r="X163" s="676"/>
      <c r="Y163" s="676"/>
      <c r="Z163" s="676"/>
      <c r="AA163" s="65"/>
      <c r="AB163" s="65"/>
      <c r="AC163" s="79"/>
    </row>
    <row r="164" spans="1:68" ht="14.25" hidden="1" customHeight="1" x14ac:dyDescent="0.25">
      <c r="A164" s="669" t="s">
        <v>121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670">
        <v>4680115887374</v>
      </c>
      <c r="E165" s="670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72"/>
      <c r="R165" s="672"/>
      <c r="S165" s="672"/>
      <c r="T165" s="673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670">
        <v>4607091384604</v>
      </c>
      <c r="E166" s="670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72"/>
      <c r="R166" s="672"/>
      <c r="S166" s="672"/>
      <c r="T166" s="673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670">
        <v>4607091384604</v>
      </c>
      <c r="E167" s="670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7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72"/>
      <c r="R167" s="672"/>
      <c r="S167" s="672"/>
      <c r="T167" s="673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670">
        <v>4680115888876</v>
      </c>
      <c r="E168" s="670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72"/>
      <c r="R168" s="672"/>
      <c r="S168" s="672"/>
      <c r="T168" s="673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9" t="s">
        <v>158</v>
      </c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670">
        <v>4680115887695</v>
      </c>
      <c r="E172" s="670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72"/>
      <c r="R172" s="672"/>
      <c r="S172" s="672"/>
      <c r="T172" s="673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670">
        <v>4680115889491</v>
      </c>
      <c r="E173" s="670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8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72"/>
      <c r="R173" s="672"/>
      <c r="S173" s="672"/>
      <c r="T173" s="673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7" t="s">
        <v>40</v>
      </c>
      <c r="Q174" s="658"/>
      <c r="R174" s="658"/>
      <c r="S174" s="658"/>
      <c r="T174" s="658"/>
      <c r="U174" s="658"/>
      <c r="V174" s="659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60"/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1"/>
      <c r="P175" s="657" t="s">
        <v>40</v>
      </c>
      <c r="Q175" s="658"/>
      <c r="R175" s="658"/>
      <c r="S175" s="658"/>
      <c r="T175" s="658"/>
      <c r="U175" s="658"/>
      <c r="V175" s="659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69" t="s">
        <v>76</v>
      </c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670">
        <v>4680115887428</v>
      </c>
      <c r="E177" s="670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72"/>
      <c r="R177" s="672"/>
      <c r="S177" s="672"/>
      <c r="T177" s="673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670">
        <v>4680115889170</v>
      </c>
      <c r="E178" s="670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72"/>
      <c r="R178" s="672"/>
      <c r="S178" s="672"/>
      <c r="T178" s="673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670">
        <v>4680115887398</v>
      </c>
      <c r="E179" s="670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72"/>
      <c r="R179" s="672"/>
      <c r="S179" s="672"/>
      <c r="T179" s="673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670">
        <v>4680115887336</v>
      </c>
      <c r="E180" s="670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7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72"/>
      <c r="R180" s="672"/>
      <c r="S180" s="672"/>
      <c r="T180" s="673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670">
        <v>4680115887787</v>
      </c>
      <c r="E181" s="670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72"/>
      <c r="R181" s="672"/>
      <c r="S181" s="672"/>
      <c r="T181" s="673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670">
        <v>4680115887787</v>
      </c>
      <c r="E182" s="670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72"/>
      <c r="R182" s="672"/>
      <c r="S182" s="672"/>
      <c r="T182" s="673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670">
        <v>4680115887503</v>
      </c>
      <c r="E183" s="670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72"/>
      <c r="R183" s="672"/>
      <c r="S183" s="672"/>
      <c r="T183" s="673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670">
        <v>4680115887763</v>
      </c>
      <c r="E184" s="670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72"/>
      <c r="R184" s="672"/>
      <c r="S184" s="672"/>
      <c r="T184" s="673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670">
        <v>4680115887480</v>
      </c>
      <c r="E185" s="670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72"/>
      <c r="R185" s="672"/>
      <c r="S185" s="672"/>
      <c r="T185" s="673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670">
        <v>4680115888067</v>
      </c>
      <c r="E186" s="670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72"/>
      <c r="R186" s="672"/>
      <c r="S186" s="672"/>
      <c r="T186" s="673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670">
        <v>4680115887435</v>
      </c>
      <c r="E187" s="670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6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72"/>
      <c r="R187" s="672"/>
      <c r="S187" s="672"/>
      <c r="T187" s="673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7" t="s">
        <v>40</v>
      </c>
      <c r="Q188" s="658"/>
      <c r="R188" s="658"/>
      <c r="S188" s="658"/>
      <c r="T188" s="658"/>
      <c r="U188" s="658"/>
      <c r="V188" s="659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60"/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1"/>
      <c r="P189" s="657" t="s">
        <v>40</v>
      </c>
      <c r="Q189" s="658"/>
      <c r="R189" s="658"/>
      <c r="S189" s="658"/>
      <c r="T189" s="658"/>
      <c r="U189" s="658"/>
      <c r="V189" s="659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69" t="s">
        <v>85</v>
      </c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670">
        <v>4680115888395</v>
      </c>
      <c r="E191" s="670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72"/>
      <c r="R191" s="672"/>
      <c r="S191" s="672"/>
      <c r="T191" s="673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670">
        <v>4680115888371</v>
      </c>
      <c r="E192" s="670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72"/>
      <c r="R192" s="672"/>
      <c r="S192" s="672"/>
      <c r="T192" s="673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670">
        <v>4680115887459</v>
      </c>
      <c r="E193" s="670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72"/>
      <c r="R193" s="672"/>
      <c r="S193" s="672"/>
      <c r="T193" s="673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9" t="s">
        <v>282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670">
        <v>4680115889026</v>
      </c>
      <c r="E197" s="670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6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72"/>
      <c r="R197" s="672"/>
      <c r="S197" s="672"/>
      <c r="T197" s="673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9" t="s">
        <v>347</v>
      </c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670">
        <v>4680115889033</v>
      </c>
      <c r="E201" s="670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72"/>
      <c r="R201" s="672"/>
      <c r="S201" s="672"/>
      <c r="T201" s="673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7" t="s">
        <v>40</v>
      </c>
      <c r="Q202" s="658"/>
      <c r="R202" s="658"/>
      <c r="S202" s="658"/>
      <c r="T202" s="658"/>
      <c r="U202" s="658"/>
      <c r="V202" s="659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0"/>
      <c r="B203" s="660"/>
      <c r="C203" s="660"/>
      <c r="D203" s="660"/>
      <c r="E203" s="660"/>
      <c r="F203" s="660"/>
      <c r="G203" s="660"/>
      <c r="H203" s="660"/>
      <c r="I203" s="660"/>
      <c r="J203" s="660"/>
      <c r="K203" s="660"/>
      <c r="L203" s="660"/>
      <c r="M203" s="660"/>
      <c r="N203" s="660"/>
      <c r="O203" s="661"/>
      <c r="P203" s="657" t="s">
        <v>40</v>
      </c>
      <c r="Q203" s="658"/>
      <c r="R203" s="658"/>
      <c r="S203" s="658"/>
      <c r="T203" s="658"/>
      <c r="U203" s="658"/>
      <c r="V203" s="659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687" t="s">
        <v>351</v>
      </c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54"/>
      <c r="AB204" s="54"/>
      <c r="AC204" s="54"/>
    </row>
    <row r="205" spans="1:68" ht="16.5" hidden="1" customHeight="1" x14ac:dyDescent="0.25">
      <c r="A205" s="676" t="s">
        <v>352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5"/>
      <c r="AB205" s="65"/>
      <c r="AC205" s="79"/>
    </row>
    <row r="206" spans="1:68" ht="14.25" hidden="1" customHeight="1" x14ac:dyDescent="0.25">
      <c r="A206" s="669" t="s">
        <v>121</v>
      </c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670">
        <v>4607091383423</v>
      </c>
      <c r="E207" s="670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72"/>
      <c r="R207" s="672"/>
      <c r="S207" s="672"/>
      <c r="T207" s="673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670">
        <v>4680115888760</v>
      </c>
      <c r="E208" s="670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72"/>
      <c r="R208" s="672"/>
      <c r="S208" s="672"/>
      <c r="T208" s="673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670">
        <v>4680115888807</v>
      </c>
      <c r="E209" s="670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72"/>
      <c r="R209" s="672"/>
      <c r="S209" s="672"/>
      <c r="T209" s="673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670">
        <v>4680115888852</v>
      </c>
      <c r="E210" s="670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72"/>
      <c r="R210" s="672"/>
      <c r="S210" s="672"/>
      <c r="T210" s="673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670">
        <v>4680115886957</v>
      </c>
      <c r="E211" s="670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72"/>
      <c r="R211" s="672"/>
      <c r="S211" s="672"/>
      <c r="T211" s="673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670">
        <v>4680115885660</v>
      </c>
      <c r="E212" s="670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72"/>
      <c r="R212" s="672"/>
      <c r="S212" s="672"/>
      <c r="T212" s="673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670">
        <v>4680115886773</v>
      </c>
      <c r="E213" s="670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6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72"/>
      <c r="R213" s="672"/>
      <c r="S213" s="672"/>
      <c r="T213" s="673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7" t="s">
        <v>40</v>
      </c>
      <c r="Q214" s="658"/>
      <c r="R214" s="658"/>
      <c r="S214" s="658"/>
      <c r="T214" s="658"/>
      <c r="U214" s="658"/>
      <c r="V214" s="659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676" t="s">
        <v>373</v>
      </c>
      <c r="B216" s="676"/>
      <c r="C216" s="676"/>
      <c r="D216" s="676"/>
      <c r="E216" s="676"/>
      <c r="F216" s="676"/>
      <c r="G216" s="676"/>
      <c r="H216" s="676"/>
      <c r="I216" s="676"/>
      <c r="J216" s="676"/>
      <c r="K216" s="676"/>
      <c r="L216" s="676"/>
      <c r="M216" s="676"/>
      <c r="N216" s="676"/>
      <c r="O216" s="676"/>
      <c r="P216" s="676"/>
      <c r="Q216" s="676"/>
      <c r="R216" s="676"/>
      <c r="S216" s="676"/>
      <c r="T216" s="676"/>
      <c r="U216" s="676"/>
      <c r="V216" s="676"/>
      <c r="W216" s="676"/>
      <c r="X216" s="676"/>
      <c r="Y216" s="676"/>
      <c r="Z216" s="676"/>
      <c r="AA216" s="65"/>
      <c r="AB216" s="65"/>
      <c r="AC216" s="79"/>
    </row>
    <row r="217" spans="1:68" ht="14.25" hidden="1" customHeight="1" x14ac:dyDescent="0.25">
      <c r="A217" s="669" t="s">
        <v>158</v>
      </c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670">
        <v>4680115886223</v>
      </c>
      <c r="E218" s="670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72"/>
      <c r="R218" s="672"/>
      <c r="S218" s="672"/>
      <c r="T218" s="673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7" t="s">
        <v>40</v>
      </c>
      <c r="Q219" s="658"/>
      <c r="R219" s="658"/>
      <c r="S219" s="658"/>
      <c r="T219" s="658"/>
      <c r="U219" s="658"/>
      <c r="V219" s="659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660"/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1"/>
      <c r="P220" s="657" t="s">
        <v>40</v>
      </c>
      <c r="Q220" s="658"/>
      <c r="R220" s="658"/>
      <c r="S220" s="658"/>
      <c r="T220" s="658"/>
      <c r="U220" s="658"/>
      <c r="V220" s="659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669" t="s">
        <v>76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670">
        <v>4680115880993</v>
      </c>
      <c r="E222" s="670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72"/>
      <c r="R222" s="672"/>
      <c r="S222" s="672"/>
      <c r="T222" s="673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670">
        <v>4680115881761</v>
      </c>
      <c r="E223" s="670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72"/>
      <c r="R223" s="672"/>
      <c r="S223" s="672"/>
      <c r="T223" s="673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670">
        <v>4680115881563</v>
      </c>
      <c r="E224" s="670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72"/>
      <c r="R224" s="672"/>
      <c r="S224" s="672"/>
      <c r="T224" s="673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670">
        <v>4680115887565</v>
      </c>
      <c r="E225" s="670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72"/>
      <c r="R225" s="672"/>
      <c r="S225" s="672"/>
      <c r="T225" s="673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670">
        <v>4680115880986</v>
      </c>
      <c r="E226" s="670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72"/>
      <c r="R226" s="672"/>
      <c r="S226" s="672"/>
      <c r="T226" s="673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670">
        <v>4680115887213</v>
      </c>
      <c r="E227" s="670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72"/>
      <c r="R227" s="672"/>
      <c r="S227" s="672"/>
      <c r="T227" s="673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670">
        <v>4680115881785</v>
      </c>
      <c r="E228" s="670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72"/>
      <c r="R228" s="672"/>
      <c r="S228" s="672"/>
      <c r="T228" s="673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670">
        <v>4680115888432</v>
      </c>
      <c r="E229" s="670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72"/>
      <c r="R229" s="672"/>
      <c r="S229" s="672"/>
      <c r="T229" s="673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670">
        <v>4680115888104</v>
      </c>
      <c r="E230" s="670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72"/>
      <c r="R230" s="672"/>
      <c r="S230" s="672"/>
      <c r="T230" s="673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670">
        <v>4680115886537</v>
      </c>
      <c r="E231" s="670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72"/>
      <c r="R231" s="672"/>
      <c r="S231" s="672"/>
      <c r="T231" s="673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670">
        <v>4680115887596</v>
      </c>
      <c r="E232" s="670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72"/>
      <c r="R232" s="672"/>
      <c r="S232" s="672"/>
      <c r="T232" s="673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670">
        <v>4680115881679</v>
      </c>
      <c r="E233" s="670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72"/>
      <c r="R233" s="672"/>
      <c r="S233" s="672"/>
      <c r="T233" s="673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670">
        <v>4680115880191</v>
      </c>
      <c r="E234" s="670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72"/>
      <c r="R234" s="672"/>
      <c r="S234" s="672"/>
      <c r="T234" s="673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670">
        <v>4680115880191</v>
      </c>
      <c r="E235" s="670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72"/>
      <c r="R235" s="672"/>
      <c r="S235" s="672"/>
      <c r="T235" s="673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670">
        <v>4680115883963</v>
      </c>
      <c r="E236" s="670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72"/>
      <c r="R236" s="672"/>
      <c r="S236" s="672"/>
      <c r="T236" s="673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7" t="s">
        <v>40</v>
      </c>
      <c r="Q237" s="658"/>
      <c r="R237" s="658"/>
      <c r="S237" s="658"/>
      <c r="T237" s="658"/>
      <c r="U237" s="658"/>
      <c r="V237" s="659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60"/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1"/>
      <c r="P238" s="657" t="s">
        <v>40</v>
      </c>
      <c r="Q238" s="658"/>
      <c r="R238" s="658"/>
      <c r="S238" s="658"/>
      <c r="T238" s="658"/>
      <c r="U238" s="658"/>
      <c r="V238" s="659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69" t="s">
        <v>85</v>
      </c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670">
        <v>4680115888692</v>
      </c>
      <c r="E240" s="670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3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72"/>
      <c r="R240" s="672"/>
      <c r="S240" s="672"/>
      <c r="T240" s="673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670">
        <v>4680115888692</v>
      </c>
      <c r="E241" s="670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3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72"/>
      <c r="R241" s="672"/>
      <c r="S241" s="672"/>
      <c r="T241" s="673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670">
        <v>4680115888722</v>
      </c>
      <c r="E242" s="670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72"/>
      <c r="R242" s="672"/>
      <c r="S242" s="672"/>
      <c r="T242" s="673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670">
        <v>4680115888722</v>
      </c>
      <c r="E243" s="670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72"/>
      <c r="R243" s="672"/>
      <c r="S243" s="672"/>
      <c r="T243" s="673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670">
        <v>4680115888951</v>
      </c>
      <c r="E244" s="670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72"/>
      <c r="R244" s="672"/>
      <c r="S244" s="672"/>
      <c r="T244" s="673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670">
        <v>4680115888951</v>
      </c>
      <c r="E245" s="670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72"/>
      <c r="R245" s="672"/>
      <c r="S245" s="672"/>
      <c r="T245" s="673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670">
        <v>4680115888975</v>
      </c>
      <c r="E246" s="670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72"/>
      <c r="R246" s="672"/>
      <c r="S246" s="672"/>
      <c r="T246" s="673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670">
        <v>4680115888982</v>
      </c>
      <c r="E247" s="670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72"/>
      <c r="R247" s="672"/>
      <c r="S247" s="672"/>
      <c r="T247" s="673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670">
        <v>4680115888982</v>
      </c>
      <c r="E248" s="670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2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72"/>
      <c r="R248" s="672"/>
      <c r="S248" s="672"/>
      <c r="T248" s="673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7" t="s">
        <v>40</v>
      </c>
      <c r="Q249" s="658"/>
      <c r="R249" s="658"/>
      <c r="S249" s="658"/>
      <c r="T249" s="658"/>
      <c r="U249" s="658"/>
      <c r="V249" s="659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60"/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1"/>
      <c r="P250" s="657" t="s">
        <v>40</v>
      </c>
      <c r="Q250" s="658"/>
      <c r="R250" s="658"/>
      <c r="S250" s="658"/>
      <c r="T250" s="658"/>
      <c r="U250" s="658"/>
      <c r="V250" s="659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9" t="s">
        <v>282</v>
      </c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670">
        <v>4680115886780</v>
      </c>
      <c r="E252" s="670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72"/>
      <c r="R252" s="672"/>
      <c r="S252" s="672"/>
      <c r="T252" s="673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670">
        <v>4680115886742</v>
      </c>
      <c r="E253" s="670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72"/>
      <c r="R253" s="672"/>
      <c r="S253" s="672"/>
      <c r="T253" s="673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670">
        <v>4680115886766</v>
      </c>
      <c r="E254" s="670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72"/>
      <c r="R254" s="672"/>
      <c r="S254" s="672"/>
      <c r="T254" s="673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669" t="s">
        <v>444</v>
      </c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670">
        <v>4680115886797</v>
      </c>
      <c r="E258" s="670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72"/>
      <c r="R258" s="672"/>
      <c r="S258" s="672"/>
      <c r="T258" s="673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7" t="s">
        <v>40</v>
      </c>
      <c r="Q259" s="658"/>
      <c r="R259" s="658"/>
      <c r="S259" s="658"/>
      <c r="T259" s="658"/>
      <c r="U259" s="658"/>
      <c r="V259" s="659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660"/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1"/>
      <c r="P260" s="657" t="s">
        <v>40</v>
      </c>
      <c r="Q260" s="658"/>
      <c r="R260" s="658"/>
      <c r="S260" s="658"/>
      <c r="T260" s="658"/>
      <c r="U260" s="658"/>
      <c r="V260" s="659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676" t="s">
        <v>447</v>
      </c>
      <c r="B261" s="676"/>
      <c r="C261" s="676"/>
      <c r="D261" s="676"/>
      <c r="E261" s="676"/>
      <c r="F261" s="676"/>
      <c r="G261" s="676"/>
      <c r="H261" s="676"/>
      <c r="I261" s="676"/>
      <c r="J261" s="676"/>
      <c r="K261" s="676"/>
      <c r="L261" s="676"/>
      <c r="M261" s="676"/>
      <c r="N261" s="676"/>
      <c r="O261" s="676"/>
      <c r="P261" s="676"/>
      <c r="Q261" s="676"/>
      <c r="R261" s="676"/>
      <c r="S261" s="676"/>
      <c r="T261" s="676"/>
      <c r="U261" s="676"/>
      <c r="V261" s="676"/>
      <c r="W261" s="676"/>
      <c r="X261" s="676"/>
      <c r="Y261" s="676"/>
      <c r="Z261" s="676"/>
      <c r="AA261" s="65"/>
      <c r="AB261" s="65"/>
      <c r="AC261" s="79"/>
    </row>
    <row r="262" spans="1:68" ht="14.25" hidden="1" customHeight="1" x14ac:dyDescent="0.25">
      <c r="A262" s="669" t="s">
        <v>121</v>
      </c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670">
        <v>4680115881402</v>
      </c>
      <c r="E263" s="67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72"/>
      <c r="R263" s="672"/>
      <c r="S263" s="672"/>
      <c r="T263" s="673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670">
        <v>4680115881396</v>
      </c>
      <c r="E264" s="670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72"/>
      <c r="R264" s="672"/>
      <c r="S264" s="672"/>
      <c r="T264" s="673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7" t="s">
        <v>40</v>
      </c>
      <c r="Q265" s="658"/>
      <c r="R265" s="658"/>
      <c r="S265" s="658"/>
      <c r="T265" s="658"/>
      <c r="U265" s="658"/>
      <c r="V265" s="659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669" t="s">
        <v>158</v>
      </c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670">
        <v>4680115882935</v>
      </c>
      <c r="E268" s="670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72"/>
      <c r="R268" s="672"/>
      <c r="S268" s="672"/>
      <c r="T268" s="673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670">
        <v>4680115880764</v>
      </c>
      <c r="E269" s="670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72"/>
      <c r="R269" s="672"/>
      <c r="S269" s="672"/>
      <c r="T269" s="673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7" t="s">
        <v>40</v>
      </c>
      <c r="Q270" s="658"/>
      <c r="R270" s="658"/>
      <c r="S270" s="658"/>
      <c r="T270" s="658"/>
      <c r="U270" s="658"/>
      <c r="V270" s="659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660"/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1"/>
      <c r="P271" s="657" t="s">
        <v>40</v>
      </c>
      <c r="Q271" s="658"/>
      <c r="R271" s="658"/>
      <c r="S271" s="658"/>
      <c r="T271" s="658"/>
      <c r="U271" s="658"/>
      <c r="V271" s="659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669" t="s">
        <v>76</v>
      </c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670">
        <v>4680115882683</v>
      </c>
      <c r="E273" s="670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72"/>
      <c r="R273" s="672"/>
      <c r="S273" s="672"/>
      <c r="T273" s="673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670">
        <v>4680115882690</v>
      </c>
      <c r="E274" s="670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72"/>
      <c r="R274" s="672"/>
      <c r="S274" s="672"/>
      <c r="T274" s="673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670">
        <v>4680115882669</v>
      </c>
      <c r="E275" s="670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72"/>
      <c r="R275" s="672"/>
      <c r="S275" s="672"/>
      <c r="T275" s="673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670">
        <v>4680115882676</v>
      </c>
      <c r="E276" s="670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72"/>
      <c r="R276" s="672"/>
      <c r="S276" s="672"/>
      <c r="T276" s="673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670">
        <v>4680115884014</v>
      </c>
      <c r="E277" s="670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72"/>
      <c r="R277" s="672"/>
      <c r="S277" s="672"/>
      <c r="T277" s="673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670">
        <v>4680115884007</v>
      </c>
      <c r="E278" s="670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72"/>
      <c r="R278" s="672"/>
      <c r="S278" s="672"/>
      <c r="T278" s="673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670">
        <v>4680115884038</v>
      </c>
      <c r="E279" s="670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72"/>
      <c r="R279" s="672"/>
      <c r="S279" s="672"/>
      <c r="T279" s="673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670">
        <v>4680115884021</v>
      </c>
      <c r="E280" s="670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72"/>
      <c r="R280" s="672"/>
      <c r="S280" s="672"/>
      <c r="T280" s="673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7" t="s">
        <v>40</v>
      </c>
      <c r="Q281" s="658"/>
      <c r="R281" s="658"/>
      <c r="S281" s="658"/>
      <c r="T281" s="658"/>
      <c r="U281" s="658"/>
      <c r="V281" s="659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660"/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1"/>
      <c r="P282" s="657" t="s">
        <v>40</v>
      </c>
      <c r="Q282" s="658"/>
      <c r="R282" s="658"/>
      <c r="S282" s="658"/>
      <c r="T282" s="658"/>
      <c r="U282" s="658"/>
      <c r="V282" s="659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69" t="s">
        <v>85</v>
      </c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670">
        <v>4680115881594</v>
      </c>
      <c r="E284" s="670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72"/>
      <c r="R284" s="672"/>
      <c r="S284" s="672"/>
      <c r="T284" s="673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670">
        <v>4680115881617</v>
      </c>
      <c r="E285" s="670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72"/>
      <c r="R285" s="672"/>
      <c r="S285" s="672"/>
      <c r="T285" s="673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670">
        <v>4680115880573</v>
      </c>
      <c r="E286" s="670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1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72"/>
      <c r="R286" s="672"/>
      <c r="S286" s="672"/>
      <c r="T286" s="673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670">
        <v>4680115882195</v>
      </c>
      <c r="E287" s="670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72"/>
      <c r="R287" s="672"/>
      <c r="S287" s="672"/>
      <c r="T287" s="673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670">
        <v>4680115882607</v>
      </c>
      <c r="E288" s="670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72"/>
      <c r="R288" s="672"/>
      <c r="S288" s="672"/>
      <c r="T288" s="673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670">
        <v>4680115882607</v>
      </c>
      <c r="E289" s="670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0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72"/>
      <c r="R289" s="672"/>
      <c r="S289" s="672"/>
      <c r="T289" s="673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670">
        <v>4680115880092</v>
      </c>
      <c r="E290" s="670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72"/>
      <c r="R290" s="672"/>
      <c r="S290" s="672"/>
      <c r="T290" s="673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670">
        <v>4680115889064</v>
      </c>
      <c r="E291" s="670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0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72"/>
      <c r="R291" s="672"/>
      <c r="S291" s="672"/>
      <c r="T291" s="673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670">
        <v>4680115880221</v>
      </c>
      <c r="E292" s="670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72"/>
      <c r="R292" s="672"/>
      <c r="S292" s="672"/>
      <c r="T292" s="673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670">
        <v>4680115880504</v>
      </c>
      <c r="E293" s="670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0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72"/>
      <c r="R293" s="672"/>
      <c r="S293" s="672"/>
      <c r="T293" s="673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670">
        <v>4680115882164</v>
      </c>
      <c r="E294" s="670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72"/>
      <c r="R294" s="672"/>
      <c r="S294" s="672"/>
      <c r="T294" s="673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670">
        <v>4680115888340</v>
      </c>
      <c r="E295" s="670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72"/>
      <c r="R295" s="672"/>
      <c r="S295" s="672"/>
      <c r="T295" s="673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7" t="s">
        <v>40</v>
      </c>
      <c r="Q296" s="658"/>
      <c r="R296" s="658"/>
      <c r="S296" s="658"/>
      <c r="T296" s="658"/>
      <c r="U296" s="658"/>
      <c r="V296" s="659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669" t="s">
        <v>177</v>
      </c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670">
        <v>4680115880818</v>
      </c>
      <c r="E299" s="670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72"/>
      <c r="R299" s="672"/>
      <c r="S299" s="672"/>
      <c r="T299" s="673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670">
        <v>4680115880801</v>
      </c>
      <c r="E300" s="670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7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72"/>
      <c r="R300" s="672"/>
      <c r="S300" s="672"/>
      <c r="T300" s="673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7" t="s">
        <v>40</v>
      </c>
      <c r="Q301" s="658"/>
      <c r="R301" s="658"/>
      <c r="S301" s="658"/>
      <c r="T301" s="658"/>
      <c r="U301" s="658"/>
      <c r="V301" s="659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660"/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1"/>
      <c r="P302" s="657" t="s">
        <v>40</v>
      </c>
      <c r="Q302" s="658"/>
      <c r="R302" s="658"/>
      <c r="S302" s="658"/>
      <c r="T302" s="658"/>
      <c r="U302" s="658"/>
      <c r="V302" s="659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676" t="s">
        <v>515</v>
      </c>
      <c r="B303" s="676"/>
      <c r="C303" s="676"/>
      <c r="D303" s="676"/>
      <c r="E303" s="676"/>
      <c r="F303" s="676"/>
      <c r="G303" s="676"/>
      <c r="H303" s="676"/>
      <c r="I303" s="676"/>
      <c r="J303" s="676"/>
      <c r="K303" s="676"/>
      <c r="L303" s="676"/>
      <c r="M303" s="676"/>
      <c r="N303" s="676"/>
      <c r="O303" s="676"/>
      <c r="P303" s="676"/>
      <c r="Q303" s="676"/>
      <c r="R303" s="676"/>
      <c r="S303" s="676"/>
      <c r="T303" s="676"/>
      <c r="U303" s="676"/>
      <c r="V303" s="676"/>
      <c r="W303" s="676"/>
      <c r="X303" s="676"/>
      <c r="Y303" s="676"/>
      <c r="Z303" s="676"/>
      <c r="AA303" s="65"/>
      <c r="AB303" s="65"/>
      <c r="AC303" s="79"/>
    </row>
    <row r="304" spans="1:68" ht="14.25" hidden="1" customHeight="1" x14ac:dyDescent="0.25">
      <c r="A304" s="669" t="s">
        <v>121</v>
      </c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670">
        <v>4680115884137</v>
      </c>
      <c r="E305" s="670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72"/>
      <c r="R305" s="672"/>
      <c r="S305" s="672"/>
      <c r="T305" s="673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670">
        <v>4680115884236</v>
      </c>
      <c r="E306" s="670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72"/>
      <c r="R306" s="672"/>
      <c r="S306" s="672"/>
      <c r="T306" s="673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670">
        <v>4680115884175</v>
      </c>
      <c r="E307" s="670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72"/>
      <c r="R307" s="672"/>
      <c r="S307" s="672"/>
      <c r="T307" s="673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670">
        <v>4680115884144</v>
      </c>
      <c r="E308" s="670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72"/>
      <c r="R308" s="672"/>
      <c r="S308" s="672"/>
      <c r="T308" s="673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670">
        <v>4680115886551</v>
      </c>
      <c r="E309" s="670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72"/>
      <c r="R309" s="672"/>
      <c r="S309" s="672"/>
      <c r="T309" s="673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670">
        <v>4680115887282</v>
      </c>
      <c r="E310" s="670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7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72"/>
      <c r="R310" s="672"/>
      <c r="S310" s="672"/>
      <c r="T310" s="673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670">
        <v>4680115884205</v>
      </c>
      <c r="E311" s="670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72"/>
      <c r="R311" s="672"/>
      <c r="S311" s="672"/>
      <c r="T311" s="673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9" t="s">
        <v>158</v>
      </c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670">
        <v>4680115885981</v>
      </c>
      <c r="E315" s="670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7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72"/>
      <c r="R315" s="672"/>
      <c r="S315" s="672"/>
      <c r="T315" s="673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9" t="s">
        <v>537</v>
      </c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670">
        <v>4680115886803</v>
      </c>
      <c r="E319" s="670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72"/>
      <c r="R319" s="672"/>
      <c r="S319" s="672"/>
      <c r="T319" s="673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7" t="s">
        <v>40</v>
      </c>
      <c r="Q320" s="658"/>
      <c r="R320" s="658"/>
      <c r="S320" s="658"/>
      <c r="T320" s="658"/>
      <c r="U320" s="658"/>
      <c r="V320" s="659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660"/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1"/>
      <c r="P321" s="657" t="s">
        <v>40</v>
      </c>
      <c r="Q321" s="658"/>
      <c r="R321" s="658"/>
      <c r="S321" s="658"/>
      <c r="T321" s="658"/>
      <c r="U321" s="658"/>
      <c r="V321" s="659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669" t="s">
        <v>347</v>
      </c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670">
        <v>4680115886681</v>
      </c>
      <c r="E323" s="670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72"/>
      <c r="R323" s="672"/>
      <c r="S323" s="672"/>
      <c r="T323" s="673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7" t="s">
        <v>40</v>
      </c>
      <c r="Q324" s="658"/>
      <c r="R324" s="658"/>
      <c r="S324" s="658"/>
      <c r="T324" s="658"/>
      <c r="U324" s="658"/>
      <c r="V324" s="659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660"/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1"/>
      <c r="P325" s="657" t="s">
        <v>40</v>
      </c>
      <c r="Q325" s="658"/>
      <c r="R325" s="658"/>
      <c r="S325" s="658"/>
      <c r="T325" s="658"/>
      <c r="U325" s="658"/>
      <c r="V325" s="659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6" t="s">
        <v>544</v>
      </c>
      <c r="B326" s="676"/>
      <c r="C326" s="676"/>
      <c r="D326" s="676"/>
      <c r="E326" s="676"/>
      <c r="F326" s="676"/>
      <c r="G326" s="676"/>
      <c r="H326" s="676"/>
      <c r="I326" s="676"/>
      <c r="J326" s="676"/>
      <c r="K326" s="676"/>
      <c r="L326" s="676"/>
      <c r="M326" s="676"/>
      <c r="N326" s="676"/>
      <c r="O326" s="676"/>
      <c r="P326" s="676"/>
      <c r="Q326" s="676"/>
      <c r="R326" s="676"/>
      <c r="S326" s="676"/>
      <c r="T326" s="676"/>
      <c r="U326" s="676"/>
      <c r="V326" s="676"/>
      <c r="W326" s="676"/>
      <c r="X326" s="676"/>
      <c r="Y326" s="676"/>
      <c r="Z326" s="676"/>
      <c r="AA326" s="65"/>
      <c r="AB326" s="65"/>
      <c r="AC326" s="79"/>
    </row>
    <row r="327" spans="1:68" ht="14.25" hidden="1" customHeight="1" x14ac:dyDescent="0.25">
      <c r="A327" s="669" t="s">
        <v>121</v>
      </c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670">
        <v>4680115889637</v>
      </c>
      <c r="E328" s="670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72"/>
      <c r="R328" s="672"/>
      <c r="S328" s="672"/>
      <c r="T328" s="673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670">
        <v>4680115885837</v>
      </c>
      <c r="E329" s="670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72"/>
      <c r="R329" s="672"/>
      <c r="S329" s="672"/>
      <c r="T329" s="673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670">
        <v>4680115887237</v>
      </c>
      <c r="E330" s="670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72"/>
      <c r="R330" s="672"/>
      <c r="S330" s="672"/>
      <c r="T330" s="673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670">
        <v>4680115885806</v>
      </c>
      <c r="E331" s="670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72"/>
      <c r="R331" s="672"/>
      <c r="S331" s="672"/>
      <c r="T331" s="673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670">
        <v>4680115885844</v>
      </c>
      <c r="E332" s="670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72"/>
      <c r="R332" s="672"/>
      <c r="S332" s="672"/>
      <c r="T332" s="673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670">
        <v>4680115885820</v>
      </c>
      <c r="E333" s="670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72"/>
      <c r="R333" s="672"/>
      <c r="S333" s="672"/>
      <c r="T333" s="673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7" t="s">
        <v>40</v>
      </c>
      <c r="Q334" s="658"/>
      <c r="R334" s="658"/>
      <c r="S334" s="658"/>
      <c r="T334" s="658"/>
      <c r="U334" s="658"/>
      <c r="V334" s="659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0"/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1"/>
      <c r="P335" s="657" t="s">
        <v>40</v>
      </c>
      <c r="Q335" s="658"/>
      <c r="R335" s="658"/>
      <c r="S335" s="658"/>
      <c r="T335" s="658"/>
      <c r="U335" s="658"/>
      <c r="V335" s="659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6" t="s">
        <v>564</v>
      </c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6"/>
      <c r="P336" s="676"/>
      <c r="Q336" s="676"/>
      <c r="R336" s="676"/>
      <c r="S336" s="676"/>
      <c r="T336" s="676"/>
      <c r="U336" s="676"/>
      <c r="V336" s="676"/>
      <c r="W336" s="676"/>
      <c r="X336" s="676"/>
      <c r="Y336" s="676"/>
      <c r="Z336" s="676"/>
      <c r="AA336" s="65"/>
      <c r="AB336" s="65"/>
      <c r="AC336" s="79"/>
    </row>
    <row r="337" spans="1:68" ht="14.25" hidden="1" customHeight="1" x14ac:dyDescent="0.25">
      <c r="A337" s="669" t="s">
        <v>85</v>
      </c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670">
        <v>4680115886186</v>
      </c>
      <c r="E338" s="670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72"/>
      <c r="R338" s="672"/>
      <c r="S338" s="672"/>
      <c r="T338" s="673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670">
        <v>4680115881228</v>
      </c>
      <c r="E339" s="670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72"/>
      <c r="R339" s="672"/>
      <c r="S339" s="672"/>
      <c r="T339" s="673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670">
        <v>4680115881211</v>
      </c>
      <c r="E340" s="670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72"/>
      <c r="R340" s="672"/>
      <c r="S340" s="672"/>
      <c r="T340" s="673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7" t="s">
        <v>40</v>
      </c>
      <c r="Q341" s="658"/>
      <c r="R341" s="658"/>
      <c r="S341" s="658"/>
      <c r="T341" s="658"/>
      <c r="U341" s="658"/>
      <c r="V341" s="659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0"/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1"/>
      <c r="P342" s="657" t="s">
        <v>40</v>
      </c>
      <c r="Q342" s="658"/>
      <c r="R342" s="658"/>
      <c r="S342" s="658"/>
      <c r="T342" s="658"/>
      <c r="U342" s="658"/>
      <c r="V342" s="659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6" t="s">
        <v>573</v>
      </c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6"/>
      <c r="P343" s="676"/>
      <c r="Q343" s="676"/>
      <c r="R343" s="676"/>
      <c r="S343" s="676"/>
      <c r="T343" s="676"/>
      <c r="U343" s="676"/>
      <c r="V343" s="676"/>
      <c r="W343" s="676"/>
      <c r="X343" s="676"/>
      <c r="Y343" s="676"/>
      <c r="Z343" s="676"/>
      <c r="AA343" s="65"/>
      <c r="AB343" s="65"/>
      <c r="AC343" s="79"/>
    </row>
    <row r="344" spans="1:68" ht="14.25" hidden="1" customHeight="1" x14ac:dyDescent="0.25">
      <c r="A344" s="669" t="s">
        <v>76</v>
      </c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670">
        <v>4680115888319</v>
      </c>
      <c r="E345" s="670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72"/>
      <c r="R345" s="672"/>
      <c r="S345" s="672"/>
      <c r="T345" s="673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670">
        <v>4680115884700</v>
      </c>
      <c r="E346" s="670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72"/>
      <c r="R346" s="672"/>
      <c r="S346" s="672"/>
      <c r="T346" s="673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670">
        <v>4680115880344</v>
      </c>
      <c r="E347" s="670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72"/>
      <c r="R347" s="672"/>
      <c r="S347" s="672"/>
      <c r="T347" s="673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670">
        <v>4680115886919</v>
      </c>
      <c r="E348" s="670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72"/>
      <c r="R348" s="672"/>
      <c r="S348" s="672"/>
      <c r="T348" s="673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670">
        <v>4680115883970</v>
      </c>
      <c r="E349" s="670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72"/>
      <c r="R349" s="672"/>
      <c r="S349" s="672"/>
      <c r="T349" s="673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7" t="s">
        <v>40</v>
      </c>
      <c r="Q350" s="658"/>
      <c r="R350" s="658"/>
      <c r="S350" s="658"/>
      <c r="T350" s="658"/>
      <c r="U350" s="658"/>
      <c r="V350" s="659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0"/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1"/>
      <c r="P351" s="657" t="s">
        <v>40</v>
      </c>
      <c r="Q351" s="658"/>
      <c r="R351" s="658"/>
      <c r="S351" s="658"/>
      <c r="T351" s="658"/>
      <c r="U351" s="658"/>
      <c r="V351" s="659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9" t="s">
        <v>85</v>
      </c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670">
        <v>4680115884618</v>
      </c>
      <c r="E353" s="670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72"/>
      <c r="R353" s="672"/>
      <c r="S353" s="672"/>
      <c r="T353" s="673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670">
        <v>4680115887114</v>
      </c>
      <c r="E354" s="670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72"/>
      <c r="R354" s="672"/>
      <c r="S354" s="672"/>
      <c r="T354" s="673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7" t="s">
        <v>40</v>
      </c>
      <c r="Q355" s="658"/>
      <c r="R355" s="658"/>
      <c r="S355" s="658"/>
      <c r="T355" s="658"/>
      <c r="U355" s="658"/>
      <c r="V355" s="65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0"/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1"/>
      <c r="P356" s="657" t="s">
        <v>40</v>
      </c>
      <c r="Q356" s="658"/>
      <c r="R356" s="658"/>
      <c r="S356" s="658"/>
      <c r="T356" s="658"/>
      <c r="U356" s="658"/>
      <c r="V356" s="65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6" t="s">
        <v>594</v>
      </c>
      <c r="B357" s="676"/>
      <c r="C357" s="676"/>
      <c r="D357" s="676"/>
      <c r="E357" s="676"/>
      <c r="F357" s="676"/>
      <c r="G357" s="676"/>
      <c r="H357" s="676"/>
      <c r="I357" s="676"/>
      <c r="J357" s="676"/>
      <c r="K357" s="676"/>
      <c r="L357" s="676"/>
      <c r="M357" s="676"/>
      <c r="N357" s="676"/>
      <c r="O357" s="676"/>
      <c r="P357" s="676"/>
      <c r="Q357" s="676"/>
      <c r="R357" s="676"/>
      <c r="S357" s="676"/>
      <c r="T357" s="676"/>
      <c r="U357" s="676"/>
      <c r="V357" s="676"/>
      <c r="W357" s="676"/>
      <c r="X357" s="676"/>
      <c r="Y357" s="676"/>
      <c r="Z357" s="676"/>
      <c r="AA357" s="65"/>
      <c r="AB357" s="65"/>
      <c r="AC357" s="79"/>
    </row>
    <row r="358" spans="1:68" ht="14.25" hidden="1" customHeight="1" x14ac:dyDescent="0.25">
      <c r="A358" s="669" t="s">
        <v>121</v>
      </c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670">
        <v>4680115887947</v>
      </c>
      <c r="E359" s="670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72"/>
      <c r="R359" s="672"/>
      <c r="S359" s="672"/>
      <c r="T359" s="673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670">
        <v>4680115887978</v>
      </c>
      <c r="E360" s="670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72"/>
      <c r="R360" s="672"/>
      <c r="S360" s="672"/>
      <c r="T360" s="673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670">
        <v>4680115887992</v>
      </c>
      <c r="E361" s="670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72"/>
      <c r="R361" s="672"/>
      <c r="S361" s="672"/>
      <c r="T361" s="673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7" t="s">
        <v>40</v>
      </c>
      <c r="Q362" s="658"/>
      <c r="R362" s="658"/>
      <c r="S362" s="658"/>
      <c r="T362" s="658"/>
      <c r="U362" s="658"/>
      <c r="V362" s="659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0"/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1"/>
      <c r="P363" s="657" t="s">
        <v>40</v>
      </c>
      <c r="Q363" s="658"/>
      <c r="R363" s="658"/>
      <c r="S363" s="658"/>
      <c r="T363" s="658"/>
      <c r="U363" s="658"/>
      <c r="V363" s="659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6" t="s">
        <v>603</v>
      </c>
      <c r="B364" s="676"/>
      <c r="C364" s="676"/>
      <c r="D364" s="676"/>
      <c r="E364" s="676"/>
      <c r="F364" s="676"/>
      <c r="G364" s="676"/>
      <c r="H364" s="676"/>
      <c r="I364" s="676"/>
      <c r="J364" s="676"/>
      <c r="K364" s="676"/>
      <c r="L364" s="676"/>
      <c r="M364" s="676"/>
      <c r="N364" s="676"/>
      <c r="O364" s="676"/>
      <c r="P364" s="676"/>
      <c r="Q364" s="676"/>
      <c r="R364" s="676"/>
      <c r="S364" s="676"/>
      <c r="T364" s="676"/>
      <c r="U364" s="676"/>
      <c r="V364" s="676"/>
      <c r="W364" s="676"/>
      <c r="X364" s="676"/>
      <c r="Y364" s="676"/>
      <c r="Z364" s="676"/>
      <c r="AA364" s="65"/>
      <c r="AB364" s="65"/>
      <c r="AC364" s="79"/>
    </row>
    <row r="365" spans="1:68" ht="14.25" hidden="1" customHeight="1" x14ac:dyDescent="0.25">
      <c r="A365" s="669" t="s">
        <v>121</v>
      </c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670">
        <v>4680115889880</v>
      </c>
      <c r="E366" s="670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72"/>
      <c r="R366" s="672"/>
      <c r="S366" s="672"/>
      <c r="T366" s="673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670">
        <v>4680115889293</v>
      </c>
      <c r="E367" s="670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72"/>
      <c r="R367" s="672"/>
      <c r="S367" s="672"/>
      <c r="T367" s="673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670">
        <v>4680115887190</v>
      </c>
      <c r="E368" s="670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72"/>
      <c r="R368" s="672"/>
      <c r="S368" s="672"/>
      <c r="T368" s="673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670">
        <v>4680115887138</v>
      </c>
      <c r="E369" s="670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72"/>
      <c r="R369" s="672"/>
      <c r="S369" s="672"/>
      <c r="T369" s="673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670">
        <v>4680115885554</v>
      </c>
      <c r="E370" s="670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72"/>
      <c r="R370" s="672"/>
      <c r="S370" s="672"/>
      <c r="T370" s="673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670">
        <v>4680115887220</v>
      </c>
      <c r="E371" s="670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72"/>
      <c r="R371" s="672"/>
      <c r="S371" s="672"/>
      <c r="T371" s="673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670">
        <v>4680115885608</v>
      </c>
      <c r="E372" s="670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72"/>
      <c r="R372" s="672"/>
      <c r="S372" s="672"/>
      <c r="T372" s="673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7" t="s">
        <v>40</v>
      </c>
      <c r="Q373" s="658"/>
      <c r="R373" s="658"/>
      <c r="S373" s="658"/>
      <c r="T373" s="658"/>
      <c r="U373" s="658"/>
      <c r="V373" s="659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0"/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1"/>
      <c r="P374" s="657" t="s">
        <v>40</v>
      </c>
      <c r="Q374" s="658"/>
      <c r="R374" s="658"/>
      <c r="S374" s="658"/>
      <c r="T374" s="658"/>
      <c r="U374" s="658"/>
      <c r="V374" s="659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9" t="s">
        <v>76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670">
        <v>4607091387193</v>
      </c>
      <c r="E376" s="670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72"/>
      <c r="R376" s="672"/>
      <c r="S376" s="672"/>
      <c r="T376" s="673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670">
        <v>4607091387230</v>
      </c>
      <c r="E377" s="670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72"/>
      <c r="R377" s="672"/>
      <c r="S377" s="672"/>
      <c r="T377" s="673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670">
        <v>4607091387292</v>
      </c>
      <c r="E378" s="670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72"/>
      <c r="R378" s="672"/>
      <c r="S378" s="672"/>
      <c r="T378" s="673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670">
        <v>4607091387285</v>
      </c>
      <c r="E379" s="670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72"/>
      <c r="R379" s="672"/>
      <c r="S379" s="672"/>
      <c r="T379" s="673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670">
        <v>4607091389845</v>
      </c>
      <c r="E380" s="670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72"/>
      <c r="R380" s="672"/>
      <c r="S380" s="672"/>
      <c r="T380" s="673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670">
        <v>4680115887442</v>
      </c>
      <c r="E381" s="670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72"/>
      <c r="R381" s="672"/>
      <c r="S381" s="672"/>
      <c r="T381" s="673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670">
        <v>4607091383836</v>
      </c>
      <c r="E382" s="670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72"/>
      <c r="R382" s="672"/>
      <c r="S382" s="672"/>
      <c r="T382" s="673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7" t="s">
        <v>40</v>
      </c>
      <c r="Q383" s="658"/>
      <c r="R383" s="658"/>
      <c r="S383" s="658"/>
      <c r="T383" s="658"/>
      <c r="U383" s="658"/>
      <c r="V383" s="659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0"/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1"/>
      <c r="P384" s="657" t="s">
        <v>40</v>
      </c>
      <c r="Q384" s="658"/>
      <c r="R384" s="658"/>
      <c r="S384" s="658"/>
      <c r="T384" s="658"/>
      <c r="U384" s="658"/>
      <c r="V384" s="659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9" t="s">
        <v>85</v>
      </c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670">
        <v>4607091387766</v>
      </c>
      <c r="E386" s="670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72"/>
      <c r="R386" s="672"/>
      <c r="S386" s="672"/>
      <c r="T386" s="673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670">
        <v>4607091387957</v>
      </c>
      <c r="E387" s="670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72"/>
      <c r="R387" s="672"/>
      <c r="S387" s="672"/>
      <c r="T387" s="673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670">
        <v>4607091387964</v>
      </c>
      <c r="E388" s="670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72"/>
      <c r="R388" s="672"/>
      <c r="S388" s="672"/>
      <c r="T388" s="673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670">
        <v>4680115884588</v>
      </c>
      <c r="E389" s="670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72"/>
      <c r="R389" s="672"/>
      <c r="S389" s="672"/>
      <c r="T389" s="673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7" t="s">
        <v>40</v>
      </c>
      <c r="Q390" s="658"/>
      <c r="R390" s="658"/>
      <c r="S390" s="658"/>
      <c r="T390" s="658"/>
      <c r="U390" s="658"/>
      <c r="V390" s="659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0"/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1"/>
      <c r="P391" s="657" t="s">
        <v>40</v>
      </c>
      <c r="Q391" s="658"/>
      <c r="R391" s="658"/>
      <c r="S391" s="658"/>
      <c r="T391" s="658"/>
      <c r="U391" s="658"/>
      <c r="V391" s="659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9" t="s">
        <v>177</v>
      </c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670">
        <v>4607091380880</v>
      </c>
      <c r="E393" s="670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72"/>
      <c r="R393" s="672"/>
      <c r="S393" s="672"/>
      <c r="T393" s="673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670">
        <v>4607091384482</v>
      </c>
      <c r="E394" s="670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72"/>
      <c r="R394" s="672"/>
      <c r="S394" s="672"/>
      <c r="T394" s="673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670">
        <v>4607091380897</v>
      </c>
      <c r="E395" s="670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72"/>
      <c r="R395" s="672"/>
      <c r="S395" s="672"/>
      <c r="T395" s="673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7" t="s">
        <v>40</v>
      </c>
      <c r="Q396" s="658"/>
      <c r="R396" s="658"/>
      <c r="S396" s="658"/>
      <c r="T396" s="658"/>
      <c r="U396" s="658"/>
      <c r="V396" s="659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0"/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1"/>
      <c r="P397" s="657" t="s">
        <v>40</v>
      </c>
      <c r="Q397" s="658"/>
      <c r="R397" s="658"/>
      <c r="S397" s="658"/>
      <c r="T397" s="658"/>
      <c r="U397" s="658"/>
      <c r="V397" s="659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9" t="s">
        <v>282</v>
      </c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670">
        <v>4607091388381</v>
      </c>
      <c r="E399" s="670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7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72"/>
      <c r="R399" s="672"/>
      <c r="S399" s="672"/>
      <c r="T399" s="673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670">
        <v>4607091388374</v>
      </c>
      <c r="E400" s="670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7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72"/>
      <c r="R400" s="672"/>
      <c r="S400" s="672"/>
      <c r="T400" s="673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670">
        <v>4607091383102</v>
      </c>
      <c r="E401" s="670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72"/>
      <c r="R401" s="672"/>
      <c r="S401" s="672"/>
      <c r="T401" s="673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670">
        <v>4607091388404</v>
      </c>
      <c r="E402" s="670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7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72"/>
      <c r="R402" s="672"/>
      <c r="S402" s="672"/>
      <c r="T402" s="673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7" t="s">
        <v>40</v>
      </c>
      <c r="Q403" s="658"/>
      <c r="R403" s="658"/>
      <c r="S403" s="658"/>
      <c r="T403" s="658"/>
      <c r="U403" s="658"/>
      <c r="V403" s="659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0"/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1"/>
      <c r="P404" s="657" t="s">
        <v>40</v>
      </c>
      <c r="Q404" s="658"/>
      <c r="R404" s="658"/>
      <c r="S404" s="658"/>
      <c r="T404" s="658"/>
      <c r="U404" s="658"/>
      <c r="V404" s="659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9" t="s">
        <v>671</v>
      </c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670">
        <v>4680115881808</v>
      </c>
      <c r="E406" s="670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72"/>
      <c r="R406" s="672"/>
      <c r="S406" s="672"/>
      <c r="T406" s="673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670">
        <v>4680115881822</v>
      </c>
      <c r="E407" s="670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7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72"/>
      <c r="R407" s="672"/>
      <c r="S407" s="672"/>
      <c r="T407" s="673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670">
        <v>4680115880016</v>
      </c>
      <c r="E408" s="670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72"/>
      <c r="R408" s="672"/>
      <c r="S408" s="672"/>
      <c r="T408" s="673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7" t="s">
        <v>40</v>
      </c>
      <c r="Q409" s="658"/>
      <c r="R409" s="658"/>
      <c r="S409" s="658"/>
      <c r="T409" s="658"/>
      <c r="U409" s="658"/>
      <c r="V409" s="659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0"/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1"/>
      <c r="P410" s="657" t="s">
        <v>40</v>
      </c>
      <c r="Q410" s="658"/>
      <c r="R410" s="658"/>
      <c r="S410" s="658"/>
      <c r="T410" s="658"/>
      <c r="U410" s="658"/>
      <c r="V410" s="659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9" t="s">
        <v>680</v>
      </c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670">
        <v>4680115888678</v>
      </c>
      <c r="E412" s="670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7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72"/>
      <c r="R412" s="672"/>
      <c r="S412" s="672"/>
      <c r="T412" s="673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670">
        <v>4680115888654</v>
      </c>
      <c r="E413" s="670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7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72"/>
      <c r="R413" s="672"/>
      <c r="S413" s="672"/>
      <c r="T413" s="673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670">
        <v>4680115888753</v>
      </c>
      <c r="E414" s="670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7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72"/>
      <c r="R414" s="672"/>
      <c r="S414" s="672"/>
      <c r="T414" s="673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7" t="s">
        <v>40</v>
      </c>
      <c r="Q415" s="658"/>
      <c r="R415" s="658"/>
      <c r="S415" s="658"/>
      <c r="T415" s="658"/>
      <c r="U415" s="658"/>
      <c r="V415" s="659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0"/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1"/>
      <c r="P416" s="657" t="s">
        <v>40</v>
      </c>
      <c r="Q416" s="658"/>
      <c r="R416" s="658"/>
      <c r="S416" s="658"/>
      <c r="T416" s="658"/>
      <c r="U416" s="658"/>
      <c r="V416" s="659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76" t="s">
        <v>689</v>
      </c>
      <c r="B417" s="676"/>
      <c r="C417" s="676"/>
      <c r="D417" s="676"/>
      <c r="E417" s="676"/>
      <c r="F417" s="676"/>
      <c r="G417" s="676"/>
      <c r="H417" s="676"/>
      <c r="I417" s="676"/>
      <c r="J417" s="676"/>
      <c r="K417" s="676"/>
      <c r="L417" s="676"/>
      <c r="M417" s="676"/>
      <c r="N417" s="676"/>
      <c r="O417" s="676"/>
      <c r="P417" s="676"/>
      <c r="Q417" s="676"/>
      <c r="R417" s="676"/>
      <c r="S417" s="676"/>
      <c r="T417" s="676"/>
      <c r="U417" s="676"/>
      <c r="V417" s="676"/>
      <c r="W417" s="676"/>
      <c r="X417" s="676"/>
      <c r="Y417" s="676"/>
      <c r="Z417" s="676"/>
      <c r="AA417" s="65"/>
      <c r="AB417" s="65"/>
      <c r="AC417" s="79"/>
    </row>
    <row r="418" spans="1:68" ht="14.25" hidden="1" customHeight="1" x14ac:dyDescent="0.25">
      <c r="A418" s="669" t="s">
        <v>85</v>
      </c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670">
        <v>4680115889415</v>
      </c>
      <c r="E419" s="670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72"/>
      <c r="R419" s="672"/>
      <c r="S419" s="672"/>
      <c r="T419" s="673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670">
        <v>4680115889422</v>
      </c>
      <c r="E420" s="670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72"/>
      <c r="R420" s="672"/>
      <c r="S420" s="672"/>
      <c r="T420" s="673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7" t="s">
        <v>40</v>
      </c>
      <c r="Q421" s="658"/>
      <c r="R421" s="658"/>
      <c r="S421" s="658"/>
      <c r="T421" s="658"/>
      <c r="U421" s="658"/>
      <c r="V421" s="659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0"/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1"/>
      <c r="P422" s="657" t="s">
        <v>40</v>
      </c>
      <c r="Q422" s="658"/>
      <c r="R422" s="658"/>
      <c r="S422" s="658"/>
      <c r="T422" s="658"/>
      <c r="U422" s="658"/>
      <c r="V422" s="659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76" t="s">
        <v>696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5"/>
      <c r="AB423" s="65"/>
      <c r="AC423" s="79"/>
    </row>
    <row r="424" spans="1:68" ht="14.25" hidden="1" customHeight="1" x14ac:dyDescent="0.25">
      <c r="A424" s="669" t="s">
        <v>85</v>
      </c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670">
        <v>4607091387919</v>
      </c>
      <c r="E425" s="670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72"/>
      <c r="R425" s="672"/>
      <c r="S425" s="672"/>
      <c r="T425" s="673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670">
        <v>4680115883604</v>
      </c>
      <c r="E426" s="670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72"/>
      <c r="R426" s="672"/>
      <c r="S426" s="672"/>
      <c r="T426" s="673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670">
        <v>4680115883567</v>
      </c>
      <c r="E427" s="670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72"/>
      <c r="R427" s="672"/>
      <c r="S427" s="672"/>
      <c r="T427" s="673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7" t="s">
        <v>40</v>
      </c>
      <c r="Q428" s="658"/>
      <c r="R428" s="658"/>
      <c r="S428" s="658"/>
      <c r="T428" s="658"/>
      <c r="U428" s="658"/>
      <c r="V428" s="659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0"/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1"/>
      <c r="P429" s="657" t="s">
        <v>40</v>
      </c>
      <c r="Q429" s="658"/>
      <c r="R429" s="658"/>
      <c r="S429" s="658"/>
      <c r="T429" s="658"/>
      <c r="U429" s="658"/>
      <c r="V429" s="659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7" t="s">
        <v>706</v>
      </c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  <c r="AA430" s="54"/>
      <c r="AB430" s="54"/>
      <c r="AC430" s="54"/>
    </row>
    <row r="431" spans="1:68" ht="16.5" hidden="1" customHeight="1" x14ac:dyDescent="0.25">
      <c r="A431" s="676" t="s">
        <v>707</v>
      </c>
      <c r="B431" s="676"/>
      <c r="C431" s="676"/>
      <c r="D431" s="676"/>
      <c r="E431" s="676"/>
      <c r="F431" s="676"/>
      <c r="G431" s="676"/>
      <c r="H431" s="676"/>
      <c r="I431" s="676"/>
      <c r="J431" s="676"/>
      <c r="K431" s="676"/>
      <c r="L431" s="676"/>
      <c r="M431" s="676"/>
      <c r="N431" s="676"/>
      <c r="O431" s="676"/>
      <c r="P431" s="676"/>
      <c r="Q431" s="676"/>
      <c r="R431" s="676"/>
      <c r="S431" s="676"/>
      <c r="T431" s="676"/>
      <c r="U431" s="676"/>
      <c r="V431" s="676"/>
      <c r="W431" s="676"/>
      <c r="X431" s="676"/>
      <c r="Y431" s="676"/>
      <c r="Z431" s="676"/>
      <c r="AA431" s="65"/>
      <c r="AB431" s="65"/>
      <c r="AC431" s="79"/>
    </row>
    <row r="432" spans="1:68" ht="14.25" hidden="1" customHeight="1" x14ac:dyDescent="0.25">
      <c r="A432" s="669" t="s">
        <v>121</v>
      </c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670">
        <v>4680115888401</v>
      </c>
      <c r="E433" s="670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72"/>
      <c r="R433" s="672"/>
      <c r="S433" s="672"/>
      <c r="T433" s="673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711</v>
      </c>
      <c r="B434" s="63" t="s">
        <v>712</v>
      </c>
      <c r="C434" s="36">
        <v>4301011869</v>
      </c>
      <c r="D434" s="670">
        <v>4680115884847</v>
      </c>
      <c r="E434" s="670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72"/>
      <c r="R434" s="672"/>
      <c r="S434" s="672"/>
      <c r="T434" s="673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670">
        <v>4680115884854</v>
      </c>
      <c r="E435" s="670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72"/>
      <c r="R435" s="672"/>
      <c r="S435" s="672"/>
      <c r="T435" s="673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670">
        <v>4680115884830</v>
      </c>
      <c r="E436" s="670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3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72"/>
      <c r="R436" s="672"/>
      <c r="S436" s="672"/>
      <c r="T436" s="673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670">
        <v>4680115889231</v>
      </c>
      <c r="E437" s="670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3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72"/>
      <c r="R437" s="672"/>
      <c r="S437" s="672"/>
      <c r="T437" s="673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670">
        <v>4680115882638</v>
      </c>
      <c r="E438" s="670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72"/>
      <c r="R438" s="672"/>
      <c r="S438" s="672"/>
      <c r="T438" s="673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670">
        <v>4680115884922</v>
      </c>
      <c r="E439" s="670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72"/>
      <c r="R439" s="672"/>
      <c r="S439" s="672"/>
      <c r="T439" s="673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670">
        <v>4680115884861</v>
      </c>
      <c r="E440" s="670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72"/>
      <c r="R440" s="672"/>
      <c r="S440" s="672"/>
      <c r="T440" s="673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hidden="1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7" t="s">
        <v>40</v>
      </c>
      <c r="Q441" s="658"/>
      <c r="R441" s="658"/>
      <c r="S441" s="658"/>
      <c r="T441" s="658"/>
      <c r="U441" s="658"/>
      <c r="V441" s="659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60"/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1"/>
      <c r="P442" s="657" t="s">
        <v>40</v>
      </c>
      <c r="Q442" s="658"/>
      <c r="R442" s="658"/>
      <c r="S442" s="658"/>
      <c r="T442" s="658"/>
      <c r="U442" s="658"/>
      <c r="V442" s="659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9" t="s">
        <v>158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"/>
      <c r="AB443" s="66"/>
      <c r="AC443" s="80"/>
    </row>
    <row r="444" spans="1:68" ht="27" customHeight="1" x14ac:dyDescent="0.25">
      <c r="A444" s="63" t="s">
        <v>732</v>
      </c>
      <c r="B444" s="63" t="s">
        <v>733</v>
      </c>
      <c r="C444" s="36">
        <v>4301020178</v>
      </c>
      <c r="D444" s="670">
        <v>4607091383980</v>
      </c>
      <c r="E444" s="670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72"/>
      <c r="R444" s="672"/>
      <c r="S444" s="672"/>
      <c r="T444" s="673"/>
      <c r="U444" s="39" t="s">
        <v>46</v>
      </c>
      <c r="V444" s="39" t="s">
        <v>46</v>
      </c>
      <c r="W444" s="40" t="s">
        <v>0</v>
      </c>
      <c r="X444" s="58">
        <v>800</v>
      </c>
      <c r="Y444" s="55">
        <f>IFERROR(IF(X444="",0,CEILING((X444/$H444),1)*$H444),"")</f>
        <v>810</v>
      </c>
      <c r="Z444" s="41">
        <f>IFERROR(IF(Y444=0,"",ROUNDUP(Y444/H444,0)*0.02175),"")</f>
        <v>1.1744999999999999</v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825.06666666666672</v>
      </c>
      <c r="BN444" s="78">
        <f>IFERROR(Y444*I444/H444,"0")</f>
        <v>835.38</v>
      </c>
      <c r="BO444" s="78">
        <f>IFERROR(1/J444*(X444/H444),"0")</f>
        <v>1.1111111111111112</v>
      </c>
      <c r="BP444" s="78">
        <f>IFERROR(1/J444*(Y444/H444),"0")</f>
        <v>1.125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670">
        <v>4680115888425</v>
      </c>
      <c r="E445" s="670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72"/>
      <c r="R445" s="672"/>
      <c r="S445" s="672"/>
      <c r="T445" s="673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670">
        <v>4607091384178</v>
      </c>
      <c r="E446" s="670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72"/>
      <c r="R446" s="672"/>
      <c r="S446" s="672"/>
      <c r="T446" s="673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7" t="s">
        <v>40</v>
      </c>
      <c r="Q447" s="658"/>
      <c r="R447" s="658"/>
      <c r="S447" s="658"/>
      <c r="T447" s="658"/>
      <c r="U447" s="658"/>
      <c r="V447" s="659"/>
      <c r="W447" s="42" t="s">
        <v>39</v>
      </c>
      <c r="X447" s="43">
        <f>IFERROR(X444/H444,"0")+IFERROR(X445/H445,"0")+IFERROR(X446/H446,"0")</f>
        <v>53.333333333333336</v>
      </c>
      <c r="Y447" s="43">
        <f>IFERROR(Y444/H444,"0")+IFERROR(Y445/H445,"0")+IFERROR(Y446/H446,"0")</f>
        <v>54</v>
      </c>
      <c r="Z447" s="43">
        <f>IFERROR(IF(Z444="",0,Z444),"0")+IFERROR(IF(Z445="",0,Z445),"0")+IFERROR(IF(Z446="",0,Z446),"0")</f>
        <v>1.1744999999999999</v>
      </c>
      <c r="AA447" s="67"/>
      <c r="AB447" s="67"/>
      <c r="AC447" s="67"/>
    </row>
    <row r="448" spans="1:68" x14ac:dyDescent="0.2">
      <c r="A448" s="660"/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1"/>
      <c r="P448" s="657" t="s">
        <v>40</v>
      </c>
      <c r="Q448" s="658"/>
      <c r="R448" s="658"/>
      <c r="S448" s="658"/>
      <c r="T448" s="658"/>
      <c r="U448" s="658"/>
      <c r="V448" s="659"/>
      <c r="W448" s="42" t="s">
        <v>0</v>
      </c>
      <c r="X448" s="43">
        <f>IFERROR(SUM(X444:X446),"0")</f>
        <v>800</v>
      </c>
      <c r="Y448" s="43">
        <f>IFERROR(SUM(Y444:Y446),"0")</f>
        <v>810</v>
      </c>
      <c r="Z448" s="42"/>
      <c r="AA448" s="67"/>
      <c r="AB448" s="67"/>
      <c r="AC448" s="67"/>
    </row>
    <row r="449" spans="1:68" ht="14.25" hidden="1" customHeight="1" x14ac:dyDescent="0.25">
      <c r="A449" s="669" t="s">
        <v>85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670">
        <v>4607091383928</v>
      </c>
      <c r="E450" s="670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72"/>
      <c r="R450" s="672"/>
      <c r="S450" s="672"/>
      <c r="T450" s="673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670">
        <v>4607091384260</v>
      </c>
      <c r="E451" s="670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72"/>
      <c r="R451" s="672"/>
      <c r="S451" s="672"/>
      <c r="T451" s="673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670">
        <v>4680115889538</v>
      </c>
      <c r="E452" s="670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72"/>
      <c r="R452" s="672"/>
      <c r="S452" s="672"/>
      <c r="T452" s="673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7" t="s">
        <v>40</v>
      </c>
      <c r="Q453" s="658"/>
      <c r="R453" s="658"/>
      <c r="S453" s="658"/>
      <c r="T453" s="658"/>
      <c r="U453" s="658"/>
      <c r="V453" s="659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9" t="s">
        <v>177</v>
      </c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670">
        <v>4680115889545</v>
      </c>
      <c r="E456" s="670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2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72"/>
      <c r="R456" s="672"/>
      <c r="S456" s="672"/>
      <c r="T456" s="673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670">
        <v>4607091384673</v>
      </c>
      <c r="E457" s="670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72"/>
      <c r="R457" s="672"/>
      <c r="S457" s="672"/>
      <c r="T457" s="673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7" t="s">
        <v>40</v>
      </c>
      <c r="Q458" s="658"/>
      <c r="R458" s="658"/>
      <c r="S458" s="658"/>
      <c r="T458" s="658"/>
      <c r="U458" s="658"/>
      <c r="V458" s="659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0"/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1"/>
      <c r="P459" s="657" t="s">
        <v>40</v>
      </c>
      <c r="Q459" s="658"/>
      <c r="R459" s="658"/>
      <c r="S459" s="658"/>
      <c r="T459" s="658"/>
      <c r="U459" s="658"/>
      <c r="V459" s="659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6" t="s">
        <v>756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5"/>
      <c r="AB460" s="65"/>
      <c r="AC460" s="79"/>
    </row>
    <row r="461" spans="1:68" ht="14.25" hidden="1" customHeight="1" x14ac:dyDescent="0.25">
      <c r="A461" s="669" t="s">
        <v>121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670">
        <v>4680115884885</v>
      </c>
      <c r="E462" s="670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72"/>
      <c r="R462" s="672"/>
      <c r="S462" s="672"/>
      <c r="T462" s="673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670">
        <v>4680115884908</v>
      </c>
      <c r="E463" s="67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72"/>
      <c r="R463" s="672"/>
      <c r="S463" s="672"/>
      <c r="T463" s="673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9" t="s">
        <v>76</v>
      </c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670">
        <v>4607091384802</v>
      </c>
      <c r="E467" s="670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72"/>
      <c r="R467" s="672"/>
      <c r="S467" s="672"/>
      <c r="T467" s="673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7" t="s">
        <v>40</v>
      </c>
      <c r="Q468" s="658"/>
      <c r="R468" s="658"/>
      <c r="S468" s="658"/>
      <c r="T468" s="658"/>
      <c r="U468" s="658"/>
      <c r="V468" s="659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0"/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1"/>
      <c r="P469" s="657" t="s">
        <v>40</v>
      </c>
      <c r="Q469" s="658"/>
      <c r="R469" s="658"/>
      <c r="S469" s="658"/>
      <c r="T469" s="658"/>
      <c r="U469" s="658"/>
      <c r="V469" s="659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9" t="s">
        <v>85</v>
      </c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670">
        <v>4607091384246</v>
      </c>
      <c r="E471" s="670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72"/>
      <c r="R471" s="672"/>
      <c r="S471" s="672"/>
      <c r="T471" s="673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670">
        <v>4607091384253</v>
      </c>
      <c r="E472" s="670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72"/>
      <c r="R472" s="672"/>
      <c r="S472" s="672"/>
      <c r="T472" s="673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670">
        <v>4607091384253</v>
      </c>
      <c r="E473" s="670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72"/>
      <c r="R473" s="672"/>
      <c r="S473" s="672"/>
      <c r="T473" s="673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7" t="s">
        <v>40</v>
      </c>
      <c r="Q474" s="658"/>
      <c r="R474" s="658"/>
      <c r="S474" s="658"/>
      <c r="T474" s="658"/>
      <c r="U474" s="658"/>
      <c r="V474" s="659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0"/>
      <c r="B475" s="660"/>
      <c r="C475" s="660"/>
      <c r="D475" s="660"/>
      <c r="E475" s="660"/>
      <c r="F475" s="660"/>
      <c r="G475" s="660"/>
      <c r="H475" s="660"/>
      <c r="I475" s="660"/>
      <c r="J475" s="660"/>
      <c r="K475" s="660"/>
      <c r="L475" s="660"/>
      <c r="M475" s="660"/>
      <c r="N475" s="660"/>
      <c r="O475" s="661"/>
      <c r="P475" s="657" t="s">
        <v>40</v>
      </c>
      <c r="Q475" s="658"/>
      <c r="R475" s="658"/>
      <c r="S475" s="658"/>
      <c r="T475" s="658"/>
      <c r="U475" s="658"/>
      <c r="V475" s="659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7" t="s">
        <v>772</v>
      </c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  <c r="AA476" s="54"/>
      <c r="AB476" s="54"/>
      <c r="AC476" s="54"/>
    </row>
    <row r="477" spans="1:68" ht="16.5" hidden="1" customHeight="1" x14ac:dyDescent="0.25">
      <c r="A477" s="676" t="s">
        <v>773</v>
      </c>
      <c r="B477" s="676"/>
      <c r="C477" s="676"/>
      <c r="D477" s="676"/>
      <c r="E477" s="676"/>
      <c r="F477" s="676"/>
      <c r="G477" s="676"/>
      <c r="H477" s="676"/>
      <c r="I477" s="676"/>
      <c r="J477" s="676"/>
      <c r="K477" s="676"/>
      <c r="L477" s="676"/>
      <c r="M477" s="676"/>
      <c r="N477" s="676"/>
      <c r="O477" s="676"/>
      <c r="P477" s="676"/>
      <c r="Q477" s="676"/>
      <c r="R477" s="676"/>
      <c r="S477" s="676"/>
      <c r="T477" s="676"/>
      <c r="U477" s="676"/>
      <c r="V477" s="676"/>
      <c r="W477" s="676"/>
      <c r="X477" s="676"/>
      <c r="Y477" s="676"/>
      <c r="Z477" s="676"/>
      <c r="AA477" s="65"/>
      <c r="AB477" s="65"/>
      <c r="AC477" s="79"/>
    </row>
    <row r="478" spans="1:68" ht="14.25" hidden="1" customHeight="1" x14ac:dyDescent="0.25">
      <c r="A478" s="669" t="s">
        <v>76</v>
      </c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670">
        <v>4680115886100</v>
      </c>
      <c r="E479" s="670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72"/>
      <c r="R479" s="672"/>
      <c r="S479" s="672"/>
      <c r="T479" s="673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670">
        <v>4680115886124</v>
      </c>
      <c r="E480" s="670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72"/>
      <c r="R480" s="672"/>
      <c r="S480" s="672"/>
      <c r="T480" s="673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670">
        <v>4607091384338</v>
      </c>
      <c r="E481" s="670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72"/>
      <c r="R481" s="672"/>
      <c r="S481" s="672"/>
      <c r="T481" s="673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670">
        <v>4680115883161</v>
      </c>
      <c r="E482" s="670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72"/>
      <c r="R482" s="672"/>
      <c r="S482" s="672"/>
      <c r="T482" s="673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670">
        <v>4607091389531</v>
      </c>
      <c r="E483" s="670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72"/>
      <c r="R483" s="672"/>
      <c r="S483" s="672"/>
      <c r="T483" s="673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670">
        <v>4607091384345</v>
      </c>
      <c r="E484" s="670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72"/>
      <c r="R484" s="672"/>
      <c r="S484" s="672"/>
      <c r="T484" s="673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7" t="s">
        <v>40</v>
      </c>
      <c r="Q485" s="658"/>
      <c r="R485" s="658"/>
      <c r="S485" s="658"/>
      <c r="T485" s="658"/>
      <c r="U485" s="658"/>
      <c r="V485" s="659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9" t="s">
        <v>85</v>
      </c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670">
        <v>4607091384352</v>
      </c>
      <c r="E488" s="670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72"/>
      <c r="R488" s="672"/>
      <c r="S488" s="672"/>
      <c r="T488" s="673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670">
        <v>4607091389654</v>
      </c>
      <c r="E489" s="670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72"/>
      <c r="R489" s="672"/>
      <c r="S489" s="672"/>
      <c r="T489" s="673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7" t="s">
        <v>40</v>
      </c>
      <c r="Q490" s="658"/>
      <c r="R490" s="658"/>
      <c r="S490" s="658"/>
      <c r="T490" s="658"/>
      <c r="U490" s="658"/>
      <c r="V490" s="659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76" t="s">
        <v>796</v>
      </c>
      <c r="B492" s="676"/>
      <c r="C492" s="676"/>
      <c r="D492" s="676"/>
      <c r="E492" s="676"/>
      <c r="F492" s="676"/>
      <c r="G492" s="676"/>
      <c r="H492" s="676"/>
      <c r="I492" s="676"/>
      <c r="J492" s="676"/>
      <c r="K492" s="676"/>
      <c r="L492" s="676"/>
      <c r="M492" s="676"/>
      <c r="N492" s="676"/>
      <c r="O492" s="676"/>
      <c r="P492" s="676"/>
      <c r="Q492" s="676"/>
      <c r="R492" s="676"/>
      <c r="S492" s="676"/>
      <c r="T492" s="676"/>
      <c r="U492" s="676"/>
      <c r="V492" s="676"/>
      <c r="W492" s="676"/>
      <c r="X492" s="676"/>
      <c r="Y492" s="676"/>
      <c r="Z492" s="676"/>
      <c r="AA492" s="65"/>
      <c r="AB492" s="65"/>
      <c r="AC492" s="79"/>
    </row>
    <row r="493" spans="1:68" ht="14.25" hidden="1" customHeight="1" x14ac:dyDescent="0.25">
      <c r="A493" s="669" t="s">
        <v>158</v>
      </c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670">
        <v>4680115885240</v>
      </c>
      <c r="E494" s="670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72"/>
      <c r="R494" s="672"/>
      <c r="S494" s="672"/>
      <c r="T494" s="673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7" t="s">
        <v>40</v>
      </c>
      <c r="Q495" s="658"/>
      <c r="R495" s="658"/>
      <c r="S495" s="658"/>
      <c r="T495" s="658"/>
      <c r="U495" s="658"/>
      <c r="V495" s="659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0"/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1"/>
      <c r="P496" s="657" t="s">
        <v>40</v>
      </c>
      <c r="Q496" s="658"/>
      <c r="R496" s="658"/>
      <c r="S496" s="658"/>
      <c r="T496" s="658"/>
      <c r="U496" s="658"/>
      <c r="V496" s="659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9" t="s">
        <v>76</v>
      </c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670">
        <v>4680115886094</v>
      </c>
      <c r="E498" s="670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72"/>
      <c r="R498" s="672"/>
      <c r="S498" s="672"/>
      <c r="T498" s="673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670">
        <v>4680115880771</v>
      </c>
      <c r="E499" s="670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72"/>
      <c r="R499" s="672"/>
      <c r="S499" s="672"/>
      <c r="T499" s="673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670">
        <v>4607091389500</v>
      </c>
      <c r="E500" s="670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72"/>
      <c r="R500" s="672"/>
      <c r="S500" s="672"/>
      <c r="T500" s="673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7" t="s">
        <v>40</v>
      </c>
      <c r="Q501" s="658"/>
      <c r="R501" s="658"/>
      <c r="S501" s="658"/>
      <c r="T501" s="658"/>
      <c r="U501" s="658"/>
      <c r="V501" s="659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0"/>
      <c r="B502" s="660"/>
      <c r="C502" s="660"/>
      <c r="D502" s="660"/>
      <c r="E502" s="660"/>
      <c r="F502" s="660"/>
      <c r="G502" s="660"/>
      <c r="H502" s="660"/>
      <c r="I502" s="660"/>
      <c r="J502" s="660"/>
      <c r="K502" s="660"/>
      <c r="L502" s="660"/>
      <c r="M502" s="660"/>
      <c r="N502" s="660"/>
      <c r="O502" s="661"/>
      <c r="P502" s="657" t="s">
        <v>40</v>
      </c>
      <c r="Q502" s="658"/>
      <c r="R502" s="658"/>
      <c r="S502" s="658"/>
      <c r="T502" s="658"/>
      <c r="U502" s="658"/>
      <c r="V502" s="659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7" t="s">
        <v>808</v>
      </c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  <c r="AA503" s="54"/>
      <c r="AB503" s="54"/>
      <c r="AC503" s="54"/>
    </row>
    <row r="504" spans="1:68" ht="16.5" hidden="1" customHeight="1" x14ac:dyDescent="0.25">
      <c r="A504" s="676" t="s">
        <v>808</v>
      </c>
      <c r="B504" s="676"/>
      <c r="C504" s="676"/>
      <c r="D504" s="676"/>
      <c r="E504" s="676"/>
      <c r="F504" s="676"/>
      <c r="G504" s="676"/>
      <c r="H504" s="676"/>
      <c r="I504" s="676"/>
      <c r="J504" s="676"/>
      <c r="K504" s="676"/>
      <c r="L504" s="676"/>
      <c r="M504" s="676"/>
      <c r="N504" s="676"/>
      <c r="O504" s="676"/>
      <c r="P504" s="676"/>
      <c r="Q504" s="676"/>
      <c r="R504" s="676"/>
      <c r="S504" s="676"/>
      <c r="T504" s="676"/>
      <c r="U504" s="676"/>
      <c r="V504" s="676"/>
      <c r="W504" s="676"/>
      <c r="X504" s="676"/>
      <c r="Y504" s="676"/>
      <c r="Z504" s="676"/>
      <c r="AA504" s="65"/>
      <c r="AB504" s="65"/>
      <c r="AC504" s="79"/>
    </row>
    <row r="505" spans="1:68" ht="14.25" hidden="1" customHeight="1" x14ac:dyDescent="0.25">
      <c r="A505" s="669" t="s">
        <v>121</v>
      </c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670">
        <v>4607091389067</v>
      </c>
      <c r="E506" s="670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72"/>
      <c r="R506" s="672"/>
      <c r="S506" s="672"/>
      <c r="T506" s="673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670">
        <v>4680115889576</v>
      </c>
      <c r="E507" s="670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72"/>
      <c r="R507" s="672"/>
      <c r="S507" s="672"/>
      <c r="T507" s="673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670">
        <v>4680115885271</v>
      </c>
      <c r="E508" s="670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72"/>
      <c r="R508" s="672"/>
      <c r="S508" s="672"/>
      <c r="T508" s="673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670">
        <v>4680115885226</v>
      </c>
      <c r="E509" s="670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72"/>
      <c r="R509" s="672"/>
      <c r="S509" s="672"/>
      <c r="T509" s="673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670">
        <v>4680115884502</v>
      </c>
      <c r="E510" s="670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72"/>
      <c r="R510" s="672"/>
      <c r="S510" s="672"/>
      <c r="T510" s="673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670">
        <v>4607091389104</v>
      </c>
      <c r="E511" s="670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72"/>
      <c r="R511" s="672"/>
      <c r="S511" s="672"/>
      <c r="T511" s="673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670">
        <v>4680115886391</v>
      </c>
      <c r="E512" s="670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72"/>
      <c r="R512" s="672"/>
      <c r="S512" s="672"/>
      <c r="T512" s="673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670">
        <v>4680115880603</v>
      </c>
      <c r="E513" s="670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72"/>
      <c r="R513" s="672"/>
      <c r="S513" s="672"/>
      <c r="T513" s="673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670">
        <v>4607091389982</v>
      </c>
      <c r="E514" s="670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72"/>
      <c r="R514" s="672"/>
      <c r="S514" s="672"/>
      <c r="T514" s="673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7" t="s">
        <v>40</v>
      </c>
      <c r="Q515" s="658"/>
      <c r="R515" s="658"/>
      <c r="S515" s="658"/>
      <c r="T515" s="658"/>
      <c r="U515" s="658"/>
      <c r="V515" s="659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0"/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1"/>
      <c r="P516" s="657" t="s">
        <v>40</v>
      </c>
      <c r="Q516" s="658"/>
      <c r="R516" s="658"/>
      <c r="S516" s="658"/>
      <c r="T516" s="658"/>
      <c r="U516" s="658"/>
      <c r="V516" s="659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9" t="s">
        <v>158</v>
      </c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670">
        <v>4607091388930</v>
      </c>
      <c r="E518" s="670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72"/>
      <c r="R518" s="672"/>
      <c r="S518" s="672"/>
      <c r="T518" s="673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670">
        <v>4680115886407</v>
      </c>
      <c r="E519" s="670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72"/>
      <c r="R519" s="672"/>
      <c r="S519" s="672"/>
      <c r="T519" s="673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670">
        <v>4680115880054</v>
      </c>
      <c r="E520" s="670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72"/>
      <c r="R520" s="672"/>
      <c r="S520" s="672"/>
      <c r="T520" s="673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7" t="s">
        <v>40</v>
      </c>
      <c r="Q521" s="658"/>
      <c r="R521" s="658"/>
      <c r="S521" s="658"/>
      <c r="T521" s="658"/>
      <c r="U521" s="658"/>
      <c r="V521" s="659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0"/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1"/>
      <c r="P522" s="657" t="s">
        <v>40</v>
      </c>
      <c r="Q522" s="658"/>
      <c r="R522" s="658"/>
      <c r="S522" s="658"/>
      <c r="T522" s="658"/>
      <c r="U522" s="658"/>
      <c r="V522" s="659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9" t="s">
        <v>76</v>
      </c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670">
        <v>4680115883116</v>
      </c>
      <c r="E524" s="670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72"/>
      <c r="R524" s="672"/>
      <c r="S524" s="672"/>
      <c r="T524" s="673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670">
        <v>4680115883093</v>
      </c>
      <c r="E525" s="670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72"/>
      <c r="R525" s="672"/>
      <c r="S525" s="672"/>
      <c r="T525" s="673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670">
        <v>4680115883109</v>
      </c>
      <c r="E526" s="670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72"/>
      <c r="R526" s="672"/>
      <c r="S526" s="672"/>
      <c r="T526" s="673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670">
        <v>4680115882072</v>
      </c>
      <c r="E527" s="670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72"/>
      <c r="R527" s="672"/>
      <c r="S527" s="672"/>
      <c r="T527" s="673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670">
        <v>4680115882102</v>
      </c>
      <c r="E528" s="670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72"/>
      <c r="R528" s="672"/>
      <c r="S528" s="672"/>
      <c r="T528" s="673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670">
        <v>4680115882102</v>
      </c>
      <c r="E529" s="670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72"/>
      <c r="R529" s="672"/>
      <c r="S529" s="672"/>
      <c r="T529" s="673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670">
        <v>4680115882096</v>
      </c>
      <c r="E530" s="670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72"/>
      <c r="R530" s="672"/>
      <c r="S530" s="672"/>
      <c r="T530" s="673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7" t="s">
        <v>40</v>
      </c>
      <c r="Q531" s="658"/>
      <c r="R531" s="658"/>
      <c r="S531" s="658"/>
      <c r="T531" s="658"/>
      <c r="U531" s="658"/>
      <c r="V531" s="659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0"/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1"/>
      <c r="P532" s="657" t="s">
        <v>40</v>
      </c>
      <c r="Q532" s="658"/>
      <c r="R532" s="658"/>
      <c r="S532" s="658"/>
      <c r="T532" s="658"/>
      <c r="U532" s="658"/>
      <c r="V532" s="659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7" t="s">
        <v>855</v>
      </c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  <c r="AA533" s="54"/>
      <c r="AB533" s="54"/>
      <c r="AC533" s="54"/>
    </row>
    <row r="534" spans="1:68" ht="16.5" hidden="1" customHeight="1" x14ac:dyDescent="0.25">
      <c r="A534" s="676" t="s">
        <v>855</v>
      </c>
      <c r="B534" s="676"/>
      <c r="C534" s="676"/>
      <c r="D534" s="676"/>
      <c r="E534" s="676"/>
      <c r="F534" s="676"/>
      <c r="G534" s="676"/>
      <c r="H534" s="676"/>
      <c r="I534" s="676"/>
      <c r="J534" s="676"/>
      <c r="K534" s="676"/>
      <c r="L534" s="676"/>
      <c r="M534" s="676"/>
      <c r="N534" s="676"/>
      <c r="O534" s="676"/>
      <c r="P534" s="676"/>
      <c r="Q534" s="676"/>
      <c r="R534" s="676"/>
      <c r="S534" s="676"/>
      <c r="T534" s="676"/>
      <c r="U534" s="676"/>
      <c r="V534" s="676"/>
      <c r="W534" s="676"/>
      <c r="X534" s="676"/>
      <c r="Y534" s="676"/>
      <c r="Z534" s="676"/>
      <c r="AA534" s="65"/>
      <c r="AB534" s="65"/>
      <c r="AC534" s="79"/>
    </row>
    <row r="535" spans="1:68" ht="14.25" hidden="1" customHeight="1" x14ac:dyDescent="0.25">
      <c r="A535" s="669" t="s">
        <v>121</v>
      </c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670">
        <v>4640242180564</v>
      </c>
      <c r="E536" s="670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72"/>
      <c r="R536" s="672"/>
      <c r="S536" s="672"/>
      <c r="T536" s="673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9" t="s">
        <v>158</v>
      </c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670">
        <v>4680115889781</v>
      </c>
      <c r="E540" s="670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7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72"/>
      <c r="R540" s="672"/>
      <c r="S540" s="672"/>
      <c r="T540" s="673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9" t="s">
        <v>76</v>
      </c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670">
        <v>4640242180595</v>
      </c>
      <c r="E544" s="670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72"/>
      <c r="R544" s="672"/>
      <c r="S544" s="672"/>
      <c r="T544" s="673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9" t="s">
        <v>85</v>
      </c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670">
        <v>4680115889811</v>
      </c>
      <c r="E548" s="670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72"/>
      <c r="R548" s="672"/>
      <c r="S548" s="672"/>
      <c r="T548" s="673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7" t="s">
        <v>40</v>
      </c>
      <c r="Q549" s="658"/>
      <c r="R549" s="658"/>
      <c r="S549" s="658"/>
      <c r="T549" s="658"/>
      <c r="U549" s="658"/>
      <c r="V549" s="659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9" t="s">
        <v>177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670">
        <v>4680115889804</v>
      </c>
      <c r="E552" s="670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72"/>
      <c r="R552" s="672"/>
      <c r="S552" s="672"/>
      <c r="T552" s="673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670">
        <v>4680115889828</v>
      </c>
      <c r="E553" s="670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72"/>
      <c r="R553" s="672"/>
      <c r="S553" s="672"/>
      <c r="T553" s="673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7" t="s">
        <v>40</v>
      </c>
      <c r="Q554" s="658"/>
      <c r="R554" s="658"/>
      <c r="S554" s="658"/>
      <c r="T554" s="658"/>
      <c r="U554" s="658"/>
      <c r="V554" s="659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0"/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1"/>
      <c r="P555" s="657" t="s">
        <v>40</v>
      </c>
      <c r="Q555" s="658"/>
      <c r="R555" s="658"/>
      <c r="S555" s="658"/>
      <c r="T555" s="658"/>
      <c r="U555" s="658"/>
      <c r="V555" s="659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76" t="s">
        <v>873</v>
      </c>
      <c r="B556" s="676"/>
      <c r="C556" s="676"/>
      <c r="D556" s="676"/>
      <c r="E556" s="676"/>
      <c r="F556" s="676"/>
      <c r="G556" s="676"/>
      <c r="H556" s="676"/>
      <c r="I556" s="676"/>
      <c r="J556" s="676"/>
      <c r="K556" s="676"/>
      <c r="L556" s="676"/>
      <c r="M556" s="676"/>
      <c r="N556" s="676"/>
      <c r="O556" s="676"/>
      <c r="P556" s="676"/>
      <c r="Q556" s="676"/>
      <c r="R556" s="676"/>
      <c r="S556" s="676"/>
      <c r="T556" s="676"/>
      <c r="U556" s="676"/>
      <c r="V556" s="676"/>
      <c r="W556" s="676"/>
      <c r="X556" s="676"/>
      <c r="Y556" s="676"/>
      <c r="Z556" s="676"/>
      <c r="AA556" s="65"/>
      <c r="AB556" s="65"/>
      <c r="AC556" s="79"/>
    </row>
    <row r="557" spans="1:68" ht="14.25" hidden="1" customHeight="1" x14ac:dyDescent="0.25">
      <c r="A557" s="669" t="s">
        <v>158</v>
      </c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670">
        <v>4680115889798</v>
      </c>
      <c r="E558" s="670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7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72"/>
      <c r="R558" s="672"/>
      <c r="S558" s="672"/>
      <c r="T558" s="673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7" t="s">
        <v>40</v>
      </c>
      <c r="Q559" s="658"/>
      <c r="R559" s="658"/>
      <c r="S559" s="658"/>
      <c r="T559" s="658"/>
      <c r="U559" s="658"/>
      <c r="V559" s="659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1"/>
      <c r="P560" s="657" t="s">
        <v>40</v>
      </c>
      <c r="Q560" s="658"/>
      <c r="R560" s="658"/>
      <c r="S560" s="658"/>
      <c r="T560" s="658"/>
      <c r="U560" s="658"/>
      <c r="V560" s="659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33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800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810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34</v>
      </c>
      <c r="Q562" s="663"/>
      <c r="R562" s="663"/>
      <c r="S562" s="663"/>
      <c r="T562" s="663"/>
      <c r="U562" s="663"/>
      <c r="V562" s="664"/>
      <c r="W562" s="42" t="s">
        <v>0</v>
      </c>
      <c r="X562" s="43">
        <f>IFERROR(SUM(BM22:BM558),"0")</f>
        <v>825.06666666666672</v>
      </c>
      <c r="Y562" s="43">
        <f>IFERROR(SUM(BN22:BN558),"0")</f>
        <v>835.38</v>
      </c>
      <c r="Z562" s="42"/>
      <c r="AA562" s="67"/>
      <c r="AB562" s="67"/>
      <c r="AC562" s="67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35</v>
      </c>
      <c r="Q563" s="663"/>
      <c r="R563" s="663"/>
      <c r="S563" s="663"/>
      <c r="T563" s="663"/>
      <c r="U563" s="663"/>
      <c r="V563" s="664"/>
      <c r="W563" s="42" t="s">
        <v>20</v>
      </c>
      <c r="X563" s="44">
        <f>ROUNDUP(SUM(BO22:BO558),0)</f>
        <v>2</v>
      </c>
      <c r="Y563" s="44">
        <f>ROUNDUP(SUM(BP22:BP558),0)</f>
        <v>2</v>
      </c>
      <c r="Z563" s="42"/>
      <c r="AA563" s="67"/>
      <c r="AB563" s="67"/>
      <c r="AC563" s="67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665"/>
      <c r="P564" s="662" t="s">
        <v>36</v>
      </c>
      <c r="Q564" s="663"/>
      <c r="R564" s="663"/>
      <c r="S564" s="663"/>
      <c r="T564" s="663"/>
      <c r="U564" s="663"/>
      <c r="V564" s="664"/>
      <c r="W564" s="42" t="s">
        <v>0</v>
      </c>
      <c r="X564" s="43">
        <f>GrossWeightTotal+PalletQtyTotal*25</f>
        <v>875.06666666666672</v>
      </c>
      <c r="Y564" s="43">
        <f>GrossWeightTotalR+PalletQtyTotalR*25</f>
        <v>885.38</v>
      </c>
      <c r="Z564" s="42"/>
      <c r="AA564" s="67"/>
      <c r="AB564" s="67"/>
      <c r="AC564" s="67"/>
    </row>
    <row r="565" spans="1:32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665"/>
      <c r="P565" s="662" t="s">
        <v>37</v>
      </c>
      <c r="Q565" s="663"/>
      <c r="R565" s="663"/>
      <c r="S565" s="663"/>
      <c r="T565" s="663"/>
      <c r="U565" s="663"/>
      <c r="V565" s="664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53.333333333333336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54</v>
      </c>
      <c r="Z565" s="42"/>
      <c r="AA565" s="67"/>
      <c r="AB565" s="67"/>
      <c r="AC565" s="67"/>
    </row>
    <row r="566" spans="1:32" ht="14.25" hidden="1" x14ac:dyDescent="0.2">
      <c r="A566" s="660"/>
      <c r="B566" s="660"/>
      <c r="C566" s="660"/>
      <c r="D566" s="660"/>
      <c r="E566" s="660"/>
      <c r="F566" s="660"/>
      <c r="G566" s="660"/>
      <c r="H566" s="660"/>
      <c r="I566" s="660"/>
      <c r="J566" s="660"/>
      <c r="K566" s="660"/>
      <c r="L566" s="660"/>
      <c r="M566" s="660"/>
      <c r="N566" s="660"/>
      <c r="O566" s="665"/>
      <c r="P566" s="662" t="s">
        <v>38</v>
      </c>
      <c r="Q566" s="663"/>
      <c r="R566" s="663"/>
      <c r="S566" s="663"/>
      <c r="T566" s="663"/>
      <c r="U566" s="663"/>
      <c r="V566" s="664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1.1744999999999999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351</v>
      </c>
      <c r="L568" s="656" t="s">
        <v>351</v>
      </c>
      <c r="M568" s="656" t="s">
        <v>351</v>
      </c>
      <c r="N568" s="666"/>
      <c r="O568" s="656" t="s">
        <v>351</v>
      </c>
      <c r="P568" s="656" t="s">
        <v>351</v>
      </c>
      <c r="Q568" s="656" t="s">
        <v>351</v>
      </c>
      <c r="R568" s="656" t="s">
        <v>351</v>
      </c>
      <c r="S568" s="656" t="s">
        <v>351</v>
      </c>
      <c r="T568" s="656" t="s">
        <v>351</v>
      </c>
      <c r="U568" s="656" t="s">
        <v>351</v>
      </c>
      <c r="V568" s="656" t="s">
        <v>351</v>
      </c>
      <c r="W568" s="656" t="s">
        <v>706</v>
      </c>
      <c r="X568" s="656" t="s">
        <v>706</v>
      </c>
      <c r="Y568" s="656" t="s">
        <v>772</v>
      </c>
      <c r="Z568" s="656" t="s">
        <v>772</v>
      </c>
      <c r="AA568" s="85" t="s">
        <v>808</v>
      </c>
      <c r="AB568" s="656" t="s">
        <v>855</v>
      </c>
      <c r="AC568" s="656" t="s">
        <v>855</v>
      </c>
      <c r="AF568" s="1"/>
    </row>
    <row r="569" spans="1:32" ht="14.25" customHeight="1" thickTop="1" x14ac:dyDescent="0.2">
      <c r="A569" s="667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208</v>
      </c>
      <c r="H569" s="656" t="s">
        <v>254</v>
      </c>
      <c r="I569" s="656" t="s">
        <v>267</v>
      </c>
      <c r="J569" s="656" t="s">
        <v>119</v>
      </c>
      <c r="K569" s="656" t="s">
        <v>352</v>
      </c>
      <c r="L569" s="656" t="s">
        <v>373</v>
      </c>
      <c r="M569" s="656" t="s">
        <v>447</v>
      </c>
      <c r="N569" s="1"/>
      <c r="O569" s="656" t="s">
        <v>515</v>
      </c>
      <c r="P569" s="656" t="s">
        <v>544</v>
      </c>
      <c r="Q569" s="656" t="s">
        <v>564</v>
      </c>
      <c r="R569" s="656" t="s">
        <v>573</v>
      </c>
      <c r="S569" s="656" t="s">
        <v>594</v>
      </c>
      <c r="T569" s="656" t="s">
        <v>603</v>
      </c>
      <c r="U569" s="656" t="s">
        <v>689</v>
      </c>
      <c r="V569" s="656" t="s">
        <v>696</v>
      </c>
      <c r="W569" s="656" t="s">
        <v>707</v>
      </c>
      <c r="X569" s="656" t="s">
        <v>756</v>
      </c>
      <c r="Y569" s="656" t="s">
        <v>773</v>
      </c>
      <c r="Z569" s="656" t="s">
        <v>796</v>
      </c>
      <c r="AA569" s="656" t="s">
        <v>808</v>
      </c>
      <c r="AB569" s="656" t="s">
        <v>855</v>
      </c>
      <c r="AC569" s="656" t="s">
        <v>873</v>
      </c>
      <c r="AF569" s="1"/>
    </row>
    <row r="570" spans="1:32" ht="13.5" thickBot="1" x14ac:dyDescent="0.25">
      <c r="A570" s="668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810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2026-09-29T07:55:11Z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