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24,09,26 ПОКОМ КИ\дозаказы 26,09,26\"/>
    </mc:Choice>
  </mc:AlternateContent>
  <xr:revisionPtr revIDLastSave="0" documentId="13_ncr:1_{C04AE477-17BB-48B0-AE1B-CD56E2166B1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N518" i="2"/>
  <c r="BM518" i="2"/>
  <c r="Y518" i="2"/>
  <c r="BP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N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N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N498" i="2"/>
  <c r="BM498" i="2"/>
  <c r="Y498" i="2"/>
  <c r="BP498" i="2" s="1"/>
  <c r="P498" i="2"/>
  <c r="BO497" i="2"/>
  <c r="BM497" i="2"/>
  <c r="Y497" i="2"/>
  <c r="BP497" i="2" s="1"/>
  <c r="P497" i="2"/>
  <c r="BP496" i="2"/>
  <c r="BO496" i="2"/>
  <c r="BM496" i="2"/>
  <c r="Z496" i="2"/>
  <c r="Y496" i="2"/>
  <c r="Y500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N471" i="2"/>
  <c r="BM471" i="2"/>
  <c r="Y471" i="2"/>
  <c r="BP471" i="2" s="1"/>
  <c r="P471" i="2"/>
  <c r="BO470" i="2"/>
  <c r="BM470" i="2"/>
  <c r="Y470" i="2"/>
  <c r="BP470" i="2" s="1"/>
  <c r="P470" i="2"/>
  <c r="BO469" i="2"/>
  <c r="BN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Y463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N438" i="2"/>
  <c r="BM438" i="2"/>
  <c r="Y438" i="2"/>
  <c r="BP438" i="2" s="1"/>
  <c r="P438" i="2"/>
  <c r="BO437" i="2"/>
  <c r="BM437" i="2"/>
  <c r="Z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N424" i="2"/>
  <c r="BM424" i="2"/>
  <c r="Z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P417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P393" i="2"/>
  <c r="BO393" i="2"/>
  <c r="BM393" i="2"/>
  <c r="Y393" i="2"/>
  <c r="P393" i="2"/>
  <c r="BP392" i="2"/>
  <c r="BO392" i="2"/>
  <c r="BN392" i="2"/>
  <c r="BM392" i="2"/>
  <c r="Z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P384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P370" i="2"/>
  <c r="BO370" i="2"/>
  <c r="BN370" i="2"/>
  <c r="BM370" i="2"/>
  <c r="Z370" i="2"/>
  <c r="Y370" i="2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Y360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P337" i="2"/>
  <c r="BO337" i="2"/>
  <c r="BM337" i="2"/>
  <c r="Z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P328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P321" i="2"/>
  <c r="BO321" i="2"/>
  <c r="BM321" i="2"/>
  <c r="Z321" i="2"/>
  <c r="Z322" i="2" s="1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N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P298" i="2"/>
  <c r="BO298" i="2"/>
  <c r="BM298" i="2"/>
  <c r="Z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X280" i="2"/>
  <c r="X279" i="2"/>
  <c r="BO278" i="2"/>
  <c r="BN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P271" i="2"/>
  <c r="BO271" i="2"/>
  <c r="BN271" i="2"/>
  <c r="BM271" i="2"/>
  <c r="Y271" i="2"/>
  <c r="Z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N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N245" i="2"/>
  <c r="BM245" i="2"/>
  <c r="Z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P238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P216" i="2"/>
  <c r="BO216" i="2"/>
  <c r="BN216" i="2"/>
  <c r="BM216" i="2"/>
  <c r="Z216" i="2"/>
  <c r="Z217" i="2" s="1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N207" i="2"/>
  <c r="BM207" i="2"/>
  <c r="Y207" i="2"/>
  <c r="P207" i="2"/>
  <c r="BO206" i="2"/>
  <c r="BM206" i="2"/>
  <c r="Z206" i="2"/>
  <c r="Y206" i="2"/>
  <c r="BP206" i="2" s="1"/>
  <c r="P206" i="2"/>
  <c r="BP205" i="2"/>
  <c r="BO205" i="2"/>
  <c r="BM205" i="2"/>
  <c r="Z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P184" i="2"/>
  <c r="BO184" i="2"/>
  <c r="BM184" i="2"/>
  <c r="Y184" i="2"/>
  <c r="BN184" i="2" s="1"/>
  <c r="P184" i="2"/>
  <c r="BO183" i="2"/>
  <c r="BM183" i="2"/>
  <c r="Y183" i="2"/>
  <c r="P183" i="2"/>
  <c r="BO182" i="2"/>
  <c r="BN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P177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N164" i="2"/>
  <c r="BM164" i="2"/>
  <c r="Z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N149" i="2"/>
  <c r="BM149" i="2"/>
  <c r="Z149" i="2"/>
  <c r="Y149" i="2"/>
  <c r="BP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N139" i="2"/>
  <c r="BM139" i="2"/>
  <c r="Z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N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N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N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N95" i="2"/>
  <c r="BM95" i="2"/>
  <c r="Y95" i="2"/>
  <c r="P95" i="2"/>
  <c r="X93" i="2"/>
  <c r="X92" i="2"/>
  <c r="BP91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P82" i="2"/>
  <c r="BO82" i="2"/>
  <c r="BM82" i="2"/>
  <c r="Z82" i="2"/>
  <c r="Y82" i="2"/>
  <c r="BN82" i="2" s="1"/>
  <c r="P82" i="2"/>
  <c r="BO81" i="2"/>
  <c r="BM81" i="2"/>
  <c r="Y81" i="2"/>
  <c r="BN81" i="2" s="1"/>
  <c r="P81" i="2"/>
  <c r="BP80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P56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N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P23" i="2"/>
  <c r="BO23" i="2"/>
  <c r="BM23" i="2"/>
  <c r="Y23" i="2"/>
  <c r="BN23" i="2" s="1"/>
  <c r="P23" i="2"/>
  <c r="BO22" i="2"/>
  <c r="BM22" i="2"/>
  <c r="Y22" i="2"/>
  <c r="BP22" i="2" s="1"/>
  <c r="P22" i="2"/>
  <c r="H10" i="2"/>
  <c r="F9" i="2"/>
  <c r="A9" i="2"/>
  <c r="A10" i="2" s="1"/>
  <c r="D7" i="2"/>
  <c r="Q6" i="2"/>
  <c r="P2" i="2"/>
  <c r="Z163" i="2" l="1"/>
  <c r="Z228" i="2"/>
  <c r="Z239" i="2"/>
  <c r="Y499" i="2"/>
  <c r="BN309" i="2"/>
  <c r="BN359" i="2"/>
  <c r="BN482" i="2"/>
  <c r="BN70" i="2"/>
  <c r="Z181" i="2"/>
  <c r="BN228" i="2"/>
  <c r="BN239" i="2"/>
  <c r="Z290" i="2"/>
  <c r="BN470" i="2"/>
  <c r="BP163" i="2"/>
  <c r="BN345" i="2"/>
  <c r="BN437" i="2"/>
  <c r="BN461" i="2"/>
  <c r="AA569" i="2"/>
  <c r="BN508" i="2"/>
  <c r="BN526" i="2"/>
  <c r="BN181" i="2"/>
  <c r="Z195" i="2"/>
  <c r="Z196" i="2" s="1"/>
  <c r="Z261" i="2"/>
  <c r="BN290" i="2"/>
  <c r="BP374" i="2"/>
  <c r="Z282" i="2"/>
  <c r="BN368" i="2"/>
  <c r="BN379" i="2"/>
  <c r="BN195" i="2"/>
  <c r="Y462" i="2"/>
  <c r="Z471" i="2"/>
  <c r="BN496" i="2"/>
  <c r="BP261" i="2"/>
  <c r="BN96" i="2"/>
  <c r="Y141" i="2"/>
  <c r="BP195" i="2"/>
  <c r="Y361" i="2"/>
  <c r="Y382" i="2"/>
  <c r="BN60" i="2"/>
  <c r="BP154" i="2"/>
  <c r="BN206" i="2"/>
  <c r="Z357" i="2"/>
  <c r="BP486" i="2"/>
  <c r="Y196" i="2"/>
  <c r="BN291" i="2"/>
  <c r="BN516" i="2"/>
  <c r="Y99" i="2"/>
  <c r="Y314" i="2"/>
  <c r="Z347" i="2"/>
  <c r="Z510" i="2"/>
  <c r="BP523" i="2"/>
  <c r="X561" i="2"/>
  <c r="BN116" i="2"/>
  <c r="BP357" i="2"/>
  <c r="Z411" i="2"/>
  <c r="Z449" i="2"/>
  <c r="BN497" i="2"/>
  <c r="BP241" i="2"/>
  <c r="BN435" i="2"/>
  <c r="Y446" i="2"/>
  <c r="Y473" i="2"/>
  <c r="BN510" i="2"/>
  <c r="BP528" i="2"/>
  <c r="BP542" i="2"/>
  <c r="Z175" i="2"/>
  <c r="Z227" i="2"/>
  <c r="Z238" i="2"/>
  <c r="BP347" i="2"/>
  <c r="BN411" i="2"/>
  <c r="BN449" i="2"/>
  <c r="BN391" i="2"/>
  <c r="Y483" i="2"/>
  <c r="BN175" i="2"/>
  <c r="BN246" i="2"/>
  <c r="Z289" i="2"/>
  <c r="BN358" i="2"/>
  <c r="Z460" i="2"/>
  <c r="Z507" i="2"/>
  <c r="Y530" i="2"/>
  <c r="Y544" i="2"/>
  <c r="BN49" i="2"/>
  <c r="BN138" i="2"/>
  <c r="BP227" i="2"/>
  <c r="Z569" i="2"/>
  <c r="BN62" i="2"/>
  <c r="Z184" i="2"/>
  <c r="BP47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62" i="2" s="1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Z519" i="2" s="1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60" i="2" s="1"/>
  <c r="Z378" i="2"/>
  <c r="Z412" i="2"/>
  <c r="Z425" i="2"/>
  <c r="Z426" i="2" s="1"/>
  <c r="W569" i="2"/>
  <c r="BP431" i="2"/>
  <c r="Z450" i="2"/>
  <c r="X569" i="2"/>
  <c r="Z469" i="2"/>
  <c r="Z472" i="2" s="1"/>
  <c r="Z482" i="2"/>
  <c r="Z497" i="2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Z488" i="2" s="1"/>
  <c r="Y25" i="2"/>
  <c r="BP38" i="2"/>
  <c r="Z48" i="2"/>
  <c r="Z59" i="2"/>
  <c r="Z69" i="2"/>
  <c r="Y93" i="2"/>
  <c r="Z103" i="2"/>
  <c r="BP115" i="2"/>
  <c r="Z123" i="2"/>
  <c r="Y160" i="2"/>
  <c r="Z170" i="2"/>
  <c r="Z180" i="2"/>
  <c r="Z190" i="2"/>
  <c r="Z192" i="2" s="1"/>
  <c r="Z225" i="2"/>
  <c r="Y269" i="2"/>
  <c r="Y333" i="2"/>
  <c r="Z344" i="2"/>
  <c r="Y371" i="2"/>
  <c r="Y381" i="2"/>
  <c r="Y389" i="2"/>
  <c r="Z398" i="2"/>
  <c r="Z401" i="2" s="1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Z407" i="2" s="1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55" i="2" s="1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299" i="2" s="1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51" i="2" l="1"/>
  <c r="Z212" i="2"/>
  <c r="Z172" i="2"/>
  <c r="Z167" i="2"/>
  <c r="Z499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<sst xmlns="http://schemas.openxmlformats.org/spreadsheetml/2006/main" count="4309" uniqueCount="905">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</sst>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2" sqref="AA4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/>
      <c r="I5" s="993"/>
      <c r="J5" s="993"/>
      <c r="K5" s="993"/>
      <c r="L5" s="993"/>
      <c r="M5" s="993"/>
      <c r="N5" s="69"/>
      <c r="P5" s="26" t="s">
        <v>4</v>
      </c>
      <c r="Q5" s="995">
        <v>46293</v>
      </c>
      <c r="R5" s="995"/>
      <c r="T5" s="996" t="s">
        <v>3</v>
      </c>
      <c r="U5" s="997"/>
      <c r="V5" s="998" t="s">
        <v>873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Понедельник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0.41666666666666669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0" t="s">
        <v>159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hidden="1" customHeight="1" x14ac:dyDescent="0.25">
      <c r="A67" s="60" t="s">
        <v>160</v>
      </c>
      <c r="B67" s="60" t="s">
        <v>161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660" t="s">
        <v>86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178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hidden="1" customHeight="1" x14ac:dyDescent="0.25">
      <c r="A80" s="60" t="s">
        <v>179</v>
      </c>
      <c r="B80" s="60" t="s">
        <v>180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67" t="s">
        <v>186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122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hidden="1" customHeight="1" x14ac:dyDescent="0.25">
      <c r="A87" s="60" t="s">
        <v>187</v>
      </c>
      <c r="B87" s="60" t="s">
        <v>188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660" t="s">
        <v>86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0" t="s">
        <v>159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86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hidden="1" customHeight="1" x14ac:dyDescent="0.25">
      <c r="A121" s="60" t="s">
        <v>236</v>
      </c>
      <c r="B121" s="60" t="s">
        <v>237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241</v>
      </c>
      <c r="B123" s="60" t="s">
        <v>242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243</v>
      </c>
      <c r="B124" s="60" t="s">
        <v>244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0" t="s">
        <v>178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hidden="1" customHeight="1" x14ac:dyDescent="0.25">
      <c r="A128" s="60" t="s">
        <v>246</v>
      </c>
      <c r="B128" s="60" t="s">
        <v>247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7" t="s">
        <v>249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250</v>
      </c>
      <c r="B134" s="60" t="s">
        <v>254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77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262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277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120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122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159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294</v>
      </c>
      <c r="B170" s="60" t="s">
        <v>295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hidden="1" customHeight="1" x14ac:dyDescent="0.25">
      <c r="A175" s="60" t="s">
        <v>300</v>
      </c>
      <c r="B175" s="60" t="s">
        <v>301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306</v>
      </c>
      <c r="B177" s="60" t="s">
        <v>307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312</v>
      </c>
      <c r="B179" s="60" t="s">
        <v>313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316</v>
      </c>
      <c r="B181" s="60" t="s">
        <v>317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326</v>
      </c>
      <c r="B185" s="60" t="s">
        <v>327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277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341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345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346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122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367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77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371</v>
      </c>
      <c r="B220" s="60" t="s">
        <v>372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380</v>
      </c>
      <c r="B223" s="60" t="s">
        <v>381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383</v>
      </c>
      <c r="B224" s="60" t="s">
        <v>384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388</v>
      </c>
      <c r="B226" s="60" t="s">
        <v>389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402</v>
      </c>
      <c r="B231" s="60" t="s">
        <v>403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277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hidden="1" customHeight="1" x14ac:dyDescent="0.25">
      <c r="A250" s="60" t="s">
        <v>430</v>
      </c>
      <c r="B250" s="60" t="s">
        <v>431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433</v>
      </c>
      <c r="B251" s="60" t="s">
        <v>434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436</v>
      </c>
      <c r="B252" s="60" t="s">
        <v>437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660" t="s">
        <v>438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hidden="1" customHeight="1" x14ac:dyDescent="0.25">
      <c r="A256" s="60" t="s">
        <v>439</v>
      </c>
      <c r="B256" s="60" t="s">
        <v>440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667" t="s">
        <v>441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159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77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hidden="1" customHeight="1" x14ac:dyDescent="0.25">
      <c r="A271" s="60" t="s">
        <v>452</v>
      </c>
      <c r="B271" s="60" t="s">
        <v>453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458</v>
      </c>
      <c r="B273" s="60" t="s">
        <v>459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461</v>
      </c>
      <c r="B274" s="60" t="s">
        <v>462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464</v>
      </c>
      <c r="B275" s="60" t="s">
        <v>465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466</v>
      </c>
      <c r="B276" s="60" t="s">
        <v>467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468</v>
      </c>
      <c r="B277" s="60" t="s">
        <v>469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470</v>
      </c>
      <c r="B278" s="60" t="s">
        <v>471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660" t="s">
        <v>86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hidden="1" customHeight="1" x14ac:dyDescent="0.25">
      <c r="A282" s="60" t="s">
        <v>472</v>
      </c>
      <c r="B282" s="60" t="s">
        <v>473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478</v>
      </c>
      <c r="B284" s="60" t="s">
        <v>479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481</v>
      </c>
      <c r="B285" s="60" t="s">
        <v>482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488</v>
      </c>
      <c r="B288" s="60" t="s">
        <v>489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0" t="s">
        <v>178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hidden="1" customHeight="1" x14ac:dyDescent="0.25">
      <c r="A297" s="60" t="s">
        <v>503</v>
      </c>
      <c r="B297" s="60" t="s">
        <v>504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667" t="s">
        <v>509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122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516</v>
      </c>
      <c r="B305" s="60" t="s">
        <v>517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518</v>
      </c>
      <c r="B306" s="60" t="s">
        <v>519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526</v>
      </c>
      <c r="B309" s="60" t="s">
        <v>527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60" t="s">
        <v>159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531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341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hidden="1" customHeight="1" x14ac:dyDescent="0.25">
      <c r="A321" s="60" t="s">
        <v>535</v>
      </c>
      <c r="B321" s="60" t="s">
        <v>536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7" t="s">
        <v>538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122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558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86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562</v>
      </c>
      <c r="B337" s="60" t="s">
        <v>563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565</v>
      </c>
      <c r="B338" s="60" t="s">
        <v>566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667" t="s">
        <v>567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77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86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588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122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597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122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628</v>
      </c>
      <c r="B378" s="60" t="s">
        <v>629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178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647</v>
      </c>
      <c r="B391" s="60" t="s">
        <v>648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650</v>
      </c>
      <c r="B392" s="60" t="s">
        <v>651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277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665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674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683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694</v>
      </c>
      <c r="B424" s="60" t="s">
        <v>695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697</v>
      </c>
      <c r="B425" s="60" t="s">
        <v>698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700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701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705</v>
      </c>
      <c r="B432" s="60" t="s">
        <v>706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300</v>
      </c>
      <c r="Y432" s="53">
        <f t="shared" si="68"/>
        <v>300</v>
      </c>
      <c r="Z432" s="39">
        <f>IFERROR(IF(Y432=0,"",ROUNDUP(Y432/H432,0)*0.02175),"")</f>
        <v>0.43499999999999994</v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309.39999999999998</v>
      </c>
      <c r="BN432" s="75">
        <f t="shared" si="70"/>
        <v>309.39999999999998</v>
      </c>
      <c r="BO432" s="75">
        <f t="shared" si="71"/>
        <v>0.41666666666666663</v>
      </c>
      <c r="BP432" s="75">
        <f t="shared" si="72"/>
        <v>0.41666666666666663</v>
      </c>
    </row>
    <row r="433" spans="1:68" ht="27" customHeight="1" x14ac:dyDescent="0.25">
      <c r="A433" s="60" t="s">
        <v>708</v>
      </c>
      <c r="B433" s="60" t="s">
        <v>709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210</v>
      </c>
      <c r="Y433" s="53">
        <f t="shared" si="68"/>
        <v>210</v>
      </c>
      <c r="Z433" s="39">
        <f>IFERROR(IF(Y433=0,"",ROUNDUP(Y433/H433,0)*0.02175),"")</f>
        <v>0.30449999999999999</v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216.58</v>
      </c>
      <c r="BN433" s="75">
        <f t="shared" si="70"/>
        <v>216.58</v>
      </c>
      <c r="BO433" s="75">
        <f t="shared" si="71"/>
        <v>0.29166666666666663</v>
      </c>
      <c r="BP433" s="75">
        <f t="shared" si="72"/>
        <v>0.29166666666666663</v>
      </c>
    </row>
    <row r="434" spans="1:68" ht="27" customHeight="1" x14ac:dyDescent="0.25">
      <c r="A434" s="60" t="s">
        <v>711</v>
      </c>
      <c r="B434" s="60" t="s">
        <v>712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300</v>
      </c>
      <c r="Y434" s="53">
        <f t="shared" si="68"/>
        <v>300</v>
      </c>
      <c r="Z434" s="39">
        <f>IFERROR(IF(Y434=0,"",ROUNDUP(Y434/H434,0)*0.02175),"")</f>
        <v>0.43499999999999994</v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309.39999999999998</v>
      </c>
      <c r="BN434" s="75">
        <f t="shared" si="70"/>
        <v>309.39999999999998</v>
      </c>
      <c r="BO434" s="75">
        <f t="shared" si="71"/>
        <v>0.41666666666666663</v>
      </c>
      <c r="BP434" s="75">
        <f t="shared" si="72"/>
        <v>0.41666666666666663</v>
      </c>
    </row>
    <row r="435" spans="1:68" ht="27" hidden="1" customHeight="1" x14ac:dyDescent="0.25">
      <c r="A435" s="60" t="s">
        <v>714</v>
      </c>
      <c r="B435" s="60" t="s">
        <v>715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723</v>
      </c>
      <c r="B438" s="60" t="s">
        <v>724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54</v>
      </c>
      <c r="Y439" s="41">
        <f>IFERROR(Y431/H431,"0")+IFERROR(Y432/H432,"0")+IFERROR(Y433/H433,"0")+IFERROR(Y434/H434,"0")+IFERROR(Y435/H435,"0")+IFERROR(Y436/H436,"0")+IFERROR(Y437/H437,"0")+IFERROR(Y438/H438,"0")</f>
        <v>54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1.1744999999999999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810</v>
      </c>
      <c r="Y440" s="41">
        <f>IFERROR(SUM(Y431:Y438),"0")</f>
        <v>810</v>
      </c>
      <c r="Z440" s="40"/>
      <c r="AA440" s="64"/>
      <c r="AB440" s="64"/>
      <c r="AC440" s="64"/>
    </row>
    <row r="441" spans="1:68" ht="14.25" hidden="1" customHeight="1" x14ac:dyDescent="0.25">
      <c r="A441" s="660" t="s">
        <v>159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726</v>
      </c>
      <c r="B442" s="60" t="s">
        <v>727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729</v>
      </c>
      <c r="B443" s="60" t="s">
        <v>730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735</v>
      </c>
      <c r="B448" s="60" t="s">
        <v>736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178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750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751</v>
      </c>
      <c r="B460" s="60" t="s">
        <v>752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754</v>
      </c>
      <c r="B461" s="60" t="s">
        <v>755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766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767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790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159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802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802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803</v>
      </c>
      <c r="B504" s="60" t="s">
        <v>804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817</v>
      </c>
      <c r="B509" s="60" t="s">
        <v>818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822</v>
      </c>
      <c r="B511" s="60" t="s">
        <v>823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824</v>
      </c>
      <c r="B512" s="60" t="s">
        <v>825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159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826</v>
      </c>
      <c r="B516" s="60" t="s">
        <v>827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831</v>
      </c>
      <c r="B518" s="60" t="s">
        <v>832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833</v>
      </c>
      <c r="B522" s="60" t="s">
        <v>834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839</v>
      </c>
      <c r="B524" s="60" t="s">
        <v>840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842</v>
      </c>
      <c r="B525" s="60" t="s">
        <v>843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847</v>
      </c>
      <c r="B528" s="60" t="s">
        <v>848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849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849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850</v>
      </c>
      <c r="B534" s="60" t="s">
        <v>851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159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858</v>
      </c>
      <c r="B546" s="60" t="s">
        <v>859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178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867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810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810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835.38</v>
      </c>
      <c r="Y560" s="41">
        <f>IFERROR(SUM(BN22:BN556),"0")</f>
        <v>835.38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885.38</v>
      </c>
      <c r="Y562" s="41">
        <f>GrossWeightTotalR+PalletQtyTotalR*25</f>
        <v>885.38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54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54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1.1744999999999999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345</v>
      </c>
      <c r="L566" s="647" t="s">
        <v>345</v>
      </c>
      <c r="M566" s="647" t="s">
        <v>345</v>
      </c>
      <c r="N566" s="657"/>
      <c r="O566" s="647" t="s">
        <v>345</v>
      </c>
      <c r="P566" s="647" t="s">
        <v>345</v>
      </c>
      <c r="Q566" s="647" t="s">
        <v>345</v>
      </c>
      <c r="R566" s="647" t="s">
        <v>345</v>
      </c>
      <c r="S566" s="647" t="s">
        <v>345</v>
      </c>
      <c r="T566" s="647" t="s">
        <v>345</v>
      </c>
      <c r="U566" s="647" t="s">
        <v>345</v>
      </c>
      <c r="V566" s="647" t="s">
        <v>345</v>
      </c>
      <c r="W566" s="647" t="s">
        <v>700</v>
      </c>
      <c r="X566" s="647" t="s">
        <v>700</v>
      </c>
      <c r="Y566" s="647" t="s">
        <v>766</v>
      </c>
      <c r="Z566" s="647" t="s">
        <v>766</v>
      </c>
      <c r="AA566" s="80" t="s">
        <v>802</v>
      </c>
      <c r="AB566" s="647" t="s">
        <v>849</v>
      </c>
      <c r="AC566" s="647" t="s">
        <v>849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186</v>
      </c>
      <c r="G567" s="647" t="s">
        <v>209</v>
      </c>
      <c r="H567" s="647" t="s">
        <v>249</v>
      </c>
      <c r="I567" s="647" t="s">
        <v>262</v>
      </c>
      <c r="J567" s="647" t="s">
        <v>120</v>
      </c>
      <c r="K567" s="647" t="s">
        <v>346</v>
      </c>
      <c r="L567" s="647" t="s">
        <v>367</v>
      </c>
      <c r="M567" s="647" t="s">
        <v>441</v>
      </c>
      <c r="N567" s="1"/>
      <c r="O567" s="647" t="s">
        <v>509</v>
      </c>
      <c r="P567" s="647" t="s">
        <v>538</v>
      </c>
      <c r="Q567" s="647" t="s">
        <v>558</v>
      </c>
      <c r="R567" s="647" t="s">
        <v>567</v>
      </c>
      <c r="S567" s="647" t="s">
        <v>588</v>
      </c>
      <c r="T567" s="647" t="s">
        <v>597</v>
      </c>
      <c r="U567" s="647" t="s">
        <v>683</v>
      </c>
      <c r="V567" s="647" t="s">
        <v>690</v>
      </c>
      <c r="W567" s="647" t="s">
        <v>701</v>
      </c>
      <c r="X567" s="647" t="s">
        <v>750</v>
      </c>
      <c r="Y567" s="647" t="s">
        <v>767</v>
      </c>
      <c r="Z567" s="647" t="s">
        <v>790</v>
      </c>
      <c r="AA567" s="647" t="s">
        <v>802</v>
      </c>
      <c r="AB567" s="647" t="s">
        <v>849</v>
      </c>
      <c r="AC567" s="647" t="s">
        <v>867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810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10,00"/>
        <filter val="300,00"/>
        <filter val="54,00"/>
        <filter val="810,00"/>
        <filter val="835,38"/>
        <filter val="885,38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8" spans="2:8" x14ac:dyDescent="0.2">
      <c r="B8" s="51" t="s">
        <v>880</v>
      </c>
      <c r="C8" s="51" t="s">
        <v>881</v>
      </c>
      <c r="D8" s="51" t="s">
        <v>882</v>
      </c>
      <c r="E8" s="51" t="s">
        <v>46</v>
      </c>
    </row>
    <row r="9" spans="2:8" x14ac:dyDescent="0.2">
      <c r="B9" s="51" t="s">
        <v>883</v>
      </c>
      <c r="C9" s="51" t="s">
        <v>884</v>
      </c>
      <c r="D9" s="51" t="s">
        <v>885</v>
      </c>
      <c r="E9" s="51" t="s">
        <v>46</v>
      </c>
    </row>
    <row r="10" spans="2:8" x14ac:dyDescent="0.2">
      <c r="B10" s="51" t="s">
        <v>886</v>
      </c>
      <c r="C10" s="51" t="s">
        <v>887</v>
      </c>
      <c r="D10" s="51" t="s">
        <v>888</v>
      </c>
      <c r="E10" s="51" t="s">
        <v>46</v>
      </c>
    </row>
    <row r="12" spans="2:8" x14ac:dyDescent="0.2">
      <c r="B12" s="51" t="s">
        <v>889</v>
      </c>
      <c r="C12" s="51" t="s">
        <v>875</v>
      </c>
      <c r="D12" s="51" t="s">
        <v>46</v>
      </c>
      <c r="E12" s="51" t="s">
        <v>46</v>
      </c>
    </row>
    <row r="14" spans="2:8" x14ac:dyDescent="0.2">
      <c r="B14" s="51" t="s">
        <v>890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899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900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901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902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904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2026-09-26T05:19:44Z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