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9,26\24,09,26 ПОКОМ КИ\дозаказы 26,09,26\"/>
    </mc:Choice>
  </mc:AlternateContent>
  <xr:revisionPtr revIDLastSave="0" documentId="13_ncr:1_{01E78487-00FE-4ECC-AB11-F45732F4DCD0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Y499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BP487" i="2" s="1"/>
  <c r="P487" i="2"/>
  <c r="BO486" i="2"/>
  <c r="BM486" i="2"/>
  <c r="Y486" i="2"/>
  <c r="Y488" i="2" s="1"/>
  <c r="P486" i="2"/>
  <c r="X484" i="2"/>
  <c r="X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P477" i="2"/>
  <c r="X473" i="2"/>
  <c r="X472" i="2"/>
  <c r="BO471" i="2"/>
  <c r="BM471" i="2"/>
  <c r="Y471" i="2"/>
  <c r="BN471" i="2" s="1"/>
  <c r="P471" i="2"/>
  <c r="BO470" i="2"/>
  <c r="BN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Y466" i="2" s="1"/>
  <c r="P465" i="2"/>
  <c r="X463" i="2"/>
  <c r="X462" i="2"/>
  <c r="BO461" i="2"/>
  <c r="BM461" i="2"/>
  <c r="Y461" i="2"/>
  <c r="BN461" i="2" s="1"/>
  <c r="P461" i="2"/>
  <c r="BO460" i="2"/>
  <c r="BM460" i="2"/>
  <c r="Y460" i="2"/>
  <c r="BN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X452" i="2"/>
  <c r="X451" i="2"/>
  <c r="BO450" i="2"/>
  <c r="BM450" i="2"/>
  <c r="Y450" i="2"/>
  <c r="BP450" i="2" s="1"/>
  <c r="P450" i="2"/>
  <c r="BP449" i="2"/>
  <c r="BO449" i="2"/>
  <c r="BN449" i="2"/>
  <c r="BM449" i="2"/>
  <c r="Z449" i="2"/>
  <c r="Y449" i="2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X427" i="2"/>
  <c r="X426" i="2"/>
  <c r="BO425" i="2"/>
  <c r="BM425" i="2"/>
  <c r="Y425" i="2"/>
  <c r="BN425" i="2" s="1"/>
  <c r="P425" i="2"/>
  <c r="BO424" i="2"/>
  <c r="BN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P418" i="2"/>
  <c r="BO417" i="2"/>
  <c r="BM417" i="2"/>
  <c r="Y417" i="2"/>
  <c r="BN417" i="2" s="1"/>
  <c r="P417" i="2"/>
  <c r="X414" i="2"/>
  <c r="X413" i="2"/>
  <c r="BO412" i="2"/>
  <c r="BN412" i="2"/>
  <c r="BM412" i="2"/>
  <c r="Y412" i="2"/>
  <c r="BP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P406" i="2"/>
  <c r="BP405" i="2"/>
  <c r="BO405" i="2"/>
  <c r="BM405" i="2"/>
  <c r="Y405" i="2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N399" i="2"/>
  <c r="BM399" i="2"/>
  <c r="Y399" i="2"/>
  <c r="BP399" i="2" s="1"/>
  <c r="P399" i="2"/>
  <c r="BO398" i="2"/>
  <c r="BM398" i="2"/>
  <c r="Y398" i="2"/>
  <c r="BP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BO384" i="2"/>
  <c r="BM384" i="2"/>
  <c r="Y384" i="2"/>
  <c r="BN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X372" i="2"/>
  <c r="X371" i="2"/>
  <c r="BO370" i="2"/>
  <c r="BM370" i="2"/>
  <c r="Y370" i="2"/>
  <c r="BP370" i="2" s="1"/>
  <c r="P370" i="2"/>
  <c r="BO369" i="2"/>
  <c r="BM369" i="2"/>
  <c r="Y369" i="2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BP357" i="2"/>
  <c r="BO357" i="2"/>
  <c r="BM357" i="2"/>
  <c r="Y357" i="2"/>
  <c r="P357" i="2"/>
  <c r="X354" i="2"/>
  <c r="X353" i="2"/>
  <c r="BO352" i="2"/>
  <c r="BM352" i="2"/>
  <c r="Y352" i="2"/>
  <c r="P352" i="2"/>
  <c r="BO351" i="2"/>
  <c r="BM351" i="2"/>
  <c r="Y351" i="2"/>
  <c r="P351" i="2"/>
  <c r="X349" i="2"/>
  <c r="X348" i="2"/>
  <c r="BO347" i="2"/>
  <c r="BM347" i="2"/>
  <c r="Y347" i="2"/>
  <c r="BN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BP344" i="2" s="1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P337" i="2"/>
  <c r="BO337" i="2"/>
  <c r="BM337" i="2"/>
  <c r="Z337" i="2"/>
  <c r="Y337" i="2"/>
  <c r="BN337" i="2" s="1"/>
  <c r="P337" i="2"/>
  <c r="BO336" i="2"/>
  <c r="BM336" i="2"/>
  <c r="Y336" i="2"/>
  <c r="P336" i="2"/>
  <c r="X333" i="2"/>
  <c r="X332" i="2"/>
  <c r="BO331" i="2"/>
  <c r="BM331" i="2"/>
  <c r="Y331" i="2"/>
  <c r="BN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BN328" i="2" s="1"/>
  <c r="P328" i="2"/>
  <c r="BO327" i="2"/>
  <c r="BM327" i="2"/>
  <c r="Y327" i="2"/>
  <c r="P327" i="2"/>
  <c r="BO326" i="2"/>
  <c r="BM326" i="2"/>
  <c r="Y326" i="2"/>
  <c r="BN326" i="2" s="1"/>
  <c r="P326" i="2"/>
  <c r="X323" i="2"/>
  <c r="X322" i="2"/>
  <c r="BO321" i="2"/>
  <c r="BM321" i="2"/>
  <c r="Y321" i="2"/>
  <c r="Y322" i="2" s="1"/>
  <c r="P321" i="2"/>
  <c r="X319" i="2"/>
  <c r="X318" i="2"/>
  <c r="BO317" i="2"/>
  <c r="BM317" i="2"/>
  <c r="Y317" i="2"/>
  <c r="Y318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N304" i="2" s="1"/>
  <c r="P304" i="2"/>
  <c r="BO303" i="2"/>
  <c r="BM303" i="2"/>
  <c r="Y303" i="2"/>
  <c r="P303" i="2"/>
  <c r="X300" i="2"/>
  <c r="X299" i="2"/>
  <c r="BP298" i="2"/>
  <c r="BO298" i="2"/>
  <c r="BM298" i="2"/>
  <c r="Y298" i="2"/>
  <c r="BN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P293" i="2"/>
  <c r="BO292" i="2"/>
  <c r="BM292" i="2"/>
  <c r="Y292" i="2"/>
  <c r="BP292" i="2" s="1"/>
  <c r="P292" i="2"/>
  <c r="BO291" i="2"/>
  <c r="BN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X280" i="2"/>
  <c r="X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BN271" i="2" s="1"/>
  <c r="P271" i="2"/>
  <c r="X269" i="2"/>
  <c r="X268" i="2"/>
  <c r="BO267" i="2"/>
  <c r="BM267" i="2"/>
  <c r="Y267" i="2"/>
  <c r="BN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N261" i="2" s="1"/>
  <c r="P261" i="2"/>
  <c r="X258" i="2"/>
  <c r="X257" i="2"/>
  <c r="BO256" i="2"/>
  <c r="BM256" i="2"/>
  <c r="Y256" i="2"/>
  <c r="Y257" i="2" s="1"/>
  <c r="P256" i="2"/>
  <c r="X254" i="2"/>
  <c r="X253" i="2"/>
  <c r="BO252" i="2"/>
  <c r="BM252" i="2"/>
  <c r="Y252" i="2"/>
  <c r="BP252" i="2" s="1"/>
  <c r="P252" i="2"/>
  <c r="BO251" i="2"/>
  <c r="BM251" i="2"/>
  <c r="Y251" i="2"/>
  <c r="BN251" i="2" s="1"/>
  <c r="P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N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N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O216" i="2"/>
  <c r="BN216" i="2"/>
  <c r="BM216" i="2"/>
  <c r="Y216" i="2"/>
  <c r="Z216" i="2" s="1"/>
  <c r="Z217" i="2" s="1"/>
  <c r="P216" i="2"/>
  <c r="X213" i="2"/>
  <c r="X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N207" i="2" s="1"/>
  <c r="P207" i="2"/>
  <c r="BO206" i="2"/>
  <c r="BM206" i="2"/>
  <c r="Y206" i="2"/>
  <c r="BN206" i="2" s="1"/>
  <c r="P206" i="2"/>
  <c r="BO205" i="2"/>
  <c r="BM205" i="2"/>
  <c r="Y205" i="2"/>
  <c r="BN205" i="2" s="1"/>
  <c r="P205" i="2"/>
  <c r="X201" i="2"/>
  <c r="X200" i="2"/>
  <c r="BO199" i="2"/>
  <c r="BM199" i="2"/>
  <c r="Y199" i="2"/>
  <c r="Y201" i="2" s="1"/>
  <c r="P199" i="2"/>
  <c r="X197" i="2"/>
  <c r="X196" i="2"/>
  <c r="BO195" i="2"/>
  <c r="BM195" i="2"/>
  <c r="Y195" i="2"/>
  <c r="Y197" i="2" s="1"/>
  <c r="P195" i="2"/>
  <c r="X193" i="2"/>
  <c r="X192" i="2"/>
  <c r="BO191" i="2"/>
  <c r="BM191" i="2"/>
  <c r="Y191" i="2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Z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BP170" i="2" s="1"/>
  <c r="P170" i="2"/>
  <c r="X168" i="2"/>
  <c r="X167" i="2"/>
  <c r="BP166" i="2"/>
  <c r="BO166" i="2"/>
  <c r="BM166" i="2"/>
  <c r="Y166" i="2"/>
  <c r="BN166" i="2" s="1"/>
  <c r="P166" i="2"/>
  <c r="BO165" i="2"/>
  <c r="BM165" i="2"/>
  <c r="Y165" i="2"/>
  <c r="P165" i="2"/>
  <c r="BP164" i="2"/>
  <c r="BO164" i="2"/>
  <c r="BM164" i="2"/>
  <c r="Y164" i="2"/>
  <c r="BN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BN158" i="2" s="1"/>
  <c r="P158" i="2"/>
  <c r="X156" i="2"/>
  <c r="X155" i="2"/>
  <c r="BO154" i="2"/>
  <c r="BM154" i="2"/>
  <c r="Y154" i="2"/>
  <c r="BN154" i="2" s="1"/>
  <c r="P154" i="2"/>
  <c r="BO153" i="2"/>
  <c r="BM153" i="2"/>
  <c r="Y153" i="2"/>
  <c r="BP153" i="2" s="1"/>
  <c r="P153" i="2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N150" i="2" s="1"/>
  <c r="P150" i="2"/>
  <c r="BP149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X141" i="2"/>
  <c r="X140" i="2"/>
  <c r="BP139" i="2"/>
  <c r="BO139" i="2"/>
  <c r="BM139" i="2"/>
  <c r="Z139" i="2"/>
  <c r="Y139" i="2"/>
  <c r="BN139" i="2" s="1"/>
  <c r="P139" i="2"/>
  <c r="BO138" i="2"/>
  <c r="BM138" i="2"/>
  <c r="Y138" i="2"/>
  <c r="BP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Y136" i="2" s="1"/>
  <c r="P133" i="2"/>
  <c r="X130" i="2"/>
  <c r="X129" i="2"/>
  <c r="BO128" i="2"/>
  <c r="BM128" i="2"/>
  <c r="Y128" i="2"/>
  <c r="Y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X119" i="2"/>
  <c r="X118" i="2"/>
  <c r="BO117" i="2"/>
  <c r="BM117" i="2"/>
  <c r="Y117" i="2"/>
  <c r="BP117" i="2" s="1"/>
  <c r="P117" i="2"/>
  <c r="BO116" i="2"/>
  <c r="BN116" i="2"/>
  <c r="BM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Z109" i="2" s="1"/>
  <c r="P109" i="2"/>
  <c r="BO108" i="2"/>
  <c r="BM108" i="2"/>
  <c r="Y108" i="2"/>
  <c r="BP108" i="2" s="1"/>
  <c r="P108" i="2"/>
  <c r="BP107" i="2"/>
  <c r="BO107" i="2"/>
  <c r="BN107" i="2"/>
  <c r="BM107" i="2"/>
  <c r="Z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Z98" i="2" s="1"/>
  <c r="P98" i="2"/>
  <c r="BO97" i="2"/>
  <c r="BM97" i="2"/>
  <c r="Y97" i="2"/>
  <c r="P97" i="2"/>
  <c r="BO96" i="2"/>
  <c r="BN96" i="2"/>
  <c r="BM96" i="2"/>
  <c r="Y96" i="2"/>
  <c r="BP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P87" i="2"/>
  <c r="X84" i="2"/>
  <c r="X83" i="2"/>
  <c r="BP82" i="2"/>
  <c r="BO82" i="2"/>
  <c r="BM82" i="2"/>
  <c r="Z82" i="2"/>
  <c r="Y82" i="2"/>
  <c r="BN82" i="2" s="1"/>
  <c r="P82" i="2"/>
  <c r="BO81" i="2"/>
  <c r="BM81" i="2"/>
  <c r="Y81" i="2"/>
  <c r="BN81" i="2" s="1"/>
  <c r="P81" i="2"/>
  <c r="BO80" i="2"/>
  <c r="BM80" i="2"/>
  <c r="Y80" i="2"/>
  <c r="BP80" i="2" s="1"/>
  <c r="P80" i="2"/>
  <c r="X78" i="2"/>
  <c r="X77" i="2"/>
  <c r="BO76" i="2"/>
  <c r="BM76" i="2"/>
  <c r="Y76" i="2"/>
  <c r="BN76" i="2" s="1"/>
  <c r="P76" i="2"/>
  <c r="BO75" i="2"/>
  <c r="BM75" i="2"/>
  <c r="Y75" i="2"/>
  <c r="BP75" i="2" s="1"/>
  <c r="P75" i="2"/>
  <c r="X73" i="2"/>
  <c r="X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BP69" i="2" s="1"/>
  <c r="P69" i="2"/>
  <c r="BO68" i="2"/>
  <c r="BM68" i="2"/>
  <c r="Y68" i="2"/>
  <c r="Z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N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F9" i="2"/>
  <c r="A9" i="2"/>
  <c r="A10" i="2" s="1"/>
  <c r="D7" i="2"/>
  <c r="Q6" i="2"/>
  <c r="P2" i="2"/>
  <c r="BP205" i="2" l="1"/>
  <c r="Y446" i="2"/>
  <c r="Y113" i="2"/>
  <c r="BN435" i="2"/>
  <c r="BP154" i="2"/>
  <c r="BP184" i="2"/>
  <c r="Z206" i="2"/>
  <c r="Z411" i="2"/>
  <c r="BN511" i="2"/>
  <c r="BN518" i="2"/>
  <c r="BN411" i="2"/>
  <c r="BP206" i="2"/>
  <c r="BP271" i="2"/>
  <c r="BN450" i="2"/>
  <c r="BN526" i="2"/>
  <c r="Z321" i="2"/>
  <c r="Z322" i="2" s="1"/>
  <c r="BN345" i="2"/>
  <c r="Z437" i="2"/>
  <c r="Z152" i="2"/>
  <c r="Z245" i="2"/>
  <c r="BP289" i="2"/>
  <c r="BP321" i="2"/>
  <c r="Z370" i="2"/>
  <c r="Z392" i="2"/>
  <c r="Z424" i="2"/>
  <c r="BN437" i="2"/>
  <c r="BP471" i="2"/>
  <c r="BN508" i="2"/>
  <c r="BN182" i="2"/>
  <c r="BN392" i="2"/>
  <c r="Z481" i="2"/>
  <c r="BP216" i="2"/>
  <c r="BN278" i="2"/>
  <c r="Y473" i="2"/>
  <c r="Z149" i="2"/>
  <c r="BN378" i="2"/>
  <c r="BP241" i="2"/>
  <c r="Z205" i="2"/>
  <c r="Z298" i="2"/>
  <c r="Y314" i="2"/>
  <c r="BP152" i="2"/>
  <c r="Z163" i="2"/>
  <c r="Z228" i="2"/>
  <c r="Z239" i="2"/>
  <c r="BP328" i="2"/>
  <c r="BN70" i="2"/>
  <c r="BN309" i="2"/>
  <c r="BN359" i="2"/>
  <c r="Y463" i="2"/>
  <c r="BN482" i="2"/>
  <c r="Z181" i="2"/>
  <c r="BN228" i="2"/>
  <c r="BN239" i="2"/>
  <c r="Z290" i="2"/>
  <c r="BP163" i="2"/>
  <c r="Y500" i="2"/>
  <c r="AA569" i="2"/>
  <c r="BN181" i="2"/>
  <c r="Z195" i="2"/>
  <c r="Z196" i="2" s="1"/>
  <c r="Z261" i="2"/>
  <c r="BN290" i="2"/>
  <c r="Y360" i="2"/>
  <c r="BP374" i="2"/>
  <c r="Z496" i="2"/>
  <c r="Z282" i="2"/>
  <c r="BN368" i="2"/>
  <c r="BN379" i="2"/>
  <c r="Z164" i="2"/>
  <c r="BN195" i="2"/>
  <c r="Z271" i="2"/>
  <c r="Y462" i="2"/>
  <c r="Z471" i="2"/>
  <c r="BN496" i="2"/>
  <c r="BP177" i="2"/>
  <c r="BP261" i="2"/>
  <c r="Y141" i="2"/>
  <c r="BP195" i="2"/>
  <c r="BP251" i="2"/>
  <c r="BP282" i="2"/>
  <c r="BN313" i="2"/>
  <c r="Y361" i="2"/>
  <c r="Y382" i="2"/>
  <c r="BP417" i="2"/>
  <c r="BN438" i="2"/>
  <c r="BP496" i="2"/>
  <c r="Y520" i="2"/>
  <c r="Z357" i="2"/>
  <c r="BP486" i="2"/>
  <c r="Y196" i="2"/>
  <c r="Y99" i="2"/>
  <c r="BN105" i="2"/>
  <c r="BN109" i="2"/>
  <c r="Z347" i="2"/>
  <c r="Z510" i="2"/>
  <c r="BP523" i="2"/>
  <c r="X561" i="2"/>
  <c r="BN497" i="2"/>
  <c r="BN510" i="2"/>
  <c r="BP528" i="2"/>
  <c r="BP542" i="2"/>
  <c r="BN39" i="2"/>
  <c r="BN124" i="2"/>
  <c r="Z175" i="2"/>
  <c r="Z227" i="2"/>
  <c r="Z238" i="2"/>
  <c r="BN272" i="2"/>
  <c r="BP347" i="2"/>
  <c r="BP30" i="2"/>
  <c r="BN117" i="2"/>
  <c r="BN370" i="2"/>
  <c r="BN391" i="2"/>
  <c r="Y483" i="2"/>
  <c r="BN481" i="2"/>
  <c r="BP23" i="2"/>
  <c r="BN175" i="2"/>
  <c r="BN246" i="2"/>
  <c r="Z289" i="2"/>
  <c r="BN358" i="2"/>
  <c r="Z460" i="2"/>
  <c r="Z507" i="2"/>
  <c r="Y530" i="2"/>
  <c r="Y544" i="2"/>
  <c r="BP56" i="2"/>
  <c r="BN49" i="2"/>
  <c r="BP91" i="2"/>
  <c r="BN138" i="2"/>
  <c r="BP227" i="2"/>
  <c r="BP238" i="2"/>
  <c r="BP384" i="2"/>
  <c r="BN469" i="2"/>
  <c r="Z569" i="2"/>
  <c r="BN498" i="2"/>
  <c r="BN62" i="2"/>
  <c r="Z184" i="2"/>
  <c r="BN256" i="2"/>
  <c r="BP477" i="2"/>
  <c r="BN507" i="2"/>
  <c r="BP98" i="2"/>
  <c r="Y414" i="2"/>
  <c r="BN410" i="2"/>
  <c r="Y413" i="2"/>
  <c r="BP410" i="2"/>
  <c r="Z410" i="2"/>
  <c r="BN506" i="2"/>
  <c r="BP506" i="2"/>
  <c r="Z506" i="2"/>
  <c r="H9" i="2"/>
  <c r="Y33" i="2"/>
  <c r="Z28" i="2"/>
  <c r="BP28" i="2"/>
  <c r="Y43" i="2"/>
  <c r="Z40" i="2"/>
  <c r="BP40" i="2"/>
  <c r="Z63" i="2"/>
  <c r="BP63" i="2"/>
  <c r="Z81" i="2"/>
  <c r="BP81" i="2"/>
  <c r="F569" i="2"/>
  <c r="BP88" i="2"/>
  <c r="Z104" i="2"/>
  <c r="BP104" i="2"/>
  <c r="Z106" i="2"/>
  <c r="BP106" i="2"/>
  <c r="Z128" i="2"/>
  <c r="Z129" i="2" s="1"/>
  <c r="BP128" i="2"/>
  <c r="Y130" i="2"/>
  <c r="Z151" i="2"/>
  <c r="BN171" i="2"/>
  <c r="BP171" i="2"/>
  <c r="Z171" i="2"/>
  <c r="Y193" i="2"/>
  <c r="Y236" i="2"/>
  <c r="BN220" i="2"/>
  <c r="BP220" i="2"/>
  <c r="Z220" i="2"/>
  <c r="BN226" i="2"/>
  <c r="BP226" i="2"/>
  <c r="Z226" i="2"/>
  <c r="BN274" i="2"/>
  <c r="BP274" i="2"/>
  <c r="BN293" i="2"/>
  <c r="BP293" i="2"/>
  <c r="BN327" i="2"/>
  <c r="BP327" i="2"/>
  <c r="Z405" i="2"/>
  <c r="BN405" i="2"/>
  <c r="V569" i="2"/>
  <c r="BN423" i="2"/>
  <c r="Y427" i="2"/>
  <c r="BP423" i="2"/>
  <c r="Z423" i="2"/>
  <c r="BN436" i="2"/>
  <c r="BP436" i="2"/>
  <c r="Z436" i="2"/>
  <c r="BP151" i="2"/>
  <c r="BN183" i="2"/>
  <c r="BP183" i="2"/>
  <c r="Z183" i="2"/>
  <c r="BN380" i="2"/>
  <c r="BP380" i="2"/>
  <c r="Z380" i="2"/>
  <c r="Y452" i="2"/>
  <c r="BN448" i="2"/>
  <c r="Y451" i="2"/>
  <c r="BP448" i="2"/>
  <c r="Z448" i="2"/>
  <c r="J9" i="2"/>
  <c r="X563" i="2"/>
  <c r="Z27" i="2"/>
  <c r="BP27" i="2"/>
  <c r="C569" i="2"/>
  <c r="Z39" i="2"/>
  <c r="BN58" i="2"/>
  <c r="Z60" i="2"/>
  <c r="BN61" i="2"/>
  <c r="Z62" i="2"/>
  <c r="Y100" i="2"/>
  <c r="Z96" i="2"/>
  <c r="BN98" i="2"/>
  <c r="BP109" i="2"/>
  <c r="Y119" i="2"/>
  <c r="Z117" i="2"/>
  <c r="Y126" i="2"/>
  <c r="Z138" i="2"/>
  <c r="Y140" i="2"/>
  <c r="BN143" i="2"/>
  <c r="BP143" i="2"/>
  <c r="Y145" i="2"/>
  <c r="Y173" i="2"/>
  <c r="BN208" i="2"/>
  <c r="BP208" i="2"/>
  <c r="Z208" i="2"/>
  <c r="BN346" i="2"/>
  <c r="BP346" i="2"/>
  <c r="Z346" i="2"/>
  <c r="BN351" i="2"/>
  <c r="BP351" i="2"/>
  <c r="BN400" i="2"/>
  <c r="BP400" i="2"/>
  <c r="Z400" i="2"/>
  <c r="BP517" i="2"/>
  <c r="BN517" i="2"/>
  <c r="Z517" i="2"/>
  <c r="Z140" i="2"/>
  <c r="BN191" i="2"/>
  <c r="BP191" i="2"/>
  <c r="Z191" i="2"/>
  <c r="Q569" i="2"/>
  <c r="BN336" i="2"/>
  <c r="BP336" i="2"/>
  <c r="Z336" i="2"/>
  <c r="BN369" i="2"/>
  <c r="BP369" i="2"/>
  <c r="Z369" i="2"/>
  <c r="F10" i="2"/>
  <c r="X560" i="2"/>
  <c r="X562" i="2" s="1"/>
  <c r="X559" i="2"/>
  <c r="Z37" i="2"/>
  <c r="BP37" i="2"/>
  <c r="BN47" i="2"/>
  <c r="Z49" i="2"/>
  <c r="BN68" i="2"/>
  <c r="Z70" i="2"/>
  <c r="BN71" i="2"/>
  <c r="BP76" i="2"/>
  <c r="Y83" i="2"/>
  <c r="Y84" i="2"/>
  <c r="BN88" i="2"/>
  <c r="Z95" i="2"/>
  <c r="BP95" i="2"/>
  <c r="Z116" i="2"/>
  <c r="Z124" i="2"/>
  <c r="BN128" i="2"/>
  <c r="BP150" i="2"/>
  <c r="Z150" i="2"/>
  <c r="BN231" i="2"/>
  <c r="BP231" i="2"/>
  <c r="BN288" i="2"/>
  <c r="BP288" i="2"/>
  <c r="Z288" i="2"/>
  <c r="Y311" i="2"/>
  <c r="BN303" i="2"/>
  <c r="BP303" i="2"/>
  <c r="Z303" i="2"/>
  <c r="BN305" i="2"/>
  <c r="BP305" i="2"/>
  <c r="BN364" i="2"/>
  <c r="Y372" i="2"/>
  <c r="BP364" i="2"/>
  <c r="BN509" i="2"/>
  <c r="BP509" i="2"/>
  <c r="Z509" i="2"/>
  <c r="Y167" i="2"/>
  <c r="Y213" i="2"/>
  <c r="Y258" i="2"/>
  <c r="Y280" i="2"/>
  <c r="P569" i="2"/>
  <c r="Y349" i="2"/>
  <c r="Y353" i="2"/>
  <c r="Y408" i="2"/>
  <c r="Y519" i="2"/>
  <c r="I569" i="2"/>
  <c r="Z182" i="2"/>
  <c r="Z207" i="2"/>
  <c r="BP207" i="2"/>
  <c r="BP210" i="2"/>
  <c r="L569" i="2"/>
  <c r="Y218" i="2"/>
  <c r="BP222" i="2"/>
  <c r="Z229" i="2"/>
  <c r="Z246" i="2"/>
  <c r="Y254" i="2"/>
  <c r="Z256" i="2"/>
  <c r="Z257" i="2" s="1"/>
  <c r="BP256" i="2"/>
  <c r="Y279" i="2"/>
  <c r="Z272" i="2"/>
  <c r="Z278" i="2"/>
  <c r="Y294" i="2"/>
  <c r="BP284" i="2"/>
  <c r="Z291" i="2"/>
  <c r="BP304" i="2"/>
  <c r="Z309" i="2"/>
  <c r="BN321" i="2"/>
  <c r="Z326" i="2"/>
  <c r="BP326" i="2"/>
  <c r="Y340" i="2"/>
  <c r="Z345" i="2"/>
  <c r="BN357" i="2"/>
  <c r="Z359" i="2"/>
  <c r="Z368" i="2"/>
  <c r="Z379" i="2"/>
  <c r="Z391" i="2"/>
  <c r="Y395" i="2"/>
  <c r="Z399" i="2"/>
  <c r="Z404" i="2"/>
  <c r="BP404" i="2"/>
  <c r="Y407" i="2"/>
  <c r="Y419" i="2"/>
  <c r="Y426" i="2"/>
  <c r="Z435" i="2"/>
  <c r="Z438" i="2"/>
  <c r="Z461" i="2"/>
  <c r="BP461" i="2"/>
  <c r="Z470" i="2"/>
  <c r="Y472" i="2"/>
  <c r="Z498" i="2"/>
  <c r="Z508" i="2"/>
  <c r="Z516" i="2"/>
  <c r="BP516" i="2"/>
  <c r="Z527" i="2"/>
  <c r="J569" i="2"/>
  <c r="K569" i="2"/>
  <c r="Y247" i="2"/>
  <c r="M569" i="2"/>
  <c r="Y295" i="2"/>
  <c r="Z313" i="2"/>
  <c r="Z314" i="2" s="1"/>
  <c r="BP313" i="2"/>
  <c r="Y323" i="2"/>
  <c r="S569" i="2"/>
  <c r="Z358" i="2"/>
  <c r="Z360" i="2" s="1"/>
  <c r="Z378" i="2"/>
  <c r="Z412" i="2"/>
  <c r="Z425" i="2"/>
  <c r="W569" i="2"/>
  <c r="BP431" i="2"/>
  <c r="Z450" i="2"/>
  <c r="X569" i="2"/>
  <c r="Z469" i="2"/>
  <c r="Z472" i="2" s="1"/>
  <c r="Z482" i="2"/>
  <c r="Z497" i="2"/>
  <c r="Z499" i="2" s="1"/>
  <c r="Z518" i="2"/>
  <c r="Z526" i="2"/>
  <c r="Y543" i="2"/>
  <c r="BN122" i="2"/>
  <c r="Y125" i="2"/>
  <c r="Z133" i="2"/>
  <c r="Y146" i="2"/>
  <c r="BP158" i="2"/>
  <c r="Y172" i="2"/>
  <c r="BN179" i="2"/>
  <c r="BN189" i="2"/>
  <c r="Y192" i="2"/>
  <c r="Z199" i="2"/>
  <c r="Z200" i="2" s="1"/>
  <c r="Z211" i="2"/>
  <c r="Y217" i="2"/>
  <c r="BN224" i="2"/>
  <c r="Z232" i="2"/>
  <c r="BP234" i="2"/>
  <c r="Z242" i="2"/>
  <c r="BP244" i="2"/>
  <c r="Z252" i="2"/>
  <c r="BP267" i="2"/>
  <c r="Z275" i="2"/>
  <c r="BP277" i="2"/>
  <c r="Z285" i="2"/>
  <c r="BP287" i="2"/>
  <c r="BP297" i="2"/>
  <c r="Z306" i="2"/>
  <c r="BP308" i="2"/>
  <c r="Y319" i="2"/>
  <c r="Z329" i="2"/>
  <c r="BP331" i="2"/>
  <c r="BN343" i="2"/>
  <c r="Y354" i="2"/>
  <c r="Z365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Z38" i="2"/>
  <c r="Z50" i="2"/>
  <c r="Z61" i="2"/>
  <c r="Z71" i="2"/>
  <c r="Z105" i="2"/>
  <c r="Z115" i="2"/>
  <c r="Y248" i="2"/>
  <c r="Y263" i="2"/>
  <c r="Y484" i="2"/>
  <c r="BN528" i="2"/>
  <c r="BN542" i="2"/>
  <c r="Z89" i="2"/>
  <c r="Z110" i="2"/>
  <c r="Y24" i="2"/>
  <c r="BN31" i="2"/>
  <c r="BP47" i="2"/>
  <c r="Z56" i="2"/>
  <c r="BP58" i="2"/>
  <c r="BP68" i="2"/>
  <c r="Z76" i="2"/>
  <c r="BN89" i="2"/>
  <c r="Y92" i="2"/>
  <c r="BN110" i="2"/>
  <c r="BP122" i="2"/>
  <c r="BN133" i="2"/>
  <c r="Z143" i="2"/>
  <c r="Z154" i="2"/>
  <c r="Y159" i="2"/>
  <c r="Y168" i="2"/>
  <c r="Z177" i="2"/>
  <c r="BP179" i="2"/>
  <c r="BP189" i="2"/>
  <c r="BN199" i="2"/>
  <c r="BN211" i="2"/>
  <c r="Z222" i="2"/>
  <c r="BP224" i="2"/>
  <c r="BN232" i="2"/>
  <c r="Y235" i="2"/>
  <c r="BN242" i="2"/>
  <c r="BN252" i="2"/>
  <c r="Y268" i="2"/>
  <c r="BN275" i="2"/>
  <c r="BN285" i="2"/>
  <c r="Z293" i="2"/>
  <c r="BN306" i="2"/>
  <c r="BN329" i="2"/>
  <c r="Y332" i="2"/>
  <c r="BP343" i="2"/>
  <c r="Z351" i="2"/>
  <c r="BN365" i="2"/>
  <c r="BN375" i="2"/>
  <c r="BN385" i="2"/>
  <c r="Y388" i="2"/>
  <c r="BP397" i="2"/>
  <c r="BN418" i="2"/>
  <c r="Z431" i="2"/>
  <c r="BP433" i="2"/>
  <c r="BP443" i="2"/>
  <c r="Y456" i="2"/>
  <c r="BN478" i="2"/>
  <c r="Y489" i="2"/>
  <c r="Z511" i="2"/>
  <c r="Y536" i="2"/>
  <c r="Y548" i="2"/>
  <c r="Y439" i="2"/>
  <c r="Y553" i="2"/>
  <c r="O569" i="2"/>
  <c r="BN38" i="2"/>
  <c r="BN50" i="2"/>
  <c r="Z29" i="2"/>
  <c r="BP31" i="2"/>
  <c r="Z41" i="2"/>
  <c r="Z87" i="2"/>
  <c r="Z97" i="2"/>
  <c r="Z108" i="2"/>
  <c r="BP133" i="2"/>
  <c r="Z165" i="2"/>
  <c r="Z185" i="2"/>
  <c r="BP199" i="2"/>
  <c r="Z209" i="2"/>
  <c r="Z230" i="2"/>
  <c r="Z240" i="2"/>
  <c r="Z250" i="2"/>
  <c r="Y264" i="2"/>
  <c r="Z273" i="2"/>
  <c r="Z283" i="2"/>
  <c r="Z304" i="2"/>
  <c r="Z327" i="2"/>
  <c r="Z338" i="2"/>
  <c r="Z339" i="2" s="1"/>
  <c r="Z393" i="2"/>
  <c r="Z394" i="2" s="1"/>
  <c r="BP418" i="2"/>
  <c r="Z486" i="2"/>
  <c r="Y25" i="2"/>
  <c r="BP38" i="2"/>
  <c r="Z48" i="2"/>
  <c r="Z59" i="2"/>
  <c r="Z69" i="2"/>
  <c r="Y93" i="2"/>
  <c r="Z103" i="2"/>
  <c r="BP115" i="2"/>
  <c r="Z123" i="2"/>
  <c r="Y160" i="2"/>
  <c r="Z170" i="2"/>
  <c r="Z172" i="2" s="1"/>
  <c r="Z180" i="2"/>
  <c r="Z190" i="2"/>
  <c r="Z192" i="2" s="1"/>
  <c r="Z225" i="2"/>
  <c r="Y269" i="2"/>
  <c r="Y333" i="2"/>
  <c r="Z344" i="2"/>
  <c r="Y371" i="2"/>
  <c r="Y381" i="2"/>
  <c r="Y389" i="2"/>
  <c r="Z398" i="2"/>
  <c r="Z434" i="2"/>
  <c r="Z444" i="2"/>
  <c r="Y457" i="2"/>
  <c r="Z492" i="2"/>
  <c r="Z493" i="2" s="1"/>
  <c r="Y529" i="2"/>
  <c r="Z538" i="2"/>
  <c r="Z539" i="2" s="1"/>
  <c r="Z550" i="2"/>
  <c r="BN115" i="2"/>
  <c r="Y32" i="2"/>
  <c r="BN97" i="2"/>
  <c r="BN165" i="2"/>
  <c r="BN185" i="2"/>
  <c r="Y200" i="2"/>
  <c r="Y212" i="2"/>
  <c r="BN240" i="2"/>
  <c r="BN250" i="2"/>
  <c r="Y253" i="2"/>
  <c r="BN273" i="2"/>
  <c r="BN283" i="2"/>
  <c r="BN338" i="2"/>
  <c r="BN393" i="2"/>
  <c r="Y440" i="2"/>
  <c r="BN486" i="2"/>
  <c r="Z556" i="2"/>
  <c r="Z557" i="2" s="1"/>
  <c r="R569" i="2"/>
  <c r="BP55" i="2"/>
  <c r="Y118" i="2"/>
  <c r="BN29" i="2"/>
  <c r="BN41" i="2"/>
  <c r="Y65" i="2"/>
  <c r="BN87" i="2"/>
  <c r="BN108" i="2"/>
  <c r="BN209" i="2"/>
  <c r="BN230" i="2"/>
  <c r="Z22" i="2"/>
  <c r="BN48" i="2"/>
  <c r="Y51" i="2"/>
  <c r="BN59" i="2"/>
  <c r="BN69" i="2"/>
  <c r="Y72" i="2"/>
  <c r="Z90" i="2"/>
  <c r="BN103" i="2"/>
  <c r="Z111" i="2"/>
  <c r="BN123" i="2"/>
  <c r="Z134" i="2"/>
  <c r="BN170" i="2"/>
  <c r="BN180" i="2"/>
  <c r="BN190" i="2"/>
  <c r="BN225" i="2"/>
  <c r="Z233" i="2"/>
  <c r="Z243" i="2"/>
  <c r="Z266" i="2"/>
  <c r="Z276" i="2"/>
  <c r="Z286" i="2"/>
  <c r="Z307" i="2"/>
  <c r="Z330" i="2"/>
  <c r="BN344" i="2"/>
  <c r="Z366" i="2"/>
  <c r="Z376" i="2"/>
  <c r="Z386" i="2"/>
  <c r="BN398" i="2"/>
  <c r="Y401" i="2"/>
  <c r="BN434" i="2"/>
  <c r="BN444" i="2"/>
  <c r="Z454" i="2"/>
  <c r="Z479" i="2"/>
  <c r="BN492" i="2"/>
  <c r="Z504" i="2"/>
  <c r="Z524" i="2"/>
  <c r="BN538" i="2"/>
  <c r="BN550" i="2"/>
  <c r="Y77" i="2"/>
  <c r="BP87" i="2"/>
  <c r="Y155" i="2"/>
  <c r="BN556" i="2"/>
  <c r="T569" i="2"/>
  <c r="BP250" i="2"/>
  <c r="BN22" i="2"/>
  <c r="Z57" i="2"/>
  <c r="Z67" i="2"/>
  <c r="BN90" i="2"/>
  <c r="BP103" i="2"/>
  <c r="BN111" i="2"/>
  <c r="Z121" i="2"/>
  <c r="Z125" i="2" s="1"/>
  <c r="BN134" i="2"/>
  <c r="Z144" i="2"/>
  <c r="Z178" i="2"/>
  <c r="Z223" i="2"/>
  <c r="BN233" i="2"/>
  <c r="BN243" i="2"/>
  <c r="BN266" i="2"/>
  <c r="BN276" i="2"/>
  <c r="BN286" i="2"/>
  <c r="Y299" i="2"/>
  <c r="BN307" i="2"/>
  <c r="Y310" i="2"/>
  <c r="Z317" i="2"/>
  <c r="Z318" i="2" s="1"/>
  <c r="BN330" i="2"/>
  <c r="Z352" i="2"/>
  <c r="BN366" i="2"/>
  <c r="BN376" i="2"/>
  <c r="BN386" i="2"/>
  <c r="Z406" i="2"/>
  <c r="Y420" i="2"/>
  <c r="Z432" i="2"/>
  <c r="Z442" i="2"/>
  <c r="BN454" i="2"/>
  <c r="Z465" i="2"/>
  <c r="Z466" i="2" s="1"/>
  <c r="BN479" i="2"/>
  <c r="BP492" i="2"/>
  <c r="BN504" i="2"/>
  <c r="Z512" i="2"/>
  <c r="BN524" i="2"/>
  <c r="BP538" i="2"/>
  <c r="B569" i="2"/>
  <c r="U569" i="2"/>
  <c r="Y64" i="2"/>
  <c r="BP97" i="2"/>
  <c r="Y339" i="2"/>
  <c r="Y394" i="2"/>
  <c r="Y402" i="2"/>
  <c r="BP556" i="2"/>
  <c r="BP165" i="2"/>
  <c r="Y42" i="2"/>
  <c r="Y52" i="2"/>
  <c r="Y73" i="2"/>
  <c r="Y186" i="2"/>
  <c r="Z30" i="2"/>
  <c r="BN57" i="2"/>
  <c r="BN67" i="2"/>
  <c r="Y78" i="2"/>
  <c r="BN121" i="2"/>
  <c r="BN144" i="2"/>
  <c r="Y156" i="2"/>
  <c r="Z166" i="2"/>
  <c r="BN178" i="2"/>
  <c r="Z210" i="2"/>
  <c r="BN223" i="2"/>
  <c r="Z231" i="2"/>
  <c r="Z241" i="2"/>
  <c r="Z251" i="2"/>
  <c r="Z274" i="2"/>
  <c r="Z284" i="2"/>
  <c r="Z305" i="2"/>
  <c r="BN317" i="2"/>
  <c r="Z328" i="2"/>
  <c r="BN352" i="2"/>
  <c r="Z364" i="2"/>
  <c r="Z374" i="2"/>
  <c r="Z384" i="2"/>
  <c r="BN406" i="2"/>
  <c r="Z417" i="2"/>
  <c r="Z419" i="2" s="1"/>
  <c r="BN432" i="2"/>
  <c r="BN442" i="2"/>
  <c r="Y445" i="2"/>
  <c r="BN465" i="2"/>
  <c r="Z477" i="2"/>
  <c r="Z487" i="2"/>
  <c r="Y493" i="2"/>
  <c r="BP504" i="2"/>
  <c r="BN512" i="2"/>
  <c r="Z522" i="2"/>
  <c r="Z534" i="2"/>
  <c r="Z535" i="2" s="1"/>
  <c r="Y539" i="2"/>
  <c r="Z546" i="2"/>
  <c r="Z547" i="2" s="1"/>
  <c r="D569" i="2"/>
  <c r="Y300" i="2"/>
  <c r="BP425" i="2"/>
  <c r="BP460" i="2"/>
  <c r="BN527" i="2"/>
  <c r="Z551" i="2"/>
  <c r="Y557" i="2"/>
  <c r="E569" i="2"/>
  <c r="Z55" i="2"/>
  <c r="Z75" i="2"/>
  <c r="Y112" i="2"/>
  <c r="Y135" i="2"/>
  <c r="BP144" i="2"/>
  <c r="Z153" i="2"/>
  <c r="Z176" i="2"/>
  <c r="Y187" i="2"/>
  <c r="Z221" i="2"/>
  <c r="Z262" i="2"/>
  <c r="Z292" i="2"/>
  <c r="BP317" i="2"/>
  <c r="BP352" i="2"/>
  <c r="BP406" i="2"/>
  <c r="BP442" i="2"/>
  <c r="BP465" i="2"/>
  <c r="BN477" i="2"/>
  <c r="BN487" i="2"/>
  <c r="BN522" i="2"/>
  <c r="BN534" i="2"/>
  <c r="BN546" i="2"/>
  <c r="Y569" i="2"/>
  <c r="Z23" i="2"/>
  <c r="Z80" i="2"/>
  <c r="Z83" i="2" s="1"/>
  <c r="Z91" i="2"/>
  <c r="Z158" i="2"/>
  <c r="Z159" i="2" s="1"/>
  <c r="Z234" i="2"/>
  <c r="Z244" i="2"/>
  <c r="Z267" i="2"/>
  <c r="Z277" i="2"/>
  <c r="Z287" i="2"/>
  <c r="Z297" i="2"/>
  <c r="Z308" i="2"/>
  <c r="Z331" i="2"/>
  <c r="Y348" i="2"/>
  <c r="Z367" i="2"/>
  <c r="Z377" i="2"/>
  <c r="Z387" i="2"/>
  <c r="Z455" i="2"/>
  <c r="Z480" i="2"/>
  <c r="Y494" i="2"/>
  <c r="Z505" i="2"/>
  <c r="Z525" i="2"/>
  <c r="BN551" i="2"/>
  <c r="G569" i="2"/>
  <c r="BN153" i="2"/>
  <c r="BN221" i="2"/>
  <c r="BN262" i="2"/>
  <c r="BN292" i="2"/>
  <c r="Y513" i="2"/>
  <c r="BP534" i="2"/>
  <c r="BP546" i="2"/>
  <c r="Y558" i="2"/>
  <c r="H569" i="2"/>
  <c r="BN75" i="2"/>
  <c r="BN176" i="2"/>
  <c r="BN80" i="2"/>
  <c r="Z343" i="2"/>
  <c r="Z348" i="2" s="1"/>
  <c r="AB569" i="2"/>
  <c r="Z155" i="2" l="1"/>
  <c r="Z401" i="2"/>
  <c r="Z519" i="2"/>
  <c r="Z426" i="2"/>
  <c r="Z167" i="2"/>
  <c r="Z299" i="2"/>
  <c r="Z488" i="2"/>
  <c r="Z51" i="2"/>
  <c r="Z212" i="2"/>
  <c r="Z462" i="2"/>
  <c r="Z263" i="2"/>
  <c r="Z407" i="2"/>
  <c r="Z451" i="2"/>
  <c r="Z64" i="2"/>
  <c r="Z310" i="2"/>
  <c r="Y561" i="2"/>
  <c r="Z294" i="2"/>
  <c r="Z247" i="2"/>
  <c r="Z99" i="2"/>
  <c r="Z32" i="2"/>
  <c r="Z118" i="2"/>
  <c r="Z413" i="2"/>
  <c r="Z186" i="2"/>
  <c r="Z72" i="2"/>
  <c r="Z513" i="2"/>
  <c r="Z279" i="2"/>
  <c r="Z92" i="2"/>
  <c r="Z42" i="2"/>
  <c r="Z456" i="2"/>
  <c r="Z332" i="2"/>
  <c r="Z77" i="2"/>
  <c r="Y563" i="2"/>
  <c r="Z353" i="2"/>
  <c r="Z552" i="2"/>
  <c r="Z253" i="2"/>
  <c r="Z381" i="2"/>
  <c r="Z112" i="2"/>
  <c r="Z483" i="2"/>
  <c r="Z145" i="2"/>
  <c r="Z371" i="2"/>
  <c r="Z235" i="2"/>
  <c r="Z135" i="2"/>
  <c r="Z439" i="2"/>
  <c r="Y560" i="2"/>
  <c r="Z529" i="2"/>
  <c r="Z24" i="2"/>
  <c r="Z388" i="2"/>
  <c r="Z445" i="2"/>
  <c r="Z268" i="2"/>
  <c r="Y559" i="2"/>
  <c r="Y562" i="2" l="1"/>
  <c r="Z564" i="2"/>
</calcChain>
</file>

<file path=xl/sharedStrings.xml><?xml version="1.0" encoding="utf-8"?>
<sst xmlns="http://schemas.openxmlformats.org/spreadsheetml/2006/main" count="4309" uniqueCount="905">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</sst>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98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7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32" sqref="AA43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8" t="s">
        <v>26</v>
      </c>
      <c r="E1" s="988"/>
      <c r="F1" s="988"/>
      <c r="G1" s="14" t="s">
        <v>67</v>
      </c>
      <c r="H1" s="988" t="s">
        <v>47</v>
      </c>
      <c r="I1" s="988"/>
      <c r="J1" s="988"/>
      <c r="K1" s="988"/>
      <c r="L1" s="988"/>
      <c r="M1" s="988"/>
      <c r="N1" s="988"/>
      <c r="O1" s="988"/>
      <c r="P1" s="988"/>
      <c r="Q1" s="988"/>
      <c r="R1" s="989" t="s">
        <v>68</v>
      </c>
      <c r="S1" s="990"/>
      <c r="T1" s="99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1"/>
      <c r="R2" s="991"/>
      <c r="S2" s="991"/>
      <c r="T2" s="991"/>
      <c r="U2" s="991"/>
      <c r="V2" s="991"/>
      <c r="W2" s="99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1"/>
      <c r="Q3" s="991"/>
      <c r="R3" s="991"/>
      <c r="S3" s="991"/>
      <c r="T3" s="991"/>
      <c r="U3" s="991"/>
      <c r="V3" s="991"/>
      <c r="W3" s="99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92" t="s">
        <v>8</v>
      </c>
      <c r="B5" s="992"/>
      <c r="C5" s="992"/>
      <c r="D5" s="993"/>
      <c r="E5" s="993"/>
      <c r="F5" s="994" t="s">
        <v>14</v>
      </c>
      <c r="G5" s="994"/>
      <c r="H5" s="993"/>
      <c r="I5" s="993"/>
      <c r="J5" s="993"/>
      <c r="K5" s="993"/>
      <c r="L5" s="993"/>
      <c r="M5" s="993"/>
      <c r="N5" s="69"/>
      <c r="P5" s="26" t="s">
        <v>4</v>
      </c>
      <c r="Q5" s="995">
        <v>46293</v>
      </c>
      <c r="R5" s="995"/>
      <c r="T5" s="996" t="s">
        <v>3</v>
      </c>
      <c r="U5" s="997"/>
      <c r="V5" s="998" t="s">
        <v>873</v>
      </c>
      <c r="W5" s="999"/>
      <c r="AB5" s="57"/>
      <c r="AC5" s="57"/>
      <c r="AD5" s="57"/>
      <c r="AE5" s="57"/>
    </row>
    <row r="6" spans="1:32" s="17" customFormat="1" ht="24" customHeight="1" x14ac:dyDescent="0.2">
      <c r="A6" s="992" t="s">
        <v>1</v>
      </c>
      <c r="B6" s="992"/>
      <c r="C6" s="992"/>
      <c r="D6" s="1000"/>
      <c r="E6" s="1000"/>
      <c r="F6" s="1000"/>
      <c r="G6" s="1000"/>
      <c r="H6" s="1000"/>
      <c r="I6" s="1000"/>
      <c r="J6" s="1000"/>
      <c r="K6" s="1000"/>
      <c r="L6" s="1000"/>
      <c r="M6" s="1000"/>
      <c r="N6" s="70"/>
      <c r="P6" s="26" t="s">
        <v>27</v>
      </c>
      <c r="Q6" s="1001" t="str">
        <f>IF(Q5=0," ",CHOOSE(WEEKDAY(Q5,2),"Понедельник","Вторник","Среда","Четверг","Пятница","Суббота","Воскресенье"))</f>
        <v>Понедельник</v>
      </c>
      <c r="R6" s="1001"/>
      <c r="T6" s="1002" t="s">
        <v>5</v>
      </c>
      <c r="U6" s="1003"/>
      <c r="V6" s="1004" t="s">
        <v>70</v>
      </c>
      <c r="W6" s="100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10">
        <f>IFERROR(VLOOKUP(DeliveryAddress,Table,3,0),1)</f>
        <v>1</v>
      </c>
      <c r="E7" s="1011"/>
      <c r="F7" s="1011"/>
      <c r="G7" s="1011"/>
      <c r="H7" s="1011"/>
      <c r="I7" s="1011"/>
      <c r="J7" s="1011"/>
      <c r="K7" s="1011"/>
      <c r="L7" s="1011"/>
      <c r="M7" s="1012"/>
      <c r="N7" s="71"/>
      <c r="P7" s="26"/>
      <c r="Q7" s="46"/>
      <c r="R7" s="46"/>
      <c r="T7" s="1002"/>
      <c r="U7" s="1003"/>
      <c r="V7" s="1006"/>
      <c r="W7" s="1007"/>
      <c r="AB7" s="57"/>
      <c r="AC7" s="57"/>
      <c r="AD7" s="57"/>
      <c r="AE7" s="57"/>
    </row>
    <row r="8" spans="1:32" s="17" customFormat="1" ht="25.5" customHeight="1" x14ac:dyDescent="0.2">
      <c r="A8" s="1013" t="s">
        <v>58</v>
      </c>
      <c r="B8" s="1013"/>
      <c r="C8" s="1013"/>
      <c r="D8" s="1014"/>
      <c r="E8" s="1014"/>
      <c r="F8" s="1014"/>
      <c r="G8" s="1014"/>
      <c r="H8" s="1014"/>
      <c r="I8" s="1014"/>
      <c r="J8" s="1014"/>
      <c r="K8" s="1014"/>
      <c r="L8" s="1014"/>
      <c r="M8" s="1014"/>
      <c r="N8" s="72"/>
      <c r="P8" s="26" t="s">
        <v>11</v>
      </c>
      <c r="Q8" s="973">
        <v>0.41666666666666669</v>
      </c>
      <c r="R8" s="973"/>
      <c r="T8" s="1002"/>
      <c r="U8" s="1003"/>
      <c r="V8" s="1006"/>
      <c r="W8" s="1007"/>
      <c r="AB8" s="57"/>
      <c r="AC8" s="57"/>
      <c r="AD8" s="57"/>
      <c r="AE8" s="57"/>
    </row>
    <row r="9" spans="1:32" s="17" customFormat="1" ht="39.950000000000003" customHeight="1" x14ac:dyDescent="0.2">
      <c r="A9" s="9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3"/>
      <c r="C9" s="963"/>
      <c r="D9" s="964" t="s">
        <v>46</v>
      </c>
      <c r="E9" s="965"/>
      <c r="F9" s="9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3"/>
      <c r="H9" s="1015" t="str">
        <f>IF(AND($A$9="Тип доверенности/получателя при получении в адресе перегруза:",$D$9="Разовая доверенность"),"Введите ФИО","")</f>
        <v/>
      </c>
      <c r="I9" s="1015"/>
      <c r="J9" s="10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5"/>
      <c r="L9" s="1015"/>
      <c r="M9" s="1015"/>
      <c r="N9" s="67"/>
      <c r="P9" s="29" t="s">
        <v>15</v>
      </c>
      <c r="Q9" s="1016"/>
      <c r="R9" s="1016"/>
      <c r="T9" s="1002"/>
      <c r="U9" s="1003"/>
      <c r="V9" s="1008"/>
      <c r="W9" s="100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3"/>
      <c r="C10" s="963"/>
      <c r="D10" s="964"/>
      <c r="E10" s="965"/>
      <c r="F10" s="9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3"/>
      <c r="H10" s="966" t="str">
        <f>IFERROR(VLOOKUP($D$10,Proxy,2,FALSE),"")</f>
        <v/>
      </c>
      <c r="I10" s="966"/>
      <c r="J10" s="966"/>
      <c r="K10" s="966"/>
      <c r="L10" s="966"/>
      <c r="M10" s="966"/>
      <c r="N10" s="68"/>
      <c r="P10" s="29" t="s">
        <v>32</v>
      </c>
      <c r="Q10" s="967"/>
      <c r="R10" s="967"/>
      <c r="U10" s="26" t="s">
        <v>12</v>
      </c>
      <c r="V10" s="968" t="s">
        <v>71</v>
      </c>
      <c r="W10" s="9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0"/>
      <c r="R11" s="970"/>
      <c r="U11" s="26" t="s">
        <v>28</v>
      </c>
      <c r="V11" s="971" t="s">
        <v>55</v>
      </c>
      <c r="W11" s="9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72" t="s">
        <v>72</v>
      </c>
      <c r="B12" s="972"/>
      <c r="C12" s="972"/>
      <c r="D12" s="972"/>
      <c r="E12" s="972"/>
      <c r="F12" s="972"/>
      <c r="G12" s="972"/>
      <c r="H12" s="972"/>
      <c r="I12" s="972"/>
      <c r="J12" s="972"/>
      <c r="K12" s="972"/>
      <c r="L12" s="972"/>
      <c r="M12" s="972"/>
      <c r="N12" s="73"/>
      <c r="P12" s="26" t="s">
        <v>30</v>
      </c>
      <c r="Q12" s="973"/>
      <c r="R12" s="973"/>
      <c r="S12" s="27"/>
      <c r="T12"/>
      <c r="U12" s="26" t="s">
        <v>46</v>
      </c>
      <c r="V12" s="974"/>
      <c r="W12" s="974"/>
      <c r="X12"/>
      <c r="AB12" s="57"/>
      <c r="AC12" s="57"/>
      <c r="AD12" s="57"/>
      <c r="AE12" s="57"/>
    </row>
    <row r="13" spans="1:32" s="17" customFormat="1" ht="23.25" customHeight="1" x14ac:dyDescent="0.2">
      <c r="A13" s="972" t="s">
        <v>73</v>
      </c>
      <c r="B13" s="972"/>
      <c r="C13" s="972"/>
      <c r="D13" s="972"/>
      <c r="E13" s="972"/>
      <c r="F13" s="972"/>
      <c r="G13" s="972"/>
      <c r="H13" s="972"/>
      <c r="I13" s="972"/>
      <c r="J13" s="972"/>
      <c r="K13" s="972"/>
      <c r="L13" s="972"/>
      <c r="M13" s="972"/>
      <c r="N13" s="73"/>
      <c r="O13" s="29"/>
      <c r="P13" s="29" t="s">
        <v>31</v>
      </c>
      <c r="Q13" s="971"/>
      <c r="R13" s="9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72" t="s">
        <v>74</v>
      </c>
      <c r="B14" s="972"/>
      <c r="C14" s="972"/>
      <c r="D14" s="972"/>
      <c r="E14" s="972"/>
      <c r="F14" s="972"/>
      <c r="G14" s="972"/>
      <c r="H14" s="972"/>
      <c r="I14" s="972"/>
      <c r="J14" s="972"/>
      <c r="K14" s="972"/>
      <c r="L14" s="972"/>
      <c r="M14" s="9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5" t="s">
        <v>75</v>
      </c>
      <c r="B15" s="975"/>
      <c r="C15" s="975"/>
      <c r="D15" s="975"/>
      <c r="E15" s="975"/>
      <c r="F15" s="975"/>
      <c r="G15" s="975"/>
      <c r="H15" s="975"/>
      <c r="I15" s="975"/>
      <c r="J15" s="975"/>
      <c r="K15" s="975"/>
      <c r="L15" s="975"/>
      <c r="M15" s="975"/>
      <c r="N15" s="74"/>
      <c r="O15"/>
      <c r="P15" s="976" t="s">
        <v>61</v>
      </c>
      <c r="Q15" s="976"/>
      <c r="R15" s="976"/>
      <c r="S15" s="976"/>
      <c r="T15" s="97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7"/>
      <c r="Q16" s="977"/>
      <c r="R16" s="977"/>
      <c r="S16" s="977"/>
      <c r="T16" s="97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7" t="s">
        <v>59</v>
      </c>
      <c r="B17" s="947" t="s">
        <v>49</v>
      </c>
      <c r="C17" s="980" t="s">
        <v>48</v>
      </c>
      <c r="D17" s="982" t="s">
        <v>50</v>
      </c>
      <c r="E17" s="983"/>
      <c r="F17" s="947" t="s">
        <v>21</v>
      </c>
      <c r="G17" s="947" t="s">
        <v>24</v>
      </c>
      <c r="H17" s="947" t="s">
        <v>22</v>
      </c>
      <c r="I17" s="947" t="s">
        <v>23</v>
      </c>
      <c r="J17" s="947" t="s">
        <v>16</v>
      </c>
      <c r="K17" s="947" t="s">
        <v>66</v>
      </c>
      <c r="L17" s="947" t="s">
        <v>64</v>
      </c>
      <c r="M17" s="947" t="s">
        <v>2</v>
      </c>
      <c r="N17" s="947" t="s">
        <v>63</v>
      </c>
      <c r="O17" s="947" t="s">
        <v>25</v>
      </c>
      <c r="P17" s="982" t="s">
        <v>17</v>
      </c>
      <c r="Q17" s="986"/>
      <c r="R17" s="986"/>
      <c r="S17" s="986"/>
      <c r="T17" s="983"/>
      <c r="U17" s="978" t="s">
        <v>56</v>
      </c>
      <c r="V17" s="979"/>
      <c r="W17" s="947" t="s">
        <v>6</v>
      </c>
      <c r="X17" s="947" t="s">
        <v>41</v>
      </c>
      <c r="Y17" s="949" t="s">
        <v>54</v>
      </c>
      <c r="Z17" s="951" t="s">
        <v>18</v>
      </c>
      <c r="AA17" s="953" t="s">
        <v>60</v>
      </c>
      <c r="AB17" s="953" t="s">
        <v>19</v>
      </c>
      <c r="AC17" s="953" t="s">
        <v>65</v>
      </c>
      <c r="AD17" s="955" t="s">
        <v>57</v>
      </c>
      <c r="AE17" s="956"/>
      <c r="AF17" s="957"/>
      <c r="AG17" s="77"/>
      <c r="BD17" s="76" t="s">
        <v>62</v>
      </c>
    </row>
    <row r="18" spans="1:68" ht="14.25" customHeight="1" x14ac:dyDescent="0.2">
      <c r="A18" s="948"/>
      <c r="B18" s="948"/>
      <c r="C18" s="981"/>
      <c r="D18" s="984"/>
      <c r="E18" s="985"/>
      <c r="F18" s="948"/>
      <c r="G18" s="948"/>
      <c r="H18" s="948"/>
      <c r="I18" s="948"/>
      <c r="J18" s="948"/>
      <c r="K18" s="948"/>
      <c r="L18" s="948"/>
      <c r="M18" s="948"/>
      <c r="N18" s="948"/>
      <c r="O18" s="948"/>
      <c r="P18" s="984"/>
      <c r="Q18" s="987"/>
      <c r="R18" s="987"/>
      <c r="S18" s="987"/>
      <c r="T18" s="985"/>
      <c r="U18" s="78" t="s">
        <v>44</v>
      </c>
      <c r="V18" s="78" t="s">
        <v>43</v>
      </c>
      <c r="W18" s="948"/>
      <c r="X18" s="948"/>
      <c r="Y18" s="950"/>
      <c r="Z18" s="952"/>
      <c r="AA18" s="954"/>
      <c r="AB18" s="954"/>
      <c r="AC18" s="954"/>
      <c r="AD18" s="958"/>
      <c r="AE18" s="959"/>
      <c r="AF18" s="960"/>
      <c r="AG18" s="77"/>
      <c r="BD18" s="76"/>
    </row>
    <row r="19" spans="1:68" ht="27.75" hidden="1" customHeight="1" x14ac:dyDescent="0.2">
      <c r="A19" s="678" t="s">
        <v>76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2"/>
      <c r="AB19" s="52"/>
      <c r="AC19" s="52"/>
    </row>
    <row r="20" spans="1:68" ht="16.5" hidden="1" customHeight="1" x14ac:dyDescent="0.25">
      <c r="A20" s="667" t="s">
        <v>76</v>
      </c>
      <c r="B20" s="667"/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7"/>
      <c r="O20" s="667"/>
      <c r="P20" s="667"/>
      <c r="Q20" s="667"/>
      <c r="R20" s="667"/>
      <c r="S20" s="667"/>
      <c r="T20" s="667"/>
      <c r="U20" s="667"/>
      <c r="V20" s="667"/>
      <c r="W20" s="667"/>
      <c r="X20" s="667"/>
      <c r="Y20" s="667"/>
      <c r="Z20" s="667"/>
      <c r="AA20" s="62"/>
      <c r="AB20" s="62"/>
      <c r="AC20" s="62"/>
    </row>
    <row r="21" spans="1:68" ht="14.25" hidden="1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1">
        <v>4680115886643</v>
      </c>
      <c r="E22" s="661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3"/>
      <c r="R22" s="663"/>
      <c r="S22" s="663"/>
      <c r="T22" s="664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1">
        <v>4680115889071</v>
      </c>
      <c r="E23" s="661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3"/>
      <c r="R23" s="663"/>
      <c r="S23" s="663"/>
      <c r="T23" s="664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1">
        <v>4680115885912</v>
      </c>
      <c r="E27" s="661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3"/>
      <c r="R27" s="663"/>
      <c r="S27" s="663"/>
      <c r="T27" s="664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1">
        <v>4607091388237</v>
      </c>
      <c r="E28" s="661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3"/>
      <c r="R28" s="663"/>
      <c r="S28" s="663"/>
      <c r="T28" s="664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1">
        <v>4680115887350</v>
      </c>
      <c r="E29" s="661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3"/>
      <c r="R29" s="663"/>
      <c r="S29" s="663"/>
      <c r="T29" s="664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1">
        <v>4680115885905</v>
      </c>
      <c r="E30" s="661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3"/>
      <c r="R30" s="663"/>
      <c r="S30" s="663"/>
      <c r="T30" s="664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61">
        <v>4680115887619</v>
      </c>
      <c r="E31" s="661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3"/>
      <c r="R31" s="663"/>
      <c r="S31" s="663"/>
      <c r="T31" s="664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2"/>
      <c r="AB34" s="52"/>
      <c r="AC34" s="52"/>
    </row>
    <row r="35" spans="1:68" ht="16.5" hidden="1" customHeight="1" x14ac:dyDescent="0.25">
      <c r="A35" s="667" t="s">
        <v>104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2"/>
      <c r="AB35" s="62"/>
      <c r="AC35" s="62"/>
    </row>
    <row r="36" spans="1:68" ht="14.25" hidden="1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61">
        <v>4680115889354</v>
      </c>
      <c r="E37" s="661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3"/>
      <c r="R37" s="663"/>
      <c r="S37" s="663"/>
      <c r="T37" s="664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61">
        <v>4680115888463</v>
      </c>
      <c r="E38" s="661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3"/>
      <c r="R38" s="663"/>
      <c r="S38" s="663"/>
      <c r="T38" s="664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61">
        <v>4680115889590</v>
      </c>
      <c r="E39" s="661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3"/>
      <c r="R39" s="663"/>
      <c r="S39" s="663"/>
      <c r="T39" s="664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61">
        <v>4680115888272</v>
      </c>
      <c r="E40" s="661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3"/>
      <c r="R40" s="663"/>
      <c r="S40" s="663"/>
      <c r="T40" s="664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61">
        <v>4680115888364</v>
      </c>
      <c r="E41" s="661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3"/>
      <c r="R41" s="663"/>
      <c r="S41" s="663"/>
      <c r="T41" s="664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8" t="s">
        <v>120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2"/>
      <c r="AB44" s="52"/>
      <c r="AC44" s="52"/>
    </row>
    <row r="45" spans="1:68" ht="16.5" hidden="1" customHeight="1" x14ac:dyDescent="0.25">
      <c r="A45" s="667" t="s">
        <v>121</v>
      </c>
      <c r="B45" s="667"/>
      <c r="C45" s="667"/>
      <c r="D45" s="667"/>
      <c r="E45" s="667"/>
      <c r="F45" s="667"/>
      <c r="G45" s="667"/>
      <c r="H45" s="667"/>
      <c r="I45" s="667"/>
      <c r="J45" s="667"/>
      <c r="K45" s="667"/>
      <c r="L45" s="667"/>
      <c r="M45" s="667"/>
      <c r="N45" s="667"/>
      <c r="O45" s="667"/>
      <c r="P45" s="667"/>
      <c r="Q45" s="667"/>
      <c r="R45" s="667"/>
      <c r="S45" s="667"/>
      <c r="T45" s="667"/>
      <c r="U45" s="667"/>
      <c r="V45" s="667"/>
      <c r="W45" s="667"/>
      <c r="X45" s="667"/>
      <c r="Y45" s="667"/>
      <c r="Z45" s="667"/>
      <c r="AA45" s="62"/>
      <c r="AB45" s="62"/>
      <c r="AC45" s="62"/>
    </row>
    <row r="46" spans="1:68" ht="14.25" hidden="1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661">
        <v>4607091385670</v>
      </c>
      <c r="E47" s="661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3"/>
      <c r="R47" s="663"/>
      <c r="S47" s="663"/>
      <c r="T47" s="664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61">
        <v>4680115887725</v>
      </c>
      <c r="E48" s="661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3"/>
      <c r="R48" s="663"/>
      <c r="S48" s="663"/>
      <c r="T48" s="664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61">
        <v>4607091385687</v>
      </c>
      <c r="E49" s="661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3"/>
      <c r="R49" s="663"/>
      <c r="S49" s="663"/>
      <c r="T49" s="664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61">
        <v>4680115882539</v>
      </c>
      <c r="E50" s="661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3"/>
      <c r="R50" s="663"/>
      <c r="S50" s="663"/>
      <c r="T50" s="664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67" t="s">
        <v>137</v>
      </c>
      <c r="B53" s="667"/>
      <c r="C53" s="667"/>
      <c r="D53" s="667"/>
      <c r="E53" s="667"/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  <c r="Z53" s="667"/>
      <c r="AA53" s="62"/>
      <c r="AB53" s="62"/>
      <c r="AC53" s="62"/>
    </row>
    <row r="54" spans="1:68" ht="14.25" hidden="1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661">
        <v>4680115885882</v>
      </c>
      <c r="E55" s="661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3"/>
      <c r="R55" s="663"/>
      <c r="S55" s="663"/>
      <c r="T55" s="664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3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3" si="1">IFERROR(X55*I55/H55,"0")</f>
        <v>0</v>
      </c>
      <c r="BN55" s="75">
        <f t="shared" ref="BN55:BN63" si="2">IFERROR(Y55*I55/H55,"0")</f>
        <v>0</v>
      </c>
      <c r="BO55" s="75">
        <f t="shared" ref="BO55:BO63" si="3">IFERROR(1/J55*(X55/H55),"0")</f>
        <v>0</v>
      </c>
      <c r="BP55" s="75">
        <f t="shared" ref="BP55:BP63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661">
        <v>4680115881426</v>
      </c>
      <c r="E56" s="661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3"/>
      <c r="R56" s="663"/>
      <c r="S56" s="663"/>
      <c r="T56" s="664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141</v>
      </c>
      <c r="B57" s="60" t="s">
        <v>144</v>
      </c>
      <c r="C57" s="34">
        <v>4301012162</v>
      </c>
      <c r="D57" s="661">
        <v>4680115881426</v>
      </c>
      <c r="E57" s="661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127</v>
      </c>
      <c r="L57" s="35" t="s">
        <v>46</v>
      </c>
      <c r="M57" s="36" t="s">
        <v>126</v>
      </c>
      <c r="N57" s="36"/>
      <c r="O57" s="35">
        <v>50</v>
      </c>
      <c r="P57" s="93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3"/>
      <c r="R57" s="663"/>
      <c r="S57" s="663"/>
      <c r="T57" s="664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4301012259</v>
      </c>
      <c r="D58" s="661">
        <v>4680115880283</v>
      </c>
      <c r="E58" s="661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45</v>
      </c>
      <c r="P58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3"/>
      <c r="R58" s="663"/>
      <c r="S58" s="663"/>
      <c r="T58" s="664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4301011806</v>
      </c>
      <c r="D59" s="661">
        <v>4680115881525</v>
      </c>
      <c r="E59" s="661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3"/>
      <c r="R59" s="663"/>
      <c r="S59" s="663"/>
      <c r="T59" s="664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149</v>
      </c>
      <c r="B60" s="60" t="s">
        <v>152</v>
      </c>
      <c r="C60" s="34">
        <v>4301012159</v>
      </c>
      <c r="D60" s="661">
        <v>4680115881525</v>
      </c>
      <c r="E60" s="661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9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3"/>
      <c r="R60" s="663"/>
      <c r="S60" s="663"/>
      <c r="T60" s="664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145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153</v>
      </c>
      <c r="B61" s="60" t="s">
        <v>154</v>
      </c>
      <c r="C61" s="34">
        <v>4301012165</v>
      </c>
      <c r="D61" s="661">
        <v>4680115885899</v>
      </c>
      <c r="E61" s="661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91</v>
      </c>
      <c r="L61" s="35" t="s">
        <v>46</v>
      </c>
      <c r="M61" s="36" t="s">
        <v>126</v>
      </c>
      <c r="N61" s="36"/>
      <c r="O61" s="35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3"/>
      <c r="R61" s="663"/>
      <c r="S61" s="663"/>
      <c r="T61" s="664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140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hidden="1" customHeight="1" x14ac:dyDescent="0.25">
      <c r="A62" s="60" t="s">
        <v>155</v>
      </c>
      <c r="B62" s="60" t="s">
        <v>156</v>
      </c>
      <c r="C62" s="34">
        <v>4301011801</v>
      </c>
      <c r="D62" s="661">
        <v>4680115881419</v>
      </c>
      <c r="E62" s="661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134</v>
      </c>
      <c r="L62" s="35" t="s">
        <v>46</v>
      </c>
      <c r="M62" s="36" t="s">
        <v>126</v>
      </c>
      <c r="N62" s="36"/>
      <c r="O62" s="35">
        <v>50</v>
      </c>
      <c r="P62" s="92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3"/>
      <c r="R62" s="663"/>
      <c r="S62" s="663"/>
      <c r="T62" s="664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7" t="s">
        <v>157</v>
      </c>
      <c r="AG62" s="75"/>
      <c r="AJ62" s="79" t="s">
        <v>46</v>
      </c>
      <c r="AK62" s="79">
        <v>0</v>
      </c>
      <c r="BB62" s="128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155</v>
      </c>
      <c r="B63" s="60" t="s">
        <v>158</v>
      </c>
      <c r="C63" s="34">
        <v>4301012158</v>
      </c>
      <c r="D63" s="661">
        <v>4680115881419</v>
      </c>
      <c r="E63" s="661"/>
      <c r="F63" s="59">
        <v>0.45</v>
      </c>
      <c r="G63" s="35">
        <v>10</v>
      </c>
      <c r="H63" s="59">
        <v>4.5</v>
      </c>
      <c r="I63" s="59">
        <v>4.6900000000000004</v>
      </c>
      <c r="J63" s="35">
        <v>132</v>
      </c>
      <c r="K63" s="35" t="s">
        <v>134</v>
      </c>
      <c r="L63" s="35" t="s">
        <v>46</v>
      </c>
      <c r="M63" s="36" t="s">
        <v>126</v>
      </c>
      <c r="N63" s="36"/>
      <c r="O63" s="35">
        <v>50</v>
      </c>
      <c r="P63" s="928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3"/>
      <c r="R63" s="663"/>
      <c r="S63" s="663"/>
      <c r="T63" s="664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9" t="s">
        <v>145</v>
      </c>
      <c r="AG63" s="75"/>
      <c r="AJ63" s="79" t="s">
        <v>46</v>
      </c>
      <c r="AK63" s="79">
        <v>0</v>
      </c>
      <c r="BB63" s="130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idden="1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0" t="s">
        <v>39</v>
      </c>
      <c r="X64" s="41">
        <f>IFERROR(X55/H55,"0")+IFERROR(X56/H56,"0")+IFERROR(X57/H57,"0")+IFERROR(X58/H58,"0")+IFERROR(X59/H59,"0")+IFERROR(X60/H60,"0")+IFERROR(X61/H61,"0")+IFERROR(X62/H62,"0")+IFERROR(X63/H63,"0")</f>
        <v>0</v>
      </c>
      <c r="Y64" s="41">
        <f>IFERROR(Y55/H55,"0")+IFERROR(Y56/H56,"0")+IFERROR(Y57/H57,"0")+IFERROR(Y58/H58,"0")+IFERROR(Y59/H59,"0")+IFERROR(Y60/H60,"0")+IFERROR(Y61/H61,"0")+IFERROR(Y62/H62,"0")+IFERROR(Y63/H63,"0")</f>
        <v>0</v>
      </c>
      <c r="Z64" s="41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4"/>
      <c r="AB64" s="64"/>
      <c r="AC64" s="64"/>
    </row>
    <row r="65" spans="1:68" hidden="1" x14ac:dyDescent="0.2">
      <c r="A65" s="651"/>
      <c r="B65" s="651"/>
      <c r="C65" s="651"/>
      <c r="D65" s="651"/>
      <c r="E65" s="651"/>
      <c r="F65" s="651"/>
      <c r="G65" s="651"/>
      <c r="H65" s="651"/>
      <c r="I65" s="651"/>
      <c r="J65" s="651"/>
      <c r="K65" s="651"/>
      <c r="L65" s="651"/>
      <c r="M65" s="651"/>
      <c r="N65" s="651"/>
      <c r="O65" s="652"/>
      <c r="P65" s="648" t="s">
        <v>40</v>
      </c>
      <c r="Q65" s="649"/>
      <c r="R65" s="649"/>
      <c r="S65" s="649"/>
      <c r="T65" s="649"/>
      <c r="U65" s="649"/>
      <c r="V65" s="650"/>
      <c r="W65" s="40" t="s">
        <v>0</v>
      </c>
      <c r="X65" s="41">
        <f>IFERROR(SUM(X55:X63),"0")</f>
        <v>0</v>
      </c>
      <c r="Y65" s="41">
        <f>IFERROR(SUM(Y55:Y63),"0")</f>
        <v>0</v>
      </c>
      <c r="Z65" s="40"/>
      <c r="AA65" s="64"/>
      <c r="AB65" s="64"/>
      <c r="AC65" s="64"/>
    </row>
    <row r="66" spans="1:68" ht="14.25" hidden="1" customHeight="1" x14ac:dyDescent="0.25">
      <c r="A66" s="660" t="s">
        <v>159</v>
      </c>
      <c r="B66" s="660"/>
      <c r="C66" s="660"/>
      <c r="D66" s="660"/>
      <c r="E66" s="660"/>
      <c r="F66" s="660"/>
      <c r="G66" s="660"/>
      <c r="H66" s="660"/>
      <c r="I66" s="660"/>
      <c r="J66" s="660"/>
      <c r="K66" s="660"/>
      <c r="L66" s="660"/>
      <c r="M66" s="660"/>
      <c r="N66" s="660"/>
      <c r="O66" s="660"/>
      <c r="P66" s="660"/>
      <c r="Q66" s="660"/>
      <c r="R66" s="660"/>
      <c r="S66" s="660"/>
      <c r="T66" s="660"/>
      <c r="U66" s="660"/>
      <c r="V66" s="660"/>
      <c r="W66" s="660"/>
      <c r="X66" s="660"/>
      <c r="Y66" s="660"/>
      <c r="Z66" s="660"/>
      <c r="AA66" s="63"/>
      <c r="AB66" s="63"/>
      <c r="AC66" s="63"/>
    </row>
    <row r="67" spans="1:68" ht="16.5" hidden="1" customHeight="1" x14ac:dyDescent="0.25">
      <c r="A67" s="60" t="s">
        <v>160</v>
      </c>
      <c r="B67" s="60" t="s">
        <v>161</v>
      </c>
      <c r="C67" s="34">
        <v>4301020298</v>
      </c>
      <c r="D67" s="661">
        <v>4680115881440</v>
      </c>
      <c r="E67" s="661"/>
      <c r="F67" s="59">
        <v>1.35</v>
      </c>
      <c r="G67" s="35">
        <v>8</v>
      </c>
      <c r="H67" s="59">
        <v>10.8</v>
      </c>
      <c r="I67" s="59">
        <v>11.21</v>
      </c>
      <c r="J67" s="35">
        <v>64</v>
      </c>
      <c r="K67" s="35" t="s">
        <v>127</v>
      </c>
      <c r="L67" s="35" t="s">
        <v>46</v>
      </c>
      <c r="M67" s="36" t="s">
        <v>126</v>
      </c>
      <c r="N67" s="36"/>
      <c r="O67" s="35">
        <v>50</v>
      </c>
      <c r="P67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3"/>
      <c r="R67" s="663"/>
      <c r="S67" s="663"/>
      <c r="T67" s="664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IFERROR(IF(Y67=0,"",ROUNDUP(Y67/H67,0)*0.01898),"")</f>
        <v/>
      </c>
      <c r="AA67" s="65" t="s">
        <v>46</v>
      </c>
      <c r="AB67" s="66" t="s">
        <v>46</v>
      </c>
      <c r="AC67" s="131" t="s">
        <v>162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160</v>
      </c>
      <c r="B68" s="60" t="s">
        <v>163</v>
      </c>
      <c r="C68" s="34">
        <v>4301020390</v>
      </c>
      <c r="D68" s="661">
        <v>4680115881440</v>
      </c>
      <c r="E68" s="661"/>
      <c r="F68" s="59">
        <v>1.35</v>
      </c>
      <c r="G68" s="35">
        <v>8</v>
      </c>
      <c r="H68" s="59">
        <v>10.8</v>
      </c>
      <c r="I68" s="59">
        <v>11.21</v>
      </c>
      <c r="J68" s="35">
        <v>64</v>
      </c>
      <c r="K68" s="35" t="s">
        <v>127</v>
      </c>
      <c r="L68" s="35" t="s">
        <v>46</v>
      </c>
      <c r="M68" s="36" t="s">
        <v>126</v>
      </c>
      <c r="N68" s="36"/>
      <c r="O68" s="35">
        <v>50</v>
      </c>
      <c r="P68" s="91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3"/>
      <c r="R68" s="663"/>
      <c r="S68" s="663"/>
      <c r="T68" s="664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IFERROR(IF(Y68=0,"",ROUNDUP(Y68/H68,0)*0.01898),"")</f>
        <v/>
      </c>
      <c r="AA68" s="65" t="s">
        <v>46</v>
      </c>
      <c r="AB68" s="66" t="s">
        <v>46</v>
      </c>
      <c r="AC68" s="133" t="s">
        <v>164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16.5" hidden="1" customHeight="1" x14ac:dyDescent="0.25">
      <c r="A69" s="60" t="s">
        <v>165</v>
      </c>
      <c r="B69" s="60" t="s">
        <v>166</v>
      </c>
      <c r="C69" s="34">
        <v>4301020358</v>
      </c>
      <c r="D69" s="661">
        <v>4680115885950</v>
      </c>
      <c r="E69" s="661"/>
      <c r="F69" s="59">
        <v>0.37</v>
      </c>
      <c r="G69" s="35">
        <v>6</v>
      </c>
      <c r="H69" s="59">
        <v>2.2200000000000002</v>
      </c>
      <c r="I69" s="59">
        <v>2.4</v>
      </c>
      <c r="J69" s="35">
        <v>182</v>
      </c>
      <c r="K69" s="35" t="s">
        <v>91</v>
      </c>
      <c r="L69" s="35" t="s">
        <v>46</v>
      </c>
      <c r="M69" s="36" t="s">
        <v>90</v>
      </c>
      <c r="N69" s="36"/>
      <c r="O69" s="35">
        <v>50</v>
      </c>
      <c r="P69" s="9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3"/>
      <c r="R69" s="663"/>
      <c r="S69" s="663"/>
      <c r="T69" s="664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 t="s">
        <v>46</v>
      </c>
      <c r="AB69" s="66" t="s">
        <v>46</v>
      </c>
      <c r="AC69" s="135" t="s">
        <v>162</v>
      </c>
      <c r="AG69" s="75"/>
      <c r="AJ69" s="79" t="s">
        <v>46</v>
      </c>
      <c r="AK69" s="79">
        <v>0</v>
      </c>
      <c r="BB69" s="136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4301020371</v>
      </c>
      <c r="D70" s="661">
        <v>4680115887688</v>
      </c>
      <c r="E70" s="661"/>
      <c r="F70" s="59">
        <v>0.1</v>
      </c>
      <c r="G70" s="35">
        <v>10</v>
      </c>
      <c r="H70" s="59">
        <v>1</v>
      </c>
      <c r="I70" s="59">
        <v>1.21</v>
      </c>
      <c r="J70" s="35">
        <v>192</v>
      </c>
      <c r="K70" s="35" t="s">
        <v>131</v>
      </c>
      <c r="L70" s="35" t="s">
        <v>46</v>
      </c>
      <c r="M70" s="36" t="s">
        <v>81</v>
      </c>
      <c r="N70" s="36"/>
      <c r="O70" s="35">
        <v>30</v>
      </c>
      <c r="P70" s="91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3"/>
      <c r="R70" s="663"/>
      <c r="S70" s="663"/>
      <c r="T70" s="664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IFERROR(IF(Y70=0,"",ROUNDUP(Y70/H70,0)*0.00726),"")</f>
        <v/>
      </c>
      <c r="AA70" s="65" t="s">
        <v>46</v>
      </c>
      <c r="AB70" s="66" t="s">
        <v>46</v>
      </c>
      <c r="AC70" s="137" t="s">
        <v>169</v>
      </c>
      <c r="AG70" s="75"/>
      <c r="AJ70" s="79" t="s">
        <v>46</v>
      </c>
      <c r="AK70" s="79">
        <v>0</v>
      </c>
      <c r="BB70" s="138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27" hidden="1" customHeight="1" x14ac:dyDescent="0.25">
      <c r="A71" s="60" t="s">
        <v>170</v>
      </c>
      <c r="B71" s="60" t="s">
        <v>171</v>
      </c>
      <c r="C71" s="34">
        <v>4301020389</v>
      </c>
      <c r="D71" s="661">
        <v>4680115881433</v>
      </c>
      <c r="E71" s="661"/>
      <c r="F71" s="59">
        <v>0.45</v>
      </c>
      <c r="G71" s="35">
        <v>6</v>
      </c>
      <c r="H71" s="59">
        <v>2.7</v>
      </c>
      <c r="I71" s="59">
        <v>2.88</v>
      </c>
      <c r="J71" s="35">
        <v>182</v>
      </c>
      <c r="K71" s="35" t="s">
        <v>91</v>
      </c>
      <c r="L71" s="35" t="s">
        <v>46</v>
      </c>
      <c r="M71" s="36" t="s">
        <v>126</v>
      </c>
      <c r="N71" s="36"/>
      <c r="O71" s="35">
        <v>50</v>
      </c>
      <c r="P71" s="92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3"/>
      <c r="R71" s="663"/>
      <c r="S71" s="663"/>
      <c r="T71" s="664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9" t="s">
        <v>164</v>
      </c>
      <c r="AG71" s="75"/>
      <c r="AJ71" s="79" t="s">
        <v>46</v>
      </c>
      <c r="AK71" s="79">
        <v>0</v>
      </c>
      <c r="BB71" s="140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idden="1" x14ac:dyDescent="0.2">
      <c r="A72" s="651"/>
      <c r="B72" s="651"/>
      <c r="C72" s="651"/>
      <c r="D72" s="651"/>
      <c r="E72" s="651"/>
      <c r="F72" s="651"/>
      <c r="G72" s="651"/>
      <c r="H72" s="651"/>
      <c r="I72" s="651"/>
      <c r="J72" s="651"/>
      <c r="K72" s="651"/>
      <c r="L72" s="651"/>
      <c r="M72" s="651"/>
      <c r="N72" s="651"/>
      <c r="O72" s="652"/>
      <c r="P72" s="648" t="s">
        <v>40</v>
      </c>
      <c r="Q72" s="649"/>
      <c r="R72" s="649"/>
      <c r="S72" s="649"/>
      <c r="T72" s="649"/>
      <c r="U72" s="649"/>
      <c r="V72" s="650"/>
      <c r="W72" s="40" t="s">
        <v>39</v>
      </c>
      <c r="X72" s="41">
        <f>IFERROR(X67/H67,"0")+IFERROR(X68/H68,"0")+IFERROR(X69/H69,"0")+IFERROR(X70/H70,"0")+IFERROR(X71/H71,"0")</f>
        <v>0</v>
      </c>
      <c r="Y72" s="41">
        <f>IFERROR(Y67/H67,"0")+IFERROR(Y68/H68,"0")+IFERROR(Y69/H69,"0")+IFERROR(Y70/H70,"0")+IFERROR(Y71/H71,"0")</f>
        <v>0</v>
      </c>
      <c r="Z72" s="41">
        <f>IFERROR(IF(Z67="",0,Z67),"0")+IFERROR(IF(Z68="",0,Z68),"0")+IFERROR(IF(Z69="",0,Z69),"0")+IFERROR(IF(Z70="",0,Z70),"0")+IFERROR(IF(Z71="",0,Z71),"0")</f>
        <v>0</v>
      </c>
      <c r="AA72" s="64"/>
      <c r="AB72" s="64"/>
      <c r="AC72" s="64"/>
    </row>
    <row r="73" spans="1:68" hidden="1" x14ac:dyDescent="0.2">
      <c r="A73" s="651"/>
      <c r="B73" s="651"/>
      <c r="C73" s="651"/>
      <c r="D73" s="651"/>
      <c r="E73" s="651"/>
      <c r="F73" s="651"/>
      <c r="G73" s="651"/>
      <c r="H73" s="651"/>
      <c r="I73" s="651"/>
      <c r="J73" s="651"/>
      <c r="K73" s="651"/>
      <c r="L73" s="651"/>
      <c r="M73" s="651"/>
      <c r="N73" s="651"/>
      <c r="O73" s="652"/>
      <c r="P73" s="648" t="s">
        <v>40</v>
      </c>
      <c r="Q73" s="649"/>
      <c r="R73" s="649"/>
      <c r="S73" s="649"/>
      <c r="T73" s="649"/>
      <c r="U73" s="649"/>
      <c r="V73" s="650"/>
      <c r="W73" s="40" t="s">
        <v>0</v>
      </c>
      <c r="X73" s="41">
        <f>IFERROR(SUM(X67:X71),"0")</f>
        <v>0</v>
      </c>
      <c r="Y73" s="41">
        <f>IFERROR(SUM(Y67:Y71),"0")</f>
        <v>0</v>
      </c>
      <c r="Z73" s="40"/>
      <c r="AA73" s="64"/>
      <c r="AB73" s="64"/>
      <c r="AC73" s="64"/>
    </row>
    <row r="74" spans="1:68" ht="14.25" hidden="1" customHeight="1" x14ac:dyDescent="0.25">
      <c r="A74" s="660" t="s">
        <v>86</v>
      </c>
      <c r="B74" s="660"/>
      <c r="C74" s="660"/>
      <c r="D74" s="660"/>
      <c r="E74" s="660"/>
      <c r="F74" s="660"/>
      <c r="G74" s="660"/>
      <c r="H74" s="660"/>
      <c r="I74" s="660"/>
      <c r="J74" s="660"/>
      <c r="K74" s="660"/>
      <c r="L74" s="660"/>
      <c r="M74" s="660"/>
      <c r="N74" s="660"/>
      <c r="O74" s="660"/>
      <c r="P74" s="660"/>
      <c r="Q74" s="660"/>
      <c r="R74" s="660"/>
      <c r="S74" s="660"/>
      <c r="T74" s="660"/>
      <c r="U74" s="660"/>
      <c r="V74" s="660"/>
      <c r="W74" s="660"/>
      <c r="X74" s="660"/>
      <c r="Y74" s="660"/>
      <c r="Z74" s="660"/>
      <c r="AA74" s="63"/>
      <c r="AB74" s="63"/>
      <c r="AC74" s="63"/>
    </row>
    <row r="75" spans="1:68" ht="16.5" hidden="1" customHeight="1" x14ac:dyDescent="0.25">
      <c r="A75" s="60" t="s">
        <v>172</v>
      </c>
      <c r="B75" s="60" t="s">
        <v>173</v>
      </c>
      <c r="C75" s="34">
        <v>4301051837</v>
      </c>
      <c r="D75" s="661">
        <v>4680115884311</v>
      </c>
      <c r="E75" s="661"/>
      <c r="F75" s="59">
        <v>0.3</v>
      </c>
      <c r="G75" s="35">
        <v>6</v>
      </c>
      <c r="H75" s="59">
        <v>1.8</v>
      </c>
      <c r="I75" s="59">
        <v>2.0459999999999998</v>
      </c>
      <c r="J75" s="35">
        <v>182</v>
      </c>
      <c r="K75" s="35" t="s">
        <v>91</v>
      </c>
      <c r="L75" s="35" t="s">
        <v>46</v>
      </c>
      <c r="M75" s="36" t="s">
        <v>90</v>
      </c>
      <c r="N75" s="36"/>
      <c r="O75" s="35">
        <v>40</v>
      </c>
      <c r="P75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3"/>
      <c r="R75" s="663"/>
      <c r="S75" s="663"/>
      <c r="T75" s="664"/>
      <c r="U75" s="37" t="s">
        <v>46</v>
      </c>
      <c r="V75" s="37" t="s">
        <v>46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46</v>
      </c>
      <c r="AB75" s="66" t="s">
        <v>46</v>
      </c>
      <c r="AC75" s="141" t="s">
        <v>174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175</v>
      </c>
      <c r="B76" s="60" t="s">
        <v>176</v>
      </c>
      <c r="C76" s="34">
        <v>4301052083</v>
      </c>
      <c r="D76" s="661">
        <v>4680115884403</v>
      </c>
      <c r="E76" s="661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92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3"/>
      <c r="R76" s="663"/>
      <c r="S76" s="663"/>
      <c r="T76" s="664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177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651"/>
      <c r="B77" s="651"/>
      <c r="C77" s="651"/>
      <c r="D77" s="651"/>
      <c r="E77" s="651"/>
      <c r="F77" s="651"/>
      <c r="G77" s="651"/>
      <c r="H77" s="651"/>
      <c r="I77" s="651"/>
      <c r="J77" s="651"/>
      <c r="K77" s="651"/>
      <c r="L77" s="651"/>
      <c r="M77" s="651"/>
      <c r="N77" s="651"/>
      <c r="O77" s="652"/>
      <c r="P77" s="648" t="s">
        <v>40</v>
      </c>
      <c r="Q77" s="649"/>
      <c r="R77" s="649"/>
      <c r="S77" s="649"/>
      <c r="T77" s="649"/>
      <c r="U77" s="649"/>
      <c r="V77" s="650"/>
      <c r="W77" s="40" t="s">
        <v>39</v>
      </c>
      <c r="X77" s="41">
        <f>IFERROR(X75/H75,"0")+IFERROR(X76/H76,"0")</f>
        <v>0</v>
      </c>
      <c r="Y77" s="41">
        <f>IFERROR(Y75/H75,"0")+IFERROR(Y76/H76,"0")</f>
        <v>0</v>
      </c>
      <c r="Z77" s="41">
        <f>IFERROR(IF(Z75="",0,Z75),"0")+IFERROR(IF(Z76="",0,Z76),"0")</f>
        <v>0</v>
      </c>
      <c r="AA77" s="64"/>
      <c r="AB77" s="64"/>
      <c r="AC77" s="64"/>
    </row>
    <row r="78" spans="1:68" hidden="1" x14ac:dyDescent="0.2">
      <c r="A78" s="651"/>
      <c r="B78" s="651"/>
      <c r="C78" s="651"/>
      <c r="D78" s="651"/>
      <c r="E78" s="651"/>
      <c r="F78" s="651"/>
      <c r="G78" s="651"/>
      <c r="H78" s="651"/>
      <c r="I78" s="651"/>
      <c r="J78" s="651"/>
      <c r="K78" s="651"/>
      <c r="L78" s="651"/>
      <c r="M78" s="651"/>
      <c r="N78" s="651"/>
      <c r="O78" s="652"/>
      <c r="P78" s="648" t="s">
        <v>40</v>
      </c>
      <c r="Q78" s="649"/>
      <c r="R78" s="649"/>
      <c r="S78" s="649"/>
      <c r="T78" s="649"/>
      <c r="U78" s="649"/>
      <c r="V78" s="650"/>
      <c r="W78" s="40" t="s">
        <v>0</v>
      </c>
      <c r="X78" s="41">
        <f>IFERROR(SUM(X75:X76),"0")</f>
        <v>0</v>
      </c>
      <c r="Y78" s="41">
        <f>IFERROR(SUM(Y75:Y76),"0")</f>
        <v>0</v>
      </c>
      <c r="Z78" s="40"/>
      <c r="AA78" s="64"/>
      <c r="AB78" s="64"/>
      <c r="AC78" s="64"/>
    </row>
    <row r="79" spans="1:68" ht="14.25" hidden="1" customHeight="1" x14ac:dyDescent="0.25">
      <c r="A79" s="660" t="s">
        <v>178</v>
      </c>
      <c r="B79" s="660"/>
      <c r="C79" s="660"/>
      <c r="D79" s="660"/>
      <c r="E79" s="660"/>
      <c r="F79" s="660"/>
      <c r="G79" s="660"/>
      <c r="H79" s="660"/>
      <c r="I79" s="660"/>
      <c r="J79" s="660"/>
      <c r="K79" s="660"/>
      <c r="L79" s="660"/>
      <c r="M79" s="660"/>
      <c r="N79" s="660"/>
      <c r="O79" s="660"/>
      <c r="P79" s="660"/>
      <c r="Q79" s="660"/>
      <c r="R79" s="660"/>
      <c r="S79" s="660"/>
      <c r="T79" s="660"/>
      <c r="U79" s="660"/>
      <c r="V79" s="660"/>
      <c r="W79" s="660"/>
      <c r="X79" s="660"/>
      <c r="Y79" s="660"/>
      <c r="Z79" s="660"/>
      <c r="AA79" s="63"/>
      <c r="AB79" s="63"/>
      <c r="AC79" s="63"/>
    </row>
    <row r="80" spans="1:68" ht="27" hidden="1" customHeight="1" x14ac:dyDescent="0.25">
      <c r="A80" s="60" t="s">
        <v>179</v>
      </c>
      <c r="B80" s="60" t="s">
        <v>180</v>
      </c>
      <c r="C80" s="34">
        <v>4301060455</v>
      </c>
      <c r="D80" s="661">
        <v>4680115881532</v>
      </c>
      <c r="E80" s="661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127</v>
      </c>
      <c r="L80" s="35" t="s">
        <v>46</v>
      </c>
      <c r="M80" s="36" t="s">
        <v>97</v>
      </c>
      <c r="N80" s="36"/>
      <c r="O80" s="35">
        <v>30</v>
      </c>
      <c r="P80" s="91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3"/>
      <c r="R80" s="663"/>
      <c r="S80" s="663"/>
      <c r="T80" s="664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179</v>
      </c>
      <c r="B81" s="60" t="s">
        <v>182</v>
      </c>
      <c r="C81" s="34">
        <v>4301060526</v>
      </c>
      <c r="D81" s="661">
        <v>4680115881532</v>
      </c>
      <c r="E81" s="661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127</v>
      </c>
      <c r="L81" s="35" t="s">
        <v>46</v>
      </c>
      <c r="M81" s="36" t="s">
        <v>97</v>
      </c>
      <c r="N81" s="36"/>
      <c r="O81" s="35">
        <v>30</v>
      </c>
      <c r="P81" s="91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3"/>
      <c r="R81" s="663"/>
      <c r="S81" s="663"/>
      <c r="T81" s="664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7" t="s">
        <v>181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183</v>
      </c>
      <c r="B82" s="60" t="s">
        <v>184</v>
      </c>
      <c r="C82" s="34">
        <v>4301060527</v>
      </c>
      <c r="D82" s="661">
        <v>4680115881464</v>
      </c>
      <c r="E82" s="661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134</v>
      </c>
      <c r="L82" s="35" t="s">
        <v>46</v>
      </c>
      <c r="M82" s="36" t="s">
        <v>90</v>
      </c>
      <c r="N82" s="36"/>
      <c r="O82" s="35">
        <v>30</v>
      </c>
      <c r="P82" s="91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3"/>
      <c r="R82" s="663"/>
      <c r="S82" s="663"/>
      <c r="T82" s="664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9" t="s">
        <v>185</v>
      </c>
      <c r="AG82" s="75"/>
      <c r="AJ82" s="79" t="s">
        <v>46</v>
      </c>
      <c r="AK82" s="79">
        <v>0</v>
      </c>
      <c r="BB82" s="150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51"/>
      <c r="B83" s="651"/>
      <c r="C83" s="651"/>
      <c r="D83" s="651"/>
      <c r="E83" s="651"/>
      <c r="F83" s="651"/>
      <c r="G83" s="651"/>
      <c r="H83" s="651"/>
      <c r="I83" s="651"/>
      <c r="J83" s="651"/>
      <c r="K83" s="651"/>
      <c r="L83" s="651"/>
      <c r="M83" s="651"/>
      <c r="N83" s="651"/>
      <c r="O83" s="652"/>
      <c r="P83" s="648" t="s">
        <v>40</v>
      </c>
      <c r="Q83" s="649"/>
      <c r="R83" s="649"/>
      <c r="S83" s="649"/>
      <c r="T83" s="649"/>
      <c r="U83" s="649"/>
      <c r="V83" s="650"/>
      <c r="W83" s="40" t="s">
        <v>39</v>
      </c>
      <c r="X83" s="41">
        <f>IFERROR(X80/H80,"0")+IFERROR(X81/H81,"0")+IFERROR(X82/H82,"0")</f>
        <v>0</v>
      </c>
      <c r="Y83" s="41">
        <f>IFERROR(Y80/H80,"0")+IFERROR(Y81/H81,"0")+IFERROR(Y82/H82,"0")</f>
        <v>0</v>
      </c>
      <c r="Z83" s="41">
        <f>IFERROR(IF(Z80="",0,Z80),"0")+IFERROR(IF(Z81="",0,Z81),"0")+IFERROR(IF(Z82="",0,Z82),"0")</f>
        <v>0</v>
      </c>
      <c r="AA83" s="64"/>
      <c r="AB83" s="64"/>
      <c r="AC83" s="64"/>
    </row>
    <row r="84" spans="1:68" hidden="1" x14ac:dyDescent="0.2">
      <c r="A84" s="651"/>
      <c r="B84" s="651"/>
      <c r="C84" s="651"/>
      <c r="D84" s="651"/>
      <c r="E84" s="651"/>
      <c r="F84" s="651"/>
      <c r="G84" s="651"/>
      <c r="H84" s="651"/>
      <c r="I84" s="651"/>
      <c r="J84" s="651"/>
      <c r="K84" s="651"/>
      <c r="L84" s="651"/>
      <c r="M84" s="651"/>
      <c r="N84" s="651"/>
      <c r="O84" s="652"/>
      <c r="P84" s="648" t="s">
        <v>40</v>
      </c>
      <c r="Q84" s="649"/>
      <c r="R84" s="649"/>
      <c r="S84" s="649"/>
      <c r="T84" s="649"/>
      <c r="U84" s="649"/>
      <c r="V84" s="650"/>
      <c r="W84" s="40" t="s">
        <v>0</v>
      </c>
      <c r="X84" s="41">
        <f>IFERROR(SUM(X80:X82),"0")</f>
        <v>0</v>
      </c>
      <c r="Y84" s="41">
        <f>IFERROR(SUM(Y80:Y82),"0")</f>
        <v>0</v>
      </c>
      <c r="Z84" s="40"/>
      <c r="AA84" s="64"/>
      <c r="AB84" s="64"/>
      <c r="AC84" s="64"/>
    </row>
    <row r="85" spans="1:68" ht="16.5" hidden="1" customHeight="1" x14ac:dyDescent="0.25">
      <c r="A85" s="667" t="s">
        <v>186</v>
      </c>
      <c r="B85" s="667"/>
      <c r="C85" s="667"/>
      <c r="D85" s="667"/>
      <c r="E85" s="667"/>
      <c r="F85" s="667"/>
      <c r="G85" s="667"/>
      <c r="H85" s="667"/>
      <c r="I85" s="667"/>
      <c r="J85" s="667"/>
      <c r="K85" s="667"/>
      <c r="L85" s="667"/>
      <c r="M85" s="667"/>
      <c r="N85" s="667"/>
      <c r="O85" s="667"/>
      <c r="P85" s="667"/>
      <c r="Q85" s="667"/>
      <c r="R85" s="667"/>
      <c r="S85" s="667"/>
      <c r="T85" s="667"/>
      <c r="U85" s="667"/>
      <c r="V85" s="667"/>
      <c r="W85" s="667"/>
      <c r="X85" s="667"/>
      <c r="Y85" s="667"/>
      <c r="Z85" s="667"/>
      <c r="AA85" s="62"/>
      <c r="AB85" s="62"/>
      <c r="AC85" s="62"/>
    </row>
    <row r="86" spans="1:68" ht="14.25" hidden="1" customHeight="1" x14ac:dyDescent="0.25">
      <c r="A86" s="660" t="s">
        <v>122</v>
      </c>
      <c r="B86" s="660"/>
      <c r="C86" s="660"/>
      <c r="D86" s="660"/>
      <c r="E86" s="660"/>
      <c r="F86" s="660"/>
      <c r="G86" s="660"/>
      <c r="H86" s="660"/>
      <c r="I86" s="660"/>
      <c r="J86" s="660"/>
      <c r="K86" s="660"/>
      <c r="L86" s="660"/>
      <c r="M86" s="660"/>
      <c r="N86" s="660"/>
      <c r="O86" s="660"/>
      <c r="P86" s="660"/>
      <c r="Q86" s="660"/>
      <c r="R86" s="660"/>
      <c r="S86" s="660"/>
      <c r="T86" s="660"/>
      <c r="U86" s="660"/>
      <c r="V86" s="660"/>
      <c r="W86" s="660"/>
      <c r="X86" s="660"/>
      <c r="Y86" s="660"/>
      <c r="Z86" s="660"/>
      <c r="AA86" s="63"/>
      <c r="AB86" s="63"/>
      <c r="AC86" s="63"/>
    </row>
    <row r="87" spans="1:68" ht="27" hidden="1" customHeight="1" x14ac:dyDescent="0.25">
      <c r="A87" s="60" t="s">
        <v>187</v>
      </c>
      <c r="B87" s="60" t="s">
        <v>188</v>
      </c>
      <c r="C87" s="34">
        <v>4301011468</v>
      </c>
      <c r="D87" s="661">
        <v>4680115881327</v>
      </c>
      <c r="E87" s="661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127</v>
      </c>
      <c r="L87" s="35" t="s">
        <v>46</v>
      </c>
      <c r="M87" s="36" t="s">
        <v>97</v>
      </c>
      <c r="N87" s="36"/>
      <c r="O87" s="35">
        <v>50</v>
      </c>
      <c r="P87" s="91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3"/>
      <c r="R87" s="663"/>
      <c r="S87" s="663"/>
      <c r="T87" s="664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4301012392</v>
      </c>
      <c r="D88" s="661">
        <v>4680115887732</v>
      </c>
      <c r="E88" s="661"/>
      <c r="F88" s="59">
        <v>0.17</v>
      </c>
      <c r="G88" s="35">
        <v>8</v>
      </c>
      <c r="H88" s="59">
        <v>1.36</v>
      </c>
      <c r="I88" s="59">
        <v>1.54</v>
      </c>
      <c r="J88" s="35">
        <v>192</v>
      </c>
      <c r="K88" s="35" t="s">
        <v>131</v>
      </c>
      <c r="L88" s="35" t="s">
        <v>46</v>
      </c>
      <c r="M88" s="36" t="s">
        <v>81</v>
      </c>
      <c r="N88" s="36"/>
      <c r="O88" s="35">
        <v>30</v>
      </c>
      <c r="P88" s="915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3"/>
      <c r="R88" s="663"/>
      <c r="S88" s="663"/>
      <c r="T88" s="664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53" t="s">
        <v>192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4301011476</v>
      </c>
      <c r="D89" s="661">
        <v>4680115881518</v>
      </c>
      <c r="E89" s="661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134</v>
      </c>
      <c r="L89" s="35" t="s">
        <v>46</v>
      </c>
      <c r="M89" s="36" t="s">
        <v>90</v>
      </c>
      <c r="N89" s="36"/>
      <c r="O89" s="35">
        <v>50</v>
      </c>
      <c r="P89" s="91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3"/>
      <c r="R89" s="663"/>
      <c r="S89" s="663"/>
      <c r="T89" s="664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189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193</v>
      </c>
      <c r="B90" s="60" t="s">
        <v>195</v>
      </c>
      <c r="C90" s="34">
        <v>4301012252</v>
      </c>
      <c r="D90" s="661">
        <v>4680115881518</v>
      </c>
      <c r="E90" s="661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134</v>
      </c>
      <c r="L90" s="35" t="s">
        <v>46</v>
      </c>
      <c r="M90" s="36" t="s">
        <v>126</v>
      </c>
      <c r="N90" s="36"/>
      <c r="O90" s="35">
        <v>50</v>
      </c>
      <c r="P90" s="90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63"/>
      <c r="R90" s="663"/>
      <c r="S90" s="663"/>
      <c r="T90" s="664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189</v>
      </c>
      <c r="AG90" s="75"/>
      <c r="AJ90" s="79" t="s">
        <v>46</v>
      </c>
      <c r="AK90" s="79">
        <v>0</v>
      </c>
      <c r="BB90" s="158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4301012250</v>
      </c>
      <c r="D91" s="661">
        <v>4680115881303</v>
      </c>
      <c r="E91" s="661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134</v>
      </c>
      <c r="L91" s="35" t="s">
        <v>46</v>
      </c>
      <c r="M91" s="36" t="s">
        <v>126</v>
      </c>
      <c r="N91" s="36"/>
      <c r="O91" s="35">
        <v>50</v>
      </c>
      <c r="P91" s="90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63"/>
      <c r="R91" s="663"/>
      <c r="S91" s="663"/>
      <c r="T91" s="664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9" t="s">
        <v>189</v>
      </c>
      <c r="AG91" s="75"/>
      <c r="AJ91" s="79" t="s">
        <v>46</v>
      </c>
      <c r="AK91" s="79">
        <v>0</v>
      </c>
      <c r="BB91" s="160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51"/>
      <c r="B92" s="651"/>
      <c r="C92" s="651"/>
      <c r="D92" s="651"/>
      <c r="E92" s="651"/>
      <c r="F92" s="651"/>
      <c r="G92" s="651"/>
      <c r="H92" s="651"/>
      <c r="I92" s="651"/>
      <c r="J92" s="651"/>
      <c r="K92" s="651"/>
      <c r="L92" s="651"/>
      <c r="M92" s="651"/>
      <c r="N92" s="651"/>
      <c r="O92" s="652"/>
      <c r="P92" s="648" t="s">
        <v>40</v>
      </c>
      <c r="Q92" s="649"/>
      <c r="R92" s="649"/>
      <c r="S92" s="649"/>
      <c r="T92" s="649"/>
      <c r="U92" s="649"/>
      <c r="V92" s="650"/>
      <c r="W92" s="40" t="s">
        <v>39</v>
      </c>
      <c r="X92" s="41">
        <f>IFERROR(X87/H87,"0")+IFERROR(X88/H88,"0")+IFERROR(X89/H89,"0")+IFERROR(X90/H90,"0")+IFERROR(X91/H91,"0")</f>
        <v>0</v>
      </c>
      <c r="Y92" s="41">
        <f>IFERROR(Y87/H87,"0")+IFERROR(Y88/H88,"0")+IFERROR(Y89/H89,"0")+IFERROR(Y90/H90,"0")+IFERROR(Y91/H91,"0")</f>
        <v>0</v>
      </c>
      <c r="Z92" s="41">
        <f>IFERROR(IF(Z87="",0,Z87),"0")+IFERROR(IF(Z88="",0,Z88),"0")+IFERROR(IF(Z89="",0,Z89),"0")+IFERROR(IF(Z90="",0,Z90),"0")+IFERROR(IF(Z91="",0,Z91),"0")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51"/>
      <c r="B93" s="651"/>
      <c r="C93" s="651"/>
      <c r="D93" s="651"/>
      <c r="E93" s="651"/>
      <c r="F93" s="651"/>
      <c r="G93" s="651"/>
      <c r="H93" s="651"/>
      <c r="I93" s="651"/>
      <c r="J93" s="651"/>
      <c r="K93" s="651"/>
      <c r="L93" s="651"/>
      <c r="M93" s="651"/>
      <c r="N93" s="651"/>
      <c r="O93" s="652"/>
      <c r="P93" s="648" t="s">
        <v>40</v>
      </c>
      <c r="Q93" s="649"/>
      <c r="R93" s="649"/>
      <c r="S93" s="649"/>
      <c r="T93" s="649"/>
      <c r="U93" s="649"/>
      <c r="V93" s="650"/>
      <c r="W93" s="40" t="s">
        <v>0</v>
      </c>
      <c r="X93" s="41">
        <f>IFERROR(SUM(X87:X91),"0")</f>
        <v>0</v>
      </c>
      <c r="Y93" s="41">
        <f>IFERROR(SUM(Y87:Y91),"0")</f>
        <v>0</v>
      </c>
      <c r="Z93" s="40"/>
      <c r="AA93" s="64"/>
      <c r="AB93" s="64"/>
      <c r="AC93" s="64"/>
    </row>
    <row r="94" spans="1:68" ht="14.25" hidden="1" customHeight="1" x14ac:dyDescent="0.25">
      <c r="A94" s="660" t="s">
        <v>86</v>
      </c>
      <c r="B94" s="660"/>
      <c r="C94" s="660"/>
      <c r="D94" s="660"/>
      <c r="E94" s="660"/>
      <c r="F94" s="660"/>
      <c r="G94" s="660"/>
      <c r="H94" s="660"/>
      <c r="I94" s="660"/>
      <c r="J94" s="660"/>
      <c r="K94" s="660"/>
      <c r="L94" s="660"/>
      <c r="M94" s="660"/>
      <c r="N94" s="660"/>
      <c r="O94" s="660"/>
      <c r="P94" s="660"/>
      <c r="Q94" s="660"/>
      <c r="R94" s="660"/>
      <c r="S94" s="660"/>
      <c r="T94" s="660"/>
      <c r="U94" s="660"/>
      <c r="V94" s="660"/>
      <c r="W94" s="660"/>
      <c r="X94" s="660"/>
      <c r="Y94" s="660"/>
      <c r="Z94" s="660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4301052101</v>
      </c>
      <c r="D95" s="661">
        <v>4607091386967</v>
      </c>
      <c r="E95" s="661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127</v>
      </c>
      <c r="L95" s="35" t="s">
        <v>46</v>
      </c>
      <c r="M95" s="36" t="s">
        <v>97</v>
      </c>
      <c r="N95" s="36"/>
      <c r="O95" s="35">
        <v>45</v>
      </c>
      <c r="P95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63"/>
      <c r="R95" s="663"/>
      <c r="S95" s="663"/>
      <c r="T95" s="664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61" t="s">
        <v>200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4301052090</v>
      </c>
      <c r="D96" s="661">
        <v>4680115884953</v>
      </c>
      <c r="E96" s="661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63"/>
      <c r="R96" s="663"/>
      <c r="S96" s="663"/>
      <c r="T96" s="664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203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204</v>
      </c>
      <c r="B97" s="60" t="s">
        <v>205</v>
      </c>
      <c r="C97" s="34">
        <v>4301052094</v>
      </c>
      <c r="D97" s="661">
        <v>4607091385731</v>
      </c>
      <c r="E97" s="661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63"/>
      <c r="R97" s="663"/>
      <c r="S97" s="663"/>
      <c r="T97" s="664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200</v>
      </c>
      <c r="AG97" s="75"/>
      <c r="AJ97" s="79" t="s">
        <v>46</v>
      </c>
      <c r="AK97" s="79">
        <v>0</v>
      </c>
      <c r="BB97" s="166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661">
        <v>4680115880894</v>
      </c>
      <c r="E98" s="661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91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3"/>
      <c r="R98" s="663"/>
      <c r="S98" s="663"/>
      <c r="T98" s="664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208</v>
      </c>
      <c r="AG98" s="75"/>
      <c r="AJ98" s="79" t="s">
        <v>46</v>
      </c>
      <c r="AK98" s="79">
        <v>0</v>
      </c>
      <c r="BB98" s="168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67" t="s">
        <v>209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2"/>
      <c r="AB101" s="62"/>
      <c r="AC101" s="62"/>
    </row>
    <row r="102" spans="1:68" ht="14.25" hidden="1" customHeight="1" x14ac:dyDescent="0.25">
      <c r="A102" s="660" t="s">
        <v>122</v>
      </c>
      <c r="B102" s="660"/>
      <c r="C102" s="660"/>
      <c r="D102" s="660"/>
      <c r="E102" s="660"/>
      <c r="F102" s="660"/>
      <c r="G102" s="660"/>
      <c r="H102" s="660"/>
      <c r="I102" s="660"/>
      <c r="J102" s="660"/>
      <c r="K102" s="660"/>
      <c r="L102" s="660"/>
      <c r="M102" s="660"/>
      <c r="N102" s="660"/>
      <c r="O102" s="660"/>
      <c r="P102" s="660"/>
      <c r="Q102" s="660"/>
      <c r="R102" s="660"/>
      <c r="S102" s="660"/>
      <c r="T102" s="660"/>
      <c r="U102" s="660"/>
      <c r="V102" s="660"/>
      <c r="W102" s="660"/>
      <c r="X102" s="660"/>
      <c r="Y102" s="660"/>
      <c r="Z102" s="660"/>
      <c r="AA102" s="63"/>
      <c r="AB102" s="63"/>
      <c r="AC102" s="63"/>
    </row>
    <row r="103" spans="1:68" ht="37.5" hidden="1" customHeight="1" x14ac:dyDescent="0.25">
      <c r="A103" s="60" t="s">
        <v>210</v>
      </c>
      <c r="B103" s="60" t="s">
        <v>211</v>
      </c>
      <c r="C103" s="34">
        <v>4301011514</v>
      </c>
      <c r="D103" s="661">
        <v>4680115882133</v>
      </c>
      <c r="E103" s="661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127</v>
      </c>
      <c r="L103" s="35" t="s">
        <v>46</v>
      </c>
      <c r="M103" s="36" t="s">
        <v>126</v>
      </c>
      <c r="N103" s="36"/>
      <c r="O103" s="35">
        <v>50</v>
      </c>
      <c r="P103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3"/>
      <c r="R103" s="663"/>
      <c r="S103" s="663"/>
      <c r="T103" s="664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1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ref="BM103:BM111" si="6">IFERROR(X103*I103/H103,"0")</f>
        <v>0</v>
      </c>
      <c r="BN103" s="75">
        <f t="shared" ref="BN103:BN111" si="7">IFERROR(Y103*I103/H103,"0")</f>
        <v>0</v>
      </c>
      <c r="BO103" s="75">
        <f t="shared" ref="BO103:BO111" si="8">IFERROR(1/J103*(X103/H103),"0")</f>
        <v>0</v>
      </c>
      <c r="BP103" s="75">
        <f t="shared" ref="BP103:BP111" si="9">IFERROR(1/J103*(Y103/H103),"0")</f>
        <v>0</v>
      </c>
    </row>
    <row r="104" spans="1:68" ht="27" hidden="1" customHeight="1" x14ac:dyDescent="0.25">
      <c r="A104" s="60" t="s">
        <v>210</v>
      </c>
      <c r="B104" s="60" t="s">
        <v>213</v>
      </c>
      <c r="C104" s="34">
        <v>4301012256</v>
      </c>
      <c r="D104" s="661">
        <v>4680115882133</v>
      </c>
      <c r="E104" s="661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127</v>
      </c>
      <c r="L104" s="35" t="s">
        <v>46</v>
      </c>
      <c r="M104" s="36" t="s">
        <v>126</v>
      </c>
      <c r="N104" s="36"/>
      <c r="O104" s="35">
        <v>50</v>
      </c>
      <c r="P104" s="89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63"/>
      <c r="R104" s="663"/>
      <c r="S104" s="663"/>
      <c r="T104" s="664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IFERROR(IF(Y104=0,"",ROUNDUP(Y104/H104,0)*0.01898),"")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4301012379</v>
      </c>
      <c r="D105" s="661">
        <v>4680115887718</v>
      </c>
      <c r="E105" s="661"/>
      <c r="F105" s="59">
        <v>0.11</v>
      </c>
      <c r="G105" s="35">
        <v>6</v>
      </c>
      <c r="H105" s="59">
        <v>0.66</v>
      </c>
      <c r="I105" s="59">
        <v>0.82599999999999996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89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3"/>
      <c r="R105" s="663"/>
      <c r="S105" s="663"/>
      <c r="T105" s="664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217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61">
        <v>4680115880269</v>
      </c>
      <c r="E106" s="661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90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3"/>
      <c r="R106" s="663"/>
      <c r="S106" s="663"/>
      <c r="T106" s="664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212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4301012253</v>
      </c>
      <c r="D107" s="661">
        <v>4680115880269</v>
      </c>
      <c r="E107" s="661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90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63"/>
      <c r="R107" s="663"/>
      <c r="S107" s="663"/>
      <c r="T107" s="664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214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221</v>
      </c>
      <c r="B108" s="60" t="s">
        <v>222</v>
      </c>
      <c r="C108" s="34">
        <v>4301012254</v>
      </c>
      <c r="D108" s="661">
        <v>4680115880429</v>
      </c>
      <c r="E108" s="661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134</v>
      </c>
      <c r="L108" s="35" t="s">
        <v>46</v>
      </c>
      <c r="M108" s="36" t="s">
        <v>126</v>
      </c>
      <c r="N108" s="36"/>
      <c r="O108" s="35">
        <v>50</v>
      </c>
      <c r="P108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63"/>
      <c r="R108" s="663"/>
      <c r="S108" s="663"/>
      <c r="T108" s="664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t="37.5" hidden="1" customHeight="1" x14ac:dyDescent="0.25">
      <c r="A109" s="60" t="s">
        <v>223</v>
      </c>
      <c r="B109" s="60" t="s">
        <v>224</v>
      </c>
      <c r="C109" s="34">
        <v>4301011462</v>
      </c>
      <c r="D109" s="661">
        <v>4680115881457</v>
      </c>
      <c r="E109" s="661"/>
      <c r="F109" s="59">
        <v>0.75</v>
      </c>
      <c r="G109" s="35">
        <v>6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90</v>
      </c>
      <c r="N109" s="36"/>
      <c r="O109" s="35">
        <v>50</v>
      </c>
      <c r="P109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3"/>
      <c r="R109" s="663"/>
      <c r="S109" s="663"/>
      <c r="T109" s="664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5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212</v>
      </c>
      <c r="AG109" s="75"/>
      <c r="AJ109" s="79" t="s">
        <v>46</v>
      </c>
      <c r="AK109" s="79">
        <v>0</v>
      </c>
      <c r="BB109" s="182" t="s">
        <v>67</v>
      </c>
      <c r="BM109" s="75">
        <f t="shared" si="6"/>
        <v>0</v>
      </c>
      <c r="BN109" s="75">
        <f t="shared" si="7"/>
        <v>0</v>
      </c>
      <c r="BO109" s="75">
        <f t="shared" si="8"/>
        <v>0</v>
      </c>
      <c r="BP109" s="75">
        <f t="shared" si="9"/>
        <v>0</v>
      </c>
    </row>
    <row r="110" spans="1:68" ht="27" hidden="1" customHeight="1" x14ac:dyDescent="0.25">
      <c r="A110" s="60" t="s">
        <v>223</v>
      </c>
      <c r="B110" s="60" t="s">
        <v>225</v>
      </c>
      <c r="C110" s="34">
        <v>4301012255</v>
      </c>
      <c r="D110" s="661">
        <v>4680115881457</v>
      </c>
      <c r="E110" s="661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126</v>
      </c>
      <c r="N110" s="36"/>
      <c r="O110" s="35">
        <v>50</v>
      </c>
      <c r="P110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63"/>
      <c r="R110" s="663"/>
      <c r="S110" s="663"/>
      <c r="T110" s="664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5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214</v>
      </c>
      <c r="AG110" s="75"/>
      <c r="AJ110" s="79" t="s">
        <v>46</v>
      </c>
      <c r="AK110" s="79">
        <v>0</v>
      </c>
      <c r="BB110" s="184" t="s">
        <v>67</v>
      </c>
      <c r="BM110" s="75">
        <f t="shared" si="6"/>
        <v>0</v>
      </c>
      <c r="BN110" s="75">
        <f t="shared" si="7"/>
        <v>0</v>
      </c>
      <c r="BO110" s="75">
        <f t="shared" si="8"/>
        <v>0</v>
      </c>
      <c r="BP110" s="75">
        <f t="shared" si="9"/>
        <v>0</v>
      </c>
    </row>
    <row r="111" spans="1:68" ht="27" hidden="1" customHeight="1" x14ac:dyDescent="0.25">
      <c r="A111" s="60" t="s">
        <v>226</v>
      </c>
      <c r="B111" s="60" t="s">
        <v>227</v>
      </c>
      <c r="C111" s="34">
        <v>4301012366</v>
      </c>
      <c r="D111" s="661">
        <v>4680115889477</v>
      </c>
      <c r="E111" s="661"/>
      <c r="F111" s="59">
        <v>0.4</v>
      </c>
      <c r="G111" s="35">
        <v>6</v>
      </c>
      <c r="H111" s="59">
        <v>2.4</v>
      </c>
      <c r="I111" s="59">
        <v>2.58</v>
      </c>
      <c r="J111" s="35">
        <v>182</v>
      </c>
      <c r="K111" s="35" t="s">
        <v>91</v>
      </c>
      <c r="L111" s="35" t="s">
        <v>46</v>
      </c>
      <c r="M111" s="36" t="s">
        <v>126</v>
      </c>
      <c r="N111" s="36"/>
      <c r="O111" s="35">
        <v>55</v>
      </c>
      <c r="P111" s="89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63"/>
      <c r="R111" s="663"/>
      <c r="S111" s="663"/>
      <c r="T111" s="664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5"/>
        <v>0</v>
      </c>
      <c r="Z111" s="39" t="str">
        <f>IFERROR(IF(Y111=0,"",ROUNDUP(Y111/H111,0)*0.00651),"")</f>
        <v/>
      </c>
      <c r="AA111" s="65" t="s">
        <v>46</v>
      </c>
      <c r="AB111" s="66" t="s">
        <v>46</v>
      </c>
      <c r="AC111" s="185" t="s">
        <v>228</v>
      </c>
      <c r="AG111" s="75"/>
      <c r="AJ111" s="79" t="s">
        <v>46</v>
      </c>
      <c r="AK111" s="79">
        <v>0</v>
      </c>
      <c r="BB111" s="186" t="s">
        <v>67</v>
      </c>
      <c r="BM111" s="75">
        <f t="shared" si="6"/>
        <v>0</v>
      </c>
      <c r="BN111" s="75">
        <f t="shared" si="7"/>
        <v>0</v>
      </c>
      <c r="BO111" s="75">
        <f t="shared" si="8"/>
        <v>0</v>
      </c>
      <c r="BP111" s="75">
        <f t="shared" si="9"/>
        <v>0</v>
      </c>
    </row>
    <row r="112" spans="1:68" hidden="1" x14ac:dyDescent="0.2">
      <c r="A112" s="651"/>
      <c r="B112" s="651"/>
      <c r="C112" s="651"/>
      <c r="D112" s="651"/>
      <c r="E112" s="651"/>
      <c r="F112" s="651"/>
      <c r="G112" s="651"/>
      <c r="H112" s="651"/>
      <c r="I112" s="651"/>
      <c r="J112" s="651"/>
      <c r="K112" s="651"/>
      <c r="L112" s="651"/>
      <c r="M112" s="651"/>
      <c r="N112" s="651"/>
      <c r="O112" s="652"/>
      <c r="P112" s="648" t="s">
        <v>40</v>
      </c>
      <c r="Q112" s="649"/>
      <c r="R112" s="649"/>
      <c r="S112" s="649"/>
      <c r="T112" s="649"/>
      <c r="U112" s="649"/>
      <c r="V112" s="650"/>
      <c r="W112" s="40" t="s">
        <v>39</v>
      </c>
      <c r="X112" s="41">
        <f>IFERROR(X103/H103,"0")+IFERROR(X104/H104,"0")+IFERROR(X105/H105,"0")+IFERROR(X106/H106,"0")+IFERROR(X107/H107,"0")+IFERROR(X108/H108,"0")+IFERROR(X109/H109,"0")+IFERROR(X110/H110,"0")+IFERROR(X111/H111,"0")</f>
        <v>0</v>
      </c>
      <c r="Y112" s="41">
        <f>IFERROR(Y103/H103,"0")+IFERROR(Y104/H104,"0")+IFERROR(Y105/H105,"0")+IFERROR(Y106/H106,"0")+IFERROR(Y107/H107,"0")+IFERROR(Y108/H108,"0")+IFERROR(Y109/H109,"0")+IFERROR(Y110/H110,"0")+IFERROR(Y111/H111,"0")</f>
        <v>0</v>
      </c>
      <c r="Z112" s="41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4"/>
      <c r="AB112" s="64"/>
      <c r="AC112" s="64"/>
    </row>
    <row r="113" spans="1:68" hidden="1" x14ac:dyDescent="0.2">
      <c r="A113" s="651"/>
      <c r="B113" s="651"/>
      <c r="C113" s="651"/>
      <c r="D113" s="651"/>
      <c r="E113" s="651"/>
      <c r="F113" s="651"/>
      <c r="G113" s="651"/>
      <c r="H113" s="651"/>
      <c r="I113" s="651"/>
      <c r="J113" s="651"/>
      <c r="K113" s="651"/>
      <c r="L113" s="651"/>
      <c r="M113" s="651"/>
      <c r="N113" s="651"/>
      <c r="O113" s="652"/>
      <c r="P113" s="648" t="s">
        <v>40</v>
      </c>
      <c r="Q113" s="649"/>
      <c r="R113" s="649"/>
      <c r="S113" s="649"/>
      <c r="T113" s="649"/>
      <c r="U113" s="649"/>
      <c r="V113" s="650"/>
      <c r="W113" s="40" t="s">
        <v>0</v>
      </c>
      <c r="X113" s="41">
        <f>IFERROR(SUM(X103:X111),"0")</f>
        <v>0</v>
      </c>
      <c r="Y113" s="41">
        <f>IFERROR(SUM(Y103:Y111),"0")</f>
        <v>0</v>
      </c>
      <c r="Z113" s="40"/>
      <c r="AA113" s="64"/>
      <c r="AB113" s="64"/>
      <c r="AC113" s="64"/>
    </row>
    <row r="114" spans="1:68" ht="14.25" hidden="1" customHeight="1" x14ac:dyDescent="0.25">
      <c r="A114" s="660" t="s">
        <v>159</v>
      </c>
      <c r="B114" s="660"/>
      <c r="C114" s="660"/>
      <c r="D114" s="660"/>
      <c r="E114" s="660"/>
      <c r="F114" s="660"/>
      <c r="G114" s="660"/>
      <c r="H114" s="660"/>
      <c r="I114" s="660"/>
      <c r="J114" s="660"/>
      <c r="K114" s="660"/>
      <c r="L114" s="660"/>
      <c r="M114" s="660"/>
      <c r="N114" s="660"/>
      <c r="O114" s="660"/>
      <c r="P114" s="660"/>
      <c r="Q114" s="660"/>
      <c r="R114" s="660"/>
      <c r="S114" s="660"/>
      <c r="T114" s="660"/>
      <c r="U114" s="660"/>
      <c r="V114" s="660"/>
      <c r="W114" s="660"/>
      <c r="X114" s="660"/>
      <c r="Y114" s="660"/>
      <c r="Z114" s="660"/>
      <c r="AA114" s="63"/>
      <c r="AB114" s="63"/>
      <c r="AC114" s="63"/>
    </row>
    <row r="115" spans="1:68" ht="27" hidden="1" customHeight="1" x14ac:dyDescent="0.25">
      <c r="A115" s="60" t="s">
        <v>229</v>
      </c>
      <c r="B115" s="60" t="s">
        <v>230</v>
      </c>
      <c r="C115" s="34">
        <v>4301020391</v>
      </c>
      <c r="D115" s="661">
        <v>4680115881488</v>
      </c>
      <c r="E115" s="661"/>
      <c r="F115" s="59">
        <v>1.35</v>
      </c>
      <c r="G115" s="35">
        <v>8</v>
      </c>
      <c r="H115" s="59">
        <v>10.8</v>
      </c>
      <c r="I115" s="59">
        <v>11.21</v>
      </c>
      <c r="J115" s="35">
        <v>64</v>
      </c>
      <c r="K115" s="35" t="s">
        <v>127</v>
      </c>
      <c r="L115" s="35" t="s">
        <v>46</v>
      </c>
      <c r="M115" s="36" t="s">
        <v>126</v>
      </c>
      <c r="N115" s="36"/>
      <c r="O115" s="35">
        <v>55</v>
      </c>
      <c r="P115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3"/>
      <c r="R115" s="663"/>
      <c r="S115" s="663"/>
      <c r="T115" s="664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IFERROR(IF(Y115=0,"",ROUNDUP(Y115/H115,0)*0.01898),"")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4301020393</v>
      </c>
      <c r="D116" s="661">
        <v>4680115882775</v>
      </c>
      <c r="E116" s="661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126</v>
      </c>
      <c r="N116" s="36"/>
      <c r="O116" s="35">
        <v>55</v>
      </c>
      <c r="P116" s="89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63"/>
      <c r="R116" s="663"/>
      <c r="S116" s="663"/>
      <c r="T116" s="664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4301020392</v>
      </c>
      <c r="D117" s="661">
        <v>4680115880658</v>
      </c>
      <c r="E117" s="661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126</v>
      </c>
      <c r="N117" s="36"/>
      <c r="O117" s="35">
        <v>55</v>
      </c>
      <c r="P117" s="89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63"/>
      <c r="R117" s="663"/>
      <c r="S117" s="663"/>
      <c r="T117" s="664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91" t="s">
        <v>231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idden="1" x14ac:dyDescent="0.2">
      <c r="A118" s="651"/>
      <c r="B118" s="651"/>
      <c r="C118" s="651"/>
      <c r="D118" s="651"/>
      <c r="E118" s="651"/>
      <c r="F118" s="651"/>
      <c r="G118" s="651"/>
      <c r="H118" s="651"/>
      <c r="I118" s="651"/>
      <c r="J118" s="651"/>
      <c r="K118" s="651"/>
      <c r="L118" s="651"/>
      <c r="M118" s="651"/>
      <c r="N118" s="651"/>
      <c r="O118" s="652"/>
      <c r="P118" s="648" t="s">
        <v>40</v>
      </c>
      <c r="Q118" s="649"/>
      <c r="R118" s="649"/>
      <c r="S118" s="649"/>
      <c r="T118" s="649"/>
      <c r="U118" s="649"/>
      <c r="V118" s="650"/>
      <c r="W118" s="40" t="s">
        <v>39</v>
      </c>
      <c r="X118" s="41">
        <f>IFERROR(X115/H115,"0")+IFERROR(X116/H116,"0")+IFERROR(X117/H117,"0")</f>
        <v>0</v>
      </c>
      <c r="Y118" s="41">
        <f>IFERROR(Y115/H115,"0")+IFERROR(Y116/H116,"0")+IFERROR(Y117/H117,"0")</f>
        <v>0</v>
      </c>
      <c r="Z118" s="41">
        <f>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51"/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2"/>
      <c r="P119" s="648" t="s">
        <v>40</v>
      </c>
      <c r="Q119" s="649"/>
      <c r="R119" s="649"/>
      <c r="S119" s="649"/>
      <c r="T119" s="649"/>
      <c r="U119" s="649"/>
      <c r="V119" s="650"/>
      <c r="W119" s="40" t="s">
        <v>0</v>
      </c>
      <c r="X119" s="41">
        <f>IFERROR(SUM(X115:X117),"0")</f>
        <v>0</v>
      </c>
      <c r="Y119" s="41">
        <f>IFERROR(SUM(Y115:Y117),"0")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60" t="s">
        <v>86</v>
      </c>
      <c r="B120" s="660"/>
      <c r="C120" s="660"/>
      <c r="D120" s="660"/>
      <c r="E120" s="660"/>
      <c r="F120" s="660"/>
      <c r="G120" s="660"/>
      <c r="H120" s="660"/>
      <c r="I120" s="660"/>
      <c r="J120" s="660"/>
      <c r="K120" s="660"/>
      <c r="L120" s="660"/>
      <c r="M120" s="660"/>
      <c r="N120" s="660"/>
      <c r="O120" s="660"/>
      <c r="P120" s="660"/>
      <c r="Q120" s="660"/>
      <c r="R120" s="660"/>
      <c r="S120" s="660"/>
      <c r="T120" s="660"/>
      <c r="U120" s="660"/>
      <c r="V120" s="660"/>
      <c r="W120" s="660"/>
      <c r="X120" s="660"/>
      <c r="Y120" s="660"/>
      <c r="Z120" s="660"/>
      <c r="AA120" s="63"/>
      <c r="AB120" s="63"/>
      <c r="AC120" s="63"/>
    </row>
    <row r="121" spans="1:68" ht="27" hidden="1" customHeight="1" x14ac:dyDescent="0.25">
      <c r="A121" s="60" t="s">
        <v>236</v>
      </c>
      <c r="B121" s="60" t="s">
        <v>237</v>
      </c>
      <c r="C121" s="34">
        <v>4301052088</v>
      </c>
      <c r="D121" s="661">
        <v>4607091385168</v>
      </c>
      <c r="E121" s="661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127</v>
      </c>
      <c r="L121" s="35" t="s">
        <v>46</v>
      </c>
      <c r="M121" s="36" t="s">
        <v>90</v>
      </c>
      <c r="N121" s="36"/>
      <c r="O121" s="35">
        <v>45</v>
      </c>
      <c r="P121" s="89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63"/>
      <c r="R121" s="663"/>
      <c r="S121" s="663"/>
      <c r="T121" s="664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93" t="s">
        <v>238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4301052087</v>
      </c>
      <c r="D122" s="661">
        <v>4607091383256</v>
      </c>
      <c r="E122" s="661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88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63"/>
      <c r="R122" s="663"/>
      <c r="S122" s="663"/>
      <c r="T122" s="664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238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241</v>
      </c>
      <c r="B123" s="60" t="s">
        <v>242</v>
      </c>
      <c r="C123" s="34">
        <v>4301052086</v>
      </c>
      <c r="D123" s="661">
        <v>4607091385748</v>
      </c>
      <c r="E123" s="661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8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63"/>
      <c r="R123" s="663"/>
      <c r="S123" s="663"/>
      <c r="T123" s="664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238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243</v>
      </c>
      <c r="B124" s="60" t="s">
        <v>244</v>
      </c>
      <c r="C124" s="34">
        <v>4301052085</v>
      </c>
      <c r="D124" s="661">
        <v>4680115884533</v>
      </c>
      <c r="E124" s="661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89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63"/>
      <c r="R124" s="663"/>
      <c r="S124" s="663"/>
      <c r="T124" s="664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245</v>
      </c>
      <c r="AG124" s="75"/>
      <c r="AJ124" s="79" t="s">
        <v>46</v>
      </c>
      <c r="AK124" s="79">
        <v>0</v>
      </c>
      <c r="BB124" s="200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0" t="s">
        <v>39</v>
      </c>
      <c r="X125" s="41">
        <f>IFERROR(X121/H121,"0")+IFERROR(X122/H122,"0")+IFERROR(X123/H123,"0")+IFERROR(X124/H124,"0")</f>
        <v>0</v>
      </c>
      <c r="Y125" s="41">
        <f>IFERROR(Y121/H121,"0")+IFERROR(Y122/H122,"0")+IFERROR(Y123/H123,"0")+IFERROR(Y124/H124,"0")</f>
        <v>0</v>
      </c>
      <c r="Z125" s="41">
        <f>IFERROR(IF(Z121="",0,Z121),"0")+IFERROR(IF(Z122="",0,Z122),"0")+IFERROR(IF(Z123="",0,Z123),"0")+IFERROR(IF(Z124="",0,Z124),"0")</f>
        <v>0</v>
      </c>
      <c r="AA125" s="64"/>
      <c r="AB125" s="64"/>
      <c r="AC125" s="64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0" t="s">
        <v>0</v>
      </c>
      <c r="X126" s="41">
        <f>IFERROR(SUM(X121:X124),"0")</f>
        <v>0</v>
      </c>
      <c r="Y126" s="41">
        <f>IFERROR(SUM(Y121:Y124),"0")</f>
        <v>0</v>
      </c>
      <c r="Z126" s="40"/>
      <c r="AA126" s="64"/>
      <c r="AB126" s="64"/>
      <c r="AC126" s="64"/>
    </row>
    <row r="127" spans="1:68" ht="14.25" hidden="1" customHeight="1" x14ac:dyDescent="0.25">
      <c r="A127" s="660" t="s">
        <v>178</v>
      </c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0"/>
      <c r="P127" s="660"/>
      <c r="Q127" s="660"/>
      <c r="R127" s="660"/>
      <c r="S127" s="660"/>
      <c r="T127" s="660"/>
      <c r="U127" s="660"/>
      <c r="V127" s="660"/>
      <c r="W127" s="660"/>
      <c r="X127" s="660"/>
      <c r="Y127" s="660"/>
      <c r="Z127" s="660"/>
      <c r="AA127" s="63"/>
      <c r="AB127" s="63"/>
      <c r="AC127" s="63"/>
    </row>
    <row r="128" spans="1:68" ht="16.5" hidden="1" customHeight="1" x14ac:dyDescent="0.25">
      <c r="A128" s="60" t="s">
        <v>246</v>
      </c>
      <c r="B128" s="60" t="s">
        <v>247</v>
      </c>
      <c r="C128" s="34">
        <v>4301060525</v>
      </c>
      <c r="D128" s="661">
        <v>4680115880238</v>
      </c>
      <c r="E128" s="661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8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63"/>
      <c r="R128" s="663"/>
      <c r="S128" s="663"/>
      <c r="T128" s="664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1" t="s">
        <v>248</v>
      </c>
      <c r="AG128" s="75"/>
      <c r="AJ128" s="79" t="s">
        <v>46</v>
      </c>
      <c r="AK128" s="79">
        <v>0</v>
      </c>
      <c r="BB128" s="202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51"/>
      <c r="B129" s="651"/>
      <c r="C129" s="651"/>
      <c r="D129" s="651"/>
      <c r="E129" s="651"/>
      <c r="F129" s="651"/>
      <c r="G129" s="651"/>
      <c r="H129" s="651"/>
      <c r="I129" s="651"/>
      <c r="J129" s="651"/>
      <c r="K129" s="651"/>
      <c r="L129" s="651"/>
      <c r="M129" s="651"/>
      <c r="N129" s="651"/>
      <c r="O129" s="652"/>
      <c r="P129" s="648" t="s">
        <v>40</v>
      </c>
      <c r="Q129" s="649"/>
      <c r="R129" s="649"/>
      <c r="S129" s="649"/>
      <c r="T129" s="649"/>
      <c r="U129" s="649"/>
      <c r="V129" s="650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51"/>
      <c r="B130" s="651"/>
      <c r="C130" s="651"/>
      <c r="D130" s="651"/>
      <c r="E130" s="651"/>
      <c r="F130" s="651"/>
      <c r="G130" s="651"/>
      <c r="H130" s="651"/>
      <c r="I130" s="651"/>
      <c r="J130" s="651"/>
      <c r="K130" s="651"/>
      <c r="L130" s="651"/>
      <c r="M130" s="651"/>
      <c r="N130" s="651"/>
      <c r="O130" s="652"/>
      <c r="P130" s="648" t="s">
        <v>40</v>
      </c>
      <c r="Q130" s="649"/>
      <c r="R130" s="649"/>
      <c r="S130" s="649"/>
      <c r="T130" s="649"/>
      <c r="U130" s="649"/>
      <c r="V130" s="650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67" t="s">
        <v>249</v>
      </c>
      <c r="B131" s="667"/>
      <c r="C131" s="667"/>
      <c r="D131" s="667"/>
      <c r="E131" s="667"/>
      <c r="F131" s="667"/>
      <c r="G131" s="667"/>
      <c r="H131" s="667"/>
      <c r="I131" s="667"/>
      <c r="J131" s="667"/>
      <c r="K131" s="667"/>
      <c r="L131" s="667"/>
      <c r="M131" s="667"/>
      <c r="N131" s="667"/>
      <c r="O131" s="667"/>
      <c r="P131" s="667"/>
      <c r="Q131" s="667"/>
      <c r="R131" s="667"/>
      <c r="S131" s="667"/>
      <c r="T131" s="667"/>
      <c r="U131" s="667"/>
      <c r="V131" s="667"/>
      <c r="W131" s="667"/>
      <c r="X131" s="667"/>
      <c r="Y131" s="667"/>
      <c r="Z131" s="667"/>
      <c r="AA131" s="62"/>
      <c r="AB131" s="62"/>
      <c r="AC131" s="62"/>
    </row>
    <row r="132" spans="1:68" ht="14.25" hidden="1" customHeight="1" x14ac:dyDescent="0.25">
      <c r="A132" s="660" t="s">
        <v>122</v>
      </c>
      <c r="B132" s="660"/>
      <c r="C132" s="660"/>
      <c r="D132" s="660"/>
      <c r="E132" s="660"/>
      <c r="F132" s="660"/>
      <c r="G132" s="660"/>
      <c r="H132" s="660"/>
      <c r="I132" s="660"/>
      <c r="J132" s="660"/>
      <c r="K132" s="660"/>
      <c r="L132" s="660"/>
      <c r="M132" s="660"/>
      <c r="N132" s="660"/>
      <c r="O132" s="660"/>
      <c r="P132" s="660"/>
      <c r="Q132" s="660"/>
      <c r="R132" s="660"/>
      <c r="S132" s="660"/>
      <c r="T132" s="660"/>
      <c r="U132" s="660"/>
      <c r="V132" s="660"/>
      <c r="W132" s="660"/>
      <c r="X132" s="660"/>
      <c r="Y132" s="660"/>
      <c r="Z132" s="660"/>
      <c r="AA132" s="63"/>
      <c r="AB132" s="63"/>
      <c r="AC132" s="63"/>
    </row>
    <row r="133" spans="1:68" ht="27" hidden="1" customHeight="1" x14ac:dyDescent="0.25">
      <c r="A133" s="60" t="s">
        <v>250</v>
      </c>
      <c r="B133" s="60" t="s">
        <v>251</v>
      </c>
      <c r="C133" s="34">
        <v>4301011562</v>
      </c>
      <c r="D133" s="661">
        <v>4680115882577</v>
      </c>
      <c r="E133" s="661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253</v>
      </c>
      <c r="N133" s="36"/>
      <c r="O133" s="35">
        <v>90</v>
      </c>
      <c r="P133" s="8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63"/>
      <c r="R133" s="663"/>
      <c r="S133" s="663"/>
      <c r="T133" s="664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252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250</v>
      </c>
      <c r="B134" s="60" t="s">
        <v>254</v>
      </c>
      <c r="C134" s="34">
        <v>4301011564</v>
      </c>
      <c r="D134" s="661">
        <v>4680115882577</v>
      </c>
      <c r="E134" s="661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253</v>
      </c>
      <c r="N134" s="36"/>
      <c r="O134" s="35">
        <v>90</v>
      </c>
      <c r="P134" s="8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63"/>
      <c r="R134" s="663"/>
      <c r="S134" s="663"/>
      <c r="T134" s="664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05" t="s">
        <v>252</v>
      </c>
      <c r="AG134" s="75"/>
      <c r="AJ134" s="79" t="s">
        <v>46</v>
      </c>
      <c r="AK134" s="79">
        <v>0</v>
      </c>
      <c r="BB134" s="206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51"/>
      <c r="B135" s="651"/>
      <c r="C135" s="651"/>
      <c r="D135" s="651"/>
      <c r="E135" s="651"/>
      <c r="F135" s="651"/>
      <c r="G135" s="651"/>
      <c r="H135" s="651"/>
      <c r="I135" s="651"/>
      <c r="J135" s="651"/>
      <c r="K135" s="651"/>
      <c r="L135" s="651"/>
      <c r="M135" s="651"/>
      <c r="N135" s="651"/>
      <c r="O135" s="652"/>
      <c r="P135" s="648" t="s">
        <v>40</v>
      </c>
      <c r="Q135" s="649"/>
      <c r="R135" s="649"/>
      <c r="S135" s="649"/>
      <c r="T135" s="649"/>
      <c r="U135" s="649"/>
      <c r="V135" s="650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51"/>
      <c r="B136" s="651"/>
      <c r="C136" s="651"/>
      <c r="D136" s="651"/>
      <c r="E136" s="651"/>
      <c r="F136" s="651"/>
      <c r="G136" s="651"/>
      <c r="H136" s="651"/>
      <c r="I136" s="651"/>
      <c r="J136" s="651"/>
      <c r="K136" s="651"/>
      <c r="L136" s="651"/>
      <c r="M136" s="651"/>
      <c r="N136" s="651"/>
      <c r="O136" s="652"/>
      <c r="P136" s="648" t="s">
        <v>40</v>
      </c>
      <c r="Q136" s="649"/>
      <c r="R136" s="649"/>
      <c r="S136" s="649"/>
      <c r="T136" s="649"/>
      <c r="U136" s="649"/>
      <c r="V136" s="650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60" t="s">
        <v>77</v>
      </c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0"/>
      <c r="P137" s="660"/>
      <c r="Q137" s="660"/>
      <c r="R137" s="660"/>
      <c r="S137" s="660"/>
      <c r="T137" s="660"/>
      <c r="U137" s="660"/>
      <c r="V137" s="660"/>
      <c r="W137" s="660"/>
      <c r="X137" s="660"/>
      <c r="Y137" s="660"/>
      <c r="Z137" s="660"/>
      <c r="AA137" s="63"/>
      <c r="AB137" s="63"/>
      <c r="AC137" s="63"/>
    </row>
    <row r="138" spans="1:68" ht="27" hidden="1" customHeight="1" x14ac:dyDescent="0.25">
      <c r="A138" s="60" t="s">
        <v>255</v>
      </c>
      <c r="B138" s="60" t="s">
        <v>256</v>
      </c>
      <c r="C138" s="34">
        <v>4301031234</v>
      </c>
      <c r="D138" s="661">
        <v>4680115883444</v>
      </c>
      <c r="E138" s="661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253</v>
      </c>
      <c r="N138" s="36"/>
      <c r="O138" s="35">
        <v>90</v>
      </c>
      <c r="P138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63"/>
      <c r="R138" s="663"/>
      <c r="S138" s="663"/>
      <c r="T138" s="664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257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255</v>
      </c>
      <c r="B139" s="60" t="s">
        <v>258</v>
      </c>
      <c r="C139" s="34">
        <v>4301031235</v>
      </c>
      <c r="D139" s="661">
        <v>4680115883444</v>
      </c>
      <c r="E139" s="661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253</v>
      </c>
      <c r="N139" s="36"/>
      <c r="O139" s="35">
        <v>90</v>
      </c>
      <c r="P139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63"/>
      <c r="R139" s="663"/>
      <c r="S139" s="663"/>
      <c r="T139" s="664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9" t="s">
        <v>257</v>
      </c>
      <c r="AG139" s="75"/>
      <c r="AJ139" s="79" t="s">
        <v>46</v>
      </c>
      <c r="AK139" s="79">
        <v>0</v>
      </c>
      <c r="BB139" s="210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51"/>
      <c r="B141" s="651"/>
      <c r="C141" s="651"/>
      <c r="D141" s="651"/>
      <c r="E141" s="651"/>
      <c r="F141" s="651"/>
      <c r="G141" s="651"/>
      <c r="H141" s="651"/>
      <c r="I141" s="651"/>
      <c r="J141" s="651"/>
      <c r="K141" s="651"/>
      <c r="L141" s="651"/>
      <c r="M141" s="651"/>
      <c r="N141" s="651"/>
      <c r="O141" s="652"/>
      <c r="P141" s="648" t="s">
        <v>40</v>
      </c>
      <c r="Q141" s="649"/>
      <c r="R141" s="649"/>
      <c r="S141" s="649"/>
      <c r="T141" s="649"/>
      <c r="U141" s="649"/>
      <c r="V141" s="650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0" t="s">
        <v>86</v>
      </c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0"/>
      <c r="P142" s="660"/>
      <c r="Q142" s="660"/>
      <c r="R142" s="660"/>
      <c r="S142" s="660"/>
      <c r="T142" s="660"/>
      <c r="U142" s="660"/>
      <c r="V142" s="660"/>
      <c r="W142" s="660"/>
      <c r="X142" s="660"/>
      <c r="Y142" s="660"/>
      <c r="Z142" s="660"/>
      <c r="AA142" s="63"/>
      <c r="AB142" s="63"/>
      <c r="AC142" s="63"/>
    </row>
    <row r="143" spans="1:68" ht="16.5" hidden="1" customHeight="1" x14ac:dyDescent="0.25">
      <c r="A143" s="60" t="s">
        <v>259</v>
      </c>
      <c r="B143" s="60" t="s">
        <v>260</v>
      </c>
      <c r="C143" s="34">
        <v>4301051476</v>
      </c>
      <c r="D143" s="661">
        <v>4680115882584</v>
      </c>
      <c r="E143" s="661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253</v>
      </c>
      <c r="N143" s="36"/>
      <c r="O143" s="35">
        <v>60</v>
      </c>
      <c r="P143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63"/>
      <c r="R143" s="663"/>
      <c r="S143" s="663"/>
      <c r="T143" s="664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252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259</v>
      </c>
      <c r="B144" s="60" t="s">
        <v>261</v>
      </c>
      <c r="C144" s="34">
        <v>4301051477</v>
      </c>
      <c r="D144" s="661">
        <v>4680115882584</v>
      </c>
      <c r="E144" s="661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253</v>
      </c>
      <c r="N144" s="36"/>
      <c r="O144" s="35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63"/>
      <c r="R144" s="663"/>
      <c r="S144" s="663"/>
      <c r="T144" s="664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3" t="s">
        <v>252</v>
      </c>
      <c r="AG144" s="75"/>
      <c r="AJ144" s="79" t="s">
        <v>46</v>
      </c>
      <c r="AK144" s="79">
        <v>0</v>
      </c>
      <c r="BB144" s="214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67" t="s">
        <v>262</v>
      </c>
      <c r="B147" s="667"/>
      <c r="C147" s="667"/>
      <c r="D147" s="667"/>
      <c r="E147" s="667"/>
      <c r="F147" s="667"/>
      <c r="G147" s="667"/>
      <c r="H147" s="667"/>
      <c r="I147" s="667"/>
      <c r="J147" s="667"/>
      <c r="K147" s="667"/>
      <c r="L147" s="667"/>
      <c r="M147" s="667"/>
      <c r="N147" s="667"/>
      <c r="O147" s="667"/>
      <c r="P147" s="667"/>
      <c r="Q147" s="667"/>
      <c r="R147" s="667"/>
      <c r="S147" s="667"/>
      <c r="T147" s="667"/>
      <c r="U147" s="667"/>
      <c r="V147" s="667"/>
      <c r="W147" s="667"/>
      <c r="X147" s="667"/>
      <c r="Y147" s="667"/>
      <c r="Z147" s="667"/>
      <c r="AA147" s="62"/>
      <c r="AB147" s="62"/>
      <c r="AC147" s="62"/>
    </row>
    <row r="148" spans="1:68" ht="14.25" hidden="1" customHeight="1" x14ac:dyDescent="0.25">
      <c r="A148" s="660" t="s">
        <v>86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3"/>
      <c r="AB148" s="63"/>
      <c r="AC148" s="63"/>
    </row>
    <row r="149" spans="1:68" ht="27" hidden="1" customHeight="1" x14ac:dyDescent="0.25">
      <c r="A149" s="60" t="s">
        <v>263</v>
      </c>
      <c r="B149" s="60" t="s">
        <v>264</v>
      </c>
      <c r="C149" s="34">
        <v>4301052254</v>
      </c>
      <c r="D149" s="661">
        <v>4680115888203</v>
      </c>
      <c r="E149" s="661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63"/>
      <c r="R149" s="663"/>
      <c r="S149" s="663"/>
      <c r="T149" s="664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ref="Y149:Y154" si="10">IFERROR(IF(X149="",0,CEILING((X149/$H149),1)*$H149),"")</f>
        <v>0</v>
      </c>
      <c r="Z149" s="39" t="str">
        <f t="shared" ref="Z149:Z154" si="11">IFERROR(IF(Y149=0,"",ROUNDUP(Y149/H149,0)*0.00651),"")</f>
        <v/>
      </c>
      <c r="AA149" s="65" t="s">
        <v>46</v>
      </c>
      <c r="AB149" s="66" t="s">
        <v>46</v>
      </c>
      <c r="AC149" s="215" t="s">
        <v>265</v>
      </c>
      <c r="AG149" s="75"/>
      <c r="AJ149" s="79" t="s">
        <v>46</v>
      </c>
      <c r="AK149" s="79">
        <v>0</v>
      </c>
      <c r="BB149" s="216" t="s">
        <v>67</v>
      </c>
      <c r="BM149" s="75">
        <f t="shared" ref="BM149:BM154" si="12">IFERROR(X149*I149/H149,"0")</f>
        <v>0</v>
      </c>
      <c r="BN149" s="75">
        <f t="shared" ref="BN149:BN154" si="13">IFERROR(Y149*I149/H149,"0")</f>
        <v>0</v>
      </c>
      <c r="BO149" s="75">
        <f t="shared" ref="BO149:BO154" si="14">IFERROR(1/J149*(X149/H149),"0")</f>
        <v>0</v>
      </c>
      <c r="BP149" s="75">
        <f t="shared" ref="BP149:BP154" si="15">IFERROR(1/J149*(Y149/H149),"0")</f>
        <v>0</v>
      </c>
    </row>
    <row r="150" spans="1:68" ht="27" hidden="1" customHeight="1" x14ac:dyDescent="0.25">
      <c r="A150" s="60" t="s">
        <v>266</v>
      </c>
      <c r="B150" s="60" t="s">
        <v>267</v>
      </c>
      <c r="C150" s="34">
        <v>4301052172</v>
      </c>
      <c r="D150" s="661">
        <v>4680115888180</v>
      </c>
      <c r="E150" s="661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63"/>
      <c r="R150" s="663"/>
      <c r="S150" s="663"/>
      <c r="T150" s="664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268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266</v>
      </c>
      <c r="B151" s="60" t="s">
        <v>269</v>
      </c>
      <c r="C151" s="34">
        <v>4301052252</v>
      </c>
      <c r="D151" s="661">
        <v>4680115888180</v>
      </c>
      <c r="E151" s="661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3"/>
      <c r="R151" s="663"/>
      <c r="S151" s="663"/>
      <c r="T151" s="664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268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270</v>
      </c>
      <c r="B152" s="60" t="s">
        <v>271</v>
      </c>
      <c r="C152" s="34">
        <v>4301052253</v>
      </c>
      <c r="D152" s="661">
        <v>4680115888197</v>
      </c>
      <c r="E152" s="661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8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63"/>
      <c r="R152" s="663"/>
      <c r="S152" s="663"/>
      <c r="T152" s="664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272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273</v>
      </c>
      <c r="B153" s="60" t="s">
        <v>274</v>
      </c>
      <c r="C153" s="34">
        <v>4301052175</v>
      </c>
      <c r="D153" s="661">
        <v>4680115888210</v>
      </c>
      <c r="E153" s="661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8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63"/>
      <c r="R153" s="663"/>
      <c r="S153" s="663"/>
      <c r="T153" s="664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275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273</v>
      </c>
      <c r="B154" s="60" t="s">
        <v>276</v>
      </c>
      <c r="C154" s="34">
        <v>4301052255</v>
      </c>
      <c r="D154" s="661">
        <v>4680115888210</v>
      </c>
      <c r="E154" s="661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7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3"/>
      <c r="R154" s="663"/>
      <c r="S154" s="663"/>
      <c r="T154" s="664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0"/>
        <v>0</v>
      </c>
      <c r="Z154" s="39" t="str">
        <f t="shared" si="11"/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67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idden="1" x14ac:dyDescent="0.2">
      <c r="A155" s="651"/>
      <c r="B155" s="651"/>
      <c r="C155" s="651"/>
      <c r="D155" s="651"/>
      <c r="E155" s="651"/>
      <c r="F155" s="651"/>
      <c r="G155" s="651"/>
      <c r="H155" s="651"/>
      <c r="I155" s="651"/>
      <c r="J155" s="651"/>
      <c r="K155" s="651"/>
      <c r="L155" s="651"/>
      <c r="M155" s="651"/>
      <c r="N155" s="651"/>
      <c r="O155" s="652"/>
      <c r="P155" s="648" t="s">
        <v>40</v>
      </c>
      <c r="Q155" s="649"/>
      <c r="R155" s="649"/>
      <c r="S155" s="649"/>
      <c r="T155" s="649"/>
      <c r="U155" s="649"/>
      <c r="V155" s="650"/>
      <c r="W155" s="40" t="s">
        <v>39</v>
      </c>
      <c r="X155" s="41">
        <f>IFERROR(X149/H149,"0")+IFERROR(X150/H150,"0")+IFERROR(X151/H151,"0")+IFERROR(X152/H152,"0")+IFERROR(X153/H153,"0")+IFERROR(X154/H154,"0")</f>
        <v>0</v>
      </c>
      <c r="Y155" s="41">
        <f>IFERROR(Y149/H149,"0")+IFERROR(Y150/H150,"0")+IFERROR(Y151/H151,"0")+IFERROR(Y152/H152,"0")+IFERROR(Y153/H153,"0")+IFERROR(Y154/H154,"0")</f>
        <v>0</v>
      </c>
      <c r="Z155" s="41">
        <f>IFERROR(IF(Z149="",0,Z149),"0")+IFERROR(IF(Z150="",0,Z150),"0")+IFERROR(IF(Z151="",0,Z151),"0")+IFERROR(IF(Z152="",0,Z152),"0")+IFERROR(IF(Z153="",0,Z153),"0")+IFERROR(IF(Z154="",0,Z154),"0")</f>
        <v>0</v>
      </c>
      <c r="AA155" s="64"/>
      <c r="AB155" s="64"/>
      <c r="AC155" s="64"/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0" t="s">
        <v>0</v>
      </c>
      <c r="X156" s="41">
        <f>IFERROR(SUM(X149:X154),"0")</f>
        <v>0</v>
      </c>
      <c r="Y156" s="41">
        <f>IFERROR(SUM(Y149:Y154),"0")</f>
        <v>0</v>
      </c>
      <c r="Z156" s="40"/>
      <c r="AA156" s="64"/>
      <c r="AB156" s="64"/>
      <c r="AC156" s="64"/>
    </row>
    <row r="157" spans="1:68" ht="14.25" hidden="1" customHeight="1" x14ac:dyDescent="0.25">
      <c r="A157" s="660" t="s">
        <v>277</v>
      </c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0"/>
      <c r="P157" s="660"/>
      <c r="Q157" s="660"/>
      <c r="R157" s="660"/>
      <c r="S157" s="660"/>
      <c r="T157" s="660"/>
      <c r="U157" s="660"/>
      <c r="V157" s="660"/>
      <c r="W157" s="660"/>
      <c r="X157" s="660"/>
      <c r="Y157" s="660"/>
      <c r="Z157" s="660"/>
      <c r="AA157" s="63"/>
      <c r="AB157" s="63"/>
      <c r="AC157" s="63"/>
    </row>
    <row r="158" spans="1:68" ht="27" hidden="1" customHeight="1" x14ac:dyDescent="0.25">
      <c r="A158" s="60" t="s">
        <v>278</v>
      </c>
      <c r="B158" s="60" t="s">
        <v>279</v>
      </c>
      <c r="C158" s="34">
        <v>4301032067</v>
      </c>
      <c r="D158" s="661">
        <v>4680115889132</v>
      </c>
      <c r="E158" s="661"/>
      <c r="F158" s="59">
        <v>0.04</v>
      </c>
      <c r="G158" s="35">
        <v>8</v>
      </c>
      <c r="H158" s="59">
        <v>0.32</v>
      </c>
      <c r="I158" s="59">
        <v>0.5</v>
      </c>
      <c r="J158" s="35">
        <v>330</v>
      </c>
      <c r="K158" s="35" t="s">
        <v>283</v>
      </c>
      <c r="L158" s="35" t="s">
        <v>46</v>
      </c>
      <c r="M158" s="36" t="s">
        <v>282</v>
      </c>
      <c r="N158" s="36"/>
      <c r="O158" s="35">
        <v>120</v>
      </c>
      <c r="P158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63"/>
      <c r="R158" s="663"/>
      <c r="S158" s="663"/>
      <c r="T158" s="664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IFERROR(IF(Y158=0,"",ROUNDUP(Y158/H158,0)*0.00337),"")</f>
        <v/>
      </c>
      <c r="AA158" s="65" t="s">
        <v>46</v>
      </c>
      <c r="AB158" s="66" t="s">
        <v>46</v>
      </c>
      <c r="AC158" s="227" t="s">
        <v>280</v>
      </c>
      <c r="AG158" s="75"/>
      <c r="AJ158" s="79" t="s">
        <v>46</v>
      </c>
      <c r="AK158" s="79">
        <v>0</v>
      </c>
      <c r="BB158" s="228" t="s">
        <v>281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51"/>
      <c r="B159" s="651"/>
      <c r="C159" s="651"/>
      <c r="D159" s="651"/>
      <c r="E159" s="651"/>
      <c r="F159" s="651"/>
      <c r="G159" s="651"/>
      <c r="H159" s="651"/>
      <c r="I159" s="651"/>
      <c r="J159" s="651"/>
      <c r="K159" s="651"/>
      <c r="L159" s="651"/>
      <c r="M159" s="651"/>
      <c r="N159" s="651"/>
      <c r="O159" s="652"/>
      <c r="P159" s="648" t="s">
        <v>40</v>
      </c>
      <c r="Q159" s="649"/>
      <c r="R159" s="649"/>
      <c r="S159" s="649"/>
      <c r="T159" s="649"/>
      <c r="U159" s="649"/>
      <c r="V159" s="650"/>
      <c r="W159" s="40" t="s">
        <v>39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0" t="s">
        <v>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6.5" hidden="1" customHeight="1" x14ac:dyDescent="0.25">
      <c r="A161" s="667" t="s">
        <v>120</v>
      </c>
      <c r="B161" s="667"/>
      <c r="C161" s="667"/>
      <c r="D161" s="667"/>
      <c r="E161" s="667"/>
      <c r="F161" s="667"/>
      <c r="G161" s="667"/>
      <c r="H161" s="667"/>
      <c r="I161" s="667"/>
      <c r="J161" s="667"/>
      <c r="K161" s="667"/>
      <c r="L161" s="667"/>
      <c r="M161" s="667"/>
      <c r="N161" s="667"/>
      <c r="O161" s="667"/>
      <c r="P161" s="667"/>
      <c r="Q161" s="667"/>
      <c r="R161" s="667"/>
      <c r="S161" s="667"/>
      <c r="T161" s="667"/>
      <c r="U161" s="667"/>
      <c r="V161" s="667"/>
      <c r="W161" s="667"/>
      <c r="X161" s="667"/>
      <c r="Y161" s="667"/>
      <c r="Z161" s="667"/>
      <c r="AA161" s="62"/>
      <c r="AB161" s="62"/>
      <c r="AC161" s="62"/>
    </row>
    <row r="162" spans="1:68" ht="14.25" hidden="1" customHeight="1" x14ac:dyDescent="0.25">
      <c r="A162" s="660" t="s">
        <v>122</v>
      </c>
      <c r="B162" s="660"/>
      <c r="C162" s="660"/>
      <c r="D162" s="660"/>
      <c r="E162" s="660"/>
      <c r="F162" s="660"/>
      <c r="G162" s="660"/>
      <c r="H162" s="660"/>
      <c r="I162" s="660"/>
      <c r="J162" s="660"/>
      <c r="K162" s="660"/>
      <c r="L162" s="660"/>
      <c r="M162" s="660"/>
      <c r="N162" s="660"/>
      <c r="O162" s="660"/>
      <c r="P162" s="660"/>
      <c r="Q162" s="660"/>
      <c r="R162" s="660"/>
      <c r="S162" s="660"/>
      <c r="T162" s="660"/>
      <c r="U162" s="660"/>
      <c r="V162" s="660"/>
      <c r="W162" s="660"/>
      <c r="X162" s="660"/>
      <c r="Y162" s="660"/>
      <c r="Z162" s="660"/>
      <c r="AA162" s="63"/>
      <c r="AB162" s="63"/>
      <c r="AC162" s="63"/>
    </row>
    <row r="163" spans="1:68" ht="27" hidden="1" customHeight="1" x14ac:dyDescent="0.25">
      <c r="A163" s="60" t="s">
        <v>284</v>
      </c>
      <c r="B163" s="60" t="s">
        <v>285</v>
      </c>
      <c r="C163" s="34">
        <v>4301012338</v>
      </c>
      <c r="D163" s="661">
        <v>4680115887374</v>
      </c>
      <c r="E163" s="661"/>
      <c r="F163" s="59">
        <v>1</v>
      </c>
      <c r="G163" s="35">
        <v>6</v>
      </c>
      <c r="H163" s="59">
        <v>6</v>
      </c>
      <c r="I163" s="59">
        <v>6.35</v>
      </c>
      <c r="J163" s="35">
        <v>104</v>
      </c>
      <c r="K163" s="35" t="s">
        <v>127</v>
      </c>
      <c r="L163" s="35" t="s">
        <v>46</v>
      </c>
      <c r="M163" s="36" t="s">
        <v>126</v>
      </c>
      <c r="N163" s="36"/>
      <c r="O163" s="35">
        <v>55</v>
      </c>
      <c r="P163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63"/>
      <c r="R163" s="663"/>
      <c r="S163" s="663"/>
      <c r="T163" s="664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IFERROR(IF(Y163=0,"",ROUNDUP(Y163/H163,0)*0.01196),"")</f>
        <v/>
      </c>
      <c r="AA163" s="65" t="s">
        <v>46</v>
      </c>
      <c r="AB163" s="66" t="s">
        <v>46</v>
      </c>
      <c r="AC163" s="229" t="s">
        <v>286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hidden="1" customHeight="1" x14ac:dyDescent="0.25">
      <c r="A164" s="60" t="s">
        <v>287</v>
      </c>
      <c r="B164" s="60" t="s">
        <v>288</v>
      </c>
      <c r="C164" s="34">
        <v>4301011705</v>
      </c>
      <c r="D164" s="661">
        <v>4607091384604</v>
      </c>
      <c r="E164" s="661"/>
      <c r="F164" s="59">
        <v>0.4</v>
      </c>
      <c r="G164" s="35">
        <v>10</v>
      </c>
      <c r="H164" s="59">
        <v>4</v>
      </c>
      <c r="I164" s="59">
        <v>4.1900000000000004</v>
      </c>
      <c r="J164" s="35">
        <v>132</v>
      </c>
      <c r="K164" s="35" t="s">
        <v>134</v>
      </c>
      <c r="L164" s="35" t="s">
        <v>46</v>
      </c>
      <c r="M164" s="36" t="s">
        <v>126</v>
      </c>
      <c r="N164" s="36"/>
      <c r="O164" s="35">
        <v>50</v>
      </c>
      <c r="P164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63"/>
      <c r="R164" s="663"/>
      <c r="S164" s="663"/>
      <c r="T164" s="664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IFERROR(IF(Y164=0,"",ROUNDUP(Y164/H164,0)*0.00902),"")</f>
        <v/>
      </c>
      <c r="AA164" s="65" t="s">
        <v>46</v>
      </c>
      <c r="AB164" s="66" t="s">
        <v>46</v>
      </c>
      <c r="AC164" s="231" t="s">
        <v>289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287</v>
      </c>
      <c r="B165" s="60" t="s">
        <v>290</v>
      </c>
      <c r="C165" s="34">
        <v>4301012258</v>
      </c>
      <c r="D165" s="661">
        <v>4607091384604</v>
      </c>
      <c r="E165" s="661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134</v>
      </c>
      <c r="L165" s="35" t="s">
        <v>46</v>
      </c>
      <c r="M165" s="36" t="s">
        <v>126</v>
      </c>
      <c r="N165" s="36"/>
      <c r="O165" s="35">
        <v>50</v>
      </c>
      <c r="P165" s="86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63"/>
      <c r="R165" s="663"/>
      <c r="S165" s="663"/>
      <c r="T165" s="664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289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291</v>
      </c>
      <c r="B166" s="60" t="s">
        <v>292</v>
      </c>
      <c r="C166" s="34">
        <v>4301012344</v>
      </c>
      <c r="D166" s="661">
        <v>4680115888876</v>
      </c>
      <c r="E166" s="661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63"/>
      <c r="R166" s="663"/>
      <c r="S166" s="663"/>
      <c r="T166" s="664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5" t="s">
        <v>293</v>
      </c>
      <c r="AG166" s="75"/>
      <c r="AJ166" s="79" t="s">
        <v>46</v>
      </c>
      <c r="AK166" s="79">
        <v>0</v>
      </c>
      <c r="BB166" s="236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0" t="s">
        <v>39</v>
      </c>
      <c r="X167" s="41">
        <f>IFERROR(X163/H163,"0")+IFERROR(X164/H164,"0")+IFERROR(X165/H165,"0")+IFERROR(X166/H166,"0")</f>
        <v>0</v>
      </c>
      <c r="Y167" s="41">
        <f>IFERROR(Y163/H163,"0")+IFERROR(Y164/H164,"0")+IFERROR(Y165/H165,"0")+IFERROR(Y166/H166,"0")</f>
        <v>0</v>
      </c>
      <c r="Z167" s="41">
        <f>IFERROR(IF(Z163="",0,Z163),"0")+IFERROR(IF(Z164="",0,Z164),"0")+IFERROR(IF(Z165="",0,Z165),"0")+IFERROR(IF(Z166="",0,Z166),"0")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0" t="s">
        <v>0</v>
      </c>
      <c r="X168" s="41">
        <f>IFERROR(SUM(X163:X166),"0")</f>
        <v>0</v>
      </c>
      <c r="Y168" s="41">
        <f>IFERROR(SUM(Y163:Y166),"0")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660" t="s">
        <v>159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3"/>
      <c r="AB169" s="63"/>
      <c r="AC169" s="63"/>
    </row>
    <row r="170" spans="1:68" ht="16.5" hidden="1" customHeight="1" x14ac:dyDescent="0.25">
      <c r="A170" s="60" t="s">
        <v>294</v>
      </c>
      <c r="B170" s="60" t="s">
        <v>295</v>
      </c>
      <c r="C170" s="34">
        <v>4301020410</v>
      </c>
      <c r="D170" s="661">
        <v>4680115887695</v>
      </c>
      <c r="E170" s="661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82</v>
      </c>
      <c r="L170" s="35" t="s">
        <v>46</v>
      </c>
      <c r="M170" s="36" t="s">
        <v>81</v>
      </c>
      <c r="N170" s="36"/>
      <c r="O170" s="35">
        <v>30</v>
      </c>
      <c r="P170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63"/>
      <c r="R170" s="663"/>
      <c r="S170" s="663"/>
      <c r="T170" s="664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 t="s">
        <v>46</v>
      </c>
      <c r="AB170" s="66" t="s">
        <v>46</v>
      </c>
      <c r="AC170" s="237" t="s">
        <v>296</v>
      </c>
      <c r="AG170" s="75"/>
      <c r="AJ170" s="79" t="s">
        <v>46</v>
      </c>
      <c r="AK170" s="79">
        <v>0</v>
      </c>
      <c r="BB170" s="238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297</v>
      </c>
      <c r="B171" s="60" t="s">
        <v>298</v>
      </c>
      <c r="C171" s="34">
        <v>4301020439</v>
      </c>
      <c r="D171" s="661">
        <v>4680115889491</v>
      </c>
      <c r="E171" s="661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82</v>
      </c>
      <c r="L171" s="35" t="s">
        <v>46</v>
      </c>
      <c r="M171" s="36" t="s">
        <v>126</v>
      </c>
      <c r="N171" s="36"/>
      <c r="O171" s="35">
        <v>55</v>
      </c>
      <c r="P171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63"/>
      <c r="R171" s="663"/>
      <c r="S171" s="663"/>
      <c r="T171" s="664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9" t="s">
        <v>299</v>
      </c>
      <c r="AG171" s="75"/>
      <c r="AJ171" s="79" t="s">
        <v>46</v>
      </c>
      <c r="AK171" s="79">
        <v>0</v>
      </c>
      <c r="BB171" s="240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0" t="s">
        <v>39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0" t="s">
        <v>0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60" t="s">
        <v>77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3"/>
      <c r="AB174" s="63"/>
      <c r="AC174" s="63"/>
    </row>
    <row r="175" spans="1:68" ht="27" hidden="1" customHeight="1" x14ac:dyDescent="0.25">
      <c r="A175" s="60" t="s">
        <v>300</v>
      </c>
      <c r="B175" s="60" t="s">
        <v>301</v>
      </c>
      <c r="C175" s="34">
        <v>4301031496</v>
      </c>
      <c r="D175" s="661">
        <v>4680115887428</v>
      </c>
      <c r="E175" s="661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7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63"/>
      <c r="R175" s="663"/>
      <c r="S175" s="663"/>
      <c r="T175" s="664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302</v>
      </c>
      <c r="AG175" s="75"/>
      <c r="AJ175" s="79" t="s">
        <v>46</v>
      </c>
      <c r="AK175" s="79">
        <v>0</v>
      </c>
      <c r="BB175" s="242" t="s">
        <v>67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hidden="1" customHeight="1" x14ac:dyDescent="0.25">
      <c r="A176" s="60" t="s">
        <v>303</v>
      </c>
      <c r="B176" s="60" t="s">
        <v>304</v>
      </c>
      <c r="C176" s="34">
        <v>4301031509</v>
      </c>
      <c r="D176" s="661">
        <v>4680115889170</v>
      </c>
      <c r="E176" s="661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63"/>
      <c r="R176" s="663"/>
      <c r="S176" s="663"/>
      <c r="T176" s="664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305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306</v>
      </c>
      <c r="B177" s="60" t="s">
        <v>307</v>
      </c>
      <c r="C177" s="34">
        <v>4301031522</v>
      </c>
      <c r="D177" s="661">
        <v>4680115887398</v>
      </c>
      <c r="E177" s="661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60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63"/>
      <c r="R177" s="663"/>
      <c r="S177" s="663"/>
      <c r="T177" s="664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308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309</v>
      </c>
      <c r="B178" s="60" t="s">
        <v>310</v>
      </c>
      <c r="C178" s="34">
        <v>4301031520</v>
      </c>
      <c r="D178" s="661">
        <v>4680115887336</v>
      </c>
      <c r="E178" s="661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134</v>
      </c>
      <c r="L178" s="35" t="s">
        <v>46</v>
      </c>
      <c r="M178" s="36" t="s">
        <v>81</v>
      </c>
      <c r="N178" s="36"/>
      <c r="O178" s="35">
        <v>45</v>
      </c>
      <c r="P178" s="86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63"/>
      <c r="R178" s="663"/>
      <c r="S178" s="663"/>
      <c r="T178" s="664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312</v>
      </c>
      <c r="B179" s="60" t="s">
        <v>313</v>
      </c>
      <c r="C179" s="34">
        <v>4301032049</v>
      </c>
      <c r="D179" s="661">
        <v>4680115887787</v>
      </c>
      <c r="E179" s="661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6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63"/>
      <c r="R179" s="663"/>
      <c r="S179" s="663"/>
      <c r="T179" s="664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314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16.5" hidden="1" customHeight="1" x14ac:dyDescent="0.25">
      <c r="A180" s="60" t="s">
        <v>312</v>
      </c>
      <c r="B180" s="60" t="s">
        <v>315</v>
      </c>
      <c r="C180" s="34">
        <v>4301031528</v>
      </c>
      <c r="D180" s="661">
        <v>4680115887787</v>
      </c>
      <c r="E180" s="661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192</v>
      </c>
      <c r="K180" s="35" t="s">
        <v>131</v>
      </c>
      <c r="L180" s="35" t="s">
        <v>46</v>
      </c>
      <c r="M180" s="36" t="s">
        <v>81</v>
      </c>
      <c r="N180" s="36"/>
      <c r="O180" s="35">
        <v>45</v>
      </c>
      <c r="P180" s="86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3"/>
      <c r="R180" s="663"/>
      <c r="S180" s="663"/>
      <c r="T180" s="664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IFERROR(IF(Y180=0,"",ROUNDUP(Y180/H180,0)*0.00726),"")</f>
        <v/>
      </c>
      <c r="AA180" s="65" t="s">
        <v>46</v>
      </c>
      <c r="AB180" s="66" t="s">
        <v>46</v>
      </c>
      <c r="AC180" s="251" t="s">
        <v>314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316</v>
      </c>
      <c r="B181" s="60" t="s">
        <v>317</v>
      </c>
      <c r="C181" s="34">
        <v>4301031448</v>
      </c>
      <c r="D181" s="661">
        <v>4680115887503</v>
      </c>
      <c r="E181" s="661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82</v>
      </c>
      <c r="L181" s="35" t="s">
        <v>46</v>
      </c>
      <c r="M181" s="36" t="s">
        <v>81</v>
      </c>
      <c r="N181" s="36"/>
      <c r="O181" s="35">
        <v>40</v>
      </c>
      <c r="P181" s="86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63"/>
      <c r="R181" s="663"/>
      <c r="S181" s="663"/>
      <c r="T181" s="664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318</v>
      </c>
      <c r="B182" s="60" t="s">
        <v>319</v>
      </c>
      <c r="C182" s="34">
        <v>4301031389</v>
      </c>
      <c r="D182" s="661">
        <v>4680115887763</v>
      </c>
      <c r="E182" s="661"/>
      <c r="F182" s="59">
        <v>0.09</v>
      </c>
      <c r="G182" s="35">
        <v>10</v>
      </c>
      <c r="H182" s="59">
        <v>0.9</v>
      </c>
      <c r="I182" s="59">
        <v>1.1100000000000001</v>
      </c>
      <c r="J182" s="35">
        <v>336</v>
      </c>
      <c r="K182" s="35" t="s">
        <v>131</v>
      </c>
      <c r="L182" s="35" t="s">
        <v>46</v>
      </c>
      <c r="M182" s="36" t="s">
        <v>81</v>
      </c>
      <c r="N182" s="36"/>
      <c r="O182" s="35">
        <v>45</v>
      </c>
      <c r="P182" s="86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63"/>
      <c r="R182" s="663"/>
      <c r="S182" s="663"/>
      <c r="T182" s="664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321</v>
      </c>
      <c r="B183" s="60" t="s">
        <v>322</v>
      </c>
      <c r="C183" s="34">
        <v>4301031521</v>
      </c>
      <c r="D183" s="661">
        <v>4680115887480</v>
      </c>
      <c r="E183" s="661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82</v>
      </c>
      <c r="L183" s="35" t="s">
        <v>46</v>
      </c>
      <c r="M183" s="36" t="s">
        <v>81</v>
      </c>
      <c r="N183" s="36"/>
      <c r="O183" s="35">
        <v>45</v>
      </c>
      <c r="P183" s="86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63"/>
      <c r="R183" s="663"/>
      <c r="S183" s="663"/>
      <c r="T183" s="664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308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323</v>
      </c>
      <c r="B184" s="60" t="s">
        <v>324</v>
      </c>
      <c r="C184" s="34">
        <v>4301031434</v>
      </c>
      <c r="D184" s="661">
        <v>4680115888067</v>
      </c>
      <c r="E184" s="661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131</v>
      </c>
      <c r="L184" s="35" t="s">
        <v>46</v>
      </c>
      <c r="M184" s="36" t="s">
        <v>81</v>
      </c>
      <c r="N184" s="36"/>
      <c r="O184" s="35">
        <v>45</v>
      </c>
      <c r="P18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63"/>
      <c r="R184" s="663"/>
      <c r="S184" s="663"/>
      <c r="T184" s="664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9" t="s">
        <v>325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hidden="1" customHeight="1" x14ac:dyDescent="0.25">
      <c r="A185" s="60" t="s">
        <v>326</v>
      </c>
      <c r="B185" s="60" t="s">
        <v>327</v>
      </c>
      <c r="C185" s="34">
        <v>4301031519</v>
      </c>
      <c r="D185" s="661">
        <v>4680115887435</v>
      </c>
      <c r="E185" s="661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45</v>
      </c>
      <c r="P185" s="85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63"/>
      <c r="R185" s="663"/>
      <c r="S185" s="663"/>
      <c r="T185" s="664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61" t="s">
        <v>311</v>
      </c>
      <c r="AG185" s="75"/>
      <c r="AJ185" s="79" t="s">
        <v>46</v>
      </c>
      <c r="AK185" s="79">
        <v>0</v>
      </c>
      <c r="BB185" s="262" t="s">
        <v>67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0" t="s">
        <v>39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0" t="s">
        <v>0</v>
      </c>
      <c r="X187" s="41">
        <f>IFERROR(SUM(X175:X185),"0")</f>
        <v>0</v>
      </c>
      <c r="Y187" s="41">
        <f>IFERROR(SUM(Y175:Y185),"0")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60" t="s">
        <v>86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3"/>
      <c r="AB188" s="63"/>
      <c r="AC188" s="63"/>
    </row>
    <row r="189" spans="1:68" ht="16.5" hidden="1" customHeight="1" x14ac:dyDescent="0.25">
      <c r="A189" s="60" t="s">
        <v>328</v>
      </c>
      <c r="B189" s="60" t="s">
        <v>329</v>
      </c>
      <c r="C189" s="34">
        <v>4301052193</v>
      </c>
      <c r="D189" s="661">
        <v>4680115888395</v>
      </c>
      <c r="E189" s="661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5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63"/>
      <c r="R189" s="663"/>
      <c r="S189" s="663"/>
      <c r="T189" s="664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330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331</v>
      </c>
      <c r="B190" s="60" t="s">
        <v>332</v>
      </c>
      <c r="C190" s="34">
        <v>4301052191</v>
      </c>
      <c r="D190" s="661">
        <v>4680115888371</v>
      </c>
      <c r="E190" s="661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91</v>
      </c>
      <c r="L190" s="35" t="s">
        <v>46</v>
      </c>
      <c r="M190" s="36" t="s">
        <v>97</v>
      </c>
      <c r="N190" s="36"/>
      <c r="O190" s="35">
        <v>40</v>
      </c>
      <c r="P190" s="8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63"/>
      <c r="R190" s="663"/>
      <c r="S190" s="663"/>
      <c r="T190" s="664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333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334</v>
      </c>
      <c r="B191" s="60" t="s">
        <v>335</v>
      </c>
      <c r="C191" s="34">
        <v>4301052064</v>
      </c>
      <c r="D191" s="661">
        <v>4680115887459</v>
      </c>
      <c r="E191" s="661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91</v>
      </c>
      <c r="L191" s="35" t="s">
        <v>46</v>
      </c>
      <c r="M191" s="36" t="s">
        <v>90</v>
      </c>
      <c r="N191" s="36"/>
      <c r="O191" s="35">
        <v>45</v>
      </c>
      <c r="P191" s="85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63"/>
      <c r="R191" s="663"/>
      <c r="S191" s="663"/>
      <c r="T191" s="664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336</v>
      </c>
      <c r="AG191" s="75"/>
      <c r="AJ191" s="79" t="s">
        <v>46</v>
      </c>
      <c r="AK191" s="79">
        <v>0</v>
      </c>
      <c r="BB191" s="268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0" t="s">
        <v>39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0" t="s">
        <v>0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60" t="s">
        <v>277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3"/>
      <c r="AB194" s="63"/>
      <c r="AC194" s="63"/>
    </row>
    <row r="195" spans="1:68" ht="16.5" hidden="1" customHeight="1" x14ac:dyDescent="0.25">
      <c r="A195" s="60" t="s">
        <v>337</v>
      </c>
      <c r="B195" s="60" t="s">
        <v>338</v>
      </c>
      <c r="C195" s="34">
        <v>4301032058</v>
      </c>
      <c r="D195" s="661">
        <v>4680115889026</v>
      </c>
      <c r="E195" s="661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340</v>
      </c>
      <c r="L195" s="35" t="s">
        <v>46</v>
      </c>
      <c r="M195" s="36" t="s">
        <v>282</v>
      </c>
      <c r="N195" s="36"/>
      <c r="O195" s="35">
        <v>60</v>
      </c>
      <c r="P195" s="85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3"/>
      <c r="R195" s="663"/>
      <c r="S195" s="663"/>
      <c r="T195" s="664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 t="s">
        <v>46</v>
      </c>
      <c r="AB195" s="66" t="s">
        <v>46</v>
      </c>
      <c r="AC195" s="269" t="s">
        <v>339</v>
      </c>
      <c r="AG195" s="75"/>
      <c r="AJ195" s="79" t="s">
        <v>46</v>
      </c>
      <c r="AK195" s="79">
        <v>0</v>
      </c>
      <c r="BB195" s="270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idden="1" x14ac:dyDescent="0.2">
      <c r="A196" s="651"/>
      <c r="B196" s="651"/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2"/>
      <c r="P196" s="648" t="s">
        <v>40</v>
      </c>
      <c r="Q196" s="649"/>
      <c r="R196" s="649"/>
      <c r="S196" s="649"/>
      <c r="T196" s="649"/>
      <c r="U196" s="649"/>
      <c r="V196" s="650"/>
      <c r="W196" s="40" t="s">
        <v>39</v>
      </c>
      <c r="X196" s="41">
        <f>IFERROR(X195/H195,"0")</f>
        <v>0</v>
      </c>
      <c r="Y196" s="41">
        <f>IFERROR(Y195/H195,"0")</f>
        <v>0</v>
      </c>
      <c r="Z196" s="41">
        <f>IFERROR(IF(Z195="",0,Z195),"0")</f>
        <v>0</v>
      </c>
      <c r="AA196" s="64"/>
      <c r="AB196" s="64"/>
      <c r="AC196" s="64"/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0" t="s">
        <v>0</v>
      </c>
      <c r="X197" s="41">
        <f>IFERROR(SUM(X195:X195),"0")</f>
        <v>0</v>
      </c>
      <c r="Y197" s="41">
        <f>IFERROR(SUM(Y195:Y195),"0")</f>
        <v>0</v>
      </c>
      <c r="Z197" s="40"/>
      <c r="AA197" s="64"/>
      <c r="AB197" s="64"/>
      <c r="AC197" s="64"/>
    </row>
    <row r="198" spans="1:68" ht="14.25" hidden="1" customHeight="1" x14ac:dyDescent="0.25">
      <c r="A198" s="660" t="s">
        <v>341</v>
      </c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0"/>
      <c r="P198" s="660"/>
      <c r="Q198" s="660"/>
      <c r="R198" s="660"/>
      <c r="S198" s="660"/>
      <c r="T198" s="660"/>
      <c r="U198" s="660"/>
      <c r="V198" s="660"/>
      <c r="W198" s="660"/>
      <c r="X198" s="660"/>
      <c r="Y198" s="660"/>
      <c r="Z198" s="660"/>
      <c r="AA198" s="63"/>
      <c r="AB198" s="63"/>
      <c r="AC198" s="63"/>
    </row>
    <row r="199" spans="1:68" ht="27" hidden="1" customHeight="1" x14ac:dyDescent="0.25">
      <c r="A199" s="60" t="s">
        <v>342</v>
      </c>
      <c r="B199" s="60" t="s">
        <v>343</v>
      </c>
      <c r="C199" s="34">
        <v>4301041009</v>
      </c>
      <c r="D199" s="661">
        <v>4680115889033</v>
      </c>
      <c r="E199" s="661"/>
      <c r="F199" s="59">
        <v>0.11</v>
      </c>
      <c r="G199" s="35">
        <v>15</v>
      </c>
      <c r="H199" s="59">
        <v>1.65</v>
      </c>
      <c r="I199" s="59">
        <v>1.9</v>
      </c>
      <c r="J199" s="35">
        <v>216</v>
      </c>
      <c r="K199" s="35" t="s">
        <v>340</v>
      </c>
      <c r="L199" s="35" t="s">
        <v>46</v>
      </c>
      <c r="M199" s="36" t="s">
        <v>282</v>
      </c>
      <c r="N199" s="36"/>
      <c r="O199" s="35">
        <v>60</v>
      </c>
      <c r="P199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3"/>
      <c r="R199" s="663"/>
      <c r="S199" s="663"/>
      <c r="T199" s="664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IFERROR(IF(Y199=0,"",ROUNDUP(Y199/H199,0)*0.0059),"")</f>
        <v/>
      </c>
      <c r="AA199" s="65" t="s">
        <v>46</v>
      </c>
      <c r="AB199" s="66" t="s">
        <v>46</v>
      </c>
      <c r="AC199" s="271" t="s">
        <v>344</v>
      </c>
      <c r="AG199" s="75"/>
      <c r="AJ199" s="79" t="s">
        <v>46</v>
      </c>
      <c r="AK199" s="79">
        <v>0</v>
      </c>
      <c r="BB199" s="27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51"/>
      <c r="B200" s="651"/>
      <c r="C200" s="651"/>
      <c r="D200" s="651"/>
      <c r="E200" s="651"/>
      <c r="F200" s="651"/>
      <c r="G200" s="651"/>
      <c r="H200" s="651"/>
      <c r="I200" s="651"/>
      <c r="J200" s="651"/>
      <c r="K200" s="651"/>
      <c r="L200" s="651"/>
      <c r="M200" s="651"/>
      <c r="N200" s="651"/>
      <c r="O200" s="652"/>
      <c r="P200" s="648" t="s">
        <v>40</v>
      </c>
      <c r="Q200" s="649"/>
      <c r="R200" s="649"/>
      <c r="S200" s="649"/>
      <c r="T200" s="649"/>
      <c r="U200" s="649"/>
      <c r="V200" s="650"/>
      <c r="W200" s="40" t="s">
        <v>39</v>
      </c>
      <c r="X200" s="41">
        <f>IFERROR(X199/H199,"0")</f>
        <v>0</v>
      </c>
      <c r="Y200" s="41">
        <f>IFERROR(Y199/H199,"0")</f>
        <v>0</v>
      </c>
      <c r="Z200" s="41">
        <f>IFERROR(IF(Z199="",0,Z199),"0")</f>
        <v>0</v>
      </c>
      <c r="AA200" s="64"/>
      <c r="AB200" s="64"/>
      <c r="AC200" s="64"/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0" t="s">
        <v>0</v>
      </c>
      <c r="X201" s="41">
        <f>IFERROR(SUM(X199:X199),"0")</f>
        <v>0</v>
      </c>
      <c r="Y201" s="41">
        <f>IFERROR(SUM(Y199:Y199),"0")</f>
        <v>0</v>
      </c>
      <c r="Z201" s="40"/>
      <c r="AA201" s="64"/>
      <c r="AB201" s="64"/>
      <c r="AC201" s="64"/>
    </row>
    <row r="202" spans="1:68" ht="27.75" hidden="1" customHeight="1" x14ac:dyDescent="0.2">
      <c r="A202" s="678" t="s">
        <v>345</v>
      </c>
      <c r="B202" s="678"/>
      <c r="C202" s="678"/>
      <c r="D202" s="678"/>
      <c r="E202" s="678"/>
      <c r="F202" s="678"/>
      <c r="G202" s="678"/>
      <c r="H202" s="678"/>
      <c r="I202" s="678"/>
      <c r="J202" s="678"/>
      <c r="K202" s="678"/>
      <c r="L202" s="678"/>
      <c r="M202" s="678"/>
      <c r="N202" s="678"/>
      <c r="O202" s="678"/>
      <c r="P202" s="678"/>
      <c r="Q202" s="678"/>
      <c r="R202" s="678"/>
      <c r="S202" s="678"/>
      <c r="T202" s="678"/>
      <c r="U202" s="678"/>
      <c r="V202" s="678"/>
      <c r="W202" s="678"/>
      <c r="X202" s="678"/>
      <c r="Y202" s="678"/>
      <c r="Z202" s="678"/>
      <c r="AA202" s="52"/>
      <c r="AB202" s="52"/>
      <c r="AC202" s="52"/>
    </row>
    <row r="203" spans="1:68" ht="16.5" hidden="1" customHeight="1" x14ac:dyDescent="0.25">
      <c r="A203" s="667" t="s">
        <v>346</v>
      </c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62"/>
      <c r="AB203" s="62"/>
      <c r="AC203" s="62"/>
    </row>
    <row r="204" spans="1:68" ht="14.25" hidden="1" customHeight="1" x14ac:dyDescent="0.25">
      <c r="A204" s="660" t="s">
        <v>122</v>
      </c>
      <c r="B204" s="660"/>
      <c r="C204" s="660"/>
      <c r="D204" s="660"/>
      <c r="E204" s="660"/>
      <c r="F204" s="660"/>
      <c r="G204" s="660"/>
      <c r="H204" s="660"/>
      <c r="I204" s="660"/>
      <c r="J204" s="660"/>
      <c r="K204" s="660"/>
      <c r="L204" s="660"/>
      <c r="M204" s="660"/>
      <c r="N204" s="660"/>
      <c r="O204" s="660"/>
      <c r="P204" s="660"/>
      <c r="Q204" s="660"/>
      <c r="R204" s="660"/>
      <c r="S204" s="660"/>
      <c r="T204" s="660"/>
      <c r="U204" s="660"/>
      <c r="V204" s="660"/>
      <c r="W204" s="660"/>
      <c r="X204" s="660"/>
      <c r="Y204" s="660"/>
      <c r="Z204" s="660"/>
      <c r="AA204" s="63"/>
      <c r="AB204" s="63"/>
      <c r="AC204" s="63"/>
    </row>
    <row r="205" spans="1:68" ht="27" hidden="1" customHeight="1" x14ac:dyDescent="0.25">
      <c r="A205" s="60" t="s">
        <v>347</v>
      </c>
      <c r="B205" s="60" t="s">
        <v>348</v>
      </c>
      <c r="C205" s="34">
        <v>4301011223</v>
      </c>
      <c r="D205" s="661">
        <v>4607091383423</v>
      </c>
      <c r="E205" s="661"/>
      <c r="F205" s="59">
        <v>1.35</v>
      </c>
      <c r="G205" s="35">
        <v>8</v>
      </c>
      <c r="H205" s="59">
        <v>10.8</v>
      </c>
      <c r="I205" s="59">
        <v>11.305999999999999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3"/>
      <c r="R205" s="663"/>
      <c r="S205" s="663"/>
      <c r="T205" s="664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ref="Y205:Y211" si="21">IFERROR(IF(X205="",0,CEILING((X205/$H205),1)*$H205),"")</f>
        <v>0</v>
      </c>
      <c r="Z205" s="39" t="str">
        <f t="shared" ref="Z205:Z211" si="22">IFERROR(IF(Y205=0,"",ROUNDUP(Y205/H205,0)*0.01898),"")</f>
        <v/>
      </c>
      <c r="AA205" s="65" t="s">
        <v>46</v>
      </c>
      <c r="AB205" s="66" t="s">
        <v>46</v>
      </c>
      <c r="AC205" s="273" t="s">
        <v>125</v>
      </c>
      <c r="AG205" s="75"/>
      <c r="AJ205" s="79" t="s">
        <v>46</v>
      </c>
      <c r="AK205" s="79">
        <v>0</v>
      </c>
      <c r="BB205" s="274" t="s">
        <v>67</v>
      </c>
      <c r="BM205" s="75">
        <f t="shared" ref="BM205:BM211" si="23">IFERROR(X205*I205/H205,"0")</f>
        <v>0</v>
      </c>
      <c r="BN205" s="75">
        <f t="shared" ref="BN205:BN211" si="24">IFERROR(Y205*I205/H205,"0")</f>
        <v>0</v>
      </c>
      <c r="BO205" s="75">
        <f t="shared" ref="BO205:BO211" si="25">IFERROR(1/J205*(X205/H205),"0")</f>
        <v>0</v>
      </c>
      <c r="BP205" s="75">
        <f t="shared" ref="BP205:BP211" si="26">IFERROR(1/J205*(Y205/H205),"0")</f>
        <v>0</v>
      </c>
    </row>
    <row r="206" spans="1:68" ht="27" hidden="1" customHeight="1" x14ac:dyDescent="0.25">
      <c r="A206" s="60" t="s">
        <v>349</v>
      </c>
      <c r="B206" s="60" t="s">
        <v>350</v>
      </c>
      <c r="C206" s="34">
        <v>4301012340</v>
      </c>
      <c r="D206" s="661">
        <v>4680115888760</v>
      </c>
      <c r="E206" s="661"/>
      <c r="F206" s="59">
        <v>1.4</v>
      </c>
      <c r="G206" s="35">
        <v>6</v>
      </c>
      <c r="H206" s="59">
        <v>8.4</v>
      </c>
      <c r="I206" s="59">
        <v>8.81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3"/>
      <c r="R206" s="663"/>
      <c r="S206" s="663"/>
      <c r="T206" s="664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75" t="s">
        <v>351</v>
      </c>
      <c r="AG206" s="75"/>
      <c r="AJ206" s="79" t="s">
        <v>46</v>
      </c>
      <c r="AK206" s="79">
        <v>0</v>
      </c>
      <c r="BB206" s="276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t="27" hidden="1" customHeight="1" x14ac:dyDescent="0.25">
      <c r="A207" s="60" t="s">
        <v>352</v>
      </c>
      <c r="B207" s="60" t="s">
        <v>353</v>
      </c>
      <c r="C207" s="34">
        <v>4301012341</v>
      </c>
      <c r="D207" s="661">
        <v>4680115888807</v>
      </c>
      <c r="E207" s="661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3"/>
      <c r="R207" s="663"/>
      <c r="S207" s="663"/>
      <c r="T207" s="664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1"/>
        <v>0</v>
      </c>
      <c r="Z207" s="39" t="str">
        <f t="shared" si="22"/>
        <v/>
      </c>
      <c r="AA207" s="65" t="s">
        <v>46</v>
      </c>
      <c r="AB207" s="66" t="s">
        <v>46</v>
      </c>
      <c r="AC207" s="277" t="s">
        <v>354</v>
      </c>
      <c r="AG207" s="75"/>
      <c r="AJ207" s="79" t="s">
        <v>46</v>
      </c>
      <c r="AK207" s="79">
        <v>0</v>
      </c>
      <c r="BB207" s="278" t="s">
        <v>67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355</v>
      </c>
      <c r="B208" s="60" t="s">
        <v>356</v>
      </c>
      <c r="C208" s="34">
        <v>4301012342</v>
      </c>
      <c r="D208" s="661">
        <v>4680115888852</v>
      </c>
      <c r="E208" s="661"/>
      <c r="F208" s="59">
        <v>0.9</v>
      </c>
      <c r="G208" s="35">
        <v>6</v>
      </c>
      <c r="H208" s="59">
        <v>5.4</v>
      </c>
      <c r="I208" s="59">
        <v>5.81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4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3"/>
      <c r="R208" s="663"/>
      <c r="S208" s="663"/>
      <c r="T208" s="664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1"/>
        <v>0</v>
      </c>
      <c r="Z208" s="39" t="str">
        <f t="shared" si="22"/>
        <v/>
      </c>
      <c r="AA208" s="65" t="s">
        <v>46</v>
      </c>
      <c r="AB208" s="66" t="s">
        <v>46</v>
      </c>
      <c r="AC208" s="279" t="s">
        <v>357</v>
      </c>
      <c r="AG208" s="75"/>
      <c r="AJ208" s="79" t="s">
        <v>46</v>
      </c>
      <c r="AK208" s="79">
        <v>0</v>
      </c>
      <c r="BB208" s="280" t="s">
        <v>67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37.5" hidden="1" customHeight="1" x14ac:dyDescent="0.25">
      <c r="A209" s="60" t="s">
        <v>358</v>
      </c>
      <c r="B209" s="60" t="s">
        <v>359</v>
      </c>
      <c r="C209" s="34">
        <v>4301012370</v>
      </c>
      <c r="D209" s="661">
        <v>4680115886957</v>
      </c>
      <c r="E209" s="661"/>
      <c r="F209" s="59">
        <v>1.35</v>
      </c>
      <c r="G209" s="35">
        <v>8</v>
      </c>
      <c r="H209" s="59">
        <v>10.8</v>
      </c>
      <c r="I209" s="59">
        <v>11.29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4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3"/>
      <c r="R209" s="663"/>
      <c r="S209" s="663"/>
      <c r="T209" s="664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1"/>
        <v>0</v>
      </c>
      <c r="Z209" s="39" t="str">
        <f t="shared" si="22"/>
        <v/>
      </c>
      <c r="AA209" s="65" t="s">
        <v>46</v>
      </c>
      <c r="AB209" s="66" t="s">
        <v>46</v>
      </c>
      <c r="AC209" s="281" t="s">
        <v>360</v>
      </c>
      <c r="AG209" s="75"/>
      <c r="AJ209" s="79" t="s">
        <v>46</v>
      </c>
      <c r="AK209" s="79">
        <v>0</v>
      </c>
      <c r="BB209" s="282" t="s">
        <v>67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27" hidden="1" customHeight="1" x14ac:dyDescent="0.25">
      <c r="A210" s="60" t="s">
        <v>361</v>
      </c>
      <c r="B210" s="60" t="s">
        <v>362</v>
      </c>
      <c r="C210" s="34">
        <v>4301012098</v>
      </c>
      <c r="D210" s="661">
        <v>4680115885660</v>
      </c>
      <c r="E210" s="661"/>
      <c r="F210" s="59">
        <v>1.35</v>
      </c>
      <c r="G210" s="35">
        <v>8</v>
      </c>
      <c r="H210" s="59">
        <v>10.8</v>
      </c>
      <c r="I210" s="59">
        <v>11.21</v>
      </c>
      <c r="J210" s="35">
        <v>64</v>
      </c>
      <c r="K210" s="35" t="s">
        <v>127</v>
      </c>
      <c r="L210" s="35" t="s">
        <v>46</v>
      </c>
      <c r="M210" s="36" t="s">
        <v>90</v>
      </c>
      <c r="N210" s="36"/>
      <c r="O210" s="35">
        <v>35</v>
      </c>
      <c r="P210" s="84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3"/>
      <c r="R210" s="663"/>
      <c r="S210" s="663"/>
      <c r="T210" s="664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1"/>
        <v>0</v>
      </c>
      <c r="Z210" s="39" t="str">
        <f t="shared" si="22"/>
        <v/>
      </c>
      <c r="AA210" s="65" t="s">
        <v>46</v>
      </c>
      <c r="AB210" s="66" t="s">
        <v>46</v>
      </c>
      <c r="AC210" s="283" t="s">
        <v>363</v>
      </c>
      <c r="AG210" s="75"/>
      <c r="AJ210" s="79" t="s">
        <v>46</v>
      </c>
      <c r="AK210" s="79">
        <v>0</v>
      </c>
      <c r="BB210" s="284" t="s">
        <v>67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hidden="1" customHeight="1" x14ac:dyDescent="0.25">
      <c r="A211" s="60" t="s">
        <v>364</v>
      </c>
      <c r="B211" s="60" t="s">
        <v>365</v>
      </c>
      <c r="C211" s="34">
        <v>4301012369</v>
      </c>
      <c r="D211" s="661">
        <v>4680115886773</v>
      </c>
      <c r="E211" s="661"/>
      <c r="F211" s="59">
        <v>0.9</v>
      </c>
      <c r="G211" s="35">
        <v>10</v>
      </c>
      <c r="H211" s="59">
        <v>9</v>
      </c>
      <c r="I211" s="59">
        <v>9.51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4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3"/>
      <c r="R211" s="663"/>
      <c r="S211" s="663"/>
      <c r="T211" s="664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1"/>
        <v>0</v>
      </c>
      <c r="Z211" s="39" t="str">
        <f t="shared" si="22"/>
        <v/>
      </c>
      <c r="AA211" s="65" t="s">
        <v>46</v>
      </c>
      <c r="AB211" s="66" t="s">
        <v>46</v>
      </c>
      <c r="AC211" s="285" t="s">
        <v>366</v>
      </c>
      <c r="AG211" s="75"/>
      <c r="AJ211" s="79" t="s">
        <v>46</v>
      </c>
      <c r="AK211" s="79">
        <v>0</v>
      </c>
      <c r="BB211" s="286" t="s">
        <v>67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idden="1" x14ac:dyDescent="0.2">
      <c r="A212" s="651"/>
      <c r="B212" s="651"/>
      <c r="C212" s="651"/>
      <c r="D212" s="651"/>
      <c r="E212" s="651"/>
      <c r="F212" s="651"/>
      <c r="G212" s="651"/>
      <c r="H212" s="651"/>
      <c r="I212" s="651"/>
      <c r="J212" s="651"/>
      <c r="K212" s="651"/>
      <c r="L212" s="651"/>
      <c r="M212" s="651"/>
      <c r="N212" s="651"/>
      <c r="O212" s="652"/>
      <c r="P212" s="648" t="s">
        <v>40</v>
      </c>
      <c r="Q212" s="649"/>
      <c r="R212" s="649"/>
      <c r="S212" s="649"/>
      <c r="T212" s="649"/>
      <c r="U212" s="649"/>
      <c r="V212" s="650"/>
      <c r="W212" s="40" t="s">
        <v>39</v>
      </c>
      <c r="X212" s="41">
        <f>IFERROR(X205/H205,"0")+IFERROR(X206/H206,"0")+IFERROR(X207/H207,"0")+IFERROR(X208/H208,"0")+IFERROR(X209/H209,"0")+IFERROR(X210/H210,"0")+IFERROR(X211/H211,"0")</f>
        <v>0</v>
      </c>
      <c r="Y212" s="41">
        <f>IFERROR(Y205/H205,"0")+IFERROR(Y206/H206,"0")+IFERROR(Y207/H207,"0")+IFERROR(Y208/H208,"0")+IFERROR(Y209/H209,"0")+IFERROR(Y210/H210,"0")+IFERROR(Y211/H211,"0")</f>
        <v>0</v>
      </c>
      <c r="Z212" s="41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4"/>
      <c r="AB212" s="64"/>
      <c r="AC212" s="64"/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0" t="s">
        <v>0</v>
      </c>
      <c r="X213" s="41">
        <f>IFERROR(SUM(X205:X211),"0")</f>
        <v>0</v>
      </c>
      <c r="Y213" s="41">
        <f>IFERROR(SUM(Y205:Y211),"0")</f>
        <v>0</v>
      </c>
      <c r="Z213" s="40"/>
      <c r="AA213" s="64"/>
      <c r="AB213" s="64"/>
      <c r="AC213" s="64"/>
    </row>
    <row r="214" spans="1:68" ht="16.5" hidden="1" customHeight="1" x14ac:dyDescent="0.25">
      <c r="A214" s="667" t="s">
        <v>367</v>
      </c>
      <c r="B214" s="667"/>
      <c r="C214" s="667"/>
      <c r="D214" s="667"/>
      <c r="E214" s="667"/>
      <c r="F214" s="667"/>
      <c r="G214" s="667"/>
      <c r="H214" s="667"/>
      <c r="I214" s="667"/>
      <c r="J214" s="667"/>
      <c r="K214" s="667"/>
      <c r="L214" s="667"/>
      <c r="M214" s="667"/>
      <c r="N214" s="667"/>
      <c r="O214" s="667"/>
      <c r="P214" s="667"/>
      <c r="Q214" s="667"/>
      <c r="R214" s="667"/>
      <c r="S214" s="667"/>
      <c r="T214" s="667"/>
      <c r="U214" s="667"/>
      <c r="V214" s="667"/>
      <c r="W214" s="667"/>
      <c r="X214" s="667"/>
      <c r="Y214" s="667"/>
      <c r="Z214" s="667"/>
      <c r="AA214" s="62"/>
      <c r="AB214" s="62"/>
      <c r="AC214" s="62"/>
    </row>
    <row r="215" spans="1:68" ht="14.25" hidden="1" customHeight="1" x14ac:dyDescent="0.25">
      <c r="A215" s="660" t="s">
        <v>159</v>
      </c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0"/>
      <c r="P215" s="660"/>
      <c r="Q215" s="660"/>
      <c r="R215" s="660"/>
      <c r="S215" s="660"/>
      <c r="T215" s="660"/>
      <c r="U215" s="660"/>
      <c r="V215" s="660"/>
      <c r="W215" s="660"/>
      <c r="X215" s="660"/>
      <c r="Y215" s="660"/>
      <c r="Z215" s="660"/>
      <c r="AA215" s="63"/>
      <c r="AB215" s="63"/>
      <c r="AC215" s="63"/>
    </row>
    <row r="216" spans="1:68" ht="27" hidden="1" customHeight="1" x14ac:dyDescent="0.25">
      <c r="A216" s="60" t="s">
        <v>368</v>
      </c>
      <c r="B216" s="60" t="s">
        <v>369</v>
      </c>
      <c r="C216" s="34">
        <v>4301020323</v>
      </c>
      <c r="D216" s="661">
        <v>4680115886223</v>
      </c>
      <c r="E216" s="661"/>
      <c r="F216" s="59">
        <v>0.33</v>
      </c>
      <c r="G216" s="35">
        <v>6</v>
      </c>
      <c r="H216" s="59">
        <v>1.98</v>
      </c>
      <c r="I216" s="59">
        <v>2.08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40</v>
      </c>
      <c r="P216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3"/>
      <c r="R216" s="663"/>
      <c r="S216" s="663"/>
      <c r="T216" s="664"/>
      <c r="U216" s="37" t="s">
        <v>46</v>
      </c>
      <c r="V216" s="37" t="s">
        <v>46</v>
      </c>
      <c r="W216" s="38" t="s">
        <v>0</v>
      </c>
      <c r="X216" s="56">
        <v>0</v>
      </c>
      <c r="Y216" s="53">
        <f>IFERROR(IF(X216="",0,CEILING((X216/$H216),1)*$H216),"")</f>
        <v>0</v>
      </c>
      <c r="Z216" s="39" t="str">
        <f>IFERROR(IF(Y216=0,"",ROUNDUP(Y216/H216,0)*0.00502),"")</f>
        <v/>
      </c>
      <c r="AA216" s="65" t="s">
        <v>46</v>
      </c>
      <c r="AB216" s="66" t="s">
        <v>46</v>
      </c>
      <c r="AC216" s="287" t="s">
        <v>370</v>
      </c>
      <c r="AG216" s="75"/>
      <c r="AJ216" s="79" t="s">
        <v>46</v>
      </c>
      <c r="AK216" s="79">
        <v>0</v>
      </c>
      <c r="BB216" s="288" t="s">
        <v>67</v>
      </c>
      <c r="BM216" s="75">
        <f>IFERROR(X216*I216/H216,"0")</f>
        <v>0</v>
      </c>
      <c r="BN216" s="75">
        <f>IFERROR(Y216*I216/H216,"0")</f>
        <v>0</v>
      </c>
      <c r="BO216" s="75">
        <f>IFERROR(1/J216*(X216/H216),"0")</f>
        <v>0</v>
      </c>
      <c r="BP216" s="75">
        <f>IFERROR(1/J216*(Y216/H216),"0")</f>
        <v>0</v>
      </c>
    </row>
    <row r="217" spans="1:68" hidden="1" x14ac:dyDescent="0.2">
      <c r="A217" s="651"/>
      <c r="B217" s="651"/>
      <c r="C217" s="651"/>
      <c r="D217" s="651"/>
      <c r="E217" s="651"/>
      <c r="F217" s="651"/>
      <c r="G217" s="651"/>
      <c r="H217" s="651"/>
      <c r="I217" s="651"/>
      <c r="J217" s="651"/>
      <c r="K217" s="651"/>
      <c r="L217" s="651"/>
      <c r="M217" s="651"/>
      <c r="N217" s="651"/>
      <c r="O217" s="652"/>
      <c r="P217" s="648" t="s">
        <v>40</v>
      </c>
      <c r="Q217" s="649"/>
      <c r="R217" s="649"/>
      <c r="S217" s="649"/>
      <c r="T217" s="649"/>
      <c r="U217" s="649"/>
      <c r="V217" s="650"/>
      <c r="W217" s="40" t="s">
        <v>39</v>
      </c>
      <c r="X217" s="41">
        <f>IFERROR(X216/H216,"0")</f>
        <v>0</v>
      </c>
      <c r="Y217" s="41">
        <f>IFERROR(Y216/H216,"0")</f>
        <v>0</v>
      </c>
      <c r="Z217" s="41">
        <f>IFERROR(IF(Z216="",0,Z216),"0")</f>
        <v>0</v>
      </c>
      <c r="AA217" s="64"/>
      <c r="AB217" s="64"/>
      <c r="AC217" s="64"/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0" t="s">
        <v>0</v>
      </c>
      <c r="X218" s="41">
        <f>IFERROR(SUM(X216:X216),"0")</f>
        <v>0</v>
      </c>
      <c r="Y218" s="41">
        <f>IFERROR(SUM(Y216:Y216),"0")</f>
        <v>0</v>
      </c>
      <c r="Z218" s="40"/>
      <c r="AA218" s="64"/>
      <c r="AB218" s="64"/>
      <c r="AC218" s="64"/>
    </row>
    <row r="219" spans="1:68" ht="14.25" hidden="1" customHeight="1" x14ac:dyDescent="0.25">
      <c r="A219" s="660" t="s">
        <v>77</v>
      </c>
      <c r="B219" s="660"/>
      <c r="C219" s="660"/>
      <c r="D219" s="660"/>
      <c r="E219" s="660"/>
      <c r="F219" s="660"/>
      <c r="G219" s="660"/>
      <c r="H219" s="660"/>
      <c r="I219" s="660"/>
      <c r="J219" s="660"/>
      <c r="K219" s="660"/>
      <c r="L219" s="660"/>
      <c r="M219" s="660"/>
      <c r="N219" s="660"/>
      <c r="O219" s="660"/>
      <c r="P219" s="660"/>
      <c r="Q219" s="660"/>
      <c r="R219" s="660"/>
      <c r="S219" s="660"/>
      <c r="T219" s="660"/>
      <c r="U219" s="660"/>
      <c r="V219" s="660"/>
      <c r="W219" s="660"/>
      <c r="X219" s="660"/>
      <c r="Y219" s="660"/>
      <c r="Z219" s="660"/>
      <c r="AA219" s="63"/>
      <c r="AB219" s="63"/>
      <c r="AC219" s="63"/>
    </row>
    <row r="220" spans="1:68" ht="27" hidden="1" customHeight="1" x14ac:dyDescent="0.25">
      <c r="A220" s="60" t="s">
        <v>371</v>
      </c>
      <c r="B220" s="60" t="s">
        <v>372</v>
      </c>
      <c r="C220" s="34">
        <v>4301031191</v>
      </c>
      <c r="D220" s="661">
        <v>4680115880993</v>
      </c>
      <c r="E220" s="661"/>
      <c r="F220" s="59">
        <v>0.7</v>
      </c>
      <c r="G220" s="35">
        <v>6</v>
      </c>
      <c r="H220" s="59">
        <v>4.2</v>
      </c>
      <c r="I220" s="59">
        <v>4.45</v>
      </c>
      <c r="J220" s="35">
        <v>132</v>
      </c>
      <c r="K220" s="35" t="s">
        <v>134</v>
      </c>
      <c r="L220" s="35" t="s">
        <v>46</v>
      </c>
      <c r="M220" s="36" t="s">
        <v>81</v>
      </c>
      <c r="N220" s="36"/>
      <c r="O220" s="35">
        <v>40</v>
      </c>
      <c r="P220" s="8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3"/>
      <c r="R220" s="663"/>
      <c r="S220" s="663"/>
      <c r="T220" s="664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ref="Y220:Y234" si="27">IFERROR(IF(X220="",0,CEILING((X220/$H220),1)*$H220),"")</f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373</v>
      </c>
      <c r="AG220" s="75"/>
      <c r="AJ220" s="79" t="s">
        <v>46</v>
      </c>
      <c r="AK220" s="79">
        <v>0</v>
      </c>
      <c r="BB220" s="290" t="s">
        <v>67</v>
      </c>
      <c r="BM220" s="75">
        <f t="shared" ref="BM220:BM234" si="28">IFERROR(X220*I220/H220,"0")</f>
        <v>0</v>
      </c>
      <c r="BN220" s="75">
        <f t="shared" ref="BN220:BN234" si="29">IFERROR(Y220*I220/H220,"0")</f>
        <v>0</v>
      </c>
      <c r="BO220" s="75">
        <f t="shared" ref="BO220:BO234" si="30">IFERROR(1/J220*(X220/H220),"0")</f>
        <v>0</v>
      </c>
      <c r="BP220" s="75">
        <f t="shared" ref="BP220:BP234" si="31">IFERROR(1/J220*(Y220/H220),"0")</f>
        <v>0</v>
      </c>
    </row>
    <row r="221" spans="1:68" ht="27" hidden="1" customHeight="1" x14ac:dyDescent="0.25">
      <c r="A221" s="60" t="s">
        <v>374</v>
      </c>
      <c r="B221" s="60" t="s">
        <v>375</v>
      </c>
      <c r="C221" s="34">
        <v>4301031204</v>
      </c>
      <c r="D221" s="661">
        <v>4680115881761</v>
      </c>
      <c r="E221" s="661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134</v>
      </c>
      <c r="L221" s="35" t="s">
        <v>46</v>
      </c>
      <c r="M221" s="36" t="s">
        <v>81</v>
      </c>
      <c r="N221" s="36"/>
      <c r="O221" s="35">
        <v>40</v>
      </c>
      <c r="P221" s="8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3"/>
      <c r="R221" s="663"/>
      <c r="S221" s="663"/>
      <c r="T221" s="664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376</v>
      </c>
      <c r="AG221" s="75"/>
      <c r="AJ221" s="79" t="s">
        <v>46</v>
      </c>
      <c r="AK221" s="79">
        <v>0</v>
      </c>
      <c r="BB221" s="292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377</v>
      </c>
      <c r="B222" s="60" t="s">
        <v>378</v>
      </c>
      <c r="C222" s="34">
        <v>4301031201</v>
      </c>
      <c r="D222" s="661">
        <v>4680115881563</v>
      </c>
      <c r="E222" s="661"/>
      <c r="F222" s="59">
        <v>0.7</v>
      </c>
      <c r="G222" s="35">
        <v>6</v>
      </c>
      <c r="H222" s="59">
        <v>4.2</v>
      </c>
      <c r="I222" s="59">
        <v>4.3899999999999997</v>
      </c>
      <c r="J222" s="35">
        <v>132</v>
      </c>
      <c r="K222" s="35" t="s">
        <v>134</v>
      </c>
      <c r="L222" s="35" t="s">
        <v>46</v>
      </c>
      <c r="M222" s="36" t="s">
        <v>81</v>
      </c>
      <c r="N222" s="36"/>
      <c r="O222" s="35">
        <v>40</v>
      </c>
      <c r="P222" s="8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63"/>
      <c r="R222" s="663"/>
      <c r="S222" s="663"/>
      <c r="T222" s="664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 t="s">
        <v>46</v>
      </c>
      <c r="AB222" s="66" t="s">
        <v>46</v>
      </c>
      <c r="AC222" s="293" t="s">
        <v>379</v>
      </c>
      <c r="AG222" s="75"/>
      <c r="AJ222" s="79" t="s">
        <v>46</v>
      </c>
      <c r="AK222" s="79">
        <v>0</v>
      </c>
      <c r="BB222" s="294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37.5" hidden="1" customHeight="1" x14ac:dyDescent="0.25">
      <c r="A223" s="60" t="s">
        <v>380</v>
      </c>
      <c r="B223" s="60" t="s">
        <v>381</v>
      </c>
      <c r="C223" s="34">
        <v>4301031447</v>
      </c>
      <c r="D223" s="661">
        <v>4680115887565</v>
      </c>
      <c r="E223" s="661"/>
      <c r="F223" s="59">
        <v>0.08</v>
      </c>
      <c r="G223" s="35">
        <v>10</v>
      </c>
      <c r="H223" s="59">
        <v>0.8</v>
      </c>
      <c r="I223" s="59">
        <v>0.93</v>
      </c>
      <c r="J223" s="35">
        <v>252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3"/>
      <c r="R223" s="663"/>
      <c r="S223" s="663"/>
      <c r="T223" s="664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>IFERROR(IF(Y223=0,"",ROUNDUP(Y223/H223,0)*0.00556),"")</f>
        <v/>
      </c>
      <c r="AA223" s="65" t="s">
        <v>46</v>
      </c>
      <c r="AB223" s="66" t="s">
        <v>46</v>
      </c>
      <c r="AC223" s="295" t="s">
        <v>382</v>
      </c>
      <c r="AG223" s="75"/>
      <c r="AJ223" s="79" t="s">
        <v>46</v>
      </c>
      <c r="AK223" s="79">
        <v>0</v>
      </c>
      <c r="BB223" s="296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383</v>
      </c>
      <c r="B224" s="60" t="s">
        <v>384</v>
      </c>
      <c r="C224" s="34">
        <v>4301031199</v>
      </c>
      <c r="D224" s="661">
        <v>4680115880986</v>
      </c>
      <c r="E224" s="661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40</v>
      </c>
      <c r="P224" s="84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3"/>
      <c r="R224" s="663"/>
      <c r="S224" s="663"/>
      <c r="T224" s="664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ref="Z224:Z229" si="32">IFERROR(IF(Y224=0,"",ROUNDUP(Y224/H224,0)*0.00502),"")</f>
        <v/>
      </c>
      <c r="AA224" s="65" t="s">
        <v>46</v>
      </c>
      <c r="AB224" s="66" t="s">
        <v>46</v>
      </c>
      <c r="AC224" s="297" t="s">
        <v>373</v>
      </c>
      <c r="AG224" s="75"/>
      <c r="AJ224" s="79" t="s">
        <v>46</v>
      </c>
      <c r="AK224" s="79">
        <v>0</v>
      </c>
      <c r="BB224" s="298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385</v>
      </c>
      <c r="B225" s="60" t="s">
        <v>386</v>
      </c>
      <c r="C225" s="34">
        <v>4301031443</v>
      </c>
      <c r="D225" s="661">
        <v>4680115887213</v>
      </c>
      <c r="E225" s="661"/>
      <c r="F225" s="59">
        <v>0.3</v>
      </c>
      <c r="G225" s="35">
        <v>6</v>
      </c>
      <c r="H225" s="59">
        <v>1.8</v>
      </c>
      <c r="I225" s="59">
        <v>1.9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45</v>
      </c>
      <c r="P225" s="84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3"/>
      <c r="R225" s="663"/>
      <c r="S225" s="663"/>
      <c r="T225" s="664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 t="shared" si="32"/>
        <v/>
      </c>
      <c r="AA225" s="65" t="s">
        <v>46</v>
      </c>
      <c r="AB225" s="66" t="s">
        <v>46</v>
      </c>
      <c r="AC225" s="299" t="s">
        <v>387</v>
      </c>
      <c r="AG225" s="75"/>
      <c r="AJ225" s="79" t="s">
        <v>46</v>
      </c>
      <c r="AK225" s="79">
        <v>0</v>
      </c>
      <c r="BB225" s="300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hidden="1" customHeight="1" x14ac:dyDescent="0.25">
      <c r="A226" s="60" t="s">
        <v>388</v>
      </c>
      <c r="B226" s="60" t="s">
        <v>389</v>
      </c>
      <c r="C226" s="34">
        <v>4301031205</v>
      </c>
      <c r="D226" s="661">
        <v>4680115881785</v>
      </c>
      <c r="E226" s="661"/>
      <c r="F226" s="59">
        <v>0.35</v>
      </c>
      <c r="G226" s="35">
        <v>6</v>
      </c>
      <c r="H226" s="59">
        <v>2.1</v>
      </c>
      <c r="I226" s="59">
        <v>2.23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3"/>
      <c r="R226" s="663"/>
      <c r="S226" s="663"/>
      <c r="T226" s="664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 t="shared" si="32"/>
        <v/>
      </c>
      <c r="AA226" s="65" t="s">
        <v>46</v>
      </c>
      <c r="AB226" s="66" t="s">
        <v>46</v>
      </c>
      <c r="AC226" s="301" t="s">
        <v>376</v>
      </c>
      <c r="AG226" s="75"/>
      <c r="AJ226" s="79" t="s">
        <v>46</v>
      </c>
      <c r="AK226" s="79">
        <v>0</v>
      </c>
      <c r="BB226" s="302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390</v>
      </c>
      <c r="B227" s="60" t="s">
        <v>391</v>
      </c>
      <c r="C227" s="34">
        <v>4301031499</v>
      </c>
      <c r="D227" s="661">
        <v>4680115888432</v>
      </c>
      <c r="E227" s="661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45</v>
      </c>
      <c r="P227" s="84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3"/>
      <c r="R227" s="663"/>
      <c r="S227" s="663"/>
      <c r="T227" s="664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 t="shared" si="32"/>
        <v/>
      </c>
      <c r="AA227" s="65" t="s">
        <v>46</v>
      </c>
      <c r="AB227" s="66" t="s">
        <v>46</v>
      </c>
      <c r="AC227" s="303" t="s">
        <v>392</v>
      </c>
      <c r="AG227" s="75"/>
      <c r="AJ227" s="79" t="s">
        <v>46</v>
      </c>
      <c r="AK227" s="79">
        <v>0</v>
      </c>
      <c r="BB227" s="304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393</v>
      </c>
      <c r="B228" s="60" t="s">
        <v>394</v>
      </c>
      <c r="C228" s="34">
        <v>4301031427</v>
      </c>
      <c r="D228" s="661">
        <v>4680115888104</v>
      </c>
      <c r="E228" s="661"/>
      <c r="F228" s="59">
        <v>0.35</v>
      </c>
      <c r="G228" s="35">
        <v>6</v>
      </c>
      <c r="H228" s="59">
        <v>2.1</v>
      </c>
      <c r="I228" s="59">
        <v>2.2000000000000002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63"/>
      <c r="R228" s="663"/>
      <c r="S228" s="663"/>
      <c r="T228" s="664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 t="shared" si="32"/>
        <v/>
      </c>
      <c r="AA228" s="65" t="s">
        <v>46</v>
      </c>
      <c r="AB228" s="66" t="s">
        <v>46</v>
      </c>
      <c r="AC228" s="305" t="s">
        <v>395</v>
      </c>
      <c r="AG228" s="75"/>
      <c r="AJ228" s="79" t="s">
        <v>46</v>
      </c>
      <c r="AK228" s="79">
        <v>0</v>
      </c>
      <c r="BB228" s="306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396</v>
      </c>
      <c r="B229" s="60" t="s">
        <v>397</v>
      </c>
      <c r="C229" s="34">
        <v>4301031503</v>
      </c>
      <c r="D229" s="661">
        <v>4680115886537</v>
      </c>
      <c r="E229" s="661"/>
      <c r="F229" s="59">
        <v>0.3</v>
      </c>
      <c r="G229" s="35">
        <v>6</v>
      </c>
      <c r="H229" s="59">
        <v>1.8</v>
      </c>
      <c r="I229" s="59">
        <v>1.93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63"/>
      <c r="R229" s="663"/>
      <c r="S229" s="663"/>
      <c r="T229" s="664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 t="shared" si="32"/>
        <v/>
      </c>
      <c r="AA229" s="65" t="s">
        <v>46</v>
      </c>
      <c r="AB229" s="66" t="s">
        <v>46</v>
      </c>
      <c r="AC229" s="307" t="s">
        <v>398</v>
      </c>
      <c r="AG229" s="75"/>
      <c r="AJ229" s="79" t="s">
        <v>46</v>
      </c>
      <c r="AK229" s="79">
        <v>0</v>
      </c>
      <c r="BB229" s="308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399</v>
      </c>
      <c r="B230" s="60" t="s">
        <v>400</v>
      </c>
      <c r="C230" s="34">
        <v>4301031279</v>
      </c>
      <c r="D230" s="661">
        <v>4680115887596</v>
      </c>
      <c r="E230" s="661"/>
      <c r="F230" s="59">
        <v>0.08</v>
      </c>
      <c r="G230" s="35">
        <v>10</v>
      </c>
      <c r="H230" s="59">
        <v>0.8</v>
      </c>
      <c r="I230" s="59">
        <v>1.01</v>
      </c>
      <c r="J230" s="35">
        <v>336</v>
      </c>
      <c r="K230" s="35" t="s">
        <v>131</v>
      </c>
      <c r="L230" s="35" t="s">
        <v>46</v>
      </c>
      <c r="M230" s="36" t="s">
        <v>81</v>
      </c>
      <c r="N230" s="36"/>
      <c r="O230" s="35">
        <v>45</v>
      </c>
      <c r="P230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63"/>
      <c r="R230" s="663"/>
      <c r="S230" s="663"/>
      <c r="T230" s="664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7"/>
        <v>0</v>
      </c>
      <c r="Z230" s="39" t="str">
        <f>IFERROR(IF(Y230=0,"",ROUNDUP(Y230/H230,0)*0.00417),"")</f>
        <v/>
      </c>
      <c r="AA230" s="65" t="s">
        <v>46</v>
      </c>
      <c r="AB230" s="66" t="s">
        <v>46</v>
      </c>
      <c r="AC230" s="309" t="s">
        <v>401</v>
      </c>
      <c r="AG230" s="75"/>
      <c r="AJ230" s="79" t="s">
        <v>46</v>
      </c>
      <c r="AK230" s="79">
        <v>0</v>
      </c>
      <c r="BB230" s="310" t="s">
        <v>67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37.5" hidden="1" customHeight="1" x14ac:dyDescent="0.25">
      <c r="A231" s="60" t="s">
        <v>402</v>
      </c>
      <c r="B231" s="60" t="s">
        <v>403</v>
      </c>
      <c r="C231" s="34">
        <v>4301031530</v>
      </c>
      <c r="D231" s="661">
        <v>4680115881679</v>
      </c>
      <c r="E231" s="661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3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63"/>
      <c r="R231" s="663"/>
      <c r="S231" s="663"/>
      <c r="T231" s="664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7"/>
        <v>0</v>
      </c>
      <c r="Z231" s="39" t="str">
        <f>IFERROR(IF(Y231=0,"",ROUNDUP(Y231/H231,0)*0.00502),"")</f>
        <v/>
      </c>
      <c r="AA231" s="65" t="s">
        <v>46</v>
      </c>
      <c r="AB231" s="66" t="s">
        <v>46</v>
      </c>
      <c r="AC231" s="311" t="s">
        <v>379</v>
      </c>
      <c r="AG231" s="75"/>
      <c r="AJ231" s="79" t="s">
        <v>46</v>
      </c>
      <c r="AK231" s="79">
        <v>0</v>
      </c>
      <c r="BB231" s="312" t="s">
        <v>67</v>
      </c>
      <c r="BM231" s="75">
        <f t="shared" si="28"/>
        <v>0</v>
      </c>
      <c r="BN231" s="75">
        <f t="shared" si="29"/>
        <v>0</v>
      </c>
      <c r="BO231" s="75">
        <f t="shared" si="30"/>
        <v>0</v>
      </c>
      <c r="BP231" s="75">
        <f t="shared" si="31"/>
        <v>0</v>
      </c>
    </row>
    <row r="232" spans="1:68" ht="27" hidden="1" customHeight="1" x14ac:dyDescent="0.25">
      <c r="A232" s="60" t="s">
        <v>404</v>
      </c>
      <c r="B232" s="60" t="s">
        <v>405</v>
      </c>
      <c r="C232" s="34">
        <v>4301031158</v>
      </c>
      <c r="D232" s="661">
        <v>4680115880191</v>
      </c>
      <c r="E232" s="661"/>
      <c r="F232" s="59">
        <v>0.4</v>
      </c>
      <c r="G232" s="35">
        <v>6</v>
      </c>
      <c r="H232" s="59">
        <v>2.4</v>
      </c>
      <c r="I232" s="59">
        <v>2.58</v>
      </c>
      <c r="J232" s="35">
        <v>182</v>
      </c>
      <c r="K232" s="35" t="s">
        <v>91</v>
      </c>
      <c r="L232" s="35" t="s">
        <v>46</v>
      </c>
      <c r="M232" s="36" t="s">
        <v>81</v>
      </c>
      <c r="N232" s="36"/>
      <c r="O232" s="35">
        <v>40</v>
      </c>
      <c r="P232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63"/>
      <c r="R232" s="663"/>
      <c r="S232" s="663"/>
      <c r="T232" s="664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7"/>
        <v>0</v>
      </c>
      <c r="Z232" s="39" t="str">
        <f>IFERROR(IF(Y232=0,"",ROUNDUP(Y232/H232,0)*0.00651),"")</f>
        <v/>
      </c>
      <c r="AA232" s="65" t="s">
        <v>46</v>
      </c>
      <c r="AB232" s="66" t="s">
        <v>46</v>
      </c>
      <c r="AC232" s="313" t="s">
        <v>379</v>
      </c>
      <c r="AG232" s="75"/>
      <c r="AJ232" s="79" t="s">
        <v>46</v>
      </c>
      <c r="AK232" s="79">
        <v>0</v>
      </c>
      <c r="BB232" s="314" t="s">
        <v>67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hidden="1" customHeight="1" x14ac:dyDescent="0.25">
      <c r="A233" s="60" t="s">
        <v>404</v>
      </c>
      <c r="B233" s="60" t="s">
        <v>406</v>
      </c>
      <c r="C233" s="34">
        <v>4301031531</v>
      </c>
      <c r="D233" s="661">
        <v>4680115880191</v>
      </c>
      <c r="E233" s="661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91</v>
      </c>
      <c r="L233" s="35" t="s">
        <v>46</v>
      </c>
      <c r="M233" s="36" t="s">
        <v>81</v>
      </c>
      <c r="N233" s="36"/>
      <c r="O233" s="35">
        <v>45</v>
      </c>
      <c r="P233" s="8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63"/>
      <c r="R233" s="663"/>
      <c r="S233" s="663"/>
      <c r="T233" s="664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379</v>
      </c>
      <c r="AG233" s="75"/>
      <c r="AJ233" s="79" t="s">
        <v>46</v>
      </c>
      <c r="AK233" s="79">
        <v>0</v>
      </c>
      <c r="BB233" s="316" t="s">
        <v>67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4301031245</v>
      </c>
      <c r="D234" s="661">
        <v>4680115883963</v>
      </c>
      <c r="E234" s="661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63"/>
      <c r="R234" s="663"/>
      <c r="S234" s="663"/>
      <c r="T234" s="664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67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0" t="s">
        <v>39</v>
      </c>
      <c r="X235" s="41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0" t="s">
        <v>0</v>
      </c>
      <c r="X236" s="41">
        <f>IFERROR(SUM(X220:X234),"0")</f>
        <v>0</v>
      </c>
      <c r="Y236" s="41">
        <f>IFERROR(SUM(Y220:Y234),"0")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60" t="s">
        <v>86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3"/>
      <c r="AB237" s="63"/>
      <c r="AC237" s="63"/>
    </row>
    <row r="238" spans="1:68" ht="16.5" hidden="1" customHeight="1" x14ac:dyDescent="0.25">
      <c r="A238" s="60" t="s">
        <v>410</v>
      </c>
      <c r="B238" s="60" t="s">
        <v>411</v>
      </c>
      <c r="C238" s="34">
        <v>4301052209</v>
      </c>
      <c r="D238" s="661">
        <v>4680115888692</v>
      </c>
      <c r="E238" s="661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127</v>
      </c>
      <c r="L238" s="35" t="s">
        <v>46</v>
      </c>
      <c r="M238" s="36" t="s">
        <v>97</v>
      </c>
      <c r="N238" s="36"/>
      <c r="O238" s="35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63"/>
      <c r="R238" s="663"/>
      <c r="S238" s="663"/>
      <c r="T238" s="664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ref="Y238:Y246" si="33">IFERROR(IF(X238="",0,CEILING((X238/$H238),1)*$H238),"")</f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412</v>
      </c>
      <c r="AG238" s="75"/>
      <c r="AJ238" s="79" t="s">
        <v>46</v>
      </c>
      <c r="AK238" s="79">
        <v>0</v>
      </c>
      <c r="BB238" s="320" t="s">
        <v>67</v>
      </c>
      <c r="BM238" s="75">
        <f t="shared" ref="BM238:BM246" si="34">IFERROR(X238*I238/H238,"0")</f>
        <v>0</v>
      </c>
      <c r="BN238" s="75">
        <f t="shared" ref="BN238:BN246" si="35">IFERROR(Y238*I238/H238,"0")</f>
        <v>0</v>
      </c>
      <c r="BO238" s="75">
        <f t="shared" ref="BO238:BO246" si="36">IFERROR(1/J238*(X238/H238),"0")</f>
        <v>0</v>
      </c>
      <c r="BP238" s="75">
        <f t="shared" ref="BP238:BP246" si="37">IFERROR(1/J238*(Y238/H238),"0")</f>
        <v>0</v>
      </c>
    </row>
    <row r="239" spans="1:68" ht="16.5" hidden="1" customHeight="1" x14ac:dyDescent="0.25">
      <c r="A239" s="60" t="s">
        <v>410</v>
      </c>
      <c r="B239" s="60" t="s">
        <v>413</v>
      </c>
      <c r="C239" s="34">
        <v>4301052279</v>
      </c>
      <c r="D239" s="661">
        <v>4680115888692</v>
      </c>
      <c r="E239" s="661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40</v>
      </c>
      <c r="P239" s="82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63"/>
      <c r="R239" s="663"/>
      <c r="S239" s="663"/>
      <c r="T239" s="664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414</v>
      </c>
      <c r="AG239" s="75"/>
      <c r="AJ239" s="79" t="s">
        <v>46</v>
      </c>
      <c r="AK239" s="79">
        <v>0</v>
      </c>
      <c r="BB239" s="322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415</v>
      </c>
      <c r="B240" s="60" t="s">
        <v>416</v>
      </c>
      <c r="C240" s="34">
        <v>4301052213</v>
      </c>
      <c r="D240" s="661">
        <v>4680115888722</v>
      </c>
      <c r="E240" s="661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127</v>
      </c>
      <c r="L240" s="35" t="s">
        <v>46</v>
      </c>
      <c r="M240" s="36" t="s">
        <v>97</v>
      </c>
      <c r="N240" s="36"/>
      <c r="O240" s="35">
        <v>35</v>
      </c>
      <c r="P240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63"/>
      <c r="R240" s="663"/>
      <c r="S240" s="663"/>
      <c r="T240" s="664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23" t="s">
        <v>417</v>
      </c>
      <c r="AG240" s="75"/>
      <c r="AJ240" s="79" t="s">
        <v>46</v>
      </c>
      <c r="AK240" s="79">
        <v>0</v>
      </c>
      <c r="BB240" s="324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415</v>
      </c>
      <c r="B241" s="60" t="s">
        <v>418</v>
      </c>
      <c r="C241" s="34">
        <v>4301052280</v>
      </c>
      <c r="D241" s="661">
        <v>4680115888722</v>
      </c>
      <c r="E241" s="661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127</v>
      </c>
      <c r="L241" s="35" t="s">
        <v>46</v>
      </c>
      <c r="M241" s="36" t="s">
        <v>97</v>
      </c>
      <c r="N241" s="36"/>
      <c r="O241" s="35">
        <v>40</v>
      </c>
      <c r="P241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63"/>
      <c r="R241" s="663"/>
      <c r="S241" s="663"/>
      <c r="T241" s="664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25" t="s">
        <v>419</v>
      </c>
      <c r="AG241" s="75"/>
      <c r="AJ241" s="79" t="s">
        <v>46</v>
      </c>
      <c r="AK241" s="79">
        <v>0</v>
      </c>
      <c r="BB241" s="326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t="27" hidden="1" customHeight="1" x14ac:dyDescent="0.25">
      <c r="A242" s="60" t="s">
        <v>420</v>
      </c>
      <c r="B242" s="60" t="s">
        <v>421</v>
      </c>
      <c r="C242" s="34">
        <v>4301052177</v>
      </c>
      <c r="D242" s="661">
        <v>4680115888951</v>
      </c>
      <c r="E242" s="661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134</v>
      </c>
      <c r="L242" s="35" t="s">
        <v>46</v>
      </c>
      <c r="M242" s="36" t="s">
        <v>97</v>
      </c>
      <c r="N242" s="36"/>
      <c r="O242" s="35">
        <v>35</v>
      </c>
      <c r="P242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63"/>
      <c r="R242" s="663"/>
      <c r="S242" s="663"/>
      <c r="T242" s="664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3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422</v>
      </c>
      <c r="AG242" s="75"/>
      <c r="AJ242" s="79" t="s">
        <v>46</v>
      </c>
      <c r="AK242" s="79">
        <v>0</v>
      </c>
      <c r="BB242" s="328" t="s">
        <v>67</v>
      </c>
      <c r="BM242" s="75">
        <f t="shared" si="34"/>
        <v>0</v>
      </c>
      <c r="BN242" s="75">
        <f t="shared" si="35"/>
        <v>0</v>
      </c>
      <c r="BO242" s="75">
        <f t="shared" si="36"/>
        <v>0</v>
      </c>
      <c r="BP242" s="75">
        <f t="shared" si="37"/>
        <v>0</v>
      </c>
    </row>
    <row r="243" spans="1:68" ht="27" hidden="1" customHeight="1" x14ac:dyDescent="0.25">
      <c r="A243" s="60" t="s">
        <v>420</v>
      </c>
      <c r="B243" s="60" t="s">
        <v>423</v>
      </c>
      <c r="C243" s="34">
        <v>4301052276</v>
      </c>
      <c r="D243" s="661">
        <v>4680115888951</v>
      </c>
      <c r="E243" s="661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134</v>
      </c>
      <c r="L243" s="35" t="s">
        <v>46</v>
      </c>
      <c r="M243" s="36" t="s">
        <v>97</v>
      </c>
      <c r="N243" s="36"/>
      <c r="O243" s="35">
        <v>40</v>
      </c>
      <c r="P243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63"/>
      <c r="R243" s="663"/>
      <c r="S243" s="663"/>
      <c r="T243" s="664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3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414</v>
      </c>
      <c r="AG243" s="75"/>
      <c r="AJ243" s="79" t="s">
        <v>46</v>
      </c>
      <c r="AK243" s="79">
        <v>0</v>
      </c>
      <c r="BB243" s="330" t="s">
        <v>67</v>
      </c>
      <c r="BM243" s="75">
        <f t="shared" si="34"/>
        <v>0</v>
      </c>
      <c r="BN243" s="75">
        <f t="shared" si="35"/>
        <v>0</v>
      </c>
      <c r="BO243" s="75">
        <f t="shared" si="36"/>
        <v>0</v>
      </c>
      <c r="BP243" s="75">
        <f t="shared" si="37"/>
        <v>0</v>
      </c>
    </row>
    <row r="244" spans="1:68" ht="27" hidden="1" customHeight="1" x14ac:dyDescent="0.25">
      <c r="A244" s="60" t="s">
        <v>424</v>
      </c>
      <c r="B244" s="60" t="s">
        <v>425</v>
      </c>
      <c r="C244" s="34">
        <v>4301052178</v>
      </c>
      <c r="D244" s="661">
        <v>4680115888975</v>
      </c>
      <c r="E244" s="661"/>
      <c r="F244" s="59">
        <v>0.32</v>
      </c>
      <c r="G244" s="35">
        <v>6</v>
      </c>
      <c r="H244" s="59">
        <v>1.92</v>
      </c>
      <c r="I244" s="59">
        <v>2.1819999999999999</v>
      </c>
      <c r="J244" s="35">
        <v>132</v>
      </c>
      <c r="K244" s="35" t="s">
        <v>134</v>
      </c>
      <c r="L244" s="35" t="s">
        <v>46</v>
      </c>
      <c r="M244" s="36" t="s">
        <v>97</v>
      </c>
      <c r="N244" s="36"/>
      <c r="O244" s="35">
        <v>35</v>
      </c>
      <c r="P244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63"/>
      <c r="R244" s="663"/>
      <c r="S244" s="663"/>
      <c r="T244" s="664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3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426</v>
      </c>
      <c r="AG244" s="75"/>
      <c r="AJ244" s="79" t="s">
        <v>46</v>
      </c>
      <c r="AK244" s="79">
        <v>0</v>
      </c>
      <c r="BB244" s="332" t="s">
        <v>67</v>
      </c>
      <c r="BM244" s="75">
        <f t="shared" si="34"/>
        <v>0</v>
      </c>
      <c r="BN244" s="75">
        <f t="shared" si="35"/>
        <v>0</v>
      </c>
      <c r="BO244" s="75">
        <f t="shared" si="36"/>
        <v>0</v>
      </c>
      <c r="BP244" s="75">
        <f t="shared" si="37"/>
        <v>0</v>
      </c>
    </row>
    <row r="245" spans="1:68" ht="27" hidden="1" customHeight="1" x14ac:dyDescent="0.25">
      <c r="A245" s="60" t="s">
        <v>427</v>
      </c>
      <c r="B245" s="60" t="s">
        <v>428</v>
      </c>
      <c r="C245" s="34">
        <v>4301052176</v>
      </c>
      <c r="D245" s="661">
        <v>4680115888982</v>
      </c>
      <c r="E245" s="661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134</v>
      </c>
      <c r="L245" s="35" t="s">
        <v>46</v>
      </c>
      <c r="M245" s="36" t="s">
        <v>97</v>
      </c>
      <c r="N245" s="36"/>
      <c r="O245" s="35">
        <v>35</v>
      </c>
      <c r="P245" s="82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63"/>
      <c r="R245" s="663"/>
      <c r="S245" s="663"/>
      <c r="T245" s="664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3"/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417</v>
      </c>
      <c r="AG245" s="75"/>
      <c r="AJ245" s="79" t="s">
        <v>46</v>
      </c>
      <c r="AK245" s="79">
        <v>0</v>
      </c>
      <c r="BB245" s="334" t="s">
        <v>67</v>
      </c>
      <c r="BM245" s="75">
        <f t="shared" si="34"/>
        <v>0</v>
      </c>
      <c r="BN245" s="75">
        <f t="shared" si="35"/>
        <v>0</v>
      </c>
      <c r="BO245" s="75">
        <f t="shared" si="36"/>
        <v>0</v>
      </c>
      <c r="BP245" s="75">
        <f t="shared" si="37"/>
        <v>0</v>
      </c>
    </row>
    <row r="246" spans="1:68" ht="27" hidden="1" customHeight="1" x14ac:dyDescent="0.25">
      <c r="A246" s="60" t="s">
        <v>427</v>
      </c>
      <c r="B246" s="60" t="s">
        <v>429</v>
      </c>
      <c r="C246" s="34">
        <v>4301052277</v>
      </c>
      <c r="D246" s="661">
        <v>4680115888982</v>
      </c>
      <c r="E246" s="661"/>
      <c r="F246" s="59">
        <v>0.36</v>
      </c>
      <c r="G246" s="35">
        <v>6</v>
      </c>
      <c r="H246" s="59">
        <v>2.16</v>
      </c>
      <c r="I246" s="59">
        <v>2.4220000000000002</v>
      </c>
      <c r="J246" s="35">
        <v>132</v>
      </c>
      <c r="K246" s="35" t="s">
        <v>134</v>
      </c>
      <c r="L246" s="35" t="s">
        <v>46</v>
      </c>
      <c r="M246" s="36" t="s">
        <v>97</v>
      </c>
      <c r="N246" s="36"/>
      <c r="O246" s="35">
        <v>40</v>
      </c>
      <c r="P246" s="81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3"/>
      <c r="R246" s="663"/>
      <c r="S246" s="663"/>
      <c r="T246" s="664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3"/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419</v>
      </c>
      <c r="AG246" s="75"/>
      <c r="AJ246" s="79" t="s">
        <v>46</v>
      </c>
      <c r="AK246" s="79">
        <v>0</v>
      </c>
      <c r="BB246" s="336" t="s">
        <v>67</v>
      </c>
      <c r="BM246" s="75">
        <f t="shared" si="34"/>
        <v>0</v>
      </c>
      <c r="BN246" s="75">
        <f t="shared" si="35"/>
        <v>0</v>
      </c>
      <c r="BO246" s="75">
        <f t="shared" si="36"/>
        <v>0</v>
      </c>
      <c r="BP246" s="75">
        <f t="shared" si="37"/>
        <v>0</v>
      </c>
    </row>
    <row r="247" spans="1:68" hidden="1" x14ac:dyDescent="0.2">
      <c r="A247" s="651"/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52"/>
      <c r="P247" s="648" t="s">
        <v>40</v>
      </c>
      <c r="Q247" s="649"/>
      <c r="R247" s="649"/>
      <c r="S247" s="649"/>
      <c r="T247" s="649"/>
      <c r="U247" s="649"/>
      <c r="V247" s="650"/>
      <c r="W247" s="40" t="s">
        <v>39</v>
      </c>
      <c r="X247" s="41">
        <f>IFERROR(X238/H238,"0")+IFERROR(X239/H239,"0")+IFERROR(X240/H240,"0")+IFERROR(X241/H241,"0")+IFERROR(X242/H242,"0")+IFERROR(X243/H243,"0")+IFERROR(X244/H244,"0")+IFERROR(X245/H245,"0")+IFERROR(X246/H246,"0")</f>
        <v>0</v>
      </c>
      <c r="Y247" s="41">
        <f>IFERROR(Y238/H238,"0")+IFERROR(Y239/H239,"0")+IFERROR(Y240/H240,"0")+IFERROR(Y241/H241,"0")+IFERROR(Y242/H242,"0")+IFERROR(Y243/H243,"0")+IFERROR(Y244/H244,"0")+IFERROR(Y245/H245,"0")+IFERROR(Y246/H246,"0")</f>
        <v>0</v>
      </c>
      <c r="Z247" s="41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"/>
      <c r="AB247" s="64"/>
      <c r="AC247" s="64"/>
    </row>
    <row r="248" spans="1:68" hidden="1" x14ac:dyDescent="0.2">
      <c r="A248" s="651"/>
      <c r="B248" s="651"/>
      <c r="C248" s="651"/>
      <c r="D248" s="651"/>
      <c r="E248" s="651"/>
      <c r="F248" s="651"/>
      <c r="G248" s="651"/>
      <c r="H248" s="651"/>
      <c r="I248" s="651"/>
      <c r="J248" s="651"/>
      <c r="K248" s="651"/>
      <c r="L248" s="651"/>
      <c r="M248" s="651"/>
      <c r="N248" s="651"/>
      <c r="O248" s="652"/>
      <c r="P248" s="648" t="s">
        <v>40</v>
      </c>
      <c r="Q248" s="649"/>
      <c r="R248" s="649"/>
      <c r="S248" s="649"/>
      <c r="T248" s="649"/>
      <c r="U248" s="649"/>
      <c r="V248" s="650"/>
      <c r="W248" s="40" t="s">
        <v>0</v>
      </c>
      <c r="X248" s="41">
        <f>IFERROR(SUM(X238:X246),"0")</f>
        <v>0</v>
      </c>
      <c r="Y248" s="41">
        <f>IFERROR(SUM(Y238:Y246),"0")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660" t="s">
        <v>277</v>
      </c>
      <c r="B249" s="660"/>
      <c r="C249" s="660"/>
      <c r="D249" s="660"/>
      <c r="E249" s="660"/>
      <c r="F249" s="660"/>
      <c r="G249" s="660"/>
      <c r="H249" s="660"/>
      <c r="I249" s="660"/>
      <c r="J249" s="660"/>
      <c r="K249" s="660"/>
      <c r="L249" s="660"/>
      <c r="M249" s="660"/>
      <c r="N249" s="660"/>
      <c r="O249" s="660"/>
      <c r="P249" s="660"/>
      <c r="Q249" s="660"/>
      <c r="R249" s="660"/>
      <c r="S249" s="660"/>
      <c r="T249" s="660"/>
      <c r="U249" s="660"/>
      <c r="V249" s="660"/>
      <c r="W249" s="660"/>
      <c r="X249" s="660"/>
      <c r="Y249" s="660"/>
      <c r="Z249" s="660"/>
      <c r="AA249" s="63"/>
      <c r="AB249" s="63"/>
      <c r="AC249" s="63"/>
    </row>
    <row r="250" spans="1:68" ht="27" hidden="1" customHeight="1" x14ac:dyDescent="0.25">
      <c r="A250" s="60" t="s">
        <v>430</v>
      </c>
      <c r="B250" s="60" t="s">
        <v>431</v>
      </c>
      <c r="C250" s="34">
        <v>4301032053</v>
      </c>
      <c r="D250" s="661">
        <v>4680115886780</v>
      </c>
      <c r="E250" s="661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340</v>
      </c>
      <c r="L250" s="35" t="s">
        <v>46</v>
      </c>
      <c r="M250" s="36" t="s">
        <v>282</v>
      </c>
      <c r="N250" s="36"/>
      <c r="O250" s="35">
        <v>60</v>
      </c>
      <c r="P250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63"/>
      <c r="R250" s="663"/>
      <c r="S250" s="663"/>
      <c r="T250" s="664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432</v>
      </c>
      <c r="AG250" s="75"/>
      <c r="AJ250" s="79" t="s">
        <v>46</v>
      </c>
      <c r="AK250" s="79">
        <v>0</v>
      </c>
      <c r="BB250" s="338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t="27" hidden="1" customHeight="1" x14ac:dyDescent="0.25">
      <c r="A251" s="60" t="s">
        <v>433</v>
      </c>
      <c r="B251" s="60" t="s">
        <v>434</v>
      </c>
      <c r="C251" s="34">
        <v>4301032051</v>
      </c>
      <c r="D251" s="661">
        <v>4680115886742</v>
      </c>
      <c r="E251" s="661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340</v>
      </c>
      <c r="L251" s="35" t="s">
        <v>46</v>
      </c>
      <c r="M251" s="36" t="s">
        <v>282</v>
      </c>
      <c r="N251" s="36"/>
      <c r="O251" s="35">
        <v>90</v>
      </c>
      <c r="P251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63"/>
      <c r="R251" s="663"/>
      <c r="S251" s="663"/>
      <c r="T251" s="664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435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436</v>
      </c>
      <c r="B252" s="60" t="s">
        <v>437</v>
      </c>
      <c r="C252" s="34">
        <v>4301032052</v>
      </c>
      <c r="D252" s="661">
        <v>4680115886766</v>
      </c>
      <c r="E252" s="661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340</v>
      </c>
      <c r="L252" s="35" t="s">
        <v>46</v>
      </c>
      <c r="M252" s="36" t="s">
        <v>282</v>
      </c>
      <c r="N252" s="36"/>
      <c r="O252" s="35">
        <v>90</v>
      </c>
      <c r="P252" s="82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63"/>
      <c r="R252" s="663"/>
      <c r="S252" s="663"/>
      <c r="T252" s="664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435</v>
      </c>
      <c r="AG252" s="75"/>
      <c r="AJ252" s="79" t="s">
        <v>46</v>
      </c>
      <c r="AK252" s="79">
        <v>0</v>
      </c>
      <c r="BB252" s="342" t="s">
        <v>67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0" t="s">
        <v>39</v>
      </c>
      <c r="X253" s="41">
        <f>IFERROR(X250/H250,"0")+IFERROR(X251/H251,"0")+IFERROR(X252/H252,"0")</f>
        <v>0</v>
      </c>
      <c r="Y253" s="41">
        <f>IFERROR(Y250/H250,"0")+IFERROR(Y251/H251,"0")+IFERROR(Y252/H252,"0")</f>
        <v>0</v>
      </c>
      <c r="Z253" s="41">
        <f>IFERROR(IF(Z250="",0,Z250),"0")+IFERROR(IF(Z251="",0,Z251),"0")+IFERROR(IF(Z252="",0,Z252),"0")</f>
        <v>0</v>
      </c>
      <c r="AA253" s="64"/>
      <c r="AB253" s="64"/>
      <c r="AC253" s="64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0" t="s">
        <v>0</v>
      </c>
      <c r="X254" s="41">
        <f>IFERROR(SUM(X250:X252),"0")</f>
        <v>0</v>
      </c>
      <c r="Y254" s="41">
        <f>IFERROR(SUM(Y250:Y252),"0")</f>
        <v>0</v>
      </c>
      <c r="Z254" s="40"/>
      <c r="AA254" s="64"/>
      <c r="AB254" s="64"/>
      <c r="AC254" s="64"/>
    </row>
    <row r="255" spans="1:68" ht="14.25" hidden="1" customHeight="1" x14ac:dyDescent="0.25">
      <c r="A255" s="660" t="s">
        <v>438</v>
      </c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0"/>
      <c r="P255" s="660"/>
      <c r="Q255" s="660"/>
      <c r="R255" s="660"/>
      <c r="S255" s="660"/>
      <c r="T255" s="660"/>
      <c r="U255" s="660"/>
      <c r="V255" s="660"/>
      <c r="W255" s="660"/>
      <c r="X255" s="660"/>
      <c r="Y255" s="660"/>
      <c r="Z255" s="660"/>
      <c r="AA255" s="63"/>
      <c r="AB255" s="63"/>
      <c r="AC255" s="63"/>
    </row>
    <row r="256" spans="1:68" ht="27" hidden="1" customHeight="1" x14ac:dyDescent="0.25">
      <c r="A256" s="60" t="s">
        <v>439</v>
      </c>
      <c r="B256" s="60" t="s">
        <v>440</v>
      </c>
      <c r="C256" s="34">
        <v>4301170013</v>
      </c>
      <c r="D256" s="661">
        <v>4680115886797</v>
      </c>
      <c r="E256" s="661"/>
      <c r="F256" s="59">
        <v>7.0000000000000007E-2</v>
      </c>
      <c r="G256" s="35">
        <v>18</v>
      </c>
      <c r="H256" s="59">
        <v>1.26</v>
      </c>
      <c r="I256" s="59">
        <v>1.45</v>
      </c>
      <c r="J256" s="35">
        <v>216</v>
      </c>
      <c r="K256" s="35" t="s">
        <v>340</v>
      </c>
      <c r="L256" s="35" t="s">
        <v>46</v>
      </c>
      <c r="M256" s="36" t="s">
        <v>282</v>
      </c>
      <c r="N256" s="36"/>
      <c r="O256" s="35">
        <v>90</v>
      </c>
      <c r="P256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63"/>
      <c r="R256" s="663"/>
      <c r="S256" s="663"/>
      <c r="T256" s="664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46</v>
      </c>
      <c r="AB256" s="66" t="s">
        <v>46</v>
      </c>
      <c r="AC256" s="343" t="s">
        <v>435</v>
      </c>
      <c r="AG256" s="75"/>
      <c r="AJ256" s="79" t="s">
        <v>46</v>
      </c>
      <c r="AK256" s="79">
        <v>0</v>
      </c>
      <c r="BB256" s="344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idden="1" x14ac:dyDescent="0.2">
      <c r="A257" s="651"/>
      <c r="B257" s="651"/>
      <c r="C257" s="651"/>
      <c r="D257" s="651"/>
      <c r="E257" s="651"/>
      <c r="F257" s="651"/>
      <c r="G257" s="651"/>
      <c r="H257" s="651"/>
      <c r="I257" s="651"/>
      <c r="J257" s="651"/>
      <c r="K257" s="651"/>
      <c r="L257" s="651"/>
      <c r="M257" s="651"/>
      <c r="N257" s="651"/>
      <c r="O257" s="652"/>
      <c r="P257" s="648" t="s">
        <v>40</v>
      </c>
      <c r="Q257" s="649"/>
      <c r="R257" s="649"/>
      <c r="S257" s="649"/>
      <c r="T257" s="649"/>
      <c r="U257" s="649"/>
      <c r="V257" s="650"/>
      <c r="W257" s="40" t="s">
        <v>39</v>
      </c>
      <c r="X257" s="41">
        <f>IFERROR(X256/H256,"0")</f>
        <v>0</v>
      </c>
      <c r="Y257" s="41">
        <f>IFERROR(Y256/H256,"0")</f>
        <v>0</v>
      </c>
      <c r="Z257" s="41">
        <f>IFERROR(IF(Z256="",0,Z256),"0")</f>
        <v>0</v>
      </c>
      <c r="AA257" s="64"/>
      <c r="AB257" s="64"/>
      <c r="AC257" s="64"/>
    </row>
    <row r="258" spans="1:68" hidden="1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0" t="s">
        <v>0</v>
      </c>
      <c r="X258" s="41">
        <f>IFERROR(SUM(X256:X256),"0")</f>
        <v>0</v>
      </c>
      <c r="Y258" s="41">
        <f>IFERROR(SUM(Y256:Y256),"0")</f>
        <v>0</v>
      </c>
      <c r="Z258" s="40"/>
      <c r="AA258" s="64"/>
      <c r="AB258" s="64"/>
      <c r="AC258" s="64"/>
    </row>
    <row r="259" spans="1:68" ht="16.5" hidden="1" customHeight="1" x14ac:dyDescent="0.25">
      <c r="A259" s="667" t="s">
        <v>441</v>
      </c>
      <c r="B259" s="667"/>
      <c r="C259" s="667"/>
      <c r="D259" s="667"/>
      <c r="E259" s="667"/>
      <c r="F259" s="667"/>
      <c r="G259" s="667"/>
      <c r="H259" s="667"/>
      <c r="I259" s="667"/>
      <c r="J259" s="667"/>
      <c r="K259" s="667"/>
      <c r="L259" s="667"/>
      <c r="M259" s="667"/>
      <c r="N259" s="667"/>
      <c r="O259" s="667"/>
      <c r="P259" s="667"/>
      <c r="Q259" s="667"/>
      <c r="R259" s="667"/>
      <c r="S259" s="667"/>
      <c r="T259" s="667"/>
      <c r="U259" s="667"/>
      <c r="V259" s="667"/>
      <c r="W259" s="667"/>
      <c r="X259" s="667"/>
      <c r="Y259" s="667"/>
      <c r="Z259" s="667"/>
      <c r="AA259" s="62"/>
      <c r="AB259" s="62"/>
      <c r="AC259" s="62"/>
    </row>
    <row r="260" spans="1:68" ht="14.25" hidden="1" customHeight="1" x14ac:dyDescent="0.25">
      <c r="A260" s="660" t="s">
        <v>122</v>
      </c>
      <c r="B260" s="660"/>
      <c r="C260" s="660"/>
      <c r="D260" s="660"/>
      <c r="E260" s="660"/>
      <c r="F260" s="660"/>
      <c r="G260" s="660"/>
      <c r="H260" s="660"/>
      <c r="I260" s="660"/>
      <c r="J260" s="660"/>
      <c r="K260" s="660"/>
      <c r="L260" s="660"/>
      <c r="M260" s="660"/>
      <c r="N260" s="660"/>
      <c r="O260" s="660"/>
      <c r="P260" s="660"/>
      <c r="Q260" s="660"/>
      <c r="R260" s="660"/>
      <c r="S260" s="660"/>
      <c r="T260" s="660"/>
      <c r="U260" s="660"/>
      <c r="V260" s="660"/>
      <c r="W260" s="660"/>
      <c r="X260" s="660"/>
      <c r="Y260" s="660"/>
      <c r="Z260" s="660"/>
      <c r="AA260" s="63"/>
      <c r="AB260" s="63"/>
      <c r="AC260" s="63"/>
    </row>
    <row r="261" spans="1:68" ht="27" hidden="1" customHeight="1" x14ac:dyDescent="0.25">
      <c r="A261" s="60" t="s">
        <v>442</v>
      </c>
      <c r="B261" s="60" t="s">
        <v>443</v>
      </c>
      <c r="C261" s="34">
        <v>4301011450</v>
      </c>
      <c r="D261" s="661">
        <v>4680115881402</v>
      </c>
      <c r="E261" s="661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55</v>
      </c>
      <c r="P261" s="81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63"/>
      <c r="R261" s="663"/>
      <c r="S261" s="663"/>
      <c r="T261" s="664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444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27" hidden="1" customHeight="1" x14ac:dyDescent="0.25">
      <c r="A262" s="60" t="s">
        <v>445</v>
      </c>
      <c r="B262" s="60" t="s">
        <v>446</v>
      </c>
      <c r="C262" s="34">
        <v>4301011768</v>
      </c>
      <c r="D262" s="661">
        <v>4680115881396</v>
      </c>
      <c r="E262" s="661"/>
      <c r="F262" s="59">
        <v>0.45</v>
      </c>
      <c r="G262" s="35">
        <v>6</v>
      </c>
      <c r="H262" s="59">
        <v>2.7</v>
      </c>
      <c r="I262" s="59">
        <v>2.88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55</v>
      </c>
      <c r="P262" s="81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63"/>
      <c r="R262" s="663"/>
      <c r="S262" s="663"/>
      <c r="T262" s="664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444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651"/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52"/>
      <c r="P263" s="648" t="s">
        <v>40</v>
      </c>
      <c r="Q263" s="649"/>
      <c r="R263" s="649"/>
      <c r="S263" s="649"/>
      <c r="T263" s="649"/>
      <c r="U263" s="649"/>
      <c r="V263" s="650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660" t="s">
        <v>159</v>
      </c>
      <c r="B265" s="660"/>
      <c r="C265" s="660"/>
      <c r="D265" s="660"/>
      <c r="E265" s="660"/>
      <c r="F265" s="660"/>
      <c r="G265" s="660"/>
      <c r="H265" s="660"/>
      <c r="I265" s="660"/>
      <c r="J265" s="660"/>
      <c r="K265" s="660"/>
      <c r="L265" s="660"/>
      <c r="M265" s="660"/>
      <c r="N265" s="660"/>
      <c r="O265" s="660"/>
      <c r="P265" s="660"/>
      <c r="Q265" s="660"/>
      <c r="R265" s="660"/>
      <c r="S265" s="660"/>
      <c r="T265" s="660"/>
      <c r="U265" s="660"/>
      <c r="V265" s="660"/>
      <c r="W265" s="660"/>
      <c r="X265" s="660"/>
      <c r="Y265" s="660"/>
      <c r="Z265" s="660"/>
      <c r="AA265" s="63"/>
      <c r="AB265" s="63"/>
      <c r="AC265" s="63"/>
    </row>
    <row r="266" spans="1:68" ht="16.5" hidden="1" customHeight="1" x14ac:dyDescent="0.25">
      <c r="A266" s="60" t="s">
        <v>447</v>
      </c>
      <c r="B266" s="60" t="s">
        <v>448</v>
      </c>
      <c r="C266" s="34">
        <v>4301020261</v>
      </c>
      <c r="D266" s="661">
        <v>4680115882935</v>
      </c>
      <c r="E266" s="661"/>
      <c r="F266" s="59">
        <v>1.35</v>
      </c>
      <c r="G266" s="35">
        <v>8</v>
      </c>
      <c r="H266" s="59">
        <v>10.8</v>
      </c>
      <c r="I266" s="59">
        <v>11.21</v>
      </c>
      <c r="J266" s="35">
        <v>64</v>
      </c>
      <c r="K266" s="35" t="s">
        <v>127</v>
      </c>
      <c r="L266" s="35" t="s">
        <v>46</v>
      </c>
      <c r="M266" s="36" t="s">
        <v>126</v>
      </c>
      <c r="N266" s="36"/>
      <c r="O266" s="35">
        <v>50</v>
      </c>
      <c r="P266" s="81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63"/>
      <c r="R266" s="663"/>
      <c r="S266" s="663"/>
      <c r="T266" s="664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49" t="s">
        <v>449</v>
      </c>
      <c r="AG266" s="75"/>
      <c r="AJ266" s="79" t="s">
        <v>46</v>
      </c>
      <c r="AK266" s="79">
        <v>0</v>
      </c>
      <c r="BB266" s="350" t="s">
        <v>67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16.5" hidden="1" customHeight="1" x14ac:dyDescent="0.25">
      <c r="A267" s="60" t="s">
        <v>450</v>
      </c>
      <c r="B267" s="60" t="s">
        <v>451</v>
      </c>
      <c r="C267" s="34">
        <v>4301020220</v>
      </c>
      <c r="D267" s="661">
        <v>4680115880764</v>
      </c>
      <c r="E267" s="661"/>
      <c r="F267" s="59">
        <v>0.35</v>
      </c>
      <c r="G267" s="35">
        <v>6</v>
      </c>
      <c r="H267" s="59">
        <v>2.1</v>
      </c>
      <c r="I267" s="59">
        <v>2.2799999999999998</v>
      </c>
      <c r="J267" s="35">
        <v>182</v>
      </c>
      <c r="K267" s="35" t="s">
        <v>91</v>
      </c>
      <c r="L267" s="35" t="s">
        <v>46</v>
      </c>
      <c r="M267" s="36" t="s">
        <v>126</v>
      </c>
      <c r="N267" s="36"/>
      <c r="O267" s="35">
        <v>50</v>
      </c>
      <c r="P267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63"/>
      <c r="R267" s="663"/>
      <c r="S267" s="663"/>
      <c r="T267" s="664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IFERROR(IF(Y267=0,"",ROUNDUP(Y267/H267,0)*0.00651),"")</f>
        <v/>
      </c>
      <c r="AA267" s="65" t="s">
        <v>46</v>
      </c>
      <c r="AB267" s="66" t="s">
        <v>46</v>
      </c>
      <c r="AC267" s="351" t="s">
        <v>449</v>
      </c>
      <c r="AG267" s="75"/>
      <c r="AJ267" s="79" t="s">
        <v>46</v>
      </c>
      <c r="AK267" s="79">
        <v>0</v>
      </c>
      <c r="BB267" s="352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">
      <c r="A268" s="651"/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52"/>
      <c r="P268" s="648" t="s">
        <v>40</v>
      </c>
      <c r="Q268" s="649"/>
      <c r="R268" s="649"/>
      <c r="S268" s="649"/>
      <c r="T268" s="649"/>
      <c r="U268" s="649"/>
      <c r="V268" s="650"/>
      <c r="W268" s="40" t="s">
        <v>39</v>
      </c>
      <c r="X268" s="41">
        <f>IFERROR(X266/H266,"0")+IFERROR(X267/H267,"0")</f>
        <v>0</v>
      </c>
      <c r="Y268" s="41">
        <f>IFERROR(Y266/H266,"0")+IFERROR(Y267/H267,"0")</f>
        <v>0</v>
      </c>
      <c r="Z268" s="41">
        <f>IFERROR(IF(Z266="",0,Z266),"0")+IFERROR(IF(Z267="",0,Z267),"0")</f>
        <v>0</v>
      </c>
      <c r="AA268" s="64"/>
      <c r="AB268" s="64"/>
      <c r="AC268" s="64"/>
    </row>
    <row r="269" spans="1:68" hidden="1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0" t="s">
        <v>0</v>
      </c>
      <c r="X269" s="41">
        <f>IFERROR(SUM(X266:X267),"0")</f>
        <v>0</v>
      </c>
      <c r="Y269" s="41">
        <f>IFERROR(SUM(Y266:Y267),"0")</f>
        <v>0</v>
      </c>
      <c r="Z269" s="40"/>
      <c r="AA269" s="64"/>
      <c r="AB269" s="64"/>
      <c r="AC269" s="64"/>
    </row>
    <row r="270" spans="1:68" ht="14.25" hidden="1" customHeight="1" x14ac:dyDescent="0.25">
      <c r="A270" s="660" t="s">
        <v>77</v>
      </c>
      <c r="B270" s="660"/>
      <c r="C270" s="660"/>
      <c r="D270" s="660"/>
      <c r="E270" s="660"/>
      <c r="F270" s="660"/>
      <c r="G270" s="660"/>
      <c r="H270" s="660"/>
      <c r="I270" s="660"/>
      <c r="J270" s="660"/>
      <c r="K270" s="660"/>
      <c r="L270" s="660"/>
      <c r="M270" s="660"/>
      <c r="N270" s="660"/>
      <c r="O270" s="660"/>
      <c r="P270" s="660"/>
      <c r="Q270" s="660"/>
      <c r="R270" s="660"/>
      <c r="S270" s="660"/>
      <c r="T270" s="660"/>
      <c r="U270" s="660"/>
      <c r="V270" s="660"/>
      <c r="W270" s="660"/>
      <c r="X270" s="660"/>
      <c r="Y270" s="660"/>
      <c r="Z270" s="660"/>
      <c r="AA270" s="63"/>
      <c r="AB270" s="63"/>
      <c r="AC270" s="63"/>
    </row>
    <row r="271" spans="1:68" ht="27" hidden="1" customHeight="1" x14ac:dyDescent="0.25">
      <c r="A271" s="60" t="s">
        <v>452</v>
      </c>
      <c r="B271" s="60" t="s">
        <v>453</v>
      </c>
      <c r="C271" s="34">
        <v>4301031224</v>
      </c>
      <c r="D271" s="661">
        <v>4680115882683</v>
      </c>
      <c r="E271" s="661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134</v>
      </c>
      <c r="L271" s="35" t="s">
        <v>46</v>
      </c>
      <c r="M271" s="36" t="s">
        <v>81</v>
      </c>
      <c r="N271" s="36"/>
      <c r="O271" s="35">
        <v>40</v>
      </c>
      <c r="P271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63"/>
      <c r="R271" s="663"/>
      <c r="S271" s="663"/>
      <c r="T271" s="664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ref="Y271:Y278" si="38">IFERROR(IF(X271="",0,CEILING((X271/$H271),1)*$H271),"")</f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454</v>
      </c>
      <c r="AG271" s="75"/>
      <c r="AJ271" s="79" t="s">
        <v>46</v>
      </c>
      <c r="AK271" s="79">
        <v>0</v>
      </c>
      <c r="BB271" s="354" t="s">
        <v>67</v>
      </c>
      <c r="BM271" s="75">
        <f t="shared" ref="BM271:BM278" si="39">IFERROR(X271*I271/H271,"0")</f>
        <v>0</v>
      </c>
      <c r="BN271" s="75">
        <f t="shared" ref="BN271:BN278" si="40">IFERROR(Y271*I271/H271,"0")</f>
        <v>0</v>
      </c>
      <c r="BO271" s="75">
        <f t="shared" ref="BO271:BO278" si="41">IFERROR(1/J271*(X271/H271),"0")</f>
        <v>0</v>
      </c>
      <c r="BP271" s="75">
        <f t="shared" ref="BP271:BP278" si="42">IFERROR(1/J271*(Y271/H271),"0")</f>
        <v>0</v>
      </c>
    </row>
    <row r="272" spans="1:68" ht="27" hidden="1" customHeight="1" x14ac:dyDescent="0.25">
      <c r="A272" s="60" t="s">
        <v>455</v>
      </c>
      <c r="B272" s="60" t="s">
        <v>456</v>
      </c>
      <c r="C272" s="34">
        <v>4301031230</v>
      </c>
      <c r="D272" s="661">
        <v>4680115882690</v>
      </c>
      <c r="E272" s="661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63"/>
      <c r="R272" s="663"/>
      <c r="S272" s="663"/>
      <c r="T272" s="664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457</v>
      </c>
      <c r="AG272" s="75"/>
      <c r="AJ272" s="79" t="s">
        <v>46</v>
      </c>
      <c r="AK272" s="79">
        <v>0</v>
      </c>
      <c r="BB272" s="356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458</v>
      </c>
      <c r="B273" s="60" t="s">
        <v>459</v>
      </c>
      <c r="C273" s="34">
        <v>4301031220</v>
      </c>
      <c r="D273" s="661">
        <v>4680115882669</v>
      </c>
      <c r="E273" s="661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134</v>
      </c>
      <c r="L273" s="35" t="s">
        <v>46</v>
      </c>
      <c r="M273" s="36" t="s">
        <v>81</v>
      </c>
      <c r="N273" s="36"/>
      <c r="O273" s="35">
        <v>40</v>
      </c>
      <c r="P273" s="8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63"/>
      <c r="R273" s="663"/>
      <c r="S273" s="663"/>
      <c r="T273" s="664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460</v>
      </c>
      <c r="AG273" s="75"/>
      <c r="AJ273" s="79" t="s">
        <v>46</v>
      </c>
      <c r="AK273" s="79">
        <v>0</v>
      </c>
      <c r="BB273" s="358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t="27" hidden="1" customHeight="1" x14ac:dyDescent="0.25">
      <c r="A274" s="60" t="s">
        <v>461</v>
      </c>
      <c r="B274" s="60" t="s">
        <v>462</v>
      </c>
      <c r="C274" s="34">
        <v>4301031221</v>
      </c>
      <c r="D274" s="661">
        <v>4680115882676</v>
      </c>
      <c r="E274" s="661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134</v>
      </c>
      <c r="L274" s="35" t="s">
        <v>46</v>
      </c>
      <c r="M274" s="36" t="s">
        <v>81</v>
      </c>
      <c r="N274" s="36"/>
      <c r="O274" s="35">
        <v>40</v>
      </c>
      <c r="P274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63"/>
      <c r="R274" s="663"/>
      <c r="S274" s="663"/>
      <c r="T274" s="664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8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463</v>
      </c>
      <c r="AG274" s="75"/>
      <c r="AJ274" s="79" t="s">
        <v>46</v>
      </c>
      <c r="AK274" s="79">
        <v>0</v>
      </c>
      <c r="BB274" s="360" t="s">
        <v>67</v>
      </c>
      <c r="BM274" s="75">
        <f t="shared" si="39"/>
        <v>0</v>
      </c>
      <c r="BN274" s="75">
        <f t="shared" si="40"/>
        <v>0</v>
      </c>
      <c r="BO274" s="75">
        <f t="shared" si="41"/>
        <v>0</v>
      </c>
      <c r="BP274" s="75">
        <f t="shared" si="42"/>
        <v>0</v>
      </c>
    </row>
    <row r="275" spans="1:68" ht="27" hidden="1" customHeight="1" x14ac:dyDescent="0.25">
      <c r="A275" s="60" t="s">
        <v>464</v>
      </c>
      <c r="B275" s="60" t="s">
        <v>465</v>
      </c>
      <c r="C275" s="34">
        <v>4301031223</v>
      </c>
      <c r="D275" s="661">
        <v>4680115884014</v>
      </c>
      <c r="E275" s="661"/>
      <c r="F275" s="59">
        <v>0.3</v>
      </c>
      <c r="G275" s="35">
        <v>6</v>
      </c>
      <c r="H275" s="59">
        <v>1.8</v>
      </c>
      <c r="I275" s="59">
        <v>1.93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8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63"/>
      <c r="R275" s="663"/>
      <c r="S275" s="663"/>
      <c r="T275" s="664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8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454</v>
      </c>
      <c r="AG275" s="75"/>
      <c r="AJ275" s="79" t="s">
        <v>46</v>
      </c>
      <c r="AK275" s="79">
        <v>0</v>
      </c>
      <c r="BB275" s="362" t="s">
        <v>67</v>
      </c>
      <c r="BM275" s="75">
        <f t="shared" si="39"/>
        <v>0</v>
      </c>
      <c r="BN275" s="75">
        <f t="shared" si="40"/>
        <v>0</v>
      </c>
      <c r="BO275" s="75">
        <f t="shared" si="41"/>
        <v>0</v>
      </c>
      <c r="BP275" s="75">
        <f t="shared" si="42"/>
        <v>0</v>
      </c>
    </row>
    <row r="276" spans="1:68" ht="27" hidden="1" customHeight="1" x14ac:dyDescent="0.25">
      <c r="A276" s="60" t="s">
        <v>466</v>
      </c>
      <c r="B276" s="60" t="s">
        <v>467</v>
      </c>
      <c r="C276" s="34">
        <v>4301031222</v>
      </c>
      <c r="D276" s="661">
        <v>4680115884007</v>
      </c>
      <c r="E276" s="661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63"/>
      <c r="R276" s="663"/>
      <c r="S276" s="663"/>
      <c r="T276" s="664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8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457</v>
      </c>
      <c r="AG276" s="75"/>
      <c r="AJ276" s="79" t="s">
        <v>46</v>
      </c>
      <c r="AK276" s="79">
        <v>0</v>
      </c>
      <c r="BB276" s="364" t="s">
        <v>67</v>
      </c>
      <c r="BM276" s="75">
        <f t="shared" si="39"/>
        <v>0</v>
      </c>
      <c r="BN276" s="75">
        <f t="shared" si="40"/>
        <v>0</v>
      </c>
      <c r="BO276" s="75">
        <f t="shared" si="41"/>
        <v>0</v>
      </c>
      <c r="BP276" s="75">
        <f t="shared" si="42"/>
        <v>0</v>
      </c>
    </row>
    <row r="277" spans="1:68" ht="27" hidden="1" customHeight="1" x14ac:dyDescent="0.25">
      <c r="A277" s="60" t="s">
        <v>468</v>
      </c>
      <c r="B277" s="60" t="s">
        <v>469</v>
      </c>
      <c r="C277" s="34">
        <v>4301031229</v>
      </c>
      <c r="D277" s="661">
        <v>4680115884038</v>
      </c>
      <c r="E277" s="661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82</v>
      </c>
      <c r="L277" s="35" t="s">
        <v>46</v>
      </c>
      <c r="M277" s="36" t="s">
        <v>81</v>
      </c>
      <c r="N277" s="36"/>
      <c r="O277" s="35">
        <v>40</v>
      </c>
      <c r="P277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63"/>
      <c r="R277" s="663"/>
      <c r="S277" s="663"/>
      <c r="T277" s="664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8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460</v>
      </c>
      <c r="AG277" s="75"/>
      <c r="AJ277" s="79" t="s">
        <v>46</v>
      </c>
      <c r="AK277" s="79">
        <v>0</v>
      </c>
      <c r="BB277" s="366" t="s">
        <v>67</v>
      </c>
      <c r="BM277" s="75">
        <f t="shared" si="39"/>
        <v>0</v>
      </c>
      <c r="BN277" s="75">
        <f t="shared" si="40"/>
        <v>0</v>
      </c>
      <c r="BO277" s="75">
        <f t="shared" si="41"/>
        <v>0</v>
      </c>
      <c r="BP277" s="75">
        <f t="shared" si="42"/>
        <v>0</v>
      </c>
    </row>
    <row r="278" spans="1:68" ht="27" hidden="1" customHeight="1" x14ac:dyDescent="0.25">
      <c r="A278" s="60" t="s">
        <v>470</v>
      </c>
      <c r="B278" s="60" t="s">
        <v>471</v>
      </c>
      <c r="C278" s="34">
        <v>4301031225</v>
      </c>
      <c r="D278" s="661">
        <v>4680115884021</v>
      </c>
      <c r="E278" s="661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82</v>
      </c>
      <c r="L278" s="35" t="s">
        <v>46</v>
      </c>
      <c r="M278" s="36" t="s">
        <v>81</v>
      </c>
      <c r="N278" s="36"/>
      <c r="O278" s="35">
        <v>40</v>
      </c>
      <c r="P278" s="7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63"/>
      <c r="R278" s="663"/>
      <c r="S278" s="663"/>
      <c r="T278" s="664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8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463</v>
      </c>
      <c r="AG278" s="75"/>
      <c r="AJ278" s="79" t="s">
        <v>46</v>
      </c>
      <c r="AK278" s="79">
        <v>0</v>
      </c>
      <c r="BB278" s="368" t="s">
        <v>67</v>
      </c>
      <c r="BM278" s="75">
        <f t="shared" si="39"/>
        <v>0</v>
      </c>
      <c r="BN278" s="75">
        <f t="shared" si="40"/>
        <v>0</v>
      </c>
      <c r="BO278" s="75">
        <f t="shared" si="41"/>
        <v>0</v>
      </c>
      <c r="BP278" s="75">
        <f t="shared" si="42"/>
        <v>0</v>
      </c>
    </row>
    <row r="279" spans="1:68" hidden="1" x14ac:dyDescent="0.2">
      <c r="A279" s="651"/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2"/>
      <c r="P279" s="648" t="s">
        <v>40</v>
      </c>
      <c r="Q279" s="649"/>
      <c r="R279" s="649"/>
      <c r="S279" s="649"/>
      <c r="T279" s="649"/>
      <c r="U279" s="649"/>
      <c r="V279" s="650"/>
      <c r="W279" s="40" t="s">
        <v>39</v>
      </c>
      <c r="X279" s="41">
        <f>IFERROR(X271/H271,"0")+IFERROR(X272/H272,"0")+IFERROR(X273/H273,"0")+IFERROR(X274/H274,"0")+IFERROR(X275/H275,"0")+IFERROR(X276/H276,"0")+IFERROR(X277/H277,"0")+IFERROR(X278/H278,"0")</f>
        <v>0</v>
      </c>
      <c r="Y279" s="41">
        <f>IFERROR(Y271/H271,"0")+IFERROR(Y272/H272,"0")+IFERROR(Y273/H273,"0")+IFERROR(Y274/H274,"0")+IFERROR(Y275/H275,"0")+IFERROR(Y276/H276,"0")+IFERROR(Y277/H277,"0")+IFERROR(Y278/H278,"0")</f>
        <v>0</v>
      </c>
      <c r="Z279" s="41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4"/>
      <c r="AB279" s="64"/>
      <c r="AC279" s="64"/>
    </row>
    <row r="280" spans="1:68" hidden="1" x14ac:dyDescent="0.2">
      <c r="A280" s="651"/>
      <c r="B280" s="651"/>
      <c r="C280" s="651"/>
      <c r="D280" s="651"/>
      <c r="E280" s="651"/>
      <c r="F280" s="651"/>
      <c r="G280" s="651"/>
      <c r="H280" s="651"/>
      <c r="I280" s="651"/>
      <c r="J280" s="651"/>
      <c r="K280" s="651"/>
      <c r="L280" s="651"/>
      <c r="M280" s="651"/>
      <c r="N280" s="651"/>
      <c r="O280" s="652"/>
      <c r="P280" s="648" t="s">
        <v>40</v>
      </c>
      <c r="Q280" s="649"/>
      <c r="R280" s="649"/>
      <c r="S280" s="649"/>
      <c r="T280" s="649"/>
      <c r="U280" s="649"/>
      <c r="V280" s="650"/>
      <c r="W280" s="40" t="s">
        <v>0</v>
      </c>
      <c r="X280" s="41">
        <f>IFERROR(SUM(X271:X278),"0")</f>
        <v>0</v>
      </c>
      <c r="Y280" s="41">
        <f>IFERROR(SUM(Y271:Y278),"0")</f>
        <v>0</v>
      </c>
      <c r="Z280" s="40"/>
      <c r="AA280" s="64"/>
      <c r="AB280" s="64"/>
      <c r="AC280" s="64"/>
    </row>
    <row r="281" spans="1:68" ht="14.25" hidden="1" customHeight="1" x14ac:dyDescent="0.25">
      <c r="A281" s="660" t="s">
        <v>86</v>
      </c>
      <c r="B281" s="660"/>
      <c r="C281" s="660"/>
      <c r="D281" s="660"/>
      <c r="E281" s="660"/>
      <c r="F281" s="660"/>
      <c r="G281" s="660"/>
      <c r="H281" s="660"/>
      <c r="I281" s="660"/>
      <c r="J281" s="660"/>
      <c r="K281" s="660"/>
      <c r="L281" s="660"/>
      <c r="M281" s="660"/>
      <c r="N281" s="660"/>
      <c r="O281" s="660"/>
      <c r="P281" s="660"/>
      <c r="Q281" s="660"/>
      <c r="R281" s="660"/>
      <c r="S281" s="660"/>
      <c r="T281" s="660"/>
      <c r="U281" s="660"/>
      <c r="V281" s="660"/>
      <c r="W281" s="660"/>
      <c r="X281" s="660"/>
      <c r="Y281" s="660"/>
      <c r="Z281" s="660"/>
      <c r="AA281" s="63"/>
      <c r="AB281" s="63"/>
      <c r="AC281" s="63"/>
    </row>
    <row r="282" spans="1:68" ht="27" hidden="1" customHeight="1" x14ac:dyDescent="0.25">
      <c r="A282" s="60" t="s">
        <v>472</v>
      </c>
      <c r="B282" s="60" t="s">
        <v>473</v>
      </c>
      <c r="C282" s="34">
        <v>4301051408</v>
      </c>
      <c r="D282" s="661">
        <v>4680115881594</v>
      </c>
      <c r="E282" s="661"/>
      <c r="F282" s="59">
        <v>1.35</v>
      </c>
      <c r="G282" s="35">
        <v>6</v>
      </c>
      <c r="H282" s="59">
        <v>8.1</v>
      </c>
      <c r="I282" s="59">
        <v>8.5939999999999994</v>
      </c>
      <c r="J282" s="35">
        <v>64</v>
      </c>
      <c r="K282" s="35" t="s">
        <v>127</v>
      </c>
      <c r="L282" s="35" t="s">
        <v>46</v>
      </c>
      <c r="M282" s="36" t="s">
        <v>90</v>
      </c>
      <c r="N282" s="36"/>
      <c r="O282" s="35">
        <v>40</v>
      </c>
      <c r="P282" s="8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63"/>
      <c r="R282" s="663"/>
      <c r="S282" s="663"/>
      <c r="T282" s="664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ref="Y282:Y293" si="43">IFERROR(IF(X282="",0,CEILING((X282/$H282),1)*$H282),"")</f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474</v>
      </c>
      <c r="AG282" s="75"/>
      <c r="AJ282" s="79" t="s">
        <v>46</v>
      </c>
      <c r="AK282" s="79">
        <v>0</v>
      </c>
      <c r="BB282" s="370" t="s">
        <v>67</v>
      </c>
      <c r="BM282" s="75">
        <f t="shared" ref="BM282:BM293" si="44">IFERROR(X282*I282/H282,"0")</f>
        <v>0</v>
      </c>
      <c r="BN282" s="75">
        <f t="shared" ref="BN282:BN293" si="45">IFERROR(Y282*I282/H282,"0")</f>
        <v>0</v>
      </c>
      <c r="BO282" s="75">
        <f t="shared" ref="BO282:BO293" si="46">IFERROR(1/J282*(X282/H282),"0")</f>
        <v>0</v>
      </c>
      <c r="BP282" s="75">
        <f t="shared" ref="BP282:BP293" si="47">IFERROR(1/J282*(Y282/H282),"0")</f>
        <v>0</v>
      </c>
    </row>
    <row r="283" spans="1:68" ht="27" hidden="1" customHeight="1" x14ac:dyDescent="0.25">
      <c r="A283" s="60" t="s">
        <v>475</v>
      </c>
      <c r="B283" s="60" t="s">
        <v>476</v>
      </c>
      <c r="C283" s="34">
        <v>4301051411</v>
      </c>
      <c r="D283" s="661">
        <v>4680115881617</v>
      </c>
      <c r="E283" s="661"/>
      <c r="F283" s="59">
        <v>1.35</v>
      </c>
      <c r="G283" s="35">
        <v>6</v>
      </c>
      <c r="H283" s="59">
        <v>8.1</v>
      </c>
      <c r="I283" s="59">
        <v>8.5760000000000005</v>
      </c>
      <c r="J283" s="35">
        <v>64</v>
      </c>
      <c r="K283" s="35" t="s">
        <v>127</v>
      </c>
      <c r="L283" s="35" t="s">
        <v>46</v>
      </c>
      <c r="M283" s="36" t="s">
        <v>90</v>
      </c>
      <c r="N283" s="36"/>
      <c r="O283" s="35">
        <v>40</v>
      </c>
      <c r="P283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63"/>
      <c r="R283" s="663"/>
      <c r="S283" s="663"/>
      <c r="T283" s="664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477</v>
      </c>
      <c r="AG283" s="75"/>
      <c r="AJ283" s="79" t="s">
        <v>46</v>
      </c>
      <c r="AK283" s="79">
        <v>0</v>
      </c>
      <c r="BB283" s="372" t="s">
        <v>67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478</v>
      </c>
      <c r="B284" s="60" t="s">
        <v>479</v>
      </c>
      <c r="C284" s="34">
        <v>4301051656</v>
      </c>
      <c r="D284" s="661">
        <v>4680115880573</v>
      </c>
      <c r="E284" s="661"/>
      <c r="F284" s="59">
        <v>1.45</v>
      </c>
      <c r="G284" s="35">
        <v>6</v>
      </c>
      <c r="H284" s="59">
        <v>8.6999999999999993</v>
      </c>
      <c r="I284" s="59">
        <v>9.1940000000000008</v>
      </c>
      <c r="J284" s="35">
        <v>64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8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63"/>
      <c r="R284" s="663"/>
      <c r="S284" s="663"/>
      <c r="T284" s="664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480</v>
      </c>
      <c r="AG284" s="75"/>
      <c r="AJ284" s="79" t="s">
        <v>46</v>
      </c>
      <c r="AK284" s="79">
        <v>0</v>
      </c>
      <c r="BB284" s="374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481</v>
      </c>
      <c r="B285" s="60" t="s">
        <v>482</v>
      </c>
      <c r="C285" s="34">
        <v>4301051407</v>
      </c>
      <c r="D285" s="661">
        <v>4680115882195</v>
      </c>
      <c r="E285" s="661"/>
      <c r="F285" s="59">
        <v>0.4</v>
      </c>
      <c r="G285" s="35">
        <v>6</v>
      </c>
      <c r="H285" s="59">
        <v>2.4</v>
      </c>
      <c r="I285" s="59">
        <v>2.67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40</v>
      </c>
      <c r="P285" s="8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63"/>
      <c r="R285" s="663"/>
      <c r="S285" s="663"/>
      <c r="T285" s="664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75" t="s">
        <v>474</v>
      </c>
      <c r="AG285" s="75"/>
      <c r="AJ285" s="79" t="s">
        <v>46</v>
      </c>
      <c r="AK285" s="79">
        <v>0</v>
      </c>
      <c r="BB285" s="376" t="s">
        <v>67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483</v>
      </c>
      <c r="B286" s="60" t="s">
        <v>484</v>
      </c>
      <c r="C286" s="34">
        <v>4301051752</v>
      </c>
      <c r="D286" s="661">
        <v>4680115882607</v>
      </c>
      <c r="E286" s="661"/>
      <c r="F286" s="59">
        <v>0.3</v>
      </c>
      <c r="G286" s="35">
        <v>6</v>
      </c>
      <c r="H286" s="59">
        <v>1.8</v>
      </c>
      <c r="I286" s="59">
        <v>2.052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45</v>
      </c>
      <c r="P286" s="8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63"/>
      <c r="R286" s="663"/>
      <c r="S286" s="663"/>
      <c r="T286" s="664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480</v>
      </c>
      <c r="AG286" s="75"/>
      <c r="AJ286" s="79" t="s">
        <v>46</v>
      </c>
      <c r="AK286" s="79">
        <v>0</v>
      </c>
      <c r="BB286" s="378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485</v>
      </c>
      <c r="B287" s="60" t="s">
        <v>486</v>
      </c>
      <c r="C287" s="34">
        <v>4301052143</v>
      </c>
      <c r="D287" s="661">
        <v>4680115882607</v>
      </c>
      <c r="E287" s="661"/>
      <c r="F287" s="59">
        <v>0.3</v>
      </c>
      <c r="G287" s="35">
        <v>6</v>
      </c>
      <c r="H287" s="59">
        <v>1.8</v>
      </c>
      <c r="I287" s="59">
        <v>2.0619999999999998</v>
      </c>
      <c r="J287" s="35">
        <v>132</v>
      </c>
      <c r="K287" s="35" t="s">
        <v>134</v>
      </c>
      <c r="L287" s="35" t="s">
        <v>46</v>
      </c>
      <c r="M287" s="36" t="s">
        <v>90</v>
      </c>
      <c r="N287" s="36"/>
      <c r="O287" s="35">
        <v>45</v>
      </c>
      <c r="P287" s="80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63"/>
      <c r="R287" s="663"/>
      <c r="S287" s="663"/>
      <c r="T287" s="664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67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488</v>
      </c>
      <c r="B288" s="60" t="s">
        <v>489</v>
      </c>
      <c r="C288" s="34">
        <v>4301051666</v>
      </c>
      <c r="D288" s="661">
        <v>4680115880092</v>
      </c>
      <c r="E288" s="661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9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63"/>
      <c r="R288" s="663"/>
      <c r="S288" s="663"/>
      <c r="T288" s="664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480</v>
      </c>
      <c r="AG288" s="75"/>
      <c r="AJ288" s="79" t="s">
        <v>46</v>
      </c>
      <c r="AK288" s="79">
        <v>0</v>
      </c>
      <c r="BB288" s="382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t="27" hidden="1" customHeight="1" x14ac:dyDescent="0.25">
      <c r="A289" s="60" t="s">
        <v>490</v>
      </c>
      <c r="B289" s="60" t="s">
        <v>491</v>
      </c>
      <c r="C289" s="34">
        <v>4301052214</v>
      </c>
      <c r="D289" s="661">
        <v>4680115889064</v>
      </c>
      <c r="E289" s="661"/>
      <c r="F289" s="59">
        <v>0.7</v>
      </c>
      <c r="G289" s="35">
        <v>6</v>
      </c>
      <c r="H289" s="59">
        <v>4.2</v>
      </c>
      <c r="I289" s="59">
        <v>4.6159999999999997</v>
      </c>
      <c r="J289" s="35">
        <v>104</v>
      </c>
      <c r="K289" s="35" t="s">
        <v>127</v>
      </c>
      <c r="L289" s="35" t="s">
        <v>46</v>
      </c>
      <c r="M289" s="36" t="s">
        <v>90</v>
      </c>
      <c r="N289" s="36"/>
      <c r="O289" s="35">
        <v>45</v>
      </c>
      <c r="P289" s="79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63"/>
      <c r="R289" s="663"/>
      <c r="S289" s="663"/>
      <c r="T289" s="664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3"/>
        <v>0</v>
      </c>
      <c r="Z289" s="39" t="str">
        <f>IFERROR(IF(Y289=0,"",ROUNDUP(Y289/H289,0)*0.01196),"")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67</v>
      </c>
      <c r="BM289" s="75">
        <f t="shared" si="44"/>
        <v>0</v>
      </c>
      <c r="BN289" s="75">
        <f t="shared" si="45"/>
        <v>0</v>
      </c>
      <c r="BO289" s="75">
        <f t="shared" si="46"/>
        <v>0</v>
      </c>
      <c r="BP289" s="75">
        <f t="shared" si="47"/>
        <v>0</v>
      </c>
    </row>
    <row r="290" spans="1:68" ht="27" hidden="1" customHeight="1" x14ac:dyDescent="0.25">
      <c r="A290" s="60" t="s">
        <v>492</v>
      </c>
      <c r="B290" s="60" t="s">
        <v>493</v>
      </c>
      <c r="C290" s="34">
        <v>4301051668</v>
      </c>
      <c r="D290" s="661">
        <v>4680115880221</v>
      </c>
      <c r="E290" s="661"/>
      <c r="F290" s="59">
        <v>0.4</v>
      </c>
      <c r="G290" s="35">
        <v>6</v>
      </c>
      <c r="H290" s="59">
        <v>2.4</v>
      </c>
      <c r="I290" s="59">
        <v>2.6520000000000001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45</v>
      </c>
      <c r="P290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63"/>
      <c r="R290" s="663"/>
      <c r="S290" s="663"/>
      <c r="T290" s="664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3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480</v>
      </c>
      <c r="AG290" s="75"/>
      <c r="AJ290" s="79" t="s">
        <v>46</v>
      </c>
      <c r="AK290" s="79">
        <v>0</v>
      </c>
      <c r="BB290" s="386" t="s">
        <v>67</v>
      </c>
      <c r="BM290" s="75">
        <f t="shared" si="44"/>
        <v>0</v>
      </c>
      <c r="BN290" s="75">
        <f t="shared" si="45"/>
        <v>0</v>
      </c>
      <c r="BO290" s="75">
        <f t="shared" si="46"/>
        <v>0</v>
      </c>
      <c r="BP290" s="75">
        <f t="shared" si="47"/>
        <v>0</v>
      </c>
    </row>
    <row r="291" spans="1:68" ht="27" hidden="1" customHeight="1" x14ac:dyDescent="0.25">
      <c r="A291" s="60" t="s">
        <v>494</v>
      </c>
      <c r="B291" s="60" t="s">
        <v>495</v>
      </c>
      <c r="C291" s="34">
        <v>4301051945</v>
      </c>
      <c r="D291" s="661">
        <v>4680115880504</v>
      </c>
      <c r="E291" s="661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97</v>
      </c>
      <c r="N291" s="36"/>
      <c r="O291" s="35">
        <v>40</v>
      </c>
      <c r="P291" s="79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63"/>
      <c r="R291" s="663"/>
      <c r="S291" s="663"/>
      <c r="T291" s="664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3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496</v>
      </c>
      <c r="AG291" s="75"/>
      <c r="AJ291" s="79" t="s">
        <v>46</v>
      </c>
      <c r="AK291" s="79">
        <v>0</v>
      </c>
      <c r="BB291" s="388" t="s">
        <v>67</v>
      </c>
      <c r="BM291" s="75">
        <f t="shared" si="44"/>
        <v>0</v>
      </c>
      <c r="BN291" s="75">
        <f t="shared" si="45"/>
        <v>0</v>
      </c>
      <c r="BO291" s="75">
        <f t="shared" si="46"/>
        <v>0</v>
      </c>
      <c r="BP291" s="75">
        <f t="shared" si="47"/>
        <v>0</v>
      </c>
    </row>
    <row r="292" spans="1:68" ht="27" hidden="1" customHeight="1" x14ac:dyDescent="0.25">
      <c r="A292" s="60" t="s">
        <v>497</v>
      </c>
      <c r="B292" s="60" t="s">
        <v>498</v>
      </c>
      <c r="C292" s="34">
        <v>4301051410</v>
      </c>
      <c r="D292" s="661">
        <v>4680115882164</v>
      </c>
      <c r="E292" s="661"/>
      <c r="F292" s="59">
        <v>0.4</v>
      </c>
      <c r="G292" s="35">
        <v>6</v>
      </c>
      <c r="H292" s="59">
        <v>2.4</v>
      </c>
      <c r="I292" s="59">
        <v>2.6579999999999999</v>
      </c>
      <c r="J292" s="35">
        <v>182</v>
      </c>
      <c r="K292" s="35" t="s">
        <v>91</v>
      </c>
      <c r="L292" s="35" t="s">
        <v>46</v>
      </c>
      <c r="M292" s="36" t="s">
        <v>90</v>
      </c>
      <c r="N292" s="36"/>
      <c r="O292" s="35">
        <v>40</v>
      </c>
      <c r="P292" s="7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63"/>
      <c r="R292" s="663"/>
      <c r="S292" s="663"/>
      <c r="T292" s="664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3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499</v>
      </c>
      <c r="AG292" s="75"/>
      <c r="AJ292" s="79" t="s">
        <v>46</v>
      </c>
      <c r="AK292" s="79">
        <v>0</v>
      </c>
      <c r="BB292" s="390" t="s">
        <v>67</v>
      </c>
      <c r="BM292" s="75">
        <f t="shared" si="44"/>
        <v>0</v>
      </c>
      <c r="BN292" s="75">
        <f t="shared" si="45"/>
        <v>0</v>
      </c>
      <c r="BO292" s="75">
        <f t="shared" si="46"/>
        <v>0</v>
      </c>
      <c r="BP292" s="75">
        <f t="shared" si="47"/>
        <v>0</v>
      </c>
    </row>
    <row r="293" spans="1:68" ht="27" hidden="1" customHeight="1" x14ac:dyDescent="0.25">
      <c r="A293" s="60" t="s">
        <v>500</v>
      </c>
      <c r="B293" s="60" t="s">
        <v>501</v>
      </c>
      <c r="C293" s="34">
        <v>4301052180</v>
      </c>
      <c r="D293" s="661">
        <v>4680115888340</v>
      </c>
      <c r="E293" s="661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45</v>
      </c>
      <c r="P293" s="79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63"/>
      <c r="R293" s="663"/>
      <c r="S293" s="663"/>
      <c r="T293" s="664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3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502</v>
      </c>
      <c r="AG293" s="75"/>
      <c r="AJ293" s="79" t="s">
        <v>46</v>
      </c>
      <c r="AK293" s="79">
        <v>0</v>
      </c>
      <c r="BB293" s="392" t="s">
        <v>67</v>
      </c>
      <c r="BM293" s="75">
        <f t="shared" si="44"/>
        <v>0</v>
      </c>
      <c r="BN293" s="75">
        <f t="shared" si="45"/>
        <v>0</v>
      </c>
      <c r="BO293" s="75">
        <f t="shared" si="46"/>
        <v>0</v>
      </c>
      <c r="BP293" s="75">
        <f t="shared" si="47"/>
        <v>0</v>
      </c>
    </row>
    <row r="294" spans="1:68" hidden="1" x14ac:dyDescent="0.2">
      <c r="A294" s="651"/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2"/>
      <c r="P294" s="648" t="s">
        <v>40</v>
      </c>
      <c r="Q294" s="649"/>
      <c r="R294" s="649"/>
      <c r="S294" s="649"/>
      <c r="T294" s="649"/>
      <c r="U294" s="649"/>
      <c r="V294" s="650"/>
      <c r="W294" s="40" t="s">
        <v>39</v>
      </c>
      <c r="X294" s="41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1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1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4"/>
      <c r="AB294" s="64"/>
      <c r="AC294" s="64"/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0" t="s">
        <v>0</v>
      </c>
      <c r="X295" s="41">
        <f>IFERROR(SUM(X282:X293),"0")</f>
        <v>0</v>
      </c>
      <c r="Y295" s="41">
        <f>IFERROR(SUM(Y282:Y293),"0")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60" t="s">
        <v>178</v>
      </c>
      <c r="B296" s="660"/>
      <c r="C296" s="660"/>
      <c r="D296" s="660"/>
      <c r="E296" s="660"/>
      <c r="F296" s="660"/>
      <c r="G296" s="660"/>
      <c r="H296" s="660"/>
      <c r="I296" s="660"/>
      <c r="J296" s="660"/>
      <c r="K296" s="660"/>
      <c r="L296" s="660"/>
      <c r="M296" s="660"/>
      <c r="N296" s="660"/>
      <c r="O296" s="660"/>
      <c r="P296" s="660"/>
      <c r="Q296" s="660"/>
      <c r="R296" s="660"/>
      <c r="S296" s="660"/>
      <c r="T296" s="660"/>
      <c r="U296" s="660"/>
      <c r="V296" s="660"/>
      <c r="W296" s="660"/>
      <c r="X296" s="660"/>
      <c r="Y296" s="660"/>
      <c r="Z296" s="660"/>
      <c r="AA296" s="63"/>
      <c r="AB296" s="63"/>
      <c r="AC296" s="63"/>
    </row>
    <row r="297" spans="1:68" ht="27" hidden="1" customHeight="1" x14ac:dyDescent="0.25">
      <c r="A297" s="60" t="s">
        <v>503</v>
      </c>
      <c r="B297" s="60" t="s">
        <v>504</v>
      </c>
      <c r="C297" s="34">
        <v>4301060463</v>
      </c>
      <c r="D297" s="661">
        <v>4680115880818</v>
      </c>
      <c r="E297" s="661"/>
      <c r="F297" s="59">
        <v>0.4</v>
      </c>
      <c r="G297" s="35">
        <v>6</v>
      </c>
      <c r="H297" s="59">
        <v>2.4</v>
      </c>
      <c r="I297" s="59">
        <v>2.6520000000000001</v>
      </c>
      <c r="J297" s="35">
        <v>182</v>
      </c>
      <c r="K297" s="35" t="s">
        <v>91</v>
      </c>
      <c r="L297" s="35" t="s">
        <v>46</v>
      </c>
      <c r="M297" s="36" t="s">
        <v>97</v>
      </c>
      <c r="N297" s="36"/>
      <c r="O297" s="35">
        <v>40</v>
      </c>
      <c r="P297" s="7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63"/>
      <c r="R297" s="663"/>
      <c r="S297" s="663"/>
      <c r="T297" s="664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IFERROR(IF(Y297=0,"",ROUNDUP(Y297/H297,0)*0.00651),"")</f>
        <v/>
      </c>
      <c r="AA297" s="65" t="s">
        <v>46</v>
      </c>
      <c r="AB297" s="66" t="s">
        <v>46</v>
      </c>
      <c r="AC297" s="393" t="s">
        <v>505</v>
      </c>
      <c r="AG297" s="75"/>
      <c r="AJ297" s="79" t="s">
        <v>46</v>
      </c>
      <c r="AK297" s="79">
        <v>0</v>
      </c>
      <c r="BB297" s="394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27" hidden="1" customHeight="1" x14ac:dyDescent="0.25">
      <c r="A298" s="60" t="s">
        <v>506</v>
      </c>
      <c r="B298" s="60" t="s">
        <v>507</v>
      </c>
      <c r="C298" s="34">
        <v>4301060389</v>
      </c>
      <c r="D298" s="661">
        <v>4680115880801</v>
      </c>
      <c r="E298" s="661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90</v>
      </c>
      <c r="N298" s="36"/>
      <c r="O298" s="35">
        <v>40</v>
      </c>
      <c r="P298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63"/>
      <c r="R298" s="663"/>
      <c r="S298" s="663"/>
      <c r="T298" s="664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508</v>
      </c>
      <c r="AG298" s="75"/>
      <c r="AJ298" s="79" t="s">
        <v>46</v>
      </c>
      <c r="AK298" s="79">
        <v>0</v>
      </c>
      <c r="BB298" s="396" t="s">
        <v>67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idden="1" x14ac:dyDescent="0.2">
      <c r="A299" s="651"/>
      <c r="B299" s="651"/>
      <c r="C299" s="651"/>
      <c r="D299" s="651"/>
      <c r="E299" s="651"/>
      <c r="F299" s="651"/>
      <c r="G299" s="651"/>
      <c r="H299" s="651"/>
      <c r="I299" s="651"/>
      <c r="J299" s="651"/>
      <c r="K299" s="651"/>
      <c r="L299" s="651"/>
      <c r="M299" s="651"/>
      <c r="N299" s="651"/>
      <c r="O299" s="652"/>
      <c r="P299" s="648" t="s">
        <v>40</v>
      </c>
      <c r="Q299" s="649"/>
      <c r="R299" s="649"/>
      <c r="S299" s="649"/>
      <c r="T299" s="649"/>
      <c r="U299" s="649"/>
      <c r="V299" s="650"/>
      <c r="W299" s="40" t="s">
        <v>39</v>
      </c>
      <c r="X299" s="41">
        <f>IFERROR(X297/H297,"0")+IFERROR(X298/H298,"0")</f>
        <v>0</v>
      </c>
      <c r="Y299" s="41">
        <f>IFERROR(Y297/H297,"0")+IFERROR(Y298/H298,"0")</f>
        <v>0</v>
      </c>
      <c r="Z299" s="41">
        <f>IFERROR(IF(Z297="",0,Z297),"0")+IFERROR(IF(Z298="",0,Z298),"0")</f>
        <v>0</v>
      </c>
      <c r="AA299" s="64"/>
      <c r="AB299" s="64"/>
      <c r="AC299" s="64"/>
    </row>
    <row r="300" spans="1:68" hidden="1" x14ac:dyDescent="0.2">
      <c r="A300" s="651"/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2"/>
      <c r="P300" s="648" t="s">
        <v>40</v>
      </c>
      <c r="Q300" s="649"/>
      <c r="R300" s="649"/>
      <c r="S300" s="649"/>
      <c r="T300" s="649"/>
      <c r="U300" s="649"/>
      <c r="V300" s="650"/>
      <c r="W300" s="40" t="s">
        <v>0</v>
      </c>
      <c r="X300" s="41">
        <f>IFERROR(SUM(X297:X298),"0")</f>
        <v>0</v>
      </c>
      <c r="Y300" s="41">
        <f>IFERROR(SUM(Y297:Y298),"0")</f>
        <v>0</v>
      </c>
      <c r="Z300" s="40"/>
      <c r="AA300" s="64"/>
      <c r="AB300" s="64"/>
      <c r="AC300" s="64"/>
    </row>
    <row r="301" spans="1:68" ht="16.5" hidden="1" customHeight="1" x14ac:dyDescent="0.25">
      <c r="A301" s="667" t="s">
        <v>509</v>
      </c>
      <c r="B301" s="667"/>
      <c r="C301" s="667"/>
      <c r="D301" s="667"/>
      <c r="E301" s="667"/>
      <c r="F301" s="667"/>
      <c r="G301" s="667"/>
      <c r="H301" s="667"/>
      <c r="I301" s="667"/>
      <c r="J301" s="667"/>
      <c r="K301" s="667"/>
      <c r="L301" s="667"/>
      <c r="M301" s="667"/>
      <c r="N301" s="667"/>
      <c r="O301" s="667"/>
      <c r="P301" s="667"/>
      <c r="Q301" s="667"/>
      <c r="R301" s="667"/>
      <c r="S301" s="667"/>
      <c r="T301" s="667"/>
      <c r="U301" s="667"/>
      <c r="V301" s="667"/>
      <c r="W301" s="667"/>
      <c r="X301" s="667"/>
      <c r="Y301" s="667"/>
      <c r="Z301" s="667"/>
      <c r="AA301" s="62"/>
      <c r="AB301" s="62"/>
      <c r="AC301" s="62"/>
    </row>
    <row r="302" spans="1:68" ht="14.25" hidden="1" customHeight="1" x14ac:dyDescent="0.25">
      <c r="A302" s="660" t="s">
        <v>122</v>
      </c>
      <c r="B302" s="660"/>
      <c r="C302" s="660"/>
      <c r="D302" s="660"/>
      <c r="E302" s="660"/>
      <c r="F302" s="660"/>
      <c r="G302" s="660"/>
      <c r="H302" s="660"/>
      <c r="I302" s="660"/>
      <c r="J302" s="660"/>
      <c r="K302" s="660"/>
      <c r="L302" s="660"/>
      <c r="M302" s="660"/>
      <c r="N302" s="660"/>
      <c r="O302" s="660"/>
      <c r="P302" s="660"/>
      <c r="Q302" s="660"/>
      <c r="R302" s="660"/>
      <c r="S302" s="660"/>
      <c r="T302" s="660"/>
      <c r="U302" s="660"/>
      <c r="V302" s="660"/>
      <c r="W302" s="660"/>
      <c r="X302" s="660"/>
      <c r="Y302" s="660"/>
      <c r="Z302" s="660"/>
      <c r="AA302" s="63"/>
      <c r="AB302" s="63"/>
      <c r="AC302" s="63"/>
    </row>
    <row r="303" spans="1:68" ht="27" hidden="1" customHeight="1" x14ac:dyDescent="0.25">
      <c r="A303" s="60" t="s">
        <v>510</v>
      </c>
      <c r="B303" s="60" t="s">
        <v>511</v>
      </c>
      <c r="C303" s="34">
        <v>4301011826</v>
      </c>
      <c r="D303" s="661">
        <v>4680115884137</v>
      </c>
      <c r="E303" s="661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127</v>
      </c>
      <c r="L303" s="35" t="s">
        <v>46</v>
      </c>
      <c r="M303" s="36" t="s">
        <v>126</v>
      </c>
      <c r="N303" s="36"/>
      <c r="O303" s="35">
        <v>55</v>
      </c>
      <c r="P303" s="7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63"/>
      <c r="R303" s="663"/>
      <c r="S303" s="663"/>
      <c r="T303" s="664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ref="Y303:Y309" si="48">IFERROR(IF(X303="",0,CEILING((X303/$H303),1)*$H303),"")</f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512</v>
      </c>
      <c r="AG303" s="75"/>
      <c r="AJ303" s="79" t="s">
        <v>46</v>
      </c>
      <c r="AK303" s="79">
        <v>0</v>
      </c>
      <c r="BB303" s="398" t="s">
        <v>67</v>
      </c>
      <c r="BM303" s="75">
        <f t="shared" ref="BM303:BM309" si="49">IFERROR(X303*I303/H303,"0")</f>
        <v>0</v>
      </c>
      <c r="BN303" s="75">
        <f t="shared" ref="BN303:BN309" si="50">IFERROR(Y303*I303/H303,"0")</f>
        <v>0</v>
      </c>
      <c r="BO303" s="75">
        <f t="shared" ref="BO303:BO309" si="51">IFERROR(1/J303*(X303/H303),"0")</f>
        <v>0</v>
      </c>
      <c r="BP303" s="75">
        <f t="shared" ref="BP303:BP309" si="52">IFERROR(1/J303*(Y303/H303),"0")</f>
        <v>0</v>
      </c>
    </row>
    <row r="304" spans="1:68" ht="27" hidden="1" customHeight="1" x14ac:dyDescent="0.25">
      <c r="A304" s="60" t="s">
        <v>513</v>
      </c>
      <c r="B304" s="60" t="s">
        <v>514</v>
      </c>
      <c r="C304" s="34">
        <v>4301011724</v>
      </c>
      <c r="D304" s="661">
        <v>4680115884236</v>
      </c>
      <c r="E304" s="661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127</v>
      </c>
      <c r="L304" s="35" t="s">
        <v>46</v>
      </c>
      <c r="M304" s="36" t="s">
        <v>126</v>
      </c>
      <c r="N304" s="36"/>
      <c r="O304" s="35">
        <v>55</v>
      </c>
      <c r="P304" s="7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63"/>
      <c r="R304" s="663"/>
      <c r="S304" s="663"/>
      <c r="T304" s="664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515</v>
      </c>
      <c r="AG304" s="75"/>
      <c r="AJ304" s="79" t="s">
        <v>46</v>
      </c>
      <c r="AK304" s="79">
        <v>0</v>
      </c>
      <c r="BB304" s="400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t="27" hidden="1" customHeight="1" x14ac:dyDescent="0.25">
      <c r="A305" s="60" t="s">
        <v>516</v>
      </c>
      <c r="B305" s="60" t="s">
        <v>517</v>
      </c>
      <c r="C305" s="34">
        <v>4301011721</v>
      </c>
      <c r="D305" s="661">
        <v>4680115884175</v>
      </c>
      <c r="E305" s="661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127</v>
      </c>
      <c r="L305" s="35" t="s">
        <v>46</v>
      </c>
      <c r="M305" s="36" t="s">
        <v>126</v>
      </c>
      <c r="N305" s="36"/>
      <c r="O305" s="35">
        <v>55</v>
      </c>
      <c r="P305" s="78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63"/>
      <c r="R305" s="663"/>
      <c r="S305" s="663"/>
      <c r="T305" s="664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48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363</v>
      </c>
      <c r="AG305" s="75"/>
      <c r="AJ305" s="79" t="s">
        <v>46</v>
      </c>
      <c r="AK305" s="79">
        <v>0</v>
      </c>
      <c r="BB305" s="402" t="s">
        <v>67</v>
      </c>
      <c r="BM305" s="75">
        <f t="shared" si="49"/>
        <v>0</v>
      </c>
      <c r="BN305" s="75">
        <f t="shared" si="50"/>
        <v>0</v>
      </c>
      <c r="BO305" s="75">
        <f t="shared" si="51"/>
        <v>0</v>
      </c>
      <c r="BP305" s="75">
        <f t="shared" si="52"/>
        <v>0</v>
      </c>
    </row>
    <row r="306" spans="1:68" ht="27" hidden="1" customHeight="1" x14ac:dyDescent="0.25">
      <c r="A306" s="60" t="s">
        <v>518</v>
      </c>
      <c r="B306" s="60" t="s">
        <v>519</v>
      </c>
      <c r="C306" s="34">
        <v>4301011824</v>
      </c>
      <c r="D306" s="661">
        <v>4680115884144</v>
      </c>
      <c r="E306" s="661"/>
      <c r="F306" s="59">
        <v>0.4</v>
      </c>
      <c r="G306" s="35">
        <v>10</v>
      </c>
      <c r="H306" s="59">
        <v>4</v>
      </c>
      <c r="I306" s="59">
        <v>4.1900000000000004</v>
      </c>
      <c r="J306" s="35">
        <v>132</v>
      </c>
      <c r="K306" s="35" t="s">
        <v>134</v>
      </c>
      <c r="L306" s="35" t="s">
        <v>46</v>
      </c>
      <c r="M306" s="36" t="s">
        <v>126</v>
      </c>
      <c r="N306" s="36"/>
      <c r="O306" s="35">
        <v>55</v>
      </c>
      <c r="P306" s="7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63"/>
      <c r="R306" s="663"/>
      <c r="S306" s="663"/>
      <c r="T306" s="664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48"/>
        <v>0</v>
      </c>
      <c r="Z306" s="39" t="str">
        <f>IFERROR(IF(Y306=0,"",ROUNDUP(Y306/H306,0)*0.00902),"")</f>
        <v/>
      </c>
      <c r="AA306" s="65" t="s">
        <v>46</v>
      </c>
      <c r="AB306" s="66" t="s">
        <v>46</v>
      </c>
      <c r="AC306" s="403" t="s">
        <v>512</v>
      </c>
      <c r="AG306" s="75"/>
      <c r="AJ306" s="79" t="s">
        <v>46</v>
      </c>
      <c r="AK306" s="79">
        <v>0</v>
      </c>
      <c r="BB306" s="404" t="s">
        <v>67</v>
      </c>
      <c r="BM306" s="75">
        <f t="shared" si="49"/>
        <v>0</v>
      </c>
      <c r="BN306" s="75">
        <f t="shared" si="50"/>
        <v>0</v>
      </c>
      <c r="BO306" s="75">
        <f t="shared" si="51"/>
        <v>0</v>
      </c>
      <c r="BP306" s="75">
        <f t="shared" si="52"/>
        <v>0</v>
      </c>
    </row>
    <row r="307" spans="1:68" ht="27" hidden="1" customHeight="1" x14ac:dyDescent="0.25">
      <c r="A307" s="60" t="s">
        <v>520</v>
      </c>
      <c r="B307" s="60" t="s">
        <v>521</v>
      </c>
      <c r="C307" s="34">
        <v>4301012149</v>
      </c>
      <c r="D307" s="661">
        <v>4680115886551</v>
      </c>
      <c r="E307" s="661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7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63"/>
      <c r="R307" s="663"/>
      <c r="S307" s="663"/>
      <c r="T307" s="664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48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522</v>
      </c>
      <c r="AG307" s="75"/>
      <c r="AJ307" s="79" t="s">
        <v>46</v>
      </c>
      <c r="AK307" s="79">
        <v>0</v>
      </c>
      <c r="BB307" s="406" t="s">
        <v>67</v>
      </c>
      <c r="BM307" s="75">
        <f t="shared" si="49"/>
        <v>0</v>
      </c>
      <c r="BN307" s="75">
        <f t="shared" si="50"/>
        <v>0</v>
      </c>
      <c r="BO307" s="75">
        <f t="shared" si="51"/>
        <v>0</v>
      </c>
      <c r="BP307" s="75">
        <f t="shared" si="52"/>
        <v>0</v>
      </c>
    </row>
    <row r="308" spans="1:68" ht="27" hidden="1" customHeight="1" x14ac:dyDescent="0.25">
      <c r="A308" s="60" t="s">
        <v>523</v>
      </c>
      <c r="B308" s="60" t="s">
        <v>524</v>
      </c>
      <c r="C308" s="34">
        <v>4301012228</v>
      </c>
      <c r="D308" s="661">
        <v>4680115887282</v>
      </c>
      <c r="E308" s="661"/>
      <c r="F308" s="59">
        <v>0.4</v>
      </c>
      <c r="G308" s="35">
        <v>6</v>
      </c>
      <c r="H308" s="59">
        <v>2.4</v>
      </c>
      <c r="I308" s="59">
        <v>2.58</v>
      </c>
      <c r="J308" s="35">
        <v>182</v>
      </c>
      <c r="K308" s="35" t="s">
        <v>91</v>
      </c>
      <c r="L308" s="35" t="s">
        <v>46</v>
      </c>
      <c r="M308" s="36" t="s">
        <v>126</v>
      </c>
      <c r="N308" s="36"/>
      <c r="O308" s="35">
        <v>55</v>
      </c>
      <c r="P308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63"/>
      <c r="R308" s="663"/>
      <c r="S308" s="663"/>
      <c r="T308" s="664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48"/>
        <v>0</v>
      </c>
      <c r="Z308" s="39" t="str">
        <f>IFERROR(IF(Y308=0,"",ROUNDUP(Y308/H308,0)*0.00651),"")</f>
        <v/>
      </c>
      <c r="AA308" s="65" t="s">
        <v>46</v>
      </c>
      <c r="AB308" s="66" t="s">
        <v>46</v>
      </c>
      <c r="AC308" s="407" t="s">
        <v>525</v>
      </c>
      <c r="AG308" s="75"/>
      <c r="AJ308" s="79" t="s">
        <v>46</v>
      </c>
      <c r="AK308" s="79">
        <v>0</v>
      </c>
      <c r="BB308" s="408" t="s">
        <v>67</v>
      </c>
      <c r="BM308" s="75">
        <f t="shared" si="49"/>
        <v>0</v>
      </c>
      <c r="BN308" s="75">
        <f t="shared" si="50"/>
        <v>0</v>
      </c>
      <c r="BO308" s="75">
        <f t="shared" si="51"/>
        <v>0</v>
      </c>
      <c r="BP308" s="75">
        <f t="shared" si="52"/>
        <v>0</v>
      </c>
    </row>
    <row r="309" spans="1:68" ht="27" hidden="1" customHeight="1" x14ac:dyDescent="0.25">
      <c r="A309" s="60" t="s">
        <v>526</v>
      </c>
      <c r="B309" s="60" t="s">
        <v>527</v>
      </c>
      <c r="C309" s="34">
        <v>4301011722</v>
      </c>
      <c r="D309" s="661">
        <v>4680115884205</v>
      </c>
      <c r="E309" s="661"/>
      <c r="F309" s="59">
        <v>0.4</v>
      </c>
      <c r="G309" s="35">
        <v>10</v>
      </c>
      <c r="H309" s="59">
        <v>4</v>
      </c>
      <c r="I309" s="59">
        <v>4.1900000000000004</v>
      </c>
      <c r="J309" s="35">
        <v>132</v>
      </c>
      <c r="K309" s="35" t="s">
        <v>134</v>
      </c>
      <c r="L309" s="35" t="s">
        <v>46</v>
      </c>
      <c r="M309" s="36" t="s">
        <v>126</v>
      </c>
      <c r="N309" s="36"/>
      <c r="O309" s="35">
        <v>55</v>
      </c>
      <c r="P309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63"/>
      <c r="R309" s="663"/>
      <c r="S309" s="663"/>
      <c r="T309" s="664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48"/>
        <v>0</v>
      </c>
      <c r="Z309" s="39" t="str">
        <f>IFERROR(IF(Y309=0,"",ROUNDUP(Y309/H309,0)*0.00902),"")</f>
        <v/>
      </c>
      <c r="AA309" s="65" t="s">
        <v>46</v>
      </c>
      <c r="AB309" s="66" t="s">
        <v>46</v>
      </c>
      <c r="AC309" s="409" t="s">
        <v>363</v>
      </c>
      <c r="AG309" s="75"/>
      <c r="AJ309" s="79" t="s">
        <v>46</v>
      </c>
      <c r="AK309" s="79">
        <v>0</v>
      </c>
      <c r="BB309" s="410" t="s">
        <v>67</v>
      </c>
      <c r="BM309" s="75">
        <f t="shared" si="49"/>
        <v>0</v>
      </c>
      <c r="BN309" s="75">
        <f t="shared" si="50"/>
        <v>0</v>
      </c>
      <c r="BO309" s="75">
        <f t="shared" si="51"/>
        <v>0</v>
      </c>
      <c r="BP309" s="75">
        <f t="shared" si="52"/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0" t="s">
        <v>39</v>
      </c>
      <c r="X310" s="41">
        <f>IFERROR(X303/H303,"0")+IFERROR(X304/H304,"0")+IFERROR(X305/H305,"0")+IFERROR(X306/H306,"0")+IFERROR(X307/H307,"0")+IFERROR(X308/H308,"0")+IFERROR(X309/H309,"0")</f>
        <v>0</v>
      </c>
      <c r="Y310" s="41">
        <f>IFERROR(Y303/H303,"0")+IFERROR(Y304/H304,"0")+IFERROR(Y305/H305,"0")+IFERROR(Y306/H306,"0")+IFERROR(Y307/H307,"0")+IFERROR(Y308/H308,"0")+IFERROR(Y309/H309,"0")</f>
        <v>0</v>
      </c>
      <c r="Z310" s="41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4"/>
      <c r="AB310" s="64"/>
      <c r="AC310" s="64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0" t="s">
        <v>0</v>
      </c>
      <c r="X311" s="41">
        <f>IFERROR(SUM(X303:X309),"0")</f>
        <v>0</v>
      </c>
      <c r="Y311" s="41">
        <f>IFERROR(SUM(Y303:Y309),"0")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660" t="s">
        <v>159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3"/>
      <c r="AB312" s="63"/>
      <c r="AC312" s="63"/>
    </row>
    <row r="313" spans="1:68" ht="27" hidden="1" customHeight="1" x14ac:dyDescent="0.25">
      <c r="A313" s="60" t="s">
        <v>528</v>
      </c>
      <c r="B313" s="60" t="s">
        <v>529</v>
      </c>
      <c r="C313" s="34">
        <v>4301020377</v>
      </c>
      <c r="D313" s="661">
        <v>4680115885981</v>
      </c>
      <c r="E313" s="661"/>
      <c r="F313" s="59">
        <v>0.33</v>
      </c>
      <c r="G313" s="35">
        <v>6</v>
      </c>
      <c r="H313" s="59">
        <v>1.98</v>
      </c>
      <c r="I313" s="59">
        <v>2.08</v>
      </c>
      <c r="J313" s="35">
        <v>234</v>
      </c>
      <c r="K313" s="35" t="s">
        <v>82</v>
      </c>
      <c r="L313" s="35" t="s">
        <v>46</v>
      </c>
      <c r="M313" s="36" t="s">
        <v>90</v>
      </c>
      <c r="N313" s="36"/>
      <c r="O313" s="35">
        <v>50</v>
      </c>
      <c r="P313" s="7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63"/>
      <c r="R313" s="663"/>
      <c r="S313" s="663"/>
      <c r="T313" s="664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IFERROR(IF(Y313=0,"",ROUNDUP(Y313/H313,0)*0.00502),"")</f>
        <v/>
      </c>
      <c r="AA313" s="65" t="s">
        <v>46</v>
      </c>
      <c r="AB313" s="66" t="s">
        <v>46</v>
      </c>
      <c r="AC313" s="411" t="s">
        <v>530</v>
      </c>
      <c r="AG313" s="75"/>
      <c r="AJ313" s="79" t="s">
        <v>46</v>
      </c>
      <c r="AK313" s="79">
        <v>0</v>
      </c>
      <c r="BB313" s="41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0" t="s">
        <v>39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0" t="s">
        <v>0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660" t="s">
        <v>531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3"/>
      <c r="AB316" s="63"/>
      <c r="AC316" s="63"/>
    </row>
    <row r="317" spans="1:68" ht="27" hidden="1" customHeight="1" x14ac:dyDescent="0.25">
      <c r="A317" s="60" t="s">
        <v>532</v>
      </c>
      <c r="B317" s="60" t="s">
        <v>533</v>
      </c>
      <c r="C317" s="34">
        <v>4301040362</v>
      </c>
      <c r="D317" s="661">
        <v>4680115886803</v>
      </c>
      <c r="E317" s="661"/>
      <c r="F317" s="59">
        <v>0.12</v>
      </c>
      <c r="G317" s="35">
        <v>15</v>
      </c>
      <c r="H317" s="59">
        <v>1.8</v>
      </c>
      <c r="I317" s="59">
        <v>1.9750000000000001</v>
      </c>
      <c r="J317" s="35">
        <v>216</v>
      </c>
      <c r="K317" s="35" t="s">
        <v>340</v>
      </c>
      <c r="L317" s="35" t="s">
        <v>46</v>
      </c>
      <c r="M317" s="36" t="s">
        <v>282</v>
      </c>
      <c r="N317" s="36"/>
      <c r="O317" s="35">
        <v>45</v>
      </c>
      <c r="P317" s="7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63"/>
      <c r="R317" s="663"/>
      <c r="S317" s="663"/>
      <c r="T317" s="664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13" t="s">
        <v>534</v>
      </c>
      <c r="AG317" s="75"/>
      <c r="AJ317" s="79" t="s">
        <v>46</v>
      </c>
      <c r="AK317" s="79">
        <v>0</v>
      </c>
      <c r="BB317" s="414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idden="1" x14ac:dyDescent="0.2">
      <c r="A318" s="651"/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2"/>
      <c r="P318" s="648" t="s">
        <v>40</v>
      </c>
      <c r="Q318" s="649"/>
      <c r="R318" s="649"/>
      <c r="S318" s="649"/>
      <c r="T318" s="649"/>
      <c r="U318" s="649"/>
      <c r="V318" s="650"/>
      <c r="W318" s="40" t="s">
        <v>39</v>
      </c>
      <c r="X318" s="41">
        <f>IFERROR(X317/H317,"0")</f>
        <v>0</v>
      </c>
      <c r="Y318" s="41">
        <f>IFERROR(Y317/H317,"0")</f>
        <v>0</v>
      </c>
      <c r="Z318" s="41">
        <f>IFERROR(IF(Z317="",0,Z317),"0")</f>
        <v>0</v>
      </c>
      <c r="AA318" s="64"/>
      <c r="AB318" s="64"/>
      <c r="AC318" s="64"/>
    </row>
    <row r="319" spans="1:68" hidden="1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0" t="s">
        <v>0</v>
      </c>
      <c r="X319" s="41">
        <f>IFERROR(SUM(X317:X317),"0")</f>
        <v>0</v>
      </c>
      <c r="Y319" s="41">
        <f>IFERROR(SUM(Y317:Y317),"0")</f>
        <v>0</v>
      </c>
      <c r="Z319" s="40"/>
      <c r="AA319" s="64"/>
      <c r="AB319" s="64"/>
      <c r="AC319" s="64"/>
    </row>
    <row r="320" spans="1:68" ht="14.25" hidden="1" customHeight="1" x14ac:dyDescent="0.25">
      <c r="A320" s="660" t="s">
        <v>341</v>
      </c>
      <c r="B320" s="660"/>
      <c r="C320" s="660"/>
      <c r="D320" s="660"/>
      <c r="E320" s="660"/>
      <c r="F320" s="660"/>
      <c r="G320" s="660"/>
      <c r="H320" s="660"/>
      <c r="I320" s="660"/>
      <c r="J320" s="660"/>
      <c r="K320" s="660"/>
      <c r="L320" s="660"/>
      <c r="M320" s="660"/>
      <c r="N320" s="660"/>
      <c r="O320" s="660"/>
      <c r="P320" s="660"/>
      <c r="Q320" s="660"/>
      <c r="R320" s="660"/>
      <c r="S320" s="660"/>
      <c r="T320" s="660"/>
      <c r="U320" s="660"/>
      <c r="V320" s="660"/>
      <c r="W320" s="660"/>
      <c r="X320" s="660"/>
      <c r="Y320" s="660"/>
      <c r="Z320" s="660"/>
      <c r="AA320" s="63"/>
      <c r="AB320" s="63"/>
      <c r="AC320" s="63"/>
    </row>
    <row r="321" spans="1:68" ht="27" hidden="1" customHeight="1" x14ac:dyDescent="0.25">
      <c r="A321" s="60" t="s">
        <v>535</v>
      </c>
      <c r="B321" s="60" t="s">
        <v>536</v>
      </c>
      <c r="C321" s="34">
        <v>4301041008</v>
      </c>
      <c r="D321" s="661">
        <v>4680115886681</v>
      </c>
      <c r="E321" s="661"/>
      <c r="F321" s="59">
        <v>0.12</v>
      </c>
      <c r="G321" s="35">
        <v>15</v>
      </c>
      <c r="H321" s="59">
        <v>1.8</v>
      </c>
      <c r="I321" s="59">
        <v>1.9750000000000001</v>
      </c>
      <c r="J321" s="35">
        <v>216</v>
      </c>
      <c r="K321" s="35" t="s">
        <v>340</v>
      </c>
      <c r="L321" s="35" t="s">
        <v>46</v>
      </c>
      <c r="M321" s="36" t="s">
        <v>282</v>
      </c>
      <c r="N321" s="36"/>
      <c r="O321" s="35">
        <v>90</v>
      </c>
      <c r="P321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63"/>
      <c r="R321" s="663"/>
      <c r="S321" s="663"/>
      <c r="T321" s="664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537</v>
      </c>
      <c r="AG321" s="75"/>
      <c r="AJ321" s="79" t="s">
        <v>46</v>
      </c>
      <c r="AK321" s="79">
        <v>0</v>
      </c>
      <c r="BB321" s="416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51"/>
      <c r="B322" s="651"/>
      <c r="C322" s="651"/>
      <c r="D322" s="651"/>
      <c r="E322" s="651"/>
      <c r="F322" s="651"/>
      <c r="G322" s="651"/>
      <c r="H322" s="651"/>
      <c r="I322" s="651"/>
      <c r="J322" s="651"/>
      <c r="K322" s="651"/>
      <c r="L322" s="651"/>
      <c r="M322" s="651"/>
      <c r="N322" s="651"/>
      <c r="O322" s="652"/>
      <c r="P322" s="648" t="s">
        <v>40</v>
      </c>
      <c r="Q322" s="649"/>
      <c r="R322" s="649"/>
      <c r="S322" s="649"/>
      <c r="T322" s="649"/>
      <c r="U322" s="649"/>
      <c r="V322" s="650"/>
      <c r="W322" s="40" t="s">
        <v>39</v>
      </c>
      <c r="X322" s="41">
        <f>IFERROR(X321/H321,"0")</f>
        <v>0</v>
      </c>
      <c r="Y322" s="41">
        <f>IFERROR(Y321/H321,"0")</f>
        <v>0</v>
      </c>
      <c r="Z322" s="41">
        <f>IFERROR(IF(Z321="",0,Z321),"0")</f>
        <v>0</v>
      </c>
      <c r="AA322" s="64"/>
      <c r="AB322" s="64"/>
      <c r="AC322" s="64"/>
    </row>
    <row r="323" spans="1:68" hidden="1" x14ac:dyDescent="0.2">
      <c r="A323" s="651"/>
      <c r="B323" s="651"/>
      <c r="C323" s="651"/>
      <c r="D323" s="651"/>
      <c r="E323" s="651"/>
      <c r="F323" s="651"/>
      <c r="G323" s="651"/>
      <c r="H323" s="651"/>
      <c r="I323" s="651"/>
      <c r="J323" s="651"/>
      <c r="K323" s="651"/>
      <c r="L323" s="651"/>
      <c r="M323" s="651"/>
      <c r="N323" s="651"/>
      <c r="O323" s="652"/>
      <c r="P323" s="648" t="s">
        <v>40</v>
      </c>
      <c r="Q323" s="649"/>
      <c r="R323" s="649"/>
      <c r="S323" s="649"/>
      <c r="T323" s="649"/>
      <c r="U323" s="649"/>
      <c r="V323" s="650"/>
      <c r="W323" s="40" t="s">
        <v>0</v>
      </c>
      <c r="X323" s="41">
        <f>IFERROR(SUM(X321:X321),"0")</f>
        <v>0</v>
      </c>
      <c r="Y323" s="41">
        <f>IFERROR(SUM(Y321:Y321),"0")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67" t="s">
        <v>538</v>
      </c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7"/>
      <c r="P324" s="667"/>
      <c r="Q324" s="667"/>
      <c r="R324" s="667"/>
      <c r="S324" s="667"/>
      <c r="T324" s="667"/>
      <c r="U324" s="667"/>
      <c r="V324" s="667"/>
      <c r="W324" s="667"/>
      <c r="X324" s="667"/>
      <c r="Y324" s="667"/>
      <c r="Z324" s="667"/>
      <c r="AA324" s="62"/>
      <c r="AB324" s="62"/>
      <c r="AC324" s="62"/>
    </row>
    <row r="325" spans="1:68" ht="14.25" hidden="1" customHeight="1" x14ac:dyDescent="0.25">
      <c r="A325" s="660" t="s">
        <v>122</v>
      </c>
      <c r="B325" s="660"/>
      <c r="C325" s="660"/>
      <c r="D325" s="660"/>
      <c r="E325" s="660"/>
      <c r="F325" s="660"/>
      <c r="G325" s="660"/>
      <c r="H325" s="660"/>
      <c r="I325" s="660"/>
      <c r="J325" s="660"/>
      <c r="K325" s="660"/>
      <c r="L325" s="660"/>
      <c r="M325" s="660"/>
      <c r="N325" s="660"/>
      <c r="O325" s="660"/>
      <c r="P325" s="660"/>
      <c r="Q325" s="660"/>
      <c r="R325" s="660"/>
      <c r="S325" s="660"/>
      <c r="T325" s="660"/>
      <c r="U325" s="660"/>
      <c r="V325" s="660"/>
      <c r="W325" s="660"/>
      <c r="X325" s="660"/>
      <c r="Y325" s="660"/>
      <c r="Z325" s="660"/>
      <c r="AA325" s="63"/>
      <c r="AB325" s="63"/>
      <c r="AC325" s="63"/>
    </row>
    <row r="326" spans="1:68" ht="27" hidden="1" customHeight="1" x14ac:dyDescent="0.25">
      <c r="A326" s="60" t="s">
        <v>539</v>
      </c>
      <c r="B326" s="60" t="s">
        <v>540</v>
      </c>
      <c r="C326" s="34">
        <v>4301012390</v>
      </c>
      <c r="D326" s="661">
        <v>4680115889637</v>
      </c>
      <c r="E326" s="661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127</v>
      </c>
      <c r="L326" s="35" t="s">
        <v>46</v>
      </c>
      <c r="M326" s="36" t="s">
        <v>126</v>
      </c>
      <c r="N326" s="36"/>
      <c r="O326" s="35">
        <v>55</v>
      </c>
      <c r="P326" s="77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63"/>
      <c r="R326" s="663"/>
      <c r="S326" s="663"/>
      <c r="T326" s="664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ref="Y326:Y331" si="53"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542</v>
      </c>
      <c r="AC326" s="417" t="s">
        <v>541</v>
      </c>
      <c r="AG326" s="75"/>
      <c r="AJ326" s="79" t="s">
        <v>46</v>
      </c>
      <c r="AK326" s="79">
        <v>0</v>
      </c>
      <c r="BB326" s="418" t="s">
        <v>67</v>
      </c>
      <c r="BM326" s="75">
        <f t="shared" ref="BM326:BM331" si="54">IFERROR(X326*I326/H326,"0")</f>
        <v>0</v>
      </c>
      <c r="BN326" s="75">
        <f t="shared" ref="BN326:BN331" si="55">IFERROR(Y326*I326/H326,"0")</f>
        <v>0</v>
      </c>
      <c r="BO326" s="75">
        <f t="shared" ref="BO326:BO331" si="56">IFERROR(1/J326*(X326/H326),"0")</f>
        <v>0</v>
      </c>
      <c r="BP326" s="75">
        <f t="shared" ref="BP326:BP331" si="57">IFERROR(1/J326*(Y326/H326),"0")</f>
        <v>0</v>
      </c>
    </row>
    <row r="327" spans="1:68" ht="27" hidden="1" customHeight="1" x14ac:dyDescent="0.25">
      <c r="A327" s="60" t="s">
        <v>543</v>
      </c>
      <c r="B327" s="60" t="s">
        <v>544</v>
      </c>
      <c r="C327" s="34">
        <v>4301011855</v>
      </c>
      <c r="D327" s="661">
        <v>4680115885837</v>
      </c>
      <c r="E327" s="661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127</v>
      </c>
      <c r="L327" s="35" t="s">
        <v>46</v>
      </c>
      <c r="M327" s="36" t="s">
        <v>126</v>
      </c>
      <c r="N327" s="36"/>
      <c r="O327" s="35">
        <v>55</v>
      </c>
      <c r="P327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63"/>
      <c r="R327" s="663"/>
      <c r="S327" s="663"/>
      <c r="T327" s="664"/>
      <c r="U327" s="37" t="s">
        <v>46</v>
      </c>
      <c r="V327" s="37" t="s">
        <v>46</v>
      </c>
      <c r="W327" s="38" t="s">
        <v>0</v>
      </c>
      <c r="X327" s="56">
        <v>0</v>
      </c>
      <c r="Y327" s="53">
        <f t="shared" si="53"/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545</v>
      </c>
      <c r="AG327" s="75"/>
      <c r="AJ327" s="79" t="s">
        <v>46</v>
      </c>
      <c r="AK327" s="79">
        <v>0</v>
      </c>
      <c r="BB327" s="420" t="s">
        <v>67</v>
      </c>
      <c r="BM327" s="75">
        <f t="shared" si="54"/>
        <v>0</v>
      </c>
      <c r="BN327" s="75">
        <f t="shared" si="55"/>
        <v>0</v>
      </c>
      <c r="BO327" s="75">
        <f t="shared" si="56"/>
        <v>0</v>
      </c>
      <c r="BP327" s="75">
        <f t="shared" si="57"/>
        <v>0</v>
      </c>
    </row>
    <row r="328" spans="1:68" ht="37.5" hidden="1" customHeight="1" x14ac:dyDescent="0.25">
      <c r="A328" s="60" t="s">
        <v>546</v>
      </c>
      <c r="B328" s="60" t="s">
        <v>547</v>
      </c>
      <c r="C328" s="34">
        <v>4301012234</v>
      </c>
      <c r="D328" s="661">
        <v>4680115887237</v>
      </c>
      <c r="E328" s="661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127</v>
      </c>
      <c r="L328" s="35" t="s">
        <v>46</v>
      </c>
      <c r="M328" s="36" t="s">
        <v>126</v>
      </c>
      <c r="N328" s="36"/>
      <c r="O328" s="35">
        <v>55</v>
      </c>
      <c r="P328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63"/>
      <c r="R328" s="663"/>
      <c r="S328" s="663"/>
      <c r="T328" s="664"/>
      <c r="U328" s="37" t="s">
        <v>46</v>
      </c>
      <c r="V328" s="37" t="s">
        <v>46</v>
      </c>
      <c r="W328" s="38" t="s">
        <v>0</v>
      </c>
      <c r="X328" s="56">
        <v>0</v>
      </c>
      <c r="Y328" s="53">
        <f t="shared" si="53"/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548</v>
      </c>
      <c r="AG328" s="75"/>
      <c r="AJ328" s="79" t="s">
        <v>46</v>
      </c>
      <c r="AK328" s="79">
        <v>0</v>
      </c>
      <c r="BB328" s="422" t="s">
        <v>67</v>
      </c>
      <c r="BM328" s="75">
        <f t="shared" si="54"/>
        <v>0</v>
      </c>
      <c r="BN328" s="75">
        <f t="shared" si="55"/>
        <v>0</v>
      </c>
      <c r="BO328" s="75">
        <f t="shared" si="56"/>
        <v>0</v>
      </c>
      <c r="BP328" s="75">
        <f t="shared" si="57"/>
        <v>0</v>
      </c>
    </row>
    <row r="329" spans="1:68" ht="27" hidden="1" customHeight="1" x14ac:dyDescent="0.25">
      <c r="A329" s="60" t="s">
        <v>549</v>
      </c>
      <c r="B329" s="60" t="s">
        <v>550</v>
      </c>
      <c r="C329" s="34">
        <v>4301011850</v>
      </c>
      <c r="D329" s="661">
        <v>4680115885806</v>
      </c>
      <c r="E329" s="661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127</v>
      </c>
      <c r="L329" s="35" t="s">
        <v>46</v>
      </c>
      <c r="M329" s="36" t="s">
        <v>126</v>
      </c>
      <c r="N329" s="36"/>
      <c r="O329" s="35">
        <v>55</v>
      </c>
      <c r="P329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63"/>
      <c r="R329" s="663"/>
      <c r="S329" s="663"/>
      <c r="T329" s="664"/>
      <c r="U329" s="37" t="s">
        <v>46</v>
      </c>
      <c r="V329" s="37" t="s">
        <v>46</v>
      </c>
      <c r="W329" s="38" t="s">
        <v>0</v>
      </c>
      <c r="X329" s="56">
        <v>0</v>
      </c>
      <c r="Y329" s="53">
        <f t="shared" si="53"/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551</v>
      </c>
      <c r="AG329" s="75"/>
      <c r="AJ329" s="79" t="s">
        <v>46</v>
      </c>
      <c r="AK329" s="79">
        <v>0</v>
      </c>
      <c r="BB329" s="424" t="s">
        <v>67</v>
      </c>
      <c r="BM329" s="75">
        <f t="shared" si="54"/>
        <v>0</v>
      </c>
      <c r="BN329" s="75">
        <f t="shared" si="55"/>
        <v>0</v>
      </c>
      <c r="BO329" s="75">
        <f t="shared" si="56"/>
        <v>0</v>
      </c>
      <c r="BP329" s="75">
        <f t="shared" si="57"/>
        <v>0</v>
      </c>
    </row>
    <row r="330" spans="1:68" ht="27" hidden="1" customHeight="1" x14ac:dyDescent="0.25">
      <c r="A330" s="60" t="s">
        <v>552</v>
      </c>
      <c r="B330" s="60" t="s">
        <v>553</v>
      </c>
      <c r="C330" s="34">
        <v>4301011852</v>
      </c>
      <c r="D330" s="661">
        <v>4680115885844</v>
      </c>
      <c r="E330" s="661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134</v>
      </c>
      <c r="L330" s="35" t="s">
        <v>46</v>
      </c>
      <c r="M330" s="36" t="s">
        <v>126</v>
      </c>
      <c r="N330" s="36"/>
      <c r="O330" s="35">
        <v>55</v>
      </c>
      <c r="P330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63"/>
      <c r="R330" s="663"/>
      <c r="S330" s="663"/>
      <c r="T330" s="664"/>
      <c r="U330" s="37" t="s">
        <v>46</v>
      </c>
      <c r="V330" s="37" t="s">
        <v>46</v>
      </c>
      <c r="W330" s="38" t="s">
        <v>0</v>
      </c>
      <c r="X330" s="56">
        <v>0</v>
      </c>
      <c r="Y330" s="53">
        <f t="shared" si="53"/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554</v>
      </c>
      <c r="AG330" s="75"/>
      <c r="AJ330" s="79" t="s">
        <v>46</v>
      </c>
      <c r="AK330" s="79">
        <v>0</v>
      </c>
      <c r="BB330" s="426" t="s">
        <v>67</v>
      </c>
      <c r="BM330" s="75">
        <f t="shared" si="54"/>
        <v>0</v>
      </c>
      <c r="BN330" s="75">
        <f t="shared" si="55"/>
        <v>0</v>
      </c>
      <c r="BO330" s="75">
        <f t="shared" si="56"/>
        <v>0</v>
      </c>
      <c r="BP330" s="75">
        <f t="shared" si="57"/>
        <v>0</v>
      </c>
    </row>
    <row r="331" spans="1:68" ht="37.5" hidden="1" customHeight="1" x14ac:dyDescent="0.25">
      <c r="A331" s="60" t="s">
        <v>555</v>
      </c>
      <c r="B331" s="60" t="s">
        <v>556</v>
      </c>
      <c r="C331" s="34">
        <v>4301011851</v>
      </c>
      <c r="D331" s="661">
        <v>4680115885820</v>
      </c>
      <c r="E331" s="661"/>
      <c r="F331" s="59">
        <v>0.4</v>
      </c>
      <c r="G331" s="35">
        <v>10</v>
      </c>
      <c r="H331" s="59">
        <v>4</v>
      </c>
      <c r="I331" s="59">
        <v>4.1900000000000004</v>
      </c>
      <c r="J331" s="35">
        <v>132</v>
      </c>
      <c r="K331" s="35" t="s">
        <v>134</v>
      </c>
      <c r="L331" s="35" t="s">
        <v>46</v>
      </c>
      <c r="M331" s="36" t="s">
        <v>126</v>
      </c>
      <c r="N331" s="36"/>
      <c r="O331" s="35">
        <v>55</v>
      </c>
      <c r="P331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63"/>
      <c r="R331" s="663"/>
      <c r="S331" s="663"/>
      <c r="T331" s="664"/>
      <c r="U331" s="37" t="s">
        <v>46</v>
      </c>
      <c r="V331" s="37" t="s">
        <v>46</v>
      </c>
      <c r="W331" s="38" t="s">
        <v>0</v>
      </c>
      <c r="X331" s="56">
        <v>0</v>
      </c>
      <c r="Y331" s="53">
        <f t="shared" si="53"/>
        <v>0</v>
      </c>
      <c r="Z331" s="39" t="str">
        <f>IFERROR(IF(Y331=0,"",ROUNDUP(Y331/H331,0)*0.00902),"")</f>
        <v/>
      </c>
      <c r="AA331" s="65" t="s">
        <v>46</v>
      </c>
      <c r="AB331" s="66" t="s">
        <v>46</v>
      </c>
      <c r="AC331" s="427" t="s">
        <v>557</v>
      </c>
      <c r="AG331" s="75"/>
      <c r="AJ331" s="79" t="s">
        <v>46</v>
      </c>
      <c r="AK331" s="79">
        <v>0</v>
      </c>
      <c r="BB331" s="428" t="s">
        <v>67</v>
      </c>
      <c r="BM331" s="75">
        <f t="shared" si="54"/>
        <v>0</v>
      </c>
      <c r="BN331" s="75">
        <f t="shared" si="55"/>
        <v>0</v>
      </c>
      <c r="BO331" s="75">
        <f t="shared" si="56"/>
        <v>0</v>
      </c>
      <c r="BP331" s="75">
        <f t="shared" si="57"/>
        <v>0</v>
      </c>
    </row>
    <row r="332" spans="1:68" hidden="1" x14ac:dyDescent="0.2">
      <c r="A332" s="651"/>
      <c r="B332" s="651"/>
      <c r="C332" s="651"/>
      <c r="D332" s="651"/>
      <c r="E332" s="651"/>
      <c r="F332" s="651"/>
      <c r="G332" s="651"/>
      <c r="H332" s="651"/>
      <c r="I332" s="651"/>
      <c r="J332" s="651"/>
      <c r="K332" s="651"/>
      <c r="L332" s="651"/>
      <c r="M332" s="651"/>
      <c r="N332" s="651"/>
      <c r="O332" s="652"/>
      <c r="P332" s="648" t="s">
        <v>40</v>
      </c>
      <c r="Q332" s="649"/>
      <c r="R332" s="649"/>
      <c r="S332" s="649"/>
      <c r="T332" s="649"/>
      <c r="U332" s="649"/>
      <c r="V332" s="650"/>
      <c r="W332" s="40" t="s">
        <v>39</v>
      </c>
      <c r="X332" s="41">
        <f>IFERROR(X326/H326,"0")+IFERROR(X327/H327,"0")+IFERROR(X328/H328,"0")+IFERROR(X329/H329,"0")+IFERROR(X330/H330,"0")+IFERROR(X331/H331,"0")</f>
        <v>0</v>
      </c>
      <c r="Y332" s="41">
        <f>IFERROR(Y326/H326,"0")+IFERROR(Y327/H327,"0")+IFERROR(Y328/H328,"0")+IFERROR(Y329/H329,"0")+IFERROR(Y330/H330,"0")+IFERROR(Y331/H331,"0")</f>
        <v>0</v>
      </c>
      <c r="Z332" s="41">
        <f>IFERROR(IF(Z326="",0,Z326),"0")+IFERROR(IF(Z327="",0,Z327),"0")+IFERROR(IF(Z328="",0,Z328),"0")+IFERROR(IF(Z329="",0,Z329),"0")+IFERROR(IF(Z330="",0,Z330),"0")+IFERROR(IF(Z331="",0,Z331),"0")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651"/>
      <c r="B333" s="651"/>
      <c r="C333" s="651"/>
      <c r="D333" s="651"/>
      <c r="E333" s="651"/>
      <c r="F333" s="651"/>
      <c r="G333" s="651"/>
      <c r="H333" s="651"/>
      <c r="I333" s="651"/>
      <c r="J333" s="651"/>
      <c r="K333" s="651"/>
      <c r="L333" s="651"/>
      <c r="M333" s="651"/>
      <c r="N333" s="651"/>
      <c r="O333" s="652"/>
      <c r="P333" s="648" t="s">
        <v>40</v>
      </c>
      <c r="Q333" s="649"/>
      <c r="R333" s="649"/>
      <c r="S333" s="649"/>
      <c r="T333" s="649"/>
      <c r="U333" s="649"/>
      <c r="V333" s="650"/>
      <c r="W333" s="40" t="s">
        <v>0</v>
      </c>
      <c r="X333" s="41">
        <f>IFERROR(SUM(X326:X331),"0")</f>
        <v>0</v>
      </c>
      <c r="Y333" s="41">
        <f>IFERROR(SUM(Y326:Y331),"0")</f>
        <v>0</v>
      </c>
      <c r="Z333" s="40"/>
      <c r="AA333" s="64"/>
      <c r="AB333" s="64"/>
      <c r="AC333" s="64"/>
    </row>
    <row r="334" spans="1:68" ht="16.5" hidden="1" customHeight="1" x14ac:dyDescent="0.25">
      <c r="A334" s="667" t="s">
        <v>558</v>
      </c>
      <c r="B334" s="667"/>
      <c r="C334" s="667"/>
      <c r="D334" s="667"/>
      <c r="E334" s="667"/>
      <c r="F334" s="667"/>
      <c r="G334" s="667"/>
      <c r="H334" s="667"/>
      <c r="I334" s="667"/>
      <c r="J334" s="667"/>
      <c r="K334" s="667"/>
      <c r="L334" s="667"/>
      <c r="M334" s="667"/>
      <c r="N334" s="667"/>
      <c r="O334" s="667"/>
      <c r="P334" s="667"/>
      <c r="Q334" s="667"/>
      <c r="R334" s="667"/>
      <c r="S334" s="667"/>
      <c r="T334" s="667"/>
      <c r="U334" s="667"/>
      <c r="V334" s="667"/>
      <c r="W334" s="667"/>
      <c r="X334" s="667"/>
      <c r="Y334" s="667"/>
      <c r="Z334" s="667"/>
      <c r="AA334" s="62"/>
      <c r="AB334" s="62"/>
      <c r="AC334" s="62"/>
    </row>
    <row r="335" spans="1:68" ht="14.25" hidden="1" customHeight="1" x14ac:dyDescent="0.25">
      <c r="A335" s="660" t="s">
        <v>86</v>
      </c>
      <c r="B335" s="660"/>
      <c r="C335" s="660"/>
      <c r="D335" s="660"/>
      <c r="E335" s="660"/>
      <c r="F335" s="660"/>
      <c r="G335" s="660"/>
      <c r="H335" s="660"/>
      <c r="I335" s="660"/>
      <c r="J335" s="660"/>
      <c r="K335" s="660"/>
      <c r="L335" s="660"/>
      <c r="M335" s="660"/>
      <c r="N335" s="660"/>
      <c r="O335" s="660"/>
      <c r="P335" s="660"/>
      <c r="Q335" s="660"/>
      <c r="R335" s="660"/>
      <c r="S335" s="660"/>
      <c r="T335" s="660"/>
      <c r="U335" s="660"/>
      <c r="V335" s="660"/>
      <c r="W335" s="660"/>
      <c r="X335" s="660"/>
      <c r="Y335" s="660"/>
      <c r="Z335" s="660"/>
      <c r="AA335" s="63"/>
      <c r="AB335" s="63"/>
      <c r="AC335" s="63"/>
    </row>
    <row r="336" spans="1:68" ht="27" hidden="1" customHeight="1" x14ac:dyDescent="0.25">
      <c r="A336" s="60" t="s">
        <v>559</v>
      </c>
      <c r="B336" s="60" t="s">
        <v>560</v>
      </c>
      <c r="C336" s="34">
        <v>4301051893</v>
      </c>
      <c r="D336" s="661">
        <v>4680115886186</v>
      </c>
      <c r="E336" s="661"/>
      <c r="F336" s="59">
        <v>0.3</v>
      </c>
      <c r="G336" s="35">
        <v>6</v>
      </c>
      <c r="H336" s="59">
        <v>1.8</v>
      </c>
      <c r="I336" s="59">
        <v>1.98</v>
      </c>
      <c r="J336" s="35">
        <v>182</v>
      </c>
      <c r="K336" s="35" t="s">
        <v>91</v>
      </c>
      <c r="L336" s="35" t="s">
        <v>46</v>
      </c>
      <c r="M336" s="36" t="s">
        <v>90</v>
      </c>
      <c r="N336" s="36"/>
      <c r="O336" s="35">
        <v>45</v>
      </c>
      <c r="P336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63"/>
      <c r="R336" s="663"/>
      <c r="S336" s="663"/>
      <c r="T336" s="664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561</v>
      </c>
      <c r="AG336" s="75"/>
      <c r="AJ336" s="79" t="s">
        <v>46</v>
      </c>
      <c r="AK336" s="79">
        <v>0</v>
      </c>
      <c r="BB336" s="430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562</v>
      </c>
      <c r="B337" s="60" t="s">
        <v>563</v>
      </c>
      <c r="C337" s="34">
        <v>4301051795</v>
      </c>
      <c r="D337" s="661">
        <v>4680115881228</v>
      </c>
      <c r="E337" s="661"/>
      <c r="F337" s="59">
        <v>0.4</v>
      </c>
      <c r="G337" s="35">
        <v>6</v>
      </c>
      <c r="H337" s="59">
        <v>2.4</v>
      </c>
      <c r="I337" s="59">
        <v>2.6520000000000001</v>
      </c>
      <c r="J337" s="35">
        <v>182</v>
      </c>
      <c r="K337" s="35" t="s">
        <v>91</v>
      </c>
      <c r="L337" s="35" t="s">
        <v>46</v>
      </c>
      <c r="M337" s="36" t="s">
        <v>97</v>
      </c>
      <c r="N337" s="36"/>
      <c r="O337" s="35">
        <v>40</v>
      </c>
      <c r="P337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63"/>
      <c r="R337" s="663"/>
      <c r="S337" s="663"/>
      <c r="T337" s="664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564</v>
      </c>
      <c r="AG337" s="75"/>
      <c r="AJ337" s="79" t="s">
        <v>46</v>
      </c>
      <c r="AK337" s="79">
        <v>0</v>
      </c>
      <c r="BB337" s="432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hidden="1" customHeight="1" x14ac:dyDescent="0.25">
      <c r="A338" s="60" t="s">
        <v>565</v>
      </c>
      <c r="B338" s="60" t="s">
        <v>566</v>
      </c>
      <c r="C338" s="34">
        <v>4301051388</v>
      </c>
      <c r="D338" s="661">
        <v>4680115881211</v>
      </c>
      <c r="E338" s="661"/>
      <c r="F338" s="59">
        <v>0.4</v>
      </c>
      <c r="G338" s="35">
        <v>6</v>
      </c>
      <c r="H338" s="59">
        <v>2.4</v>
      </c>
      <c r="I338" s="59">
        <v>2.58</v>
      </c>
      <c r="J338" s="35">
        <v>182</v>
      </c>
      <c r="K338" s="35" t="s">
        <v>91</v>
      </c>
      <c r="L338" s="35" t="s">
        <v>46</v>
      </c>
      <c r="M338" s="36" t="s">
        <v>90</v>
      </c>
      <c r="N338" s="36"/>
      <c r="O338" s="35">
        <v>45</v>
      </c>
      <c r="P338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63"/>
      <c r="R338" s="663"/>
      <c r="S338" s="663"/>
      <c r="T338" s="664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561</v>
      </c>
      <c r="AG338" s="75"/>
      <c r="AJ338" s="79" t="s">
        <v>46</v>
      </c>
      <c r="AK338" s="79">
        <v>0</v>
      </c>
      <c r="BB338" s="434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idden="1" x14ac:dyDescent="0.2">
      <c r="A339" s="651"/>
      <c r="B339" s="651"/>
      <c r="C339" s="651"/>
      <c r="D339" s="651"/>
      <c r="E339" s="651"/>
      <c r="F339" s="651"/>
      <c r="G339" s="651"/>
      <c r="H339" s="651"/>
      <c r="I339" s="651"/>
      <c r="J339" s="651"/>
      <c r="K339" s="651"/>
      <c r="L339" s="651"/>
      <c r="M339" s="651"/>
      <c r="N339" s="651"/>
      <c r="O339" s="652"/>
      <c r="P339" s="648" t="s">
        <v>40</v>
      </c>
      <c r="Q339" s="649"/>
      <c r="R339" s="649"/>
      <c r="S339" s="649"/>
      <c r="T339" s="649"/>
      <c r="U339" s="649"/>
      <c r="V339" s="650"/>
      <c r="W339" s="40" t="s">
        <v>39</v>
      </c>
      <c r="X339" s="41">
        <f>IFERROR(X336/H336,"0")+IFERROR(X337/H337,"0")+IFERROR(X338/H338,"0")</f>
        <v>0</v>
      </c>
      <c r="Y339" s="41">
        <f>IFERROR(Y336/H336,"0")+IFERROR(Y337/H337,"0")+IFERROR(Y338/H338,"0")</f>
        <v>0</v>
      </c>
      <c r="Z339" s="41">
        <f>IFERROR(IF(Z336="",0,Z336),"0")+IFERROR(IF(Z337="",0,Z337),"0")+IFERROR(IF(Z338="",0,Z338),"0")</f>
        <v>0</v>
      </c>
      <c r="AA339" s="64"/>
      <c r="AB339" s="64"/>
      <c r="AC339" s="64"/>
    </row>
    <row r="340" spans="1:68" hidden="1" x14ac:dyDescent="0.2">
      <c r="A340" s="651"/>
      <c r="B340" s="651"/>
      <c r="C340" s="651"/>
      <c r="D340" s="651"/>
      <c r="E340" s="651"/>
      <c r="F340" s="651"/>
      <c r="G340" s="651"/>
      <c r="H340" s="651"/>
      <c r="I340" s="651"/>
      <c r="J340" s="651"/>
      <c r="K340" s="651"/>
      <c r="L340" s="651"/>
      <c r="M340" s="651"/>
      <c r="N340" s="651"/>
      <c r="O340" s="652"/>
      <c r="P340" s="648" t="s">
        <v>40</v>
      </c>
      <c r="Q340" s="649"/>
      <c r="R340" s="649"/>
      <c r="S340" s="649"/>
      <c r="T340" s="649"/>
      <c r="U340" s="649"/>
      <c r="V340" s="650"/>
      <c r="W340" s="40" t="s">
        <v>0</v>
      </c>
      <c r="X340" s="41">
        <f>IFERROR(SUM(X336:X338),"0")</f>
        <v>0</v>
      </c>
      <c r="Y340" s="41">
        <f>IFERROR(SUM(Y336:Y338),"0")</f>
        <v>0</v>
      </c>
      <c r="Z340" s="40"/>
      <c r="AA340" s="64"/>
      <c r="AB340" s="64"/>
      <c r="AC340" s="64"/>
    </row>
    <row r="341" spans="1:68" ht="16.5" hidden="1" customHeight="1" x14ac:dyDescent="0.25">
      <c r="A341" s="667" t="s">
        <v>567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2"/>
      <c r="AB341" s="62"/>
      <c r="AC341" s="62"/>
    </row>
    <row r="342" spans="1:68" ht="14.25" hidden="1" customHeight="1" x14ac:dyDescent="0.25">
      <c r="A342" s="660" t="s">
        <v>77</v>
      </c>
      <c r="B342" s="660"/>
      <c r="C342" s="660"/>
      <c r="D342" s="660"/>
      <c r="E342" s="660"/>
      <c r="F342" s="660"/>
      <c r="G342" s="660"/>
      <c r="H342" s="660"/>
      <c r="I342" s="660"/>
      <c r="J342" s="660"/>
      <c r="K342" s="660"/>
      <c r="L342" s="660"/>
      <c r="M342" s="660"/>
      <c r="N342" s="660"/>
      <c r="O342" s="660"/>
      <c r="P342" s="660"/>
      <c r="Q342" s="660"/>
      <c r="R342" s="660"/>
      <c r="S342" s="660"/>
      <c r="T342" s="660"/>
      <c r="U342" s="660"/>
      <c r="V342" s="660"/>
      <c r="W342" s="660"/>
      <c r="X342" s="660"/>
      <c r="Y342" s="660"/>
      <c r="Z342" s="660"/>
      <c r="AA342" s="63"/>
      <c r="AB342" s="63"/>
      <c r="AC342" s="63"/>
    </row>
    <row r="343" spans="1:68" ht="27" hidden="1" customHeight="1" x14ac:dyDescent="0.25">
      <c r="A343" s="60" t="s">
        <v>568</v>
      </c>
      <c r="B343" s="60" t="s">
        <v>569</v>
      </c>
      <c r="C343" s="34">
        <v>4301031445</v>
      </c>
      <c r="D343" s="661">
        <v>4680115888319</v>
      </c>
      <c r="E343" s="661"/>
      <c r="F343" s="59">
        <v>0.35</v>
      </c>
      <c r="G343" s="35">
        <v>6</v>
      </c>
      <c r="H343" s="59">
        <v>2.1</v>
      </c>
      <c r="I343" s="59">
        <v>2.23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45</v>
      </c>
      <c r="P343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63"/>
      <c r="R343" s="663"/>
      <c r="S343" s="663"/>
      <c r="T343" s="664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395</v>
      </c>
      <c r="AG343" s="75"/>
      <c r="AJ343" s="79" t="s">
        <v>46</v>
      </c>
      <c r="AK343" s="79">
        <v>0</v>
      </c>
      <c r="BB343" s="436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570</v>
      </c>
      <c r="B344" s="60" t="s">
        <v>571</v>
      </c>
      <c r="C344" s="34">
        <v>4301031502</v>
      </c>
      <c r="D344" s="661">
        <v>4680115884700</v>
      </c>
      <c r="E344" s="661"/>
      <c r="F344" s="59">
        <v>0.57999999999999996</v>
      </c>
      <c r="G344" s="35">
        <v>4</v>
      </c>
      <c r="H344" s="59">
        <v>2.3199999999999998</v>
      </c>
      <c r="I344" s="59">
        <v>2.42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63"/>
      <c r="R344" s="663"/>
      <c r="S344" s="663"/>
      <c r="T344" s="664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572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573</v>
      </c>
      <c r="B345" s="60" t="s">
        <v>574</v>
      </c>
      <c r="C345" s="34">
        <v>4301031307</v>
      </c>
      <c r="D345" s="661">
        <v>4680115880344</v>
      </c>
      <c r="E345" s="661"/>
      <c r="F345" s="59">
        <v>0.28000000000000003</v>
      </c>
      <c r="G345" s="35">
        <v>6</v>
      </c>
      <c r="H345" s="59">
        <v>1.68</v>
      </c>
      <c r="I345" s="59">
        <v>1.78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40</v>
      </c>
      <c r="P345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63"/>
      <c r="R345" s="663"/>
      <c r="S345" s="663"/>
      <c r="T345" s="664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575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576</v>
      </c>
      <c r="B346" s="60" t="s">
        <v>577</v>
      </c>
      <c r="C346" s="34">
        <v>4301031501</v>
      </c>
      <c r="D346" s="661">
        <v>4680115886919</v>
      </c>
      <c r="E346" s="661"/>
      <c r="F346" s="59">
        <v>0.4</v>
      </c>
      <c r="G346" s="35">
        <v>6</v>
      </c>
      <c r="H346" s="59">
        <v>2.4</v>
      </c>
      <c r="I346" s="59">
        <v>2.58</v>
      </c>
      <c r="J346" s="35">
        <v>182</v>
      </c>
      <c r="K346" s="35" t="s">
        <v>91</v>
      </c>
      <c r="L346" s="35" t="s">
        <v>46</v>
      </c>
      <c r="M346" s="36" t="s">
        <v>81</v>
      </c>
      <c r="N346" s="36"/>
      <c r="O346" s="35">
        <v>40</v>
      </c>
      <c r="P346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63"/>
      <c r="R346" s="663"/>
      <c r="S346" s="663"/>
      <c r="T346" s="664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IFERROR(IF(Y346=0,"",ROUNDUP(Y346/H346,0)*0.00651),"")</f>
        <v/>
      </c>
      <c r="AA346" s="65" t="s">
        <v>46</v>
      </c>
      <c r="AB346" s="66" t="s">
        <v>46</v>
      </c>
      <c r="AC346" s="441" t="s">
        <v>578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579</v>
      </c>
      <c r="B347" s="60" t="s">
        <v>580</v>
      </c>
      <c r="C347" s="34">
        <v>4301031246</v>
      </c>
      <c r="D347" s="661">
        <v>4680115883970</v>
      </c>
      <c r="E347" s="661"/>
      <c r="F347" s="59">
        <v>0.28000000000000003</v>
      </c>
      <c r="G347" s="35">
        <v>6</v>
      </c>
      <c r="H347" s="59">
        <v>1.68</v>
      </c>
      <c r="I347" s="59">
        <v>2.5</v>
      </c>
      <c r="J347" s="35">
        <v>234</v>
      </c>
      <c r="K347" s="35" t="s">
        <v>82</v>
      </c>
      <c r="L347" s="35" t="s">
        <v>46</v>
      </c>
      <c r="M347" s="36" t="s">
        <v>81</v>
      </c>
      <c r="N347" s="36"/>
      <c r="O347" s="35">
        <v>40</v>
      </c>
      <c r="P347" s="77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63"/>
      <c r="R347" s="663"/>
      <c r="S347" s="663"/>
      <c r="T347" s="664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581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651"/>
      <c r="B348" s="651"/>
      <c r="C348" s="651"/>
      <c r="D348" s="651"/>
      <c r="E348" s="651"/>
      <c r="F348" s="651"/>
      <c r="G348" s="651"/>
      <c r="H348" s="651"/>
      <c r="I348" s="651"/>
      <c r="J348" s="651"/>
      <c r="K348" s="651"/>
      <c r="L348" s="651"/>
      <c r="M348" s="651"/>
      <c r="N348" s="651"/>
      <c r="O348" s="652"/>
      <c r="P348" s="648" t="s">
        <v>40</v>
      </c>
      <c r="Q348" s="649"/>
      <c r="R348" s="649"/>
      <c r="S348" s="649"/>
      <c r="T348" s="649"/>
      <c r="U348" s="649"/>
      <c r="V348" s="650"/>
      <c r="W348" s="40" t="s">
        <v>39</v>
      </c>
      <c r="X348" s="41">
        <f>IFERROR(X343/H343,"0")+IFERROR(X344/H344,"0")+IFERROR(X345/H345,"0")+IFERROR(X346/H346,"0")+IFERROR(X347/H347,"0")</f>
        <v>0</v>
      </c>
      <c r="Y348" s="41">
        <f>IFERROR(Y343/H343,"0")+IFERROR(Y344/H344,"0")+IFERROR(Y345/H345,"0")+IFERROR(Y346/H346,"0")+IFERROR(Y347/H347,"0")</f>
        <v>0</v>
      </c>
      <c r="Z348" s="41">
        <f>IFERROR(IF(Z343="",0,Z343),"0")+IFERROR(IF(Z344="",0,Z344),"0")+IFERROR(IF(Z345="",0,Z345),"0")+IFERROR(IF(Z346="",0,Z346),"0")+IFERROR(IF(Z347="",0,Z347),"0")</f>
        <v>0</v>
      </c>
      <c r="AA348" s="64"/>
      <c r="AB348" s="64"/>
      <c r="AC348" s="64"/>
    </row>
    <row r="349" spans="1:68" hidden="1" x14ac:dyDescent="0.2">
      <c r="A349" s="651"/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2"/>
      <c r="P349" s="648" t="s">
        <v>40</v>
      </c>
      <c r="Q349" s="649"/>
      <c r="R349" s="649"/>
      <c r="S349" s="649"/>
      <c r="T349" s="649"/>
      <c r="U349" s="649"/>
      <c r="V349" s="650"/>
      <c r="W349" s="40" t="s">
        <v>0</v>
      </c>
      <c r="X349" s="41">
        <f>IFERROR(SUM(X343:X347),"0")</f>
        <v>0</v>
      </c>
      <c r="Y349" s="41">
        <f>IFERROR(SUM(Y343:Y347),"0")</f>
        <v>0</v>
      </c>
      <c r="Z349" s="40"/>
      <c r="AA349" s="64"/>
      <c r="AB349" s="64"/>
      <c r="AC349" s="64"/>
    </row>
    <row r="350" spans="1:68" ht="14.25" hidden="1" customHeight="1" x14ac:dyDescent="0.25">
      <c r="A350" s="660" t="s">
        <v>86</v>
      </c>
      <c r="B350" s="660"/>
      <c r="C350" s="660"/>
      <c r="D350" s="660"/>
      <c r="E350" s="660"/>
      <c r="F350" s="660"/>
      <c r="G350" s="660"/>
      <c r="H350" s="660"/>
      <c r="I350" s="660"/>
      <c r="J350" s="660"/>
      <c r="K350" s="660"/>
      <c r="L350" s="660"/>
      <c r="M350" s="660"/>
      <c r="N350" s="660"/>
      <c r="O350" s="660"/>
      <c r="P350" s="660"/>
      <c r="Q350" s="660"/>
      <c r="R350" s="660"/>
      <c r="S350" s="660"/>
      <c r="T350" s="660"/>
      <c r="U350" s="660"/>
      <c r="V350" s="660"/>
      <c r="W350" s="660"/>
      <c r="X350" s="660"/>
      <c r="Y350" s="660"/>
      <c r="Z350" s="660"/>
      <c r="AA350" s="63"/>
      <c r="AB350" s="63"/>
      <c r="AC350" s="63"/>
    </row>
    <row r="351" spans="1:68" ht="27" hidden="1" customHeight="1" x14ac:dyDescent="0.25">
      <c r="A351" s="60" t="s">
        <v>582</v>
      </c>
      <c r="B351" s="60" t="s">
        <v>583</v>
      </c>
      <c r="C351" s="34">
        <v>4301051782</v>
      </c>
      <c r="D351" s="661">
        <v>4680115884618</v>
      </c>
      <c r="E351" s="661"/>
      <c r="F351" s="59">
        <v>0.6</v>
      </c>
      <c r="G351" s="35">
        <v>6</v>
      </c>
      <c r="H351" s="59">
        <v>3.6</v>
      </c>
      <c r="I351" s="59">
        <v>3.79</v>
      </c>
      <c r="J351" s="35">
        <v>132</v>
      </c>
      <c r="K351" s="35" t="s">
        <v>134</v>
      </c>
      <c r="L351" s="35" t="s">
        <v>46</v>
      </c>
      <c r="M351" s="36" t="s">
        <v>90</v>
      </c>
      <c r="N351" s="36"/>
      <c r="O351" s="35">
        <v>45</v>
      </c>
      <c r="P351" s="7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63"/>
      <c r="R351" s="663"/>
      <c r="S351" s="663"/>
      <c r="T351" s="664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584</v>
      </c>
      <c r="AG351" s="75"/>
      <c r="AJ351" s="79" t="s">
        <v>46</v>
      </c>
      <c r="AK351" s="79">
        <v>0</v>
      </c>
      <c r="BB351" s="446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585</v>
      </c>
      <c r="B352" s="60" t="s">
        <v>586</v>
      </c>
      <c r="C352" s="34">
        <v>4301052057</v>
      </c>
      <c r="D352" s="661">
        <v>4680115887114</v>
      </c>
      <c r="E352" s="661"/>
      <c r="F352" s="59">
        <v>0.55000000000000004</v>
      </c>
      <c r="G352" s="35">
        <v>6</v>
      </c>
      <c r="H352" s="59">
        <v>3.3</v>
      </c>
      <c r="I352" s="59">
        <v>3.49</v>
      </c>
      <c r="J352" s="35">
        <v>132</v>
      </c>
      <c r="K352" s="35" t="s">
        <v>134</v>
      </c>
      <c r="L352" s="35" t="s">
        <v>46</v>
      </c>
      <c r="M352" s="36" t="s">
        <v>90</v>
      </c>
      <c r="N352" s="36"/>
      <c r="O352" s="35">
        <v>45</v>
      </c>
      <c r="P352" s="7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63"/>
      <c r="R352" s="663"/>
      <c r="S352" s="663"/>
      <c r="T352" s="664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IFERROR(IF(Y352=0,"",ROUNDUP(Y352/H352,0)*0.00902),"")</f>
        <v/>
      </c>
      <c r="AA352" s="65" t="s">
        <v>46</v>
      </c>
      <c r="AB352" s="66" t="s">
        <v>46</v>
      </c>
      <c r="AC352" s="447" t="s">
        <v>587</v>
      </c>
      <c r="AG352" s="75"/>
      <c r="AJ352" s="79" t="s">
        <v>46</v>
      </c>
      <c r="AK352" s="79">
        <v>0</v>
      </c>
      <c r="BB352" s="448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idden="1" x14ac:dyDescent="0.2">
      <c r="A353" s="651"/>
      <c r="B353" s="651"/>
      <c r="C353" s="651"/>
      <c r="D353" s="651"/>
      <c r="E353" s="651"/>
      <c r="F353" s="651"/>
      <c r="G353" s="651"/>
      <c r="H353" s="651"/>
      <c r="I353" s="651"/>
      <c r="J353" s="651"/>
      <c r="K353" s="651"/>
      <c r="L353" s="651"/>
      <c r="M353" s="651"/>
      <c r="N353" s="651"/>
      <c r="O353" s="652"/>
      <c r="P353" s="648" t="s">
        <v>40</v>
      </c>
      <c r="Q353" s="649"/>
      <c r="R353" s="649"/>
      <c r="S353" s="649"/>
      <c r="T353" s="649"/>
      <c r="U353" s="649"/>
      <c r="V353" s="650"/>
      <c r="W353" s="40" t="s">
        <v>39</v>
      </c>
      <c r="X353" s="41">
        <f>IFERROR(X351/H351,"0")+IFERROR(X352/H352,"0")</f>
        <v>0</v>
      </c>
      <c r="Y353" s="41">
        <f>IFERROR(Y351/H351,"0")+IFERROR(Y352/H352,"0")</f>
        <v>0</v>
      </c>
      <c r="Z353" s="41">
        <f>IFERROR(IF(Z351="",0,Z351),"0")+IFERROR(IF(Z352="",0,Z352),"0")</f>
        <v>0</v>
      </c>
      <c r="AA353" s="64"/>
      <c r="AB353" s="64"/>
      <c r="AC353" s="64"/>
    </row>
    <row r="354" spans="1:68" hidden="1" x14ac:dyDescent="0.2">
      <c r="A354" s="651"/>
      <c r="B354" s="651"/>
      <c r="C354" s="651"/>
      <c r="D354" s="651"/>
      <c r="E354" s="651"/>
      <c r="F354" s="651"/>
      <c r="G354" s="651"/>
      <c r="H354" s="651"/>
      <c r="I354" s="651"/>
      <c r="J354" s="651"/>
      <c r="K354" s="651"/>
      <c r="L354" s="651"/>
      <c r="M354" s="651"/>
      <c r="N354" s="651"/>
      <c r="O354" s="652"/>
      <c r="P354" s="648" t="s">
        <v>40</v>
      </c>
      <c r="Q354" s="649"/>
      <c r="R354" s="649"/>
      <c r="S354" s="649"/>
      <c r="T354" s="649"/>
      <c r="U354" s="649"/>
      <c r="V354" s="650"/>
      <c r="W354" s="40" t="s">
        <v>0</v>
      </c>
      <c r="X354" s="41">
        <f>IFERROR(SUM(X351:X352),"0")</f>
        <v>0</v>
      </c>
      <c r="Y354" s="41">
        <f>IFERROR(SUM(Y351:Y352),"0")</f>
        <v>0</v>
      </c>
      <c r="Z354" s="40"/>
      <c r="AA354" s="64"/>
      <c r="AB354" s="64"/>
      <c r="AC354" s="64"/>
    </row>
    <row r="355" spans="1:68" ht="16.5" hidden="1" customHeight="1" x14ac:dyDescent="0.25">
      <c r="A355" s="667" t="s">
        <v>588</v>
      </c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7"/>
      <c r="P355" s="667"/>
      <c r="Q355" s="667"/>
      <c r="R355" s="667"/>
      <c r="S355" s="667"/>
      <c r="T355" s="667"/>
      <c r="U355" s="667"/>
      <c r="V355" s="667"/>
      <c r="W355" s="667"/>
      <c r="X355" s="667"/>
      <c r="Y355" s="667"/>
      <c r="Z355" s="667"/>
      <c r="AA355" s="62"/>
      <c r="AB355" s="62"/>
      <c r="AC355" s="62"/>
    </row>
    <row r="356" spans="1:68" ht="14.25" hidden="1" customHeight="1" x14ac:dyDescent="0.25">
      <c r="A356" s="660" t="s">
        <v>122</v>
      </c>
      <c r="B356" s="660"/>
      <c r="C356" s="660"/>
      <c r="D356" s="660"/>
      <c r="E356" s="660"/>
      <c r="F356" s="660"/>
      <c r="G356" s="660"/>
      <c r="H356" s="660"/>
      <c r="I356" s="660"/>
      <c r="J356" s="660"/>
      <c r="K356" s="660"/>
      <c r="L356" s="660"/>
      <c r="M356" s="660"/>
      <c r="N356" s="660"/>
      <c r="O356" s="660"/>
      <c r="P356" s="660"/>
      <c r="Q356" s="660"/>
      <c r="R356" s="660"/>
      <c r="S356" s="660"/>
      <c r="T356" s="660"/>
      <c r="U356" s="660"/>
      <c r="V356" s="660"/>
      <c r="W356" s="660"/>
      <c r="X356" s="660"/>
      <c r="Y356" s="660"/>
      <c r="Z356" s="660"/>
      <c r="AA356" s="63"/>
      <c r="AB356" s="63"/>
      <c r="AC356" s="63"/>
    </row>
    <row r="357" spans="1:68" ht="27" hidden="1" customHeight="1" x14ac:dyDescent="0.25">
      <c r="A357" s="60" t="s">
        <v>589</v>
      </c>
      <c r="B357" s="60" t="s">
        <v>590</v>
      </c>
      <c r="C357" s="34">
        <v>4301012324</v>
      </c>
      <c r="D357" s="661">
        <v>4680115887947</v>
      </c>
      <c r="E357" s="661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127</v>
      </c>
      <c r="L357" s="35" t="s">
        <v>46</v>
      </c>
      <c r="M357" s="36" t="s">
        <v>90</v>
      </c>
      <c r="N357" s="36"/>
      <c r="O357" s="35">
        <v>60</v>
      </c>
      <c r="P357" s="76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63"/>
      <c r="R357" s="663"/>
      <c r="S357" s="663"/>
      <c r="T357" s="664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354</v>
      </c>
      <c r="AG357" s="75"/>
      <c r="AJ357" s="79" t="s">
        <v>46</v>
      </c>
      <c r="AK357" s="79">
        <v>0</v>
      </c>
      <c r="BB357" s="450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591</v>
      </c>
      <c r="B358" s="60" t="s">
        <v>592</v>
      </c>
      <c r="C358" s="34">
        <v>4301012325</v>
      </c>
      <c r="D358" s="661">
        <v>4680115887978</v>
      </c>
      <c r="E358" s="661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127</v>
      </c>
      <c r="L358" s="35" t="s">
        <v>46</v>
      </c>
      <c r="M358" s="36" t="s">
        <v>90</v>
      </c>
      <c r="N358" s="36"/>
      <c r="O358" s="35">
        <v>60</v>
      </c>
      <c r="P358" s="76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63"/>
      <c r="R358" s="663"/>
      <c r="S358" s="663"/>
      <c r="T358" s="664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593</v>
      </c>
      <c r="AG358" s="75"/>
      <c r="AJ358" s="79" t="s">
        <v>46</v>
      </c>
      <c r="AK358" s="79">
        <v>0</v>
      </c>
      <c r="BB358" s="452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hidden="1" customHeight="1" x14ac:dyDescent="0.25">
      <c r="A359" s="60" t="s">
        <v>594</v>
      </c>
      <c r="B359" s="60" t="s">
        <v>595</v>
      </c>
      <c r="C359" s="34">
        <v>4301012327</v>
      </c>
      <c r="D359" s="661">
        <v>4680115887992</v>
      </c>
      <c r="E359" s="661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127</v>
      </c>
      <c r="L359" s="35" t="s">
        <v>46</v>
      </c>
      <c r="M359" s="36" t="s">
        <v>90</v>
      </c>
      <c r="N359" s="36"/>
      <c r="O359" s="35">
        <v>60</v>
      </c>
      <c r="P359" s="76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63"/>
      <c r="R359" s="663"/>
      <c r="S359" s="663"/>
      <c r="T359" s="664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596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idden="1" x14ac:dyDescent="0.2">
      <c r="A360" s="651"/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52"/>
      <c r="P360" s="648" t="s">
        <v>40</v>
      </c>
      <c r="Q360" s="649"/>
      <c r="R360" s="649"/>
      <c r="S360" s="649"/>
      <c r="T360" s="649"/>
      <c r="U360" s="649"/>
      <c r="V360" s="650"/>
      <c r="W360" s="40" t="s">
        <v>39</v>
      </c>
      <c r="X360" s="41">
        <f>IFERROR(X357/H357,"0")+IFERROR(X358/H358,"0")+IFERROR(X359/H359,"0")</f>
        <v>0</v>
      </c>
      <c r="Y360" s="41">
        <f>IFERROR(Y357/H357,"0")+IFERROR(Y358/H358,"0")+IFERROR(Y359/H359,"0")</f>
        <v>0</v>
      </c>
      <c r="Z360" s="41">
        <f>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51"/>
      <c r="B361" s="651"/>
      <c r="C361" s="651"/>
      <c r="D361" s="651"/>
      <c r="E361" s="651"/>
      <c r="F361" s="651"/>
      <c r="G361" s="651"/>
      <c r="H361" s="651"/>
      <c r="I361" s="651"/>
      <c r="J361" s="651"/>
      <c r="K361" s="651"/>
      <c r="L361" s="651"/>
      <c r="M361" s="651"/>
      <c r="N361" s="651"/>
      <c r="O361" s="652"/>
      <c r="P361" s="648" t="s">
        <v>40</v>
      </c>
      <c r="Q361" s="649"/>
      <c r="R361" s="649"/>
      <c r="S361" s="649"/>
      <c r="T361" s="649"/>
      <c r="U361" s="649"/>
      <c r="V361" s="650"/>
      <c r="W361" s="40" t="s">
        <v>0</v>
      </c>
      <c r="X361" s="41">
        <f>IFERROR(SUM(X357:X359),"0")</f>
        <v>0</v>
      </c>
      <c r="Y361" s="41">
        <f>IFERROR(SUM(Y357:Y359),"0")</f>
        <v>0</v>
      </c>
      <c r="Z361" s="40"/>
      <c r="AA361" s="64"/>
      <c r="AB361" s="64"/>
      <c r="AC361" s="64"/>
    </row>
    <row r="362" spans="1:68" ht="16.5" hidden="1" customHeight="1" x14ac:dyDescent="0.25">
      <c r="A362" s="667" t="s">
        <v>597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2"/>
      <c r="AB362" s="62"/>
      <c r="AC362" s="62"/>
    </row>
    <row r="363" spans="1:68" ht="14.25" hidden="1" customHeight="1" x14ac:dyDescent="0.25">
      <c r="A363" s="660" t="s">
        <v>122</v>
      </c>
      <c r="B363" s="660"/>
      <c r="C363" s="660"/>
      <c r="D363" s="660"/>
      <c r="E363" s="660"/>
      <c r="F363" s="660"/>
      <c r="G363" s="660"/>
      <c r="H363" s="660"/>
      <c r="I363" s="660"/>
      <c r="J363" s="660"/>
      <c r="K363" s="660"/>
      <c r="L363" s="660"/>
      <c r="M363" s="660"/>
      <c r="N363" s="660"/>
      <c r="O363" s="660"/>
      <c r="P363" s="660"/>
      <c r="Q363" s="660"/>
      <c r="R363" s="660"/>
      <c r="S363" s="660"/>
      <c r="T363" s="660"/>
      <c r="U363" s="660"/>
      <c r="V363" s="660"/>
      <c r="W363" s="660"/>
      <c r="X363" s="660"/>
      <c r="Y363" s="660"/>
      <c r="Z363" s="660"/>
      <c r="AA363" s="63"/>
      <c r="AB363" s="63"/>
      <c r="AC363" s="63"/>
    </row>
    <row r="364" spans="1:68" ht="27" hidden="1" customHeight="1" x14ac:dyDescent="0.25">
      <c r="A364" s="60" t="s">
        <v>598</v>
      </c>
      <c r="B364" s="60" t="s">
        <v>599</v>
      </c>
      <c r="C364" s="34">
        <v>4301012400</v>
      </c>
      <c r="D364" s="661">
        <v>4680115889880</v>
      </c>
      <c r="E364" s="661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127</v>
      </c>
      <c r="L364" s="35" t="s">
        <v>46</v>
      </c>
      <c r="M364" s="36" t="s">
        <v>126</v>
      </c>
      <c r="N364" s="36"/>
      <c r="O364" s="35">
        <v>55</v>
      </c>
      <c r="P364" s="755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63"/>
      <c r="R364" s="663"/>
      <c r="S364" s="663"/>
      <c r="T364" s="664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ref="Y364:Y370" si="58"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542</v>
      </c>
      <c r="AC364" s="455" t="s">
        <v>522</v>
      </c>
      <c r="AG364" s="75"/>
      <c r="AJ364" s="79" t="s">
        <v>46</v>
      </c>
      <c r="AK364" s="79">
        <v>0</v>
      </c>
      <c r="BB364" s="456" t="s">
        <v>67</v>
      </c>
      <c r="BM364" s="75">
        <f t="shared" ref="BM364:BM370" si="59">IFERROR(X364*I364/H364,"0")</f>
        <v>0</v>
      </c>
      <c r="BN364" s="75">
        <f t="shared" ref="BN364:BN370" si="60">IFERROR(Y364*I364/H364,"0")</f>
        <v>0</v>
      </c>
      <c r="BO364" s="75">
        <f t="shared" ref="BO364:BO370" si="61">IFERROR(1/J364*(X364/H364),"0")</f>
        <v>0</v>
      </c>
      <c r="BP364" s="75">
        <f t="shared" ref="BP364:BP370" si="62">IFERROR(1/J364*(Y364/H364),"0")</f>
        <v>0</v>
      </c>
    </row>
    <row r="365" spans="1:68" ht="27" hidden="1" customHeight="1" x14ac:dyDescent="0.25">
      <c r="A365" s="60" t="s">
        <v>600</v>
      </c>
      <c r="B365" s="60" t="s">
        <v>601</v>
      </c>
      <c r="C365" s="34">
        <v>4301012360</v>
      </c>
      <c r="D365" s="661">
        <v>4680115889293</v>
      </c>
      <c r="E365" s="661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127</v>
      </c>
      <c r="L365" s="35" t="s">
        <v>46</v>
      </c>
      <c r="M365" s="36" t="s">
        <v>126</v>
      </c>
      <c r="N365" s="36"/>
      <c r="O365" s="35">
        <v>55</v>
      </c>
      <c r="P365" s="756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63"/>
      <c r="R365" s="663"/>
      <c r="S365" s="663"/>
      <c r="T365" s="664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602</v>
      </c>
      <c r="AG365" s="75"/>
      <c r="AJ365" s="79" t="s">
        <v>46</v>
      </c>
      <c r="AK365" s="79">
        <v>0</v>
      </c>
      <c r="BB365" s="458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603</v>
      </c>
      <c r="B366" s="60" t="s">
        <v>604</v>
      </c>
      <c r="C366" s="34">
        <v>4301012235</v>
      </c>
      <c r="D366" s="661">
        <v>4680115887190</v>
      </c>
      <c r="E366" s="661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126</v>
      </c>
      <c r="N366" s="36"/>
      <c r="O366" s="35">
        <v>55</v>
      </c>
      <c r="P366" s="75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3"/>
      <c r="R366" s="663"/>
      <c r="S366" s="663"/>
      <c r="T366" s="664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605</v>
      </c>
      <c r="AG366" s="75"/>
      <c r="AJ366" s="79" t="s">
        <v>46</v>
      </c>
      <c r="AK366" s="79">
        <v>0</v>
      </c>
      <c r="BB366" s="460" t="s">
        <v>67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37.5" hidden="1" customHeight="1" x14ac:dyDescent="0.25">
      <c r="A367" s="60" t="s">
        <v>606</v>
      </c>
      <c r="B367" s="60" t="s">
        <v>607</v>
      </c>
      <c r="C367" s="34">
        <v>4301012233</v>
      </c>
      <c r="D367" s="661">
        <v>4680115887138</v>
      </c>
      <c r="E367" s="661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127</v>
      </c>
      <c r="L367" s="35" t="s">
        <v>46</v>
      </c>
      <c r="M367" s="36" t="s">
        <v>126</v>
      </c>
      <c r="N367" s="36"/>
      <c r="O367" s="35">
        <v>55</v>
      </c>
      <c r="P367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3"/>
      <c r="R367" s="663"/>
      <c r="S367" s="663"/>
      <c r="T367" s="664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608</v>
      </c>
      <c r="AG367" s="75"/>
      <c r="AJ367" s="79" t="s">
        <v>46</v>
      </c>
      <c r="AK367" s="79">
        <v>0</v>
      </c>
      <c r="BB367" s="462" t="s">
        <v>67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609</v>
      </c>
      <c r="B368" s="60" t="s">
        <v>610</v>
      </c>
      <c r="C368" s="34">
        <v>4301012016</v>
      </c>
      <c r="D368" s="661">
        <v>4680115885554</v>
      </c>
      <c r="E368" s="661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127</v>
      </c>
      <c r="L368" s="35" t="s">
        <v>46</v>
      </c>
      <c r="M368" s="36" t="s">
        <v>90</v>
      </c>
      <c r="N368" s="36"/>
      <c r="O368" s="35">
        <v>55</v>
      </c>
      <c r="P368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3"/>
      <c r="R368" s="663"/>
      <c r="S368" s="663"/>
      <c r="T368" s="664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611</v>
      </c>
      <c r="AG368" s="75"/>
      <c r="AJ368" s="79" t="s">
        <v>46</v>
      </c>
      <c r="AK368" s="79">
        <v>0</v>
      </c>
      <c r="BB368" s="464" t="s">
        <v>67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612</v>
      </c>
      <c r="B369" s="60" t="s">
        <v>613</v>
      </c>
      <c r="C369" s="34">
        <v>4301012236</v>
      </c>
      <c r="D369" s="661">
        <v>4680115887220</v>
      </c>
      <c r="E369" s="661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134</v>
      </c>
      <c r="L369" s="35" t="s">
        <v>46</v>
      </c>
      <c r="M369" s="36" t="s">
        <v>126</v>
      </c>
      <c r="N369" s="36"/>
      <c r="O369" s="35">
        <v>55</v>
      </c>
      <c r="P369" s="76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3"/>
      <c r="R369" s="663"/>
      <c r="S369" s="663"/>
      <c r="T369" s="664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605</v>
      </c>
      <c r="AG369" s="75"/>
      <c r="AJ369" s="79" t="s">
        <v>46</v>
      </c>
      <c r="AK369" s="79">
        <v>0</v>
      </c>
      <c r="BB369" s="466" t="s">
        <v>67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614</v>
      </c>
      <c r="B370" s="60" t="s">
        <v>615</v>
      </c>
      <c r="C370" s="34">
        <v>4301011859</v>
      </c>
      <c r="D370" s="661">
        <v>4680115885608</v>
      </c>
      <c r="E370" s="661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134</v>
      </c>
      <c r="L370" s="35" t="s">
        <v>46</v>
      </c>
      <c r="M370" s="36" t="s">
        <v>126</v>
      </c>
      <c r="N370" s="36"/>
      <c r="O370" s="35">
        <v>55</v>
      </c>
      <c r="P370" s="7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3"/>
      <c r="R370" s="663"/>
      <c r="S370" s="663"/>
      <c r="T370" s="664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616</v>
      </c>
      <c r="AG370" s="75"/>
      <c r="AJ370" s="79" t="s">
        <v>46</v>
      </c>
      <c r="AK370" s="79">
        <v>0</v>
      </c>
      <c r="BB370" s="468" t="s">
        <v>67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idden="1" x14ac:dyDescent="0.2">
      <c r="A371" s="651"/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2"/>
      <c r="P371" s="648" t="s">
        <v>40</v>
      </c>
      <c r="Q371" s="649"/>
      <c r="R371" s="649"/>
      <c r="S371" s="649"/>
      <c r="T371" s="649"/>
      <c r="U371" s="649"/>
      <c r="V371" s="650"/>
      <c r="W371" s="40" t="s">
        <v>39</v>
      </c>
      <c r="X371" s="41">
        <f>IFERROR(X364/H364,"0")+IFERROR(X365/H365,"0")+IFERROR(X366/H366,"0")+IFERROR(X367/H367,"0")+IFERROR(X368/H368,"0")+IFERROR(X369/H369,"0")+IFERROR(X370/H370,"0")</f>
        <v>0</v>
      </c>
      <c r="Y371" s="41">
        <f>IFERROR(Y364/H364,"0")+IFERROR(Y365/H365,"0")+IFERROR(Y366/H366,"0")+IFERROR(Y367/H367,"0")+IFERROR(Y368/H368,"0")+IFERROR(Y369/H369,"0")+IFERROR(Y370/H370,"0")</f>
        <v>0</v>
      </c>
      <c r="Z371" s="41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">
      <c r="A372" s="651"/>
      <c r="B372" s="651"/>
      <c r="C372" s="651"/>
      <c r="D372" s="651"/>
      <c r="E372" s="651"/>
      <c r="F372" s="651"/>
      <c r="G372" s="651"/>
      <c r="H372" s="651"/>
      <c r="I372" s="651"/>
      <c r="J372" s="651"/>
      <c r="K372" s="651"/>
      <c r="L372" s="651"/>
      <c r="M372" s="651"/>
      <c r="N372" s="651"/>
      <c r="O372" s="652"/>
      <c r="P372" s="648" t="s">
        <v>40</v>
      </c>
      <c r="Q372" s="649"/>
      <c r="R372" s="649"/>
      <c r="S372" s="649"/>
      <c r="T372" s="649"/>
      <c r="U372" s="649"/>
      <c r="V372" s="650"/>
      <c r="W372" s="40" t="s">
        <v>0</v>
      </c>
      <c r="X372" s="41">
        <f>IFERROR(SUM(X364:X370),"0")</f>
        <v>0</v>
      </c>
      <c r="Y372" s="41">
        <f>IFERROR(SUM(Y364:Y370),"0")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660" t="s">
        <v>77</v>
      </c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0"/>
      <c r="P373" s="660"/>
      <c r="Q373" s="660"/>
      <c r="R373" s="660"/>
      <c r="S373" s="660"/>
      <c r="T373" s="660"/>
      <c r="U373" s="660"/>
      <c r="V373" s="660"/>
      <c r="W373" s="660"/>
      <c r="X373" s="660"/>
      <c r="Y373" s="660"/>
      <c r="Z373" s="660"/>
      <c r="AA373" s="63"/>
      <c r="AB373" s="63"/>
      <c r="AC373" s="63"/>
    </row>
    <row r="374" spans="1:68" ht="27" hidden="1" customHeight="1" x14ac:dyDescent="0.25">
      <c r="A374" s="60" t="s">
        <v>617</v>
      </c>
      <c r="B374" s="60" t="s">
        <v>618</v>
      </c>
      <c r="C374" s="34">
        <v>4301030878</v>
      </c>
      <c r="D374" s="661">
        <v>4607091387193</v>
      </c>
      <c r="E374" s="661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35</v>
      </c>
      <c r="P374" s="74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3"/>
      <c r="R374" s="663"/>
      <c r="S374" s="663"/>
      <c r="T374" s="664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63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619</v>
      </c>
      <c r="AG374" s="75"/>
      <c r="AJ374" s="79" t="s">
        <v>46</v>
      </c>
      <c r="AK374" s="79">
        <v>0</v>
      </c>
      <c r="BB374" s="470" t="s">
        <v>67</v>
      </c>
      <c r="BM374" s="75">
        <f t="shared" ref="BM374:BM380" si="64">IFERROR(X374*I374/H374,"0")</f>
        <v>0</v>
      </c>
      <c r="BN374" s="75">
        <f t="shared" ref="BN374:BN380" si="65">IFERROR(Y374*I374/H374,"0")</f>
        <v>0</v>
      </c>
      <c r="BO374" s="75">
        <f t="shared" ref="BO374:BO380" si="66">IFERROR(1/J374*(X374/H374),"0")</f>
        <v>0</v>
      </c>
      <c r="BP374" s="75">
        <f t="shared" ref="BP374:BP380" si="67">IFERROR(1/J374*(Y374/H374),"0")</f>
        <v>0</v>
      </c>
    </row>
    <row r="375" spans="1:68" ht="27" hidden="1" customHeight="1" x14ac:dyDescent="0.25">
      <c r="A375" s="60" t="s">
        <v>620</v>
      </c>
      <c r="B375" s="60" t="s">
        <v>621</v>
      </c>
      <c r="C375" s="34">
        <v>4301031153</v>
      </c>
      <c r="D375" s="661">
        <v>4607091387230</v>
      </c>
      <c r="E375" s="661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40</v>
      </c>
      <c r="P375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3"/>
      <c r="R375" s="663"/>
      <c r="S375" s="663"/>
      <c r="T375" s="664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622</v>
      </c>
      <c r="AG375" s="75"/>
      <c r="AJ375" s="79" t="s">
        <v>46</v>
      </c>
      <c r="AK375" s="79">
        <v>0</v>
      </c>
      <c r="BB375" s="472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623</v>
      </c>
      <c r="B376" s="60" t="s">
        <v>624</v>
      </c>
      <c r="C376" s="34">
        <v>4301031154</v>
      </c>
      <c r="D376" s="661">
        <v>4607091387292</v>
      </c>
      <c r="E376" s="661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134</v>
      </c>
      <c r="L376" s="35" t="s">
        <v>46</v>
      </c>
      <c r="M376" s="36" t="s">
        <v>81</v>
      </c>
      <c r="N376" s="36"/>
      <c r="O376" s="35">
        <v>45</v>
      </c>
      <c r="P37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3"/>
      <c r="R376" s="663"/>
      <c r="S376" s="663"/>
      <c r="T376" s="664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625</v>
      </c>
      <c r="AG376" s="75"/>
      <c r="AJ376" s="79" t="s">
        <v>46</v>
      </c>
      <c r="AK376" s="79">
        <v>0</v>
      </c>
      <c r="BB376" s="474" t="s">
        <v>67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626</v>
      </c>
      <c r="B377" s="60" t="s">
        <v>627</v>
      </c>
      <c r="C377" s="34">
        <v>4301031152</v>
      </c>
      <c r="D377" s="661">
        <v>4607091387285</v>
      </c>
      <c r="E377" s="661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82</v>
      </c>
      <c r="L377" s="35" t="s">
        <v>46</v>
      </c>
      <c r="M377" s="36" t="s">
        <v>81</v>
      </c>
      <c r="N377" s="36"/>
      <c r="O377" s="35">
        <v>40</v>
      </c>
      <c r="P377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3"/>
      <c r="R377" s="663"/>
      <c r="S377" s="663"/>
      <c r="T377" s="664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622</v>
      </c>
      <c r="AG377" s="75"/>
      <c r="AJ377" s="79" t="s">
        <v>46</v>
      </c>
      <c r="AK377" s="79">
        <v>0</v>
      </c>
      <c r="BB377" s="476" t="s">
        <v>67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628</v>
      </c>
      <c r="B378" s="60" t="s">
        <v>629</v>
      </c>
      <c r="C378" s="34">
        <v>4301031305</v>
      </c>
      <c r="D378" s="661">
        <v>4607091389845</v>
      </c>
      <c r="E378" s="661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82</v>
      </c>
      <c r="L378" s="35" t="s">
        <v>46</v>
      </c>
      <c r="M378" s="36" t="s">
        <v>81</v>
      </c>
      <c r="N378" s="36"/>
      <c r="O378" s="35">
        <v>40</v>
      </c>
      <c r="P378" s="7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3"/>
      <c r="R378" s="663"/>
      <c r="S378" s="663"/>
      <c r="T378" s="664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630</v>
      </c>
      <c r="AG378" s="75"/>
      <c r="AJ378" s="79" t="s">
        <v>46</v>
      </c>
      <c r="AK378" s="79">
        <v>0</v>
      </c>
      <c r="BB378" s="478" t="s">
        <v>67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hidden="1" customHeight="1" x14ac:dyDescent="0.25">
      <c r="A379" s="60" t="s">
        <v>631</v>
      </c>
      <c r="B379" s="60" t="s">
        <v>632</v>
      </c>
      <c r="C379" s="34">
        <v>4301031460</v>
      </c>
      <c r="D379" s="661">
        <v>4680115887442</v>
      </c>
      <c r="E379" s="661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134</v>
      </c>
      <c r="L379" s="35" t="s">
        <v>46</v>
      </c>
      <c r="M379" s="36" t="s">
        <v>81</v>
      </c>
      <c r="N379" s="36"/>
      <c r="O379" s="35">
        <v>45</v>
      </c>
      <c r="P379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3"/>
      <c r="R379" s="663"/>
      <c r="S379" s="663"/>
      <c r="T379" s="664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625</v>
      </c>
      <c r="AG379" s="75"/>
      <c r="AJ379" s="79" t="s">
        <v>46</v>
      </c>
      <c r="AK379" s="79">
        <v>0</v>
      </c>
      <c r="BB379" s="480" t="s">
        <v>67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hidden="1" customHeight="1" x14ac:dyDescent="0.25">
      <c r="A380" s="60" t="s">
        <v>633</v>
      </c>
      <c r="B380" s="60" t="s">
        <v>634</v>
      </c>
      <c r="C380" s="34">
        <v>4301031066</v>
      </c>
      <c r="D380" s="661">
        <v>4607091383836</v>
      </c>
      <c r="E380" s="661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91</v>
      </c>
      <c r="L380" s="35" t="s">
        <v>46</v>
      </c>
      <c r="M380" s="36" t="s">
        <v>81</v>
      </c>
      <c r="N380" s="36"/>
      <c r="O380" s="35">
        <v>40</v>
      </c>
      <c r="P380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3"/>
      <c r="R380" s="663"/>
      <c r="S380" s="663"/>
      <c r="T380" s="664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81" t="s">
        <v>635</v>
      </c>
      <c r="AG380" s="75"/>
      <c r="AJ380" s="79" t="s">
        <v>46</v>
      </c>
      <c r="AK380" s="79">
        <v>0</v>
      </c>
      <c r="BB380" s="482" t="s">
        <v>67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hidden="1" x14ac:dyDescent="0.2">
      <c r="A381" s="651"/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2"/>
      <c r="P381" s="648" t="s">
        <v>40</v>
      </c>
      <c r="Q381" s="649"/>
      <c r="R381" s="649"/>
      <c r="S381" s="649"/>
      <c r="T381" s="649"/>
      <c r="U381" s="649"/>
      <c r="V381" s="650"/>
      <c r="W381" s="40" t="s">
        <v>39</v>
      </c>
      <c r="X381" s="41">
        <f>IFERROR(X374/H374,"0")+IFERROR(X375/H375,"0")+IFERROR(X376/H376,"0")+IFERROR(X377/H377,"0")+IFERROR(X378/H378,"0")+IFERROR(X379/H379,"0")+IFERROR(X380/H380,"0")</f>
        <v>0</v>
      </c>
      <c r="Y381" s="41">
        <f>IFERROR(Y374/H374,"0")+IFERROR(Y375/H375,"0")+IFERROR(Y376/H376,"0")+IFERROR(Y377/H377,"0")+IFERROR(Y378/H378,"0")+IFERROR(Y379/H379,"0")+IFERROR(Y380/H380,"0")</f>
        <v>0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51"/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2"/>
      <c r="P382" s="648" t="s">
        <v>40</v>
      </c>
      <c r="Q382" s="649"/>
      <c r="R382" s="649"/>
      <c r="S382" s="649"/>
      <c r="T382" s="649"/>
      <c r="U382" s="649"/>
      <c r="V382" s="650"/>
      <c r="W382" s="40" t="s">
        <v>0</v>
      </c>
      <c r="X382" s="41">
        <f>IFERROR(SUM(X374:X380),"0")</f>
        <v>0</v>
      </c>
      <c r="Y382" s="41">
        <f>IFERROR(SUM(Y374:Y380),"0")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60" t="s">
        <v>86</v>
      </c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0"/>
      <c r="P383" s="660"/>
      <c r="Q383" s="660"/>
      <c r="R383" s="660"/>
      <c r="S383" s="660"/>
      <c r="T383" s="660"/>
      <c r="U383" s="660"/>
      <c r="V383" s="660"/>
      <c r="W383" s="660"/>
      <c r="X383" s="660"/>
      <c r="Y383" s="660"/>
      <c r="Z383" s="660"/>
      <c r="AA383" s="63"/>
      <c r="AB383" s="63"/>
      <c r="AC383" s="63"/>
    </row>
    <row r="384" spans="1:68" ht="27" hidden="1" customHeight="1" x14ac:dyDescent="0.25">
      <c r="A384" s="60" t="s">
        <v>636</v>
      </c>
      <c r="B384" s="60" t="s">
        <v>637</v>
      </c>
      <c r="C384" s="34">
        <v>4301051100</v>
      </c>
      <c r="D384" s="661">
        <v>4607091387766</v>
      </c>
      <c r="E384" s="661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127</v>
      </c>
      <c r="L384" s="35" t="s">
        <v>46</v>
      </c>
      <c r="M384" s="36" t="s">
        <v>90</v>
      </c>
      <c r="N384" s="36"/>
      <c r="O384" s="35">
        <v>40</v>
      </c>
      <c r="P384" s="7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3"/>
      <c r="R384" s="663"/>
      <c r="S384" s="663"/>
      <c r="T384" s="664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638</v>
      </c>
      <c r="AG384" s="75"/>
      <c r="AJ384" s="79" t="s">
        <v>46</v>
      </c>
      <c r="AK384" s="79">
        <v>0</v>
      </c>
      <c r="BB384" s="484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639</v>
      </c>
      <c r="B385" s="60" t="s">
        <v>640</v>
      </c>
      <c r="C385" s="34">
        <v>4301051818</v>
      </c>
      <c r="D385" s="661">
        <v>4607091387957</v>
      </c>
      <c r="E385" s="661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127</v>
      </c>
      <c r="L385" s="35" t="s">
        <v>46</v>
      </c>
      <c r="M385" s="36" t="s">
        <v>90</v>
      </c>
      <c r="N385" s="36"/>
      <c r="O385" s="35">
        <v>40</v>
      </c>
      <c r="P385" s="7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3"/>
      <c r="R385" s="663"/>
      <c r="S385" s="663"/>
      <c r="T385" s="664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641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642</v>
      </c>
      <c r="B386" s="60" t="s">
        <v>643</v>
      </c>
      <c r="C386" s="34">
        <v>4301051819</v>
      </c>
      <c r="D386" s="661">
        <v>4607091387964</v>
      </c>
      <c r="E386" s="661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40</v>
      </c>
      <c r="P386" s="7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3"/>
      <c r="R386" s="663"/>
      <c r="S386" s="663"/>
      <c r="T386" s="664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644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645</v>
      </c>
      <c r="B387" s="60" t="s">
        <v>646</v>
      </c>
      <c r="C387" s="34">
        <v>4301051734</v>
      </c>
      <c r="D387" s="661">
        <v>4680115884588</v>
      </c>
      <c r="E387" s="661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91</v>
      </c>
      <c r="L387" s="35" t="s">
        <v>46</v>
      </c>
      <c r="M387" s="36" t="s">
        <v>90</v>
      </c>
      <c r="N387" s="36"/>
      <c r="O387" s="35">
        <v>40</v>
      </c>
      <c r="P387" s="7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3"/>
      <c r="R387" s="663"/>
      <c r="S387" s="663"/>
      <c r="T387" s="664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638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51"/>
      <c r="B389" s="651"/>
      <c r="C389" s="651"/>
      <c r="D389" s="651"/>
      <c r="E389" s="651"/>
      <c r="F389" s="651"/>
      <c r="G389" s="651"/>
      <c r="H389" s="651"/>
      <c r="I389" s="651"/>
      <c r="J389" s="651"/>
      <c r="K389" s="651"/>
      <c r="L389" s="651"/>
      <c r="M389" s="651"/>
      <c r="N389" s="651"/>
      <c r="O389" s="652"/>
      <c r="P389" s="648" t="s">
        <v>40</v>
      </c>
      <c r="Q389" s="649"/>
      <c r="R389" s="649"/>
      <c r="S389" s="649"/>
      <c r="T389" s="649"/>
      <c r="U389" s="649"/>
      <c r="V389" s="650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660" t="s">
        <v>178</v>
      </c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0"/>
      <c r="P390" s="660"/>
      <c r="Q390" s="660"/>
      <c r="R390" s="660"/>
      <c r="S390" s="660"/>
      <c r="T390" s="660"/>
      <c r="U390" s="660"/>
      <c r="V390" s="660"/>
      <c r="W390" s="660"/>
      <c r="X390" s="660"/>
      <c r="Y390" s="660"/>
      <c r="Z390" s="660"/>
      <c r="AA390" s="63"/>
      <c r="AB390" s="63"/>
      <c r="AC390" s="63"/>
    </row>
    <row r="391" spans="1:68" ht="27" hidden="1" customHeight="1" x14ac:dyDescent="0.25">
      <c r="A391" s="60" t="s">
        <v>647</v>
      </c>
      <c r="B391" s="60" t="s">
        <v>648</v>
      </c>
      <c r="C391" s="34">
        <v>4301060387</v>
      </c>
      <c r="D391" s="661">
        <v>4607091380880</v>
      </c>
      <c r="E391" s="661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127</v>
      </c>
      <c r="L391" s="35" t="s">
        <v>46</v>
      </c>
      <c r="M391" s="36" t="s">
        <v>90</v>
      </c>
      <c r="N391" s="36"/>
      <c r="O391" s="35">
        <v>30</v>
      </c>
      <c r="P391" s="7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3"/>
      <c r="R391" s="663"/>
      <c r="S391" s="663"/>
      <c r="T391" s="664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649</v>
      </c>
      <c r="AG391" s="75"/>
      <c r="AJ391" s="79" t="s">
        <v>46</v>
      </c>
      <c r="AK391" s="79">
        <v>0</v>
      </c>
      <c r="BB391" s="49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650</v>
      </c>
      <c r="B392" s="60" t="s">
        <v>651</v>
      </c>
      <c r="C392" s="34">
        <v>4301060406</v>
      </c>
      <c r="D392" s="661">
        <v>4607091384482</v>
      </c>
      <c r="E392" s="661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127</v>
      </c>
      <c r="L392" s="35" t="s">
        <v>46</v>
      </c>
      <c r="M392" s="36" t="s">
        <v>90</v>
      </c>
      <c r="N392" s="36"/>
      <c r="O392" s="35">
        <v>30</v>
      </c>
      <c r="P392" s="7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3"/>
      <c r="R392" s="663"/>
      <c r="S392" s="663"/>
      <c r="T392" s="664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652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653</v>
      </c>
      <c r="B393" s="60" t="s">
        <v>654</v>
      </c>
      <c r="C393" s="34">
        <v>4301060484</v>
      </c>
      <c r="D393" s="661">
        <v>4607091380897</v>
      </c>
      <c r="E393" s="661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127</v>
      </c>
      <c r="L393" s="35" t="s">
        <v>46</v>
      </c>
      <c r="M393" s="36" t="s">
        <v>97</v>
      </c>
      <c r="N393" s="36"/>
      <c r="O393" s="35">
        <v>30</v>
      </c>
      <c r="P393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3"/>
      <c r="R393" s="663"/>
      <c r="S393" s="663"/>
      <c r="T393" s="664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655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651"/>
      <c r="B395" s="651"/>
      <c r="C395" s="651"/>
      <c r="D395" s="651"/>
      <c r="E395" s="651"/>
      <c r="F395" s="651"/>
      <c r="G395" s="651"/>
      <c r="H395" s="651"/>
      <c r="I395" s="651"/>
      <c r="J395" s="651"/>
      <c r="K395" s="651"/>
      <c r="L395" s="651"/>
      <c r="M395" s="651"/>
      <c r="N395" s="651"/>
      <c r="O395" s="652"/>
      <c r="P395" s="648" t="s">
        <v>40</v>
      </c>
      <c r="Q395" s="649"/>
      <c r="R395" s="649"/>
      <c r="S395" s="649"/>
      <c r="T395" s="649"/>
      <c r="U395" s="649"/>
      <c r="V395" s="650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660" t="s">
        <v>277</v>
      </c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0"/>
      <c r="P396" s="660"/>
      <c r="Q396" s="660"/>
      <c r="R396" s="660"/>
      <c r="S396" s="660"/>
      <c r="T396" s="660"/>
      <c r="U396" s="660"/>
      <c r="V396" s="660"/>
      <c r="W396" s="660"/>
      <c r="X396" s="660"/>
      <c r="Y396" s="660"/>
      <c r="Z396" s="660"/>
      <c r="AA396" s="63"/>
      <c r="AB396" s="63"/>
      <c r="AC396" s="63"/>
    </row>
    <row r="397" spans="1:68" ht="27" hidden="1" customHeight="1" x14ac:dyDescent="0.25">
      <c r="A397" s="60" t="s">
        <v>656</v>
      </c>
      <c r="B397" s="60" t="s">
        <v>657</v>
      </c>
      <c r="C397" s="34">
        <v>4301030235</v>
      </c>
      <c r="D397" s="661">
        <v>4607091388381</v>
      </c>
      <c r="E397" s="661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134</v>
      </c>
      <c r="L397" s="35" t="s">
        <v>46</v>
      </c>
      <c r="M397" s="36" t="s">
        <v>253</v>
      </c>
      <c r="N397" s="36"/>
      <c r="O397" s="35">
        <v>180</v>
      </c>
      <c r="P397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3"/>
      <c r="R397" s="663"/>
      <c r="S397" s="663"/>
      <c r="T397" s="664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658</v>
      </c>
      <c r="AG397" s="75"/>
      <c r="AJ397" s="79" t="s">
        <v>46</v>
      </c>
      <c r="AK397" s="79">
        <v>0</v>
      </c>
      <c r="BB397" s="49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659</v>
      </c>
      <c r="B398" s="60" t="s">
        <v>660</v>
      </c>
      <c r="C398" s="34">
        <v>4301030232</v>
      </c>
      <c r="D398" s="661">
        <v>4607091388374</v>
      </c>
      <c r="E398" s="661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134</v>
      </c>
      <c r="L398" s="35" t="s">
        <v>46</v>
      </c>
      <c r="M398" s="36" t="s">
        <v>253</v>
      </c>
      <c r="N398" s="36"/>
      <c r="O398" s="35">
        <v>180</v>
      </c>
      <c r="P398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3"/>
      <c r="R398" s="663"/>
      <c r="S398" s="663"/>
      <c r="T398" s="664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658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661</v>
      </c>
      <c r="B399" s="60" t="s">
        <v>662</v>
      </c>
      <c r="C399" s="34">
        <v>4301032015</v>
      </c>
      <c r="D399" s="661">
        <v>4607091383102</v>
      </c>
      <c r="E399" s="661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91</v>
      </c>
      <c r="L399" s="35" t="s">
        <v>46</v>
      </c>
      <c r="M399" s="36" t="s">
        <v>253</v>
      </c>
      <c r="N399" s="36"/>
      <c r="O399" s="35">
        <v>180</v>
      </c>
      <c r="P399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3"/>
      <c r="R399" s="663"/>
      <c r="S399" s="663"/>
      <c r="T399" s="664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658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663</v>
      </c>
      <c r="B400" s="60" t="s">
        <v>664</v>
      </c>
      <c r="C400" s="34">
        <v>4301030233</v>
      </c>
      <c r="D400" s="661">
        <v>4607091388404</v>
      </c>
      <c r="E400" s="661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91</v>
      </c>
      <c r="L400" s="35" t="s">
        <v>46</v>
      </c>
      <c r="M400" s="36" t="s">
        <v>253</v>
      </c>
      <c r="N400" s="36"/>
      <c r="O400" s="35">
        <v>180</v>
      </c>
      <c r="P400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3"/>
      <c r="R400" s="663"/>
      <c r="S400" s="663"/>
      <c r="T400" s="664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658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651"/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2"/>
      <c r="P401" s="648" t="s">
        <v>40</v>
      </c>
      <c r="Q401" s="649"/>
      <c r="R401" s="649"/>
      <c r="S401" s="649"/>
      <c r="T401" s="649"/>
      <c r="U401" s="649"/>
      <c r="V401" s="650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651"/>
      <c r="B402" s="651"/>
      <c r="C402" s="651"/>
      <c r="D402" s="651"/>
      <c r="E402" s="651"/>
      <c r="F402" s="651"/>
      <c r="G402" s="651"/>
      <c r="H402" s="651"/>
      <c r="I402" s="651"/>
      <c r="J402" s="651"/>
      <c r="K402" s="651"/>
      <c r="L402" s="651"/>
      <c r="M402" s="651"/>
      <c r="N402" s="651"/>
      <c r="O402" s="652"/>
      <c r="P402" s="648" t="s">
        <v>40</v>
      </c>
      <c r="Q402" s="649"/>
      <c r="R402" s="649"/>
      <c r="S402" s="649"/>
      <c r="T402" s="649"/>
      <c r="U402" s="649"/>
      <c r="V402" s="650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660" t="s">
        <v>665</v>
      </c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0"/>
      <c r="P403" s="660"/>
      <c r="Q403" s="660"/>
      <c r="R403" s="660"/>
      <c r="S403" s="660"/>
      <c r="T403" s="660"/>
      <c r="U403" s="660"/>
      <c r="V403" s="660"/>
      <c r="W403" s="660"/>
      <c r="X403" s="660"/>
      <c r="Y403" s="660"/>
      <c r="Z403" s="660"/>
      <c r="AA403" s="63"/>
      <c r="AB403" s="63"/>
      <c r="AC403" s="63"/>
    </row>
    <row r="404" spans="1:68" ht="16.5" hidden="1" customHeight="1" x14ac:dyDescent="0.25">
      <c r="A404" s="60" t="s">
        <v>666</v>
      </c>
      <c r="B404" s="60" t="s">
        <v>667</v>
      </c>
      <c r="C404" s="34">
        <v>4301180007</v>
      </c>
      <c r="D404" s="661">
        <v>4680115881808</v>
      </c>
      <c r="E404" s="661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669</v>
      </c>
      <c r="N404" s="36"/>
      <c r="O404" s="35">
        <v>731</v>
      </c>
      <c r="P404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3"/>
      <c r="R404" s="663"/>
      <c r="S404" s="663"/>
      <c r="T404" s="664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668</v>
      </c>
      <c r="AG404" s="75"/>
      <c r="AJ404" s="79" t="s">
        <v>46</v>
      </c>
      <c r="AK404" s="79">
        <v>0</v>
      </c>
      <c r="BB404" s="50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670</v>
      </c>
      <c r="B405" s="60" t="s">
        <v>671</v>
      </c>
      <c r="C405" s="34">
        <v>4301180006</v>
      </c>
      <c r="D405" s="661">
        <v>4680115881822</v>
      </c>
      <c r="E405" s="661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91</v>
      </c>
      <c r="L405" s="35" t="s">
        <v>46</v>
      </c>
      <c r="M405" s="36" t="s">
        <v>669</v>
      </c>
      <c r="N405" s="36"/>
      <c r="O405" s="35">
        <v>731</v>
      </c>
      <c r="P405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3"/>
      <c r="R405" s="663"/>
      <c r="S405" s="663"/>
      <c r="T405" s="664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668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672</v>
      </c>
      <c r="B406" s="60" t="s">
        <v>673</v>
      </c>
      <c r="C406" s="34">
        <v>4301180001</v>
      </c>
      <c r="D406" s="661">
        <v>4680115880016</v>
      </c>
      <c r="E406" s="661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91</v>
      </c>
      <c r="L406" s="35" t="s">
        <v>46</v>
      </c>
      <c r="M406" s="36" t="s">
        <v>669</v>
      </c>
      <c r="N406" s="36"/>
      <c r="O406" s="35">
        <v>731</v>
      </c>
      <c r="P406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3"/>
      <c r="R406" s="663"/>
      <c r="S406" s="663"/>
      <c r="T406" s="664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668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651"/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2"/>
      <c r="P407" s="648" t="s">
        <v>40</v>
      </c>
      <c r="Q407" s="649"/>
      <c r="R407" s="649"/>
      <c r="S407" s="649"/>
      <c r="T407" s="649"/>
      <c r="U407" s="649"/>
      <c r="V407" s="650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">
      <c r="A408" s="651"/>
      <c r="B408" s="651"/>
      <c r="C408" s="651"/>
      <c r="D408" s="651"/>
      <c r="E408" s="651"/>
      <c r="F408" s="651"/>
      <c r="G408" s="651"/>
      <c r="H408" s="651"/>
      <c r="I408" s="651"/>
      <c r="J408" s="651"/>
      <c r="K408" s="651"/>
      <c r="L408" s="651"/>
      <c r="M408" s="651"/>
      <c r="N408" s="651"/>
      <c r="O408" s="652"/>
      <c r="P408" s="648" t="s">
        <v>40</v>
      </c>
      <c r="Q408" s="649"/>
      <c r="R408" s="649"/>
      <c r="S408" s="649"/>
      <c r="T408" s="649"/>
      <c r="U408" s="649"/>
      <c r="V408" s="650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660" t="s">
        <v>674</v>
      </c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0"/>
      <c r="P409" s="660"/>
      <c r="Q409" s="660"/>
      <c r="R409" s="660"/>
      <c r="S409" s="660"/>
      <c r="T409" s="660"/>
      <c r="U409" s="660"/>
      <c r="V409" s="660"/>
      <c r="W409" s="660"/>
      <c r="X409" s="660"/>
      <c r="Y409" s="660"/>
      <c r="Z409" s="660"/>
      <c r="AA409" s="63"/>
      <c r="AB409" s="63"/>
      <c r="AC409" s="63"/>
    </row>
    <row r="410" spans="1:68" ht="27" hidden="1" customHeight="1" x14ac:dyDescent="0.25">
      <c r="A410" s="60" t="s">
        <v>675</v>
      </c>
      <c r="B410" s="60" t="s">
        <v>676</v>
      </c>
      <c r="C410" s="34">
        <v>4301220003</v>
      </c>
      <c r="D410" s="661">
        <v>4680115888678</v>
      </c>
      <c r="E410" s="661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669</v>
      </c>
      <c r="N410" s="36"/>
      <c r="O410" s="35">
        <v>1096</v>
      </c>
      <c r="P410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3"/>
      <c r="R410" s="663"/>
      <c r="S410" s="663"/>
      <c r="T410" s="664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677</v>
      </c>
      <c r="AG410" s="75"/>
      <c r="AJ410" s="79" t="s">
        <v>46</v>
      </c>
      <c r="AK410" s="79">
        <v>0</v>
      </c>
      <c r="BB410" s="512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678</v>
      </c>
      <c r="B411" s="60" t="s">
        <v>679</v>
      </c>
      <c r="C411" s="34">
        <v>4301220001</v>
      </c>
      <c r="D411" s="661">
        <v>4680115888654</v>
      </c>
      <c r="E411" s="661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134</v>
      </c>
      <c r="L411" s="35" t="s">
        <v>46</v>
      </c>
      <c r="M411" s="36" t="s">
        <v>669</v>
      </c>
      <c r="N411" s="36"/>
      <c r="O411" s="35">
        <v>1096</v>
      </c>
      <c r="P411" s="7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3"/>
      <c r="R411" s="663"/>
      <c r="S411" s="663"/>
      <c r="T411" s="664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680</v>
      </c>
      <c r="AG411" s="75"/>
      <c r="AJ411" s="79" t="s">
        <v>46</v>
      </c>
      <c r="AK411" s="79">
        <v>0</v>
      </c>
      <c r="BB411" s="514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681</v>
      </c>
      <c r="B412" s="60" t="s">
        <v>682</v>
      </c>
      <c r="C412" s="34">
        <v>4301220002</v>
      </c>
      <c r="D412" s="661">
        <v>4680115888753</v>
      </c>
      <c r="E412" s="661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91</v>
      </c>
      <c r="L412" s="35" t="s">
        <v>46</v>
      </c>
      <c r="M412" s="36" t="s">
        <v>669</v>
      </c>
      <c r="N412" s="36"/>
      <c r="O412" s="35">
        <v>1096</v>
      </c>
      <c r="P412" s="7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3"/>
      <c r="R412" s="663"/>
      <c r="S412" s="663"/>
      <c r="T412" s="664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677</v>
      </c>
      <c r="AG412" s="75"/>
      <c r="AJ412" s="79" t="s">
        <v>46</v>
      </c>
      <c r="AK412" s="79">
        <v>0</v>
      </c>
      <c r="BB412" s="516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651"/>
      <c r="B413" s="651"/>
      <c r="C413" s="651"/>
      <c r="D413" s="651"/>
      <c r="E413" s="651"/>
      <c r="F413" s="651"/>
      <c r="G413" s="651"/>
      <c r="H413" s="651"/>
      <c r="I413" s="651"/>
      <c r="J413" s="651"/>
      <c r="K413" s="651"/>
      <c r="L413" s="651"/>
      <c r="M413" s="651"/>
      <c r="N413" s="651"/>
      <c r="O413" s="652"/>
      <c r="P413" s="648" t="s">
        <v>40</v>
      </c>
      <c r="Q413" s="649"/>
      <c r="R413" s="649"/>
      <c r="S413" s="649"/>
      <c r="T413" s="649"/>
      <c r="U413" s="649"/>
      <c r="V413" s="650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651"/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2"/>
      <c r="P414" s="648" t="s">
        <v>40</v>
      </c>
      <c r="Q414" s="649"/>
      <c r="R414" s="649"/>
      <c r="S414" s="649"/>
      <c r="T414" s="649"/>
      <c r="U414" s="649"/>
      <c r="V414" s="650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667" t="s">
        <v>683</v>
      </c>
      <c r="B415" s="667"/>
      <c r="C415" s="667"/>
      <c r="D415" s="667"/>
      <c r="E415" s="667"/>
      <c r="F415" s="667"/>
      <c r="G415" s="667"/>
      <c r="H415" s="667"/>
      <c r="I415" s="667"/>
      <c r="J415" s="667"/>
      <c r="K415" s="667"/>
      <c r="L415" s="667"/>
      <c r="M415" s="667"/>
      <c r="N415" s="667"/>
      <c r="O415" s="667"/>
      <c r="P415" s="667"/>
      <c r="Q415" s="667"/>
      <c r="R415" s="667"/>
      <c r="S415" s="667"/>
      <c r="T415" s="667"/>
      <c r="U415" s="667"/>
      <c r="V415" s="667"/>
      <c r="W415" s="667"/>
      <c r="X415" s="667"/>
      <c r="Y415" s="667"/>
      <c r="Z415" s="667"/>
      <c r="AA415" s="62"/>
      <c r="AB415" s="62"/>
      <c r="AC415" s="62"/>
    </row>
    <row r="416" spans="1:68" ht="14.25" hidden="1" customHeight="1" x14ac:dyDescent="0.25">
      <c r="A416" s="660" t="s">
        <v>86</v>
      </c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0"/>
      <c r="P416" s="660"/>
      <c r="Q416" s="660"/>
      <c r="R416" s="660"/>
      <c r="S416" s="660"/>
      <c r="T416" s="660"/>
      <c r="U416" s="660"/>
      <c r="V416" s="660"/>
      <c r="W416" s="660"/>
      <c r="X416" s="660"/>
      <c r="Y416" s="660"/>
      <c r="Z416" s="660"/>
      <c r="AA416" s="63"/>
      <c r="AB416" s="63"/>
      <c r="AC416" s="63"/>
    </row>
    <row r="417" spans="1:68" ht="16.5" hidden="1" customHeight="1" x14ac:dyDescent="0.25">
      <c r="A417" s="60" t="s">
        <v>684</v>
      </c>
      <c r="B417" s="60" t="s">
        <v>685</v>
      </c>
      <c r="C417" s="34">
        <v>4301052235</v>
      </c>
      <c r="D417" s="661">
        <v>4680115889415</v>
      </c>
      <c r="E417" s="661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127</v>
      </c>
      <c r="L417" s="35" t="s">
        <v>46</v>
      </c>
      <c r="M417" s="36" t="s">
        <v>90</v>
      </c>
      <c r="N417" s="36"/>
      <c r="O417" s="35">
        <v>40</v>
      </c>
      <c r="P417" s="72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3"/>
      <c r="R417" s="663"/>
      <c r="S417" s="663"/>
      <c r="T417" s="664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686</v>
      </c>
      <c r="AG417" s="75"/>
      <c r="AJ417" s="79" t="s">
        <v>46</v>
      </c>
      <c r="AK417" s="79">
        <v>0</v>
      </c>
      <c r="BB417" s="518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687</v>
      </c>
      <c r="B418" s="60" t="s">
        <v>688</v>
      </c>
      <c r="C418" s="34">
        <v>4301052236</v>
      </c>
      <c r="D418" s="661">
        <v>4680115889422</v>
      </c>
      <c r="E418" s="661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127</v>
      </c>
      <c r="L418" s="35" t="s">
        <v>46</v>
      </c>
      <c r="M418" s="36" t="s">
        <v>90</v>
      </c>
      <c r="N418" s="36"/>
      <c r="O418" s="35">
        <v>40</v>
      </c>
      <c r="P418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3"/>
      <c r="R418" s="663"/>
      <c r="S418" s="663"/>
      <c r="T418" s="664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689</v>
      </c>
      <c r="AG418" s="75"/>
      <c r="AJ418" s="79" t="s">
        <v>46</v>
      </c>
      <c r="AK418" s="79">
        <v>0</v>
      </c>
      <c r="BB418" s="520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51"/>
      <c r="B419" s="651"/>
      <c r="C419" s="651"/>
      <c r="D419" s="651"/>
      <c r="E419" s="651"/>
      <c r="F419" s="651"/>
      <c r="G419" s="651"/>
      <c r="H419" s="651"/>
      <c r="I419" s="651"/>
      <c r="J419" s="651"/>
      <c r="K419" s="651"/>
      <c r="L419" s="651"/>
      <c r="M419" s="651"/>
      <c r="N419" s="651"/>
      <c r="O419" s="652"/>
      <c r="P419" s="648" t="s">
        <v>40</v>
      </c>
      <c r="Q419" s="649"/>
      <c r="R419" s="649"/>
      <c r="S419" s="649"/>
      <c r="T419" s="649"/>
      <c r="U419" s="649"/>
      <c r="V419" s="650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51"/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2"/>
      <c r="P420" s="648" t="s">
        <v>40</v>
      </c>
      <c r="Q420" s="649"/>
      <c r="R420" s="649"/>
      <c r="S420" s="649"/>
      <c r="T420" s="649"/>
      <c r="U420" s="649"/>
      <c r="V420" s="650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667" t="s">
        <v>690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2"/>
      <c r="AB421" s="62"/>
      <c r="AC421" s="62"/>
    </row>
    <row r="422" spans="1:68" ht="14.25" hidden="1" customHeight="1" x14ac:dyDescent="0.25">
      <c r="A422" s="660" t="s">
        <v>86</v>
      </c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0"/>
      <c r="P422" s="660"/>
      <c r="Q422" s="660"/>
      <c r="R422" s="660"/>
      <c r="S422" s="660"/>
      <c r="T422" s="660"/>
      <c r="U422" s="660"/>
      <c r="V422" s="660"/>
      <c r="W422" s="660"/>
      <c r="X422" s="660"/>
      <c r="Y422" s="660"/>
      <c r="Z422" s="660"/>
      <c r="AA422" s="63"/>
      <c r="AB422" s="63"/>
      <c r="AC422" s="63"/>
    </row>
    <row r="423" spans="1:68" ht="27" hidden="1" customHeight="1" x14ac:dyDescent="0.25">
      <c r="A423" s="60" t="s">
        <v>691</v>
      </c>
      <c r="B423" s="60" t="s">
        <v>692</v>
      </c>
      <c r="C423" s="34">
        <v>4301051489</v>
      </c>
      <c r="D423" s="661">
        <v>4607091387919</v>
      </c>
      <c r="E423" s="661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127</v>
      </c>
      <c r="L423" s="35" t="s">
        <v>46</v>
      </c>
      <c r="M423" s="36" t="s">
        <v>97</v>
      </c>
      <c r="N423" s="36"/>
      <c r="O423" s="35">
        <v>45</v>
      </c>
      <c r="P423" s="7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3"/>
      <c r="R423" s="663"/>
      <c r="S423" s="663"/>
      <c r="T423" s="664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693</v>
      </c>
      <c r="AG423" s="75"/>
      <c r="AJ423" s="79" t="s">
        <v>46</v>
      </c>
      <c r="AK423" s="79">
        <v>0</v>
      </c>
      <c r="BB423" s="522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694</v>
      </c>
      <c r="B424" s="60" t="s">
        <v>695</v>
      </c>
      <c r="C424" s="34">
        <v>4301051461</v>
      </c>
      <c r="D424" s="661">
        <v>4680115883604</v>
      </c>
      <c r="E424" s="661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91</v>
      </c>
      <c r="L424" s="35" t="s">
        <v>46</v>
      </c>
      <c r="M424" s="36" t="s">
        <v>90</v>
      </c>
      <c r="N424" s="36"/>
      <c r="O424" s="35">
        <v>45</v>
      </c>
      <c r="P424" s="7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3"/>
      <c r="R424" s="663"/>
      <c r="S424" s="663"/>
      <c r="T424" s="664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696</v>
      </c>
      <c r="AG424" s="75"/>
      <c r="AJ424" s="79" t="s">
        <v>46</v>
      </c>
      <c r="AK424" s="79">
        <v>0</v>
      </c>
      <c r="BB424" s="524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697</v>
      </c>
      <c r="B425" s="60" t="s">
        <v>698</v>
      </c>
      <c r="C425" s="34">
        <v>4301051864</v>
      </c>
      <c r="D425" s="661">
        <v>4680115883567</v>
      </c>
      <c r="E425" s="661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91</v>
      </c>
      <c r="L425" s="35" t="s">
        <v>46</v>
      </c>
      <c r="M425" s="36" t="s">
        <v>97</v>
      </c>
      <c r="N425" s="36"/>
      <c r="O425" s="35">
        <v>40</v>
      </c>
      <c r="P425" s="72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3"/>
      <c r="R425" s="663"/>
      <c r="S425" s="663"/>
      <c r="T425" s="664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699</v>
      </c>
      <c r="AG425" s="75"/>
      <c r="AJ425" s="79" t="s">
        <v>46</v>
      </c>
      <c r="AK425" s="79">
        <v>0</v>
      </c>
      <c r="BB425" s="526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651"/>
      <c r="B426" s="651"/>
      <c r="C426" s="651"/>
      <c r="D426" s="651"/>
      <c r="E426" s="651"/>
      <c r="F426" s="651"/>
      <c r="G426" s="651"/>
      <c r="H426" s="651"/>
      <c r="I426" s="651"/>
      <c r="J426" s="651"/>
      <c r="K426" s="651"/>
      <c r="L426" s="651"/>
      <c r="M426" s="651"/>
      <c r="N426" s="651"/>
      <c r="O426" s="652"/>
      <c r="P426" s="648" t="s">
        <v>40</v>
      </c>
      <c r="Q426" s="649"/>
      <c r="R426" s="649"/>
      <c r="S426" s="649"/>
      <c r="T426" s="649"/>
      <c r="U426" s="649"/>
      <c r="V426" s="650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">
      <c r="A428" s="678" t="s">
        <v>700</v>
      </c>
      <c r="B428" s="678"/>
      <c r="C428" s="678"/>
      <c r="D428" s="678"/>
      <c r="E428" s="678"/>
      <c r="F428" s="678"/>
      <c r="G428" s="678"/>
      <c r="H428" s="678"/>
      <c r="I428" s="678"/>
      <c r="J428" s="678"/>
      <c r="K428" s="678"/>
      <c r="L428" s="678"/>
      <c r="M428" s="678"/>
      <c r="N428" s="678"/>
      <c r="O428" s="678"/>
      <c r="P428" s="678"/>
      <c r="Q428" s="678"/>
      <c r="R428" s="678"/>
      <c r="S428" s="678"/>
      <c r="T428" s="678"/>
      <c r="U428" s="678"/>
      <c r="V428" s="678"/>
      <c r="W428" s="678"/>
      <c r="X428" s="678"/>
      <c r="Y428" s="678"/>
      <c r="Z428" s="678"/>
      <c r="AA428" s="52"/>
      <c r="AB428" s="52"/>
      <c r="AC428" s="52"/>
    </row>
    <row r="429" spans="1:68" ht="16.5" hidden="1" customHeight="1" x14ac:dyDescent="0.25">
      <c r="A429" s="667" t="s">
        <v>701</v>
      </c>
      <c r="B429" s="667"/>
      <c r="C429" s="667"/>
      <c r="D429" s="667"/>
      <c r="E429" s="667"/>
      <c r="F429" s="667"/>
      <c r="G429" s="667"/>
      <c r="H429" s="667"/>
      <c r="I429" s="667"/>
      <c r="J429" s="667"/>
      <c r="K429" s="667"/>
      <c r="L429" s="667"/>
      <c r="M429" s="667"/>
      <c r="N429" s="667"/>
      <c r="O429" s="667"/>
      <c r="P429" s="667"/>
      <c r="Q429" s="667"/>
      <c r="R429" s="667"/>
      <c r="S429" s="667"/>
      <c r="T429" s="667"/>
      <c r="U429" s="667"/>
      <c r="V429" s="667"/>
      <c r="W429" s="667"/>
      <c r="X429" s="667"/>
      <c r="Y429" s="667"/>
      <c r="Z429" s="667"/>
      <c r="AA429" s="62"/>
      <c r="AB429" s="62"/>
      <c r="AC429" s="62"/>
    </row>
    <row r="430" spans="1:68" ht="14.25" hidden="1" customHeight="1" x14ac:dyDescent="0.25">
      <c r="A430" s="660" t="s">
        <v>122</v>
      </c>
      <c r="B430" s="660"/>
      <c r="C430" s="660"/>
      <c r="D430" s="660"/>
      <c r="E430" s="660"/>
      <c r="F430" s="660"/>
      <c r="G430" s="660"/>
      <c r="H430" s="660"/>
      <c r="I430" s="660"/>
      <c r="J430" s="660"/>
      <c r="K430" s="660"/>
      <c r="L430" s="660"/>
      <c r="M430" s="660"/>
      <c r="N430" s="660"/>
      <c r="O430" s="660"/>
      <c r="P430" s="660"/>
      <c r="Q430" s="660"/>
      <c r="R430" s="660"/>
      <c r="S430" s="660"/>
      <c r="T430" s="660"/>
      <c r="U430" s="660"/>
      <c r="V430" s="660"/>
      <c r="W430" s="660"/>
      <c r="X430" s="660"/>
      <c r="Y430" s="660"/>
      <c r="Z430" s="660"/>
      <c r="AA430" s="63"/>
      <c r="AB430" s="63"/>
      <c r="AC430" s="63"/>
    </row>
    <row r="431" spans="1:68" ht="27" hidden="1" customHeight="1" x14ac:dyDescent="0.25">
      <c r="A431" s="60" t="s">
        <v>702</v>
      </c>
      <c r="B431" s="60" t="s">
        <v>703</v>
      </c>
      <c r="C431" s="34">
        <v>4301012332</v>
      </c>
      <c r="D431" s="661">
        <v>4680115888401</v>
      </c>
      <c r="E431" s="661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97</v>
      </c>
      <c r="N431" s="36"/>
      <c r="O431" s="35">
        <v>60</v>
      </c>
      <c r="P431" s="7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3"/>
      <c r="R431" s="663"/>
      <c r="S431" s="663"/>
      <c r="T431" s="664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8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704</v>
      </c>
      <c r="AG431" s="75"/>
      <c r="AJ431" s="79" t="s">
        <v>46</v>
      </c>
      <c r="AK431" s="79">
        <v>0</v>
      </c>
      <c r="BB431" s="528" t="s">
        <v>67</v>
      </c>
      <c r="BM431" s="75">
        <f t="shared" ref="BM431:BM438" si="69">IFERROR(X431*I431/H431,"0")</f>
        <v>0</v>
      </c>
      <c r="BN431" s="75">
        <f t="shared" ref="BN431:BN438" si="70">IFERROR(Y431*I431/H431,"0")</f>
        <v>0</v>
      </c>
      <c r="BO431" s="75">
        <f t="shared" ref="BO431:BO438" si="71">IFERROR(1/J431*(X431/H431),"0")</f>
        <v>0</v>
      </c>
      <c r="BP431" s="75">
        <f t="shared" ref="BP431:BP438" si="72">IFERROR(1/J431*(Y431/H431),"0")</f>
        <v>0</v>
      </c>
    </row>
    <row r="432" spans="1:68" ht="37.5" customHeight="1" x14ac:dyDescent="0.25">
      <c r="A432" s="60" t="s">
        <v>705</v>
      </c>
      <c r="B432" s="60" t="s">
        <v>706</v>
      </c>
      <c r="C432" s="34">
        <v>4301011869</v>
      </c>
      <c r="D432" s="661">
        <v>4680115884847</v>
      </c>
      <c r="E432" s="661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81</v>
      </c>
      <c r="N432" s="36"/>
      <c r="O432" s="35">
        <v>60</v>
      </c>
      <c r="P432" s="7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3"/>
      <c r="R432" s="663"/>
      <c r="S432" s="663"/>
      <c r="T432" s="664"/>
      <c r="U432" s="37" t="s">
        <v>46</v>
      </c>
      <c r="V432" s="37" t="s">
        <v>46</v>
      </c>
      <c r="W432" s="38" t="s">
        <v>0</v>
      </c>
      <c r="X432" s="56">
        <v>330</v>
      </c>
      <c r="Y432" s="53">
        <f t="shared" si="68"/>
        <v>330</v>
      </c>
      <c r="Z432" s="39">
        <f>IFERROR(IF(Y432=0,"",ROUNDUP(Y432/H432,0)*0.02175),"")</f>
        <v>0.47849999999999998</v>
      </c>
      <c r="AA432" s="65" t="s">
        <v>46</v>
      </c>
      <c r="AB432" s="66" t="s">
        <v>46</v>
      </c>
      <c r="AC432" s="529" t="s">
        <v>707</v>
      </c>
      <c r="AG432" s="75"/>
      <c r="AJ432" s="79" t="s">
        <v>46</v>
      </c>
      <c r="AK432" s="79">
        <v>0</v>
      </c>
      <c r="BB432" s="530" t="s">
        <v>67</v>
      </c>
      <c r="BM432" s="75">
        <f t="shared" si="69"/>
        <v>340.34000000000003</v>
      </c>
      <c r="BN432" s="75">
        <f t="shared" si="70"/>
        <v>340.34000000000003</v>
      </c>
      <c r="BO432" s="75">
        <f t="shared" si="71"/>
        <v>0.45833333333333331</v>
      </c>
      <c r="BP432" s="75">
        <f t="shared" si="72"/>
        <v>0.45833333333333331</v>
      </c>
    </row>
    <row r="433" spans="1:68" ht="27" customHeight="1" x14ac:dyDescent="0.25">
      <c r="A433" s="60" t="s">
        <v>708</v>
      </c>
      <c r="B433" s="60" t="s">
        <v>709</v>
      </c>
      <c r="C433" s="34">
        <v>4301012083</v>
      </c>
      <c r="D433" s="661">
        <v>4680115884854</v>
      </c>
      <c r="E433" s="661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126</v>
      </c>
      <c r="N433" s="36"/>
      <c r="O433" s="35">
        <v>60</v>
      </c>
      <c r="P433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3"/>
      <c r="R433" s="663"/>
      <c r="S433" s="663"/>
      <c r="T433" s="664"/>
      <c r="U433" s="37" t="s">
        <v>46</v>
      </c>
      <c r="V433" s="37" t="s">
        <v>46</v>
      </c>
      <c r="W433" s="38" t="s">
        <v>0</v>
      </c>
      <c r="X433" s="56">
        <v>330</v>
      </c>
      <c r="Y433" s="53">
        <f t="shared" si="68"/>
        <v>330</v>
      </c>
      <c r="Z433" s="39">
        <f>IFERROR(IF(Y433=0,"",ROUNDUP(Y433/H433,0)*0.02175),"")</f>
        <v>0.47849999999999998</v>
      </c>
      <c r="AA433" s="65" t="s">
        <v>46</v>
      </c>
      <c r="AB433" s="66" t="s">
        <v>46</v>
      </c>
      <c r="AC433" s="531" t="s">
        <v>710</v>
      </c>
      <c r="AG433" s="75"/>
      <c r="AJ433" s="79" t="s">
        <v>46</v>
      </c>
      <c r="AK433" s="79">
        <v>0</v>
      </c>
      <c r="BB433" s="532" t="s">
        <v>67</v>
      </c>
      <c r="BM433" s="75">
        <f t="shared" si="69"/>
        <v>340.34000000000003</v>
      </c>
      <c r="BN433" s="75">
        <f t="shared" si="70"/>
        <v>340.34000000000003</v>
      </c>
      <c r="BO433" s="75">
        <f t="shared" si="71"/>
        <v>0.45833333333333331</v>
      </c>
      <c r="BP433" s="75">
        <f t="shared" si="72"/>
        <v>0.45833333333333331</v>
      </c>
    </row>
    <row r="434" spans="1:68" ht="27" customHeight="1" x14ac:dyDescent="0.25">
      <c r="A434" s="60" t="s">
        <v>711</v>
      </c>
      <c r="B434" s="60" t="s">
        <v>712</v>
      </c>
      <c r="C434" s="34">
        <v>4301011867</v>
      </c>
      <c r="D434" s="661">
        <v>4680115884830</v>
      </c>
      <c r="E434" s="661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127</v>
      </c>
      <c r="L434" s="35" t="s">
        <v>46</v>
      </c>
      <c r="M434" s="36" t="s">
        <v>81</v>
      </c>
      <c r="N434" s="36"/>
      <c r="O434" s="35">
        <v>60</v>
      </c>
      <c r="P434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3"/>
      <c r="R434" s="663"/>
      <c r="S434" s="663"/>
      <c r="T434" s="664"/>
      <c r="U434" s="37" t="s">
        <v>46</v>
      </c>
      <c r="V434" s="37" t="s">
        <v>46</v>
      </c>
      <c r="W434" s="38" t="s">
        <v>0</v>
      </c>
      <c r="X434" s="56">
        <v>300</v>
      </c>
      <c r="Y434" s="53">
        <f t="shared" si="68"/>
        <v>300</v>
      </c>
      <c r="Z434" s="39">
        <f>IFERROR(IF(Y434=0,"",ROUNDUP(Y434/H434,0)*0.02175),"")</f>
        <v>0.43499999999999994</v>
      </c>
      <c r="AA434" s="65" t="s">
        <v>46</v>
      </c>
      <c r="AB434" s="66" t="s">
        <v>46</v>
      </c>
      <c r="AC434" s="533" t="s">
        <v>713</v>
      </c>
      <c r="AG434" s="75"/>
      <c r="AJ434" s="79" t="s">
        <v>46</v>
      </c>
      <c r="AK434" s="79">
        <v>0</v>
      </c>
      <c r="BB434" s="534" t="s">
        <v>67</v>
      </c>
      <c r="BM434" s="75">
        <f t="shared" si="69"/>
        <v>309.39999999999998</v>
      </c>
      <c r="BN434" s="75">
        <f t="shared" si="70"/>
        <v>309.39999999999998</v>
      </c>
      <c r="BO434" s="75">
        <f t="shared" si="71"/>
        <v>0.41666666666666663</v>
      </c>
      <c r="BP434" s="75">
        <f t="shared" si="72"/>
        <v>0.41666666666666663</v>
      </c>
    </row>
    <row r="435" spans="1:68" ht="27" hidden="1" customHeight="1" x14ac:dyDescent="0.25">
      <c r="A435" s="60" t="s">
        <v>714</v>
      </c>
      <c r="B435" s="60" t="s">
        <v>715</v>
      </c>
      <c r="C435" s="34">
        <v>4301012356</v>
      </c>
      <c r="D435" s="661">
        <v>4680115889231</v>
      </c>
      <c r="E435" s="661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97</v>
      </c>
      <c r="N435" s="36"/>
      <c r="O435" s="35">
        <v>60</v>
      </c>
      <c r="P435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3"/>
      <c r="R435" s="663"/>
      <c r="S435" s="663"/>
      <c r="T435" s="664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716</v>
      </c>
      <c r="AG435" s="75"/>
      <c r="AJ435" s="79" t="s">
        <v>46</v>
      </c>
      <c r="AK435" s="79">
        <v>0</v>
      </c>
      <c r="BB435" s="536" t="s">
        <v>67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27" hidden="1" customHeight="1" x14ac:dyDescent="0.25">
      <c r="A436" s="60" t="s">
        <v>717</v>
      </c>
      <c r="B436" s="60" t="s">
        <v>718</v>
      </c>
      <c r="C436" s="34">
        <v>4301011433</v>
      </c>
      <c r="D436" s="661">
        <v>4680115882638</v>
      </c>
      <c r="E436" s="661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134</v>
      </c>
      <c r="L436" s="35" t="s">
        <v>46</v>
      </c>
      <c r="M436" s="36" t="s">
        <v>126</v>
      </c>
      <c r="N436" s="36"/>
      <c r="O436" s="35">
        <v>90</v>
      </c>
      <c r="P436" s="7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3"/>
      <c r="R436" s="663"/>
      <c r="S436" s="663"/>
      <c r="T436" s="664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719</v>
      </c>
      <c r="AG436" s="75"/>
      <c r="AJ436" s="79" t="s">
        <v>46</v>
      </c>
      <c r="AK436" s="79">
        <v>0</v>
      </c>
      <c r="BB436" s="538" t="s">
        <v>67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ht="27" hidden="1" customHeight="1" x14ac:dyDescent="0.25">
      <c r="A437" s="60" t="s">
        <v>720</v>
      </c>
      <c r="B437" s="60" t="s">
        <v>721</v>
      </c>
      <c r="C437" s="34">
        <v>4301011952</v>
      </c>
      <c r="D437" s="661">
        <v>4680115884922</v>
      </c>
      <c r="E437" s="661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134</v>
      </c>
      <c r="L437" s="35" t="s">
        <v>46</v>
      </c>
      <c r="M437" s="36" t="s">
        <v>81</v>
      </c>
      <c r="N437" s="36"/>
      <c r="O437" s="35">
        <v>60</v>
      </c>
      <c r="P437" s="71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3"/>
      <c r="R437" s="663"/>
      <c r="S437" s="663"/>
      <c r="T437" s="664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722</v>
      </c>
      <c r="AG437" s="75"/>
      <c r="AJ437" s="79" t="s">
        <v>46</v>
      </c>
      <c r="AK437" s="79">
        <v>0</v>
      </c>
      <c r="BB437" s="540" t="s">
        <v>67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37.5" hidden="1" customHeight="1" x14ac:dyDescent="0.25">
      <c r="A438" s="60" t="s">
        <v>723</v>
      </c>
      <c r="B438" s="60" t="s">
        <v>724</v>
      </c>
      <c r="C438" s="34">
        <v>4301011868</v>
      </c>
      <c r="D438" s="661">
        <v>4680115884861</v>
      </c>
      <c r="E438" s="661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134</v>
      </c>
      <c r="L438" s="35" t="s">
        <v>46</v>
      </c>
      <c r="M438" s="36" t="s">
        <v>81</v>
      </c>
      <c r="N438" s="36"/>
      <c r="O438" s="35">
        <v>60</v>
      </c>
      <c r="P438" s="7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3"/>
      <c r="R438" s="663"/>
      <c r="S438" s="663"/>
      <c r="T438" s="664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725</v>
      </c>
      <c r="AG438" s="75"/>
      <c r="AJ438" s="79" t="s">
        <v>46</v>
      </c>
      <c r="AK438" s="79">
        <v>0</v>
      </c>
      <c r="BB438" s="542" t="s">
        <v>67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64</v>
      </c>
      <c r="Y439" s="41">
        <f>IFERROR(Y431/H431,"0")+IFERROR(Y432/H432,"0")+IFERROR(Y433/H433,"0")+IFERROR(Y434/H434,"0")+IFERROR(Y435/H435,"0")+IFERROR(Y436/H436,"0")+IFERROR(Y437/H437,"0")+IFERROR(Y438/H438,"0")</f>
        <v>64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1.3919999999999999</v>
      </c>
      <c r="AA439" s="64"/>
      <c r="AB439" s="64"/>
      <c r="AC439" s="64"/>
    </row>
    <row r="440" spans="1:68" x14ac:dyDescent="0.2">
      <c r="A440" s="651"/>
      <c r="B440" s="651"/>
      <c r="C440" s="651"/>
      <c r="D440" s="651"/>
      <c r="E440" s="651"/>
      <c r="F440" s="651"/>
      <c r="G440" s="651"/>
      <c r="H440" s="651"/>
      <c r="I440" s="651"/>
      <c r="J440" s="651"/>
      <c r="K440" s="651"/>
      <c r="L440" s="651"/>
      <c r="M440" s="651"/>
      <c r="N440" s="651"/>
      <c r="O440" s="652"/>
      <c r="P440" s="648" t="s">
        <v>40</v>
      </c>
      <c r="Q440" s="649"/>
      <c r="R440" s="649"/>
      <c r="S440" s="649"/>
      <c r="T440" s="649"/>
      <c r="U440" s="649"/>
      <c r="V440" s="650"/>
      <c r="W440" s="40" t="s">
        <v>0</v>
      </c>
      <c r="X440" s="41">
        <f>IFERROR(SUM(X431:X438),"0")</f>
        <v>960</v>
      </c>
      <c r="Y440" s="41">
        <f>IFERROR(SUM(Y431:Y438),"0")</f>
        <v>960</v>
      </c>
      <c r="Z440" s="40"/>
      <c r="AA440" s="64"/>
      <c r="AB440" s="64"/>
      <c r="AC440" s="64"/>
    </row>
    <row r="441" spans="1:68" ht="14.25" hidden="1" customHeight="1" x14ac:dyDescent="0.25">
      <c r="A441" s="660" t="s">
        <v>159</v>
      </c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0"/>
      <c r="P441" s="660"/>
      <c r="Q441" s="660"/>
      <c r="R441" s="660"/>
      <c r="S441" s="660"/>
      <c r="T441" s="660"/>
      <c r="U441" s="660"/>
      <c r="V441" s="660"/>
      <c r="W441" s="660"/>
      <c r="X441" s="660"/>
      <c r="Y441" s="660"/>
      <c r="Z441" s="660"/>
      <c r="AA441" s="63"/>
      <c r="AB441" s="63"/>
      <c r="AC441" s="63"/>
    </row>
    <row r="442" spans="1:68" ht="27" hidden="1" customHeight="1" x14ac:dyDescent="0.25">
      <c r="A442" s="60" t="s">
        <v>726</v>
      </c>
      <c r="B442" s="60" t="s">
        <v>727</v>
      </c>
      <c r="C442" s="34">
        <v>4301020178</v>
      </c>
      <c r="D442" s="661">
        <v>4607091383980</v>
      </c>
      <c r="E442" s="661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127</v>
      </c>
      <c r="L442" s="35" t="s">
        <v>46</v>
      </c>
      <c r="M442" s="36" t="s">
        <v>126</v>
      </c>
      <c r="N442" s="36"/>
      <c r="O442" s="35">
        <v>50</v>
      </c>
      <c r="P442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3"/>
      <c r="R442" s="663"/>
      <c r="S442" s="663"/>
      <c r="T442" s="664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IFERROR(IF(Y442=0,"",ROUNDUP(Y442/H442,0)*0.02175),"")</f>
        <v/>
      </c>
      <c r="AA442" s="65" t="s">
        <v>46</v>
      </c>
      <c r="AB442" s="66" t="s">
        <v>46</v>
      </c>
      <c r="AC442" s="543" t="s">
        <v>728</v>
      </c>
      <c r="AG442" s="75"/>
      <c r="AJ442" s="79" t="s">
        <v>46</v>
      </c>
      <c r="AK442" s="79">
        <v>0</v>
      </c>
      <c r="BB442" s="544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27" hidden="1" customHeight="1" x14ac:dyDescent="0.25">
      <c r="A443" s="60" t="s">
        <v>729</v>
      </c>
      <c r="B443" s="60" t="s">
        <v>730</v>
      </c>
      <c r="C443" s="34">
        <v>4301020355</v>
      </c>
      <c r="D443" s="661">
        <v>4680115888425</v>
      </c>
      <c r="E443" s="661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127</v>
      </c>
      <c r="L443" s="35" t="s">
        <v>46</v>
      </c>
      <c r="M443" s="36" t="s">
        <v>126</v>
      </c>
      <c r="N443" s="36"/>
      <c r="O443" s="35">
        <v>50</v>
      </c>
      <c r="P443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3"/>
      <c r="R443" s="663"/>
      <c r="S443" s="663"/>
      <c r="T443" s="664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731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732</v>
      </c>
      <c r="B444" s="60" t="s">
        <v>733</v>
      </c>
      <c r="C444" s="34">
        <v>4301020179</v>
      </c>
      <c r="D444" s="661">
        <v>4607091384178</v>
      </c>
      <c r="E444" s="661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134</v>
      </c>
      <c r="L444" s="35" t="s">
        <v>46</v>
      </c>
      <c r="M444" s="36" t="s">
        <v>126</v>
      </c>
      <c r="N444" s="36"/>
      <c r="O444" s="35">
        <v>50</v>
      </c>
      <c r="P444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3"/>
      <c r="R444" s="663"/>
      <c r="S444" s="663"/>
      <c r="T444" s="664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734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651"/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2"/>
      <c r="P445" s="648" t="s">
        <v>40</v>
      </c>
      <c r="Q445" s="649"/>
      <c r="R445" s="649"/>
      <c r="S445" s="649"/>
      <c r="T445" s="649"/>
      <c r="U445" s="649"/>
      <c r="V445" s="650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hidden="1" x14ac:dyDescent="0.2">
      <c r="A446" s="651"/>
      <c r="B446" s="651"/>
      <c r="C446" s="651"/>
      <c r="D446" s="651"/>
      <c r="E446" s="651"/>
      <c r="F446" s="651"/>
      <c r="G446" s="651"/>
      <c r="H446" s="651"/>
      <c r="I446" s="651"/>
      <c r="J446" s="651"/>
      <c r="K446" s="651"/>
      <c r="L446" s="651"/>
      <c r="M446" s="651"/>
      <c r="N446" s="651"/>
      <c r="O446" s="652"/>
      <c r="P446" s="648" t="s">
        <v>40</v>
      </c>
      <c r="Q446" s="649"/>
      <c r="R446" s="649"/>
      <c r="S446" s="649"/>
      <c r="T446" s="649"/>
      <c r="U446" s="649"/>
      <c r="V446" s="650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hidden="1" customHeight="1" x14ac:dyDescent="0.25">
      <c r="A447" s="660" t="s">
        <v>86</v>
      </c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0"/>
      <c r="P447" s="660"/>
      <c r="Q447" s="660"/>
      <c r="R447" s="660"/>
      <c r="S447" s="660"/>
      <c r="T447" s="660"/>
      <c r="U447" s="660"/>
      <c r="V447" s="660"/>
      <c r="W447" s="660"/>
      <c r="X447" s="660"/>
      <c r="Y447" s="660"/>
      <c r="Z447" s="660"/>
      <c r="AA447" s="63"/>
      <c r="AB447" s="63"/>
      <c r="AC447" s="63"/>
    </row>
    <row r="448" spans="1:68" ht="27" hidden="1" customHeight="1" x14ac:dyDescent="0.25">
      <c r="A448" s="60" t="s">
        <v>735</v>
      </c>
      <c r="B448" s="60" t="s">
        <v>736</v>
      </c>
      <c r="C448" s="34">
        <v>4301051903</v>
      </c>
      <c r="D448" s="661">
        <v>4607091383928</v>
      </c>
      <c r="E448" s="661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127</v>
      </c>
      <c r="L448" s="35" t="s">
        <v>46</v>
      </c>
      <c r="M448" s="36" t="s">
        <v>90</v>
      </c>
      <c r="N448" s="36"/>
      <c r="O448" s="35">
        <v>40</v>
      </c>
      <c r="P448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3"/>
      <c r="R448" s="663"/>
      <c r="S448" s="663"/>
      <c r="T448" s="664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737</v>
      </c>
      <c r="AG448" s="75"/>
      <c r="AJ448" s="79" t="s">
        <v>46</v>
      </c>
      <c r="AK448" s="79">
        <v>0</v>
      </c>
      <c r="BB448" s="550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738</v>
      </c>
      <c r="B449" s="60" t="s">
        <v>739</v>
      </c>
      <c r="C449" s="34">
        <v>4301051897</v>
      </c>
      <c r="D449" s="661">
        <v>4607091384260</v>
      </c>
      <c r="E449" s="661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127</v>
      </c>
      <c r="L449" s="35" t="s">
        <v>46</v>
      </c>
      <c r="M449" s="36" t="s">
        <v>90</v>
      </c>
      <c r="N449" s="36"/>
      <c r="O449" s="35">
        <v>40</v>
      </c>
      <c r="P449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3"/>
      <c r="R449" s="663"/>
      <c r="S449" s="663"/>
      <c r="T449" s="664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740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741</v>
      </c>
      <c r="B450" s="60" t="s">
        <v>742</v>
      </c>
      <c r="C450" s="34">
        <v>4301052220</v>
      </c>
      <c r="D450" s="661">
        <v>4680115889538</v>
      </c>
      <c r="E450" s="661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127</v>
      </c>
      <c r="L450" s="35" t="s">
        <v>46</v>
      </c>
      <c r="M450" s="36" t="s">
        <v>90</v>
      </c>
      <c r="N450" s="36"/>
      <c r="O450" s="35">
        <v>45</v>
      </c>
      <c r="P450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3"/>
      <c r="R450" s="663"/>
      <c r="S450" s="663"/>
      <c r="T450" s="664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743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51"/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2"/>
      <c r="P451" s="648" t="s">
        <v>40</v>
      </c>
      <c r="Q451" s="649"/>
      <c r="R451" s="649"/>
      <c r="S451" s="649"/>
      <c r="T451" s="649"/>
      <c r="U451" s="649"/>
      <c r="V451" s="650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60" t="s">
        <v>178</v>
      </c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0"/>
      <c r="P453" s="660"/>
      <c r="Q453" s="660"/>
      <c r="R453" s="660"/>
      <c r="S453" s="660"/>
      <c r="T453" s="660"/>
      <c r="U453" s="660"/>
      <c r="V453" s="660"/>
      <c r="W453" s="660"/>
      <c r="X453" s="660"/>
      <c r="Y453" s="660"/>
      <c r="Z453" s="660"/>
      <c r="AA453" s="63"/>
      <c r="AB453" s="63"/>
      <c r="AC453" s="63"/>
    </row>
    <row r="454" spans="1:68" ht="27" hidden="1" customHeight="1" x14ac:dyDescent="0.25">
      <c r="A454" s="60" t="s">
        <v>744</v>
      </c>
      <c r="B454" s="60" t="s">
        <v>745</v>
      </c>
      <c r="C454" s="34">
        <v>4301060537</v>
      </c>
      <c r="D454" s="661">
        <v>4680115889545</v>
      </c>
      <c r="E454" s="661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127</v>
      </c>
      <c r="L454" s="35" t="s">
        <v>46</v>
      </c>
      <c r="M454" s="36" t="s">
        <v>90</v>
      </c>
      <c r="N454" s="36"/>
      <c r="O454" s="35">
        <v>30</v>
      </c>
      <c r="P454" s="71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3"/>
      <c r="R454" s="663"/>
      <c r="S454" s="663"/>
      <c r="T454" s="664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746</v>
      </c>
      <c r="AG454" s="75"/>
      <c r="AJ454" s="79" t="s">
        <v>46</v>
      </c>
      <c r="AK454" s="79">
        <v>0</v>
      </c>
      <c r="BB454" s="556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747</v>
      </c>
      <c r="B455" s="60" t="s">
        <v>748</v>
      </c>
      <c r="C455" s="34">
        <v>4301060524</v>
      </c>
      <c r="D455" s="661">
        <v>4607091384673</v>
      </c>
      <c r="E455" s="661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127</v>
      </c>
      <c r="L455" s="35" t="s">
        <v>46</v>
      </c>
      <c r="M455" s="36" t="s">
        <v>90</v>
      </c>
      <c r="N455" s="36"/>
      <c r="O455" s="35">
        <v>40</v>
      </c>
      <c r="P455" s="7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3"/>
      <c r="R455" s="663"/>
      <c r="S455" s="663"/>
      <c r="T455" s="664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749</v>
      </c>
      <c r="AG455" s="75"/>
      <c r="AJ455" s="79" t="s">
        <v>46</v>
      </c>
      <c r="AK455" s="79">
        <v>0</v>
      </c>
      <c r="BB455" s="558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">
      <c r="A456" s="651"/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2"/>
      <c r="P456" s="648" t="s">
        <v>40</v>
      </c>
      <c r="Q456" s="649"/>
      <c r="R456" s="649"/>
      <c r="S456" s="649"/>
      <c r="T456" s="649"/>
      <c r="U456" s="649"/>
      <c r="V456" s="650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">
      <c r="A457" s="651"/>
      <c r="B457" s="651"/>
      <c r="C457" s="651"/>
      <c r="D457" s="651"/>
      <c r="E457" s="651"/>
      <c r="F457" s="651"/>
      <c r="G457" s="651"/>
      <c r="H457" s="651"/>
      <c r="I457" s="651"/>
      <c r="J457" s="651"/>
      <c r="K457" s="651"/>
      <c r="L457" s="651"/>
      <c r="M457" s="651"/>
      <c r="N457" s="651"/>
      <c r="O457" s="652"/>
      <c r="P457" s="648" t="s">
        <v>40</v>
      </c>
      <c r="Q457" s="649"/>
      <c r="R457" s="649"/>
      <c r="S457" s="649"/>
      <c r="T457" s="649"/>
      <c r="U457" s="649"/>
      <c r="V457" s="650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667" t="s">
        <v>750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2"/>
      <c r="AB458" s="62"/>
      <c r="AC458" s="62"/>
    </row>
    <row r="459" spans="1:68" ht="14.25" hidden="1" customHeight="1" x14ac:dyDescent="0.25">
      <c r="A459" s="660" t="s">
        <v>122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3"/>
      <c r="AB459" s="63"/>
      <c r="AC459" s="63"/>
    </row>
    <row r="460" spans="1:68" ht="27" hidden="1" customHeight="1" x14ac:dyDescent="0.25">
      <c r="A460" s="60" t="s">
        <v>751</v>
      </c>
      <c r="B460" s="60" t="s">
        <v>752</v>
      </c>
      <c r="C460" s="34">
        <v>4301011875</v>
      </c>
      <c r="D460" s="661">
        <v>4680115884885</v>
      </c>
      <c r="E460" s="661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127</v>
      </c>
      <c r="L460" s="35" t="s">
        <v>46</v>
      </c>
      <c r="M460" s="36" t="s">
        <v>81</v>
      </c>
      <c r="N460" s="36"/>
      <c r="O460" s="35">
        <v>60</v>
      </c>
      <c r="P460" s="7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3"/>
      <c r="R460" s="663"/>
      <c r="S460" s="663"/>
      <c r="T460" s="664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753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754</v>
      </c>
      <c r="B461" s="60" t="s">
        <v>755</v>
      </c>
      <c r="C461" s="34">
        <v>4301011871</v>
      </c>
      <c r="D461" s="661">
        <v>4680115884908</v>
      </c>
      <c r="E461" s="661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134</v>
      </c>
      <c r="L461" s="35" t="s">
        <v>46</v>
      </c>
      <c r="M461" s="36" t="s">
        <v>81</v>
      </c>
      <c r="N461" s="36"/>
      <c r="O461" s="35">
        <v>60</v>
      </c>
      <c r="P461" s="7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3"/>
      <c r="R461" s="663"/>
      <c r="S461" s="663"/>
      <c r="T461" s="664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753</v>
      </c>
      <c r="AG461" s="75"/>
      <c r="AJ461" s="79" t="s">
        <v>46</v>
      </c>
      <c r="AK461" s="79">
        <v>0</v>
      </c>
      <c r="BB461" s="56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660" t="s">
        <v>77</v>
      </c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0"/>
      <c r="P464" s="660"/>
      <c r="Q464" s="660"/>
      <c r="R464" s="660"/>
      <c r="S464" s="660"/>
      <c r="T464" s="660"/>
      <c r="U464" s="660"/>
      <c r="V464" s="660"/>
      <c r="W464" s="660"/>
      <c r="X464" s="660"/>
      <c r="Y464" s="660"/>
      <c r="Z464" s="660"/>
      <c r="AA464" s="63"/>
      <c r="AB464" s="63"/>
      <c r="AC464" s="63"/>
    </row>
    <row r="465" spans="1:68" ht="27" hidden="1" customHeight="1" x14ac:dyDescent="0.25">
      <c r="A465" s="60" t="s">
        <v>756</v>
      </c>
      <c r="B465" s="60" t="s">
        <v>757</v>
      </c>
      <c r="C465" s="34">
        <v>4301031457</v>
      </c>
      <c r="D465" s="661">
        <v>4607091384802</v>
      </c>
      <c r="E465" s="661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134</v>
      </c>
      <c r="L465" s="35" t="s">
        <v>46</v>
      </c>
      <c r="M465" s="36" t="s">
        <v>81</v>
      </c>
      <c r="N465" s="36"/>
      <c r="O465" s="35">
        <v>50</v>
      </c>
      <c r="P465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3"/>
      <c r="R465" s="663"/>
      <c r="S465" s="663"/>
      <c r="T465" s="664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758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51"/>
      <c r="B466" s="651"/>
      <c r="C466" s="651"/>
      <c r="D466" s="651"/>
      <c r="E466" s="651"/>
      <c r="F466" s="651"/>
      <c r="G466" s="651"/>
      <c r="H466" s="651"/>
      <c r="I466" s="651"/>
      <c r="J466" s="651"/>
      <c r="K466" s="651"/>
      <c r="L466" s="651"/>
      <c r="M466" s="651"/>
      <c r="N466" s="651"/>
      <c r="O466" s="652"/>
      <c r="P466" s="648" t="s">
        <v>40</v>
      </c>
      <c r="Q466" s="649"/>
      <c r="R466" s="649"/>
      <c r="S466" s="649"/>
      <c r="T466" s="649"/>
      <c r="U466" s="649"/>
      <c r="V466" s="650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">
      <c r="A467" s="651"/>
      <c r="B467" s="651"/>
      <c r="C467" s="651"/>
      <c r="D467" s="651"/>
      <c r="E467" s="651"/>
      <c r="F467" s="651"/>
      <c r="G467" s="651"/>
      <c r="H467" s="651"/>
      <c r="I467" s="651"/>
      <c r="J467" s="651"/>
      <c r="K467" s="651"/>
      <c r="L467" s="651"/>
      <c r="M467" s="651"/>
      <c r="N467" s="651"/>
      <c r="O467" s="652"/>
      <c r="P467" s="648" t="s">
        <v>40</v>
      </c>
      <c r="Q467" s="649"/>
      <c r="R467" s="649"/>
      <c r="S467" s="649"/>
      <c r="T467" s="649"/>
      <c r="U467" s="649"/>
      <c r="V467" s="650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660" t="s">
        <v>86</v>
      </c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0"/>
      <c r="P468" s="660"/>
      <c r="Q468" s="660"/>
      <c r="R468" s="660"/>
      <c r="S468" s="660"/>
      <c r="T468" s="660"/>
      <c r="U468" s="660"/>
      <c r="V468" s="660"/>
      <c r="W468" s="660"/>
      <c r="X468" s="660"/>
      <c r="Y468" s="660"/>
      <c r="Z468" s="660"/>
      <c r="AA468" s="63"/>
      <c r="AB468" s="63"/>
      <c r="AC468" s="63"/>
    </row>
    <row r="469" spans="1:68" ht="27" hidden="1" customHeight="1" x14ac:dyDescent="0.25">
      <c r="A469" s="60" t="s">
        <v>759</v>
      </c>
      <c r="B469" s="60" t="s">
        <v>760</v>
      </c>
      <c r="C469" s="34">
        <v>4301051899</v>
      </c>
      <c r="D469" s="661">
        <v>4607091384246</v>
      </c>
      <c r="E469" s="661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127</v>
      </c>
      <c r="L469" s="35" t="s">
        <v>46</v>
      </c>
      <c r="M469" s="36" t="s">
        <v>90</v>
      </c>
      <c r="N469" s="36"/>
      <c r="O469" s="35">
        <v>40</v>
      </c>
      <c r="P469" s="7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3"/>
      <c r="R469" s="663"/>
      <c r="S469" s="663"/>
      <c r="T469" s="664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IFERROR(IF(Y469=0,"",ROUNDUP(Y469/H469,0)*0.01898),"")</f>
        <v/>
      </c>
      <c r="AA469" s="65" t="s">
        <v>46</v>
      </c>
      <c r="AB469" s="66" t="s">
        <v>46</v>
      </c>
      <c r="AC469" s="565" t="s">
        <v>761</v>
      </c>
      <c r="AG469" s="75"/>
      <c r="AJ469" s="79" t="s">
        <v>46</v>
      </c>
      <c r="AK469" s="79">
        <v>0</v>
      </c>
      <c r="BB469" s="566" t="s">
        <v>67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t="27" hidden="1" customHeight="1" x14ac:dyDescent="0.25">
      <c r="A470" s="60" t="s">
        <v>762</v>
      </c>
      <c r="B470" s="60" t="s">
        <v>763</v>
      </c>
      <c r="C470" s="34">
        <v>4301051660</v>
      </c>
      <c r="D470" s="661">
        <v>4607091384253</v>
      </c>
      <c r="E470" s="661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91</v>
      </c>
      <c r="L470" s="35" t="s">
        <v>46</v>
      </c>
      <c r="M470" s="36" t="s">
        <v>90</v>
      </c>
      <c r="N470" s="36"/>
      <c r="O470" s="35">
        <v>40</v>
      </c>
      <c r="P470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3"/>
      <c r="R470" s="663"/>
      <c r="S470" s="663"/>
      <c r="T470" s="664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761</v>
      </c>
      <c r="AG470" s="75"/>
      <c r="AJ470" s="79" t="s">
        <v>46</v>
      </c>
      <c r="AK470" s="79">
        <v>0</v>
      </c>
      <c r="BB470" s="568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762</v>
      </c>
      <c r="B471" s="60" t="s">
        <v>764</v>
      </c>
      <c r="C471" s="34">
        <v>4301052069</v>
      </c>
      <c r="D471" s="661">
        <v>4607091384253</v>
      </c>
      <c r="E471" s="661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91</v>
      </c>
      <c r="L471" s="35" t="s">
        <v>46</v>
      </c>
      <c r="M471" s="36" t="s">
        <v>90</v>
      </c>
      <c r="N471" s="36"/>
      <c r="O471" s="35">
        <v>40</v>
      </c>
      <c r="P471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3"/>
      <c r="R471" s="663"/>
      <c r="S471" s="663"/>
      <c r="T471" s="664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765</v>
      </c>
      <c r="AG471" s="75"/>
      <c r="AJ471" s="79" t="s">
        <v>46</v>
      </c>
      <c r="AK471" s="79">
        <v>0</v>
      </c>
      <c r="BB471" s="570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651"/>
      <c r="B472" s="651"/>
      <c r="C472" s="651"/>
      <c r="D472" s="651"/>
      <c r="E472" s="651"/>
      <c r="F472" s="651"/>
      <c r="G472" s="651"/>
      <c r="H472" s="651"/>
      <c r="I472" s="651"/>
      <c r="J472" s="651"/>
      <c r="K472" s="651"/>
      <c r="L472" s="651"/>
      <c r="M472" s="651"/>
      <c r="N472" s="651"/>
      <c r="O472" s="652"/>
      <c r="P472" s="648" t="s">
        <v>40</v>
      </c>
      <c r="Q472" s="649"/>
      <c r="R472" s="649"/>
      <c r="S472" s="649"/>
      <c r="T472" s="649"/>
      <c r="U472" s="649"/>
      <c r="V472" s="650"/>
      <c r="W472" s="40" t="s">
        <v>39</v>
      </c>
      <c r="X472" s="41">
        <f>IFERROR(X469/H469,"0")+IFERROR(X470/H470,"0")+IFERROR(X471/H471,"0")</f>
        <v>0</v>
      </c>
      <c r="Y472" s="41">
        <f>IFERROR(Y469/H469,"0")+IFERROR(Y470/H470,"0")+IFERROR(Y471/H471,"0")</f>
        <v>0</v>
      </c>
      <c r="Z472" s="41">
        <f>IFERROR(IF(Z469="",0,Z469),"0")+IFERROR(IF(Z470="",0,Z470),"0")+IFERROR(IF(Z471="",0,Z471),"0")</f>
        <v>0</v>
      </c>
      <c r="AA472" s="64"/>
      <c r="AB472" s="64"/>
      <c r="AC472" s="64"/>
    </row>
    <row r="473" spans="1:68" hidden="1" x14ac:dyDescent="0.2">
      <c r="A473" s="651"/>
      <c r="B473" s="651"/>
      <c r="C473" s="651"/>
      <c r="D473" s="651"/>
      <c r="E473" s="651"/>
      <c r="F473" s="651"/>
      <c r="G473" s="651"/>
      <c r="H473" s="651"/>
      <c r="I473" s="651"/>
      <c r="J473" s="651"/>
      <c r="K473" s="651"/>
      <c r="L473" s="651"/>
      <c r="M473" s="651"/>
      <c r="N473" s="651"/>
      <c r="O473" s="652"/>
      <c r="P473" s="648" t="s">
        <v>40</v>
      </c>
      <c r="Q473" s="649"/>
      <c r="R473" s="649"/>
      <c r="S473" s="649"/>
      <c r="T473" s="649"/>
      <c r="U473" s="649"/>
      <c r="V473" s="650"/>
      <c r="W473" s="40" t="s">
        <v>0</v>
      </c>
      <c r="X473" s="41">
        <f>IFERROR(SUM(X469:X471),"0")</f>
        <v>0</v>
      </c>
      <c r="Y473" s="41">
        <f>IFERROR(SUM(Y469:Y471),"0")</f>
        <v>0</v>
      </c>
      <c r="Z473" s="40"/>
      <c r="AA473" s="64"/>
      <c r="AB473" s="64"/>
      <c r="AC473" s="64"/>
    </row>
    <row r="474" spans="1:68" ht="27.75" hidden="1" customHeight="1" x14ac:dyDescent="0.2">
      <c r="A474" s="678" t="s">
        <v>766</v>
      </c>
      <c r="B474" s="678"/>
      <c r="C474" s="678"/>
      <c r="D474" s="678"/>
      <c r="E474" s="678"/>
      <c r="F474" s="678"/>
      <c r="G474" s="678"/>
      <c r="H474" s="678"/>
      <c r="I474" s="678"/>
      <c r="J474" s="678"/>
      <c r="K474" s="678"/>
      <c r="L474" s="678"/>
      <c r="M474" s="678"/>
      <c r="N474" s="678"/>
      <c r="O474" s="678"/>
      <c r="P474" s="678"/>
      <c r="Q474" s="678"/>
      <c r="R474" s="678"/>
      <c r="S474" s="678"/>
      <c r="T474" s="678"/>
      <c r="U474" s="678"/>
      <c r="V474" s="678"/>
      <c r="W474" s="678"/>
      <c r="X474" s="678"/>
      <c r="Y474" s="678"/>
      <c r="Z474" s="678"/>
      <c r="AA474" s="52"/>
      <c r="AB474" s="52"/>
      <c r="AC474" s="52"/>
    </row>
    <row r="475" spans="1:68" ht="16.5" hidden="1" customHeight="1" x14ac:dyDescent="0.25">
      <c r="A475" s="667" t="s">
        <v>767</v>
      </c>
      <c r="B475" s="667"/>
      <c r="C475" s="667"/>
      <c r="D475" s="667"/>
      <c r="E475" s="667"/>
      <c r="F475" s="667"/>
      <c r="G475" s="667"/>
      <c r="H475" s="667"/>
      <c r="I475" s="667"/>
      <c r="J475" s="667"/>
      <c r="K475" s="667"/>
      <c r="L475" s="667"/>
      <c r="M475" s="667"/>
      <c r="N475" s="667"/>
      <c r="O475" s="667"/>
      <c r="P475" s="667"/>
      <c r="Q475" s="667"/>
      <c r="R475" s="667"/>
      <c r="S475" s="667"/>
      <c r="T475" s="667"/>
      <c r="U475" s="667"/>
      <c r="V475" s="667"/>
      <c r="W475" s="667"/>
      <c r="X475" s="667"/>
      <c r="Y475" s="667"/>
      <c r="Z475" s="667"/>
      <c r="AA475" s="62"/>
      <c r="AB475" s="62"/>
      <c r="AC475" s="62"/>
    </row>
    <row r="476" spans="1:68" ht="14.25" hidden="1" customHeight="1" x14ac:dyDescent="0.25">
      <c r="A476" s="660" t="s">
        <v>77</v>
      </c>
      <c r="B476" s="660"/>
      <c r="C476" s="660"/>
      <c r="D476" s="660"/>
      <c r="E476" s="660"/>
      <c r="F476" s="660"/>
      <c r="G476" s="660"/>
      <c r="H476" s="660"/>
      <c r="I476" s="660"/>
      <c r="J476" s="660"/>
      <c r="K476" s="660"/>
      <c r="L476" s="660"/>
      <c r="M476" s="660"/>
      <c r="N476" s="660"/>
      <c r="O476" s="660"/>
      <c r="P476" s="660"/>
      <c r="Q476" s="660"/>
      <c r="R476" s="660"/>
      <c r="S476" s="660"/>
      <c r="T476" s="660"/>
      <c r="U476" s="660"/>
      <c r="V476" s="660"/>
      <c r="W476" s="660"/>
      <c r="X476" s="660"/>
      <c r="Y476" s="660"/>
      <c r="Z476" s="660"/>
      <c r="AA476" s="63"/>
      <c r="AB476" s="63"/>
      <c r="AC476" s="63"/>
    </row>
    <row r="477" spans="1:68" ht="27" hidden="1" customHeight="1" x14ac:dyDescent="0.25">
      <c r="A477" s="60" t="s">
        <v>768</v>
      </c>
      <c r="B477" s="60" t="s">
        <v>769</v>
      </c>
      <c r="C477" s="34">
        <v>4301031405</v>
      </c>
      <c r="D477" s="661">
        <v>4680115886100</v>
      </c>
      <c r="E477" s="661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134</v>
      </c>
      <c r="L477" s="35" t="s">
        <v>46</v>
      </c>
      <c r="M477" s="36" t="s">
        <v>81</v>
      </c>
      <c r="N477" s="36"/>
      <c r="O477" s="35">
        <v>50</v>
      </c>
      <c r="P477" s="70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3"/>
      <c r="R477" s="663"/>
      <c r="S477" s="663"/>
      <c r="T477" s="664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73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770</v>
      </c>
      <c r="AG477" s="75"/>
      <c r="AJ477" s="79" t="s">
        <v>46</v>
      </c>
      <c r="AK477" s="79">
        <v>0</v>
      </c>
      <c r="BB477" s="572" t="s">
        <v>67</v>
      </c>
      <c r="BM477" s="75">
        <f t="shared" ref="BM477:BM482" si="74">IFERROR(X477*I477/H477,"0")</f>
        <v>0</v>
      </c>
      <c r="BN477" s="75">
        <f t="shared" ref="BN477:BN482" si="75">IFERROR(Y477*I477/H477,"0")</f>
        <v>0</v>
      </c>
      <c r="BO477" s="75">
        <f t="shared" ref="BO477:BO482" si="76">IFERROR(1/J477*(X477/H477),"0")</f>
        <v>0</v>
      </c>
      <c r="BP477" s="75">
        <f t="shared" ref="BP477:BP482" si="77">IFERROR(1/J477*(Y477/H477),"0")</f>
        <v>0</v>
      </c>
    </row>
    <row r="478" spans="1:68" ht="27" hidden="1" customHeight="1" x14ac:dyDescent="0.25">
      <c r="A478" s="60" t="s">
        <v>771</v>
      </c>
      <c r="B478" s="60" t="s">
        <v>772</v>
      </c>
      <c r="C478" s="34">
        <v>4301031402</v>
      </c>
      <c r="D478" s="661">
        <v>4680115886124</v>
      </c>
      <c r="E478" s="661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134</v>
      </c>
      <c r="L478" s="35" t="s">
        <v>46</v>
      </c>
      <c r="M478" s="36" t="s">
        <v>81</v>
      </c>
      <c r="N478" s="36"/>
      <c r="O478" s="35">
        <v>50</v>
      </c>
      <c r="P478" s="70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3"/>
      <c r="R478" s="663"/>
      <c r="S478" s="663"/>
      <c r="T478" s="664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773</v>
      </c>
      <c r="AG478" s="75"/>
      <c r="AJ478" s="79" t="s">
        <v>46</v>
      </c>
      <c r="AK478" s="79">
        <v>0</v>
      </c>
      <c r="BB478" s="574" t="s">
        <v>67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774</v>
      </c>
      <c r="B479" s="60" t="s">
        <v>775</v>
      </c>
      <c r="C479" s="34">
        <v>4301031362</v>
      </c>
      <c r="D479" s="661">
        <v>4607091384338</v>
      </c>
      <c r="E479" s="661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70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3"/>
      <c r="R479" s="663"/>
      <c r="S479" s="663"/>
      <c r="T479" s="664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770</v>
      </c>
      <c r="AG479" s="75"/>
      <c r="AJ479" s="79" t="s">
        <v>46</v>
      </c>
      <c r="AK479" s="79">
        <v>0</v>
      </c>
      <c r="BB479" s="576" t="s">
        <v>67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776</v>
      </c>
      <c r="B480" s="60" t="s">
        <v>777</v>
      </c>
      <c r="C480" s="34">
        <v>4301031364</v>
      </c>
      <c r="D480" s="661">
        <v>4680115883161</v>
      </c>
      <c r="E480" s="661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7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3"/>
      <c r="R480" s="663"/>
      <c r="S480" s="663"/>
      <c r="T480" s="664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778</v>
      </c>
      <c r="AG480" s="75"/>
      <c r="AJ480" s="79" t="s">
        <v>46</v>
      </c>
      <c r="AK480" s="79">
        <v>0</v>
      </c>
      <c r="BB480" s="578" t="s">
        <v>67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779</v>
      </c>
      <c r="B481" s="60" t="s">
        <v>780</v>
      </c>
      <c r="C481" s="34">
        <v>4301031358</v>
      </c>
      <c r="D481" s="661">
        <v>4607091389531</v>
      </c>
      <c r="E481" s="661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82</v>
      </c>
      <c r="L481" s="35" t="s">
        <v>46</v>
      </c>
      <c r="M481" s="36" t="s">
        <v>81</v>
      </c>
      <c r="N481" s="36"/>
      <c r="O481" s="35">
        <v>50</v>
      </c>
      <c r="P481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3"/>
      <c r="R481" s="663"/>
      <c r="S481" s="663"/>
      <c r="T481" s="664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781</v>
      </c>
      <c r="AG481" s="75"/>
      <c r="AJ481" s="79" t="s">
        <v>46</v>
      </c>
      <c r="AK481" s="79">
        <v>0</v>
      </c>
      <c r="BB481" s="580" t="s">
        <v>67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37.5" hidden="1" customHeight="1" x14ac:dyDescent="0.25">
      <c r="A482" s="60" t="s">
        <v>782</v>
      </c>
      <c r="B482" s="60" t="s">
        <v>783</v>
      </c>
      <c r="C482" s="34">
        <v>4301031360</v>
      </c>
      <c r="D482" s="661">
        <v>4607091384345</v>
      </c>
      <c r="E482" s="661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82</v>
      </c>
      <c r="L482" s="35" t="s">
        <v>46</v>
      </c>
      <c r="M482" s="36" t="s">
        <v>81</v>
      </c>
      <c r="N482" s="36"/>
      <c r="O482" s="35">
        <v>50</v>
      </c>
      <c r="P482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3"/>
      <c r="R482" s="663"/>
      <c r="S482" s="663"/>
      <c r="T482" s="664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778</v>
      </c>
      <c r="AG482" s="75"/>
      <c r="AJ482" s="79" t="s">
        <v>46</v>
      </c>
      <c r="AK482" s="79">
        <v>0</v>
      </c>
      <c r="BB482" s="582" t="s">
        <v>67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idden="1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660" t="s">
        <v>86</v>
      </c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0"/>
      <c r="P485" s="660"/>
      <c r="Q485" s="660"/>
      <c r="R485" s="660"/>
      <c r="S485" s="660"/>
      <c r="T485" s="660"/>
      <c r="U485" s="660"/>
      <c r="V485" s="660"/>
      <c r="W485" s="660"/>
      <c r="X485" s="660"/>
      <c r="Y485" s="660"/>
      <c r="Z485" s="660"/>
      <c r="AA485" s="63"/>
      <c r="AB485" s="63"/>
      <c r="AC485" s="63"/>
    </row>
    <row r="486" spans="1:68" ht="27" hidden="1" customHeight="1" x14ac:dyDescent="0.25">
      <c r="A486" s="60" t="s">
        <v>784</v>
      </c>
      <c r="B486" s="60" t="s">
        <v>785</v>
      </c>
      <c r="C486" s="34">
        <v>4301051284</v>
      </c>
      <c r="D486" s="661">
        <v>4607091384352</v>
      </c>
      <c r="E486" s="661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134</v>
      </c>
      <c r="L486" s="35" t="s">
        <v>46</v>
      </c>
      <c r="M486" s="36" t="s">
        <v>90</v>
      </c>
      <c r="N486" s="36"/>
      <c r="O486" s="35">
        <v>45</v>
      </c>
      <c r="P486" s="6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3"/>
      <c r="R486" s="663"/>
      <c r="S486" s="663"/>
      <c r="T486" s="664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786</v>
      </c>
      <c r="AG486" s="75"/>
      <c r="AJ486" s="79" t="s">
        <v>46</v>
      </c>
      <c r="AK486" s="79">
        <v>0</v>
      </c>
      <c r="BB486" s="584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787</v>
      </c>
      <c r="B487" s="60" t="s">
        <v>788</v>
      </c>
      <c r="C487" s="34">
        <v>4301051431</v>
      </c>
      <c r="D487" s="661">
        <v>4607091389654</v>
      </c>
      <c r="E487" s="661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91</v>
      </c>
      <c r="L487" s="35" t="s">
        <v>46</v>
      </c>
      <c r="M487" s="36" t="s">
        <v>90</v>
      </c>
      <c r="N487" s="36"/>
      <c r="O487" s="35">
        <v>45</v>
      </c>
      <c r="P487" s="6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3"/>
      <c r="R487" s="663"/>
      <c r="S487" s="663"/>
      <c r="T487" s="664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789</v>
      </c>
      <c r="AG487" s="75"/>
      <c r="AJ487" s="79" t="s">
        <v>46</v>
      </c>
      <c r="AK487" s="79">
        <v>0</v>
      </c>
      <c r="BB487" s="586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1"/>
      <c r="B488" s="651"/>
      <c r="C488" s="651"/>
      <c r="D488" s="651"/>
      <c r="E488" s="651"/>
      <c r="F488" s="651"/>
      <c r="G488" s="651"/>
      <c r="H488" s="651"/>
      <c r="I488" s="651"/>
      <c r="J488" s="651"/>
      <c r="K488" s="651"/>
      <c r="L488" s="651"/>
      <c r="M488" s="651"/>
      <c r="N488" s="651"/>
      <c r="O488" s="652"/>
      <c r="P488" s="648" t="s">
        <v>40</v>
      </c>
      <c r="Q488" s="649"/>
      <c r="R488" s="649"/>
      <c r="S488" s="649"/>
      <c r="T488" s="649"/>
      <c r="U488" s="649"/>
      <c r="V488" s="650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667" t="s">
        <v>790</v>
      </c>
      <c r="B490" s="667"/>
      <c r="C490" s="667"/>
      <c r="D490" s="667"/>
      <c r="E490" s="667"/>
      <c r="F490" s="667"/>
      <c r="G490" s="667"/>
      <c r="H490" s="667"/>
      <c r="I490" s="667"/>
      <c r="J490" s="667"/>
      <c r="K490" s="667"/>
      <c r="L490" s="667"/>
      <c r="M490" s="667"/>
      <c r="N490" s="667"/>
      <c r="O490" s="667"/>
      <c r="P490" s="667"/>
      <c r="Q490" s="667"/>
      <c r="R490" s="667"/>
      <c r="S490" s="667"/>
      <c r="T490" s="667"/>
      <c r="U490" s="667"/>
      <c r="V490" s="667"/>
      <c r="W490" s="667"/>
      <c r="X490" s="667"/>
      <c r="Y490" s="667"/>
      <c r="Z490" s="667"/>
      <c r="AA490" s="62"/>
      <c r="AB490" s="62"/>
      <c r="AC490" s="62"/>
    </row>
    <row r="491" spans="1:68" ht="14.25" hidden="1" customHeight="1" x14ac:dyDescent="0.25">
      <c r="A491" s="660" t="s">
        <v>159</v>
      </c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0"/>
      <c r="P491" s="660"/>
      <c r="Q491" s="660"/>
      <c r="R491" s="660"/>
      <c r="S491" s="660"/>
      <c r="T491" s="660"/>
      <c r="U491" s="660"/>
      <c r="V491" s="660"/>
      <c r="W491" s="660"/>
      <c r="X491" s="660"/>
      <c r="Y491" s="660"/>
      <c r="Z491" s="660"/>
      <c r="AA491" s="63"/>
      <c r="AB491" s="63"/>
      <c r="AC491" s="63"/>
    </row>
    <row r="492" spans="1:68" ht="27" hidden="1" customHeight="1" x14ac:dyDescent="0.25">
      <c r="A492" s="60" t="s">
        <v>791</v>
      </c>
      <c r="B492" s="60" t="s">
        <v>792</v>
      </c>
      <c r="C492" s="34">
        <v>4301020416</v>
      </c>
      <c r="D492" s="661">
        <v>4680115885240</v>
      </c>
      <c r="E492" s="661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91</v>
      </c>
      <c r="L492" s="35" t="s">
        <v>46</v>
      </c>
      <c r="M492" s="36" t="s">
        <v>81</v>
      </c>
      <c r="N492" s="36"/>
      <c r="O492" s="35">
        <v>40</v>
      </c>
      <c r="P49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3"/>
      <c r="R492" s="663"/>
      <c r="S492" s="663"/>
      <c r="T492" s="664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793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651"/>
      <c r="B493" s="651"/>
      <c r="C493" s="651"/>
      <c r="D493" s="651"/>
      <c r="E493" s="651"/>
      <c r="F493" s="651"/>
      <c r="G493" s="651"/>
      <c r="H493" s="651"/>
      <c r="I493" s="651"/>
      <c r="J493" s="651"/>
      <c r="K493" s="651"/>
      <c r="L493" s="651"/>
      <c r="M493" s="651"/>
      <c r="N493" s="651"/>
      <c r="O493" s="652"/>
      <c r="P493" s="648" t="s">
        <v>40</v>
      </c>
      <c r="Q493" s="649"/>
      <c r="R493" s="649"/>
      <c r="S493" s="649"/>
      <c r="T493" s="649"/>
      <c r="U493" s="649"/>
      <c r="V493" s="650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651"/>
      <c r="B494" s="651"/>
      <c r="C494" s="651"/>
      <c r="D494" s="651"/>
      <c r="E494" s="651"/>
      <c r="F494" s="651"/>
      <c r="G494" s="651"/>
      <c r="H494" s="651"/>
      <c r="I494" s="651"/>
      <c r="J494" s="651"/>
      <c r="K494" s="651"/>
      <c r="L494" s="651"/>
      <c r="M494" s="651"/>
      <c r="N494" s="651"/>
      <c r="O494" s="652"/>
      <c r="P494" s="648" t="s">
        <v>40</v>
      </c>
      <c r="Q494" s="649"/>
      <c r="R494" s="649"/>
      <c r="S494" s="649"/>
      <c r="T494" s="649"/>
      <c r="U494" s="649"/>
      <c r="V494" s="650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660" t="s">
        <v>77</v>
      </c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0"/>
      <c r="P495" s="660"/>
      <c r="Q495" s="660"/>
      <c r="R495" s="660"/>
      <c r="S495" s="660"/>
      <c r="T495" s="660"/>
      <c r="U495" s="660"/>
      <c r="V495" s="660"/>
      <c r="W495" s="660"/>
      <c r="X495" s="660"/>
      <c r="Y495" s="660"/>
      <c r="Z495" s="660"/>
      <c r="AA495" s="63"/>
      <c r="AB495" s="63"/>
      <c r="AC495" s="63"/>
    </row>
    <row r="496" spans="1:68" ht="27" hidden="1" customHeight="1" x14ac:dyDescent="0.25">
      <c r="A496" s="60" t="s">
        <v>794</v>
      </c>
      <c r="B496" s="60" t="s">
        <v>795</v>
      </c>
      <c r="C496" s="34">
        <v>4301031407</v>
      </c>
      <c r="D496" s="661">
        <v>4680115886094</v>
      </c>
      <c r="E496" s="661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134</v>
      </c>
      <c r="L496" s="35" t="s">
        <v>46</v>
      </c>
      <c r="M496" s="36" t="s">
        <v>81</v>
      </c>
      <c r="N496" s="36"/>
      <c r="O496" s="35">
        <v>50</v>
      </c>
      <c r="P496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3"/>
      <c r="R496" s="663"/>
      <c r="S496" s="663"/>
      <c r="T496" s="664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796</v>
      </c>
      <c r="AG496" s="75"/>
      <c r="AJ496" s="79" t="s">
        <v>46</v>
      </c>
      <c r="AK496" s="79">
        <v>0</v>
      </c>
      <c r="BB496" s="59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797</v>
      </c>
      <c r="B497" s="60" t="s">
        <v>798</v>
      </c>
      <c r="C497" s="34">
        <v>4301031373</v>
      </c>
      <c r="D497" s="661">
        <v>4680115880771</v>
      </c>
      <c r="E497" s="661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82</v>
      </c>
      <c r="L497" s="35" t="s">
        <v>46</v>
      </c>
      <c r="M497" s="36" t="s">
        <v>81</v>
      </c>
      <c r="N497" s="36"/>
      <c r="O497" s="35">
        <v>50</v>
      </c>
      <c r="P497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3"/>
      <c r="R497" s="663"/>
      <c r="S497" s="663"/>
      <c r="T497" s="664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799</v>
      </c>
      <c r="AG497" s="75"/>
      <c r="AJ497" s="79" t="s">
        <v>46</v>
      </c>
      <c r="AK497" s="79">
        <v>0</v>
      </c>
      <c r="BB497" s="59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800</v>
      </c>
      <c r="B498" s="60" t="s">
        <v>801</v>
      </c>
      <c r="C498" s="34">
        <v>4301031359</v>
      </c>
      <c r="D498" s="661">
        <v>4607091389500</v>
      </c>
      <c r="E498" s="661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82</v>
      </c>
      <c r="L498" s="35" t="s">
        <v>46</v>
      </c>
      <c r="M498" s="36" t="s">
        <v>81</v>
      </c>
      <c r="N498" s="36"/>
      <c r="O498" s="35">
        <v>50</v>
      </c>
      <c r="P498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3"/>
      <c r="R498" s="663"/>
      <c r="S498" s="663"/>
      <c r="T498" s="664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799</v>
      </c>
      <c r="AG498" s="75"/>
      <c r="AJ498" s="79" t="s">
        <v>46</v>
      </c>
      <c r="AK498" s="79">
        <v>0</v>
      </c>
      <c r="BB498" s="594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651"/>
      <c r="B499" s="651"/>
      <c r="C499" s="651"/>
      <c r="D499" s="651"/>
      <c r="E499" s="651"/>
      <c r="F499" s="651"/>
      <c r="G499" s="651"/>
      <c r="H499" s="651"/>
      <c r="I499" s="651"/>
      <c r="J499" s="651"/>
      <c r="K499" s="651"/>
      <c r="L499" s="651"/>
      <c r="M499" s="651"/>
      <c r="N499" s="651"/>
      <c r="O499" s="652"/>
      <c r="P499" s="648" t="s">
        <v>40</v>
      </c>
      <c r="Q499" s="649"/>
      <c r="R499" s="649"/>
      <c r="S499" s="649"/>
      <c r="T499" s="649"/>
      <c r="U499" s="649"/>
      <c r="V499" s="650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">
      <c r="A501" s="678" t="s">
        <v>802</v>
      </c>
      <c r="B501" s="678"/>
      <c r="C501" s="678"/>
      <c r="D501" s="678"/>
      <c r="E501" s="678"/>
      <c r="F501" s="678"/>
      <c r="G501" s="678"/>
      <c r="H501" s="678"/>
      <c r="I501" s="678"/>
      <c r="J501" s="678"/>
      <c r="K501" s="678"/>
      <c r="L501" s="678"/>
      <c r="M501" s="678"/>
      <c r="N501" s="678"/>
      <c r="O501" s="678"/>
      <c r="P501" s="678"/>
      <c r="Q501" s="678"/>
      <c r="R501" s="678"/>
      <c r="S501" s="678"/>
      <c r="T501" s="678"/>
      <c r="U501" s="678"/>
      <c r="V501" s="678"/>
      <c r="W501" s="678"/>
      <c r="X501" s="678"/>
      <c r="Y501" s="678"/>
      <c r="Z501" s="678"/>
      <c r="AA501" s="52"/>
      <c r="AB501" s="52"/>
      <c r="AC501" s="52"/>
    </row>
    <row r="502" spans="1:68" ht="16.5" hidden="1" customHeight="1" x14ac:dyDescent="0.25">
      <c r="A502" s="667" t="s">
        <v>802</v>
      </c>
      <c r="B502" s="667"/>
      <c r="C502" s="667"/>
      <c r="D502" s="667"/>
      <c r="E502" s="667"/>
      <c r="F502" s="667"/>
      <c r="G502" s="667"/>
      <c r="H502" s="667"/>
      <c r="I502" s="667"/>
      <c r="J502" s="667"/>
      <c r="K502" s="667"/>
      <c r="L502" s="667"/>
      <c r="M502" s="667"/>
      <c r="N502" s="667"/>
      <c r="O502" s="667"/>
      <c r="P502" s="667"/>
      <c r="Q502" s="667"/>
      <c r="R502" s="667"/>
      <c r="S502" s="667"/>
      <c r="T502" s="667"/>
      <c r="U502" s="667"/>
      <c r="V502" s="667"/>
      <c r="W502" s="667"/>
      <c r="X502" s="667"/>
      <c r="Y502" s="667"/>
      <c r="Z502" s="667"/>
      <c r="AA502" s="62"/>
      <c r="AB502" s="62"/>
      <c r="AC502" s="62"/>
    </row>
    <row r="503" spans="1:68" ht="14.25" hidden="1" customHeight="1" x14ac:dyDescent="0.25">
      <c r="A503" s="660" t="s">
        <v>122</v>
      </c>
      <c r="B503" s="660"/>
      <c r="C503" s="660"/>
      <c r="D503" s="660"/>
      <c r="E503" s="660"/>
      <c r="F503" s="660"/>
      <c r="G503" s="660"/>
      <c r="H503" s="660"/>
      <c r="I503" s="660"/>
      <c r="J503" s="660"/>
      <c r="K503" s="660"/>
      <c r="L503" s="660"/>
      <c r="M503" s="660"/>
      <c r="N503" s="660"/>
      <c r="O503" s="660"/>
      <c r="P503" s="660"/>
      <c r="Q503" s="660"/>
      <c r="R503" s="660"/>
      <c r="S503" s="660"/>
      <c r="T503" s="660"/>
      <c r="U503" s="660"/>
      <c r="V503" s="660"/>
      <c r="W503" s="660"/>
      <c r="X503" s="660"/>
      <c r="Y503" s="660"/>
      <c r="Z503" s="660"/>
      <c r="AA503" s="63"/>
      <c r="AB503" s="63"/>
      <c r="AC503" s="63"/>
    </row>
    <row r="504" spans="1:68" ht="27" hidden="1" customHeight="1" x14ac:dyDescent="0.25">
      <c r="A504" s="60" t="s">
        <v>803</v>
      </c>
      <c r="B504" s="60" t="s">
        <v>804</v>
      </c>
      <c r="C504" s="34">
        <v>4301011769</v>
      </c>
      <c r="D504" s="661">
        <v>4607091389067</v>
      </c>
      <c r="E504" s="661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90</v>
      </c>
      <c r="N504" s="36"/>
      <c r="O504" s="35">
        <v>60</v>
      </c>
      <c r="P504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3"/>
      <c r="R504" s="663"/>
      <c r="S504" s="663"/>
      <c r="T504" s="664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2" si="78">IFERROR(IF(X504="",0,CEILING((X504/$H504),1)*$H504),"")</f>
        <v>0</v>
      </c>
      <c r="Z504" s="39" t="str">
        <f t="shared" ref="Z504:Z509" si="79">IFERROR(IF(Y504=0,"",ROUNDUP(Y504/H504,0)*0.01196),"")</f>
        <v/>
      </c>
      <c r="AA504" s="65" t="s">
        <v>46</v>
      </c>
      <c r="AB504" s="66" t="s">
        <v>46</v>
      </c>
      <c r="AC504" s="595" t="s">
        <v>125</v>
      </c>
      <c r="AG504" s="75"/>
      <c r="AJ504" s="79" t="s">
        <v>46</v>
      </c>
      <c r="AK504" s="79">
        <v>0</v>
      </c>
      <c r="BB504" s="596" t="s">
        <v>67</v>
      </c>
      <c r="BM504" s="75">
        <f t="shared" ref="BM504:BM512" si="80">IFERROR(X504*I504/H504,"0")</f>
        <v>0</v>
      </c>
      <c r="BN504" s="75">
        <f t="shared" ref="BN504:BN512" si="81">IFERROR(Y504*I504/H504,"0")</f>
        <v>0</v>
      </c>
      <c r="BO504" s="75">
        <f t="shared" ref="BO504:BO512" si="82">IFERROR(1/J504*(X504/H504),"0")</f>
        <v>0</v>
      </c>
      <c r="BP504" s="75">
        <f t="shared" ref="BP504:BP512" si="83">IFERROR(1/J504*(Y504/H504),"0")</f>
        <v>0</v>
      </c>
    </row>
    <row r="505" spans="1:68" ht="16.5" hidden="1" customHeight="1" x14ac:dyDescent="0.25">
      <c r="A505" s="60" t="s">
        <v>805</v>
      </c>
      <c r="B505" s="60" t="s">
        <v>806</v>
      </c>
      <c r="C505" s="34">
        <v>4301012380</v>
      </c>
      <c r="D505" s="661">
        <v>4680115889576</v>
      </c>
      <c r="E505" s="661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3"/>
      <c r="R505" s="663"/>
      <c r="S505" s="663"/>
      <c r="T505" s="664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807</v>
      </c>
      <c r="AG505" s="75"/>
      <c r="AJ505" s="79" t="s">
        <v>46</v>
      </c>
      <c r="AK505" s="79">
        <v>0</v>
      </c>
      <c r="BB505" s="598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808</v>
      </c>
      <c r="B506" s="60" t="s">
        <v>809</v>
      </c>
      <c r="C506" s="34">
        <v>4301011961</v>
      </c>
      <c r="D506" s="661">
        <v>4680115885271</v>
      </c>
      <c r="E506" s="661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126</v>
      </c>
      <c r="N506" s="36"/>
      <c r="O506" s="35">
        <v>60</v>
      </c>
      <c r="P506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3"/>
      <c r="R506" s="663"/>
      <c r="S506" s="663"/>
      <c r="T506" s="664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810</v>
      </c>
      <c r="AG506" s="75"/>
      <c r="AJ506" s="79" t="s">
        <v>46</v>
      </c>
      <c r="AK506" s="79">
        <v>0</v>
      </c>
      <c r="BB506" s="600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811</v>
      </c>
      <c r="B507" s="60" t="s">
        <v>812</v>
      </c>
      <c r="C507" s="34">
        <v>4301011369</v>
      </c>
      <c r="D507" s="661">
        <v>4680115885226</v>
      </c>
      <c r="E507" s="661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3"/>
      <c r="R507" s="663"/>
      <c r="S507" s="663"/>
      <c r="T507" s="664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813</v>
      </c>
      <c r="AG507" s="75"/>
      <c r="AJ507" s="79" t="s">
        <v>46</v>
      </c>
      <c r="AK507" s="79">
        <v>0</v>
      </c>
      <c r="BB507" s="602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16.5" hidden="1" customHeight="1" x14ac:dyDescent="0.25">
      <c r="A508" s="60" t="s">
        <v>814</v>
      </c>
      <c r="B508" s="60" t="s">
        <v>815</v>
      </c>
      <c r="C508" s="34">
        <v>4301011797</v>
      </c>
      <c r="D508" s="661">
        <v>4680115884502</v>
      </c>
      <c r="E508" s="661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127</v>
      </c>
      <c r="L508" s="35" t="s">
        <v>46</v>
      </c>
      <c r="M508" s="36" t="s">
        <v>90</v>
      </c>
      <c r="N508" s="36"/>
      <c r="O508" s="35">
        <v>60</v>
      </c>
      <c r="P508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3"/>
      <c r="R508" s="663"/>
      <c r="S508" s="663"/>
      <c r="T508" s="664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816</v>
      </c>
      <c r="AG508" s="75"/>
      <c r="AJ508" s="79" t="s">
        <v>46</v>
      </c>
      <c r="AK508" s="79">
        <v>0</v>
      </c>
      <c r="BB508" s="604" t="s">
        <v>67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817</v>
      </c>
      <c r="B509" s="60" t="s">
        <v>818</v>
      </c>
      <c r="C509" s="34">
        <v>4301011771</v>
      </c>
      <c r="D509" s="661">
        <v>4607091389104</v>
      </c>
      <c r="E509" s="661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126</v>
      </c>
      <c r="N509" s="36"/>
      <c r="O509" s="35">
        <v>60</v>
      </c>
      <c r="P509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3"/>
      <c r="R509" s="663"/>
      <c r="S509" s="663"/>
      <c r="T509" s="664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819</v>
      </c>
      <c r="AG509" s="75"/>
      <c r="AJ509" s="79" t="s">
        <v>46</v>
      </c>
      <c r="AK509" s="79">
        <v>0</v>
      </c>
      <c r="BB509" s="606" t="s">
        <v>67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820</v>
      </c>
      <c r="B510" s="60" t="s">
        <v>821</v>
      </c>
      <c r="C510" s="34">
        <v>4301012125</v>
      </c>
      <c r="D510" s="661">
        <v>4680115886391</v>
      </c>
      <c r="E510" s="661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91</v>
      </c>
      <c r="L510" s="35" t="s">
        <v>46</v>
      </c>
      <c r="M510" s="36" t="s">
        <v>90</v>
      </c>
      <c r="N510" s="36"/>
      <c r="O510" s="35">
        <v>60</v>
      </c>
      <c r="P510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3"/>
      <c r="R510" s="663"/>
      <c r="S510" s="663"/>
      <c r="T510" s="664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125</v>
      </c>
      <c r="AG510" s="75"/>
      <c r="AJ510" s="79" t="s">
        <v>46</v>
      </c>
      <c r="AK510" s="79">
        <v>0</v>
      </c>
      <c r="BB510" s="608" t="s">
        <v>67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hidden="1" customHeight="1" x14ac:dyDescent="0.25">
      <c r="A511" s="60" t="s">
        <v>822</v>
      </c>
      <c r="B511" s="60" t="s">
        <v>823</v>
      </c>
      <c r="C511" s="34">
        <v>4301012048</v>
      </c>
      <c r="D511" s="661">
        <v>4680115880603</v>
      </c>
      <c r="E511" s="661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134</v>
      </c>
      <c r="L511" s="35" t="s">
        <v>46</v>
      </c>
      <c r="M511" s="36" t="s">
        <v>90</v>
      </c>
      <c r="N511" s="36"/>
      <c r="O511" s="35">
        <v>60</v>
      </c>
      <c r="P511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3"/>
      <c r="R511" s="663"/>
      <c r="S511" s="663"/>
      <c r="T511" s="664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125</v>
      </c>
      <c r="AG511" s="75"/>
      <c r="AJ511" s="79" t="s">
        <v>46</v>
      </c>
      <c r="AK511" s="79">
        <v>0</v>
      </c>
      <c r="BB511" s="610" t="s">
        <v>67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hidden="1" customHeight="1" x14ac:dyDescent="0.25">
      <c r="A512" s="60" t="s">
        <v>824</v>
      </c>
      <c r="B512" s="60" t="s">
        <v>825</v>
      </c>
      <c r="C512" s="34">
        <v>4301012034</v>
      </c>
      <c r="D512" s="661">
        <v>4607091389982</v>
      </c>
      <c r="E512" s="661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134</v>
      </c>
      <c r="L512" s="35" t="s">
        <v>46</v>
      </c>
      <c r="M512" s="36" t="s">
        <v>126</v>
      </c>
      <c r="N512" s="36"/>
      <c r="O512" s="35">
        <v>60</v>
      </c>
      <c r="P512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3"/>
      <c r="R512" s="663"/>
      <c r="S512" s="663"/>
      <c r="T512" s="664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8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819</v>
      </c>
      <c r="AG512" s="75"/>
      <c r="AJ512" s="79" t="s">
        <v>46</v>
      </c>
      <c r="AK512" s="79">
        <v>0</v>
      </c>
      <c r="BB512" s="612" t="s">
        <v>67</v>
      </c>
      <c r="BM512" s="75">
        <f t="shared" si="80"/>
        <v>0</v>
      </c>
      <c r="BN512" s="75">
        <f t="shared" si="81"/>
        <v>0</v>
      </c>
      <c r="BO512" s="75">
        <f t="shared" si="82"/>
        <v>0</v>
      </c>
      <c r="BP512" s="75">
        <f t="shared" si="83"/>
        <v>0</v>
      </c>
    </row>
    <row r="513" spans="1:68" hidden="1" x14ac:dyDescent="0.2">
      <c r="A513" s="651"/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2"/>
      <c r="P513" s="648" t="s">
        <v>40</v>
      </c>
      <c r="Q513" s="649"/>
      <c r="R513" s="649"/>
      <c r="S513" s="649"/>
      <c r="T513" s="649"/>
      <c r="U513" s="649"/>
      <c r="V513" s="650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0</v>
      </c>
      <c r="Y513" s="41">
        <f>IFERROR(Y504/H504,"0")+IFERROR(Y505/H505,"0")+IFERROR(Y506/H506,"0")+IFERROR(Y507/H507,"0")+IFERROR(Y508/H508,"0")+IFERROR(Y509/H509,"0")+IFERROR(Y510/H510,"0")+IFERROR(Y511/H511,"0")+IFERROR(Y512/H512,"0")</f>
        <v>0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"/>
      <c r="AB513" s="64"/>
      <c r="AC513" s="64"/>
    </row>
    <row r="514" spans="1:68" hidden="1" x14ac:dyDescent="0.2">
      <c r="A514" s="651"/>
      <c r="B514" s="651"/>
      <c r="C514" s="651"/>
      <c r="D514" s="651"/>
      <c r="E514" s="651"/>
      <c r="F514" s="651"/>
      <c r="G514" s="651"/>
      <c r="H514" s="651"/>
      <c r="I514" s="651"/>
      <c r="J514" s="651"/>
      <c r="K514" s="651"/>
      <c r="L514" s="651"/>
      <c r="M514" s="651"/>
      <c r="N514" s="651"/>
      <c r="O514" s="652"/>
      <c r="P514" s="648" t="s">
        <v>40</v>
      </c>
      <c r="Q514" s="649"/>
      <c r="R514" s="649"/>
      <c r="S514" s="649"/>
      <c r="T514" s="649"/>
      <c r="U514" s="649"/>
      <c r="V514" s="650"/>
      <c r="W514" s="40" t="s">
        <v>0</v>
      </c>
      <c r="X514" s="41">
        <f>IFERROR(SUM(X504:X512),"0")</f>
        <v>0</v>
      </c>
      <c r="Y514" s="41">
        <f>IFERROR(SUM(Y504:Y512),"0")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0" t="s">
        <v>159</v>
      </c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0"/>
      <c r="P515" s="660"/>
      <c r="Q515" s="660"/>
      <c r="R515" s="660"/>
      <c r="S515" s="660"/>
      <c r="T515" s="660"/>
      <c r="U515" s="660"/>
      <c r="V515" s="660"/>
      <c r="W515" s="660"/>
      <c r="X515" s="660"/>
      <c r="Y515" s="660"/>
      <c r="Z515" s="660"/>
      <c r="AA515" s="63"/>
      <c r="AB515" s="63"/>
      <c r="AC515" s="63"/>
    </row>
    <row r="516" spans="1:68" ht="16.5" hidden="1" customHeight="1" x14ac:dyDescent="0.25">
      <c r="A516" s="60" t="s">
        <v>826</v>
      </c>
      <c r="B516" s="60" t="s">
        <v>827</v>
      </c>
      <c r="C516" s="34">
        <v>4301020334</v>
      </c>
      <c r="D516" s="661">
        <v>4607091388930</v>
      </c>
      <c r="E516" s="661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127</v>
      </c>
      <c r="L516" s="35" t="s">
        <v>46</v>
      </c>
      <c r="M516" s="36" t="s">
        <v>90</v>
      </c>
      <c r="N516" s="36"/>
      <c r="O516" s="35">
        <v>70</v>
      </c>
      <c r="P516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3"/>
      <c r="R516" s="663"/>
      <c r="S516" s="663"/>
      <c r="T516" s="664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13" t="s">
        <v>828</v>
      </c>
      <c r="AG516" s="75"/>
      <c r="AJ516" s="79" t="s">
        <v>46</v>
      </c>
      <c r="AK516" s="79">
        <v>0</v>
      </c>
      <c r="BB516" s="614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16.5" hidden="1" customHeight="1" x14ac:dyDescent="0.25">
      <c r="A517" s="60" t="s">
        <v>829</v>
      </c>
      <c r="B517" s="60" t="s">
        <v>830</v>
      </c>
      <c r="C517" s="34">
        <v>4301020374</v>
      </c>
      <c r="D517" s="661">
        <v>4680115886407</v>
      </c>
      <c r="E517" s="661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91</v>
      </c>
      <c r="L517" s="35" t="s">
        <v>46</v>
      </c>
      <c r="M517" s="36" t="s">
        <v>126</v>
      </c>
      <c r="N517" s="36"/>
      <c r="O517" s="35">
        <v>70</v>
      </c>
      <c r="P517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3"/>
      <c r="R517" s="663"/>
      <c r="S517" s="663"/>
      <c r="T517" s="664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828</v>
      </c>
      <c r="AG517" s="75"/>
      <c r="AJ517" s="79" t="s">
        <v>46</v>
      </c>
      <c r="AK517" s="79">
        <v>0</v>
      </c>
      <c r="BB517" s="616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831</v>
      </c>
      <c r="B518" s="60" t="s">
        <v>832</v>
      </c>
      <c r="C518" s="34">
        <v>4301020385</v>
      </c>
      <c r="D518" s="661">
        <v>4680115880054</v>
      </c>
      <c r="E518" s="661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134</v>
      </c>
      <c r="L518" s="35" t="s">
        <v>46</v>
      </c>
      <c r="M518" s="36" t="s">
        <v>126</v>
      </c>
      <c r="N518" s="36"/>
      <c r="O518" s="35">
        <v>70</v>
      </c>
      <c r="P518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3"/>
      <c r="R518" s="663"/>
      <c r="S518" s="663"/>
      <c r="T518" s="664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7" t="s">
        <v>828</v>
      </c>
      <c r="AG518" s="75"/>
      <c r="AJ518" s="79" t="s">
        <v>46</v>
      </c>
      <c r="AK518" s="79">
        <v>0</v>
      </c>
      <c r="BB518" s="618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">
      <c r="A519" s="651"/>
      <c r="B519" s="651"/>
      <c r="C519" s="651"/>
      <c r="D519" s="651"/>
      <c r="E519" s="651"/>
      <c r="F519" s="651"/>
      <c r="G519" s="651"/>
      <c r="H519" s="651"/>
      <c r="I519" s="651"/>
      <c r="J519" s="651"/>
      <c r="K519" s="651"/>
      <c r="L519" s="651"/>
      <c r="M519" s="651"/>
      <c r="N519" s="651"/>
      <c r="O519" s="652"/>
      <c r="P519" s="648" t="s">
        <v>40</v>
      </c>
      <c r="Q519" s="649"/>
      <c r="R519" s="649"/>
      <c r="S519" s="649"/>
      <c r="T519" s="649"/>
      <c r="U519" s="649"/>
      <c r="V519" s="650"/>
      <c r="W519" s="40" t="s">
        <v>39</v>
      </c>
      <c r="X519" s="41">
        <f>IFERROR(X516/H516,"0")+IFERROR(X517/H517,"0")+IFERROR(X518/H518,"0")</f>
        <v>0</v>
      </c>
      <c r="Y519" s="41">
        <f>IFERROR(Y516/H516,"0")+IFERROR(Y517/H517,"0")+IFERROR(Y518/H518,"0")</f>
        <v>0</v>
      </c>
      <c r="Z519" s="41">
        <f>IFERROR(IF(Z516="",0,Z516),"0")+IFERROR(IF(Z517="",0,Z517),"0")+IFERROR(IF(Z518="",0,Z518),"0")</f>
        <v>0</v>
      </c>
      <c r="AA519" s="64"/>
      <c r="AB519" s="64"/>
      <c r="AC519" s="64"/>
    </row>
    <row r="520" spans="1:68" hidden="1" x14ac:dyDescent="0.2">
      <c r="A520" s="651"/>
      <c r="B520" s="651"/>
      <c r="C520" s="651"/>
      <c r="D520" s="651"/>
      <c r="E520" s="651"/>
      <c r="F520" s="651"/>
      <c r="G520" s="651"/>
      <c r="H520" s="651"/>
      <c r="I520" s="651"/>
      <c r="J520" s="651"/>
      <c r="K520" s="651"/>
      <c r="L520" s="651"/>
      <c r="M520" s="651"/>
      <c r="N520" s="651"/>
      <c r="O520" s="652"/>
      <c r="P520" s="648" t="s">
        <v>40</v>
      </c>
      <c r="Q520" s="649"/>
      <c r="R520" s="649"/>
      <c r="S520" s="649"/>
      <c r="T520" s="649"/>
      <c r="U520" s="649"/>
      <c r="V520" s="650"/>
      <c r="W520" s="40" t="s">
        <v>0</v>
      </c>
      <c r="X520" s="41">
        <f>IFERROR(SUM(X516:X518),"0")</f>
        <v>0</v>
      </c>
      <c r="Y520" s="41">
        <f>IFERROR(SUM(Y516:Y518),"0")</f>
        <v>0</v>
      </c>
      <c r="Z520" s="40"/>
      <c r="AA520" s="64"/>
      <c r="AB520" s="64"/>
      <c r="AC520" s="64"/>
    </row>
    <row r="521" spans="1:68" ht="14.25" hidden="1" customHeight="1" x14ac:dyDescent="0.25">
      <c r="A521" s="660" t="s">
        <v>77</v>
      </c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0"/>
      <c r="P521" s="660"/>
      <c r="Q521" s="660"/>
      <c r="R521" s="660"/>
      <c r="S521" s="660"/>
      <c r="T521" s="660"/>
      <c r="U521" s="660"/>
      <c r="V521" s="660"/>
      <c r="W521" s="660"/>
      <c r="X521" s="660"/>
      <c r="Y521" s="660"/>
      <c r="Z521" s="660"/>
      <c r="AA521" s="63"/>
      <c r="AB521" s="63"/>
      <c r="AC521" s="63"/>
    </row>
    <row r="522" spans="1:68" ht="27" hidden="1" customHeight="1" x14ac:dyDescent="0.25">
      <c r="A522" s="60" t="s">
        <v>833</v>
      </c>
      <c r="B522" s="60" t="s">
        <v>834</v>
      </c>
      <c r="C522" s="34">
        <v>4301031349</v>
      </c>
      <c r="D522" s="661">
        <v>4680115883116</v>
      </c>
      <c r="E522" s="661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127</v>
      </c>
      <c r="L522" s="35" t="s">
        <v>46</v>
      </c>
      <c r="M522" s="36" t="s">
        <v>126</v>
      </c>
      <c r="N522" s="36"/>
      <c r="O522" s="35">
        <v>70</v>
      </c>
      <c r="P522" s="6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3"/>
      <c r="R522" s="663"/>
      <c r="S522" s="663"/>
      <c r="T522" s="664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84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835</v>
      </c>
      <c r="AG522" s="75"/>
      <c r="AJ522" s="79" t="s">
        <v>46</v>
      </c>
      <c r="AK522" s="79">
        <v>0</v>
      </c>
      <c r="BB522" s="620" t="s">
        <v>67</v>
      </c>
      <c r="BM522" s="75">
        <f t="shared" ref="BM522:BM528" si="85">IFERROR(X522*I522/H522,"0")</f>
        <v>0</v>
      </c>
      <c r="BN522" s="75">
        <f t="shared" ref="BN522:BN528" si="86">IFERROR(Y522*I522/H522,"0")</f>
        <v>0</v>
      </c>
      <c r="BO522" s="75">
        <f t="shared" ref="BO522:BO528" si="87">IFERROR(1/J522*(X522/H522),"0")</f>
        <v>0</v>
      </c>
      <c r="BP522" s="75">
        <f t="shared" ref="BP522:BP528" si="88">IFERROR(1/J522*(Y522/H522),"0")</f>
        <v>0</v>
      </c>
    </row>
    <row r="523" spans="1:68" ht="27" hidden="1" customHeight="1" x14ac:dyDescent="0.25">
      <c r="A523" s="60" t="s">
        <v>836</v>
      </c>
      <c r="B523" s="60" t="s">
        <v>837</v>
      </c>
      <c r="C523" s="34">
        <v>4301031350</v>
      </c>
      <c r="D523" s="661">
        <v>4680115883093</v>
      </c>
      <c r="E523" s="661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127</v>
      </c>
      <c r="L523" s="35" t="s">
        <v>46</v>
      </c>
      <c r="M523" s="36" t="s">
        <v>81</v>
      </c>
      <c r="N523" s="36"/>
      <c r="O523" s="35">
        <v>70</v>
      </c>
      <c r="P523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3"/>
      <c r="R523" s="663"/>
      <c r="S523" s="663"/>
      <c r="T523" s="664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838</v>
      </c>
      <c r="AG523" s="75"/>
      <c r="AJ523" s="79" t="s">
        <v>46</v>
      </c>
      <c r="AK523" s="79">
        <v>0</v>
      </c>
      <c r="BB523" s="622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839</v>
      </c>
      <c r="B524" s="60" t="s">
        <v>840</v>
      </c>
      <c r="C524" s="34">
        <v>4301031353</v>
      </c>
      <c r="D524" s="661">
        <v>4680115883109</v>
      </c>
      <c r="E524" s="661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127</v>
      </c>
      <c r="L524" s="35" t="s">
        <v>46</v>
      </c>
      <c r="M524" s="36" t="s">
        <v>81</v>
      </c>
      <c r="N524" s="36"/>
      <c r="O524" s="35">
        <v>70</v>
      </c>
      <c r="P524" s="67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3"/>
      <c r="R524" s="663"/>
      <c r="S524" s="663"/>
      <c r="T524" s="664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841</v>
      </c>
      <c r="AG524" s="75"/>
      <c r="AJ524" s="79" t="s">
        <v>46</v>
      </c>
      <c r="AK524" s="79">
        <v>0</v>
      </c>
      <c r="BB524" s="624" t="s">
        <v>67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842</v>
      </c>
      <c r="B525" s="60" t="s">
        <v>843</v>
      </c>
      <c r="C525" s="34">
        <v>4301031419</v>
      </c>
      <c r="D525" s="661">
        <v>4680115882072</v>
      </c>
      <c r="E525" s="661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134</v>
      </c>
      <c r="L525" s="35" t="s">
        <v>46</v>
      </c>
      <c r="M525" s="36" t="s">
        <v>126</v>
      </c>
      <c r="N525" s="36"/>
      <c r="O525" s="35">
        <v>70</v>
      </c>
      <c r="P525" s="67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3"/>
      <c r="R525" s="663"/>
      <c r="S525" s="663"/>
      <c r="T525" s="664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835</v>
      </c>
      <c r="AG525" s="75"/>
      <c r="AJ525" s="79" t="s">
        <v>46</v>
      </c>
      <c r="AK525" s="79">
        <v>0</v>
      </c>
      <c r="BB525" s="626" t="s">
        <v>67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844</v>
      </c>
      <c r="B526" s="60" t="s">
        <v>845</v>
      </c>
      <c r="C526" s="34">
        <v>4301031352</v>
      </c>
      <c r="D526" s="661">
        <v>4680115882102</v>
      </c>
      <c r="E526" s="661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134</v>
      </c>
      <c r="L526" s="35" t="s">
        <v>46</v>
      </c>
      <c r="M526" s="36" t="s">
        <v>81</v>
      </c>
      <c r="N526" s="36"/>
      <c r="O526" s="35">
        <v>70</v>
      </c>
      <c r="P526" s="6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3"/>
      <c r="R526" s="663"/>
      <c r="S526" s="663"/>
      <c r="T526" s="664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838</v>
      </c>
      <c r="AG526" s="75"/>
      <c r="AJ526" s="79" t="s">
        <v>46</v>
      </c>
      <c r="AK526" s="79">
        <v>0</v>
      </c>
      <c r="BB526" s="628" t="s">
        <v>67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844</v>
      </c>
      <c r="B527" s="60" t="s">
        <v>846</v>
      </c>
      <c r="C527" s="34">
        <v>4301031418</v>
      </c>
      <c r="D527" s="661">
        <v>4680115882102</v>
      </c>
      <c r="E527" s="661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134</v>
      </c>
      <c r="L527" s="35" t="s">
        <v>46</v>
      </c>
      <c r="M527" s="36" t="s">
        <v>81</v>
      </c>
      <c r="N527" s="36"/>
      <c r="O527" s="35">
        <v>70</v>
      </c>
      <c r="P527" s="67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3"/>
      <c r="R527" s="663"/>
      <c r="S527" s="663"/>
      <c r="T527" s="664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838</v>
      </c>
      <c r="AG527" s="75"/>
      <c r="AJ527" s="79" t="s">
        <v>46</v>
      </c>
      <c r="AK527" s="79">
        <v>0</v>
      </c>
      <c r="BB527" s="630" t="s">
        <v>67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847</v>
      </c>
      <c r="B528" s="60" t="s">
        <v>848</v>
      </c>
      <c r="C528" s="34">
        <v>4301031417</v>
      </c>
      <c r="D528" s="661">
        <v>4680115882096</v>
      </c>
      <c r="E528" s="661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134</v>
      </c>
      <c r="L528" s="35" t="s">
        <v>46</v>
      </c>
      <c r="M528" s="36" t="s">
        <v>81</v>
      </c>
      <c r="N528" s="36"/>
      <c r="O528" s="35">
        <v>70</v>
      </c>
      <c r="P528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3"/>
      <c r="R528" s="663"/>
      <c r="S528" s="663"/>
      <c r="T528" s="664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841</v>
      </c>
      <c r="AG528" s="75"/>
      <c r="AJ528" s="79" t="s">
        <v>46</v>
      </c>
      <c r="AK528" s="79">
        <v>0</v>
      </c>
      <c r="BB528" s="632" t="s">
        <v>67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idden="1" x14ac:dyDescent="0.2">
      <c r="A529" s="651"/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2"/>
      <c r="P529" s="648" t="s">
        <v>40</v>
      </c>
      <c r="Q529" s="649"/>
      <c r="R529" s="649"/>
      <c r="S529" s="649"/>
      <c r="T529" s="649"/>
      <c r="U529" s="649"/>
      <c r="V529" s="650"/>
      <c r="W529" s="40" t="s">
        <v>39</v>
      </c>
      <c r="X529" s="41">
        <f>IFERROR(X522/H522,"0")+IFERROR(X523/H523,"0")+IFERROR(X524/H524,"0")+IFERROR(X525/H525,"0")+IFERROR(X526/H526,"0")+IFERROR(X527/H527,"0")+IFERROR(X528/H528,"0")</f>
        <v>0</v>
      </c>
      <c r="Y529" s="41">
        <f>IFERROR(Y522/H522,"0")+IFERROR(Y523/H523,"0")+IFERROR(Y524/H524,"0")+IFERROR(Y525/H525,"0")+IFERROR(Y526/H526,"0")+IFERROR(Y527/H527,"0")+IFERROR(Y528/H528,"0")</f>
        <v>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">
      <c r="A530" s="651"/>
      <c r="B530" s="651"/>
      <c r="C530" s="651"/>
      <c r="D530" s="651"/>
      <c r="E530" s="651"/>
      <c r="F530" s="651"/>
      <c r="G530" s="651"/>
      <c r="H530" s="651"/>
      <c r="I530" s="651"/>
      <c r="J530" s="651"/>
      <c r="K530" s="651"/>
      <c r="L530" s="651"/>
      <c r="M530" s="651"/>
      <c r="N530" s="651"/>
      <c r="O530" s="652"/>
      <c r="P530" s="648" t="s">
        <v>40</v>
      </c>
      <c r="Q530" s="649"/>
      <c r="R530" s="649"/>
      <c r="S530" s="649"/>
      <c r="T530" s="649"/>
      <c r="U530" s="649"/>
      <c r="V530" s="650"/>
      <c r="W530" s="40" t="s">
        <v>0</v>
      </c>
      <c r="X530" s="41">
        <f>IFERROR(SUM(X522:X528),"0")</f>
        <v>0</v>
      </c>
      <c r="Y530" s="41">
        <f>IFERROR(SUM(Y522:Y528),"0")</f>
        <v>0</v>
      </c>
      <c r="Z530" s="40"/>
      <c r="AA530" s="64"/>
      <c r="AB530" s="64"/>
      <c r="AC530" s="64"/>
    </row>
    <row r="531" spans="1:68" ht="27.75" hidden="1" customHeight="1" x14ac:dyDescent="0.2">
      <c r="A531" s="678" t="s">
        <v>849</v>
      </c>
      <c r="B531" s="678"/>
      <c r="C531" s="678"/>
      <c r="D531" s="678"/>
      <c r="E531" s="678"/>
      <c r="F531" s="678"/>
      <c r="G531" s="678"/>
      <c r="H531" s="678"/>
      <c r="I531" s="678"/>
      <c r="J531" s="678"/>
      <c r="K531" s="678"/>
      <c r="L531" s="678"/>
      <c r="M531" s="678"/>
      <c r="N531" s="678"/>
      <c r="O531" s="678"/>
      <c r="P531" s="678"/>
      <c r="Q531" s="678"/>
      <c r="R531" s="678"/>
      <c r="S531" s="678"/>
      <c r="T531" s="678"/>
      <c r="U531" s="678"/>
      <c r="V531" s="678"/>
      <c r="W531" s="678"/>
      <c r="X531" s="678"/>
      <c r="Y531" s="678"/>
      <c r="Z531" s="678"/>
      <c r="AA531" s="52"/>
      <c r="AB531" s="52"/>
      <c r="AC531" s="52"/>
    </row>
    <row r="532" spans="1:68" ht="16.5" hidden="1" customHeight="1" x14ac:dyDescent="0.25">
      <c r="A532" s="667" t="s">
        <v>849</v>
      </c>
      <c r="B532" s="667"/>
      <c r="C532" s="667"/>
      <c r="D532" s="667"/>
      <c r="E532" s="667"/>
      <c r="F532" s="667"/>
      <c r="G532" s="667"/>
      <c r="H532" s="667"/>
      <c r="I532" s="667"/>
      <c r="J532" s="667"/>
      <c r="K532" s="667"/>
      <c r="L532" s="667"/>
      <c r="M532" s="667"/>
      <c r="N532" s="667"/>
      <c r="O532" s="667"/>
      <c r="P532" s="667"/>
      <c r="Q532" s="667"/>
      <c r="R532" s="667"/>
      <c r="S532" s="667"/>
      <c r="T532" s="667"/>
      <c r="U532" s="667"/>
      <c r="V532" s="667"/>
      <c r="W532" s="667"/>
      <c r="X532" s="667"/>
      <c r="Y532" s="667"/>
      <c r="Z532" s="667"/>
      <c r="AA532" s="62"/>
      <c r="AB532" s="62"/>
      <c r="AC532" s="62"/>
    </row>
    <row r="533" spans="1:68" ht="14.25" hidden="1" customHeight="1" x14ac:dyDescent="0.25">
      <c r="A533" s="660" t="s">
        <v>122</v>
      </c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0"/>
      <c r="P533" s="660"/>
      <c r="Q533" s="660"/>
      <c r="R533" s="660"/>
      <c r="S533" s="660"/>
      <c r="T533" s="660"/>
      <c r="U533" s="660"/>
      <c r="V533" s="660"/>
      <c r="W533" s="660"/>
      <c r="X533" s="660"/>
      <c r="Y533" s="660"/>
      <c r="Z533" s="660"/>
      <c r="AA533" s="63"/>
      <c r="AB533" s="63"/>
      <c r="AC533" s="63"/>
    </row>
    <row r="534" spans="1:68" ht="27" hidden="1" customHeight="1" x14ac:dyDescent="0.25">
      <c r="A534" s="60" t="s">
        <v>850</v>
      </c>
      <c r="B534" s="60" t="s">
        <v>851</v>
      </c>
      <c r="C534" s="34">
        <v>4301011584</v>
      </c>
      <c r="D534" s="661">
        <v>4640242180564</v>
      </c>
      <c r="E534" s="661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127</v>
      </c>
      <c r="L534" s="35" t="s">
        <v>46</v>
      </c>
      <c r="M534" s="36" t="s">
        <v>126</v>
      </c>
      <c r="N534" s="36"/>
      <c r="O534" s="35">
        <v>50</v>
      </c>
      <c r="P534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3"/>
      <c r="R534" s="663"/>
      <c r="S534" s="663"/>
      <c r="T534" s="664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33" t="s">
        <v>852</v>
      </c>
      <c r="AG534" s="75"/>
      <c r="AJ534" s="79" t="s">
        <v>46</v>
      </c>
      <c r="AK534" s="79">
        <v>0</v>
      </c>
      <c r="BB534" s="634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60" t="s">
        <v>159</v>
      </c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0"/>
      <c r="P537" s="660"/>
      <c r="Q537" s="660"/>
      <c r="R537" s="660"/>
      <c r="S537" s="660"/>
      <c r="T537" s="660"/>
      <c r="U537" s="660"/>
      <c r="V537" s="660"/>
      <c r="W537" s="660"/>
      <c r="X537" s="660"/>
      <c r="Y537" s="660"/>
      <c r="Z537" s="660"/>
      <c r="AA537" s="63"/>
      <c r="AB537" s="63"/>
      <c r="AC537" s="63"/>
    </row>
    <row r="538" spans="1:68" ht="27" hidden="1" customHeight="1" x14ac:dyDescent="0.25">
      <c r="A538" s="60" t="s">
        <v>853</v>
      </c>
      <c r="B538" s="60" t="s">
        <v>854</v>
      </c>
      <c r="C538" s="34">
        <v>4301020444</v>
      </c>
      <c r="D538" s="661">
        <v>4680115889781</v>
      </c>
      <c r="E538" s="661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127</v>
      </c>
      <c r="L538" s="35" t="s">
        <v>46</v>
      </c>
      <c r="M538" s="36" t="s">
        <v>90</v>
      </c>
      <c r="N538" s="36"/>
      <c r="O538" s="35">
        <v>50</v>
      </c>
      <c r="P538" s="67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63"/>
      <c r="R538" s="663"/>
      <c r="S538" s="663"/>
      <c r="T538" s="664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728</v>
      </c>
      <c r="AG538" s="75"/>
      <c r="AJ538" s="79" t="s">
        <v>46</v>
      </c>
      <c r="AK538" s="79">
        <v>0</v>
      </c>
      <c r="BB538" s="636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60" t="s">
        <v>77</v>
      </c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0"/>
      <c r="P541" s="660"/>
      <c r="Q541" s="660"/>
      <c r="R541" s="660"/>
      <c r="S541" s="660"/>
      <c r="T541" s="660"/>
      <c r="U541" s="660"/>
      <c r="V541" s="660"/>
      <c r="W541" s="660"/>
      <c r="X541" s="660"/>
      <c r="Y541" s="660"/>
      <c r="Z541" s="660"/>
      <c r="AA541" s="63"/>
      <c r="AB541" s="63"/>
      <c r="AC541" s="63"/>
    </row>
    <row r="542" spans="1:68" ht="27" hidden="1" customHeight="1" x14ac:dyDescent="0.25">
      <c r="A542" s="60" t="s">
        <v>855</v>
      </c>
      <c r="B542" s="60" t="s">
        <v>856</v>
      </c>
      <c r="C542" s="34">
        <v>4301031500</v>
      </c>
      <c r="D542" s="661">
        <v>4640242180595</v>
      </c>
      <c r="E542" s="661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134</v>
      </c>
      <c r="L542" s="35" t="s">
        <v>46</v>
      </c>
      <c r="M542" s="36" t="s">
        <v>81</v>
      </c>
      <c r="N542" s="36"/>
      <c r="O542" s="35">
        <v>40</v>
      </c>
      <c r="P542" s="67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3"/>
      <c r="R542" s="663"/>
      <c r="S542" s="663"/>
      <c r="T542" s="664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857</v>
      </c>
      <c r="AG542" s="75"/>
      <c r="AJ542" s="79" t="s">
        <v>46</v>
      </c>
      <c r="AK542" s="79">
        <v>0</v>
      </c>
      <c r="BB542" s="63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660" t="s">
        <v>86</v>
      </c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0"/>
      <c r="P545" s="660"/>
      <c r="Q545" s="660"/>
      <c r="R545" s="660"/>
      <c r="S545" s="660"/>
      <c r="T545" s="660"/>
      <c r="U545" s="660"/>
      <c r="V545" s="660"/>
      <c r="W545" s="660"/>
      <c r="X545" s="660"/>
      <c r="Y545" s="660"/>
      <c r="Z545" s="660"/>
      <c r="AA545" s="63"/>
      <c r="AB545" s="63"/>
      <c r="AC545" s="63"/>
    </row>
    <row r="546" spans="1:68" ht="27" hidden="1" customHeight="1" x14ac:dyDescent="0.25">
      <c r="A546" s="60" t="s">
        <v>858</v>
      </c>
      <c r="B546" s="60" t="s">
        <v>859</v>
      </c>
      <c r="C546" s="34">
        <v>4301052043</v>
      </c>
      <c r="D546" s="661">
        <v>4640242180533</v>
      </c>
      <c r="E546" s="661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45</v>
      </c>
      <c r="P546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3"/>
      <c r="R546" s="663"/>
      <c r="S546" s="663"/>
      <c r="T546" s="664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860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1"/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2"/>
      <c r="P547" s="648" t="s">
        <v>40</v>
      </c>
      <c r="Q547" s="649"/>
      <c r="R547" s="649"/>
      <c r="S547" s="649"/>
      <c r="T547" s="649"/>
      <c r="U547" s="649"/>
      <c r="V547" s="650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660" t="s">
        <v>178</v>
      </c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0"/>
      <c r="P549" s="660"/>
      <c r="Q549" s="660"/>
      <c r="R549" s="660"/>
      <c r="S549" s="660"/>
      <c r="T549" s="660"/>
      <c r="U549" s="660"/>
      <c r="V549" s="660"/>
      <c r="W549" s="660"/>
      <c r="X549" s="660"/>
      <c r="Y549" s="660"/>
      <c r="Z549" s="660"/>
      <c r="AA549" s="63"/>
      <c r="AB549" s="63"/>
      <c r="AC549" s="63"/>
    </row>
    <row r="550" spans="1:68" ht="27" hidden="1" customHeight="1" x14ac:dyDescent="0.25">
      <c r="A550" s="60" t="s">
        <v>861</v>
      </c>
      <c r="B550" s="60" t="s">
        <v>862</v>
      </c>
      <c r="C550" s="34">
        <v>4301060535</v>
      </c>
      <c r="D550" s="661">
        <v>4640242180120</v>
      </c>
      <c r="E550" s="661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127</v>
      </c>
      <c r="L550" s="35" t="s">
        <v>46</v>
      </c>
      <c r="M550" s="36" t="s">
        <v>90</v>
      </c>
      <c r="N550" s="36"/>
      <c r="O550" s="35">
        <v>40</v>
      </c>
      <c r="P550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3"/>
      <c r="R550" s="663"/>
      <c r="S550" s="663"/>
      <c r="T550" s="664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863</v>
      </c>
      <c r="AG550" s="75"/>
      <c r="AJ550" s="79" t="s">
        <v>46</v>
      </c>
      <c r="AK550" s="79">
        <v>0</v>
      </c>
      <c r="BB550" s="642" t="s">
        <v>67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864</v>
      </c>
      <c r="B551" s="60" t="s">
        <v>865</v>
      </c>
      <c r="C551" s="34">
        <v>4301060536</v>
      </c>
      <c r="D551" s="661">
        <v>4640242180137</v>
      </c>
      <c r="E551" s="661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40</v>
      </c>
      <c r="P551" s="6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3"/>
      <c r="R551" s="663"/>
      <c r="S551" s="663"/>
      <c r="T551" s="664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866</v>
      </c>
      <c r="AG551" s="75"/>
      <c r="AJ551" s="79" t="s">
        <v>46</v>
      </c>
      <c r="AK551" s="79">
        <v>0</v>
      </c>
      <c r="BB551" s="644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1"/>
      <c r="B552" s="651"/>
      <c r="C552" s="651"/>
      <c r="D552" s="651"/>
      <c r="E552" s="651"/>
      <c r="F552" s="651"/>
      <c r="G552" s="651"/>
      <c r="H552" s="651"/>
      <c r="I552" s="651"/>
      <c r="J552" s="651"/>
      <c r="K552" s="651"/>
      <c r="L552" s="651"/>
      <c r="M552" s="651"/>
      <c r="N552" s="651"/>
      <c r="O552" s="652"/>
      <c r="P552" s="648" t="s">
        <v>40</v>
      </c>
      <c r="Q552" s="649"/>
      <c r="R552" s="649"/>
      <c r="S552" s="649"/>
      <c r="T552" s="649"/>
      <c r="U552" s="649"/>
      <c r="V552" s="650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667" t="s">
        <v>867</v>
      </c>
      <c r="B554" s="667"/>
      <c r="C554" s="667"/>
      <c r="D554" s="667"/>
      <c r="E554" s="667"/>
      <c r="F554" s="667"/>
      <c r="G554" s="667"/>
      <c r="H554" s="667"/>
      <c r="I554" s="667"/>
      <c r="J554" s="667"/>
      <c r="K554" s="667"/>
      <c r="L554" s="667"/>
      <c r="M554" s="667"/>
      <c r="N554" s="667"/>
      <c r="O554" s="667"/>
      <c r="P554" s="667"/>
      <c r="Q554" s="667"/>
      <c r="R554" s="667"/>
      <c r="S554" s="667"/>
      <c r="T554" s="667"/>
      <c r="U554" s="667"/>
      <c r="V554" s="667"/>
      <c r="W554" s="667"/>
      <c r="X554" s="667"/>
      <c r="Y554" s="667"/>
      <c r="Z554" s="667"/>
      <c r="AA554" s="62"/>
      <c r="AB554" s="62"/>
      <c r="AC554" s="62"/>
    </row>
    <row r="555" spans="1:68" ht="14.25" hidden="1" customHeight="1" x14ac:dyDescent="0.25">
      <c r="A555" s="660" t="s">
        <v>159</v>
      </c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0"/>
      <c r="P555" s="660"/>
      <c r="Q555" s="660"/>
      <c r="R555" s="660"/>
      <c r="S555" s="660"/>
      <c r="T555" s="660"/>
      <c r="U555" s="660"/>
      <c r="V555" s="660"/>
      <c r="W555" s="660"/>
      <c r="X555" s="660"/>
      <c r="Y555" s="660"/>
      <c r="Z555" s="660"/>
      <c r="AA555" s="63"/>
      <c r="AB555" s="63"/>
      <c r="AC555" s="63"/>
    </row>
    <row r="556" spans="1:68" ht="27" hidden="1" customHeight="1" x14ac:dyDescent="0.25">
      <c r="A556" s="60" t="s">
        <v>868</v>
      </c>
      <c r="B556" s="60" t="s">
        <v>869</v>
      </c>
      <c r="C556" s="34">
        <v>4301020441</v>
      </c>
      <c r="D556" s="661">
        <v>4680115889798</v>
      </c>
      <c r="E556" s="661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127</v>
      </c>
      <c r="L556" s="35" t="s">
        <v>46</v>
      </c>
      <c r="M556" s="36" t="s">
        <v>126</v>
      </c>
      <c r="N556" s="36"/>
      <c r="O556" s="35">
        <v>50</v>
      </c>
      <c r="P556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63"/>
      <c r="R556" s="663"/>
      <c r="S556" s="663"/>
      <c r="T556" s="664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870</v>
      </c>
      <c r="AG556" s="75"/>
      <c r="AJ556" s="79" t="s">
        <v>46</v>
      </c>
      <c r="AK556" s="79">
        <v>0</v>
      </c>
      <c r="BB556" s="646" t="s">
        <v>67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2"/>
      <c r="P557" s="648" t="s">
        <v>40</v>
      </c>
      <c r="Q557" s="649"/>
      <c r="R557" s="649"/>
      <c r="S557" s="649"/>
      <c r="T557" s="649"/>
      <c r="U557" s="649"/>
      <c r="V557" s="650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2"/>
      <c r="P558" s="648" t="s">
        <v>40</v>
      </c>
      <c r="Q558" s="649"/>
      <c r="R558" s="649"/>
      <c r="S558" s="649"/>
      <c r="T558" s="649"/>
      <c r="U558" s="649"/>
      <c r="V558" s="650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33</v>
      </c>
      <c r="Q559" s="654"/>
      <c r="R559" s="654"/>
      <c r="S559" s="654"/>
      <c r="T559" s="654"/>
      <c r="U559" s="654"/>
      <c r="V559" s="655"/>
      <c r="W559" s="40" t="s">
        <v>0</v>
      </c>
      <c r="X559" s="41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960</v>
      </c>
      <c r="Y559" s="41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960</v>
      </c>
      <c r="Z559" s="40"/>
      <c r="AA559" s="64"/>
      <c r="AB559" s="64"/>
      <c r="AC559" s="64"/>
    </row>
    <row r="560" spans="1:68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34</v>
      </c>
      <c r="Q560" s="654"/>
      <c r="R560" s="654"/>
      <c r="S560" s="654"/>
      <c r="T560" s="654"/>
      <c r="U560" s="654"/>
      <c r="V560" s="655"/>
      <c r="W560" s="40" t="s">
        <v>0</v>
      </c>
      <c r="X560" s="41">
        <f>IFERROR(SUM(BM22:BM556),"0")</f>
        <v>990.08</v>
      </c>
      <c r="Y560" s="41">
        <f>IFERROR(SUM(BN22:BN556),"0")</f>
        <v>990.08</v>
      </c>
      <c r="Z560" s="40"/>
      <c r="AA560" s="64"/>
      <c r="AB560" s="64"/>
      <c r="AC560" s="64"/>
    </row>
    <row r="561" spans="1:32" x14ac:dyDescent="0.2">
      <c r="A561" s="651"/>
      <c r="B561" s="651"/>
      <c r="C561" s="651"/>
      <c r="D561" s="651"/>
      <c r="E561" s="651"/>
      <c r="F561" s="651"/>
      <c r="G561" s="651"/>
      <c r="H561" s="651"/>
      <c r="I561" s="651"/>
      <c r="J561" s="651"/>
      <c r="K561" s="651"/>
      <c r="L561" s="651"/>
      <c r="M561" s="651"/>
      <c r="N561" s="651"/>
      <c r="O561" s="656"/>
      <c r="P561" s="653" t="s">
        <v>35</v>
      </c>
      <c r="Q561" s="654"/>
      <c r="R561" s="654"/>
      <c r="S561" s="654"/>
      <c r="T561" s="654"/>
      <c r="U561" s="654"/>
      <c r="V561" s="655"/>
      <c r="W561" s="40" t="s">
        <v>20</v>
      </c>
      <c r="X561" s="42">
        <f>ROUNDUP(SUM(BO22:BO556),0)</f>
        <v>2</v>
      </c>
      <c r="Y561" s="42">
        <f>ROUNDUP(SUM(BP22:BP556),0)</f>
        <v>2</v>
      </c>
      <c r="Z561" s="40"/>
      <c r="AA561" s="64"/>
      <c r="AB561" s="64"/>
      <c r="AC561" s="64"/>
    </row>
    <row r="562" spans="1:32" x14ac:dyDescent="0.2">
      <c r="A562" s="651"/>
      <c r="B562" s="651"/>
      <c r="C562" s="651"/>
      <c r="D562" s="651"/>
      <c r="E562" s="651"/>
      <c r="F562" s="651"/>
      <c r="G562" s="651"/>
      <c r="H562" s="651"/>
      <c r="I562" s="651"/>
      <c r="J562" s="651"/>
      <c r="K562" s="651"/>
      <c r="L562" s="651"/>
      <c r="M562" s="651"/>
      <c r="N562" s="651"/>
      <c r="O562" s="656"/>
      <c r="P562" s="653" t="s">
        <v>36</v>
      </c>
      <c r="Q562" s="654"/>
      <c r="R562" s="654"/>
      <c r="S562" s="654"/>
      <c r="T562" s="654"/>
      <c r="U562" s="654"/>
      <c r="V562" s="655"/>
      <c r="W562" s="40" t="s">
        <v>0</v>
      </c>
      <c r="X562" s="41">
        <f>GrossWeightTotal+PalletQtyTotal*25</f>
        <v>1040.08</v>
      </c>
      <c r="Y562" s="41">
        <f>GrossWeightTotalR+PalletQtyTotalR*25</f>
        <v>1040.08</v>
      </c>
      <c r="Z562" s="40"/>
      <c r="AA562" s="64"/>
      <c r="AB562" s="64"/>
      <c r="AC562" s="64"/>
    </row>
    <row r="563" spans="1:32" x14ac:dyDescent="0.2">
      <c r="A563" s="651"/>
      <c r="B563" s="651"/>
      <c r="C563" s="651"/>
      <c r="D563" s="651"/>
      <c r="E563" s="651"/>
      <c r="F563" s="651"/>
      <c r="G563" s="651"/>
      <c r="H563" s="651"/>
      <c r="I563" s="651"/>
      <c r="J563" s="651"/>
      <c r="K563" s="651"/>
      <c r="L563" s="651"/>
      <c r="M563" s="651"/>
      <c r="N563" s="651"/>
      <c r="O563" s="656"/>
      <c r="P563" s="653" t="s">
        <v>37</v>
      </c>
      <c r="Q563" s="654"/>
      <c r="R563" s="654"/>
      <c r="S563" s="654"/>
      <c r="T563" s="654"/>
      <c r="U563" s="654"/>
      <c r="V563" s="655"/>
      <c r="W563" s="40" t="s">
        <v>20</v>
      </c>
      <c r="X563" s="41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64</v>
      </c>
      <c r="Y563" s="41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64</v>
      </c>
      <c r="Z563" s="40"/>
      <c r="AA563" s="64"/>
      <c r="AB563" s="64"/>
      <c r="AC563" s="64"/>
    </row>
    <row r="564" spans="1:32" ht="14.25" hidden="1" x14ac:dyDescent="0.2">
      <c r="A564" s="651"/>
      <c r="B564" s="651"/>
      <c r="C564" s="651"/>
      <c r="D564" s="651"/>
      <c r="E564" s="651"/>
      <c r="F564" s="651"/>
      <c r="G564" s="651"/>
      <c r="H564" s="651"/>
      <c r="I564" s="651"/>
      <c r="J564" s="651"/>
      <c r="K564" s="651"/>
      <c r="L564" s="651"/>
      <c r="M564" s="651"/>
      <c r="N564" s="651"/>
      <c r="O564" s="656"/>
      <c r="P564" s="653" t="s">
        <v>38</v>
      </c>
      <c r="Q564" s="654"/>
      <c r="R564" s="654"/>
      <c r="S564" s="654"/>
      <c r="T564" s="654"/>
      <c r="U564" s="654"/>
      <c r="V564" s="655"/>
      <c r="W564" s="43" t="s">
        <v>52</v>
      </c>
      <c r="X564" s="40"/>
      <c r="Y564" s="40"/>
      <c r="Z564" s="40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1.3919999999999999</v>
      </c>
      <c r="AA564" s="64"/>
      <c r="AB564" s="64"/>
      <c r="AC564" s="64"/>
    </row>
    <row r="565" spans="1:32" ht="13.5" thickBot="1" x14ac:dyDescent="0.25"/>
    <row r="566" spans="1:32" ht="27" thickTop="1" thickBot="1" x14ac:dyDescent="0.25">
      <c r="A566" s="44" t="s">
        <v>9</v>
      </c>
      <c r="B566" s="80" t="s">
        <v>76</v>
      </c>
      <c r="C566" s="80" t="s">
        <v>45</v>
      </c>
      <c r="D566" s="647" t="s">
        <v>120</v>
      </c>
      <c r="E566" s="647" t="s">
        <v>120</v>
      </c>
      <c r="F566" s="647" t="s">
        <v>120</v>
      </c>
      <c r="G566" s="647" t="s">
        <v>120</v>
      </c>
      <c r="H566" s="647" t="s">
        <v>120</v>
      </c>
      <c r="I566" s="647" t="s">
        <v>120</v>
      </c>
      <c r="J566" s="647" t="s">
        <v>120</v>
      </c>
      <c r="K566" s="647" t="s">
        <v>345</v>
      </c>
      <c r="L566" s="647" t="s">
        <v>345</v>
      </c>
      <c r="M566" s="647" t="s">
        <v>345</v>
      </c>
      <c r="N566" s="657"/>
      <c r="O566" s="647" t="s">
        <v>345</v>
      </c>
      <c r="P566" s="647" t="s">
        <v>345</v>
      </c>
      <c r="Q566" s="647" t="s">
        <v>345</v>
      </c>
      <c r="R566" s="647" t="s">
        <v>345</v>
      </c>
      <c r="S566" s="647" t="s">
        <v>345</v>
      </c>
      <c r="T566" s="647" t="s">
        <v>345</v>
      </c>
      <c r="U566" s="647" t="s">
        <v>345</v>
      </c>
      <c r="V566" s="647" t="s">
        <v>345</v>
      </c>
      <c r="W566" s="647" t="s">
        <v>700</v>
      </c>
      <c r="X566" s="647" t="s">
        <v>700</v>
      </c>
      <c r="Y566" s="647" t="s">
        <v>766</v>
      </c>
      <c r="Z566" s="647" t="s">
        <v>766</v>
      </c>
      <c r="AA566" s="80" t="s">
        <v>802</v>
      </c>
      <c r="AB566" s="647" t="s">
        <v>849</v>
      </c>
      <c r="AC566" s="647" t="s">
        <v>849</v>
      </c>
      <c r="AF566" s="1"/>
    </row>
    <row r="567" spans="1:32" ht="14.25" customHeight="1" thickTop="1" x14ac:dyDescent="0.2">
      <c r="A567" s="658" t="s">
        <v>10</v>
      </c>
      <c r="B567" s="647" t="s">
        <v>76</v>
      </c>
      <c r="C567" s="647" t="s">
        <v>104</v>
      </c>
      <c r="D567" s="647" t="s">
        <v>121</v>
      </c>
      <c r="E567" s="647" t="s">
        <v>137</v>
      </c>
      <c r="F567" s="647" t="s">
        <v>186</v>
      </c>
      <c r="G567" s="647" t="s">
        <v>209</v>
      </c>
      <c r="H567" s="647" t="s">
        <v>249</v>
      </c>
      <c r="I567" s="647" t="s">
        <v>262</v>
      </c>
      <c r="J567" s="647" t="s">
        <v>120</v>
      </c>
      <c r="K567" s="647" t="s">
        <v>346</v>
      </c>
      <c r="L567" s="647" t="s">
        <v>367</v>
      </c>
      <c r="M567" s="647" t="s">
        <v>441</v>
      </c>
      <c r="N567" s="1"/>
      <c r="O567" s="647" t="s">
        <v>509</v>
      </c>
      <c r="P567" s="647" t="s">
        <v>538</v>
      </c>
      <c r="Q567" s="647" t="s">
        <v>558</v>
      </c>
      <c r="R567" s="647" t="s">
        <v>567</v>
      </c>
      <c r="S567" s="647" t="s">
        <v>588</v>
      </c>
      <c r="T567" s="647" t="s">
        <v>597</v>
      </c>
      <c r="U567" s="647" t="s">
        <v>683</v>
      </c>
      <c r="V567" s="647" t="s">
        <v>690</v>
      </c>
      <c r="W567" s="647" t="s">
        <v>701</v>
      </c>
      <c r="X567" s="647" t="s">
        <v>750</v>
      </c>
      <c r="Y567" s="647" t="s">
        <v>767</v>
      </c>
      <c r="Z567" s="647" t="s">
        <v>790</v>
      </c>
      <c r="AA567" s="647" t="s">
        <v>802</v>
      </c>
      <c r="AB567" s="647" t="s">
        <v>849</v>
      </c>
      <c r="AC567" s="647" t="s">
        <v>867</v>
      </c>
      <c r="AF567" s="1"/>
    </row>
    <row r="568" spans="1:32" ht="13.5" thickBot="1" x14ac:dyDescent="0.25">
      <c r="A568" s="659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1"/>
      <c r="O568" s="647"/>
      <c r="P568" s="647"/>
      <c r="Q568" s="647"/>
      <c r="R568" s="647"/>
      <c r="S568" s="647"/>
      <c r="T568" s="647"/>
      <c r="U568" s="647"/>
      <c r="V568" s="647"/>
      <c r="W568" s="647"/>
      <c r="X568" s="647"/>
      <c r="Y568" s="647"/>
      <c r="Z568" s="647"/>
      <c r="AA568" s="647"/>
      <c r="AB568" s="647"/>
      <c r="AC568" s="647"/>
      <c r="AF568" s="1"/>
    </row>
    <row r="569" spans="1:32" ht="18" thickTop="1" thickBot="1" x14ac:dyDescent="0.25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0</v>
      </c>
      <c r="E569" s="50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69" s="50">
        <f>IFERROR(Y87*1,"0")+IFERROR(Y88*1,"0")+IFERROR(Y89*1,"0")+IFERROR(Y90*1,"0")+IFERROR(Y91*1,"0")+IFERROR(Y95*1,"0")+IFERROR(Y96*1,"0")+IFERROR(Y97*1,"0")+IFERROR(Y98*1,"0")</f>
        <v>0</v>
      </c>
      <c r="G569" s="50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0</v>
      </c>
      <c r="H569" s="50">
        <f>IFERROR(Y133*1,"0")+IFERROR(Y134*1,"0")+IFERROR(Y138*1,"0")+IFERROR(Y139*1,"0")+IFERROR(Y143*1,"0")+IFERROR(Y144*1,"0")</f>
        <v>0</v>
      </c>
      <c r="I569" s="50">
        <f>IFERROR(Y149*1,"0")+IFERROR(Y150*1,"0")+IFERROR(Y151*1,"0")+IFERROR(Y152*1,"0")+IFERROR(Y153*1,"0")+IFERROR(Y154*1,"0")+IFERROR(Y158*1,"0")</f>
        <v>0</v>
      </c>
      <c r="J569" s="50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0</v>
      </c>
      <c r="K569" s="50">
        <f>IFERROR(Y205*1,"0")+IFERROR(Y206*1,"0")+IFERROR(Y207*1,"0")+IFERROR(Y208*1,"0")+IFERROR(Y209*1,"0")+IFERROR(Y210*1,"0")+IFERROR(Y211*1,"0")</f>
        <v>0</v>
      </c>
      <c r="L569" s="50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0</v>
      </c>
      <c r="M569" s="50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0</v>
      </c>
      <c r="N569" s="1"/>
      <c r="O569" s="50">
        <f>IFERROR(Y303*1,"0")+IFERROR(Y304*1,"0")+IFERROR(Y305*1,"0")+IFERROR(Y306*1,"0")+IFERROR(Y307*1,"0")+IFERROR(Y308*1,"0")+IFERROR(Y309*1,"0")+IFERROR(Y313*1,"0")+IFERROR(Y317*1,"0")+IFERROR(Y321*1,"0")</f>
        <v>0</v>
      </c>
      <c r="P569" s="50">
        <f>IFERROR(Y326*1,"0")+IFERROR(Y327*1,"0")+IFERROR(Y328*1,"0")+IFERROR(Y329*1,"0")+IFERROR(Y330*1,"0")+IFERROR(Y331*1,"0")</f>
        <v>0</v>
      </c>
      <c r="Q569" s="50">
        <f>IFERROR(Y336*1,"0")+IFERROR(Y337*1,"0")+IFERROR(Y338*1,"0")</f>
        <v>0</v>
      </c>
      <c r="R569" s="50">
        <f>IFERROR(Y343*1,"0")+IFERROR(Y344*1,"0")+IFERROR(Y345*1,"0")+IFERROR(Y346*1,"0")+IFERROR(Y347*1,"0")+IFERROR(Y351*1,"0")+IFERROR(Y352*1,"0")</f>
        <v>0</v>
      </c>
      <c r="S569" s="50">
        <f>IFERROR(Y357*1,"0")+IFERROR(Y358*1,"0")+IFERROR(Y359*1,"0")</f>
        <v>0</v>
      </c>
      <c r="T569" s="50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960</v>
      </c>
      <c r="X569" s="50">
        <f>IFERROR(Y460*1,"0")+IFERROR(Y461*1,"0")+IFERROR(Y465*1,"0")+IFERROR(Y469*1,"0")+IFERROR(Y470*1,"0")+IFERROR(Y471*1,"0")</f>
        <v>0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0">
        <f>IFERROR(Y534*1,"0")+IFERROR(Y538*1,"0")+IFERROR(Y542*1,"0")+IFERROR(Y546*1,"0")+IFERROR(Y550*1,"0")+IFERROR(Y551*1,"0")</f>
        <v>0</v>
      </c>
      <c r="AC569" s="50">
        <f>IFERROR(Y556*1,"0")</f>
        <v>0</v>
      </c>
      <c r="AF569" s="1"/>
    </row>
  </sheetData>
  <sheetProtection algorithmName="SHA-512" hashValue="Y7Sp2sZtXIPKZjg0M2hfCsYz06TaNkMR03qo9GR6eBOE1yTP6+EeD0t86nAC0K7PSvSnVOhKFFsV7oYyK4meOw==" saltValue="7AlZPN0R/D/PVp3rLiphK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0,08"/>
        <filter val="2"/>
        <filter val="300,00"/>
        <filter val="330,00"/>
        <filter val="64,00"/>
        <filter val="960,00"/>
        <filter val="990,08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</mergeCells>
  <phoneticPr fontId="2" type="noConversion"/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1" t="s">
        <v>872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873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874</v>
      </c>
      <c r="C6" s="51" t="s">
        <v>875</v>
      </c>
      <c r="D6" s="51" t="s">
        <v>876</v>
      </c>
      <c r="E6" s="51" t="s">
        <v>46</v>
      </c>
    </row>
    <row r="7" spans="2:8" x14ac:dyDescent="0.2">
      <c r="B7" s="51" t="s">
        <v>877</v>
      </c>
      <c r="C7" s="51" t="s">
        <v>878</v>
      </c>
      <c r="D7" s="51" t="s">
        <v>879</v>
      </c>
      <c r="E7" s="51" t="s">
        <v>46</v>
      </c>
    </row>
    <row r="8" spans="2:8" x14ac:dyDescent="0.2">
      <c r="B8" s="51" t="s">
        <v>880</v>
      </c>
      <c r="C8" s="51" t="s">
        <v>881</v>
      </c>
      <c r="D8" s="51" t="s">
        <v>882</v>
      </c>
      <c r="E8" s="51" t="s">
        <v>46</v>
      </c>
    </row>
    <row r="9" spans="2:8" x14ac:dyDescent="0.2">
      <c r="B9" s="51" t="s">
        <v>883</v>
      </c>
      <c r="C9" s="51" t="s">
        <v>884</v>
      </c>
      <c r="D9" s="51" t="s">
        <v>885</v>
      </c>
      <c r="E9" s="51" t="s">
        <v>46</v>
      </c>
    </row>
    <row r="10" spans="2:8" x14ac:dyDescent="0.2">
      <c r="B10" s="51" t="s">
        <v>886</v>
      </c>
      <c r="C10" s="51" t="s">
        <v>887</v>
      </c>
      <c r="D10" s="51" t="s">
        <v>888</v>
      </c>
      <c r="E10" s="51" t="s">
        <v>46</v>
      </c>
    </row>
    <row r="12" spans="2:8" x14ac:dyDescent="0.2">
      <c r="B12" s="51" t="s">
        <v>889</v>
      </c>
      <c r="C12" s="51" t="s">
        <v>875</v>
      </c>
      <c r="D12" s="51" t="s">
        <v>46</v>
      </c>
      <c r="E12" s="51" t="s">
        <v>46</v>
      </c>
    </row>
    <row r="14" spans="2:8" x14ac:dyDescent="0.2">
      <c r="B14" s="51" t="s">
        <v>890</v>
      </c>
      <c r="C14" s="51" t="s">
        <v>878</v>
      </c>
      <c r="D14" s="51" t="s">
        <v>46</v>
      </c>
      <c r="E14" s="51" t="s">
        <v>46</v>
      </c>
    </row>
    <row r="16" spans="2:8" x14ac:dyDescent="0.2">
      <c r="B16" s="51" t="s">
        <v>891</v>
      </c>
      <c r="C16" s="51" t="s">
        <v>881</v>
      </c>
      <c r="D16" s="51" t="s">
        <v>46</v>
      </c>
      <c r="E16" s="51" t="s">
        <v>46</v>
      </c>
    </row>
    <row r="18" spans="2:5" x14ac:dyDescent="0.2">
      <c r="B18" s="51" t="s">
        <v>892</v>
      </c>
      <c r="C18" s="51" t="s">
        <v>884</v>
      </c>
      <c r="D18" s="51" t="s">
        <v>46</v>
      </c>
      <c r="E18" s="51" t="s">
        <v>46</v>
      </c>
    </row>
    <row r="20" spans="2:5" x14ac:dyDescent="0.2">
      <c r="B20" s="51" t="s">
        <v>893</v>
      </c>
      <c r="C20" s="51" t="s">
        <v>887</v>
      </c>
      <c r="D20" s="51" t="s">
        <v>46</v>
      </c>
      <c r="E20" s="51" t="s">
        <v>46</v>
      </c>
    </row>
    <row r="22" spans="2:5" x14ac:dyDescent="0.2">
      <c r="B22" s="51" t="s">
        <v>894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895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896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897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898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899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900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901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902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903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904</v>
      </c>
      <c r="C32" s="51" t="s">
        <v>46</v>
      </c>
      <c r="D32" s="51" t="s">
        <v>46</v>
      </c>
      <c r="E32" s="51" t="s">
        <v>46</v>
      </c>
    </row>
  </sheetData>
  <sheetProtection algorithmName="SHA-512" hashValue="NvjLKuQIqsdN6psh5/TyqwsRHWHavDM+daRvlIHpQnfFeBRtsZlLpEPDlMt1jPFxa+IeKYs0rCPfwEfqd2FHSQ==" saltValue="dbx/mNqc1NlYnaQhiPo4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2026-09-26T05:15:45Z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