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D4C9C5EF-A62C-4990-BD8D-D3F8BCA7D482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Sheet!$A$3:$AL$138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X135" i="1" l="1"/>
  <c r="X133" i="1"/>
  <c r="X132" i="1"/>
  <c r="X118" i="1"/>
  <c r="X112" i="1"/>
  <c r="X102" i="1"/>
  <c r="X101" i="1"/>
  <c r="X100" i="1"/>
  <c r="X98" i="1"/>
  <c r="X86" i="1"/>
  <c r="X85" i="1"/>
  <c r="X80" i="1"/>
  <c r="X74" i="1"/>
  <c r="X72" i="1"/>
  <c r="X69" i="1"/>
  <c r="X66" i="1"/>
  <c r="X49" i="1"/>
  <c r="X48" i="1"/>
  <c r="X46" i="1"/>
  <c r="X45" i="1"/>
  <c r="X43" i="1"/>
  <c r="X41" i="1"/>
  <c r="X34" i="1"/>
  <c r="X32" i="1"/>
  <c r="X27" i="1"/>
  <c r="X16" i="1"/>
  <c r="X113" i="1" l="1"/>
  <c r="X76" i="1"/>
  <c r="X67" i="1"/>
  <c r="Z76" i="1"/>
  <c r="Z67" i="1"/>
  <c r="Z113" i="1"/>
  <c r="X7" i="1" l="1"/>
  <c r="AL7" i="1" s="1"/>
  <c r="X11" i="1"/>
  <c r="AL11" i="1" s="1"/>
  <c r="X15" i="1"/>
  <c r="AL15" i="1" s="1"/>
  <c r="X19" i="1"/>
  <c r="AL19" i="1" s="1"/>
  <c r="X20" i="1"/>
  <c r="X21" i="1"/>
  <c r="AL21" i="1" s="1"/>
  <c r="X23" i="1"/>
  <c r="AL23" i="1" s="1"/>
  <c r="X26" i="1"/>
  <c r="X29" i="1"/>
  <c r="AL29" i="1" s="1"/>
  <c r="X30" i="1"/>
  <c r="X31" i="1"/>
  <c r="AL31" i="1" s="1"/>
  <c r="X33" i="1"/>
  <c r="AL33" i="1" s="1"/>
  <c r="X35" i="1"/>
  <c r="AL35" i="1" s="1"/>
  <c r="X36" i="1"/>
  <c r="X37" i="1"/>
  <c r="AL37" i="1" s="1"/>
  <c r="X38" i="1"/>
  <c r="AL41" i="1"/>
  <c r="AL43" i="1"/>
  <c r="AL46" i="1"/>
  <c r="AL48" i="1"/>
  <c r="AL49" i="1"/>
  <c r="X52" i="1"/>
  <c r="AL52" i="1" s="1"/>
  <c r="X54" i="1"/>
  <c r="AL54" i="1" s="1"/>
  <c r="X57" i="1"/>
  <c r="AL57" i="1" s="1"/>
  <c r="X60" i="1"/>
  <c r="AL60" i="1" s="1"/>
  <c r="X61" i="1"/>
  <c r="AL61" i="1" s="1"/>
  <c r="X62" i="1"/>
  <c r="AL62" i="1" s="1"/>
  <c r="X63" i="1"/>
  <c r="AL63" i="1" s="1"/>
  <c r="AL64" i="1"/>
  <c r="AL66" i="1"/>
  <c r="AL69" i="1"/>
  <c r="AL72" i="1"/>
  <c r="X73" i="1"/>
  <c r="AL73" i="1" s="1"/>
  <c r="AL74" i="1"/>
  <c r="X75" i="1"/>
  <c r="AL75" i="1" s="1"/>
  <c r="X78" i="1"/>
  <c r="AL78" i="1" s="1"/>
  <c r="X79" i="1"/>
  <c r="AL79" i="1" s="1"/>
  <c r="AL80" i="1"/>
  <c r="X84" i="1"/>
  <c r="AL84" i="1" s="1"/>
  <c r="AL85" i="1"/>
  <c r="AL86" i="1"/>
  <c r="X87" i="1"/>
  <c r="AL87" i="1" s="1"/>
  <c r="X88" i="1"/>
  <c r="AL88" i="1" s="1"/>
  <c r="X89" i="1"/>
  <c r="AL89" i="1" s="1"/>
  <c r="X91" i="1"/>
  <c r="AL91" i="1" s="1"/>
  <c r="X92" i="1"/>
  <c r="AL92" i="1" s="1"/>
  <c r="AL95" i="1"/>
  <c r="X96" i="1"/>
  <c r="AL96" i="1" s="1"/>
  <c r="X97" i="1"/>
  <c r="AL97" i="1" s="1"/>
  <c r="AL98" i="1"/>
  <c r="AL100" i="1"/>
  <c r="AL101" i="1"/>
  <c r="AL102" i="1"/>
  <c r="X103" i="1"/>
  <c r="AL103" i="1" s="1"/>
  <c r="X106" i="1"/>
  <c r="AL106" i="1" s="1"/>
  <c r="X107" i="1"/>
  <c r="AL107" i="1" s="1"/>
  <c r="X108" i="1"/>
  <c r="AL108" i="1" s="1"/>
  <c r="X109" i="1"/>
  <c r="AL109" i="1" s="1"/>
  <c r="X110" i="1"/>
  <c r="AL110" i="1" s="1"/>
  <c r="AL112" i="1"/>
  <c r="X114" i="1"/>
  <c r="AL114" i="1" s="1"/>
  <c r="AL115" i="1"/>
  <c r="AL118" i="1"/>
  <c r="X119" i="1"/>
  <c r="AL119" i="1" s="1"/>
  <c r="X120" i="1"/>
  <c r="AL120" i="1" s="1"/>
  <c r="X122" i="1"/>
  <c r="AL122" i="1" s="1"/>
  <c r="X123" i="1"/>
  <c r="AL123" i="1" s="1"/>
  <c r="X124" i="1"/>
  <c r="AL124" i="1" s="1"/>
  <c r="X128" i="1"/>
  <c r="AL128" i="1" s="1"/>
  <c r="X129" i="1"/>
  <c r="AL129" i="1" s="1"/>
  <c r="X130" i="1"/>
  <c r="AL130" i="1" s="1"/>
  <c r="X131" i="1"/>
  <c r="AL131" i="1" s="1"/>
  <c r="AL132" i="1"/>
  <c r="AL133" i="1"/>
  <c r="X137" i="1"/>
  <c r="AL137" i="1" s="1"/>
  <c r="X138" i="1"/>
  <c r="AL138" i="1" s="1"/>
  <c r="AL27" i="1"/>
  <c r="AL45" i="1"/>
  <c r="AL113" i="1"/>
  <c r="AL135" i="1"/>
  <c r="AL38" i="1" l="1"/>
  <c r="AL36" i="1"/>
  <c r="AL34" i="1"/>
  <c r="AL32" i="1"/>
  <c r="AL30" i="1"/>
  <c r="AL26" i="1"/>
  <c r="AL20" i="1"/>
  <c r="AL16" i="1"/>
  <c r="M138" i="1"/>
  <c r="V138" i="1" s="1"/>
  <c r="AA138" i="1" s="1"/>
  <c r="L138" i="1"/>
  <c r="M137" i="1"/>
  <c r="V137" i="1" s="1"/>
  <c r="AA137" i="1" s="1"/>
  <c r="L137" i="1"/>
  <c r="M136" i="1"/>
  <c r="V136" i="1" s="1"/>
  <c r="W136" i="1" s="1"/>
  <c r="X136" i="1" s="1"/>
  <c r="L136" i="1"/>
  <c r="M135" i="1"/>
  <c r="V135" i="1" s="1"/>
  <c r="AA135" i="1" s="1"/>
  <c r="L135" i="1"/>
  <c r="M134" i="1"/>
  <c r="V134" i="1" s="1"/>
  <c r="W134" i="1" s="1"/>
  <c r="X134" i="1" s="1"/>
  <c r="L134" i="1"/>
  <c r="M133" i="1"/>
  <c r="V133" i="1" s="1"/>
  <c r="AA133" i="1" s="1"/>
  <c r="L133" i="1"/>
  <c r="M132" i="1"/>
  <c r="V132" i="1" s="1"/>
  <c r="AA132" i="1" s="1"/>
  <c r="L132" i="1"/>
  <c r="M131" i="1"/>
  <c r="V131" i="1" s="1"/>
  <c r="AA131" i="1" s="1"/>
  <c r="L131" i="1"/>
  <c r="M130" i="1"/>
  <c r="V130" i="1" s="1"/>
  <c r="L130" i="1"/>
  <c r="F130" i="1"/>
  <c r="AA130" i="1" s="1"/>
  <c r="M129" i="1"/>
  <c r="V129" i="1" s="1"/>
  <c r="AA129" i="1" s="1"/>
  <c r="L129" i="1"/>
  <c r="E128" i="1"/>
  <c r="L128" i="1" s="1"/>
  <c r="M127" i="1"/>
  <c r="V127" i="1" s="1"/>
  <c r="AB127" i="1" s="1"/>
  <c r="L127" i="1"/>
  <c r="M126" i="1"/>
  <c r="V126" i="1" s="1"/>
  <c r="W126" i="1" s="1"/>
  <c r="X126" i="1" s="1"/>
  <c r="L126" i="1"/>
  <c r="M125" i="1"/>
  <c r="V125" i="1" s="1"/>
  <c r="W125" i="1" s="1"/>
  <c r="X125" i="1" s="1"/>
  <c r="L125" i="1"/>
  <c r="M124" i="1"/>
  <c r="V124" i="1" s="1"/>
  <c r="AA124" i="1" s="1"/>
  <c r="L124" i="1"/>
  <c r="M123" i="1"/>
  <c r="V123" i="1" s="1"/>
  <c r="AA123" i="1" s="1"/>
  <c r="L123" i="1"/>
  <c r="M122" i="1"/>
  <c r="V122" i="1" s="1"/>
  <c r="AA122" i="1" s="1"/>
  <c r="L122" i="1"/>
  <c r="M121" i="1"/>
  <c r="V121" i="1" s="1"/>
  <c r="W121" i="1" s="1"/>
  <c r="X121" i="1" s="1"/>
  <c r="L121" i="1"/>
  <c r="M120" i="1"/>
  <c r="V120" i="1" s="1"/>
  <c r="AA120" i="1" s="1"/>
  <c r="L120" i="1"/>
  <c r="M119" i="1"/>
  <c r="V119" i="1" s="1"/>
  <c r="AA119" i="1" s="1"/>
  <c r="L119" i="1"/>
  <c r="M118" i="1"/>
  <c r="V118" i="1" s="1"/>
  <c r="AA118" i="1" s="1"/>
  <c r="L118" i="1"/>
  <c r="M117" i="1"/>
  <c r="V117" i="1" s="1"/>
  <c r="W117" i="1" s="1"/>
  <c r="X117" i="1" s="1"/>
  <c r="L117" i="1"/>
  <c r="M116" i="1"/>
  <c r="V116" i="1" s="1"/>
  <c r="W116" i="1" s="1"/>
  <c r="X116" i="1" s="1"/>
  <c r="L116" i="1"/>
  <c r="M115" i="1"/>
  <c r="V115" i="1" s="1"/>
  <c r="L115" i="1"/>
  <c r="M114" i="1"/>
  <c r="V114" i="1" s="1"/>
  <c r="AA114" i="1" s="1"/>
  <c r="L114" i="1"/>
  <c r="M113" i="1"/>
  <c r="V113" i="1" s="1"/>
  <c r="AA113" i="1" s="1"/>
  <c r="L113" i="1"/>
  <c r="M112" i="1"/>
  <c r="V112" i="1" s="1"/>
  <c r="AA112" i="1" s="1"/>
  <c r="L112" i="1"/>
  <c r="M111" i="1"/>
  <c r="V111" i="1" s="1"/>
  <c r="W111" i="1" s="1"/>
  <c r="X111" i="1" s="1"/>
  <c r="L111" i="1"/>
  <c r="S110" i="1"/>
  <c r="M110" i="1"/>
  <c r="V110" i="1" s="1"/>
  <c r="L110" i="1"/>
  <c r="M109" i="1"/>
  <c r="V109" i="1" s="1"/>
  <c r="AA109" i="1" s="1"/>
  <c r="L109" i="1"/>
  <c r="M108" i="1"/>
  <c r="V108" i="1" s="1"/>
  <c r="AA108" i="1" s="1"/>
  <c r="L108" i="1"/>
  <c r="M107" i="1"/>
  <c r="V107" i="1" s="1"/>
  <c r="AA107" i="1" s="1"/>
  <c r="L107" i="1"/>
  <c r="M106" i="1"/>
  <c r="V106" i="1" s="1"/>
  <c r="AA106" i="1" s="1"/>
  <c r="L106" i="1"/>
  <c r="M105" i="1"/>
  <c r="V105" i="1" s="1"/>
  <c r="AB105" i="1" s="1"/>
  <c r="L105" i="1"/>
  <c r="M104" i="1"/>
  <c r="V104" i="1" s="1"/>
  <c r="AB104" i="1" s="1"/>
  <c r="L104" i="1"/>
  <c r="M103" i="1"/>
  <c r="V103" i="1" s="1"/>
  <c r="AA103" i="1" s="1"/>
  <c r="L103" i="1"/>
  <c r="M102" i="1"/>
  <c r="V102" i="1" s="1"/>
  <c r="AA102" i="1" s="1"/>
  <c r="L102" i="1"/>
  <c r="M101" i="1"/>
  <c r="V101" i="1" s="1"/>
  <c r="AA101" i="1" s="1"/>
  <c r="L101" i="1"/>
  <c r="M100" i="1"/>
  <c r="V100" i="1" s="1"/>
  <c r="L100" i="1"/>
  <c r="M99" i="1"/>
  <c r="V99" i="1" s="1"/>
  <c r="AB99" i="1" s="1"/>
  <c r="L99" i="1"/>
  <c r="M98" i="1"/>
  <c r="V98" i="1" s="1"/>
  <c r="AA98" i="1" s="1"/>
  <c r="L98" i="1"/>
  <c r="M97" i="1"/>
  <c r="V97" i="1" s="1"/>
  <c r="L97" i="1"/>
  <c r="M96" i="1"/>
  <c r="V96" i="1" s="1"/>
  <c r="AA96" i="1" s="1"/>
  <c r="L96" i="1"/>
  <c r="M95" i="1"/>
  <c r="V95" i="1" s="1"/>
  <c r="AA95" i="1" s="1"/>
  <c r="L95" i="1"/>
  <c r="M94" i="1"/>
  <c r="V94" i="1" s="1"/>
  <c r="L94" i="1"/>
  <c r="M93" i="1"/>
  <c r="V93" i="1" s="1"/>
  <c r="L93" i="1"/>
  <c r="M92" i="1"/>
  <c r="V92" i="1" s="1"/>
  <c r="AA92" i="1" s="1"/>
  <c r="L92" i="1"/>
  <c r="M91" i="1"/>
  <c r="V91" i="1" s="1"/>
  <c r="AA91" i="1" s="1"/>
  <c r="L91" i="1"/>
  <c r="M90" i="1"/>
  <c r="V90" i="1" s="1"/>
  <c r="W90" i="1" s="1"/>
  <c r="X90" i="1" s="1"/>
  <c r="L90" i="1"/>
  <c r="M89" i="1"/>
  <c r="V89" i="1" s="1"/>
  <c r="AA89" i="1" s="1"/>
  <c r="L89" i="1"/>
  <c r="M88" i="1"/>
  <c r="V88" i="1" s="1"/>
  <c r="AB88" i="1" s="1"/>
  <c r="L88" i="1"/>
  <c r="M87" i="1"/>
  <c r="V87" i="1" s="1"/>
  <c r="AA87" i="1" s="1"/>
  <c r="L87" i="1"/>
  <c r="S86" i="1"/>
  <c r="M86" i="1"/>
  <c r="V86" i="1" s="1"/>
  <c r="L86" i="1"/>
  <c r="M85" i="1"/>
  <c r="V85" i="1" s="1"/>
  <c r="AA85" i="1" s="1"/>
  <c r="L85" i="1"/>
  <c r="M84" i="1"/>
  <c r="V84" i="1" s="1"/>
  <c r="AA84" i="1" s="1"/>
  <c r="L84" i="1"/>
  <c r="M83" i="1"/>
  <c r="V83" i="1" s="1"/>
  <c r="AB83" i="1" s="1"/>
  <c r="L83" i="1"/>
  <c r="M82" i="1"/>
  <c r="V82" i="1" s="1"/>
  <c r="L82" i="1"/>
  <c r="M81" i="1"/>
  <c r="V81" i="1" s="1"/>
  <c r="W81" i="1" s="1"/>
  <c r="X81" i="1" s="1"/>
  <c r="L81" i="1"/>
  <c r="M80" i="1"/>
  <c r="V80" i="1" s="1"/>
  <c r="AA80" i="1" s="1"/>
  <c r="L80" i="1"/>
  <c r="M79" i="1"/>
  <c r="V79" i="1" s="1"/>
  <c r="AA79" i="1" s="1"/>
  <c r="L79" i="1"/>
  <c r="M78" i="1"/>
  <c r="V78" i="1" s="1"/>
  <c r="AA78" i="1" s="1"/>
  <c r="L78" i="1"/>
  <c r="M77" i="1"/>
  <c r="V77" i="1" s="1"/>
  <c r="W77" i="1" s="1"/>
  <c r="X77" i="1" s="1"/>
  <c r="L77" i="1"/>
  <c r="M76" i="1"/>
  <c r="V76" i="1" s="1"/>
  <c r="W76" i="1" s="1"/>
  <c r="L76" i="1"/>
  <c r="M75" i="1"/>
  <c r="V75" i="1" s="1"/>
  <c r="AA75" i="1" s="1"/>
  <c r="L75" i="1"/>
  <c r="M74" i="1"/>
  <c r="V74" i="1" s="1"/>
  <c r="AA74" i="1" s="1"/>
  <c r="L74" i="1"/>
  <c r="M73" i="1"/>
  <c r="V73" i="1" s="1"/>
  <c r="AA73" i="1" s="1"/>
  <c r="L73" i="1"/>
  <c r="M72" i="1"/>
  <c r="V72" i="1" s="1"/>
  <c r="AA72" i="1" s="1"/>
  <c r="L72" i="1"/>
  <c r="M71" i="1"/>
  <c r="V71" i="1" s="1"/>
  <c r="AB71" i="1" s="1"/>
  <c r="L71" i="1"/>
  <c r="M70" i="1"/>
  <c r="V70" i="1" s="1"/>
  <c r="W70" i="1" s="1"/>
  <c r="X70" i="1" s="1"/>
  <c r="L70" i="1"/>
  <c r="M69" i="1"/>
  <c r="V69" i="1" s="1"/>
  <c r="AA69" i="1" s="1"/>
  <c r="L69" i="1"/>
  <c r="M68" i="1"/>
  <c r="V68" i="1" s="1"/>
  <c r="W68" i="1" s="1"/>
  <c r="X68" i="1" s="1"/>
  <c r="L68" i="1"/>
  <c r="M67" i="1"/>
  <c r="V67" i="1" s="1"/>
  <c r="W67" i="1" s="1"/>
  <c r="L67" i="1"/>
  <c r="M66" i="1"/>
  <c r="V66" i="1" s="1"/>
  <c r="AA66" i="1" s="1"/>
  <c r="L66" i="1"/>
  <c r="M65" i="1"/>
  <c r="V65" i="1" s="1"/>
  <c r="W65" i="1" s="1"/>
  <c r="X65" i="1" s="1"/>
  <c r="L65" i="1"/>
  <c r="M64" i="1"/>
  <c r="V64" i="1" s="1"/>
  <c r="AB64" i="1" s="1"/>
  <c r="L64" i="1"/>
  <c r="M63" i="1"/>
  <c r="V63" i="1" s="1"/>
  <c r="L63" i="1"/>
  <c r="M62" i="1"/>
  <c r="V62" i="1" s="1"/>
  <c r="AA62" i="1" s="1"/>
  <c r="L62" i="1"/>
  <c r="M61" i="1"/>
  <c r="V61" i="1" s="1"/>
  <c r="L61" i="1"/>
  <c r="F60" i="1"/>
  <c r="E60" i="1"/>
  <c r="M60" i="1" s="1"/>
  <c r="V60" i="1" s="1"/>
  <c r="M59" i="1"/>
  <c r="V59" i="1" s="1"/>
  <c r="W59" i="1" s="1"/>
  <c r="X59" i="1" s="1"/>
  <c r="L59" i="1"/>
  <c r="M58" i="1"/>
  <c r="V58" i="1" s="1"/>
  <c r="L58" i="1"/>
  <c r="M57" i="1"/>
  <c r="V57" i="1" s="1"/>
  <c r="AA57" i="1" s="1"/>
  <c r="L57" i="1"/>
  <c r="M56" i="1"/>
  <c r="V56" i="1" s="1"/>
  <c r="AB56" i="1" s="1"/>
  <c r="L56" i="1"/>
  <c r="M55" i="1"/>
  <c r="V55" i="1" s="1"/>
  <c r="L55" i="1"/>
  <c r="M54" i="1"/>
  <c r="V54" i="1" s="1"/>
  <c r="L54" i="1"/>
  <c r="M53" i="1"/>
  <c r="V53" i="1" s="1"/>
  <c r="AB53" i="1" s="1"/>
  <c r="L53" i="1"/>
  <c r="M52" i="1"/>
  <c r="V52" i="1" s="1"/>
  <c r="AA52" i="1" s="1"/>
  <c r="L52" i="1"/>
  <c r="M51" i="1"/>
  <c r="V51" i="1" s="1"/>
  <c r="AB51" i="1" s="1"/>
  <c r="L51" i="1"/>
  <c r="M50" i="1"/>
  <c r="V50" i="1" s="1"/>
  <c r="W50" i="1" s="1"/>
  <c r="X50" i="1" s="1"/>
  <c r="L50" i="1"/>
  <c r="M49" i="1"/>
  <c r="V49" i="1" s="1"/>
  <c r="AA49" i="1" s="1"/>
  <c r="L49" i="1"/>
  <c r="M48" i="1"/>
  <c r="V48" i="1" s="1"/>
  <c r="AA48" i="1" s="1"/>
  <c r="L48" i="1"/>
  <c r="M47" i="1"/>
  <c r="V47" i="1" s="1"/>
  <c r="W47" i="1" s="1"/>
  <c r="X47" i="1" s="1"/>
  <c r="L47" i="1"/>
  <c r="M46" i="1"/>
  <c r="V46" i="1" s="1"/>
  <c r="AA46" i="1" s="1"/>
  <c r="L46" i="1"/>
  <c r="M45" i="1"/>
  <c r="V45" i="1" s="1"/>
  <c r="AA45" i="1" s="1"/>
  <c r="L45" i="1"/>
  <c r="M44" i="1"/>
  <c r="V44" i="1" s="1"/>
  <c r="AB44" i="1" s="1"/>
  <c r="L44" i="1"/>
  <c r="M43" i="1"/>
  <c r="V43" i="1" s="1"/>
  <c r="AA43" i="1" s="1"/>
  <c r="L43" i="1"/>
  <c r="M42" i="1"/>
  <c r="V42" i="1" s="1"/>
  <c r="W42" i="1" s="1"/>
  <c r="L42" i="1"/>
  <c r="M41" i="1"/>
  <c r="V41" i="1" s="1"/>
  <c r="L41" i="1"/>
  <c r="M40" i="1"/>
  <c r="V40" i="1" s="1"/>
  <c r="W40" i="1" s="1"/>
  <c r="L40" i="1"/>
  <c r="M39" i="1"/>
  <c r="V39" i="1" s="1"/>
  <c r="W39" i="1" s="1"/>
  <c r="X39" i="1" s="1"/>
  <c r="L39" i="1"/>
  <c r="M38" i="1"/>
  <c r="V38" i="1" s="1"/>
  <c r="AB38" i="1" s="1"/>
  <c r="L38" i="1"/>
  <c r="M37" i="1"/>
  <c r="V37" i="1" s="1"/>
  <c r="L37" i="1"/>
  <c r="M36" i="1"/>
  <c r="V36" i="1" s="1"/>
  <c r="AA36" i="1" s="1"/>
  <c r="L36" i="1"/>
  <c r="M35" i="1"/>
  <c r="V35" i="1" s="1"/>
  <c r="AA35" i="1" s="1"/>
  <c r="L35" i="1"/>
  <c r="M34" i="1"/>
  <c r="V34" i="1" s="1"/>
  <c r="AA34" i="1" s="1"/>
  <c r="L34" i="1"/>
  <c r="M33" i="1"/>
  <c r="V33" i="1" s="1"/>
  <c r="AA33" i="1" s="1"/>
  <c r="L33" i="1"/>
  <c r="M32" i="1"/>
  <c r="V32" i="1" s="1"/>
  <c r="AA32" i="1" s="1"/>
  <c r="L32" i="1"/>
  <c r="M31" i="1"/>
  <c r="V31" i="1" s="1"/>
  <c r="AA31" i="1" s="1"/>
  <c r="L31" i="1"/>
  <c r="M30" i="1"/>
  <c r="V30" i="1" s="1"/>
  <c r="AA30" i="1" s="1"/>
  <c r="L30" i="1"/>
  <c r="M29" i="1"/>
  <c r="V29" i="1" s="1"/>
  <c r="AA29" i="1" s="1"/>
  <c r="L29" i="1"/>
  <c r="M28" i="1"/>
  <c r="V28" i="1" s="1"/>
  <c r="W28" i="1" s="1"/>
  <c r="L28" i="1"/>
  <c r="M27" i="1"/>
  <c r="V27" i="1" s="1"/>
  <c r="AA27" i="1" s="1"/>
  <c r="L27" i="1"/>
  <c r="M26" i="1"/>
  <c r="V26" i="1" s="1"/>
  <c r="AA26" i="1" s="1"/>
  <c r="L26" i="1"/>
  <c r="M25" i="1"/>
  <c r="V25" i="1" s="1"/>
  <c r="W25" i="1" s="1"/>
  <c r="X25" i="1" s="1"/>
  <c r="L25" i="1"/>
  <c r="M24" i="1"/>
  <c r="V24" i="1" s="1"/>
  <c r="W24" i="1" s="1"/>
  <c r="L24" i="1"/>
  <c r="M23" i="1"/>
  <c r="V23" i="1" s="1"/>
  <c r="AA23" i="1" s="1"/>
  <c r="L23" i="1"/>
  <c r="M22" i="1"/>
  <c r="V22" i="1" s="1"/>
  <c r="W22" i="1" s="1"/>
  <c r="L22" i="1"/>
  <c r="M21" i="1"/>
  <c r="V21" i="1" s="1"/>
  <c r="AA21" i="1" s="1"/>
  <c r="L21" i="1"/>
  <c r="M20" i="1"/>
  <c r="V20" i="1" s="1"/>
  <c r="AA20" i="1" s="1"/>
  <c r="L20" i="1"/>
  <c r="M19" i="1"/>
  <c r="V19" i="1" s="1"/>
  <c r="L19" i="1"/>
  <c r="M18" i="1"/>
  <c r="V18" i="1" s="1"/>
  <c r="W18" i="1" s="1"/>
  <c r="L18" i="1"/>
  <c r="M17" i="1"/>
  <c r="V17" i="1" s="1"/>
  <c r="L17" i="1"/>
  <c r="M16" i="1"/>
  <c r="V16" i="1" s="1"/>
  <c r="AA16" i="1" s="1"/>
  <c r="L16" i="1"/>
  <c r="M15" i="1"/>
  <c r="V15" i="1" s="1"/>
  <c r="AA15" i="1" s="1"/>
  <c r="L15" i="1"/>
  <c r="M14" i="1"/>
  <c r="V14" i="1" s="1"/>
  <c r="W14" i="1" s="1"/>
  <c r="L14" i="1"/>
  <c r="M13" i="1"/>
  <c r="V13" i="1" s="1"/>
  <c r="W13" i="1" s="1"/>
  <c r="X13" i="1" s="1"/>
  <c r="L13" i="1"/>
  <c r="M12" i="1"/>
  <c r="V12" i="1" s="1"/>
  <c r="W12" i="1" s="1"/>
  <c r="L12" i="1"/>
  <c r="M11" i="1"/>
  <c r="V11" i="1" s="1"/>
  <c r="AA11" i="1" s="1"/>
  <c r="L11" i="1"/>
  <c r="M10" i="1"/>
  <c r="V10" i="1" s="1"/>
  <c r="W10" i="1" s="1"/>
  <c r="L10" i="1"/>
  <c r="M9" i="1"/>
  <c r="V9" i="1" s="1"/>
  <c r="W9" i="1" s="1"/>
  <c r="X9" i="1" s="1"/>
  <c r="L9" i="1"/>
  <c r="M8" i="1"/>
  <c r="V8" i="1" s="1"/>
  <c r="L8" i="1"/>
  <c r="M7" i="1"/>
  <c r="V7" i="1" s="1"/>
  <c r="AA7" i="1" s="1"/>
  <c r="L7" i="1"/>
  <c r="M6" i="1"/>
  <c r="V6" i="1" s="1"/>
  <c r="L6" i="1"/>
  <c r="AJ5" i="1"/>
  <c r="AI5" i="1"/>
  <c r="AH5" i="1"/>
  <c r="AG5" i="1"/>
  <c r="AF5" i="1"/>
  <c r="AE5" i="1"/>
  <c r="AD5" i="1"/>
  <c r="AC5" i="1"/>
  <c r="U5" i="1"/>
  <c r="T5" i="1"/>
  <c r="R5" i="1"/>
  <c r="Q5" i="1"/>
  <c r="P5" i="1"/>
  <c r="O5" i="1"/>
  <c r="N5" i="1"/>
  <c r="K5" i="1"/>
  <c r="X6" i="1" l="1"/>
  <c r="AL6" i="1" s="1"/>
  <c r="X8" i="1"/>
  <c r="AL8" i="1" s="1"/>
  <c r="X10" i="1"/>
  <c r="AA10" i="1" s="1"/>
  <c r="X12" i="1"/>
  <c r="AA12" i="1" s="1"/>
  <c r="X14" i="1"/>
  <c r="AA14" i="1" s="1"/>
  <c r="X17" i="1"/>
  <c r="AL17" i="1" s="1"/>
  <c r="X18" i="1"/>
  <c r="AA18" i="1" s="1"/>
  <c r="X22" i="1"/>
  <c r="AA22" i="1" s="1"/>
  <c r="X24" i="1"/>
  <c r="AA24" i="1" s="1"/>
  <c r="X40" i="1"/>
  <c r="AA40" i="1" s="1"/>
  <c r="X93" i="1"/>
  <c r="AL93" i="1" s="1"/>
  <c r="X94" i="1"/>
  <c r="AL94" i="1" s="1"/>
  <c r="X28" i="1"/>
  <c r="AA28" i="1" s="1"/>
  <c r="X42" i="1"/>
  <c r="AA42" i="1" s="1"/>
  <c r="AA64" i="1"/>
  <c r="AA86" i="1"/>
  <c r="AL24" i="1"/>
  <c r="AL40" i="1"/>
  <c r="AL14" i="1"/>
  <c r="AL22" i="1"/>
  <c r="AL90" i="1"/>
  <c r="AA90" i="1"/>
  <c r="AB97" i="1"/>
  <c r="AA97" i="1"/>
  <c r="AB100" i="1"/>
  <c r="AA100" i="1"/>
  <c r="AL9" i="1"/>
  <c r="AA9" i="1"/>
  <c r="AL13" i="1"/>
  <c r="AA13" i="1"/>
  <c r="AB19" i="1"/>
  <c r="AA19" i="1"/>
  <c r="AL25" i="1"/>
  <c r="AA25" i="1"/>
  <c r="AB37" i="1"/>
  <c r="AA37" i="1"/>
  <c r="AL39" i="1"/>
  <c r="AA39" i="1"/>
  <c r="AB41" i="1"/>
  <c r="AA41" i="1"/>
  <c r="AA47" i="1"/>
  <c r="AL47" i="1"/>
  <c r="AL50" i="1"/>
  <c r="AA50" i="1"/>
  <c r="AB54" i="1"/>
  <c r="AA54" i="1"/>
  <c r="AA59" i="1"/>
  <c r="AL59" i="1"/>
  <c r="AA60" i="1"/>
  <c r="AB61" i="1"/>
  <c r="AA61" i="1"/>
  <c r="AB63" i="1"/>
  <c r="AA63" i="1"/>
  <c r="AL65" i="1"/>
  <c r="AA65" i="1"/>
  <c r="AA67" i="1"/>
  <c r="AL67" i="1"/>
  <c r="AL68" i="1"/>
  <c r="AA68" i="1"/>
  <c r="AL70" i="1"/>
  <c r="AA70" i="1"/>
  <c r="AL76" i="1"/>
  <c r="AA76" i="1"/>
  <c r="AL77" i="1"/>
  <c r="AA77" i="1"/>
  <c r="AL81" i="1"/>
  <c r="AA81" i="1"/>
  <c r="AA110" i="1"/>
  <c r="AA111" i="1"/>
  <c r="AL111" i="1"/>
  <c r="AB115" i="1"/>
  <c r="AA115" i="1"/>
  <c r="AL116" i="1"/>
  <c r="AA116" i="1"/>
  <c r="AL117" i="1"/>
  <c r="AA117" i="1"/>
  <c r="AL121" i="1"/>
  <c r="AA121" i="1"/>
  <c r="AL125" i="1"/>
  <c r="AA125" i="1"/>
  <c r="AL126" i="1"/>
  <c r="AA126" i="1"/>
  <c r="AL134" i="1"/>
  <c r="AA134" i="1"/>
  <c r="AL136" i="1"/>
  <c r="AA136" i="1"/>
  <c r="AA38" i="1"/>
  <c r="AA88" i="1"/>
  <c r="S5" i="1"/>
  <c r="W105" i="1"/>
  <c r="X105" i="1" s="1"/>
  <c r="AB93" i="1"/>
  <c r="E5" i="1"/>
  <c r="AB58" i="1"/>
  <c r="W58" i="1"/>
  <c r="X58" i="1" s="1"/>
  <c r="AB114" i="1"/>
  <c r="AB78" i="1"/>
  <c r="AB43" i="1"/>
  <c r="W55" i="1"/>
  <c r="X55" i="1" s="1"/>
  <c r="AB7" i="1"/>
  <c r="AB112" i="1"/>
  <c r="W71" i="1"/>
  <c r="X71" i="1" s="1"/>
  <c r="W51" i="1"/>
  <c r="X51" i="1" s="1"/>
  <c r="W99" i="1"/>
  <c r="X99" i="1" s="1"/>
  <c r="W53" i="1"/>
  <c r="X53" i="1" s="1"/>
  <c r="AB60" i="1"/>
  <c r="L60" i="1"/>
  <c r="L5" i="1" s="1"/>
  <c r="W56" i="1"/>
  <c r="X56" i="1" s="1"/>
  <c r="W104" i="1"/>
  <c r="X104" i="1" s="1"/>
  <c r="W127" i="1"/>
  <c r="X127" i="1" s="1"/>
  <c r="W82" i="1"/>
  <c r="X82" i="1" s="1"/>
  <c r="W83" i="1"/>
  <c r="X83" i="1" s="1"/>
  <c r="W44" i="1"/>
  <c r="X44" i="1" s="1"/>
  <c r="F5" i="1"/>
  <c r="AB130" i="1"/>
  <c r="AB24" i="1"/>
  <c r="AB94" i="1"/>
  <c r="AB17" i="1"/>
  <c r="AB40" i="1"/>
  <c r="AB52" i="1"/>
  <c r="AB76" i="1"/>
  <c r="AB107" i="1"/>
  <c r="AB132" i="1"/>
  <c r="AB32" i="1"/>
  <c r="AB113" i="1"/>
  <c r="AB46" i="1"/>
  <c r="AB70" i="1"/>
  <c r="AB101" i="1"/>
  <c r="AB57" i="1"/>
  <c r="AB119" i="1"/>
  <c r="AB10" i="1"/>
  <c r="AB25" i="1"/>
  <c r="AB33" i="1"/>
  <c r="AB95" i="1"/>
  <c r="AB108" i="1"/>
  <c r="AB120" i="1"/>
  <c r="AB11" i="1"/>
  <c r="AB18" i="1"/>
  <c r="AB77" i="1"/>
  <c r="AB89" i="1"/>
  <c r="AB133" i="1"/>
  <c r="AB34" i="1"/>
  <c r="AB59" i="1"/>
  <c r="AB121" i="1"/>
  <c r="AB90" i="1"/>
  <c r="AB47" i="1"/>
  <c r="AB102" i="1"/>
  <c r="AB96" i="1"/>
  <c r="AB109" i="1"/>
  <c r="AB12" i="1"/>
  <c r="AB65" i="1"/>
  <c r="AB84" i="1"/>
  <c r="AB134" i="1"/>
  <c r="AB27" i="1"/>
  <c r="AB35" i="1"/>
  <c r="AB42" i="1"/>
  <c r="AB48" i="1"/>
  <c r="AB103" i="1"/>
  <c r="AB122" i="1"/>
  <c r="AB110" i="1"/>
  <c r="AB13" i="1"/>
  <c r="AB20" i="1"/>
  <c r="AB36" i="1"/>
  <c r="AB66" i="1"/>
  <c r="AB85" i="1"/>
  <c r="AB129" i="1"/>
  <c r="AB135" i="1"/>
  <c r="AB26" i="1"/>
  <c r="AB72" i="1"/>
  <c r="AB28" i="1"/>
  <c r="AB49" i="1"/>
  <c r="AB79" i="1"/>
  <c r="AB98" i="1"/>
  <c r="AB116" i="1"/>
  <c r="AB123" i="1"/>
  <c r="AB91" i="1"/>
  <c r="AB21" i="1"/>
  <c r="AB111" i="1"/>
  <c r="AB14" i="1"/>
  <c r="AB86" i="1"/>
  <c r="AB45" i="1"/>
  <c r="AB67" i="1"/>
  <c r="AB80" i="1"/>
  <c r="AB136" i="1"/>
  <c r="AB29" i="1"/>
  <c r="AB50" i="1"/>
  <c r="AB117" i="1"/>
  <c r="AB124" i="1"/>
  <c r="AB8" i="1"/>
  <c r="AB22" i="1"/>
  <c r="AB74" i="1"/>
  <c r="AB15" i="1"/>
  <c r="AB30" i="1"/>
  <c r="AB68" i="1"/>
  <c r="AB81" i="1"/>
  <c r="AB137" i="1"/>
  <c r="AB87" i="1"/>
  <c r="AB118" i="1"/>
  <c r="AB125" i="1"/>
  <c r="AB69" i="1"/>
  <c r="AB62" i="1"/>
  <c r="AB9" i="1"/>
  <c r="AB16" i="1"/>
  <c r="AB23" i="1"/>
  <c r="AB31" i="1"/>
  <c r="AB39" i="1"/>
  <c r="AB106" i="1"/>
  <c r="AB131" i="1"/>
  <c r="AB138" i="1"/>
  <c r="AB6" i="1"/>
  <c r="AB55" i="1"/>
  <c r="AB75" i="1"/>
  <c r="AB82" i="1"/>
  <c r="AB92" i="1"/>
  <c r="AB126" i="1"/>
  <c r="AB73" i="1"/>
  <c r="M128" i="1"/>
  <c r="V128" i="1" s="1"/>
  <c r="AA128" i="1" s="1"/>
  <c r="AL42" i="1" l="1"/>
  <c r="AL18" i="1"/>
  <c r="AL10" i="1"/>
  <c r="AL28" i="1"/>
  <c r="AL12" i="1"/>
  <c r="AA94" i="1"/>
  <c r="AA93" i="1"/>
  <c r="AA17" i="1"/>
  <c r="AA8" i="1"/>
  <c r="AA6" i="1"/>
  <c r="AA83" i="1"/>
  <c r="AL83" i="1"/>
  <c r="AA127" i="1"/>
  <c r="AL127" i="1"/>
  <c r="AL56" i="1"/>
  <c r="AA56" i="1"/>
  <c r="AA99" i="1"/>
  <c r="AL99" i="1"/>
  <c r="AA71" i="1"/>
  <c r="AL71" i="1"/>
  <c r="AA44" i="1"/>
  <c r="AL44" i="1"/>
  <c r="X5" i="1"/>
  <c r="AL82" i="1"/>
  <c r="AA82" i="1"/>
  <c r="AL104" i="1"/>
  <c r="AA104" i="1"/>
  <c r="AL53" i="1"/>
  <c r="AA53" i="1"/>
  <c r="AA51" i="1"/>
  <c r="AL51" i="1"/>
  <c r="AA55" i="1"/>
  <c r="AL55" i="1"/>
  <c r="AL58" i="1"/>
  <c r="AA58" i="1"/>
  <c r="AL105" i="1"/>
  <c r="AA105" i="1"/>
  <c r="M5" i="1"/>
  <c r="V5" i="1"/>
  <c r="AB128" i="1"/>
  <c r="AL5" i="1" l="1"/>
  <c r="AL1" i="1" s="1"/>
  <c r="W5" i="1"/>
</calcChain>
</file>

<file path=xl/sharedStrings.xml><?xml version="1.0" encoding="utf-8"?>
<sst xmlns="http://schemas.openxmlformats.org/spreadsheetml/2006/main" count="510" uniqueCount="193">
  <si>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</si>
  <si>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</si>
  <si>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</si>
  <si>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</si>
  <si>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</si>
  <si>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</si>
  <si>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</si>
  <si>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</si>
  <si>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</si>
  <si>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</si>
  <si>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</si>
  <si>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</si>
  <si>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</si>
  <si>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</si>
  <si>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</si>
  <si>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</si>
  <si>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</si>
  <si>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</si>
  <si>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</si>
  <si>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</si>
  <si>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</si>
  <si>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</si>
  <si>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21,09,</t>
  </si>
  <si>
    <t>21,09,недогр</t>
  </si>
  <si>
    <t>21,09,доз</t>
  </si>
  <si>
    <t>22,09,</t>
  </si>
  <si>
    <t>22,09,недогр</t>
  </si>
  <si>
    <t>26,09,</t>
  </si>
  <si>
    <t>27,09,</t>
  </si>
  <si>
    <t>24,09,</t>
  </si>
  <si>
    <t>17,09,</t>
  </si>
  <si>
    <t>15,09,</t>
  </si>
  <si>
    <t>10,09,</t>
  </si>
  <si>
    <t>08,09,</t>
  </si>
  <si>
    <t>03,09,</t>
  </si>
  <si>
    <t>01,09,</t>
  </si>
  <si>
    <t>27,08,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</si>
  <si>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</si>
  <si>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</si>
  <si>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</si>
  <si>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</si>
  <si>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>ПРОМО сентябрь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</si>
  <si>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</si>
  <si>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</si>
  <si>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</si>
  <si>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18шт списано (19,09,26) / 19 шт списано (12,07,26)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</si>
  <si>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</si>
  <si>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</si>
  <si>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</si>
  <si>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</si>
  <si>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</si>
  <si>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</si>
  <si>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</si>
  <si>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</si>
  <si>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Продукция для ПРС!!!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</si>
  <si>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</si>
  <si>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</si>
  <si>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</si>
  <si>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</si>
  <si>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>дубль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</si>
  <si>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</si>
  <si>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</si>
  <si>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</si>
  <si>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</si>
  <si>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>нужно увеличить продажи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</si>
  <si>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</si>
  <si>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</si>
  <si>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</si>
  <si>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</si>
  <si>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</si>
  <si>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</si>
  <si>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</si>
  <si>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</si>
  <si>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</si>
  <si>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</si>
  <si>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</si>
  <si>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</si>
  <si>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</si>
  <si>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</si>
  <si>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</si>
  <si>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</si>
  <si>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</si>
  <si>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</si>
  <si>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</si>
  <si>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</si>
  <si>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</si>
  <si>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</si>
  <si>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</si>
  <si>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>нужно увеличить продажи!!!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</si>
  <si>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</si>
  <si>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</si>
  <si>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</si>
  <si>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</si>
  <si>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</si>
  <si>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</si>
  <si>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</si>
  <si>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1000шт под сети (Хмель 01,09,26)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</si>
  <si>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</si>
  <si>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</si>
  <si>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</si>
  <si>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</si>
  <si>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</si>
  <si>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</si>
  <si>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</si>
  <si>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</si>
  <si>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</si>
  <si>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</si>
  <si>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</si>
  <si>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</si>
  <si>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</si>
  <si>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</si>
  <si>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>15шт списано (19,09,26)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</si>
  <si>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</si>
  <si>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</si>
  <si>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</si>
  <si>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</si>
  <si>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</si>
  <si>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</si>
  <si>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</si>
  <si>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</si>
  <si>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</si>
  <si>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</si>
  <si>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365  Колбаса Салями Филейбургская зернистая, 0,28 кг срез ТМ Баварушка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</si>
  <si>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</si>
  <si>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</si>
  <si>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</si>
  <si>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</si>
  <si>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</si>
  <si>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</si>
  <si>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</si>
  <si>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</si>
  <si>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</si>
  <si>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</si>
  <si>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</si>
  <si>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</si>
  <si>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</si>
  <si>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14 кг списано (19,09,26)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</si>
  <si>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</si>
  <si>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</si>
  <si>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</si>
  <si>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</si>
  <si>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</si>
  <si>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</si>
  <si>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</si>
  <si>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</si>
  <si>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</si>
  <si>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</si>
  <si>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</si>
  <si>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</si>
  <si>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</si>
  <si>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</si>
  <si>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</si>
  <si>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</si>
  <si>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</si>
  <si>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</si>
  <si>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</si>
  <si>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</si>
  <si>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</si>
  <si>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</si>
  <si>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</si>
  <si>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</si>
  <si>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</si>
  <si>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</si>
  <si>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</si>
  <si>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</si>
  <si>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</si>
  <si>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</si>
  <si>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</si>
  <si>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</si>
  <si>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</si>
  <si>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</si>
  <si>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</si>
  <si>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</si>
  <si>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</si>
  <si>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</si>
  <si>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</si>
  <si>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</si>
  <si>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</si>
  <si>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</si>
  <si>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</si>
  <si>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</si>
  <si>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</si>
  <si>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</si>
  <si>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</si>
  <si>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</si>
  <si>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</si>
  <si>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ПРОМО сентябрь</t>
    </r>
  </si>
  <si>
    <t>ТК</t>
  </si>
  <si>
    <t>Рекуто</t>
  </si>
  <si>
    <t>ТК ком</t>
  </si>
  <si>
    <t>заказ</t>
  </si>
  <si>
    <t>28,09,</t>
  </si>
  <si>
    <t>дн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</si>
</sst>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6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5" fillId="6" borderId="1" xfId="1" applyNumberFormat="1" applyFont="1" applyFill="1"/>
    <xf numFmtId="164" fontId="1" fillId="7" borderId="1" xfId="1" applyNumberFormat="1" applyFill="1"/>
    <xf numFmtId="164" fontId="6" fillId="7" borderId="1" xfId="1" applyNumberFormat="1" applyFont="1" applyFill="1"/>
    <xf numFmtId="164" fontId="4" fillId="7" borderId="1" xfId="1" applyNumberFormat="1" applyFont="1" applyFill="1"/>
    <xf numFmtId="164" fontId="1" fillId="0" borderId="1" xfId="1" applyNumberFormat="1" applyBorder="1"/>
    <xf numFmtId="0" fontId="0" fillId="0" borderId="1" xfId="0" applyBorder="1"/>
    <xf numFmtId="166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4;&#1086;&#1085;&#1077;&#1094;&#1082;%20&#1079;&#1072;&#1082;&#1072;&#1079;%20(&#1056;&#1077;&#1082;&#1091;&#1090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>
        <row r="1">
          <cell r="A1" t="str">
            <v>Прошу уменьшить заказ:</v>
          </cell>
        </row>
        <row r="3">
          <cell r="A3" t="str">
            <v xml:space="preserve"> 342 Сосиски Сочинки Молочные ТМ Стародворье 0,4 кг ПОКОМ</v>
          </cell>
          <cell r="B3" t="str">
            <v>до 100 шт</v>
          </cell>
        </row>
        <row r="5">
          <cell r="A5" t="str">
            <v xml:space="preserve"> 376  Колбаса Докторская Дугушка 0,6кг ГОСТ ТМ Стародворье  ПОКОМ </v>
          </cell>
          <cell r="B5" t="str">
            <v>до 200 шт</v>
          </cell>
        </row>
        <row r="7">
          <cell r="A7" t="str">
            <v xml:space="preserve"> </v>
          </cell>
        </row>
        <row r="9">
          <cell r="A9" t="str">
            <v>Увеличить заказ:</v>
          </cell>
        </row>
        <row r="11">
          <cell r="A11" t="str">
            <v xml:space="preserve"> 558  Колбаса Балыковая НОВАЯ ВЕС Вязанка фиброуз в/у ПОКОМ</v>
          </cell>
          <cell r="B11" t="str">
            <v>до 50 кг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X2" sqref="X2"/>
    </sheetView>
  </sheetViews>
  <sheetFormatPr defaultRowHeight="15" x14ac:dyDescent="0.25"/>
  <cols>
    <col min="1" max="1" width="51.5703125" customWidth="1"/>
    <col min="2" max="2" width="3" customWidth="1"/>
    <col min="3" max="3" width="6" customWidth="1"/>
    <col min="4" max="4" width="6.5703125" customWidth="1"/>
    <col min="5" max="6" width="7" customWidth="1"/>
    <col min="7" max="7" width="5" style="6" customWidth="1"/>
    <col min="8" max="8" width="5" customWidth="1"/>
    <col min="9" max="9" width="8.42578125" customWidth="1"/>
    <col min="10" max="10" width="1" customWidth="1"/>
    <col min="11" max="24" width="7" customWidth="1"/>
    <col min="25" max="25" width="7" style="19" customWidth="1"/>
    <col min="26" max="26" width="9" style="19" customWidth="1"/>
    <col min="27" max="28" width="5" customWidth="1"/>
    <col min="29" max="34" width="6.7109375" customWidth="1"/>
    <col min="35" max="35" width="6" customWidth="1"/>
    <col min="36" max="36" width="6.7109375" customWidth="1"/>
    <col min="37" max="37" width="22.7109375" customWidth="1"/>
    <col min="38" max="38" width="7" customWidth="1"/>
    <col min="39" max="48" width="8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0">
        <v>1.37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>
        <f>AL5-AL2</f>
        <v>-50</v>
      </c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 t="s">
        <v>192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>
        <v>16600</v>
      </c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14</v>
      </c>
      <c r="V3" s="2" t="s">
        <v>15</v>
      </c>
      <c r="W3" s="3" t="s">
        <v>16</v>
      </c>
      <c r="X3" s="3" t="s">
        <v>190</v>
      </c>
      <c r="Y3" s="3" t="s">
        <v>187</v>
      </c>
      <c r="Z3" s="3" t="s">
        <v>189</v>
      </c>
      <c r="AA3" s="2" t="s">
        <v>17</v>
      </c>
      <c r="AB3" s="2" t="s">
        <v>18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20</v>
      </c>
      <c r="AL3" s="2" t="s">
        <v>21</v>
      </c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9" t="s">
        <v>26</v>
      </c>
      <c r="T4" s="1" t="s">
        <v>27</v>
      </c>
      <c r="U4" s="1" t="s">
        <v>28</v>
      </c>
      <c r="V4" s="1" t="s">
        <v>29</v>
      </c>
      <c r="W4" s="1"/>
      <c r="X4" s="1" t="s">
        <v>191</v>
      </c>
      <c r="Y4" s="1" t="s">
        <v>188</v>
      </c>
      <c r="Z4" s="1"/>
      <c r="AA4" s="1"/>
      <c r="AB4" s="1"/>
      <c r="AC4" s="1" t="s">
        <v>25</v>
      </c>
      <c r="AD4" s="1" t="s">
        <v>30</v>
      </c>
      <c r="AE4" s="1" t="s">
        <v>31</v>
      </c>
      <c r="AF4" s="1" t="s">
        <v>32</v>
      </c>
      <c r="AG4" s="1" t="s">
        <v>33</v>
      </c>
      <c r="AH4" s="1" t="s">
        <v>34</v>
      </c>
      <c r="AI4" s="1" t="s">
        <v>35</v>
      </c>
      <c r="AJ4" s="1" t="s">
        <v>36</v>
      </c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SUM(E6:E500)</f>
        <v>65482.277999999984</v>
      </c>
      <c r="F5" s="4">
        <f>SUM(F6:F500)</f>
        <v>59510.152000000009</v>
      </c>
      <c r="G5" s="7"/>
      <c r="H5" s="1"/>
      <c r="I5" s="1"/>
      <c r="J5" s="1"/>
      <c r="K5" s="4">
        <f t="shared" ref="K5:X5" si="0">SUM(K6:K500)</f>
        <v>69715.121000000028</v>
      </c>
      <c r="L5" s="4">
        <f t="shared" si="0"/>
        <v>-4232.8429999999998</v>
      </c>
      <c r="M5" s="4">
        <f t="shared" si="0"/>
        <v>58537.174999999974</v>
      </c>
      <c r="N5" s="4">
        <f t="shared" si="0"/>
        <v>6945.103000000001</v>
      </c>
      <c r="O5" s="4">
        <f t="shared" si="0"/>
        <v>21967.918299560006</v>
      </c>
      <c r="P5" s="4">
        <f t="shared" si="0"/>
        <v>-2707.3999999999996</v>
      </c>
      <c r="Q5" s="4">
        <f t="shared" si="0"/>
        <v>1905</v>
      </c>
      <c r="R5" s="4">
        <f t="shared" si="0"/>
        <v>22442.49564844001</v>
      </c>
      <c r="S5" s="4">
        <f t="shared" si="0"/>
        <v>-956.06722689075627</v>
      </c>
      <c r="T5" s="4">
        <f t="shared" si="0"/>
        <v>15056.35513152</v>
      </c>
      <c r="U5" s="4">
        <f t="shared" si="0"/>
        <v>21836.157566080001</v>
      </c>
      <c r="V5" s="4">
        <f t="shared" si="0"/>
        <v>11707.434999999994</v>
      </c>
      <c r="W5" s="4">
        <f t="shared" si="0"/>
        <v>15421.9218944</v>
      </c>
      <c r="X5" s="4">
        <f t="shared" si="0"/>
        <v>23324.568956000003</v>
      </c>
      <c r="Y5" s="4"/>
      <c r="Z5" s="4"/>
      <c r="AA5" s="1"/>
      <c r="AB5" s="1"/>
      <c r="AC5" s="4">
        <f t="shared" ref="AC5:AJ5" si="1">SUM(AC6:AC500)</f>
        <v>12732.715199999999</v>
      </c>
      <c r="AD5" s="4">
        <f t="shared" si="1"/>
        <v>12494.580600000001</v>
      </c>
      <c r="AE5" s="4">
        <f t="shared" si="1"/>
        <v>12634.5728</v>
      </c>
      <c r="AF5" s="4">
        <f t="shared" si="1"/>
        <v>13008.235999999999</v>
      </c>
      <c r="AG5" s="4">
        <f t="shared" si="1"/>
        <v>13739.648800000001</v>
      </c>
      <c r="AH5" s="4">
        <f t="shared" si="1"/>
        <v>10910.368200000003</v>
      </c>
      <c r="AI5" s="4">
        <f t="shared" si="1"/>
        <v>9135.7952000000078</v>
      </c>
      <c r="AJ5" s="4">
        <f t="shared" si="1"/>
        <v>10198.597200000002</v>
      </c>
      <c r="AK5" s="1"/>
      <c r="AL5" s="4">
        <f>SUM(AL6:AL500)</f>
        <v>16550</v>
      </c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37</v>
      </c>
      <c r="B6" s="1" t="s">
        <v>38</v>
      </c>
      <c r="C6" s="1">
        <v>292.93299999999999</v>
      </c>
      <c r="D6" s="1">
        <v>6734.2460000000001</v>
      </c>
      <c r="E6" s="1">
        <v>1799.78</v>
      </c>
      <c r="F6" s="1">
        <v>1816.8879999999999</v>
      </c>
      <c r="G6" s="7">
        <v>1</v>
      </c>
      <c r="H6" s="1">
        <v>50</v>
      </c>
      <c r="I6" s="1" t="s">
        <v>39</v>
      </c>
      <c r="J6" s="1"/>
      <c r="K6" s="1">
        <v>1790.173</v>
      </c>
      <c r="L6" s="1">
        <f t="shared" ref="L6:L37" si="2">E6-K6</f>
        <v>9.6069999999999709</v>
      </c>
      <c r="M6" s="1">
        <f t="shared" ref="M6:M37" si="3">E6-N6</f>
        <v>1284.357</v>
      </c>
      <c r="N6" s="1">
        <v>515.423</v>
      </c>
      <c r="O6" s="1">
        <v>293.33396693999993</v>
      </c>
      <c r="P6" s="1"/>
      <c r="Q6" s="1"/>
      <c r="R6" s="1">
        <v>543.09023305999983</v>
      </c>
      <c r="S6" s="1"/>
      <c r="T6" s="1">
        <v>120.5374480000002</v>
      </c>
      <c r="U6" s="1">
        <v>482.14979200000067</v>
      </c>
      <c r="V6" s="1">
        <f t="shared" ref="V6:V37" si="4">M6/5</f>
        <v>256.87139999999999</v>
      </c>
      <c r="W6" s="5"/>
      <c r="X6" s="5">
        <f>W6+V6*$X$1</f>
        <v>351.91381799999999</v>
      </c>
      <c r="Y6" s="18"/>
      <c r="Z6" s="18"/>
      <c r="AA6" s="1">
        <f>(F6+O6+P6+Q6+R6+S6+T6+U6+X6)/V6</f>
        <v>14.045601254168428</v>
      </c>
      <c r="AB6" s="1">
        <f t="shared" ref="AB6:AB37" si="5">(F6+O6+P6+Q6+R6+S6+T6+U6)/V6</f>
        <v>12.675601254168429</v>
      </c>
      <c r="AC6" s="1">
        <v>307.10719999999998</v>
      </c>
      <c r="AD6" s="1">
        <v>314.50659999999999</v>
      </c>
      <c r="AE6" s="1">
        <v>330.37540000000001</v>
      </c>
      <c r="AF6" s="1">
        <v>323.59899999999999</v>
      </c>
      <c r="AG6" s="1">
        <v>328.35</v>
      </c>
      <c r="AH6" s="1">
        <v>238.09880000000001</v>
      </c>
      <c r="AI6" s="1">
        <v>226.9384</v>
      </c>
      <c r="AJ6" s="1">
        <v>306.53539999999998</v>
      </c>
      <c r="AK6" s="1"/>
      <c r="AL6" s="1">
        <f>ROUND(G6*X6,0)</f>
        <v>352</v>
      </c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40</v>
      </c>
      <c r="B7" s="1" t="s">
        <v>38</v>
      </c>
      <c r="C7" s="1">
        <v>1046.9880000000001</v>
      </c>
      <c r="D7" s="1">
        <v>5314.4160000000002</v>
      </c>
      <c r="E7" s="1">
        <v>1015.803</v>
      </c>
      <c r="F7" s="1">
        <v>2725.192</v>
      </c>
      <c r="G7" s="7">
        <v>1</v>
      </c>
      <c r="H7" s="1">
        <v>45</v>
      </c>
      <c r="I7" s="1" t="s">
        <v>39</v>
      </c>
      <c r="J7" s="1"/>
      <c r="K7" s="1">
        <v>1016.147</v>
      </c>
      <c r="L7" s="1">
        <f t="shared" si="2"/>
        <v>-0.34400000000005093</v>
      </c>
      <c r="M7" s="1">
        <f t="shared" si="3"/>
        <v>1015.803</v>
      </c>
      <c r="N7" s="1"/>
      <c r="O7" s="1">
        <v>163.78531679999989</v>
      </c>
      <c r="P7" s="1"/>
      <c r="Q7" s="1"/>
      <c r="R7" s="1">
        <v>303.2386831999998</v>
      </c>
      <c r="S7" s="1"/>
      <c r="T7" s="1"/>
      <c r="U7" s="1"/>
      <c r="V7" s="1">
        <f t="shared" si="4"/>
        <v>203.16059999999999</v>
      </c>
      <c r="W7" s="5"/>
      <c r="X7" s="5">
        <f t="shared" ref="X7:X70" si="6">W7</f>
        <v>0</v>
      </c>
      <c r="Y7" s="18"/>
      <c r="Z7" s="18"/>
      <c r="AA7" s="1">
        <f t="shared" ref="AA7:AA70" si="7">(F7+O7+P7+Q7+R7+S7+T7+U7+X7)/V7</f>
        <v>15.712771078644185</v>
      </c>
      <c r="AB7" s="1">
        <f t="shared" si="5"/>
        <v>15.712771078644185</v>
      </c>
      <c r="AC7" s="1">
        <v>215.5368</v>
      </c>
      <c r="AD7" s="1">
        <v>330.04300000000001</v>
      </c>
      <c r="AE7" s="1">
        <v>367.75</v>
      </c>
      <c r="AF7" s="1">
        <v>250.43219999999999</v>
      </c>
      <c r="AG7" s="1">
        <v>253.25299999999999</v>
      </c>
      <c r="AH7" s="1">
        <v>222.0264</v>
      </c>
      <c r="AI7" s="1">
        <v>176.40700000000001</v>
      </c>
      <c r="AJ7" s="1">
        <v>267.92</v>
      </c>
      <c r="AK7" s="1" t="s">
        <v>41</v>
      </c>
      <c r="AL7" s="1">
        <f t="shared" ref="AL7:AL70" si="8">ROUND(G7*X7,0)</f>
        <v>0</v>
      </c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42</v>
      </c>
      <c r="B8" s="1" t="s">
        <v>38</v>
      </c>
      <c r="C8" s="1">
        <v>2743.0810000000001</v>
      </c>
      <c r="D8" s="1">
        <v>8051.527</v>
      </c>
      <c r="E8" s="1">
        <v>3280.4989999999998</v>
      </c>
      <c r="F8" s="1">
        <v>4896.9709999999995</v>
      </c>
      <c r="G8" s="7">
        <v>1</v>
      </c>
      <c r="H8" s="1">
        <v>45</v>
      </c>
      <c r="I8" s="1" t="s">
        <v>39</v>
      </c>
      <c r="J8" s="1"/>
      <c r="K8" s="1">
        <v>3274.4830000000002</v>
      </c>
      <c r="L8" s="1">
        <f t="shared" si="2"/>
        <v>6.0159999999996217</v>
      </c>
      <c r="M8" s="1">
        <f t="shared" si="3"/>
        <v>2900.1329999999998</v>
      </c>
      <c r="N8" s="1">
        <v>380.36599999999999</v>
      </c>
      <c r="O8" s="1">
        <v>756.49518041999931</v>
      </c>
      <c r="P8" s="1"/>
      <c r="Q8" s="1"/>
      <c r="R8" s="1">
        <v>1400.6054195799991</v>
      </c>
      <c r="S8" s="1"/>
      <c r="T8" s="1"/>
      <c r="U8" s="1"/>
      <c r="V8" s="1">
        <f t="shared" si="4"/>
        <v>580.02659999999992</v>
      </c>
      <c r="W8" s="5"/>
      <c r="X8" s="5">
        <f t="shared" ref="X8:X10" si="9">W8+V8*$X$1</f>
        <v>794.63644199999999</v>
      </c>
      <c r="Y8" s="18"/>
      <c r="Z8" s="18"/>
      <c r="AA8" s="1">
        <f t="shared" si="7"/>
        <v>13.531634656065771</v>
      </c>
      <c r="AB8" s="1">
        <f t="shared" si="5"/>
        <v>12.161634656065772</v>
      </c>
      <c r="AC8" s="1">
        <v>625.75400000000002</v>
      </c>
      <c r="AD8" s="1">
        <v>800.88400000000001</v>
      </c>
      <c r="AE8" s="1">
        <v>833.0154</v>
      </c>
      <c r="AF8" s="1">
        <v>751.53280000000007</v>
      </c>
      <c r="AG8" s="1">
        <v>847.03899999999999</v>
      </c>
      <c r="AH8" s="1">
        <v>565.60299999999995</v>
      </c>
      <c r="AI8" s="1">
        <v>418.56079999999997</v>
      </c>
      <c r="AJ8" s="1">
        <v>617.84820000000002</v>
      </c>
      <c r="AK8" s="1" t="s">
        <v>41</v>
      </c>
      <c r="AL8" s="1">
        <f t="shared" si="8"/>
        <v>795</v>
      </c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" t="s">
        <v>43</v>
      </c>
      <c r="B9" s="1" t="s">
        <v>44</v>
      </c>
      <c r="C9" s="1">
        <v>20</v>
      </c>
      <c r="D9" s="1">
        <v>21</v>
      </c>
      <c r="E9" s="1">
        <v>11</v>
      </c>
      <c r="F9" s="1">
        <v>1</v>
      </c>
      <c r="G9" s="7">
        <v>0.4</v>
      </c>
      <c r="H9" s="1">
        <v>50</v>
      </c>
      <c r="I9" s="1" t="s">
        <v>39</v>
      </c>
      <c r="J9" s="1"/>
      <c r="K9" s="1">
        <v>18</v>
      </c>
      <c r="L9" s="1">
        <f t="shared" si="2"/>
        <v>-7</v>
      </c>
      <c r="M9" s="1">
        <f t="shared" si="3"/>
        <v>11</v>
      </c>
      <c r="N9" s="1"/>
      <c r="O9" s="1">
        <v>0</v>
      </c>
      <c r="P9" s="1"/>
      <c r="Q9" s="1"/>
      <c r="R9" s="1"/>
      <c r="S9" s="1"/>
      <c r="T9" s="1">
        <v>15</v>
      </c>
      <c r="U9" s="1"/>
      <c r="V9" s="1">
        <f t="shared" si="4"/>
        <v>2.2000000000000002</v>
      </c>
      <c r="W9" s="5">
        <f t="shared" ref="W9:W14" si="10">12*V9-U9-T9-S9-R9-Q9-P9-O9-F9</f>
        <v>10.400000000000002</v>
      </c>
      <c r="X9" s="5">
        <f t="shared" si="9"/>
        <v>13.414000000000003</v>
      </c>
      <c r="Y9" s="18"/>
      <c r="Z9" s="18"/>
      <c r="AA9" s="1">
        <f t="shared" si="7"/>
        <v>13.37</v>
      </c>
      <c r="AB9" s="1">
        <f t="shared" si="5"/>
        <v>7.2727272727272725</v>
      </c>
      <c r="AC9" s="1">
        <v>2</v>
      </c>
      <c r="AD9" s="1">
        <v>0</v>
      </c>
      <c r="AE9" s="1">
        <v>0.2</v>
      </c>
      <c r="AF9" s="1">
        <v>2.4</v>
      </c>
      <c r="AG9" s="1">
        <v>1.8</v>
      </c>
      <c r="AH9" s="1">
        <v>-0.2</v>
      </c>
      <c r="AI9" s="1">
        <v>0.2</v>
      </c>
      <c r="AJ9" s="1">
        <v>1.2</v>
      </c>
      <c r="AK9" s="1" t="s">
        <v>45</v>
      </c>
      <c r="AL9" s="1">
        <f t="shared" si="8"/>
        <v>5</v>
      </c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46</v>
      </c>
      <c r="B10" s="1" t="s">
        <v>44</v>
      </c>
      <c r="C10" s="1">
        <v>-219.96</v>
      </c>
      <c r="D10" s="1">
        <v>18106.96</v>
      </c>
      <c r="E10" s="1">
        <v>3245</v>
      </c>
      <c r="F10" s="1">
        <v>602</v>
      </c>
      <c r="G10" s="7">
        <v>0.45</v>
      </c>
      <c r="H10" s="1">
        <v>45</v>
      </c>
      <c r="I10" s="1" t="s">
        <v>39</v>
      </c>
      <c r="J10" s="1"/>
      <c r="K10" s="1">
        <v>3458</v>
      </c>
      <c r="L10" s="1">
        <f t="shared" si="2"/>
        <v>-213</v>
      </c>
      <c r="M10" s="1">
        <f t="shared" si="3"/>
        <v>3203</v>
      </c>
      <c r="N10" s="1">
        <v>42</v>
      </c>
      <c r="O10" s="1">
        <v>1148.47011552</v>
      </c>
      <c r="P10" s="1"/>
      <c r="Q10" s="1"/>
      <c r="R10" s="1">
        <v>2126.3234844799999</v>
      </c>
      <c r="S10" s="1"/>
      <c r="T10" s="1">
        <v>400</v>
      </c>
      <c r="U10" s="1">
        <v>1600</v>
      </c>
      <c r="V10" s="1">
        <f t="shared" si="4"/>
        <v>640.6</v>
      </c>
      <c r="W10" s="5">
        <f t="shared" si="10"/>
        <v>1810.4064000000008</v>
      </c>
      <c r="X10" s="5">
        <f t="shared" si="9"/>
        <v>2688.0284000000011</v>
      </c>
      <c r="Y10" s="18"/>
      <c r="Z10" s="18"/>
      <c r="AA10" s="1">
        <f t="shared" si="7"/>
        <v>13.37</v>
      </c>
      <c r="AB10" s="1">
        <f t="shared" si="5"/>
        <v>9.1738894786137983</v>
      </c>
      <c r="AC10" s="1">
        <v>845.8</v>
      </c>
      <c r="AD10" s="1">
        <v>569</v>
      </c>
      <c r="AE10" s="1">
        <v>530.86719999999991</v>
      </c>
      <c r="AF10" s="1">
        <v>514.46719999999993</v>
      </c>
      <c r="AG10" s="1">
        <v>409.86599999999999</v>
      </c>
      <c r="AH10" s="1">
        <v>437.2</v>
      </c>
      <c r="AI10" s="1">
        <v>412</v>
      </c>
      <c r="AJ10" s="1">
        <v>405</v>
      </c>
      <c r="AK10" s="1"/>
      <c r="AL10" s="1">
        <f t="shared" si="8"/>
        <v>1210</v>
      </c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47</v>
      </c>
      <c r="B11" s="1" t="s">
        <v>44</v>
      </c>
      <c r="C11" s="1">
        <v>2700.2739999999999</v>
      </c>
      <c r="D11" s="1">
        <v>18649.345000000001</v>
      </c>
      <c r="E11" s="1">
        <v>2680</v>
      </c>
      <c r="F11" s="1">
        <v>1844</v>
      </c>
      <c r="G11" s="7">
        <v>0.45</v>
      </c>
      <c r="H11" s="1">
        <v>45</v>
      </c>
      <c r="I11" s="1" t="s">
        <v>39</v>
      </c>
      <c r="J11" s="1"/>
      <c r="K11" s="1">
        <v>2749</v>
      </c>
      <c r="L11" s="1">
        <f t="shared" si="2"/>
        <v>-69</v>
      </c>
      <c r="M11" s="1">
        <f t="shared" si="3"/>
        <v>2620</v>
      </c>
      <c r="N11" s="1">
        <v>60</v>
      </c>
      <c r="O11" s="1">
        <v>1499.8603632600009</v>
      </c>
      <c r="P11" s="1"/>
      <c r="Q11" s="1"/>
      <c r="R11" s="1">
        <v>2776.9014367400009</v>
      </c>
      <c r="S11" s="1"/>
      <c r="T11" s="1">
        <v>226.0319999999999</v>
      </c>
      <c r="U11" s="1">
        <v>904.12799999999993</v>
      </c>
      <c r="V11" s="1">
        <f t="shared" si="4"/>
        <v>524</v>
      </c>
      <c r="W11" s="5"/>
      <c r="X11" s="5">
        <f t="shared" si="6"/>
        <v>0</v>
      </c>
      <c r="Y11" s="18"/>
      <c r="Z11" s="18"/>
      <c r="AA11" s="1">
        <f t="shared" si="7"/>
        <v>13.837637022900767</v>
      </c>
      <c r="AB11" s="1">
        <f t="shared" si="5"/>
        <v>13.837637022900767</v>
      </c>
      <c r="AC11" s="1">
        <v>664.8</v>
      </c>
      <c r="AD11" s="1">
        <v>660.6</v>
      </c>
      <c r="AE11" s="1">
        <v>572.67619999999999</v>
      </c>
      <c r="AF11" s="1">
        <v>553.87619999999993</v>
      </c>
      <c r="AG11" s="1">
        <v>632.423</v>
      </c>
      <c r="AH11" s="1">
        <v>674.2</v>
      </c>
      <c r="AI11" s="1">
        <v>625.20000000000005</v>
      </c>
      <c r="AJ11" s="1">
        <v>641.4</v>
      </c>
      <c r="AK11" s="1"/>
      <c r="AL11" s="1">
        <f t="shared" si="8"/>
        <v>0</v>
      </c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48</v>
      </c>
      <c r="B12" s="1" t="s">
        <v>44</v>
      </c>
      <c r="C12" s="1">
        <v>62</v>
      </c>
      <c r="D12" s="1">
        <v>373</v>
      </c>
      <c r="E12" s="1">
        <v>111</v>
      </c>
      <c r="F12" s="1"/>
      <c r="G12" s="7">
        <v>0.17</v>
      </c>
      <c r="H12" s="1">
        <v>180</v>
      </c>
      <c r="I12" s="1" t="s">
        <v>39</v>
      </c>
      <c r="J12" s="1"/>
      <c r="K12" s="1">
        <v>112</v>
      </c>
      <c r="L12" s="1">
        <f t="shared" si="2"/>
        <v>-1</v>
      </c>
      <c r="M12" s="1">
        <f t="shared" si="3"/>
        <v>111</v>
      </c>
      <c r="N12" s="1"/>
      <c r="O12" s="1">
        <v>47.975759999999987</v>
      </c>
      <c r="P12" s="1"/>
      <c r="Q12" s="1"/>
      <c r="R12" s="1">
        <v>88.824239999999989</v>
      </c>
      <c r="S12" s="1"/>
      <c r="T12" s="1">
        <v>88.200000000000045</v>
      </c>
      <c r="U12" s="1"/>
      <c r="V12" s="1">
        <f t="shared" si="4"/>
        <v>22.2</v>
      </c>
      <c r="W12" s="5">
        <f t="shared" si="10"/>
        <v>41.399999999999956</v>
      </c>
      <c r="X12" s="5">
        <f>W12+V12*$X$1</f>
        <v>71.813999999999965</v>
      </c>
      <c r="Y12" s="18"/>
      <c r="Z12" s="18"/>
      <c r="AA12" s="1">
        <f t="shared" si="7"/>
        <v>13.37</v>
      </c>
      <c r="AB12" s="1">
        <f t="shared" si="5"/>
        <v>10.135135135135137</v>
      </c>
      <c r="AC12" s="1">
        <v>26</v>
      </c>
      <c r="AD12" s="1">
        <v>20.399999999999999</v>
      </c>
      <c r="AE12" s="1">
        <v>9.4</v>
      </c>
      <c r="AF12" s="1">
        <v>17.2</v>
      </c>
      <c r="AG12" s="1">
        <v>19.600000000000001</v>
      </c>
      <c r="AH12" s="1">
        <v>12.4</v>
      </c>
      <c r="AI12" s="1">
        <v>8.6</v>
      </c>
      <c r="AJ12" s="1">
        <v>13.8</v>
      </c>
      <c r="AK12" s="1"/>
      <c r="AL12" s="1">
        <f t="shared" si="8"/>
        <v>12</v>
      </c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49</v>
      </c>
      <c r="B13" s="1" t="s">
        <v>44</v>
      </c>
      <c r="C13" s="1">
        <v>56</v>
      </c>
      <c r="D13" s="1">
        <v>146</v>
      </c>
      <c r="E13" s="1">
        <v>47</v>
      </c>
      <c r="F13" s="1">
        <v>44</v>
      </c>
      <c r="G13" s="7">
        <v>0.3</v>
      </c>
      <c r="H13" s="1">
        <v>40</v>
      </c>
      <c r="I13" s="10" t="s">
        <v>50</v>
      </c>
      <c r="J13" s="1"/>
      <c r="K13" s="1">
        <v>49</v>
      </c>
      <c r="L13" s="1">
        <f t="shared" si="2"/>
        <v>-2</v>
      </c>
      <c r="M13" s="1">
        <f t="shared" si="3"/>
        <v>47</v>
      </c>
      <c r="N13" s="1"/>
      <c r="O13" s="1">
        <v>0</v>
      </c>
      <c r="P13" s="1"/>
      <c r="Q13" s="1"/>
      <c r="R13" s="1"/>
      <c r="S13" s="1"/>
      <c r="T13" s="1">
        <v>13</v>
      </c>
      <c r="U13" s="1"/>
      <c r="V13" s="1">
        <f t="shared" si="4"/>
        <v>9.4</v>
      </c>
      <c r="W13" s="5">
        <f t="shared" si="10"/>
        <v>55.800000000000011</v>
      </c>
      <c r="X13" s="5">
        <f>W13*1.3</f>
        <v>72.54000000000002</v>
      </c>
      <c r="Y13" s="18"/>
      <c r="Z13" s="18"/>
      <c r="AA13" s="1">
        <f t="shared" si="7"/>
        <v>13.78085106382979</v>
      </c>
      <c r="AB13" s="1">
        <f t="shared" si="5"/>
        <v>6.0638297872340425</v>
      </c>
      <c r="AC13" s="1">
        <v>6.8</v>
      </c>
      <c r="AD13" s="1">
        <v>5.8</v>
      </c>
      <c r="AE13" s="1">
        <v>9.1999999999999993</v>
      </c>
      <c r="AF13" s="1">
        <v>8.6</v>
      </c>
      <c r="AG13" s="1">
        <v>7</v>
      </c>
      <c r="AH13" s="1">
        <v>4</v>
      </c>
      <c r="AI13" s="1">
        <v>3</v>
      </c>
      <c r="AJ13" s="1">
        <v>6.2</v>
      </c>
      <c r="AK13" s="1"/>
      <c r="AL13" s="1">
        <f t="shared" si="8"/>
        <v>22</v>
      </c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51</v>
      </c>
      <c r="B14" s="1" t="s">
        <v>44</v>
      </c>
      <c r="C14" s="1">
        <v>105</v>
      </c>
      <c r="D14" s="1">
        <v>517</v>
      </c>
      <c r="E14" s="1">
        <v>167</v>
      </c>
      <c r="F14" s="1">
        <v>94</v>
      </c>
      <c r="G14" s="7">
        <v>0.17</v>
      </c>
      <c r="H14" s="1">
        <v>180</v>
      </c>
      <c r="I14" s="1" t="s">
        <v>39</v>
      </c>
      <c r="J14" s="1"/>
      <c r="K14" s="1">
        <v>169</v>
      </c>
      <c r="L14" s="1">
        <f t="shared" si="2"/>
        <v>-2</v>
      </c>
      <c r="M14" s="1">
        <f t="shared" si="3"/>
        <v>167</v>
      </c>
      <c r="N14" s="1"/>
      <c r="O14" s="1">
        <v>76.158012000000099</v>
      </c>
      <c r="P14" s="1"/>
      <c r="Q14" s="1"/>
      <c r="R14" s="1">
        <v>141.00198800000021</v>
      </c>
      <c r="S14" s="1"/>
      <c r="T14" s="1">
        <v>66.399999999999977</v>
      </c>
      <c r="U14" s="1"/>
      <c r="V14" s="1">
        <f t="shared" si="4"/>
        <v>33.4</v>
      </c>
      <c r="W14" s="5">
        <f t="shared" si="10"/>
        <v>23.239999999999668</v>
      </c>
      <c r="X14" s="5">
        <f>W14+V14*$X$1</f>
        <v>68.997999999999678</v>
      </c>
      <c r="Y14" s="18"/>
      <c r="Z14" s="18"/>
      <c r="AA14" s="1">
        <f t="shared" si="7"/>
        <v>13.370000000000001</v>
      </c>
      <c r="AB14" s="1">
        <f t="shared" si="5"/>
        <v>11.304191616766476</v>
      </c>
      <c r="AC14" s="1">
        <v>40.6</v>
      </c>
      <c r="AD14" s="1">
        <v>38.6</v>
      </c>
      <c r="AE14" s="1">
        <v>32.799999999999997</v>
      </c>
      <c r="AF14" s="1">
        <v>33.200000000000003</v>
      </c>
      <c r="AG14" s="1">
        <v>32.799999999999997</v>
      </c>
      <c r="AH14" s="1">
        <v>30.2</v>
      </c>
      <c r="AI14" s="1">
        <v>29.8</v>
      </c>
      <c r="AJ14" s="1">
        <v>18.600000000000001</v>
      </c>
      <c r="AK14" s="1"/>
      <c r="AL14" s="1">
        <f t="shared" si="8"/>
        <v>12</v>
      </c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1" t="s">
        <v>52</v>
      </c>
      <c r="B15" s="11" t="s">
        <v>44</v>
      </c>
      <c r="C15" s="11">
        <v>-7</v>
      </c>
      <c r="D15" s="11">
        <v>7</v>
      </c>
      <c r="E15" s="11">
        <v>-3</v>
      </c>
      <c r="F15" s="11"/>
      <c r="G15" s="12">
        <v>0</v>
      </c>
      <c r="H15" s="11"/>
      <c r="I15" s="11" t="s">
        <v>53</v>
      </c>
      <c r="J15" s="11"/>
      <c r="K15" s="11"/>
      <c r="L15" s="11">
        <f t="shared" si="2"/>
        <v>-3</v>
      </c>
      <c r="M15" s="11">
        <f t="shared" si="3"/>
        <v>-3</v>
      </c>
      <c r="N15" s="11"/>
      <c r="O15" s="11">
        <v>0</v>
      </c>
      <c r="P15" s="11"/>
      <c r="Q15" s="11"/>
      <c r="R15" s="11"/>
      <c r="S15" s="11"/>
      <c r="T15" s="11"/>
      <c r="U15" s="11"/>
      <c r="V15" s="11">
        <f t="shared" si="4"/>
        <v>-0.6</v>
      </c>
      <c r="W15" s="13"/>
      <c r="X15" s="5">
        <f t="shared" si="6"/>
        <v>0</v>
      </c>
      <c r="Y15" s="18"/>
      <c r="Z15" s="18"/>
      <c r="AA15" s="1">
        <f t="shared" si="7"/>
        <v>0</v>
      </c>
      <c r="AB15" s="11">
        <f t="shared" si="5"/>
        <v>0</v>
      </c>
      <c r="AC15" s="11">
        <v>-0.4</v>
      </c>
      <c r="AD15" s="11">
        <v>-0.2</v>
      </c>
      <c r="AE15" s="11">
        <v>0</v>
      </c>
      <c r="AF15" s="11">
        <v>0.4</v>
      </c>
      <c r="AG15" s="11">
        <v>0</v>
      </c>
      <c r="AH15" s="11">
        <v>0.4</v>
      </c>
      <c r="AI15" s="11">
        <v>1.8</v>
      </c>
      <c r="AJ15" s="11">
        <v>7.8</v>
      </c>
      <c r="AK15" s="11" t="s">
        <v>54</v>
      </c>
      <c r="AL15" s="1">
        <f t="shared" si="8"/>
        <v>0</v>
      </c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55</v>
      </c>
      <c r="B16" s="1" t="s">
        <v>38</v>
      </c>
      <c r="C16" s="1">
        <v>4057.8429999999998</v>
      </c>
      <c r="D16" s="1">
        <v>13109.709000000001</v>
      </c>
      <c r="E16" s="1">
        <v>3759.4879999999998</v>
      </c>
      <c r="F16" s="1">
        <v>6116.56</v>
      </c>
      <c r="G16" s="7">
        <v>1</v>
      </c>
      <c r="H16" s="1">
        <v>70</v>
      </c>
      <c r="I16" s="10" t="s">
        <v>50</v>
      </c>
      <c r="J16" s="1"/>
      <c r="K16" s="1">
        <v>3621.8510000000001</v>
      </c>
      <c r="L16" s="1">
        <f t="shared" si="2"/>
        <v>137.63699999999972</v>
      </c>
      <c r="M16" s="1">
        <f t="shared" si="3"/>
        <v>3379.3669999999997</v>
      </c>
      <c r="N16" s="1">
        <v>380.12099999999998</v>
      </c>
      <c r="O16" s="1">
        <v>1809.843800000001</v>
      </c>
      <c r="P16" s="1"/>
      <c r="Q16" s="1"/>
      <c r="R16" s="1">
        <v>832.52814800000067</v>
      </c>
      <c r="S16" s="1"/>
      <c r="T16" s="1">
        <v>0</v>
      </c>
      <c r="U16" s="1"/>
      <c r="V16" s="1">
        <f t="shared" si="4"/>
        <v>675.87339999999995</v>
      </c>
      <c r="W16" s="5"/>
      <c r="X16" s="5">
        <f>W16*1.3</f>
        <v>0</v>
      </c>
      <c r="Y16" s="18"/>
      <c r="Z16" s="18"/>
      <c r="AA16" s="1">
        <f t="shared" si="7"/>
        <v>12.959426940015694</v>
      </c>
      <c r="AB16" s="1">
        <f t="shared" si="5"/>
        <v>12.959426940015694</v>
      </c>
      <c r="AC16" s="1">
        <v>648.81240000000003</v>
      </c>
      <c r="AD16" s="1">
        <v>873.28039999999999</v>
      </c>
      <c r="AE16" s="1">
        <v>934.93299999999999</v>
      </c>
      <c r="AF16" s="1">
        <v>830.74639999999999</v>
      </c>
      <c r="AG16" s="1">
        <v>811.17699999999991</v>
      </c>
      <c r="AH16" s="1">
        <v>526.53639999999996</v>
      </c>
      <c r="AI16" s="1">
        <v>424.87459999999999</v>
      </c>
      <c r="AJ16" s="1">
        <v>573.029</v>
      </c>
      <c r="AK16" s="1" t="s">
        <v>41</v>
      </c>
      <c r="AL16" s="1">
        <f t="shared" si="8"/>
        <v>0</v>
      </c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56</v>
      </c>
      <c r="B17" s="1" t="s">
        <v>38</v>
      </c>
      <c r="C17" s="1">
        <v>1712.2349999999999</v>
      </c>
      <c r="D17" s="1">
        <v>12046.713</v>
      </c>
      <c r="E17" s="1">
        <v>3402.4969999999998</v>
      </c>
      <c r="F17" s="1">
        <v>4101.6869999999999</v>
      </c>
      <c r="G17" s="7">
        <v>1</v>
      </c>
      <c r="H17" s="1">
        <v>50</v>
      </c>
      <c r="I17" s="1" t="s">
        <v>39</v>
      </c>
      <c r="J17" s="1"/>
      <c r="K17" s="1">
        <v>3462.634</v>
      </c>
      <c r="L17" s="1">
        <f t="shared" si="2"/>
        <v>-60.137000000000171</v>
      </c>
      <c r="M17" s="1">
        <f t="shared" si="3"/>
        <v>3119.152</v>
      </c>
      <c r="N17" s="1">
        <v>283.34500000000003</v>
      </c>
      <c r="O17" s="1">
        <v>1282.9363512</v>
      </c>
      <c r="P17" s="1"/>
      <c r="Q17" s="1"/>
      <c r="R17" s="1">
        <v>2375.2796488000008</v>
      </c>
      <c r="S17" s="1"/>
      <c r="T17" s="1">
        <v>120</v>
      </c>
      <c r="U17" s="1">
        <v>480</v>
      </c>
      <c r="V17" s="1">
        <f t="shared" si="4"/>
        <v>623.83040000000005</v>
      </c>
      <c r="W17" s="5"/>
      <c r="X17" s="5">
        <f t="shared" ref="X17:X18" si="11">W17+V17*$X$1</f>
        <v>854.64764800000012</v>
      </c>
      <c r="Y17" s="18"/>
      <c r="Z17" s="18"/>
      <c r="AA17" s="1">
        <f t="shared" si="7"/>
        <v>14.770922750798935</v>
      </c>
      <c r="AB17" s="1">
        <f t="shared" si="5"/>
        <v>13.400922750798934</v>
      </c>
      <c r="AC17" s="1">
        <v>608.67060000000004</v>
      </c>
      <c r="AD17" s="1">
        <v>760.83500000000004</v>
      </c>
      <c r="AE17" s="1">
        <v>778.13599999999997</v>
      </c>
      <c r="AF17" s="1">
        <v>651.7174</v>
      </c>
      <c r="AG17" s="1">
        <v>634.69460000000004</v>
      </c>
      <c r="AH17" s="1">
        <v>404.84399999999988</v>
      </c>
      <c r="AI17" s="1">
        <v>323.94799999999998</v>
      </c>
      <c r="AJ17" s="1">
        <v>431.13780000000008</v>
      </c>
      <c r="AK17" s="1" t="s">
        <v>41</v>
      </c>
      <c r="AL17" s="1">
        <f t="shared" si="8"/>
        <v>855</v>
      </c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57</v>
      </c>
      <c r="B18" s="1" t="s">
        <v>38</v>
      </c>
      <c r="C18" s="1">
        <v>542.51400000000001</v>
      </c>
      <c r="D18" s="1">
        <v>323.32900000000001</v>
      </c>
      <c r="E18" s="1">
        <v>245.66800000000001</v>
      </c>
      <c r="F18" s="1">
        <v>354.55599999999998</v>
      </c>
      <c r="G18" s="7">
        <v>1</v>
      </c>
      <c r="H18" s="1">
        <v>60</v>
      </c>
      <c r="I18" s="1" t="s">
        <v>39</v>
      </c>
      <c r="J18" s="1"/>
      <c r="K18" s="1">
        <v>235.15</v>
      </c>
      <c r="L18" s="1">
        <f t="shared" si="2"/>
        <v>10.518000000000001</v>
      </c>
      <c r="M18" s="1">
        <f t="shared" si="3"/>
        <v>245.66800000000001</v>
      </c>
      <c r="N18" s="1"/>
      <c r="O18" s="1">
        <v>19.606599999999961</v>
      </c>
      <c r="P18" s="1"/>
      <c r="Q18" s="1"/>
      <c r="R18" s="1"/>
      <c r="S18" s="1"/>
      <c r="T18" s="1">
        <v>32.23620000000011</v>
      </c>
      <c r="U18" s="1">
        <v>20</v>
      </c>
      <c r="V18" s="1">
        <f t="shared" si="4"/>
        <v>49.133600000000001</v>
      </c>
      <c r="W18" s="5">
        <f t="shared" ref="W18" si="12">12*V18-U18-T18-S18-R18-Q18-P18-O18-F18</f>
        <v>163.20440000000002</v>
      </c>
      <c r="X18" s="5">
        <f t="shared" si="11"/>
        <v>230.51743200000004</v>
      </c>
      <c r="Y18" s="18"/>
      <c r="Z18" s="18"/>
      <c r="AA18" s="1">
        <f t="shared" si="7"/>
        <v>13.370000000000001</v>
      </c>
      <c r="AB18" s="1">
        <f t="shared" si="5"/>
        <v>8.6783545272481568</v>
      </c>
      <c r="AC18" s="1">
        <v>48.952800000000003</v>
      </c>
      <c r="AD18" s="1">
        <v>44.703800000000001</v>
      </c>
      <c r="AE18" s="1">
        <v>25.674399999999999</v>
      </c>
      <c r="AF18" s="1">
        <v>21.1402</v>
      </c>
      <c r="AG18" s="1">
        <v>46.889800000000001</v>
      </c>
      <c r="AH18" s="1">
        <v>48.151600000000002</v>
      </c>
      <c r="AI18" s="1">
        <v>42.8626</v>
      </c>
      <c r="AJ18" s="1">
        <v>21.7056</v>
      </c>
      <c r="AK18" s="1"/>
      <c r="AL18" s="1">
        <f t="shared" si="8"/>
        <v>231</v>
      </c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1" t="s">
        <v>58</v>
      </c>
      <c r="B19" s="11" t="s">
        <v>38</v>
      </c>
      <c r="C19" s="11">
        <v>-2.4849999999999999</v>
      </c>
      <c r="D19" s="11">
        <v>2.4849999999999999</v>
      </c>
      <c r="E19" s="14">
        <v>-0.52</v>
      </c>
      <c r="F19" s="11"/>
      <c r="G19" s="12">
        <v>0</v>
      </c>
      <c r="H19" s="11"/>
      <c r="I19" s="11" t="s">
        <v>59</v>
      </c>
      <c r="J19" s="11" t="s">
        <v>60</v>
      </c>
      <c r="K19" s="11"/>
      <c r="L19" s="11">
        <f t="shared" si="2"/>
        <v>-0.52</v>
      </c>
      <c r="M19" s="11">
        <f t="shared" si="3"/>
        <v>-0.52</v>
      </c>
      <c r="N19" s="11"/>
      <c r="O19" s="11">
        <v>0</v>
      </c>
      <c r="P19" s="11"/>
      <c r="Q19" s="11"/>
      <c r="R19" s="11"/>
      <c r="S19" s="11"/>
      <c r="T19" s="11"/>
      <c r="U19" s="11"/>
      <c r="V19" s="11">
        <f t="shared" si="4"/>
        <v>-0.10400000000000001</v>
      </c>
      <c r="W19" s="13"/>
      <c r="X19" s="5">
        <f t="shared" si="6"/>
        <v>0</v>
      </c>
      <c r="Y19" s="18"/>
      <c r="Z19" s="18"/>
      <c r="AA19" s="1">
        <f t="shared" si="7"/>
        <v>0</v>
      </c>
      <c r="AB19" s="11">
        <f t="shared" si="5"/>
        <v>0</v>
      </c>
      <c r="AC19" s="11">
        <v>-0.104</v>
      </c>
      <c r="AD19" s="11">
        <v>0.42499999999999999</v>
      </c>
      <c r="AE19" s="11">
        <v>0.42499999999999999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/>
      <c r="AL19" s="1">
        <f t="shared" si="8"/>
        <v>0</v>
      </c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1" t="s">
        <v>61</v>
      </c>
      <c r="B20" s="11" t="s">
        <v>38</v>
      </c>
      <c r="C20" s="11"/>
      <c r="D20" s="11"/>
      <c r="E20" s="11"/>
      <c r="F20" s="11"/>
      <c r="G20" s="12">
        <v>0</v>
      </c>
      <c r="H20" s="11"/>
      <c r="I20" s="11" t="s">
        <v>39</v>
      </c>
      <c r="J20" s="11"/>
      <c r="K20" s="11"/>
      <c r="L20" s="11">
        <f t="shared" si="2"/>
        <v>0</v>
      </c>
      <c r="M20" s="11">
        <f t="shared" si="3"/>
        <v>0</v>
      </c>
      <c r="N20" s="11"/>
      <c r="O20" s="11">
        <v>0</v>
      </c>
      <c r="P20" s="11"/>
      <c r="Q20" s="11"/>
      <c r="R20" s="11"/>
      <c r="S20" s="11"/>
      <c r="T20" s="11"/>
      <c r="U20" s="11"/>
      <c r="V20" s="11">
        <f t="shared" si="4"/>
        <v>0</v>
      </c>
      <c r="W20" s="13"/>
      <c r="X20" s="5">
        <f t="shared" si="6"/>
        <v>0</v>
      </c>
      <c r="Y20" s="18"/>
      <c r="Z20" s="18"/>
      <c r="AA20" s="1" t="e">
        <f t="shared" si="7"/>
        <v>#DIV/0!</v>
      </c>
      <c r="AB20" s="11" t="e">
        <f t="shared" si="5"/>
        <v>#DIV/0!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 t="s">
        <v>62</v>
      </c>
      <c r="AL20" s="1">
        <f t="shared" si="8"/>
        <v>0</v>
      </c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63</v>
      </c>
      <c r="B21" s="1" t="s">
        <v>38</v>
      </c>
      <c r="C21" s="1">
        <v>5.1820000000000004</v>
      </c>
      <c r="D21" s="1">
        <v>14.718</v>
      </c>
      <c r="E21" s="1">
        <v>4.1120000000000001</v>
      </c>
      <c r="F21" s="1">
        <v>13.718999999999999</v>
      </c>
      <c r="G21" s="7">
        <v>1</v>
      </c>
      <c r="H21" s="1">
        <v>180</v>
      </c>
      <c r="I21" s="1" t="s">
        <v>39</v>
      </c>
      <c r="J21" s="1"/>
      <c r="K21" s="1">
        <v>4.3600000000000003</v>
      </c>
      <c r="L21" s="1">
        <f t="shared" si="2"/>
        <v>-0.24800000000000022</v>
      </c>
      <c r="M21" s="1">
        <f t="shared" si="3"/>
        <v>4.1120000000000001</v>
      </c>
      <c r="N21" s="1"/>
      <c r="O21" s="1">
        <v>0</v>
      </c>
      <c r="P21" s="1"/>
      <c r="Q21" s="1"/>
      <c r="R21" s="1"/>
      <c r="S21" s="1"/>
      <c r="T21" s="1"/>
      <c r="U21" s="1"/>
      <c r="V21" s="1">
        <f t="shared" si="4"/>
        <v>0.82240000000000002</v>
      </c>
      <c r="W21" s="5"/>
      <c r="X21" s="5">
        <f t="shared" si="6"/>
        <v>0</v>
      </c>
      <c r="Y21" s="18"/>
      <c r="Z21" s="18"/>
      <c r="AA21" s="1">
        <f t="shared" si="7"/>
        <v>16.681663424124512</v>
      </c>
      <c r="AB21" s="1">
        <f t="shared" si="5"/>
        <v>16.681663424124512</v>
      </c>
      <c r="AC21" s="1">
        <v>0.69000000000000006</v>
      </c>
      <c r="AD21" s="1">
        <v>0.41899999999999998</v>
      </c>
      <c r="AE21" s="1">
        <v>0.92219999999999991</v>
      </c>
      <c r="AF21" s="1">
        <v>1.4359999999999999</v>
      </c>
      <c r="AG21" s="1">
        <v>1.0902000000000001</v>
      </c>
      <c r="AH21" s="1">
        <v>0.64900000000000002</v>
      </c>
      <c r="AI21" s="1">
        <v>0.70140000000000002</v>
      </c>
      <c r="AJ21" s="1">
        <v>0.75480000000000003</v>
      </c>
      <c r="AK21" s="1"/>
      <c r="AL21" s="1">
        <f t="shared" si="8"/>
        <v>0</v>
      </c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65</v>
      </c>
      <c r="B22" s="1" t="s">
        <v>38</v>
      </c>
      <c r="C22" s="1">
        <v>2428.462</v>
      </c>
      <c r="D22" s="1">
        <v>15744.337</v>
      </c>
      <c r="E22" s="1">
        <v>4049.1320000000001</v>
      </c>
      <c r="F22" s="1">
        <v>4427.7759999999998</v>
      </c>
      <c r="G22" s="7">
        <v>1</v>
      </c>
      <c r="H22" s="1">
        <v>60</v>
      </c>
      <c r="I22" s="1" t="s">
        <v>39</v>
      </c>
      <c r="J22" s="1"/>
      <c r="K22" s="1">
        <v>3942.0309999999999</v>
      </c>
      <c r="L22" s="1">
        <f t="shared" si="2"/>
        <v>107.10100000000011</v>
      </c>
      <c r="M22" s="1">
        <f t="shared" si="3"/>
        <v>3619.4009999999998</v>
      </c>
      <c r="N22" s="1">
        <v>429.73099999999999</v>
      </c>
      <c r="O22" s="1">
        <v>561.38751396000021</v>
      </c>
      <c r="P22" s="1"/>
      <c r="Q22" s="1"/>
      <c r="R22" s="1">
        <v>1039.37528604</v>
      </c>
      <c r="S22" s="1"/>
      <c r="T22" s="1">
        <v>383.429576</v>
      </c>
      <c r="U22" s="1">
        <v>1533.718304</v>
      </c>
      <c r="V22" s="1">
        <f t="shared" si="4"/>
        <v>723.88019999999995</v>
      </c>
      <c r="W22" s="5">
        <f t="shared" ref="W22" si="13">12*V22-U22-T22-S22-R22-Q22-P22-O22-F22</f>
        <v>740.87571999999818</v>
      </c>
      <c r="X22" s="5">
        <f>W22+V22*$X$1</f>
        <v>1732.5915939999982</v>
      </c>
      <c r="Y22" s="18"/>
      <c r="Z22" s="18"/>
      <c r="AA22" s="1">
        <f t="shared" si="7"/>
        <v>13.37</v>
      </c>
      <c r="AB22" s="1">
        <f t="shared" si="5"/>
        <v>10.976521639906716</v>
      </c>
      <c r="AC22" s="1">
        <v>773.48840000000007</v>
      </c>
      <c r="AD22" s="1">
        <v>732.97140000000002</v>
      </c>
      <c r="AE22" s="1">
        <v>804.43240000000003</v>
      </c>
      <c r="AF22" s="1">
        <v>875.02719999999988</v>
      </c>
      <c r="AG22" s="1">
        <v>948.69040000000007</v>
      </c>
      <c r="AH22" s="1">
        <v>609.16740000000004</v>
      </c>
      <c r="AI22" s="1">
        <v>570.25739999999996</v>
      </c>
      <c r="AJ22" s="1">
        <v>752.91139999999996</v>
      </c>
      <c r="AK22" s="1"/>
      <c r="AL22" s="1">
        <f t="shared" si="8"/>
        <v>1733</v>
      </c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1" t="s">
        <v>66</v>
      </c>
      <c r="B23" s="11" t="s">
        <v>38</v>
      </c>
      <c r="C23" s="11">
        <v>-14.984</v>
      </c>
      <c r="D23" s="11">
        <v>14.984</v>
      </c>
      <c r="E23" s="11"/>
      <c r="F23" s="11"/>
      <c r="G23" s="12">
        <v>0</v>
      </c>
      <c r="H23" s="11"/>
      <c r="I23" s="11" t="s">
        <v>53</v>
      </c>
      <c r="J23" s="11" t="s">
        <v>67</v>
      </c>
      <c r="K23" s="11"/>
      <c r="L23" s="11">
        <f t="shared" si="2"/>
        <v>0</v>
      </c>
      <c r="M23" s="11">
        <f t="shared" si="3"/>
        <v>0</v>
      </c>
      <c r="N23" s="11"/>
      <c r="O23" s="11">
        <v>0</v>
      </c>
      <c r="P23" s="11"/>
      <c r="Q23" s="11"/>
      <c r="R23" s="11"/>
      <c r="S23" s="11"/>
      <c r="T23" s="11"/>
      <c r="U23" s="11"/>
      <c r="V23" s="11">
        <f t="shared" si="4"/>
        <v>0</v>
      </c>
      <c r="W23" s="13"/>
      <c r="X23" s="5">
        <f t="shared" si="6"/>
        <v>0</v>
      </c>
      <c r="Y23" s="18"/>
      <c r="Z23" s="18"/>
      <c r="AA23" s="1" t="e">
        <f t="shared" si="7"/>
        <v>#DIV/0!</v>
      </c>
      <c r="AB23" s="11" t="e">
        <f t="shared" si="5"/>
        <v>#DIV/0!</v>
      </c>
      <c r="AC23" s="11">
        <v>0</v>
      </c>
      <c r="AD23" s="11">
        <v>0</v>
      </c>
      <c r="AE23" s="11">
        <v>0</v>
      </c>
      <c r="AF23" s="11">
        <v>0.50419999999999998</v>
      </c>
      <c r="AG23" s="11">
        <v>0.50419999999999998</v>
      </c>
      <c r="AH23" s="11">
        <v>0</v>
      </c>
      <c r="AI23" s="11">
        <v>0</v>
      </c>
      <c r="AJ23" s="11">
        <v>0</v>
      </c>
      <c r="AK23" s="11"/>
      <c r="AL23" s="1">
        <f t="shared" si="8"/>
        <v>0</v>
      </c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68</v>
      </c>
      <c r="B24" s="1" t="s">
        <v>38</v>
      </c>
      <c r="C24" s="1">
        <v>346.03300000000002</v>
      </c>
      <c r="D24" s="1">
        <v>1536.598</v>
      </c>
      <c r="E24" s="1">
        <v>408.55599999999998</v>
      </c>
      <c r="F24" s="1">
        <v>194.54400000000001</v>
      </c>
      <c r="G24" s="7">
        <v>1</v>
      </c>
      <c r="H24" s="1">
        <v>70</v>
      </c>
      <c r="I24" s="1" t="s">
        <v>39</v>
      </c>
      <c r="J24" s="1"/>
      <c r="K24" s="1">
        <v>412.05900000000003</v>
      </c>
      <c r="L24" s="1">
        <f t="shared" si="2"/>
        <v>-3.5030000000000427</v>
      </c>
      <c r="M24" s="1">
        <f t="shared" si="3"/>
        <v>371.57099999999997</v>
      </c>
      <c r="N24" s="1">
        <v>36.984999999999999</v>
      </c>
      <c r="O24" s="1">
        <v>0</v>
      </c>
      <c r="P24" s="1"/>
      <c r="Q24" s="1"/>
      <c r="R24" s="1"/>
      <c r="S24" s="1"/>
      <c r="T24" s="1">
        <v>50.011239999999987</v>
      </c>
      <c r="U24" s="1">
        <v>200.04495999999989</v>
      </c>
      <c r="V24" s="1">
        <f t="shared" si="4"/>
        <v>74.3142</v>
      </c>
      <c r="W24" s="5">
        <f t="shared" ref="W24:W25" si="14">12*V24-U24-T24-S24-R24-Q24-P24-O24-F24</f>
        <v>447.17020000000014</v>
      </c>
      <c r="X24" s="5">
        <f>W24+V24*$X$1</f>
        <v>548.98065400000019</v>
      </c>
      <c r="Y24" s="18"/>
      <c r="Z24" s="18"/>
      <c r="AA24" s="1">
        <f t="shared" si="7"/>
        <v>13.370000000000001</v>
      </c>
      <c r="AB24" s="1">
        <f t="shared" si="5"/>
        <v>5.9827085536815288</v>
      </c>
      <c r="AC24" s="1">
        <v>56.826199999999993</v>
      </c>
      <c r="AD24" s="1">
        <v>33.156399999999998</v>
      </c>
      <c r="AE24" s="1">
        <v>51.611800000000002</v>
      </c>
      <c r="AF24" s="1">
        <v>86.94680000000001</v>
      </c>
      <c r="AG24" s="1">
        <v>92.600200000000001</v>
      </c>
      <c r="AH24" s="1">
        <v>51.805600000000013</v>
      </c>
      <c r="AI24" s="1">
        <v>47.665999999999997</v>
      </c>
      <c r="AJ24" s="1">
        <v>84.481799999999993</v>
      </c>
      <c r="AK24" s="1"/>
      <c r="AL24" s="1">
        <f t="shared" si="8"/>
        <v>549</v>
      </c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" t="s">
        <v>69</v>
      </c>
      <c r="B25" s="1" t="s">
        <v>38</v>
      </c>
      <c r="C25" s="1">
        <v>1197.403</v>
      </c>
      <c r="D25" s="1">
        <v>4486.82</v>
      </c>
      <c r="E25" s="1">
        <v>1256.713</v>
      </c>
      <c r="F25" s="1">
        <v>1516.22</v>
      </c>
      <c r="G25" s="7">
        <v>1</v>
      </c>
      <c r="H25" s="1">
        <v>70</v>
      </c>
      <c r="I25" s="10" t="s">
        <v>50</v>
      </c>
      <c r="J25" s="1"/>
      <c r="K25" s="1">
        <v>1242.1880000000001</v>
      </c>
      <c r="L25" s="1">
        <f t="shared" si="2"/>
        <v>14.524999999999864</v>
      </c>
      <c r="M25" s="1">
        <f t="shared" si="3"/>
        <v>1256.713</v>
      </c>
      <c r="N25" s="1"/>
      <c r="O25" s="1">
        <v>601.12380000000007</v>
      </c>
      <c r="P25" s="1"/>
      <c r="Q25" s="1"/>
      <c r="R25" s="1">
        <v>276.51694800000013</v>
      </c>
      <c r="S25" s="1"/>
      <c r="T25" s="1">
        <v>0</v>
      </c>
      <c r="U25" s="1"/>
      <c r="V25" s="1">
        <f t="shared" si="4"/>
        <v>251.3426</v>
      </c>
      <c r="W25" s="5">
        <f t="shared" si="14"/>
        <v>622.25045200000045</v>
      </c>
      <c r="X25" s="5">
        <f>W25*1.3</f>
        <v>808.92558760000065</v>
      </c>
      <c r="Y25" s="18"/>
      <c r="Z25" s="18"/>
      <c r="AA25" s="1">
        <f t="shared" si="7"/>
        <v>12.742711882506191</v>
      </c>
      <c r="AB25" s="1">
        <f t="shared" si="5"/>
        <v>9.5242937249793709</v>
      </c>
      <c r="AC25" s="1">
        <v>229.2002</v>
      </c>
      <c r="AD25" s="1">
        <v>266.73680000000002</v>
      </c>
      <c r="AE25" s="1">
        <v>285.91019999999997</v>
      </c>
      <c r="AF25" s="1">
        <v>266.63159999999999</v>
      </c>
      <c r="AG25" s="1">
        <v>281.76</v>
      </c>
      <c r="AH25" s="1">
        <v>176.75880000000001</v>
      </c>
      <c r="AI25" s="1">
        <v>148.90860000000001</v>
      </c>
      <c r="AJ25" s="1">
        <v>205.9836</v>
      </c>
      <c r="AK25" s="1" t="s">
        <v>41</v>
      </c>
      <c r="AL25" s="1">
        <f t="shared" si="8"/>
        <v>809</v>
      </c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1" t="s">
        <v>70</v>
      </c>
      <c r="B26" s="11" t="s">
        <v>38</v>
      </c>
      <c r="C26" s="11"/>
      <c r="D26" s="11"/>
      <c r="E26" s="11"/>
      <c r="F26" s="11"/>
      <c r="G26" s="12">
        <v>0</v>
      </c>
      <c r="H26" s="11"/>
      <c r="I26" s="11" t="s">
        <v>39</v>
      </c>
      <c r="J26" s="11"/>
      <c r="K26" s="11"/>
      <c r="L26" s="11">
        <f t="shared" si="2"/>
        <v>0</v>
      </c>
      <c r="M26" s="11">
        <f t="shared" si="3"/>
        <v>0</v>
      </c>
      <c r="N26" s="11"/>
      <c r="O26" s="11">
        <v>0</v>
      </c>
      <c r="P26" s="11"/>
      <c r="Q26" s="11"/>
      <c r="R26" s="11"/>
      <c r="S26" s="11"/>
      <c r="T26" s="11"/>
      <c r="U26" s="11"/>
      <c r="V26" s="11">
        <f t="shared" si="4"/>
        <v>0</v>
      </c>
      <c r="W26" s="13"/>
      <c r="X26" s="5">
        <f t="shared" si="6"/>
        <v>0</v>
      </c>
      <c r="Y26" s="18"/>
      <c r="Z26" s="18"/>
      <c r="AA26" s="1" t="e">
        <f t="shared" si="7"/>
        <v>#DIV/0!</v>
      </c>
      <c r="AB26" s="11" t="e">
        <f t="shared" si="5"/>
        <v>#DIV/0!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 t="s">
        <v>62</v>
      </c>
      <c r="AL26" s="1">
        <f t="shared" si="8"/>
        <v>0</v>
      </c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71</v>
      </c>
      <c r="B27" s="1" t="s">
        <v>38</v>
      </c>
      <c r="C27" s="1">
        <v>1732.2249999999999</v>
      </c>
      <c r="D27" s="1">
        <v>7735</v>
      </c>
      <c r="E27" s="1">
        <v>2021.2180000000001</v>
      </c>
      <c r="F27" s="1">
        <v>3266.6750000000002</v>
      </c>
      <c r="G27" s="7">
        <v>1</v>
      </c>
      <c r="H27" s="1">
        <v>70</v>
      </c>
      <c r="I27" s="10" t="s">
        <v>50</v>
      </c>
      <c r="J27" s="1"/>
      <c r="K27" s="1">
        <v>1996.0920000000001</v>
      </c>
      <c r="L27" s="1">
        <f t="shared" si="2"/>
        <v>25.125999999999976</v>
      </c>
      <c r="M27" s="1">
        <f t="shared" si="3"/>
        <v>2021.2180000000001</v>
      </c>
      <c r="N27" s="1"/>
      <c r="O27" s="1">
        <v>1395.850600000002</v>
      </c>
      <c r="P27" s="1"/>
      <c r="Q27" s="1"/>
      <c r="R27" s="1">
        <v>642.09127600000102</v>
      </c>
      <c r="S27" s="1"/>
      <c r="T27" s="1">
        <v>0</v>
      </c>
      <c r="U27" s="1"/>
      <c r="V27" s="1">
        <f t="shared" si="4"/>
        <v>404.24360000000001</v>
      </c>
      <c r="W27" s="5"/>
      <c r="X27" s="5">
        <f t="shared" ref="X27:X28" si="15">W27*1.3</f>
        <v>0</v>
      </c>
      <c r="Y27" s="18"/>
      <c r="Z27" s="18"/>
      <c r="AA27" s="1">
        <f t="shared" si="7"/>
        <v>13.122327418418012</v>
      </c>
      <c r="AB27" s="1">
        <f t="shared" si="5"/>
        <v>13.122327418418012</v>
      </c>
      <c r="AC27" s="1">
        <v>396.53120000000001</v>
      </c>
      <c r="AD27" s="1">
        <v>524.30680000000007</v>
      </c>
      <c r="AE27" s="1">
        <v>537.15940000000001</v>
      </c>
      <c r="AF27" s="1">
        <v>473.22160000000002</v>
      </c>
      <c r="AG27" s="1">
        <v>516.05320000000006</v>
      </c>
      <c r="AH27" s="1">
        <v>310.26479999999998</v>
      </c>
      <c r="AI27" s="1">
        <v>281.95979999999997</v>
      </c>
      <c r="AJ27" s="1">
        <v>381.11340000000001</v>
      </c>
      <c r="AK27" s="1" t="s">
        <v>41</v>
      </c>
      <c r="AL27" s="1">
        <f t="shared" si="8"/>
        <v>0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72</v>
      </c>
      <c r="B28" s="1" t="s">
        <v>38</v>
      </c>
      <c r="C28" s="1">
        <v>32.738999999999997</v>
      </c>
      <c r="D28" s="1">
        <v>116.143</v>
      </c>
      <c r="E28" s="1">
        <v>21.111000000000001</v>
      </c>
      <c r="F28" s="1">
        <v>26.814</v>
      </c>
      <c r="G28" s="7">
        <v>1</v>
      </c>
      <c r="H28" s="1">
        <v>40</v>
      </c>
      <c r="I28" s="10" t="s">
        <v>50</v>
      </c>
      <c r="J28" s="1"/>
      <c r="K28" s="1">
        <v>88.74</v>
      </c>
      <c r="L28" s="1">
        <f t="shared" si="2"/>
        <v>-67.628999999999991</v>
      </c>
      <c r="M28" s="1">
        <f t="shared" si="3"/>
        <v>21.111000000000001</v>
      </c>
      <c r="N28" s="1"/>
      <c r="O28" s="1">
        <v>0</v>
      </c>
      <c r="P28" s="1"/>
      <c r="Q28" s="1"/>
      <c r="R28" s="1"/>
      <c r="S28" s="1"/>
      <c r="T28" s="1">
        <v>18.307639999999999</v>
      </c>
      <c r="U28" s="1"/>
      <c r="V28" s="1">
        <f t="shared" si="4"/>
        <v>4.2222</v>
      </c>
      <c r="W28" s="5">
        <f t="shared" ref="W28" si="16">12*V28-U28-T28-S28-R28-Q28-P28-O28-F28</f>
        <v>5.5447599999999966</v>
      </c>
      <c r="X28" s="5">
        <f t="shared" si="15"/>
        <v>7.2081879999999954</v>
      </c>
      <c r="Y28" s="18"/>
      <c r="Z28" s="18"/>
      <c r="AA28" s="1">
        <f t="shared" si="7"/>
        <v>12.393971863009803</v>
      </c>
      <c r="AB28" s="1">
        <f t="shared" si="5"/>
        <v>10.686760456633982</v>
      </c>
      <c r="AC28" s="1">
        <v>3.7848000000000002</v>
      </c>
      <c r="AD28" s="1">
        <v>-0.29299999999999998</v>
      </c>
      <c r="AE28" s="1">
        <v>1.601</v>
      </c>
      <c r="AF28" s="1">
        <v>4.3630000000000004</v>
      </c>
      <c r="AG28" s="1">
        <v>3.4885999999999999</v>
      </c>
      <c r="AH28" s="1">
        <v>2.0396000000000001</v>
      </c>
      <c r="AI28" s="1">
        <v>1.6052</v>
      </c>
      <c r="AJ28" s="1">
        <v>2.1873999999999998</v>
      </c>
      <c r="AK28" s="1"/>
      <c r="AL28" s="1">
        <f t="shared" si="8"/>
        <v>7</v>
      </c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1" t="s">
        <v>73</v>
      </c>
      <c r="B29" s="11" t="s">
        <v>38</v>
      </c>
      <c r="C29" s="11">
        <v>-1.6950000000000001</v>
      </c>
      <c r="D29" s="11">
        <v>1.6950000000000001</v>
      </c>
      <c r="E29" s="11"/>
      <c r="F29" s="11"/>
      <c r="G29" s="12">
        <v>0</v>
      </c>
      <c r="H29" s="11"/>
      <c r="I29" s="11" t="s">
        <v>53</v>
      </c>
      <c r="J29" s="11"/>
      <c r="K29" s="11"/>
      <c r="L29" s="11">
        <f t="shared" si="2"/>
        <v>0</v>
      </c>
      <c r="M29" s="11">
        <f t="shared" si="3"/>
        <v>0</v>
      </c>
      <c r="N29" s="11"/>
      <c r="O29" s="11">
        <v>0</v>
      </c>
      <c r="P29" s="11"/>
      <c r="Q29" s="11"/>
      <c r="R29" s="11"/>
      <c r="S29" s="11"/>
      <c r="T29" s="11"/>
      <c r="U29" s="11"/>
      <c r="V29" s="11">
        <f t="shared" si="4"/>
        <v>0</v>
      </c>
      <c r="W29" s="13"/>
      <c r="X29" s="5">
        <f t="shared" si="6"/>
        <v>0</v>
      </c>
      <c r="Y29" s="18"/>
      <c r="Z29" s="18"/>
      <c r="AA29" s="1" t="e">
        <f t="shared" si="7"/>
        <v>#DIV/0!</v>
      </c>
      <c r="AB29" s="11" t="e">
        <f t="shared" si="5"/>
        <v>#DIV/0!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/>
      <c r="AL29" s="1">
        <f t="shared" si="8"/>
        <v>0</v>
      </c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1" t="s">
        <v>74</v>
      </c>
      <c r="B30" s="11" t="s">
        <v>38</v>
      </c>
      <c r="C30" s="11"/>
      <c r="D30" s="11"/>
      <c r="E30" s="11"/>
      <c r="F30" s="11"/>
      <c r="G30" s="12">
        <v>0</v>
      </c>
      <c r="H30" s="11"/>
      <c r="I30" s="11" t="s">
        <v>39</v>
      </c>
      <c r="J30" s="11"/>
      <c r="K30" s="11"/>
      <c r="L30" s="11">
        <f t="shared" si="2"/>
        <v>0</v>
      </c>
      <c r="M30" s="11">
        <f t="shared" si="3"/>
        <v>0</v>
      </c>
      <c r="N30" s="11"/>
      <c r="O30" s="11">
        <v>0</v>
      </c>
      <c r="P30" s="11"/>
      <c r="Q30" s="11"/>
      <c r="R30" s="11"/>
      <c r="S30" s="11"/>
      <c r="T30" s="11"/>
      <c r="U30" s="11"/>
      <c r="V30" s="11">
        <f t="shared" si="4"/>
        <v>0</v>
      </c>
      <c r="W30" s="13"/>
      <c r="X30" s="5">
        <f t="shared" si="6"/>
        <v>0</v>
      </c>
      <c r="Y30" s="18"/>
      <c r="Z30" s="18"/>
      <c r="AA30" s="1" t="e">
        <f t="shared" si="7"/>
        <v>#DIV/0!</v>
      </c>
      <c r="AB30" s="11" t="e">
        <f t="shared" si="5"/>
        <v>#DIV/0!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 t="s">
        <v>62</v>
      </c>
      <c r="AL30" s="1">
        <f t="shared" si="8"/>
        <v>0</v>
      </c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1" t="s">
        <v>75</v>
      </c>
      <c r="B31" s="11" t="s">
        <v>38</v>
      </c>
      <c r="C31" s="11"/>
      <c r="D31" s="11"/>
      <c r="E31" s="11"/>
      <c r="F31" s="11"/>
      <c r="G31" s="12">
        <v>0</v>
      </c>
      <c r="H31" s="11"/>
      <c r="I31" s="11" t="s">
        <v>39</v>
      </c>
      <c r="J31" s="11"/>
      <c r="K31" s="11"/>
      <c r="L31" s="11">
        <f t="shared" si="2"/>
        <v>0</v>
      </c>
      <c r="M31" s="11">
        <f t="shared" si="3"/>
        <v>0</v>
      </c>
      <c r="N31" s="11"/>
      <c r="O31" s="11">
        <v>0</v>
      </c>
      <c r="P31" s="11"/>
      <c r="Q31" s="11"/>
      <c r="R31" s="11"/>
      <c r="S31" s="11"/>
      <c r="T31" s="11"/>
      <c r="U31" s="11"/>
      <c r="V31" s="11">
        <f t="shared" si="4"/>
        <v>0</v>
      </c>
      <c r="W31" s="13"/>
      <c r="X31" s="5">
        <f t="shared" si="6"/>
        <v>0</v>
      </c>
      <c r="Y31" s="18"/>
      <c r="Z31" s="18"/>
      <c r="AA31" s="1" t="e">
        <f t="shared" si="7"/>
        <v>#DIV/0!</v>
      </c>
      <c r="AB31" s="11" t="e">
        <f t="shared" si="5"/>
        <v>#DIV/0!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 t="s">
        <v>62</v>
      </c>
      <c r="AL31" s="1">
        <f t="shared" si="8"/>
        <v>0</v>
      </c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76</v>
      </c>
      <c r="B32" s="1" t="s">
        <v>38</v>
      </c>
      <c r="C32" s="1">
        <v>535.92700000000002</v>
      </c>
      <c r="D32" s="1">
        <v>4355.9369999999999</v>
      </c>
      <c r="E32" s="1">
        <v>1064.0129999999999</v>
      </c>
      <c r="F32" s="1">
        <v>1644.691</v>
      </c>
      <c r="G32" s="7">
        <v>1</v>
      </c>
      <c r="H32" s="1">
        <v>30</v>
      </c>
      <c r="I32" s="10" t="s">
        <v>50</v>
      </c>
      <c r="J32" s="1"/>
      <c r="K32" s="1">
        <v>1182.778</v>
      </c>
      <c r="L32" s="1">
        <f t="shared" si="2"/>
        <v>-118.7650000000001</v>
      </c>
      <c r="M32" s="1">
        <f t="shared" si="3"/>
        <v>983.09899999999993</v>
      </c>
      <c r="N32" s="1">
        <v>80.914000000000001</v>
      </c>
      <c r="O32" s="1">
        <v>538.94979999999964</v>
      </c>
      <c r="P32" s="1"/>
      <c r="Q32" s="1"/>
      <c r="R32" s="1">
        <v>247.91690799999981</v>
      </c>
      <c r="S32" s="1"/>
      <c r="T32" s="1">
        <v>0</v>
      </c>
      <c r="U32" s="1"/>
      <c r="V32" s="1">
        <f t="shared" si="4"/>
        <v>196.6198</v>
      </c>
      <c r="W32" s="5"/>
      <c r="X32" s="5">
        <f>W32*1.3</f>
        <v>0</v>
      </c>
      <c r="Y32" s="18"/>
      <c r="Z32" s="18"/>
      <c r="AA32" s="1">
        <f t="shared" si="7"/>
        <v>12.36679982382242</v>
      </c>
      <c r="AB32" s="1">
        <f t="shared" si="5"/>
        <v>12.36679982382242</v>
      </c>
      <c r="AC32" s="1">
        <v>221.1712</v>
      </c>
      <c r="AD32" s="1">
        <v>225.0454</v>
      </c>
      <c r="AE32" s="1">
        <v>231.65860000000001</v>
      </c>
      <c r="AF32" s="1">
        <v>235.7996</v>
      </c>
      <c r="AG32" s="1">
        <v>278.0154</v>
      </c>
      <c r="AH32" s="1">
        <v>227.65520000000001</v>
      </c>
      <c r="AI32" s="1">
        <v>207.39060000000001</v>
      </c>
      <c r="AJ32" s="1">
        <v>290.8818</v>
      </c>
      <c r="AK32" s="1"/>
      <c r="AL32" s="1">
        <f t="shared" si="8"/>
        <v>0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1" t="s">
        <v>77</v>
      </c>
      <c r="B33" s="11" t="s">
        <v>38</v>
      </c>
      <c r="C33" s="11">
        <v>-0.23</v>
      </c>
      <c r="D33" s="11">
        <v>44.381</v>
      </c>
      <c r="E33" s="11"/>
      <c r="F33" s="11"/>
      <c r="G33" s="12">
        <v>0</v>
      </c>
      <c r="H33" s="11">
        <v>40</v>
      </c>
      <c r="I33" s="11" t="s">
        <v>53</v>
      </c>
      <c r="J33" s="11"/>
      <c r="K33" s="11"/>
      <c r="L33" s="11">
        <f t="shared" si="2"/>
        <v>0</v>
      </c>
      <c r="M33" s="11">
        <f t="shared" si="3"/>
        <v>0</v>
      </c>
      <c r="N33" s="11"/>
      <c r="O33" s="11">
        <v>0</v>
      </c>
      <c r="P33" s="11"/>
      <c r="Q33" s="11"/>
      <c r="R33" s="11"/>
      <c r="S33" s="11"/>
      <c r="T33" s="11"/>
      <c r="U33" s="11"/>
      <c r="V33" s="11">
        <f t="shared" si="4"/>
        <v>0</v>
      </c>
      <c r="W33" s="13"/>
      <c r="X33" s="5">
        <f t="shared" si="6"/>
        <v>0</v>
      </c>
      <c r="Y33" s="18"/>
      <c r="Z33" s="18"/>
      <c r="AA33" s="1" t="e">
        <f t="shared" si="7"/>
        <v>#DIV/0!</v>
      </c>
      <c r="AB33" s="11" t="e">
        <f t="shared" si="5"/>
        <v>#DIV/0!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/>
      <c r="AL33" s="1">
        <f t="shared" si="8"/>
        <v>0</v>
      </c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78</v>
      </c>
      <c r="B34" s="1" t="s">
        <v>38</v>
      </c>
      <c r="C34" s="1">
        <v>104.229</v>
      </c>
      <c r="D34" s="1">
        <v>11436.557000000001</v>
      </c>
      <c r="E34" s="1">
        <v>3072.6930000000002</v>
      </c>
      <c r="F34" s="1">
        <v>1094.5820000000001</v>
      </c>
      <c r="G34" s="7">
        <v>1</v>
      </c>
      <c r="H34" s="1">
        <v>40</v>
      </c>
      <c r="I34" s="10" t="s">
        <v>50</v>
      </c>
      <c r="J34" s="1"/>
      <c r="K34" s="1">
        <v>3117.2339999999999</v>
      </c>
      <c r="L34" s="1">
        <f t="shared" si="2"/>
        <v>-44.540999999999713</v>
      </c>
      <c r="M34" s="1">
        <f t="shared" si="3"/>
        <v>2930.585</v>
      </c>
      <c r="N34" s="1">
        <v>142.108</v>
      </c>
      <c r="O34" s="1">
        <v>1063.2557999999999</v>
      </c>
      <c r="P34" s="1"/>
      <c r="Q34" s="1"/>
      <c r="R34" s="1">
        <v>489.09766800000023</v>
      </c>
      <c r="S34" s="1"/>
      <c r="T34" s="1">
        <v>3710</v>
      </c>
      <c r="U34" s="1">
        <v>3505</v>
      </c>
      <c r="V34" s="1">
        <f t="shared" si="4"/>
        <v>586.11699999999996</v>
      </c>
      <c r="W34" s="5"/>
      <c r="X34" s="5">
        <f>W34*1.3</f>
        <v>0</v>
      </c>
      <c r="Y34" s="18"/>
      <c r="Z34" s="18"/>
      <c r="AA34" s="1">
        <f t="shared" si="7"/>
        <v>16.82588197919528</v>
      </c>
      <c r="AB34" s="1">
        <f t="shared" si="5"/>
        <v>16.82588197919528</v>
      </c>
      <c r="AC34" s="1">
        <v>710.12940000000003</v>
      </c>
      <c r="AD34" s="1">
        <v>412.98540000000003</v>
      </c>
      <c r="AE34" s="1">
        <v>192.2834</v>
      </c>
      <c r="AF34" s="1">
        <v>374.25259999999997</v>
      </c>
      <c r="AG34" s="1">
        <v>576.91759999999999</v>
      </c>
      <c r="AH34" s="1">
        <v>427.83499999999998</v>
      </c>
      <c r="AI34" s="1">
        <v>330.09280000000001</v>
      </c>
      <c r="AJ34" s="1">
        <v>221.54920000000001</v>
      </c>
      <c r="AK34" s="1"/>
      <c r="AL34" s="1">
        <f t="shared" si="8"/>
        <v>0</v>
      </c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1" t="s">
        <v>79</v>
      </c>
      <c r="B35" s="11" t="s">
        <v>38</v>
      </c>
      <c r="C35" s="11"/>
      <c r="D35" s="11"/>
      <c r="E35" s="11"/>
      <c r="F35" s="11"/>
      <c r="G35" s="12">
        <v>0</v>
      </c>
      <c r="H35" s="11"/>
      <c r="I35" s="11" t="s">
        <v>39</v>
      </c>
      <c r="J35" s="11"/>
      <c r="K35" s="11"/>
      <c r="L35" s="11">
        <f t="shared" si="2"/>
        <v>0</v>
      </c>
      <c r="M35" s="11">
        <f t="shared" si="3"/>
        <v>0</v>
      </c>
      <c r="N35" s="11"/>
      <c r="O35" s="11">
        <v>0</v>
      </c>
      <c r="P35" s="11"/>
      <c r="Q35" s="11"/>
      <c r="R35" s="11"/>
      <c r="S35" s="11"/>
      <c r="T35" s="11"/>
      <c r="U35" s="11"/>
      <c r="V35" s="11">
        <f t="shared" si="4"/>
        <v>0</v>
      </c>
      <c r="W35" s="13"/>
      <c r="X35" s="5">
        <f t="shared" si="6"/>
        <v>0</v>
      </c>
      <c r="Y35" s="18"/>
      <c r="Z35" s="18"/>
      <c r="AA35" s="1" t="e">
        <f t="shared" si="7"/>
        <v>#DIV/0!</v>
      </c>
      <c r="AB35" s="11" t="e">
        <f t="shared" si="5"/>
        <v>#DIV/0!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 t="s">
        <v>62</v>
      </c>
      <c r="AL35" s="1">
        <f t="shared" si="8"/>
        <v>0</v>
      </c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1" t="s">
        <v>80</v>
      </c>
      <c r="B36" s="11" t="s">
        <v>38</v>
      </c>
      <c r="C36" s="11"/>
      <c r="D36" s="11"/>
      <c r="E36" s="11"/>
      <c r="F36" s="11"/>
      <c r="G36" s="12">
        <v>0</v>
      </c>
      <c r="H36" s="11"/>
      <c r="I36" s="11" t="s">
        <v>39</v>
      </c>
      <c r="J36" s="11"/>
      <c r="K36" s="11"/>
      <c r="L36" s="11">
        <f t="shared" si="2"/>
        <v>0</v>
      </c>
      <c r="M36" s="11">
        <f t="shared" si="3"/>
        <v>0</v>
      </c>
      <c r="N36" s="11"/>
      <c r="O36" s="11">
        <v>0</v>
      </c>
      <c r="P36" s="11"/>
      <c r="Q36" s="11"/>
      <c r="R36" s="11"/>
      <c r="S36" s="11"/>
      <c r="T36" s="11"/>
      <c r="U36" s="11"/>
      <c r="V36" s="11">
        <f t="shared" si="4"/>
        <v>0</v>
      </c>
      <c r="W36" s="13"/>
      <c r="X36" s="5">
        <f t="shared" si="6"/>
        <v>0</v>
      </c>
      <c r="Y36" s="18"/>
      <c r="Z36" s="18"/>
      <c r="AA36" s="1" t="e">
        <f t="shared" si="7"/>
        <v>#DIV/0!</v>
      </c>
      <c r="AB36" s="11" t="e">
        <f t="shared" si="5"/>
        <v>#DIV/0!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 t="s">
        <v>62</v>
      </c>
      <c r="AL36" s="1">
        <f t="shared" si="8"/>
        <v>0</v>
      </c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1" t="s">
        <v>81</v>
      </c>
      <c r="B37" s="11" t="s">
        <v>38</v>
      </c>
      <c r="C37" s="11"/>
      <c r="D37" s="11"/>
      <c r="E37" s="11"/>
      <c r="F37" s="11"/>
      <c r="G37" s="12">
        <v>0</v>
      </c>
      <c r="H37" s="11"/>
      <c r="I37" s="11" t="s">
        <v>39</v>
      </c>
      <c r="J37" s="11"/>
      <c r="K37" s="11"/>
      <c r="L37" s="11">
        <f t="shared" si="2"/>
        <v>0</v>
      </c>
      <c r="M37" s="11">
        <f t="shared" si="3"/>
        <v>0</v>
      </c>
      <c r="N37" s="11"/>
      <c r="O37" s="11">
        <v>0</v>
      </c>
      <c r="P37" s="11"/>
      <c r="Q37" s="11"/>
      <c r="R37" s="11"/>
      <c r="S37" s="11"/>
      <c r="T37" s="11"/>
      <c r="U37" s="11"/>
      <c r="V37" s="11">
        <f t="shared" si="4"/>
        <v>0</v>
      </c>
      <c r="W37" s="13"/>
      <c r="X37" s="5">
        <f t="shared" si="6"/>
        <v>0</v>
      </c>
      <c r="Y37" s="18"/>
      <c r="Z37" s="18"/>
      <c r="AA37" s="1" t="e">
        <f t="shared" si="7"/>
        <v>#DIV/0!</v>
      </c>
      <c r="AB37" s="11" t="e">
        <f t="shared" si="5"/>
        <v>#DIV/0!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 t="s">
        <v>62</v>
      </c>
      <c r="AL37" s="1">
        <f t="shared" si="8"/>
        <v>0</v>
      </c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1" t="s">
        <v>82</v>
      </c>
      <c r="B38" s="11" t="s">
        <v>38</v>
      </c>
      <c r="C38" s="11"/>
      <c r="D38" s="11"/>
      <c r="E38" s="11"/>
      <c r="F38" s="11"/>
      <c r="G38" s="12">
        <v>0</v>
      </c>
      <c r="H38" s="11"/>
      <c r="I38" s="11" t="s">
        <v>39</v>
      </c>
      <c r="J38" s="11"/>
      <c r="K38" s="11"/>
      <c r="L38" s="11">
        <f t="shared" ref="L38:L69" si="17">E38-K38</f>
        <v>0</v>
      </c>
      <c r="M38" s="11">
        <f t="shared" ref="M38:M69" si="18">E38-N38</f>
        <v>0</v>
      </c>
      <c r="N38" s="11"/>
      <c r="O38" s="11">
        <v>0</v>
      </c>
      <c r="P38" s="11"/>
      <c r="Q38" s="11"/>
      <c r="R38" s="11"/>
      <c r="S38" s="11"/>
      <c r="T38" s="11"/>
      <c r="U38" s="11"/>
      <c r="V38" s="11">
        <f t="shared" ref="V38:V69" si="19">M38/5</f>
        <v>0</v>
      </c>
      <c r="W38" s="13"/>
      <c r="X38" s="5">
        <f t="shared" si="6"/>
        <v>0</v>
      </c>
      <c r="Y38" s="18"/>
      <c r="Z38" s="18"/>
      <c r="AA38" s="1" t="e">
        <f t="shared" si="7"/>
        <v>#DIV/0!</v>
      </c>
      <c r="AB38" s="11" t="e">
        <f t="shared" ref="AB38:AB69" si="20">(F38+O38+P38+Q38+R38+S38+T38+U38)/V38</f>
        <v>#DIV/0!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 t="s">
        <v>62</v>
      </c>
      <c r="AL38" s="1">
        <f t="shared" si="8"/>
        <v>0</v>
      </c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83</v>
      </c>
      <c r="B39" s="1" t="s">
        <v>44</v>
      </c>
      <c r="C39" s="1">
        <v>1760</v>
      </c>
      <c r="D39" s="1">
        <v>21066</v>
      </c>
      <c r="E39" s="1">
        <v>3763</v>
      </c>
      <c r="F39" s="1">
        <v>241</v>
      </c>
      <c r="G39" s="7">
        <v>0.4</v>
      </c>
      <c r="H39" s="1">
        <v>45</v>
      </c>
      <c r="I39" s="10" t="s">
        <v>50</v>
      </c>
      <c r="J39" s="1"/>
      <c r="K39" s="1">
        <v>3903</v>
      </c>
      <c r="L39" s="1">
        <f t="shared" si="17"/>
        <v>-140</v>
      </c>
      <c r="M39" s="1">
        <f t="shared" si="18"/>
        <v>3397</v>
      </c>
      <c r="N39" s="1">
        <v>366</v>
      </c>
      <c r="O39" s="1">
        <v>1375.599999999999</v>
      </c>
      <c r="P39" s="1"/>
      <c r="Q39" s="1"/>
      <c r="R39" s="1">
        <v>632.77599999999939</v>
      </c>
      <c r="S39" s="1"/>
      <c r="T39" s="1">
        <v>1600</v>
      </c>
      <c r="U39" s="1">
        <v>2300</v>
      </c>
      <c r="V39" s="1">
        <f t="shared" si="19"/>
        <v>679.4</v>
      </c>
      <c r="W39" s="5">
        <f t="shared" ref="W39:W53" si="21">12*V39-U39-T39-S39-R39-Q39-P39-O39-F39</f>
        <v>2003.4240000000009</v>
      </c>
      <c r="X39" s="5">
        <f>W39*1.3</f>
        <v>2604.4512000000013</v>
      </c>
      <c r="Y39" s="18"/>
      <c r="Z39" s="18"/>
      <c r="AA39" s="1">
        <f t="shared" si="7"/>
        <v>12.884644097733293</v>
      </c>
      <c r="AB39" s="1">
        <f t="shared" si="20"/>
        <v>9.0511863408890179</v>
      </c>
      <c r="AC39" s="1">
        <v>754.6</v>
      </c>
      <c r="AD39" s="1">
        <v>654.79999999999995</v>
      </c>
      <c r="AE39" s="1">
        <v>869.4</v>
      </c>
      <c r="AF39" s="1">
        <v>631</v>
      </c>
      <c r="AG39" s="1">
        <v>648.4</v>
      </c>
      <c r="AH39" s="1">
        <v>1337.6</v>
      </c>
      <c r="AI39" s="1">
        <v>1183.5999999999999</v>
      </c>
      <c r="AJ39" s="1">
        <v>579.79999999999995</v>
      </c>
      <c r="AK39" s="1" t="s">
        <v>41</v>
      </c>
      <c r="AL39" s="1">
        <f t="shared" si="8"/>
        <v>1042</v>
      </c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84</v>
      </c>
      <c r="B40" s="1" t="s">
        <v>44</v>
      </c>
      <c r="C40" s="1">
        <v>215.75</v>
      </c>
      <c r="D40" s="1">
        <v>4599.25</v>
      </c>
      <c r="E40" s="1">
        <v>602</v>
      </c>
      <c r="F40" s="1">
        <v>-2</v>
      </c>
      <c r="G40" s="7">
        <v>0.45</v>
      </c>
      <c r="H40" s="1">
        <v>50</v>
      </c>
      <c r="I40" s="1" t="s">
        <v>39</v>
      </c>
      <c r="J40" s="1"/>
      <c r="K40" s="1">
        <v>680</v>
      </c>
      <c r="L40" s="1">
        <f t="shared" si="17"/>
        <v>-78</v>
      </c>
      <c r="M40" s="1">
        <f t="shared" si="18"/>
        <v>602</v>
      </c>
      <c r="N40" s="1"/>
      <c r="O40" s="1">
        <v>309.75577500000003</v>
      </c>
      <c r="P40" s="1"/>
      <c r="Q40" s="1"/>
      <c r="R40" s="1">
        <v>573.49422500000003</v>
      </c>
      <c r="S40" s="1"/>
      <c r="T40" s="1">
        <v>71.217999999999961</v>
      </c>
      <c r="U40" s="1">
        <v>284.87200000000001</v>
      </c>
      <c r="V40" s="1">
        <f t="shared" si="19"/>
        <v>120.4</v>
      </c>
      <c r="W40" s="5">
        <f t="shared" si="21"/>
        <v>207.45999999999998</v>
      </c>
      <c r="X40" s="5">
        <f>W40+V40*$X$1</f>
        <v>372.40800000000002</v>
      </c>
      <c r="Y40" s="18"/>
      <c r="Z40" s="18"/>
      <c r="AA40" s="1">
        <f t="shared" si="7"/>
        <v>13.37</v>
      </c>
      <c r="AB40" s="1">
        <f t="shared" si="20"/>
        <v>10.276910299003321</v>
      </c>
      <c r="AC40" s="1">
        <v>124.2</v>
      </c>
      <c r="AD40" s="1">
        <v>129</v>
      </c>
      <c r="AE40" s="1">
        <v>84</v>
      </c>
      <c r="AF40" s="1">
        <v>83.2</v>
      </c>
      <c r="AG40" s="1">
        <v>183.328</v>
      </c>
      <c r="AH40" s="1">
        <v>310.8</v>
      </c>
      <c r="AI40" s="1">
        <v>224.2</v>
      </c>
      <c r="AJ40" s="1">
        <v>94</v>
      </c>
      <c r="AK40" s="1"/>
      <c r="AL40" s="1">
        <f t="shared" si="8"/>
        <v>168</v>
      </c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85</v>
      </c>
      <c r="B41" s="1" t="s">
        <v>44</v>
      </c>
      <c r="C41" s="1">
        <v>137</v>
      </c>
      <c r="D41" s="1">
        <v>4165</v>
      </c>
      <c r="E41" s="1">
        <v>896</v>
      </c>
      <c r="F41" s="1">
        <v>164</v>
      </c>
      <c r="G41" s="7">
        <v>0.4</v>
      </c>
      <c r="H41" s="1">
        <v>45</v>
      </c>
      <c r="I41" s="10" t="s">
        <v>50</v>
      </c>
      <c r="J41" s="1"/>
      <c r="K41" s="1">
        <v>923</v>
      </c>
      <c r="L41" s="1">
        <f t="shared" si="17"/>
        <v>-27</v>
      </c>
      <c r="M41" s="1">
        <f t="shared" si="18"/>
        <v>896</v>
      </c>
      <c r="N41" s="1"/>
      <c r="O41" s="1">
        <v>1395</v>
      </c>
      <c r="P41" s="1"/>
      <c r="Q41" s="1"/>
      <c r="R41" s="1">
        <v>641.70000000000005</v>
      </c>
      <c r="S41" s="1"/>
      <c r="T41" s="1">
        <v>0</v>
      </c>
      <c r="U41" s="1"/>
      <c r="V41" s="1">
        <f t="shared" si="19"/>
        <v>179.2</v>
      </c>
      <c r="W41" s="5"/>
      <c r="X41" s="5">
        <f t="shared" ref="X41:X43" si="22">W41*1.3</f>
        <v>0</v>
      </c>
      <c r="Y41" s="18"/>
      <c r="Z41" s="18"/>
      <c r="AA41" s="1">
        <f t="shared" si="7"/>
        <v>12.280691964285714</v>
      </c>
      <c r="AB41" s="1">
        <f t="shared" si="20"/>
        <v>12.280691964285714</v>
      </c>
      <c r="AC41" s="1">
        <v>210.4</v>
      </c>
      <c r="AD41" s="1">
        <v>192</v>
      </c>
      <c r="AE41" s="1">
        <v>152.4</v>
      </c>
      <c r="AF41" s="1">
        <v>151.6</v>
      </c>
      <c r="AG41" s="1">
        <v>137</v>
      </c>
      <c r="AH41" s="1">
        <v>55.2</v>
      </c>
      <c r="AI41" s="1">
        <v>16.600000000000001</v>
      </c>
      <c r="AJ41" s="1">
        <v>46.2</v>
      </c>
      <c r="AK41" s="1"/>
      <c r="AL41" s="1">
        <f t="shared" si="8"/>
        <v>0</v>
      </c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86</v>
      </c>
      <c r="B42" s="1" t="s">
        <v>44</v>
      </c>
      <c r="C42" s="1">
        <v>-16</v>
      </c>
      <c r="D42" s="1">
        <v>1189</v>
      </c>
      <c r="E42" s="1">
        <v>102</v>
      </c>
      <c r="F42" s="1"/>
      <c r="G42" s="7">
        <v>0.4</v>
      </c>
      <c r="H42" s="1">
        <v>40</v>
      </c>
      <c r="I42" s="10" t="s">
        <v>50</v>
      </c>
      <c r="J42" s="1"/>
      <c r="K42" s="1">
        <v>484</v>
      </c>
      <c r="L42" s="1">
        <f t="shared" si="17"/>
        <v>-382</v>
      </c>
      <c r="M42" s="1">
        <f t="shared" si="18"/>
        <v>102</v>
      </c>
      <c r="N42" s="1"/>
      <c r="O42" s="1">
        <v>100</v>
      </c>
      <c r="P42" s="1"/>
      <c r="Q42" s="1"/>
      <c r="R42" s="1">
        <v>50</v>
      </c>
      <c r="S42" s="1"/>
      <c r="T42" s="1">
        <v>65</v>
      </c>
      <c r="U42" s="1"/>
      <c r="V42" s="1">
        <f t="shared" si="19"/>
        <v>20.399999999999999</v>
      </c>
      <c r="W42" s="5">
        <f t="shared" si="21"/>
        <v>29.799999999999983</v>
      </c>
      <c r="X42" s="5">
        <f t="shared" si="22"/>
        <v>38.739999999999981</v>
      </c>
      <c r="Y42" s="18"/>
      <c r="Z42" s="18"/>
      <c r="AA42" s="1">
        <f t="shared" si="7"/>
        <v>12.438235294117646</v>
      </c>
      <c r="AB42" s="1">
        <f t="shared" si="20"/>
        <v>10.53921568627451</v>
      </c>
      <c r="AC42" s="1">
        <v>0</v>
      </c>
      <c r="AD42" s="1">
        <v>1.8</v>
      </c>
      <c r="AE42" s="1">
        <v>13.6</v>
      </c>
      <c r="AF42" s="1">
        <v>18.8</v>
      </c>
      <c r="AG42" s="1">
        <v>7.4</v>
      </c>
      <c r="AH42" s="1">
        <v>-0.2</v>
      </c>
      <c r="AI42" s="1">
        <v>-0.2</v>
      </c>
      <c r="AJ42" s="1">
        <v>0</v>
      </c>
      <c r="AK42" s="1"/>
      <c r="AL42" s="1">
        <f t="shared" si="8"/>
        <v>15</v>
      </c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87</v>
      </c>
      <c r="B43" s="1" t="s">
        <v>38</v>
      </c>
      <c r="C43" s="1">
        <v>137.32</v>
      </c>
      <c r="D43" s="1">
        <v>90.492000000000004</v>
      </c>
      <c r="E43" s="1">
        <v>10.007999999999999</v>
      </c>
      <c r="F43" s="1">
        <v>160.096</v>
      </c>
      <c r="G43" s="7">
        <v>1</v>
      </c>
      <c r="H43" s="1"/>
      <c r="I43" s="10" t="s">
        <v>50</v>
      </c>
      <c r="J43" s="1"/>
      <c r="K43" s="1">
        <v>11.7</v>
      </c>
      <c r="L43" s="1">
        <f t="shared" si="17"/>
        <v>-1.6920000000000002</v>
      </c>
      <c r="M43" s="1">
        <f t="shared" si="18"/>
        <v>10.007999999999999</v>
      </c>
      <c r="N43" s="1"/>
      <c r="O43" s="1">
        <v>0</v>
      </c>
      <c r="P43" s="1"/>
      <c r="Q43" s="1"/>
      <c r="R43" s="1"/>
      <c r="S43" s="1"/>
      <c r="T43" s="1">
        <v>0</v>
      </c>
      <c r="U43" s="1"/>
      <c r="V43" s="1">
        <f t="shared" si="19"/>
        <v>2.0015999999999998</v>
      </c>
      <c r="W43" s="5"/>
      <c r="X43" s="5">
        <f t="shared" si="22"/>
        <v>0</v>
      </c>
      <c r="Y43" s="18"/>
      <c r="Z43" s="18"/>
      <c r="AA43" s="1">
        <f t="shared" si="7"/>
        <v>79.984012789768201</v>
      </c>
      <c r="AB43" s="1">
        <f t="shared" si="20"/>
        <v>79.984012789768201</v>
      </c>
      <c r="AC43" s="1">
        <v>2.2812000000000001</v>
      </c>
      <c r="AD43" s="1">
        <v>4.6482000000000001</v>
      </c>
      <c r="AE43" s="1">
        <v>6.3221999999999996</v>
      </c>
      <c r="AF43" s="1">
        <v>11.244199999999999</v>
      </c>
      <c r="AG43" s="1">
        <v>18.956</v>
      </c>
      <c r="AH43" s="1">
        <v>4.8393999999999986</v>
      </c>
      <c r="AI43" s="1">
        <v>5.6033999999999997</v>
      </c>
      <c r="AJ43" s="1">
        <v>14.360799999999999</v>
      </c>
      <c r="AK43" s="16" t="s">
        <v>88</v>
      </c>
      <c r="AL43" s="1">
        <f t="shared" si="8"/>
        <v>0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89</v>
      </c>
      <c r="B44" s="1" t="s">
        <v>44</v>
      </c>
      <c r="C44" s="1">
        <v>290</v>
      </c>
      <c r="D44" s="1">
        <v>804</v>
      </c>
      <c r="E44" s="1">
        <v>279</v>
      </c>
      <c r="F44" s="1">
        <v>569</v>
      </c>
      <c r="G44" s="7">
        <v>0.1</v>
      </c>
      <c r="H44" s="1">
        <v>731</v>
      </c>
      <c r="I44" s="1" t="s">
        <v>39</v>
      </c>
      <c r="J44" s="1"/>
      <c r="K44" s="1">
        <v>297</v>
      </c>
      <c r="L44" s="1">
        <f t="shared" si="17"/>
        <v>-18</v>
      </c>
      <c r="M44" s="1">
        <f t="shared" si="18"/>
        <v>279</v>
      </c>
      <c r="N44" s="1"/>
      <c r="O44" s="1">
        <v>0</v>
      </c>
      <c r="P44" s="1"/>
      <c r="Q44" s="1"/>
      <c r="R44" s="1"/>
      <c r="S44" s="1"/>
      <c r="T44" s="1"/>
      <c r="U44" s="1"/>
      <c r="V44" s="1">
        <f t="shared" si="19"/>
        <v>55.8</v>
      </c>
      <c r="W44" s="5">
        <f t="shared" si="21"/>
        <v>100.59999999999991</v>
      </c>
      <c r="X44" s="5">
        <f>W44+V44*$X$1</f>
        <v>177.04599999999991</v>
      </c>
      <c r="Y44" s="18"/>
      <c r="Z44" s="18"/>
      <c r="AA44" s="1">
        <f t="shared" si="7"/>
        <v>13.37</v>
      </c>
      <c r="AB44" s="1">
        <f t="shared" si="20"/>
        <v>10.197132616487457</v>
      </c>
      <c r="AC44" s="1">
        <v>66.2</v>
      </c>
      <c r="AD44" s="1">
        <v>60.8</v>
      </c>
      <c r="AE44" s="1">
        <v>56</v>
      </c>
      <c r="AF44" s="1">
        <v>60</v>
      </c>
      <c r="AG44" s="1">
        <v>69.400000000000006</v>
      </c>
      <c r="AH44" s="1">
        <v>43</v>
      </c>
      <c r="AI44" s="1">
        <v>24</v>
      </c>
      <c r="AJ44" s="1">
        <v>35.6</v>
      </c>
      <c r="AK44" s="1"/>
      <c r="AL44" s="1">
        <f t="shared" si="8"/>
        <v>18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90</v>
      </c>
      <c r="B45" s="1" t="s">
        <v>44</v>
      </c>
      <c r="C45" s="1">
        <v>-2</v>
      </c>
      <c r="D45" s="1">
        <v>100</v>
      </c>
      <c r="E45" s="1">
        <v>-1</v>
      </c>
      <c r="F45" s="1">
        <v>7</v>
      </c>
      <c r="G45" s="7">
        <v>0.35</v>
      </c>
      <c r="H45" s="1">
        <v>40</v>
      </c>
      <c r="I45" s="10" t="s">
        <v>50</v>
      </c>
      <c r="J45" s="1"/>
      <c r="K45" s="1">
        <v>38</v>
      </c>
      <c r="L45" s="1">
        <f t="shared" si="17"/>
        <v>-39</v>
      </c>
      <c r="M45" s="1">
        <f t="shared" si="18"/>
        <v>-1</v>
      </c>
      <c r="N45" s="1"/>
      <c r="O45" s="1">
        <v>90.799999999999983</v>
      </c>
      <c r="P45" s="1">
        <v>-96.000000000000014</v>
      </c>
      <c r="Q45" s="1"/>
      <c r="R45" s="1"/>
      <c r="S45" s="1"/>
      <c r="T45" s="1">
        <v>52</v>
      </c>
      <c r="U45" s="1"/>
      <c r="V45" s="1">
        <f t="shared" si="19"/>
        <v>-0.2</v>
      </c>
      <c r="W45" s="5">
        <v>30</v>
      </c>
      <c r="X45" s="5">
        <f t="shared" ref="X45:X51" si="23">W45*1.3</f>
        <v>39</v>
      </c>
      <c r="Y45" s="18"/>
      <c r="Z45" s="18"/>
      <c r="AA45" s="1">
        <f t="shared" si="7"/>
        <v>-463.99999999999983</v>
      </c>
      <c r="AB45" s="1">
        <f t="shared" si="20"/>
        <v>-268.99999999999983</v>
      </c>
      <c r="AC45" s="1">
        <v>-0.4</v>
      </c>
      <c r="AD45" s="1">
        <v>17.399999999999999</v>
      </c>
      <c r="AE45" s="1">
        <v>18.2</v>
      </c>
      <c r="AF45" s="1">
        <v>0.4</v>
      </c>
      <c r="AG45" s="1">
        <v>0.6</v>
      </c>
      <c r="AH45" s="1">
        <v>-0.8</v>
      </c>
      <c r="AI45" s="1">
        <v>-1.8</v>
      </c>
      <c r="AJ45" s="1">
        <v>-2.4</v>
      </c>
      <c r="AK45" s="1"/>
      <c r="AL45" s="1">
        <f t="shared" si="8"/>
        <v>14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91</v>
      </c>
      <c r="B46" s="1" t="s">
        <v>38</v>
      </c>
      <c r="C46" s="1">
        <v>9.64</v>
      </c>
      <c r="D46" s="1">
        <v>73.850999999999999</v>
      </c>
      <c r="E46" s="1">
        <v>4.343</v>
      </c>
      <c r="F46" s="1">
        <v>25.282</v>
      </c>
      <c r="G46" s="7">
        <v>1</v>
      </c>
      <c r="H46" s="1">
        <v>40</v>
      </c>
      <c r="I46" s="10" t="s">
        <v>50</v>
      </c>
      <c r="J46" s="1"/>
      <c r="K46" s="1">
        <v>19.3</v>
      </c>
      <c r="L46" s="1">
        <f t="shared" si="17"/>
        <v>-14.957000000000001</v>
      </c>
      <c r="M46" s="1">
        <f t="shared" si="18"/>
        <v>4.343</v>
      </c>
      <c r="N46" s="1"/>
      <c r="O46" s="1">
        <v>22.260799999999989</v>
      </c>
      <c r="P46" s="1"/>
      <c r="Q46" s="1"/>
      <c r="R46" s="1"/>
      <c r="S46" s="1"/>
      <c r="T46" s="1">
        <v>52</v>
      </c>
      <c r="U46" s="1"/>
      <c r="V46" s="1">
        <f t="shared" si="19"/>
        <v>0.86860000000000004</v>
      </c>
      <c r="W46" s="5"/>
      <c r="X46" s="5">
        <f t="shared" si="23"/>
        <v>0</v>
      </c>
      <c r="Y46" s="18"/>
      <c r="Z46" s="18"/>
      <c r="AA46" s="1">
        <f t="shared" si="7"/>
        <v>114.6014275846189</v>
      </c>
      <c r="AB46" s="1">
        <f t="shared" si="20"/>
        <v>114.6014275846189</v>
      </c>
      <c r="AC46" s="1">
        <v>1.5376000000000001</v>
      </c>
      <c r="AD46" s="1">
        <v>4.7845999999999993</v>
      </c>
      <c r="AE46" s="1">
        <v>3.8283999999999998</v>
      </c>
      <c r="AF46" s="1">
        <v>1.671</v>
      </c>
      <c r="AG46" s="1">
        <v>2.0398000000000001</v>
      </c>
      <c r="AH46" s="1">
        <v>3.0230000000000001</v>
      </c>
      <c r="AI46" s="1">
        <v>3.0924</v>
      </c>
      <c r="AJ46" s="1">
        <v>2.1831999999999998</v>
      </c>
      <c r="AK46" s="16" t="s">
        <v>88</v>
      </c>
      <c r="AL46" s="1">
        <f t="shared" si="8"/>
        <v>0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92</v>
      </c>
      <c r="B47" s="1" t="s">
        <v>44</v>
      </c>
      <c r="C47" s="1">
        <v>-33</v>
      </c>
      <c r="D47" s="1">
        <v>1471</v>
      </c>
      <c r="E47" s="1">
        <v>325</v>
      </c>
      <c r="F47" s="1">
        <v>123</v>
      </c>
      <c r="G47" s="7">
        <v>0.4</v>
      </c>
      <c r="H47" s="1">
        <v>40</v>
      </c>
      <c r="I47" s="10" t="s">
        <v>50</v>
      </c>
      <c r="J47" s="1"/>
      <c r="K47" s="1">
        <v>401</v>
      </c>
      <c r="L47" s="1">
        <f t="shared" si="17"/>
        <v>-76</v>
      </c>
      <c r="M47" s="1">
        <f t="shared" si="18"/>
        <v>325</v>
      </c>
      <c r="N47" s="1"/>
      <c r="O47" s="1">
        <v>378.40000000000009</v>
      </c>
      <c r="P47" s="1">
        <v>-377.99999999999989</v>
      </c>
      <c r="Q47" s="1"/>
      <c r="R47" s="1"/>
      <c r="S47" s="1"/>
      <c r="T47" s="1">
        <v>390</v>
      </c>
      <c r="U47" s="1">
        <v>195</v>
      </c>
      <c r="V47" s="1">
        <f t="shared" si="19"/>
        <v>65</v>
      </c>
      <c r="W47" s="5">
        <f t="shared" si="21"/>
        <v>71.599999999999795</v>
      </c>
      <c r="X47" s="5">
        <f t="shared" si="23"/>
        <v>93.079999999999742</v>
      </c>
      <c r="Y47" s="18"/>
      <c r="Z47" s="18"/>
      <c r="AA47" s="1">
        <f t="shared" si="7"/>
        <v>12.330461538461536</v>
      </c>
      <c r="AB47" s="1">
        <f t="shared" si="20"/>
        <v>10.898461538461541</v>
      </c>
      <c r="AC47" s="1">
        <v>73.2</v>
      </c>
      <c r="AD47" s="1">
        <v>57</v>
      </c>
      <c r="AE47" s="1">
        <v>51.2</v>
      </c>
      <c r="AF47" s="1">
        <v>38.4</v>
      </c>
      <c r="AG47" s="1">
        <v>34.6</v>
      </c>
      <c r="AH47" s="1">
        <v>39.4</v>
      </c>
      <c r="AI47" s="1">
        <v>36.6</v>
      </c>
      <c r="AJ47" s="1">
        <v>26.8</v>
      </c>
      <c r="AK47" s="1"/>
      <c r="AL47" s="1">
        <f t="shared" si="8"/>
        <v>37</v>
      </c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93</v>
      </c>
      <c r="B48" s="1" t="s">
        <v>44</v>
      </c>
      <c r="C48" s="1">
        <v>129</v>
      </c>
      <c r="D48" s="1">
        <v>1764</v>
      </c>
      <c r="E48" s="1">
        <v>440</v>
      </c>
      <c r="F48" s="1">
        <v>195</v>
      </c>
      <c r="G48" s="7">
        <v>0.4</v>
      </c>
      <c r="H48" s="1">
        <v>45</v>
      </c>
      <c r="I48" s="10" t="s">
        <v>50</v>
      </c>
      <c r="J48" s="1"/>
      <c r="K48" s="1">
        <v>459</v>
      </c>
      <c r="L48" s="1">
        <f t="shared" si="17"/>
        <v>-19</v>
      </c>
      <c r="M48" s="1">
        <f t="shared" si="18"/>
        <v>440</v>
      </c>
      <c r="N48" s="1"/>
      <c r="O48" s="1">
        <v>100</v>
      </c>
      <c r="P48" s="1"/>
      <c r="Q48" s="1"/>
      <c r="R48" s="1">
        <v>50</v>
      </c>
      <c r="S48" s="1"/>
      <c r="T48" s="1">
        <v>522.59999999999991</v>
      </c>
      <c r="U48" s="1">
        <v>261.3</v>
      </c>
      <c r="V48" s="1">
        <f t="shared" si="19"/>
        <v>88</v>
      </c>
      <c r="W48" s="5"/>
      <c r="X48" s="5">
        <f t="shared" si="23"/>
        <v>0</v>
      </c>
      <c r="Y48" s="18"/>
      <c r="Z48" s="18"/>
      <c r="AA48" s="1">
        <f t="shared" si="7"/>
        <v>12.828409090909089</v>
      </c>
      <c r="AB48" s="1">
        <f t="shared" si="20"/>
        <v>12.828409090909089</v>
      </c>
      <c r="AC48" s="1">
        <v>84</v>
      </c>
      <c r="AD48" s="1">
        <v>41.2</v>
      </c>
      <c r="AE48" s="1">
        <v>60.8</v>
      </c>
      <c r="AF48" s="1">
        <v>91.6</v>
      </c>
      <c r="AG48" s="1">
        <v>61.8</v>
      </c>
      <c r="AH48" s="1">
        <v>53.8</v>
      </c>
      <c r="AI48" s="1">
        <v>28.6</v>
      </c>
      <c r="AJ48" s="1">
        <v>35.200000000000003</v>
      </c>
      <c r="AK48" s="1"/>
      <c r="AL48" s="1">
        <f t="shared" si="8"/>
        <v>0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94</v>
      </c>
      <c r="B49" s="1" t="s">
        <v>38</v>
      </c>
      <c r="C49" s="1">
        <v>49.423000000000002</v>
      </c>
      <c r="D49" s="1">
        <v>100.98</v>
      </c>
      <c r="E49" s="1">
        <v>48.893999999999998</v>
      </c>
      <c r="F49" s="1">
        <v>-0.72699999999999998</v>
      </c>
      <c r="G49" s="7">
        <v>1</v>
      </c>
      <c r="H49" s="1">
        <v>40</v>
      </c>
      <c r="I49" s="10" t="s">
        <v>50</v>
      </c>
      <c r="J49" s="1"/>
      <c r="K49" s="1">
        <v>88.4</v>
      </c>
      <c r="L49" s="1">
        <f t="shared" si="17"/>
        <v>-39.506000000000007</v>
      </c>
      <c r="M49" s="1">
        <f t="shared" si="18"/>
        <v>48.893999999999998</v>
      </c>
      <c r="N49" s="1"/>
      <c r="O49" s="1">
        <v>121.2248</v>
      </c>
      <c r="P49" s="1">
        <v>-121.8</v>
      </c>
      <c r="Q49" s="1"/>
      <c r="R49" s="1"/>
      <c r="S49" s="1"/>
      <c r="T49" s="1">
        <v>130</v>
      </c>
      <c r="U49" s="1"/>
      <c r="V49" s="1">
        <f t="shared" si="19"/>
        <v>9.7788000000000004</v>
      </c>
      <c r="W49" s="5">
        <v>30</v>
      </c>
      <c r="X49" s="5">
        <f t="shared" si="23"/>
        <v>39</v>
      </c>
      <c r="Y49" s="18"/>
      <c r="Z49" s="18"/>
      <c r="AA49" s="1">
        <f t="shared" si="7"/>
        <v>17.149118501247596</v>
      </c>
      <c r="AB49" s="1">
        <f t="shared" si="20"/>
        <v>13.160899087822637</v>
      </c>
      <c r="AC49" s="1">
        <v>18.235800000000001</v>
      </c>
      <c r="AD49" s="1">
        <v>15.523999999999999</v>
      </c>
      <c r="AE49" s="1">
        <v>12.8612</v>
      </c>
      <c r="AF49" s="1">
        <v>9.6170000000000009</v>
      </c>
      <c r="AG49" s="1">
        <v>3.972</v>
      </c>
      <c r="AH49" s="1">
        <v>4.1012000000000004</v>
      </c>
      <c r="AI49" s="1">
        <v>4.9813999999999998</v>
      </c>
      <c r="AJ49" s="1">
        <v>0.87859999999999994</v>
      </c>
      <c r="AK49" s="1" t="s">
        <v>41</v>
      </c>
      <c r="AL49" s="1">
        <f t="shared" si="8"/>
        <v>39</v>
      </c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95</v>
      </c>
      <c r="B50" s="1" t="s">
        <v>44</v>
      </c>
      <c r="C50" s="1">
        <v>125.85</v>
      </c>
      <c r="D50" s="1">
        <v>1983.15</v>
      </c>
      <c r="E50" s="1">
        <v>156</v>
      </c>
      <c r="F50" s="1">
        <v>2</v>
      </c>
      <c r="G50" s="7">
        <v>0.35</v>
      </c>
      <c r="H50" s="1">
        <v>40</v>
      </c>
      <c r="I50" s="10" t="s">
        <v>50</v>
      </c>
      <c r="J50" s="1"/>
      <c r="K50" s="1">
        <v>347</v>
      </c>
      <c r="L50" s="1">
        <f t="shared" si="17"/>
        <v>-191</v>
      </c>
      <c r="M50" s="1">
        <f t="shared" si="18"/>
        <v>156</v>
      </c>
      <c r="N50" s="1"/>
      <c r="O50" s="1">
        <v>48.95000000000001</v>
      </c>
      <c r="P50" s="1">
        <v>-54</v>
      </c>
      <c r="Q50" s="1"/>
      <c r="R50" s="1"/>
      <c r="S50" s="1"/>
      <c r="T50" s="1">
        <v>260</v>
      </c>
      <c r="U50" s="1"/>
      <c r="V50" s="1">
        <f t="shared" si="19"/>
        <v>31.2</v>
      </c>
      <c r="W50" s="5">
        <f t="shared" si="21"/>
        <v>117.44999999999996</v>
      </c>
      <c r="X50" s="5">
        <f t="shared" si="23"/>
        <v>152.68499999999995</v>
      </c>
      <c r="Y50" s="18"/>
      <c r="Z50" s="18"/>
      <c r="AA50" s="1">
        <f t="shared" si="7"/>
        <v>13.129326923076921</v>
      </c>
      <c r="AB50" s="1">
        <f t="shared" si="20"/>
        <v>8.2355769230769234</v>
      </c>
      <c r="AC50" s="1">
        <v>60.8</v>
      </c>
      <c r="AD50" s="1">
        <v>78.400000000000006</v>
      </c>
      <c r="AE50" s="1">
        <v>297.39999999999998</v>
      </c>
      <c r="AF50" s="1">
        <v>286.60000000000002</v>
      </c>
      <c r="AG50" s="1">
        <v>77.599999999999994</v>
      </c>
      <c r="AH50" s="1">
        <v>42.2</v>
      </c>
      <c r="AI50" s="1">
        <v>3.4</v>
      </c>
      <c r="AJ50" s="1">
        <v>3.8</v>
      </c>
      <c r="AK50" s="1" t="s">
        <v>96</v>
      </c>
      <c r="AL50" s="1">
        <f t="shared" si="8"/>
        <v>53</v>
      </c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97</v>
      </c>
      <c r="B51" s="1" t="s">
        <v>44</v>
      </c>
      <c r="C51" s="1">
        <v>420</v>
      </c>
      <c r="D51" s="1">
        <v>1641</v>
      </c>
      <c r="E51" s="1">
        <v>457</v>
      </c>
      <c r="F51" s="1">
        <v>335</v>
      </c>
      <c r="G51" s="7">
        <v>0.4</v>
      </c>
      <c r="H51" s="1">
        <v>40</v>
      </c>
      <c r="I51" s="10" t="s">
        <v>50</v>
      </c>
      <c r="J51" s="1"/>
      <c r="K51" s="1">
        <v>464</v>
      </c>
      <c r="L51" s="1">
        <f t="shared" si="17"/>
        <v>-7</v>
      </c>
      <c r="M51" s="1">
        <f t="shared" si="18"/>
        <v>397</v>
      </c>
      <c r="N51" s="1">
        <v>60</v>
      </c>
      <c r="O51" s="1">
        <v>15.80000000000007</v>
      </c>
      <c r="P51" s="1">
        <v>-18</v>
      </c>
      <c r="Q51" s="1"/>
      <c r="R51" s="1"/>
      <c r="S51" s="1"/>
      <c r="T51" s="1">
        <v>260</v>
      </c>
      <c r="U51" s="1"/>
      <c r="V51" s="1">
        <f t="shared" si="19"/>
        <v>79.400000000000006</v>
      </c>
      <c r="W51" s="5">
        <f t="shared" si="21"/>
        <v>360</v>
      </c>
      <c r="X51" s="5">
        <f t="shared" si="23"/>
        <v>468</v>
      </c>
      <c r="Y51" s="18"/>
      <c r="Z51" s="18"/>
      <c r="AA51" s="1">
        <f t="shared" si="7"/>
        <v>13.360201511335013</v>
      </c>
      <c r="AB51" s="1">
        <f t="shared" si="20"/>
        <v>7.4659949622166248</v>
      </c>
      <c r="AC51" s="1">
        <v>67.400000000000006</v>
      </c>
      <c r="AD51" s="1">
        <v>75.400000000000006</v>
      </c>
      <c r="AE51" s="1">
        <v>92</v>
      </c>
      <c r="AF51" s="1">
        <v>107</v>
      </c>
      <c r="AG51" s="1">
        <v>103</v>
      </c>
      <c r="AH51" s="1">
        <v>65.599999999999994</v>
      </c>
      <c r="AI51" s="1">
        <v>59</v>
      </c>
      <c r="AJ51" s="1">
        <v>80.2</v>
      </c>
      <c r="AK51" s="1"/>
      <c r="AL51" s="1">
        <f t="shared" si="8"/>
        <v>187</v>
      </c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98</v>
      </c>
      <c r="B52" s="1" t="s">
        <v>38</v>
      </c>
      <c r="C52" s="1">
        <v>0.68600000000000005</v>
      </c>
      <c r="D52" s="1">
        <v>487.53</v>
      </c>
      <c r="E52" s="1">
        <v>99.168000000000006</v>
      </c>
      <c r="F52" s="1">
        <v>180.98</v>
      </c>
      <c r="G52" s="7">
        <v>1</v>
      </c>
      <c r="H52" s="1">
        <v>50</v>
      </c>
      <c r="I52" s="1" t="s">
        <v>39</v>
      </c>
      <c r="J52" s="1"/>
      <c r="K52" s="1">
        <v>99.3</v>
      </c>
      <c r="L52" s="1">
        <f t="shared" si="17"/>
        <v>-0.13199999999999079</v>
      </c>
      <c r="M52" s="1">
        <f t="shared" si="18"/>
        <v>99.168000000000006</v>
      </c>
      <c r="N52" s="1"/>
      <c r="O52" s="1">
        <v>41.567173410000002</v>
      </c>
      <c r="P52" s="1"/>
      <c r="Q52" s="1"/>
      <c r="R52" s="1">
        <v>76.959126589999983</v>
      </c>
      <c r="S52" s="1"/>
      <c r="T52" s="1"/>
      <c r="U52" s="1"/>
      <c r="V52" s="1">
        <f t="shared" si="19"/>
        <v>19.833600000000001</v>
      </c>
      <c r="W52" s="5"/>
      <c r="X52" s="5">
        <f t="shared" si="6"/>
        <v>0</v>
      </c>
      <c r="Y52" s="18"/>
      <c r="Z52" s="18"/>
      <c r="AA52" s="1">
        <f t="shared" si="7"/>
        <v>15.100954945143595</v>
      </c>
      <c r="AB52" s="1">
        <f t="shared" si="20"/>
        <v>15.100954945143595</v>
      </c>
      <c r="AC52" s="1">
        <v>20.871600000000001</v>
      </c>
      <c r="AD52" s="1">
        <v>29.981400000000001</v>
      </c>
      <c r="AE52" s="1">
        <v>29.677399999999999</v>
      </c>
      <c r="AF52" s="1">
        <v>19.035</v>
      </c>
      <c r="AG52" s="1">
        <v>16.658200000000001</v>
      </c>
      <c r="AH52" s="1">
        <v>12.968</v>
      </c>
      <c r="AI52" s="1">
        <v>15.1008</v>
      </c>
      <c r="AJ52" s="1">
        <v>23.822600000000001</v>
      </c>
      <c r="AK52" s="1"/>
      <c r="AL52" s="1">
        <f t="shared" si="8"/>
        <v>0</v>
      </c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99</v>
      </c>
      <c r="B53" s="1" t="s">
        <v>38</v>
      </c>
      <c r="C53" s="1">
        <v>-61.829000000000001</v>
      </c>
      <c r="D53" s="1">
        <v>3139.5050000000001</v>
      </c>
      <c r="E53" s="1">
        <v>1190.2049999999999</v>
      </c>
      <c r="F53" s="1">
        <v>325.00599999999997</v>
      </c>
      <c r="G53" s="7">
        <v>1</v>
      </c>
      <c r="H53" s="1">
        <v>50</v>
      </c>
      <c r="I53" s="1" t="s">
        <v>39</v>
      </c>
      <c r="J53" s="1"/>
      <c r="K53" s="1">
        <v>1217.2529999999999</v>
      </c>
      <c r="L53" s="1">
        <f t="shared" si="17"/>
        <v>-27.048000000000002</v>
      </c>
      <c r="M53" s="1">
        <f t="shared" si="18"/>
        <v>707.75199999999995</v>
      </c>
      <c r="N53" s="1">
        <v>482.45299999999997</v>
      </c>
      <c r="O53" s="1">
        <v>0</v>
      </c>
      <c r="P53" s="1"/>
      <c r="Q53" s="1"/>
      <c r="R53" s="1"/>
      <c r="S53" s="1"/>
      <c r="T53" s="1"/>
      <c r="U53" s="1"/>
      <c r="V53" s="1">
        <f t="shared" si="19"/>
        <v>141.5504</v>
      </c>
      <c r="W53" s="5">
        <f t="shared" si="21"/>
        <v>1373.5988000000002</v>
      </c>
      <c r="X53" s="5">
        <f>W53+V53*$X$1</f>
        <v>1567.5228480000003</v>
      </c>
      <c r="Y53" s="18"/>
      <c r="Z53" s="18"/>
      <c r="AA53" s="1">
        <f t="shared" si="7"/>
        <v>13.370000000000003</v>
      </c>
      <c r="AB53" s="1">
        <f t="shared" si="20"/>
        <v>2.2960443771264512</v>
      </c>
      <c r="AC53" s="1">
        <v>82.66</v>
      </c>
      <c r="AD53" s="1">
        <v>80.614800000000002</v>
      </c>
      <c r="AE53" s="1">
        <v>94.964200000000005</v>
      </c>
      <c r="AF53" s="1">
        <v>153.36920000000001</v>
      </c>
      <c r="AG53" s="1">
        <v>161.00640000000001</v>
      </c>
      <c r="AH53" s="1">
        <v>71.831199999999995</v>
      </c>
      <c r="AI53" s="1">
        <v>69.209599999999995</v>
      </c>
      <c r="AJ53" s="1">
        <v>101.32680000000001</v>
      </c>
      <c r="AK53" s="1" t="s">
        <v>41</v>
      </c>
      <c r="AL53" s="1">
        <f t="shared" si="8"/>
        <v>1568</v>
      </c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1" t="s">
        <v>100</v>
      </c>
      <c r="B54" s="11" t="s">
        <v>38</v>
      </c>
      <c r="C54" s="11"/>
      <c r="D54" s="11"/>
      <c r="E54" s="11"/>
      <c r="F54" s="11"/>
      <c r="G54" s="12">
        <v>0</v>
      </c>
      <c r="H54" s="11"/>
      <c r="I54" s="11" t="s">
        <v>39</v>
      </c>
      <c r="J54" s="11"/>
      <c r="K54" s="11"/>
      <c r="L54" s="11">
        <f t="shared" si="17"/>
        <v>0</v>
      </c>
      <c r="M54" s="11">
        <f t="shared" si="18"/>
        <v>0</v>
      </c>
      <c r="N54" s="11"/>
      <c r="O54" s="11">
        <v>0</v>
      </c>
      <c r="P54" s="11"/>
      <c r="Q54" s="11"/>
      <c r="R54" s="11"/>
      <c r="S54" s="11"/>
      <c r="T54" s="11"/>
      <c r="U54" s="11"/>
      <c r="V54" s="11">
        <f t="shared" si="19"/>
        <v>0</v>
      </c>
      <c r="W54" s="13"/>
      <c r="X54" s="5">
        <f t="shared" si="6"/>
        <v>0</v>
      </c>
      <c r="Y54" s="18"/>
      <c r="Z54" s="18"/>
      <c r="AA54" s="1" t="e">
        <f t="shared" si="7"/>
        <v>#DIV/0!</v>
      </c>
      <c r="AB54" s="11" t="e">
        <f t="shared" si="20"/>
        <v>#DIV/0!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 t="s">
        <v>62</v>
      </c>
      <c r="AL54" s="1">
        <f t="shared" si="8"/>
        <v>0</v>
      </c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101</v>
      </c>
      <c r="B55" s="1" t="s">
        <v>44</v>
      </c>
      <c r="C55" s="1">
        <v>603</v>
      </c>
      <c r="D55" s="1">
        <v>1776</v>
      </c>
      <c r="E55" s="1">
        <v>265.01799999999997</v>
      </c>
      <c r="F55" s="1">
        <v>346.98200000000003</v>
      </c>
      <c r="G55" s="7">
        <v>0.45</v>
      </c>
      <c r="H55" s="1">
        <v>50</v>
      </c>
      <c r="I55" s="1" t="s">
        <v>39</v>
      </c>
      <c r="J55" s="1"/>
      <c r="K55" s="1">
        <v>304</v>
      </c>
      <c r="L55" s="1">
        <f t="shared" si="17"/>
        <v>-38.982000000000028</v>
      </c>
      <c r="M55" s="1">
        <f t="shared" si="18"/>
        <v>265.01799999999997</v>
      </c>
      <c r="N55" s="1"/>
      <c r="O55" s="1">
        <v>103.03565999999999</v>
      </c>
      <c r="P55" s="1"/>
      <c r="Q55" s="1"/>
      <c r="R55" s="1">
        <v>190.76434</v>
      </c>
      <c r="S55" s="1">
        <v>-191</v>
      </c>
      <c r="T55" s="1"/>
      <c r="U55" s="1"/>
      <c r="V55" s="1">
        <f t="shared" si="19"/>
        <v>53.003599999999992</v>
      </c>
      <c r="W55" s="5">
        <f t="shared" ref="W55:W56" si="24">12*V55-U55-T55-S55-R55-Q55-P55-O55-F55</f>
        <v>186.26119999999986</v>
      </c>
      <c r="X55" s="5">
        <f t="shared" ref="X55:X56" si="25">W55+V55*$X$1</f>
        <v>258.87613199999987</v>
      </c>
      <c r="Y55" s="18"/>
      <c r="Z55" s="18"/>
      <c r="AA55" s="1">
        <f t="shared" si="7"/>
        <v>13.370000000000001</v>
      </c>
      <c r="AB55" s="1">
        <f t="shared" si="20"/>
        <v>8.4858764310348747</v>
      </c>
      <c r="AC55" s="1">
        <v>62.2</v>
      </c>
      <c r="AD55" s="1">
        <v>72.400000000000006</v>
      </c>
      <c r="AE55" s="1">
        <v>68</v>
      </c>
      <c r="AF55" s="1">
        <v>63</v>
      </c>
      <c r="AG55" s="1">
        <v>61</v>
      </c>
      <c r="AH55" s="1">
        <v>62.8</v>
      </c>
      <c r="AI55" s="1">
        <v>62.4</v>
      </c>
      <c r="AJ55" s="1">
        <v>49.2</v>
      </c>
      <c r="AK55" s="1"/>
      <c r="AL55" s="1">
        <f t="shared" si="8"/>
        <v>116</v>
      </c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102</v>
      </c>
      <c r="B56" s="1" t="s">
        <v>44</v>
      </c>
      <c r="C56" s="1">
        <v>452</v>
      </c>
      <c r="D56" s="1">
        <v>3651</v>
      </c>
      <c r="E56" s="1">
        <v>562</v>
      </c>
      <c r="F56" s="1">
        <v>269</v>
      </c>
      <c r="G56" s="7">
        <v>0.45</v>
      </c>
      <c r="H56" s="1">
        <v>50</v>
      </c>
      <c r="I56" s="1" t="s">
        <v>39</v>
      </c>
      <c r="J56" s="1"/>
      <c r="K56" s="1">
        <v>571</v>
      </c>
      <c r="L56" s="1">
        <f t="shared" si="17"/>
        <v>-9</v>
      </c>
      <c r="M56" s="1">
        <f t="shared" si="18"/>
        <v>562</v>
      </c>
      <c r="N56" s="1"/>
      <c r="O56" s="1">
        <v>111.8031600000001</v>
      </c>
      <c r="P56" s="1"/>
      <c r="Q56" s="1"/>
      <c r="R56" s="1">
        <v>206.99684000000011</v>
      </c>
      <c r="S56" s="1"/>
      <c r="T56" s="1">
        <v>121.1039999999999</v>
      </c>
      <c r="U56" s="1">
        <v>484.41599999999983</v>
      </c>
      <c r="V56" s="1">
        <f t="shared" si="19"/>
        <v>112.4</v>
      </c>
      <c r="W56" s="5">
        <f t="shared" si="24"/>
        <v>155.48000000000019</v>
      </c>
      <c r="X56" s="5">
        <f t="shared" si="25"/>
        <v>309.46800000000019</v>
      </c>
      <c r="Y56" s="18"/>
      <c r="Z56" s="18"/>
      <c r="AA56" s="1">
        <f t="shared" si="7"/>
        <v>13.37</v>
      </c>
      <c r="AB56" s="1">
        <f t="shared" si="20"/>
        <v>10.616725978647686</v>
      </c>
      <c r="AC56" s="1">
        <v>111.6</v>
      </c>
      <c r="AD56" s="1">
        <v>97.4</v>
      </c>
      <c r="AE56" s="1">
        <v>85.4</v>
      </c>
      <c r="AF56" s="1">
        <v>118.6</v>
      </c>
      <c r="AG56" s="1">
        <v>121</v>
      </c>
      <c r="AH56" s="1">
        <v>89.2</v>
      </c>
      <c r="AI56" s="1">
        <v>85.2</v>
      </c>
      <c r="AJ56" s="1">
        <v>83.8</v>
      </c>
      <c r="AK56" s="1"/>
      <c r="AL56" s="1">
        <f t="shared" si="8"/>
        <v>139</v>
      </c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1" t="s">
        <v>103</v>
      </c>
      <c r="B57" s="11" t="s">
        <v>44</v>
      </c>
      <c r="C57" s="11"/>
      <c r="D57" s="11"/>
      <c r="E57" s="11"/>
      <c r="F57" s="11"/>
      <c r="G57" s="12">
        <v>0</v>
      </c>
      <c r="H57" s="11"/>
      <c r="I57" s="11" t="s">
        <v>39</v>
      </c>
      <c r="J57" s="11"/>
      <c r="K57" s="11"/>
      <c r="L57" s="11">
        <f t="shared" si="17"/>
        <v>0</v>
      </c>
      <c r="M57" s="11">
        <f t="shared" si="18"/>
        <v>0</v>
      </c>
      <c r="N57" s="11"/>
      <c r="O57" s="11">
        <v>0</v>
      </c>
      <c r="P57" s="11"/>
      <c r="Q57" s="11"/>
      <c r="R57" s="11"/>
      <c r="S57" s="11"/>
      <c r="T57" s="11"/>
      <c r="U57" s="11"/>
      <c r="V57" s="11">
        <f t="shared" si="19"/>
        <v>0</v>
      </c>
      <c r="W57" s="13"/>
      <c r="X57" s="5">
        <f t="shared" si="6"/>
        <v>0</v>
      </c>
      <c r="Y57" s="18"/>
      <c r="Z57" s="18"/>
      <c r="AA57" s="1" t="e">
        <f t="shared" si="7"/>
        <v>#DIV/0!</v>
      </c>
      <c r="AB57" s="11" t="e">
        <f t="shared" si="20"/>
        <v>#DIV/0!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 t="s">
        <v>62</v>
      </c>
      <c r="AL57" s="1">
        <f t="shared" si="8"/>
        <v>0</v>
      </c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104</v>
      </c>
      <c r="B58" s="1" t="s">
        <v>44</v>
      </c>
      <c r="C58" s="1">
        <v>99</v>
      </c>
      <c r="D58" s="1">
        <v>58</v>
      </c>
      <c r="E58" s="1">
        <v>40</v>
      </c>
      <c r="F58" s="1">
        <v>83</v>
      </c>
      <c r="G58" s="7">
        <v>0.4</v>
      </c>
      <c r="H58" s="1">
        <v>40</v>
      </c>
      <c r="I58" s="10" t="s">
        <v>50</v>
      </c>
      <c r="J58" s="1"/>
      <c r="K58" s="1">
        <v>55</v>
      </c>
      <c r="L58" s="1">
        <f t="shared" si="17"/>
        <v>-15</v>
      </c>
      <c r="M58" s="1">
        <f t="shared" si="18"/>
        <v>40</v>
      </c>
      <c r="N58" s="1"/>
      <c r="O58" s="1">
        <v>0</v>
      </c>
      <c r="P58" s="1"/>
      <c r="Q58" s="1"/>
      <c r="R58" s="1"/>
      <c r="S58" s="1"/>
      <c r="T58" s="1">
        <v>0</v>
      </c>
      <c r="U58" s="1"/>
      <c r="V58" s="1">
        <f t="shared" si="19"/>
        <v>8</v>
      </c>
      <c r="W58" s="5">
        <f t="shared" ref="W58:W71" si="26">12*V58-U58-T58-S58-R58-Q58-P58-O58-F58</f>
        <v>13</v>
      </c>
      <c r="X58" s="5">
        <f>W58*1.3</f>
        <v>16.900000000000002</v>
      </c>
      <c r="Y58" s="18"/>
      <c r="Z58" s="18"/>
      <c r="AA58" s="1">
        <f t="shared" si="7"/>
        <v>12.487500000000001</v>
      </c>
      <c r="AB58" s="1">
        <f t="shared" si="20"/>
        <v>10.375</v>
      </c>
      <c r="AC58" s="1">
        <v>7.4</v>
      </c>
      <c r="AD58" s="1">
        <v>5.4</v>
      </c>
      <c r="AE58" s="1">
        <v>6</v>
      </c>
      <c r="AF58" s="1">
        <v>5.2</v>
      </c>
      <c r="AG58" s="1">
        <v>6.6</v>
      </c>
      <c r="AH58" s="1">
        <v>2.6</v>
      </c>
      <c r="AI58" s="1">
        <v>2.8</v>
      </c>
      <c r="AJ58" s="1">
        <v>8.1999999999999993</v>
      </c>
      <c r="AK58" s="1" t="s">
        <v>64</v>
      </c>
      <c r="AL58" s="1">
        <f t="shared" si="8"/>
        <v>7</v>
      </c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105</v>
      </c>
      <c r="B59" s="1" t="s">
        <v>38</v>
      </c>
      <c r="C59" s="1">
        <v>-56.993000000000002</v>
      </c>
      <c r="D59" s="1">
        <v>2851.9279999999999</v>
      </c>
      <c r="E59" s="1">
        <v>1022.596</v>
      </c>
      <c r="F59" s="1">
        <v>439.36399999999998</v>
      </c>
      <c r="G59" s="7">
        <v>1</v>
      </c>
      <c r="H59" s="1">
        <v>50</v>
      </c>
      <c r="I59" s="1" t="s">
        <v>39</v>
      </c>
      <c r="J59" s="1"/>
      <c r="K59" s="1">
        <v>989.39599999999996</v>
      </c>
      <c r="L59" s="1">
        <f t="shared" si="17"/>
        <v>33.200000000000045</v>
      </c>
      <c r="M59" s="1">
        <f t="shared" si="18"/>
        <v>1022.596</v>
      </c>
      <c r="N59" s="1"/>
      <c r="O59" s="1">
        <v>70.140000000000015</v>
      </c>
      <c r="P59" s="1"/>
      <c r="Q59" s="1"/>
      <c r="R59" s="1">
        <v>129.86000000000001</v>
      </c>
      <c r="S59" s="1"/>
      <c r="T59" s="1">
        <v>232.55819151999989</v>
      </c>
      <c r="U59" s="1">
        <v>930.23276608000003</v>
      </c>
      <c r="V59" s="1">
        <f t="shared" si="19"/>
        <v>204.51920000000001</v>
      </c>
      <c r="W59" s="5">
        <f t="shared" si="26"/>
        <v>652.07544240000038</v>
      </c>
      <c r="X59" s="5">
        <f>W59+V59*$X$1</f>
        <v>932.26674640000044</v>
      </c>
      <c r="Y59" s="18"/>
      <c r="Z59" s="18"/>
      <c r="AA59" s="1">
        <f t="shared" si="7"/>
        <v>13.370000000000001</v>
      </c>
      <c r="AB59" s="1">
        <f t="shared" si="20"/>
        <v>8.8116663745995485</v>
      </c>
      <c r="AC59" s="1">
        <v>173.88640000000001</v>
      </c>
      <c r="AD59" s="1">
        <v>123.2016</v>
      </c>
      <c r="AE59" s="1">
        <v>136.36320000000001</v>
      </c>
      <c r="AF59" s="1">
        <v>140.7388</v>
      </c>
      <c r="AG59" s="1">
        <v>154.60720000000001</v>
      </c>
      <c r="AH59" s="1">
        <v>64.628200000000007</v>
      </c>
      <c r="AI59" s="1">
        <v>46.284599999999998</v>
      </c>
      <c r="AJ59" s="1">
        <v>73.507800000000003</v>
      </c>
      <c r="AK59" s="1"/>
      <c r="AL59" s="1">
        <f t="shared" si="8"/>
        <v>932</v>
      </c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106</v>
      </c>
      <c r="B60" s="1" t="s">
        <v>44</v>
      </c>
      <c r="C60" s="1">
        <v>344</v>
      </c>
      <c r="D60" s="1">
        <v>740</v>
      </c>
      <c r="E60" s="14">
        <f>159+E137</f>
        <v>233</v>
      </c>
      <c r="F60" s="14">
        <f>677+F137</f>
        <v>742</v>
      </c>
      <c r="G60" s="7">
        <v>0.1</v>
      </c>
      <c r="H60" s="1">
        <v>731</v>
      </c>
      <c r="I60" s="1" t="s">
        <v>39</v>
      </c>
      <c r="J60" s="1"/>
      <c r="K60" s="1">
        <v>164</v>
      </c>
      <c r="L60" s="1">
        <f t="shared" si="17"/>
        <v>69</v>
      </c>
      <c r="M60" s="1">
        <f t="shared" si="18"/>
        <v>233</v>
      </c>
      <c r="N60" s="1"/>
      <c r="O60" s="1">
        <v>0</v>
      </c>
      <c r="P60" s="1"/>
      <c r="Q60" s="1"/>
      <c r="R60" s="1"/>
      <c r="S60" s="1"/>
      <c r="T60" s="1"/>
      <c r="U60" s="1"/>
      <c r="V60" s="1">
        <f t="shared" si="19"/>
        <v>46.6</v>
      </c>
      <c r="W60" s="5"/>
      <c r="X60" s="5">
        <f t="shared" si="6"/>
        <v>0</v>
      </c>
      <c r="Y60" s="18"/>
      <c r="Z60" s="18"/>
      <c r="AA60" s="1">
        <f t="shared" si="7"/>
        <v>15.92274678111588</v>
      </c>
      <c r="AB60" s="1">
        <f t="shared" si="20"/>
        <v>15.92274678111588</v>
      </c>
      <c r="AC60" s="1">
        <v>63</v>
      </c>
      <c r="AD60" s="1">
        <v>65.400000000000006</v>
      </c>
      <c r="AE60" s="1">
        <v>33.4</v>
      </c>
      <c r="AF60" s="1">
        <v>37</v>
      </c>
      <c r="AG60" s="1">
        <v>62.6</v>
      </c>
      <c r="AH60" s="1">
        <v>35.200000000000003</v>
      </c>
      <c r="AI60" s="1">
        <v>18.2</v>
      </c>
      <c r="AJ60" s="1">
        <v>21.2</v>
      </c>
      <c r="AK60" s="1"/>
      <c r="AL60" s="1">
        <f t="shared" si="8"/>
        <v>0</v>
      </c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107</v>
      </c>
      <c r="B61" s="1" t="s">
        <v>38</v>
      </c>
      <c r="C61" s="1">
        <v>135.98599999999999</v>
      </c>
      <c r="D61" s="1">
        <v>1748.7329999999999</v>
      </c>
      <c r="E61" s="1">
        <v>524.73800000000006</v>
      </c>
      <c r="F61" s="1">
        <v>229.04300000000001</v>
      </c>
      <c r="G61" s="7">
        <v>1</v>
      </c>
      <c r="H61" s="1">
        <v>50</v>
      </c>
      <c r="I61" s="1" t="s">
        <v>39</v>
      </c>
      <c r="J61" s="1"/>
      <c r="K61" s="1">
        <v>553.04300000000001</v>
      </c>
      <c r="L61" s="1">
        <f t="shared" si="17"/>
        <v>-28.30499999999995</v>
      </c>
      <c r="M61" s="1">
        <f t="shared" si="18"/>
        <v>439.39500000000004</v>
      </c>
      <c r="N61" s="1">
        <v>85.343000000000004</v>
      </c>
      <c r="O61" s="1">
        <v>260.85595556999988</v>
      </c>
      <c r="P61" s="1"/>
      <c r="Q61" s="1"/>
      <c r="R61" s="1">
        <v>482.9591444299997</v>
      </c>
      <c r="S61" s="1"/>
      <c r="T61" s="1">
        <v>60</v>
      </c>
      <c r="U61" s="1">
        <v>240</v>
      </c>
      <c r="V61" s="1">
        <f t="shared" si="19"/>
        <v>87.879000000000005</v>
      </c>
      <c r="W61" s="5"/>
      <c r="X61" s="5">
        <f t="shared" si="6"/>
        <v>0</v>
      </c>
      <c r="Y61" s="18"/>
      <c r="Z61" s="18"/>
      <c r="AA61" s="1">
        <f t="shared" si="7"/>
        <v>14.48421238293562</v>
      </c>
      <c r="AB61" s="1">
        <f t="shared" si="20"/>
        <v>14.48421238293562</v>
      </c>
      <c r="AC61" s="1">
        <v>99.554999999999993</v>
      </c>
      <c r="AD61" s="1">
        <v>115.2872</v>
      </c>
      <c r="AE61" s="1">
        <v>98.024599999999992</v>
      </c>
      <c r="AF61" s="1">
        <v>102.12820000000001</v>
      </c>
      <c r="AG61" s="1">
        <v>92.134600000000006</v>
      </c>
      <c r="AH61" s="1">
        <v>28.6614</v>
      </c>
      <c r="AI61" s="1">
        <v>42.103200000000001</v>
      </c>
      <c r="AJ61" s="1">
        <v>122.72580000000001</v>
      </c>
      <c r="AK61" s="1"/>
      <c r="AL61" s="1">
        <f t="shared" si="8"/>
        <v>0</v>
      </c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108</v>
      </c>
      <c r="B62" s="1" t="s">
        <v>38</v>
      </c>
      <c r="C62" s="1">
        <v>17.684000000000001</v>
      </c>
      <c r="D62" s="1">
        <v>191.67400000000001</v>
      </c>
      <c r="E62" s="1">
        <v>7.7160000000000002</v>
      </c>
      <c r="F62" s="1">
        <v>118.13800000000001</v>
      </c>
      <c r="G62" s="7">
        <v>1</v>
      </c>
      <c r="H62" s="1">
        <v>55</v>
      </c>
      <c r="I62" s="1" t="s">
        <v>39</v>
      </c>
      <c r="J62" s="1"/>
      <c r="K62" s="1">
        <v>27.4</v>
      </c>
      <c r="L62" s="1">
        <f t="shared" si="17"/>
        <v>-19.683999999999997</v>
      </c>
      <c r="M62" s="1">
        <f t="shared" si="18"/>
        <v>7.7160000000000002</v>
      </c>
      <c r="N62" s="1"/>
      <c r="O62" s="1">
        <v>44.739780959999997</v>
      </c>
      <c r="P62" s="1"/>
      <c r="Q62" s="1"/>
      <c r="R62" s="1">
        <v>82.833019040000011</v>
      </c>
      <c r="S62" s="1"/>
      <c r="T62" s="1"/>
      <c r="U62" s="1"/>
      <c r="V62" s="1">
        <f t="shared" si="19"/>
        <v>1.5432000000000001</v>
      </c>
      <c r="W62" s="5"/>
      <c r="X62" s="5">
        <f t="shared" si="6"/>
        <v>0</v>
      </c>
      <c r="Y62" s="18"/>
      <c r="Z62" s="18"/>
      <c r="AA62" s="1">
        <f t="shared" si="7"/>
        <v>159.22161741835146</v>
      </c>
      <c r="AB62" s="1">
        <f t="shared" si="20"/>
        <v>159.22161741835146</v>
      </c>
      <c r="AC62" s="1">
        <v>4.0904000000000007</v>
      </c>
      <c r="AD62" s="1">
        <v>20.759</v>
      </c>
      <c r="AE62" s="1">
        <v>17.7484</v>
      </c>
      <c r="AF62" s="1">
        <v>2.9815999999999998</v>
      </c>
      <c r="AG62" s="1">
        <v>5.4039999999999999</v>
      </c>
      <c r="AH62" s="1">
        <v>9.4480000000000004</v>
      </c>
      <c r="AI62" s="1">
        <v>7.5763999999999996</v>
      </c>
      <c r="AJ62" s="1">
        <v>5.4626000000000001</v>
      </c>
      <c r="AK62" s="15" t="s">
        <v>64</v>
      </c>
      <c r="AL62" s="1">
        <f t="shared" si="8"/>
        <v>0</v>
      </c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109</v>
      </c>
      <c r="B63" s="1" t="s">
        <v>44</v>
      </c>
      <c r="C63" s="1">
        <v>316</v>
      </c>
      <c r="D63" s="1">
        <v>551</v>
      </c>
      <c r="E63" s="1">
        <v>136</v>
      </c>
      <c r="F63" s="1">
        <v>595</v>
      </c>
      <c r="G63" s="7">
        <v>0.1</v>
      </c>
      <c r="H63" s="1">
        <v>731</v>
      </c>
      <c r="I63" s="1" t="s">
        <v>39</v>
      </c>
      <c r="J63" s="1"/>
      <c r="K63" s="1">
        <v>141</v>
      </c>
      <c r="L63" s="1">
        <f t="shared" si="17"/>
        <v>-5</v>
      </c>
      <c r="M63" s="1">
        <f t="shared" si="18"/>
        <v>136</v>
      </c>
      <c r="N63" s="1"/>
      <c r="O63" s="1">
        <v>0</v>
      </c>
      <c r="P63" s="1"/>
      <c r="Q63" s="1"/>
      <c r="R63" s="1"/>
      <c r="S63" s="1"/>
      <c r="T63" s="1"/>
      <c r="U63" s="1"/>
      <c r="V63" s="1">
        <f t="shared" si="19"/>
        <v>27.2</v>
      </c>
      <c r="W63" s="5"/>
      <c r="X63" s="5">
        <f t="shared" si="6"/>
        <v>0</v>
      </c>
      <c r="Y63" s="18"/>
      <c r="Z63" s="18"/>
      <c r="AA63" s="1">
        <f t="shared" si="7"/>
        <v>21.875</v>
      </c>
      <c r="AB63" s="1">
        <f t="shared" si="20"/>
        <v>21.875</v>
      </c>
      <c r="AC63" s="1">
        <v>35</v>
      </c>
      <c r="AD63" s="1">
        <v>40.200000000000003</v>
      </c>
      <c r="AE63" s="1">
        <v>25.8</v>
      </c>
      <c r="AF63" s="1">
        <v>29</v>
      </c>
      <c r="AG63" s="1">
        <v>47</v>
      </c>
      <c r="AH63" s="1">
        <v>28.2</v>
      </c>
      <c r="AI63" s="1">
        <v>12</v>
      </c>
      <c r="AJ63" s="1">
        <v>17.2</v>
      </c>
      <c r="AK63" s="1"/>
      <c r="AL63" s="1">
        <f t="shared" si="8"/>
        <v>0</v>
      </c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110</v>
      </c>
      <c r="B64" s="1" t="s">
        <v>44</v>
      </c>
      <c r="C64" s="1">
        <v>19</v>
      </c>
      <c r="D64" s="1">
        <v>8</v>
      </c>
      <c r="E64" s="1">
        <v>4</v>
      </c>
      <c r="F64" s="1"/>
      <c r="G64" s="7">
        <v>0.4</v>
      </c>
      <c r="H64" s="1">
        <v>50</v>
      </c>
      <c r="I64" s="1" t="s">
        <v>39</v>
      </c>
      <c r="J64" s="1"/>
      <c r="K64" s="1">
        <v>4</v>
      </c>
      <c r="L64" s="1">
        <f t="shared" si="17"/>
        <v>0</v>
      </c>
      <c r="M64" s="1">
        <f t="shared" si="18"/>
        <v>4</v>
      </c>
      <c r="N64" s="1"/>
      <c r="O64" s="1">
        <v>0</v>
      </c>
      <c r="P64" s="1"/>
      <c r="Q64" s="1"/>
      <c r="R64" s="1"/>
      <c r="S64" s="1"/>
      <c r="T64" s="1">
        <v>10</v>
      </c>
      <c r="U64" s="1"/>
      <c r="V64" s="1">
        <f t="shared" si="19"/>
        <v>0.8</v>
      </c>
      <c r="W64" s="5"/>
      <c r="X64" s="5"/>
      <c r="Y64" s="18"/>
      <c r="Z64" s="18"/>
      <c r="AA64" s="1">
        <f t="shared" si="7"/>
        <v>12.5</v>
      </c>
      <c r="AB64" s="1">
        <f t="shared" si="20"/>
        <v>12.5</v>
      </c>
      <c r="AC64" s="1">
        <v>1.4</v>
      </c>
      <c r="AD64" s="1">
        <v>1</v>
      </c>
      <c r="AE64" s="1">
        <v>0.6</v>
      </c>
      <c r="AF64" s="1">
        <v>0.2</v>
      </c>
      <c r="AG64" s="1">
        <v>0.2</v>
      </c>
      <c r="AH64" s="1">
        <v>0.2</v>
      </c>
      <c r="AI64" s="1">
        <v>0.2</v>
      </c>
      <c r="AJ64" s="1">
        <v>0.2</v>
      </c>
      <c r="AK64" s="1" t="s">
        <v>111</v>
      </c>
      <c r="AL64" s="1">
        <f t="shared" si="8"/>
        <v>0</v>
      </c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 t="s">
        <v>112</v>
      </c>
      <c r="B65" s="1" t="s">
        <v>38</v>
      </c>
      <c r="C65" s="1">
        <v>147.63999999999999</v>
      </c>
      <c r="D65" s="1">
        <v>1308.6679999999999</v>
      </c>
      <c r="E65" s="1">
        <v>538.18600000000004</v>
      </c>
      <c r="F65" s="1">
        <v>361.77100000000002</v>
      </c>
      <c r="G65" s="7">
        <v>1</v>
      </c>
      <c r="H65" s="1">
        <v>40</v>
      </c>
      <c r="I65" s="10" t="s">
        <v>50</v>
      </c>
      <c r="J65" s="1"/>
      <c r="K65" s="1">
        <v>533.78</v>
      </c>
      <c r="L65" s="1">
        <f t="shared" si="17"/>
        <v>4.4060000000000628</v>
      </c>
      <c r="M65" s="1">
        <f t="shared" si="18"/>
        <v>386.40600000000006</v>
      </c>
      <c r="N65" s="1">
        <v>151.78</v>
      </c>
      <c r="O65" s="1">
        <v>0</v>
      </c>
      <c r="P65" s="1"/>
      <c r="Q65" s="1"/>
      <c r="R65" s="1"/>
      <c r="S65" s="1"/>
      <c r="T65" s="1">
        <v>65</v>
      </c>
      <c r="U65" s="1"/>
      <c r="V65" s="1">
        <f t="shared" si="19"/>
        <v>77.281200000000013</v>
      </c>
      <c r="W65" s="5">
        <f t="shared" si="26"/>
        <v>500.60340000000014</v>
      </c>
      <c r="X65" s="5">
        <f t="shared" ref="X65:X74" si="27">W65*1.3</f>
        <v>650.78442000000018</v>
      </c>
      <c r="Y65" s="18"/>
      <c r="Z65" s="18"/>
      <c r="AA65" s="1">
        <f t="shared" si="7"/>
        <v>13.943306004565146</v>
      </c>
      <c r="AB65" s="1">
        <f t="shared" si="20"/>
        <v>5.5223133181161774</v>
      </c>
      <c r="AC65" s="1">
        <v>50.870399999999997</v>
      </c>
      <c r="AD65" s="1">
        <v>19.090599999999998</v>
      </c>
      <c r="AE65" s="1">
        <v>23.803599999999999</v>
      </c>
      <c r="AF65" s="1">
        <v>71.302800000000005</v>
      </c>
      <c r="AG65" s="1">
        <v>74.102599999999995</v>
      </c>
      <c r="AH65" s="1">
        <v>40.983999999999988</v>
      </c>
      <c r="AI65" s="1">
        <v>8.3099999999999987</v>
      </c>
      <c r="AJ65" s="1">
        <v>26.265000000000001</v>
      </c>
      <c r="AK65" s="1" t="s">
        <v>41</v>
      </c>
      <c r="AL65" s="1">
        <f t="shared" si="8"/>
        <v>651</v>
      </c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 t="s">
        <v>113</v>
      </c>
      <c r="B66" s="1" t="s">
        <v>38</v>
      </c>
      <c r="C66" s="1">
        <v>-222.59200000000001</v>
      </c>
      <c r="D66" s="1">
        <v>485.61599999999999</v>
      </c>
      <c r="E66" s="1">
        <v>40.326000000000001</v>
      </c>
      <c r="F66" s="1">
        <v>15.821999999999999</v>
      </c>
      <c r="G66" s="7">
        <v>1</v>
      </c>
      <c r="H66" s="1">
        <v>40</v>
      </c>
      <c r="I66" s="10" t="s">
        <v>50</v>
      </c>
      <c r="J66" s="1"/>
      <c r="K66" s="1">
        <v>177.71199999999999</v>
      </c>
      <c r="L66" s="1">
        <f t="shared" si="17"/>
        <v>-137.386</v>
      </c>
      <c r="M66" s="1">
        <f t="shared" si="18"/>
        <v>9.6140000000000008</v>
      </c>
      <c r="N66" s="1">
        <v>30.712</v>
      </c>
      <c r="O66" s="1">
        <v>400</v>
      </c>
      <c r="P66" s="1">
        <v>-405</v>
      </c>
      <c r="Q66" s="1"/>
      <c r="R66" s="1">
        <v>200</v>
      </c>
      <c r="S66" s="1"/>
      <c r="T66" s="1">
        <v>260</v>
      </c>
      <c r="U66" s="1"/>
      <c r="V66" s="1">
        <f t="shared" si="19"/>
        <v>1.9228000000000001</v>
      </c>
      <c r="W66" s="5"/>
      <c r="X66" s="5">
        <f t="shared" si="27"/>
        <v>0</v>
      </c>
      <c r="Y66" s="18"/>
      <c r="Z66" s="18"/>
      <c r="AA66" s="1">
        <f t="shared" si="7"/>
        <v>244.86270022883295</v>
      </c>
      <c r="AB66" s="1">
        <f t="shared" si="20"/>
        <v>244.86270022883295</v>
      </c>
      <c r="AC66" s="1">
        <v>32.845799999999997</v>
      </c>
      <c r="AD66" s="1">
        <v>64.912599999999998</v>
      </c>
      <c r="AE66" s="1">
        <v>19.1128</v>
      </c>
      <c r="AF66" s="1">
        <v>32.8048</v>
      </c>
      <c r="AG66" s="1">
        <v>35.227999999999987</v>
      </c>
      <c r="AH66" s="1">
        <v>10.414</v>
      </c>
      <c r="AI66" s="1">
        <v>0.26600000000000001</v>
      </c>
      <c r="AJ66" s="1">
        <v>12.8588</v>
      </c>
      <c r="AK66" s="1" t="s">
        <v>41</v>
      </c>
      <c r="AL66" s="1">
        <f t="shared" si="8"/>
        <v>0</v>
      </c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 t="s">
        <v>114</v>
      </c>
      <c r="B67" s="1" t="s">
        <v>44</v>
      </c>
      <c r="C67" s="1">
        <v>790</v>
      </c>
      <c r="D67" s="1">
        <v>3055</v>
      </c>
      <c r="E67" s="1">
        <v>779</v>
      </c>
      <c r="F67" s="1">
        <v>1110</v>
      </c>
      <c r="G67" s="7">
        <v>0.4</v>
      </c>
      <c r="H67" s="1">
        <v>40</v>
      </c>
      <c r="I67" s="10" t="s">
        <v>50</v>
      </c>
      <c r="J67" s="1"/>
      <c r="K67" s="1">
        <v>797</v>
      </c>
      <c r="L67" s="1">
        <f t="shared" si="17"/>
        <v>-18</v>
      </c>
      <c r="M67" s="1">
        <f t="shared" si="18"/>
        <v>719</v>
      </c>
      <c r="N67" s="1">
        <v>60</v>
      </c>
      <c r="O67" s="1">
        <v>0</v>
      </c>
      <c r="P67" s="1"/>
      <c r="Q67" s="1"/>
      <c r="R67" s="1"/>
      <c r="S67" s="1"/>
      <c r="T67" s="1">
        <v>0</v>
      </c>
      <c r="U67" s="1"/>
      <c r="V67" s="1">
        <f t="shared" si="19"/>
        <v>143.80000000000001</v>
      </c>
      <c r="W67" s="5">
        <f t="shared" si="26"/>
        <v>615.60000000000014</v>
      </c>
      <c r="X67" s="5">
        <f>Y67</f>
        <v>100</v>
      </c>
      <c r="Y67" s="18">
        <v>100</v>
      </c>
      <c r="Z67" s="18" t="str">
        <f>VLOOKUP(A67,[1]Лист1!$A:$B,2,0)</f>
        <v>до 100 шт</v>
      </c>
      <c r="AA67" s="1">
        <f t="shared" si="7"/>
        <v>8.414464534075103</v>
      </c>
      <c r="AB67" s="1">
        <f t="shared" si="20"/>
        <v>7.7190542420027812</v>
      </c>
      <c r="AC67" s="1">
        <v>123.8</v>
      </c>
      <c r="AD67" s="1">
        <v>114.2</v>
      </c>
      <c r="AE67" s="1">
        <v>94.8</v>
      </c>
      <c r="AF67" s="1">
        <v>209</v>
      </c>
      <c r="AG67" s="1">
        <v>283.39999999999998</v>
      </c>
      <c r="AH67" s="1">
        <v>167</v>
      </c>
      <c r="AI67" s="1">
        <v>155.6</v>
      </c>
      <c r="AJ67" s="1">
        <v>157.4</v>
      </c>
      <c r="AK67" s="1"/>
      <c r="AL67" s="1">
        <f t="shared" si="8"/>
        <v>40</v>
      </c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 t="s">
        <v>115</v>
      </c>
      <c r="B68" s="1" t="s">
        <v>44</v>
      </c>
      <c r="C68" s="1">
        <v>306</v>
      </c>
      <c r="D68" s="1">
        <v>1098</v>
      </c>
      <c r="E68" s="1">
        <v>410</v>
      </c>
      <c r="F68" s="1">
        <v>297</v>
      </c>
      <c r="G68" s="7">
        <v>0.4</v>
      </c>
      <c r="H68" s="1">
        <v>40</v>
      </c>
      <c r="I68" s="10" t="s">
        <v>50</v>
      </c>
      <c r="J68" s="1"/>
      <c r="K68" s="1">
        <v>422</v>
      </c>
      <c r="L68" s="1">
        <f t="shared" si="17"/>
        <v>-12</v>
      </c>
      <c r="M68" s="1">
        <f t="shared" si="18"/>
        <v>410</v>
      </c>
      <c r="N68" s="1"/>
      <c r="O68" s="1">
        <v>0</v>
      </c>
      <c r="P68" s="1"/>
      <c r="Q68" s="1"/>
      <c r="R68" s="1"/>
      <c r="S68" s="1"/>
      <c r="T68" s="1">
        <v>413.4</v>
      </c>
      <c r="U68" s="1">
        <v>206.7</v>
      </c>
      <c r="V68" s="1">
        <f t="shared" si="19"/>
        <v>82</v>
      </c>
      <c r="W68" s="5">
        <f t="shared" si="26"/>
        <v>66.899999999999977</v>
      </c>
      <c r="X68" s="5">
        <f t="shared" si="27"/>
        <v>86.96999999999997</v>
      </c>
      <c r="Y68" s="18"/>
      <c r="Z68" s="18"/>
      <c r="AA68" s="1">
        <f t="shared" si="7"/>
        <v>12.244756097560975</v>
      </c>
      <c r="AB68" s="1">
        <f t="shared" si="20"/>
        <v>11.184146341463414</v>
      </c>
      <c r="AC68" s="1">
        <v>72</v>
      </c>
      <c r="AD68" s="1">
        <v>53.8</v>
      </c>
      <c r="AE68" s="1">
        <v>26.4</v>
      </c>
      <c r="AF68" s="1">
        <v>52.6</v>
      </c>
      <c r="AG68" s="1">
        <v>97</v>
      </c>
      <c r="AH68" s="1">
        <v>65.8</v>
      </c>
      <c r="AI68" s="1">
        <v>20</v>
      </c>
      <c r="AJ68" s="1">
        <v>15.6</v>
      </c>
      <c r="AK68" s="1"/>
      <c r="AL68" s="1">
        <f t="shared" si="8"/>
        <v>35</v>
      </c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 t="s">
        <v>116</v>
      </c>
      <c r="B69" s="1" t="s">
        <v>38</v>
      </c>
      <c r="C69" s="1">
        <v>-32.881999999999998</v>
      </c>
      <c r="D69" s="1">
        <v>391.84699999999998</v>
      </c>
      <c r="E69" s="1">
        <v>64.537000000000006</v>
      </c>
      <c r="F69" s="1">
        <v>115.328</v>
      </c>
      <c r="G69" s="7">
        <v>1</v>
      </c>
      <c r="H69" s="1">
        <v>40</v>
      </c>
      <c r="I69" s="10" t="s">
        <v>50</v>
      </c>
      <c r="J69" s="1"/>
      <c r="K69" s="1">
        <v>74.710999999999999</v>
      </c>
      <c r="L69" s="1">
        <f t="shared" si="17"/>
        <v>-10.173999999999992</v>
      </c>
      <c r="M69" s="1">
        <f t="shared" si="18"/>
        <v>64.537000000000006</v>
      </c>
      <c r="N69" s="1"/>
      <c r="O69" s="1">
        <v>192.10180000000011</v>
      </c>
      <c r="P69" s="1"/>
      <c r="Q69" s="1"/>
      <c r="R69" s="1"/>
      <c r="S69" s="1"/>
      <c r="T69" s="1">
        <v>0</v>
      </c>
      <c r="U69" s="1"/>
      <c r="V69" s="1">
        <f t="shared" si="19"/>
        <v>12.907400000000001</v>
      </c>
      <c r="W69" s="5"/>
      <c r="X69" s="5">
        <f t="shared" si="27"/>
        <v>0</v>
      </c>
      <c r="Y69" s="18"/>
      <c r="Z69" s="18"/>
      <c r="AA69" s="1">
        <f t="shared" si="7"/>
        <v>23.818104343244968</v>
      </c>
      <c r="AB69" s="1">
        <f t="shared" si="20"/>
        <v>23.818104343244968</v>
      </c>
      <c r="AC69" s="1">
        <v>12.6274</v>
      </c>
      <c r="AD69" s="1">
        <v>29.1814</v>
      </c>
      <c r="AE69" s="1">
        <v>13.0938</v>
      </c>
      <c r="AF69" s="1">
        <v>1.0998000000000001</v>
      </c>
      <c r="AG69" s="1">
        <v>6.0128000000000004</v>
      </c>
      <c r="AH69" s="1">
        <v>19.421600000000002</v>
      </c>
      <c r="AI69" s="1">
        <v>9.282</v>
      </c>
      <c r="AJ69" s="1">
        <v>10.1296</v>
      </c>
      <c r="AK69" s="1"/>
      <c r="AL69" s="1">
        <f t="shared" si="8"/>
        <v>0</v>
      </c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 t="s">
        <v>117</v>
      </c>
      <c r="B70" s="1" t="s">
        <v>38</v>
      </c>
      <c r="C70" s="1">
        <v>26.922999999999998</v>
      </c>
      <c r="D70" s="1">
        <v>336.291</v>
      </c>
      <c r="E70" s="1">
        <v>100.488</v>
      </c>
      <c r="F70" s="1">
        <v>21.591000000000001</v>
      </c>
      <c r="G70" s="7">
        <v>1</v>
      </c>
      <c r="H70" s="1">
        <v>40</v>
      </c>
      <c r="I70" s="10" t="s">
        <v>50</v>
      </c>
      <c r="J70" s="1"/>
      <c r="K70" s="1">
        <v>123.871</v>
      </c>
      <c r="L70" s="1">
        <f t="shared" ref="L70:L101" si="28">E70-K70</f>
        <v>-23.382999999999996</v>
      </c>
      <c r="M70" s="1">
        <f t="shared" ref="M70:M101" si="29">E70-N70</f>
        <v>46.216999999999999</v>
      </c>
      <c r="N70" s="1">
        <v>54.271000000000001</v>
      </c>
      <c r="O70" s="1">
        <v>60</v>
      </c>
      <c r="P70" s="1">
        <v>-64.8</v>
      </c>
      <c r="Q70" s="1"/>
      <c r="R70" s="1">
        <v>30</v>
      </c>
      <c r="S70" s="1">
        <v>-30</v>
      </c>
      <c r="T70" s="1">
        <v>52</v>
      </c>
      <c r="U70" s="1"/>
      <c r="V70" s="1">
        <f t="shared" ref="V70:V101" si="30">M70/5</f>
        <v>9.2433999999999994</v>
      </c>
      <c r="W70" s="5">
        <f t="shared" si="26"/>
        <v>42.129799999999982</v>
      </c>
      <c r="X70" s="5">
        <f t="shared" si="27"/>
        <v>54.76873999999998</v>
      </c>
      <c r="Y70" s="18"/>
      <c r="Z70" s="18"/>
      <c r="AA70" s="1">
        <f t="shared" si="7"/>
        <v>13.367347512819958</v>
      </c>
      <c r="AB70" s="1">
        <f t="shared" ref="AB70:AB101" si="31">(F70+O70+P70+Q70+R70+S70+T70+U70)/V70</f>
        <v>7.4421749572668086</v>
      </c>
      <c r="AC70" s="1">
        <v>12.121600000000001</v>
      </c>
      <c r="AD70" s="1">
        <v>9.0609999999999982</v>
      </c>
      <c r="AE70" s="1">
        <v>10.6732</v>
      </c>
      <c r="AF70" s="1">
        <v>19.827200000000001</v>
      </c>
      <c r="AG70" s="1">
        <v>18.578600000000002</v>
      </c>
      <c r="AH70" s="1">
        <v>13.1068</v>
      </c>
      <c r="AI70" s="1">
        <v>10.066800000000001</v>
      </c>
      <c r="AJ70" s="1">
        <v>14.335800000000001</v>
      </c>
      <c r="AK70" s="1"/>
      <c r="AL70" s="1">
        <f t="shared" si="8"/>
        <v>55</v>
      </c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118</v>
      </c>
      <c r="B71" s="1" t="s">
        <v>38</v>
      </c>
      <c r="C71" s="1">
        <v>-86.682000000000002</v>
      </c>
      <c r="D71" s="1">
        <v>1385.8340000000001</v>
      </c>
      <c r="E71" s="1">
        <v>250.83500000000001</v>
      </c>
      <c r="F71" s="1">
        <v>0.85</v>
      </c>
      <c r="G71" s="7">
        <v>1</v>
      </c>
      <c r="H71" s="1">
        <v>40</v>
      </c>
      <c r="I71" s="10" t="s">
        <v>50</v>
      </c>
      <c r="J71" s="1"/>
      <c r="K71" s="1">
        <v>406.84899999999999</v>
      </c>
      <c r="L71" s="1">
        <f t="shared" si="28"/>
        <v>-156.01399999999998</v>
      </c>
      <c r="M71" s="1">
        <f t="shared" si="29"/>
        <v>250.83500000000001</v>
      </c>
      <c r="N71" s="1"/>
      <c r="O71" s="1">
        <v>900</v>
      </c>
      <c r="P71" s="1">
        <v>-901.8</v>
      </c>
      <c r="Q71" s="1"/>
      <c r="R71" s="1">
        <v>414</v>
      </c>
      <c r="S71" s="1">
        <v>-414</v>
      </c>
      <c r="T71" s="1">
        <v>390</v>
      </c>
      <c r="U71" s="1">
        <v>195</v>
      </c>
      <c r="V71" s="1">
        <f t="shared" si="30"/>
        <v>50.167000000000002</v>
      </c>
      <c r="W71" s="5">
        <f t="shared" si="26"/>
        <v>17.953999999999972</v>
      </c>
      <c r="X71" s="5">
        <f t="shared" si="27"/>
        <v>23.340199999999964</v>
      </c>
      <c r="Y71" s="18"/>
      <c r="Z71" s="18"/>
      <c r="AA71" s="1">
        <f t="shared" ref="AA71:AA134" si="32">(F71+O71+P71+Q71+R71+S71+T71+U71+X71)/V71</f>
        <v>12.107365399565452</v>
      </c>
      <c r="AB71" s="1">
        <f t="shared" si="31"/>
        <v>11.642115334781829</v>
      </c>
      <c r="AC71" s="1">
        <v>200.38480000000001</v>
      </c>
      <c r="AD71" s="1">
        <v>150.6652</v>
      </c>
      <c r="AE71" s="1">
        <v>10.826000000000001</v>
      </c>
      <c r="AF71" s="1">
        <v>108.81619999999999</v>
      </c>
      <c r="AG71" s="1">
        <v>142.37799999999999</v>
      </c>
      <c r="AH71" s="1">
        <v>60.96</v>
      </c>
      <c r="AI71" s="1">
        <v>40.290599999999998</v>
      </c>
      <c r="AJ71" s="1">
        <v>85.263000000000005</v>
      </c>
      <c r="AK71" s="1" t="s">
        <v>41</v>
      </c>
      <c r="AL71" s="1">
        <f t="shared" ref="AL71:AL134" si="33">ROUND(G71*X71,0)</f>
        <v>23</v>
      </c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119</v>
      </c>
      <c r="B72" s="1" t="s">
        <v>38</v>
      </c>
      <c r="C72" s="1">
        <v>-21.93</v>
      </c>
      <c r="D72" s="1">
        <v>108.92</v>
      </c>
      <c r="E72" s="1">
        <v>2.536</v>
      </c>
      <c r="F72" s="1">
        <v>0.20599999999999999</v>
      </c>
      <c r="G72" s="7">
        <v>1</v>
      </c>
      <c r="H72" s="1">
        <v>40</v>
      </c>
      <c r="I72" s="10" t="s">
        <v>50</v>
      </c>
      <c r="J72" s="1"/>
      <c r="K72" s="1">
        <v>20.7</v>
      </c>
      <c r="L72" s="1">
        <f t="shared" si="28"/>
        <v>-18.163999999999998</v>
      </c>
      <c r="M72" s="1">
        <f t="shared" si="29"/>
        <v>2.536</v>
      </c>
      <c r="N72" s="1"/>
      <c r="O72" s="1">
        <v>50</v>
      </c>
      <c r="P72" s="1">
        <v>-54</v>
      </c>
      <c r="Q72" s="1"/>
      <c r="R72" s="1"/>
      <c r="S72" s="1"/>
      <c r="T72" s="1">
        <v>39</v>
      </c>
      <c r="U72" s="1"/>
      <c r="V72" s="1">
        <f t="shared" si="30"/>
        <v>0.50719999999999998</v>
      </c>
      <c r="W72" s="5">
        <v>20</v>
      </c>
      <c r="X72" s="5">
        <f t="shared" si="27"/>
        <v>26</v>
      </c>
      <c r="Y72" s="18"/>
      <c r="Z72" s="18"/>
      <c r="AA72" s="1">
        <f t="shared" si="32"/>
        <v>120.6742902208202</v>
      </c>
      <c r="AB72" s="1">
        <f t="shared" si="31"/>
        <v>69.412460567823345</v>
      </c>
      <c r="AC72" s="1">
        <v>0.36360000000000031</v>
      </c>
      <c r="AD72" s="1">
        <v>3.6232000000000002</v>
      </c>
      <c r="AE72" s="1">
        <v>4.3747999999999996</v>
      </c>
      <c r="AF72" s="1">
        <v>13.090400000000001</v>
      </c>
      <c r="AG72" s="1">
        <v>12.855399999999999</v>
      </c>
      <c r="AH72" s="1">
        <v>3.5981999999999998</v>
      </c>
      <c r="AI72" s="1">
        <v>1.6362000000000001</v>
      </c>
      <c r="AJ72" s="1">
        <v>3.9883999999999999</v>
      </c>
      <c r="AK72" s="1"/>
      <c r="AL72" s="1">
        <f t="shared" si="33"/>
        <v>26</v>
      </c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1" t="s">
        <v>120</v>
      </c>
      <c r="B73" s="11" t="s">
        <v>44</v>
      </c>
      <c r="C73" s="11"/>
      <c r="D73" s="11"/>
      <c r="E73" s="11"/>
      <c r="F73" s="11"/>
      <c r="G73" s="12">
        <v>0</v>
      </c>
      <c r="H73" s="11"/>
      <c r="I73" s="11" t="s">
        <v>39</v>
      </c>
      <c r="J73" s="11"/>
      <c r="K73" s="11"/>
      <c r="L73" s="11">
        <f t="shared" si="28"/>
        <v>0</v>
      </c>
      <c r="M73" s="11">
        <f t="shared" si="29"/>
        <v>0</v>
      </c>
      <c r="N73" s="11"/>
      <c r="O73" s="11">
        <v>0</v>
      </c>
      <c r="P73" s="11"/>
      <c r="Q73" s="11"/>
      <c r="R73" s="11"/>
      <c r="S73" s="11"/>
      <c r="T73" s="11"/>
      <c r="U73" s="11"/>
      <c r="V73" s="11">
        <f t="shared" si="30"/>
        <v>0</v>
      </c>
      <c r="W73" s="13"/>
      <c r="X73" s="5">
        <f t="shared" ref="X71:X134" si="34">W73</f>
        <v>0</v>
      </c>
      <c r="Y73" s="18"/>
      <c r="Z73" s="18"/>
      <c r="AA73" s="1" t="e">
        <f t="shared" si="32"/>
        <v>#DIV/0!</v>
      </c>
      <c r="AB73" s="11" t="e">
        <f t="shared" si="31"/>
        <v>#DIV/0!</v>
      </c>
      <c r="AC73" s="11">
        <v>0</v>
      </c>
      <c r="AD73" s="11">
        <v>0</v>
      </c>
      <c r="AE73" s="11">
        <v>0</v>
      </c>
      <c r="AF73" s="11">
        <v>0</v>
      </c>
      <c r="AG73" s="11">
        <v>0</v>
      </c>
      <c r="AH73" s="11">
        <v>0</v>
      </c>
      <c r="AI73" s="11">
        <v>0</v>
      </c>
      <c r="AJ73" s="11">
        <v>0</v>
      </c>
      <c r="AK73" s="11" t="s">
        <v>62</v>
      </c>
      <c r="AL73" s="1">
        <f t="shared" si="33"/>
        <v>0</v>
      </c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 t="s">
        <v>121</v>
      </c>
      <c r="B74" s="1" t="s">
        <v>38</v>
      </c>
      <c r="C74" s="1">
        <v>261.80500000000001</v>
      </c>
      <c r="D74" s="1">
        <v>631.04100000000005</v>
      </c>
      <c r="E74" s="1">
        <v>122.096</v>
      </c>
      <c r="F74" s="1">
        <v>143.40600000000001</v>
      </c>
      <c r="G74" s="7">
        <v>1</v>
      </c>
      <c r="H74" s="1">
        <v>30</v>
      </c>
      <c r="I74" s="10" t="s">
        <v>50</v>
      </c>
      <c r="J74" s="1"/>
      <c r="K74" s="1">
        <v>171.3</v>
      </c>
      <c r="L74" s="1">
        <f t="shared" si="28"/>
        <v>-49.204000000000008</v>
      </c>
      <c r="M74" s="1">
        <f t="shared" si="29"/>
        <v>122.096</v>
      </c>
      <c r="N74" s="1"/>
      <c r="O74" s="1">
        <v>187.63720000000001</v>
      </c>
      <c r="P74" s="1"/>
      <c r="Q74" s="1"/>
      <c r="R74" s="1"/>
      <c r="S74" s="1"/>
      <c r="T74" s="1">
        <v>65</v>
      </c>
      <c r="U74" s="1"/>
      <c r="V74" s="1">
        <f t="shared" si="30"/>
        <v>24.4192</v>
      </c>
      <c r="W74" s="5"/>
      <c r="X74" s="5">
        <f t="shared" si="27"/>
        <v>0</v>
      </c>
      <c r="Y74" s="18"/>
      <c r="Z74" s="18"/>
      <c r="AA74" s="1">
        <f t="shared" si="32"/>
        <v>16.218516577119644</v>
      </c>
      <c r="AB74" s="1">
        <f t="shared" si="31"/>
        <v>16.218516577119644</v>
      </c>
      <c r="AC74" s="1">
        <v>29.701599999999999</v>
      </c>
      <c r="AD74" s="1">
        <v>39.893999999999998</v>
      </c>
      <c r="AE74" s="1">
        <v>36.8568</v>
      </c>
      <c r="AF74" s="1">
        <v>31.719799999999999</v>
      </c>
      <c r="AG74" s="1">
        <v>39.7896</v>
      </c>
      <c r="AH74" s="1">
        <v>33.502800000000001</v>
      </c>
      <c r="AI74" s="1">
        <v>31.885400000000001</v>
      </c>
      <c r="AJ74" s="1">
        <v>80.1066</v>
      </c>
      <c r="AK74" s="1"/>
      <c r="AL74" s="1">
        <f t="shared" si="33"/>
        <v>0</v>
      </c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1" t="s">
        <v>122</v>
      </c>
      <c r="B75" s="11" t="s">
        <v>44</v>
      </c>
      <c r="C75" s="11">
        <v>-1</v>
      </c>
      <c r="D75" s="11">
        <v>1</v>
      </c>
      <c r="E75" s="11"/>
      <c r="F75" s="11"/>
      <c r="G75" s="12">
        <v>0</v>
      </c>
      <c r="H75" s="11"/>
      <c r="I75" s="11" t="s">
        <v>53</v>
      </c>
      <c r="J75" s="11"/>
      <c r="K75" s="11"/>
      <c r="L75" s="11">
        <f t="shared" si="28"/>
        <v>0</v>
      </c>
      <c r="M75" s="11">
        <f t="shared" si="29"/>
        <v>0</v>
      </c>
      <c r="N75" s="11"/>
      <c r="O75" s="11">
        <v>0</v>
      </c>
      <c r="P75" s="11"/>
      <c r="Q75" s="11"/>
      <c r="R75" s="11"/>
      <c r="S75" s="11"/>
      <c r="T75" s="11"/>
      <c r="U75" s="11"/>
      <c r="V75" s="11">
        <f t="shared" si="30"/>
        <v>0</v>
      </c>
      <c r="W75" s="13"/>
      <c r="X75" s="5">
        <f t="shared" si="34"/>
        <v>0</v>
      </c>
      <c r="Y75" s="18"/>
      <c r="Z75" s="18"/>
      <c r="AA75" s="1" t="e">
        <f t="shared" si="32"/>
        <v>#DIV/0!</v>
      </c>
      <c r="AB75" s="11" t="e">
        <f t="shared" si="31"/>
        <v>#DIV/0!</v>
      </c>
      <c r="AC75" s="11">
        <v>0</v>
      </c>
      <c r="AD75" s="11">
        <v>0</v>
      </c>
      <c r="AE75" s="11">
        <v>0</v>
      </c>
      <c r="AF75" s="11">
        <v>0</v>
      </c>
      <c r="AG75" s="11">
        <v>0</v>
      </c>
      <c r="AH75" s="11">
        <v>0</v>
      </c>
      <c r="AI75" s="11">
        <v>0</v>
      </c>
      <c r="AJ75" s="11">
        <v>0</v>
      </c>
      <c r="AK75" s="11"/>
      <c r="AL75" s="1">
        <f t="shared" si="33"/>
        <v>0</v>
      </c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123</v>
      </c>
      <c r="B76" s="1" t="s">
        <v>44</v>
      </c>
      <c r="C76" s="1">
        <v>928</v>
      </c>
      <c r="D76" s="1">
        <v>8152</v>
      </c>
      <c r="E76" s="1">
        <v>1130</v>
      </c>
      <c r="F76" s="1">
        <v>1297</v>
      </c>
      <c r="G76" s="7">
        <v>0.6</v>
      </c>
      <c r="H76" s="1">
        <v>60</v>
      </c>
      <c r="I76" s="1" t="s">
        <v>39</v>
      </c>
      <c r="J76" s="1"/>
      <c r="K76" s="1">
        <v>1183</v>
      </c>
      <c r="L76" s="1">
        <f t="shared" si="28"/>
        <v>-53</v>
      </c>
      <c r="M76" s="1">
        <f t="shared" si="29"/>
        <v>1130</v>
      </c>
      <c r="N76" s="1"/>
      <c r="O76" s="1">
        <v>0</v>
      </c>
      <c r="P76" s="1"/>
      <c r="Q76" s="1"/>
      <c r="R76" s="1"/>
      <c r="S76" s="1"/>
      <c r="T76" s="1"/>
      <c r="U76" s="1"/>
      <c r="V76" s="1">
        <f t="shared" si="30"/>
        <v>226</v>
      </c>
      <c r="W76" s="5">
        <f t="shared" ref="W76:W77" si="35">12*V76-U76-T76-S76-R76-Q76-P76-O76-F76</f>
        <v>1415</v>
      </c>
      <c r="X76" s="5">
        <f>Y76</f>
        <v>200</v>
      </c>
      <c r="Y76" s="18">
        <v>200</v>
      </c>
      <c r="Z76" s="18" t="str">
        <f>VLOOKUP(A76,[1]Лист1!$A:$B,2,0)</f>
        <v>до 200 шт</v>
      </c>
      <c r="AA76" s="1">
        <f t="shared" si="32"/>
        <v>6.6238938053097343</v>
      </c>
      <c r="AB76" s="1">
        <f t="shared" si="31"/>
        <v>5.7389380530973453</v>
      </c>
      <c r="AC76" s="1">
        <v>175.8</v>
      </c>
      <c r="AD76" s="1">
        <v>177.8</v>
      </c>
      <c r="AE76" s="1">
        <v>262.60000000000002</v>
      </c>
      <c r="AF76" s="1">
        <v>297.60000000000002</v>
      </c>
      <c r="AG76" s="1">
        <v>160.4</v>
      </c>
      <c r="AH76" s="1">
        <v>152</v>
      </c>
      <c r="AI76" s="1">
        <v>139</v>
      </c>
      <c r="AJ76" s="1">
        <v>114.6</v>
      </c>
      <c r="AK76" s="1"/>
      <c r="AL76" s="1">
        <f t="shared" si="33"/>
        <v>120</v>
      </c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124</v>
      </c>
      <c r="B77" s="1" t="s">
        <v>44</v>
      </c>
      <c r="C77" s="1">
        <v>1128</v>
      </c>
      <c r="D77" s="1">
        <v>5254</v>
      </c>
      <c r="E77" s="1">
        <v>596</v>
      </c>
      <c r="F77" s="1">
        <v>471</v>
      </c>
      <c r="G77" s="7">
        <v>0.6</v>
      </c>
      <c r="H77" s="1">
        <v>60</v>
      </c>
      <c r="I77" s="1" t="s">
        <v>39</v>
      </c>
      <c r="J77" s="1"/>
      <c r="K77" s="1">
        <v>609</v>
      </c>
      <c r="L77" s="1">
        <f t="shared" si="28"/>
        <v>-13</v>
      </c>
      <c r="M77" s="1">
        <f t="shared" si="29"/>
        <v>596</v>
      </c>
      <c r="N77" s="1"/>
      <c r="O77" s="1">
        <v>202.56432000000009</v>
      </c>
      <c r="P77" s="1"/>
      <c r="Q77" s="1"/>
      <c r="R77" s="1">
        <v>375.03568000000013</v>
      </c>
      <c r="S77" s="1"/>
      <c r="T77" s="1"/>
      <c r="U77" s="1"/>
      <c r="V77" s="1">
        <f t="shared" si="30"/>
        <v>119.2</v>
      </c>
      <c r="W77" s="5">
        <f t="shared" si="35"/>
        <v>381.79999999999984</v>
      </c>
      <c r="X77" s="5">
        <f>W77+V77*$X$1</f>
        <v>545.10399999999981</v>
      </c>
      <c r="Y77" s="18"/>
      <c r="Z77" s="18"/>
      <c r="AA77" s="1">
        <f t="shared" si="32"/>
        <v>13.37</v>
      </c>
      <c r="AB77" s="1">
        <f t="shared" si="31"/>
        <v>8.7969798657718137</v>
      </c>
      <c r="AC77" s="1">
        <v>152.4</v>
      </c>
      <c r="AD77" s="1">
        <v>131.80000000000001</v>
      </c>
      <c r="AE77" s="1">
        <v>116.8</v>
      </c>
      <c r="AF77" s="1">
        <v>156.80000000000001</v>
      </c>
      <c r="AG77" s="1">
        <v>202.8</v>
      </c>
      <c r="AH77" s="1">
        <v>171.6</v>
      </c>
      <c r="AI77" s="1">
        <v>133.80000000000001</v>
      </c>
      <c r="AJ77" s="1">
        <v>123.8</v>
      </c>
      <c r="AK77" s="1"/>
      <c r="AL77" s="1">
        <f t="shared" si="33"/>
        <v>327</v>
      </c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 t="s">
        <v>125</v>
      </c>
      <c r="B78" s="1" t="s">
        <v>44</v>
      </c>
      <c r="C78" s="1">
        <v>41</v>
      </c>
      <c r="D78" s="1">
        <v>16</v>
      </c>
      <c r="E78" s="1">
        <v>47</v>
      </c>
      <c r="F78" s="1"/>
      <c r="G78" s="7">
        <v>0.4</v>
      </c>
      <c r="H78" s="1"/>
      <c r="I78" s="1" t="s">
        <v>39</v>
      </c>
      <c r="J78" s="1"/>
      <c r="K78" s="1">
        <v>59</v>
      </c>
      <c r="L78" s="1">
        <f t="shared" si="28"/>
        <v>-12</v>
      </c>
      <c r="M78" s="1">
        <f t="shared" si="29"/>
        <v>47</v>
      </c>
      <c r="N78" s="1"/>
      <c r="O78" s="1">
        <v>48.199999999999989</v>
      </c>
      <c r="P78" s="1"/>
      <c r="Q78" s="1"/>
      <c r="R78" s="1"/>
      <c r="S78" s="1"/>
      <c r="T78" s="1">
        <v>24</v>
      </c>
      <c r="U78" s="1">
        <v>96</v>
      </c>
      <c r="V78" s="1">
        <f t="shared" si="30"/>
        <v>9.4</v>
      </c>
      <c r="W78" s="5"/>
      <c r="X78" s="5">
        <f t="shared" si="34"/>
        <v>0</v>
      </c>
      <c r="Y78" s="18"/>
      <c r="Z78" s="18"/>
      <c r="AA78" s="1">
        <f t="shared" si="32"/>
        <v>17.893617021276594</v>
      </c>
      <c r="AB78" s="1">
        <f t="shared" si="31"/>
        <v>17.893617021276594</v>
      </c>
      <c r="AC78" s="1">
        <v>10</v>
      </c>
      <c r="AD78" s="1">
        <v>6.6</v>
      </c>
      <c r="AE78" s="1">
        <v>5</v>
      </c>
      <c r="AF78" s="1">
        <v>4</v>
      </c>
      <c r="AG78" s="1">
        <v>7.6</v>
      </c>
      <c r="AH78" s="1">
        <v>6.6</v>
      </c>
      <c r="AI78" s="1">
        <v>3.8</v>
      </c>
      <c r="AJ78" s="1">
        <v>4</v>
      </c>
      <c r="AK78" s="1"/>
      <c r="AL78" s="1">
        <f t="shared" si="33"/>
        <v>0</v>
      </c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1" t="s">
        <v>126</v>
      </c>
      <c r="B79" s="11" t="s">
        <v>44</v>
      </c>
      <c r="C79" s="11">
        <v>1</v>
      </c>
      <c r="D79" s="11"/>
      <c r="E79" s="11"/>
      <c r="F79" s="11"/>
      <c r="G79" s="12">
        <v>0</v>
      </c>
      <c r="H79" s="11"/>
      <c r="I79" s="11" t="s">
        <v>39</v>
      </c>
      <c r="J79" s="11"/>
      <c r="K79" s="11">
        <v>4</v>
      </c>
      <c r="L79" s="11">
        <f t="shared" si="28"/>
        <v>-4</v>
      </c>
      <c r="M79" s="11">
        <f t="shared" si="29"/>
        <v>0</v>
      </c>
      <c r="N79" s="11"/>
      <c r="O79" s="11">
        <v>0</v>
      </c>
      <c r="P79" s="11"/>
      <c r="Q79" s="11"/>
      <c r="R79" s="11"/>
      <c r="S79" s="11"/>
      <c r="T79" s="11"/>
      <c r="U79" s="11"/>
      <c r="V79" s="11">
        <f t="shared" si="30"/>
        <v>0</v>
      </c>
      <c r="W79" s="13"/>
      <c r="X79" s="5">
        <f t="shared" si="34"/>
        <v>0</v>
      </c>
      <c r="Y79" s="18"/>
      <c r="Z79" s="18"/>
      <c r="AA79" s="1" t="e">
        <f t="shared" si="32"/>
        <v>#DIV/0!</v>
      </c>
      <c r="AB79" s="11" t="e">
        <f t="shared" si="31"/>
        <v>#DIV/0!</v>
      </c>
      <c r="AC79" s="11">
        <v>0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0</v>
      </c>
      <c r="AJ79" s="11">
        <v>0</v>
      </c>
      <c r="AK79" s="11" t="s">
        <v>62</v>
      </c>
      <c r="AL79" s="1">
        <f t="shared" si="33"/>
        <v>0</v>
      </c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 t="s">
        <v>127</v>
      </c>
      <c r="B80" s="1" t="s">
        <v>44</v>
      </c>
      <c r="C80" s="1">
        <v>19</v>
      </c>
      <c r="D80" s="1">
        <v>97</v>
      </c>
      <c r="E80" s="1">
        <v>10</v>
      </c>
      <c r="F80" s="1">
        <v>28</v>
      </c>
      <c r="G80" s="7">
        <v>0.35</v>
      </c>
      <c r="H80" s="1">
        <v>90</v>
      </c>
      <c r="I80" s="10" t="s">
        <v>50</v>
      </c>
      <c r="J80" s="1"/>
      <c r="K80" s="1">
        <v>46</v>
      </c>
      <c r="L80" s="1">
        <f t="shared" si="28"/>
        <v>-36</v>
      </c>
      <c r="M80" s="1">
        <f t="shared" si="29"/>
        <v>10</v>
      </c>
      <c r="N80" s="1"/>
      <c r="O80" s="1">
        <v>0</v>
      </c>
      <c r="P80" s="1"/>
      <c r="Q80" s="1"/>
      <c r="R80" s="1"/>
      <c r="S80" s="1"/>
      <c r="T80" s="1">
        <v>39</v>
      </c>
      <c r="U80" s="1"/>
      <c r="V80" s="1">
        <f t="shared" si="30"/>
        <v>2</v>
      </c>
      <c r="W80" s="5"/>
      <c r="X80" s="5">
        <f t="shared" ref="X80" si="36">W80*1.3</f>
        <v>0</v>
      </c>
      <c r="Y80" s="18"/>
      <c r="Z80" s="18"/>
      <c r="AA80" s="1">
        <f t="shared" si="32"/>
        <v>33.5</v>
      </c>
      <c r="AB80" s="1">
        <f t="shared" si="31"/>
        <v>33.5</v>
      </c>
      <c r="AC80" s="1">
        <v>0</v>
      </c>
      <c r="AD80" s="1">
        <v>4.5999999999999996</v>
      </c>
      <c r="AE80" s="1">
        <v>8.6</v>
      </c>
      <c r="AF80" s="1">
        <v>6.4</v>
      </c>
      <c r="AG80" s="1">
        <v>3.4</v>
      </c>
      <c r="AH80" s="1">
        <v>2</v>
      </c>
      <c r="AI80" s="1">
        <v>5.6</v>
      </c>
      <c r="AJ80" s="1">
        <v>7.2</v>
      </c>
      <c r="AK80" s="1"/>
      <c r="AL80" s="1">
        <f t="shared" si="33"/>
        <v>0</v>
      </c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 t="s">
        <v>128</v>
      </c>
      <c r="B81" s="1" t="s">
        <v>44</v>
      </c>
      <c r="C81" s="1">
        <v>255</v>
      </c>
      <c r="D81" s="1">
        <v>447</v>
      </c>
      <c r="E81" s="1">
        <v>124</v>
      </c>
      <c r="F81" s="1">
        <v>133</v>
      </c>
      <c r="G81" s="7">
        <v>0.37</v>
      </c>
      <c r="H81" s="1">
        <v>50</v>
      </c>
      <c r="I81" s="1" t="s">
        <v>39</v>
      </c>
      <c r="J81" s="1"/>
      <c r="K81" s="1">
        <v>128</v>
      </c>
      <c r="L81" s="1">
        <f t="shared" si="28"/>
        <v>-4</v>
      </c>
      <c r="M81" s="1">
        <f t="shared" si="29"/>
        <v>124</v>
      </c>
      <c r="N81" s="1"/>
      <c r="O81" s="1">
        <v>34.399999999999977</v>
      </c>
      <c r="P81" s="1"/>
      <c r="Q81" s="1"/>
      <c r="R81" s="1"/>
      <c r="S81" s="1"/>
      <c r="T81" s="1">
        <v>23.200000000000049</v>
      </c>
      <c r="U81" s="1"/>
      <c r="V81" s="1">
        <f t="shared" si="30"/>
        <v>24.8</v>
      </c>
      <c r="W81" s="5">
        <f t="shared" ref="W81:W83" si="37">12*V81-U81-T81-S81-R81-Q81-P81-O81-F81</f>
        <v>107</v>
      </c>
      <c r="X81" s="5">
        <f t="shared" ref="X81:X83" si="38">W81+V81*$X$1</f>
        <v>140.976</v>
      </c>
      <c r="Y81" s="18"/>
      <c r="Z81" s="18"/>
      <c r="AA81" s="1">
        <f t="shared" si="32"/>
        <v>13.370000000000001</v>
      </c>
      <c r="AB81" s="1">
        <f t="shared" si="31"/>
        <v>7.6854838709677429</v>
      </c>
      <c r="AC81" s="1">
        <v>24.6</v>
      </c>
      <c r="AD81" s="1">
        <v>23.2</v>
      </c>
      <c r="AE81" s="1">
        <v>23.8</v>
      </c>
      <c r="AF81" s="1">
        <v>28.6</v>
      </c>
      <c r="AG81" s="1">
        <v>31.4</v>
      </c>
      <c r="AH81" s="1">
        <v>34.200000000000003</v>
      </c>
      <c r="AI81" s="1">
        <v>25.6</v>
      </c>
      <c r="AJ81" s="1">
        <v>18.2</v>
      </c>
      <c r="AK81" s="1"/>
      <c r="AL81" s="1">
        <f t="shared" si="33"/>
        <v>52</v>
      </c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 t="s">
        <v>129</v>
      </c>
      <c r="B82" s="1" t="s">
        <v>44</v>
      </c>
      <c r="C82" s="1">
        <v>349</v>
      </c>
      <c r="D82" s="1">
        <v>3289</v>
      </c>
      <c r="E82" s="1">
        <v>352</v>
      </c>
      <c r="F82" s="1">
        <v>-6</v>
      </c>
      <c r="G82" s="7">
        <v>0.6</v>
      </c>
      <c r="H82" s="1">
        <v>70</v>
      </c>
      <c r="I82" s="1" t="s">
        <v>39</v>
      </c>
      <c r="J82" s="1"/>
      <c r="K82" s="1">
        <v>1342</v>
      </c>
      <c r="L82" s="1">
        <f t="shared" si="28"/>
        <v>-990</v>
      </c>
      <c r="M82" s="1">
        <f t="shared" si="29"/>
        <v>352</v>
      </c>
      <c r="N82" s="1"/>
      <c r="O82" s="1">
        <v>102.26412000000001</v>
      </c>
      <c r="P82" s="1"/>
      <c r="Q82" s="1"/>
      <c r="R82" s="1">
        <v>189.33587999999989</v>
      </c>
      <c r="S82" s="1"/>
      <c r="T82" s="1">
        <v>50</v>
      </c>
      <c r="U82" s="1">
        <v>200</v>
      </c>
      <c r="V82" s="1">
        <f t="shared" si="30"/>
        <v>70.400000000000006</v>
      </c>
      <c r="W82" s="5">
        <f t="shared" si="37"/>
        <v>309.20000000000022</v>
      </c>
      <c r="X82" s="5">
        <f t="shared" si="38"/>
        <v>405.64800000000025</v>
      </c>
      <c r="Y82" s="18"/>
      <c r="Z82" s="18"/>
      <c r="AA82" s="1">
        <f t="shared" si="32"/>
        <v>13.370000000000001</v>
      </c>
      <c r="AB82" s="1">
        <f t="shared" si="31"/>
        <v>7.6079545454545432</v>
      </c>
      <c r="AC82" s="1">
        <v>59.2</v>
      </c>
      <c r="AD82" s="1">
        <v>51.8</v>
      </c>
      <c r="AE82" s="1">
        <v>45.2</v>
      </c>
      <c r="AF82" s="1">
        <v>52</v>
      </c>
      <c r="AG82" s="1">
        <v>67.8</v>
      </c>
      <c r="AH82" s="1">
        <v>63.6</v>
      </c>
      <c r="AI82" s="1">
        <v>44.6</v>
      </c>
      <c r="AJ82" s="1">
        <v>41.8</v>
      </c>
      <c r="AK82" s="1"/>
      <c r="AL82" s="1">
        <f t="shared" si="33"/>
        <v>243</v>
      </c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 t="s">
        <v>130</v>
      </c>
      <c r="B83" s="1" t="s">
        <v>44</v>
      </c>
      <c r="C83" s="1">
        <v>358</v>
      </c>
      <c r="D83" s="1">
        <v>2023</v>
      </c>
      <c r="E83" s="1">
        <v>405</v>
      </c>
      <c r="F83" s="1">
        <v>151</v>
      </c>
      <c r="G83" s="7">
        <v>0.33</v>
      </c>
      <c r="H83" s="1">
        <v>40</v>
      </c>
      <c r="I83" s="1" t="s">
        <v>39</v>
      </c>
      <c r="J83" s="1"/>
      <c r="K83" s="1">
        <v>426</v>
      </c>
      <c r="L83" s="1">
        <f t="shared" si="28"/>
        <v>-21</v>
      </c>
      <c r="M83" s="1">
        <f t="shared" si="29"/>
        <v>405</v>
      </c>
      <c r="N83" s="1"/>
      <c r="O83" s="1">
        <v>152.27394000000001</v>
      </c>
      <c r="P83" s="1"/>
      <c r="Q83" s="1"/>
      <c r="R83" s="1">
        <v>281.92606000000001</v>
      </c>
      <c r="S83" s="1"/>
      <c r="T83" s="1">
        <v>30</v>
      </c>
      <c r="U83" s="1">
        <v>120</v>
      </c>
      <c r="V83" s="1">
        <f t="shared" si="30"/>
        <v>81</v>
      </c>
      <c r="W83" s="5">
        <f t="shared" si="37"/>
        <v>236.79999999999995</v>
      </c>
      <c r="X83" s="5">
        <f t="shared" si="38"/>
        <v>347.77</v>
      </c>
      <c r="Y83" s="18"/>
      <c r="Z83" s="18"/>
      <c r="AA83" s="1">
        <f t="shared" si="32"/>
        <v>13.370000000000001</v>
      </c>
      <c r="AB83" s="1">
        <f t="shared" si="31"/>
        <v>9.0765432098765437</v>
      </c>
      <c r="AC83" s="1">
        <v>76.2</v>
      </c>
      <c r="AD83" s="1">
        <v>80.400000000000006</v>
      </c>
      <c r="AE83" s="1">
        <v>78.599999999999994</v>
      </c>
      <c r="AF83" s="1">
        <v>60.2</v>
      </c>
      <c r="AG83" s="1">
        <v>23.2</v>
      </c>
      <c r="AH83" s="1">
        <v>35.4</v>
      </c>
      <c r="AI83" s="1">
        <v>69.599999999999994</v>
      </c>
      <c r="AJ83" s="1">
        <v>62</v>
      </c>
      <c r="AK83" s="1"/>
      <c r="AL83" s="1">
        <f t="shared" si="33"/>
        <v>115</v>
      </c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 t="s">
        <v>131</v>
      </c>
      <c r="B84" s="1" t="s">
        <v>44</v>
      </c>
      <c r="C84" s="1">
        <v>70</v>
      </c>
      <c r="D84" s="1">
        <v>68</v>
      </c>
      <c r="E84" s="1">
        <v>51</v>
      </c>
      <c r="F84" s="1">
        <v>1</v>
      </c>
      <c r="G84" s="7">
        <v>0.4</v>
      </c>
      <c r="H84" s="1">
        <v>55</v>
      </c>
      <c r="I84" s="1" t="s">
        <v>39</v>
      </c>
      <c r="J84" s="1"/>
      <c r="K84" s="1">
        <v>57</v>
      </c>
      <c r="L84" s="1">
        <f t="shared" si="28"/>
        <v>-6</v>
      </c>
      <c r="M84" s="1">
        <f t="shared" si="29"/>
        <v>51</v>
      </c>
      <c r="N84" s="1"/>
      <c r="O84" s="1">
        <v>14.19999999999999</v>
      </c>
      <c r="P84" s="1"/>
      <c r="Q84" s="1"/>
      <c r="R84" s="1"/>
      <c r="S84" s="1"/>
      <c r="T84" s="1">
        <v>30</v>
      </c>
      <c r="U84" s="1">
        <v>120</v>
      </c>
      <c r="V84" s="1">
        <f t="shared" si="30"/>
        <v>10.199999999999999</v>
      </c>
      <c r="W84" s="5"/>
      <c r="X84" s="5">
        <f t="shared" si="34"/>
        <v>0</v>
      </c>
      <c r="Y84" s="18"/>
      <c r="Z84" s="18"/>
      <c r="AA84" s="1">
        <f t="shared" si="32"/>
        <v>16.196078431372548</v>
      </c>
      <c r="AB84" s="1">
        <f t="shared" si="31"/>
        <v>16.196078431372548</v>
      </c>
      <c r="AC84" s="1">
        <v>10.4</v>
      </c>
      <c r="AD84" s="1">
        <v>7.6</v>
      </c>
      <c r="AE84" s="1">
        <v>7.6</v>
      </c>
      <c r="AF84" s="1">
        <v>10.199999999999999</v>
      </c>
      <c r="AG84" s="1">
        <v>12.6</v>
      </c>
      <c r="AH84" s="1">
        <v>9.4</v>
      </c>
      <c r="AI84" s="1">
        <v>11</v>
      </c>
      <c r="AJ84" s="1">
        <v>11.2</v>
      </c>
      <c r="AK84" s="1"/>
      <c r="AL84" s="1">
        <f t="shared" si="33"/>
        <v>0</v>
      </c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 t="s">
        <v>132</v>
      </c>
      <c r="B85" s="1" t="s">
        <v>44</v>
      </c>
      <c r="C85" s="1">
        <v>31</v>
      </c>
      <c r="D85" s="1">
        <v>172</v>
      </c>
      <c r="E85" s="1">
        <v>36</v>
      </c>
      <c r="F85" s="1"/>
      <c r="G85" s="7">
        <v>0.35</v>
      </c>
      <c r="H85" s="1">
        <v>40</v>
      </c>
      <c r="I85" s="10" t="s">
        <v>50</v>
      </c>
      <c r="J85" s="1"/>
      <c r="K85" s="1">
        <v>91</v>
      </c>
      <c r="L85" s="1">
        <f t="shared" si="28"/>
        <v>-55</v>
      </c>
      <c r="M85" s="1">
        <f t="shared" si="29"/>
        <v>36</v>
      </c>
      <c r="N85" s="1"/>
      <c r="O85" s="1">
        <v>50</v>
      </c>
      <c r="P85" s="1"/>
      <c r="Q85" s="1"/>
      <c r="R85" s="1">
        <v>50</v>
      </c>
      <c r="S85" s="1"/>
      <c r="T85" s="1">
        <v>65</v>
      </c>
      <c r="U85" s="1"/>
      <c r="V85" s="1">
        <f t="shared" si="30"/>
        <v>7.2</v>
      </c>
      <c r="W85" s="5"/>
      <c r="X85" s="5">
        <f t="shared" ref="X85:X86" si="39">W85*1.3</f>
        <v>0</v>
      </c>
      <c r="Y85" s="18"/>
      <c r="Z85" s="18"/>
      <c r="AA85" s="1">
        <f t="shared" si="32"/>
        <v>22.916666666666668</v>
      </c>
      <c r="AB85" s="1">
        <f t="shared" si="31"/>
        <v>22.916666666666668</v>
      </c>
      <c r="AC85" s="1">
        <v>15.8</v>
      </c>
      <c r="AD85" s="1">
        <v>8.4</v>
      </c>
      <c r="AE85" s="1">
        <v>-0.6</v>
      </c>
      <c r="AF85" s="1">
        <v>-1.2</v>
      </c>
      <c r="AG85" s="1">
        <v>-0.4</v>
      </c>
      <c r="AH85" s="1">
        <v>14</v>
      </c>
      <c r="AI85" s="1">
        <v>31.6</v>
      </c>
      <c r="AJ85" s="1">
        <v>57.2</v>
      </c>
      <c r="AK85" s="1"/>
      <c r="AL85" s="1">
        <f t="shared" si="33"/>
        <v>0</v>
      </c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 t="s">
        <v>133</v>
      </c>
      <c r="B86" s="1" t="s">
        <v>44</v>
      </c>
      <c r="C86" s="1">
        <v>96</v>
      </c>
      <c r="D86" s="1">
        <v>539</v>
      </c>
      <c r="E86" s="1">
        <v>300</v>
      </c>
      <c r="F86" s="1">
        <v>26</v>
      </c>
      <c r="G86" s="7">
        <v>0.35</v>
      </c>
      <c r="H86" s="1">
        <v>45</v>
      </c>
      <c r="I86" s="10" t="s">
        <v>50</v>
      </c>
      <c r="J86" s="1"/>
      <c r="K86" s="1">
        <v>319</v>
      </c>
      <c r="L86" s="1">
        <f t="shared" si="28"/>
        <v>-19</v>
      </c>
      <c r="M86" s="1">
        <f t="shared" si="29"/>
        <v>300</v>
      </c>
      <c r="N86" s="1"/>
      <c r="O86" s="1">
        <v>40</v>
      </c>
      <c r="P86" s="1"/>
      <c r="Q86" s="1"/>
      <c r="R86" s="1">
        <v>20</v>
      </c>
      <c r="S86" s="1">
        <f>-2/G86</f>
        <v>-5.7142857142857144</v>
      </c>
      <c r="T86" s="1">
        <v>455</v>
      </c>
      <c r="U86" s="1">
        <v>227.5</v>
      </c>
      <c r="V86" s="1">
        <f t="shared" si="30"/>
        <v>60</v>
      </c>
      <c r="W86" s="5"/>
      <c r="X86" s="5">
        <f t="shared" si="39"/>
        <v>0</v>
      </c>
      <c r="Y86" s="18"/>
      <c r="Z86" s="18"/>
      <c r="AA86" s="1">
        <f t="shared" si="32"/>
        <v>12.713095238095239</v>
      </c>
      <c r="AB86" s="1">
        <f t="shared" si="31"/>
        <v>12.713095238095239</v>
      </c>
      <c r="AC86" s="1">
        <v>60.2</v>
      </c>
      <c r="AD86" s="1">
        <v>18.600000000000001</v>
      </c>
      <c r="AE86" s="1">
        <v>1.2</v>
      </c>
      <c r="AF86" s="1">
        <v>24.8</v>
      </c>
      <c r="AG86" s="1">
        <v>57.2</v>
      </c>
      <c r="AH86" s="1">
        <v>41.6</v>
      </c>
      <c r="AI86" s="1">
        <v>37.4</v>
      </c>
      <c r="AJ86" s="1">
        <v>49.2</v>
      </c>
      <c r="AK86" s="1"/>
      <c r="AL86" s="1">
        <f t="shared" si="33"/>
        <v>0</v>
      </c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 t="s">
        <v>134</v>
      </c>
      <c r="B87" s="1" t="s">
        <v>44</v>
      </c>
      <c r="C87" s="1">
        <v>50</v>
      </c>
      <c r="D87" s="1">
        <v>88</v>
      </c>
      <c r="E87" s="1">
        <v>10</v>
      </c>
      <c r="F87" s="1">
        <v>59</v>
      </c>
      <c r="G87" s="7">
        <v>0.4</v>
      </c>
      <c r="H87" s="1">
        <v>55</v>
      </c>
      <c r="I87" s="1" t="s">
        <v>39</v>
      </c>
      <c r="J87" s="1"/>
      <c r="K87" s="1">
        <v>10</v>
      </c>
      <c r="L87" s="1">
        <f t="shared" si="28"/>
        <v>0</v>
      </c>
      <c r="M87" s="1">
        <f t="shared" si="29"/>
        <v>10</v>
      </c>
      <c r="N87" s="1"/>
      <c r="O87" s="1">
        <v>0</v>
      </c>
      <c r="P87" s="1"/>
      <c r="Q87" s="1"/>
      <c r="R87" s="1"/>
      <c r="S87" s="1"/>
      <c r="T87" s="1"/>
      <c r="U87" s="1"/>
      <c r="V87" s="1">
        <f t="shared" si="30"/>
        <v>2</v>
      </c>
      <c r="W87" s="5"/>
      <c r="X87" s="5">
        <f t="shared" si="34"/>
        <v>0</v>
      </c>
      <c r="Y87" s="18"/>
      <c r="Z87" s="18"/>
      <c r="AA87" s="1">
        <f t="shared" si="32"/>
        <v>29.5</v>
      </c>
      <c r="AB87" s="1">
        <f t="shared" si="31"/>
        <v>29.5</v>
      </c>
      <c r="AC87" s="1">
        <v>2</v>
      </c>
      <c r="AD87" s="1">
        <v>2</v>
      </c>
      <c r="AE87" s="1">
        <v>6.2</v>
      </c>
      <c r="AF87" s="1">
        <v>4.4000000000000004</v>
      </c>
      <c r="AG87" s="1">
        <v>0.2</v>
      </c>
      <c r="AH87" s="1">
        <v>4.2</v>
      </c>
      <c r="AI87" s="1">
        <v>4.2</v>
      </c>
      <c r="AJ87" s="1">
        <v>0</v>
      </c>
      <c r="AK87" s="16" t="s">
        <v>88</v>
      </c>
      <c r="AL87" s="1">
        <f t="shared" si="33"/>
        <v>0</v>
      </c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 t="s">
        <v>135</v>
      </c>
      <c r="B88" s="1" t="s">
        <v>38</v>
      </c>
      <c r="C88" s="1">
        <v>20.971</v>
      </c>
      <c r="D88" s="1">
        <v>6.7240000000000002</v>
      </c>
      <c r="E88" s="1">
        <v>3.7170000000000001</v>
      </c>
      <c r="F88" s="1">
        <v>2.56</v>
      </c>
      <c r="G88" s="7">
        <v>1</v>
      </c>
      <c r="H88" s="1">
        <v>55</v>
      </c>
      <c r="I88" s="1" t="s">
        <v>39</v>
      </c>
      <c r="J88" s="1"/>
      <c r="K88" s="1">
        <v>7.8</v>
      </c>
      <c r="L88" s="1">
        <f t="shared" si="28"/>
        <v>-4.0830000000000002</v>
      </c>
      <c r="M88" s="1">
        <f t="shared" si="29"/>
        <v>3.7170000000000001</v>
      </c>
      <c r="N88" s="1"/>
      <c r="O88" s="1">
        <v>0</v>
      </c>
      <c r="P88" s="1"/>
      <c r="Q88" s="1"/>
      <c r="R88" s="1"/>
      <c r="S88" s="1"/>
      <c r="T88" s="1">
        <v>5.6173999999999999</v>
      </c>
      <c r="U88" s="1"/>
      <c r="V88" s="1">
        <f t="shared" si="30"/>
        <v>0.74340000000000006</v>
      </c>
      <c r="W88" s="5">
        <v>4</v>
      </c>
      <c r="X88" s="5">
        <f t="shared" si="34"/>
        <v>4</v>
      </c>
      <c r="Y88" s="18"/>
      <c r="Z88" s="18"/>
      <c r="AA88" s="1">
        <f t="shared" si="32"/>
        <v>16.380683346785041</v>
      </c>
      <c r="AB88" s="1">
        <f t="shared" si="31"/>
        <v>11</v>
      </c>
      <c r="AC88" s="1">
        <v>0.74340000000000006</v>
      </c>
      <c r="AD88" s="1">
        <v>0.26700000000000002</v>
      </c>
      <c r="AE88" s="1">
        <v>0.26700000000000002</v>
      </c>
      <c r="AF88" s="1">
        <v>0.29099999999999998</v>
      </c>
      <c r="AG88" s="1">
        <v>0.59099999999999997</v>
      </c>
      <c r="AH88" s="1">
        <v>0.3</v>
      </c>
      <c r="AI88" s="1">
        <v>0.56580000000000008</v>
      </c>
      <c r="AJ88" s="1">
        <v>0.85500000000000009</v>
      </c>
      <c r="AK88" s="1" t="s">
        <v>136</v>
      </c>
      <c r="AL88" s="1">
        <f t="shared" si="33"/>
        <v>4</v>
      </c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1" t="s">
        <v>137</v>
      </c>
      <c r="B89" s="11" t="s">
        <v>38</v>
      </c>
      <c r="C89" s="11"/>
      <c r="D89" s="11"/>
      <c r="E89" s="11"/>
      <c r="F89" s="11"/>
      <c r="G89" s="12">
        <v>0</v>
      </c>
      <c r="H89" s="11"/>
      <c r="I89" s="11" t="s">
        <v>39</v>
      </c>
      <c r="J89" s="11"/>
      <c r="K89" s="11"/>
      <c r="L89" s="11">
        <f t="shared" si="28"/>
        <v>0</v>
      </c>
      <c r="M89" s="11">
        <f t="shared" si="29"/>
        <v>0</v>
      </c>
      <c r="N89" s="11"/>
      <c r="O89" s="11">
        <v>0</v>
      </c>
      <c r="P89" s="11"/>
      <c r="Q89" s="11"/>
      <c r="R89" s="11"/>
      <c r="S89" s="11"/>
      <c r="T89" s="11"/>
      <c r="U89" s="11"/>
      <c r="V89" s="11">
        <f t="shared" si="30"/>
        <v>0</v>
      </c>
      <c r="W89" s="13"/>
      <c r="X89" s="5">
        <f t="shared" si="34"/>
        <v>0</v>
      </c>
      <c r="Y89" s="18"/>
      <c r="Z89" s="18"/>
      <c r="AA89" s="1" t="e">
        <f t="shared" si="32"/>
        <v>#DIV/0!</v>
      </c>
      <c r="AB89" s="11" t="e">
        <f t="shared" si="31"/>
        <v>#DIV/0!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 t="s">
        <v>62</v>
      </c>
      <c r="AL89" s="1">
        <f t="shared" si="33"/>
        <v>0</v>
      </c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 t="s">
        <v>138</v>
      </c>
      <c r="B90" s="1" t="s">
        <v>38</v>
      </c>
      <c r="C90" s="1">
        <v>2422.0479999999998</v>
      </c>
      <c r="D90" s="1">
        <v>12246.101000000001</v>
      </c>
      <c r="E90" s="1">
        <v>3107.2040000000002</v>
      </c>
      <c r="F90" s="1">
        <v>2982.2629999999999</v>
      </c>
      <c r="G90" s="7">
        <v>1</v>
      </c>
      <c r="H90" s="1">
        <v>60</v>
      </c>
      <c r="I90" s="1" t="s">
        <v>39</v>
      </c>
      <c r="J90" s="1"/>
      <c r="K90" s="1">
        <v>3140.9850000000001</v>
      </c>
      <c r="L90" s="1">
        <f t="shared" si="28"/>
        <v>-33.780999999999949</v>
      </c>
      <c r="M90" s="1">
        <f t="shared" si="29"/>
        <v>2417.4190000000003</v>
      </c>
      <c r="N90" s="1">
        <v>689.78499999999997</v>
      </c>
      <c r="O90" s="1">
        <v>559.06353026999955</v>
      </c>
      <c r="P90" s="1"/>
      <c r="Q90" s="1"/>
      <c r="R90" s="1">
        <v>1035.072569729999</v>
      </c>
      <c r="S90" s="1"/>
      <c r="T90" s="1">
        <v>240</v>
      </c>
      <c r="U90" s="1">
        <v>960</v>
      </c>
      <c r="V90" s="1">
        <f t="shared" si="30"/>
        <v>483.48380000000009</v>
      </c>
      <c r="W90" s="5">
        <f t="shared" ref="W90" si="40">12*V90-U90-T90-S90-R90-Q90-P90-O90-F90</f>
        <v>25.406500000002779</v>
      </c>
      <c r="X90" s="5">
        <f>W90+V90*$X$1</f>
        <v>687.77930600000298</v>
      </c>
      <c r="Y90" s="18"/>
      <c r="Z90" s="18"/>
      <c r="AA90" s="1">
        <f t="shared" si="32"/>
        <v>13.370000000000001</v>
      </c>
      <c r="AB90" s="1">
        <f t="shared" si="31"/>
        <v>11.94745118657543</v>
      </c>
      <c r="AC90" s="1">
        <v>522.95619999999997</v>
      </c>
      <c r="AD90" s="1">
        <v>517.02299999999991</v>
      </c>
      <c r="AE90" s="1">
        <v>538.73500000000001</v>
      </c>
      <c r="AF90" s="1">
        <v>591.0634</v>
      </c>
      <c r="AG90" s="1">
        <v>673.63120000000004</v>
      </c>
      <c r="AH90" s="1">
        <v>428.86399999999998</v>
      </c>
      <c r="AI90" s="1">
        <v>368.13479999999998</v>
      </c>
      <c r="AJ90" s="1">
        <v>482.79840000000002</v>
      </c>
      <c r="AK90" s="1" t="s">
        <v>41</v>
      </c>
      <c r="AL90" s="1">
        <f t="shared" si="33"/>
        <v>688</v>
      </c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 t="s">
        <v>139</v>
      </c>
      <c r="B91" s="1" t="s">
        <v>44</v>
      </c>
      <c r="C91" s="1">
        <v>671</v>
      </c>
      <c r="D91" s="1">
        <v>1660</v>
      </c>
      <c r="E91" s="1">
        <v>134</v>
      </c>
      <c r="F91" s="1">
        <v>570</v>
      </c>
      <c r="G91" s="7">
        <v>0.3</v>
      </c>
      <c r="H91" s="1">
        <v>40</v>
      </c>
      <c r="I91" s="1" t="s">
        <v>39</v>
      </c>
      <c r="J91" s="1"/>
      <c r="K91" s="1">
        <v>167</v>
      </c>
      <c r="L91" s="1">
        <f t="shared" si="28"/>
        <v>-33</v>
      </c>
      <c r="M91" s="1">
        <f t="shared" si="29"/>
        <v>134</v>
      </c>
      <c r="N91" s="1"/>
      <c r="O91" s="1">
        <v>0</v>
      </c>
      <c r="P91" s="1"/>
      <c r="Q91" s="1"/>
      <c r="R91" s="1"/>
      <c r="S91" s="1"/>
      <c r="T91" s="1"/>
      <c r="U91" s="1"/>
      <c r="V91" s="1">
        <f t="shared" si="30"/>
        <v>26.8</v>
      </c>
      <c r="W91" s="5"/>
      <c r="X91" s="5">
        <f t="shared" si="34"/>
        <v>0</v>
      </c>
      <c r="Y91" s="18"/>
      <c r="Z91" s="18"/>
      <c r="AA91" s="1">
        <f t="shared" si="32"/>
        <v>21.268656716417908</v>
      </c>
      <c r="AB91" s="1">
        <f t="shared" si="31"/>
        <v>21.268656716417908</v>
      </c>
      <c r="AC91" s="1">
        <v>38.799999999999997</v>
      </c>
      <c r="AD91" s="1">
        <v>47.6</v>
      </c>
      <c r="AE91" s="1">
        <v>64.8</v>
      </c>
      <c r="AF91" s="1">
        <v>54.6</v>
      </c>
      <c r="AG91" s="1">
        <v>43.4</v>
      </c>
      <c r="AH91" s="1">
        <v>52.8</v>
      </c>
      <c r="AI91" s="1">
        <v>49.8</v>
      </c>
      <c r="AJ91" s="1">
        <v>36.200000000000003</v>
      </c>
      <c r="AK91" s="1"/>
      <c r="AL91" s="1">
        <f t="shared" si="33"/>
        <v>0</v>
      </c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 t="s">
        <v>140</v>
      </c>
      <c r="B92" s="1" t="s">
        <v>38</v>
      </c>
      <c r="C92" s="1">
        <v>868.31500000000005</v>
      </c>
      <c r="D92" s="1">
        <v>4434.1360000000004</v>
      </c>
      <c r="E92" s="1">
        <v>1623.098</v>
      </c>
      <c r="F92" s="1">
        <v>1616.614</v>
      </c>
      <c r="G92" s="7">
        <v>1</v>
      </c>
      <c r="H92" s="1">
        <v>60</v>
      </c>
      <c r="I92" s="1" t="s">
        <v>39</v>
      </c>
      <c r="J92" s="1"/>
      <c r="K92" s="1">
        <v>1668.4380000000001</v>
      </c>
      <c r="L92" s="1">
        <f t="shared" si="28"/>
        <v>-45.340000000000146</v>
      </c>
      <c r="M92" s="1">
        <f t="shared" si="29"/>
        <v>1337.36</v>
      </c>
      <c r="N92" s="1">
        <v>285.738</v>
      </c>
      <c r="O92" s="1">
        <v>246.04803384000019</v>
      </c>
      <c r="P92" s="1"/>
      <c r="Q92" s="1">
        <v>300</v>
      </c>
      <c r="R92" s="1">
        <v>455.54316616000028</v>
      </c>
      <c r="S92" s="1"/>
      <c r="T92" s="1">
        <v>200</v>
      </c>
      <c r="U92" s="1">
        <v>800</v>
      </c>
      <c r="V92" s="1">
        <f t="shared" si="30"/>
        <v>267.47199999999998</v>
      </c>
      <c r="W92" s="5"/>
      <c r="X92" s="5">
        <f t="shared" si="34"/>
        <v>0</v>
      </c>
      <c r="Y92" s="18"/>
      <c r="Z92" s="18"/>
      <c r="AA92" s="1">
        <f t="shared" si="32"/>
        <v>13.527416701561288</v>
      </c>
      <c r="AB92" s="1">
        <f t="shared" si="31"/>
        <v>13.527416701561288</v>
      </c>
      <c r="AC92" s="1">
        <v>289.9846</v>
      </c>
      <c r="AD92" s="1">
        <v>263.73020000000002</v>
      </c>
      <c r="AE92" s="1">
        <v>277.47519999999997</v>
      </c>
      <c r="AF92" s="1">
        <v>257.95119999999997</v>
      </c>
      <c r="AG92" s="1">
        <v>283.8922</v>
      </c>
      <c r="AH92" s="1">
        <v>197.21299999999999</v>
      </c>
      <c r="AI92" s="1">
        <v>160.90700000000001</v>
      </c>
      <c r="AJ92" s="1">
        <v>215.4</v>
      </c>
      <c r="AK92" s="1"/>
      <c r="AL92" s="1">
        <f t="shared" si="33"/>
        <v>0</v>
      </c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 t="s">
        <v>141</v>
      </c>
      <c r="B93" s="1" t="s">
        <v>38</v>
      </c>
      <c r="C93" s="1">
        <v>1675.7180000000001</v>
      </c>
      <c r="D93" s="1">
        <v>10712.806</v>
      </c>
      <c r="E93" s="1">
        <v>3325.75</v>
      </c>
      <c r="F93" s="1">
        <v>1922.04</v>
      </c>
      <c r="G93" s="7">
        <v>1</v>
      </c>
      <c r="H93" s="1">
        <v>60</v>
      </c>
      <c r="I93" s="1" t="s">
        <v>39</v>
      </c>
      <c r="J93" s="1"/>
      <c r="K93" s="1">
        <v>3406.4029999999998</v>
      </c>
      <c r="L93" s="1">
        <f t="shared" si="28"/>
        <v>-80.652999999999793</v>
      </c>
      <c r="M93" s="1">
        <f t="shared" si="29"/>
        <v>2425.8739999999998</v>
      </c>
      <c r="N93" s="1">
        <v>899.87599999999998</v>
      </c>
      <c r="O93" s="1">
        <v>507.39100650000017</v>
      </c>
      <c r="P93" s="1"/>
      <c r="Q93" s="1">
        <v>510</v>
      </c>
      <c r="R93" s="1">
        <v>939.4039935000003</v>
      </c>
      <c r="S93" s="1"/>
      <c r="T93" s="1">
        <v>420</v>
      </c>
      <c r="U93" s="1">
        <v>1680</v>
      </c>
      <c r="V93" s="1">
        <f t="shared" si="30"/>
        <v>485.17479999999995</v>
      </c>
      <c r="W93" s="5"/>
      <c r="X93" s="5">
        <f t="shared" ref="X93:X95" si="41">W93+V93*$X$1</f>
        <v>664.68947600000001</v>
      </c>
      <c r="Y93" s="18"/>
      <c r="Z93" s="18"/>
      <c r="AA93" s="1">
        <f t="shared" si="32"/>
        <v>13.693053464442096</v>
      </c>
      <c r="AB93" s="1">
        <f t="shared" si="31"/>
        <v>12.323053464442095</v>
      </c>
      <c r="AC93" s="1">
        <v>500.68040000000002</v>
      </c>
      <c r="AD93" s="1">
        <v>462.61800000000011</v>
      </c>
      <c r="AE93" s="1">
        <v>495.69220000000001</v>
      </c>
      <c r="AF93" s="1">
        <v>523.89400000000001</v>
      </c>
      <c r="AG93" s="1">
        <v>507.10120000000012</v>
      </c>
      <c r="AH93" s="1">
        <v>403.74220000000003</v>
      </c>
      <c r="AI93" s="1">
        <v>422.80460000000011</v>
      </c>
      <c r="AJ93" s="1">
        <v>423.51899999999989</v>
      </c>
      <c r="AK93" s="1"/>
      <c r="AL93" s="1">
        <f t="shared" si="33"/>
        <v>665</v>
      </c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 t="s">
        <v>67</v>
      </c>
      <c r="B94" s="1" t="s">
        <v>38</v>
      </c>
      <c r="C94" s="1">
        <v>2645.902</v>
      </c>
      <c r="D94" s="1">
        <v>13464.672</v>
      </c>
      <c r="E94" s="1">
        <v>4044.78</v>
      </c>
      <c r="F94" s="1">
        <v>1602.6130000000001</v>
      </c>
      <c r="G94" s="7">
        <v>1</v>
      </c>
      <c r="H94" s="1">
        <v>60</v>
      </c>
      <c r="I94" s="1" t="s">
        <v>39</v>
      </c>
      <c r="J94" s="1"/>
      <c r="K94" s="1">
        <v>4121.4480000000003</v>
      </c>
      <c r="L94" s="1">
        <f t="shared" si="28"/>
        <v>-76.66800000000012</v>
      </c>
      <c r="M94" s="1">
        <f t="shared" si="29"/>
        <v>2722.5320000000002</v>
      </c>
      <c r="N94" s="1">
        <v>1322.248</v>
      </c>
      <c r="O94" s="1">
        <v>659.92635828000016</v>
      </c>
      <c r="P94" s="1"/>
      <c r="Q94" s="1">
        <v>1095</v>
      </c>
      <c r="R94" s="1">
        <v>1221.81404172</v>
      </c>
      <c r="S94" s="1"/>
      <c r="T94" s="1">
        <v>440</v>
      </c>
      <c r="U94" s="1">
        <v>1760</v>
      </c>
      <c r="V94" s="1">
        <f t="shared" si="30"/>
        <v>544.50639999999999</v>
      </c>
      <c r="W94" s="5"/>
      <c r="X94" s="5">
        <f t="shared" si="41"/>
        <v>745.97376800000006</v>
      </c>
      <c r="Y94" s="18"/>
      <c r="Z94" s="18"/>
      <c r="AA94" s="1">
        <f t="shared" si="32"/>
        <v>13.820456780673284</v>
      </c>
      <c r="AB94" s="1">
        <f t="shared" si="31"/>
        <v>12.450456780673285</v>
      </c>
      <c r="AC94" s="1">
        <v>570.49300000000005</v>
      </c>
      <c r="AD94" s="1">
        <v>578.13740000000007</v>
      </c>
      <c r="AE94" s="1">
        <v>589.31639999999993</v>
      </c>
      <c r="AF94" s="1">
        <v>576.82039999999995</v>
      </c>
      <c r="AG94" s="1">
        <v>637.09520000000009</v>
      </c>
      <c r="AH94" s="1">
        <v>500.93239999999997</v>
      </c>
      <c r="AI94" s="1">
        <v>455.24059999999997</v>
      </c>
      <c r="AJ94" s="1">
        <v>581.56139999999994</v>
      </c>
      <c r="AK94" s="1"/>
      <c r="AL94" s="1">
        <f t="shared" si="33"/>
        <v>746</v>
      </c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 t="s">
        <v>142</v>
      </c>
      <c r="B95" s="1" t="s">
        <v>38</v>
      </c>
      <c r="C95" s="1">
        <v>12.128</v>
      </c>
      <c r="D95" s="1">
        <v>96.602999999999994</v>
      </c>
      <c r="E95" s="1">
        <v>16.032</v>
      </c>
      <c r="F95" s="1">
        <v>36.341000000000001</v>
      </c>
      <c r="G95" s="7">
        <v>1</v>
      </c>
      <c r="H95" s="1">
        <v>55</v>
      </c>
      <c r="I95" s="1" t="s">
        <v>39</v>
      </c>
      <c r="J95" s="1"/>
      <c r="K95" s="1">
        <v>18.5</v>
      </c>
      <c r="L95" s="1">
        <f t="shared" si="28"/>
        <v>-2.468</v>
      </c>
      <c r="M95" s="1">
        <f t="shared" si="29"/>
        <v>16.032</v>
      </c>
      <c r="N95" s="1"/>
      <c r="O95" s="1">
        <v>4</v>
      </c>
      <c r="P95" s="1"/>
      <c r="Q95" s="1"/>
      <c r="R95" s="1"/>
      <c r="S95" s="1"/>
      <c r="T95" s="1"/>
      <c r="U95" s="1"/>
      <c r="V95" s="1">
        <f t="shared" si="30"/>
        <v>3.2063999999999999</v>
      </c>
      <c r="W95" s="5"/>
      <c r="X95" s="5"/>
      <c r="Y95" s="18"/>
      <c r="Z95" s="18"/>
      <c r="AA95" s="1">
        <f t="shared" si="32"/>
        <v>12.581399700598803</v>
      </c>
      <c r="AB95" s="1">
        <f t="shared" si="31"/>
        <v>12.581399700598803</v>
      </c>
      <c r="AC95" s="1">
        <v>3.226</v>
      </c>
      <c r="AD95" s="1">
        <v>3.7902</v>
      </c>
      <c r="AE95" s="1">
        <v>4.0486000000000004</v>
      </c>
      <c r="AF95" s="1">
        <v>4.0282</v>
      </c>
      <c r="AG95" s="1">
        <v>3.492</v>
      </c>
      <c r="AH95" s="1">
        <v>1.6095999999999999</v>
      </c>
      <c r="AI95" s="1">
        <v>2.2846000000000002</v>
      </c>
      <c r="AJ95" s="1">
        <v>4.4762000000000004</v>
      </c>
      <c r="AK95" s="1"/>
      <c r="AL95" s="1">
        <f t="shared" si="33"/>
        <v>0</v>
      </c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1" t="s">
        <v>143</v>
      </c>
      <c r="B96" s="11" t="s">
        <v>38</v>
      </c>
      <c r="C96" s="11">
        <v>-1.36</v>
      </c>
      <c r="D96" s="11">
        <v>1.36</v>
      </c>
      <c r="E96" s="11"/>
      <c r="F96" s="11"/>
      <c r="G96" s="12">
        <v>0</v>
      </c>
      <c r="H96" s="11"/>
      <c r="I96" s="11" t="s">
        <v>53</v>
      </c>
      <c r="J96" s="11"/>
      <c r="K96" s="11"/>
      <c r="L96" s="11">
        <f t="shared" si="28"/>
        <v>0</v>
      </c>
      <c r="M96" s="11">
        <f t="shared" si="29"/>
        <v>0</v>
      </c>
      <c r="N96" s="11"/>
      <c r="O96" s="11">
        <v>0</v>
      </c>
      <c r="P96" s="11"/>
      <c r="Q96" s="11"/>
      <c r="R96" s="11"/>
      <c r="S96" s="11"/>
      <c r="T96" s="11"/>
      <c r="U96" s="11"/>
      <c r="V96" s="11">
        <f t="shared" si="30"/>
        <v>0</v>
      </c>
      <c r="W96" s="13"/>
      <c r="X96" s="5">
        <f t="shared" si="34"/>
        <v>0</v>
      </c>
      <c r="Y96" s="18"/>
      <c r="Z96" s="18"/>
      <c r="AA96" s="1" t="e">
        <f t="shared" si="32"/>
        <v>#DIV/0!</v>
      </c>
      <c r="AB96" s="11" t="e">
        <f t="shared" si="31"/>
        <v>#DIV/0!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/>
      <c r="AL96" s="1">
        <f t="shared" si="33"/>
        <v>0</v>
      </c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1" t="s">
        <v>144</v>
      </c>
      <c r="B97" s="11" t="s">
        <v>38</v>
      </c>
      <c r="C97" s="11">
        <v>-3.9460000000000002</v>
      </c>
      <c r="D97" s="11">
        <v>112.032</v>
      </c>
      <c r="E97" s="11"/>
      <c r="F97" s="11"/>
      <c r="G97" s="12">
        <v>0</v>
      </c>
      <c r="H97" s="11"/>
      <c r="I97" s="11" t="s">
        <v>53</v>
      </c>
      <c r="J97" s="11"/>
      <c r="K97" s="11"/>
      <c r="L97" s="11">
        <f t="shared" si="28"/>
        <v>0</v>
      </c>
      <c r="M97" s="11">
        <f t="shared" si="29"/>
        <v>0</v>
      </c>
      <c r="N97" s="11"/>
      <c r="O97" s="11">
        <v>0</v>
      </c>
      <c r="P97" s="11"/>
      <c r="Q97" s="11"/>
      <c r="R97" s="11"/>
      <c r="S97" s="11"/>
      <c r="T97" s="11"/>
      <c r="U97" s="11"/>
      <c r="V97" s="11">
        <f t="shared" si="30"/>
        <v>0</v>
      </c>
      <c r="W97" s="13"/>
      <c r="X97" s="5">
        <f t="shared" si="34"/>
        <v>0</v>
      </c>
      <c r="Y97" s="18"/>
      <c r="Z97" s="18"/>
      <c r="AA97" s="1" t="e">
        <f t="shared" si="32"/>
        <v>#DIV/0!</v>
      </c>
      <c r="AB97" s="11" t="e">
        <f t="shared" si="31"/>
        <v>#DIV/0!</v>
      </c>
      <c r="AC97" s="11">
        <v>0</v>
      </c>
      <c r="AD97" s="11">
        <v>0</v>
      </c>
      <c r="AE97" s="11">
        <v>0</v>
      </c>
      <c r="AF97" s="11">
        <v>-8.5999999999999993E-2</v>
      </c>
      <c r="AG97" s="11">
        <v>-8.5999999999999993E-2</v>
      </c>
      <c r="AH97" s="11">
        <v>0</v>
      </c>
      <c r="AI97" s="11">
        <v>-0.26900000000000002</v>
      </c>
      <c r="AJ97" s="11">
        <v>-0.47220000000000012</v>
      </c>
      <c r="AK97" s="11"/>
      <c r="AL97" s="1">
        <f t="shared" si="33"/>
        <v>0</v>
      </c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 t="s">
        <v>145</v>
      </c>
      <c r="B98" s="1" t="s">
        <v>44</v>
      </c>
      <c r="C98" s="1">
        <v>-5</v>
      </c>
      <c r="D98" s="1">
        <v>91</v>
      </c>
      <c r="E98" s="1"/>
      <c r="F98" s="1"/>
      <c r="G98" s="7">
        <v>0.3</v>
      </c>
      <c r="H98" s="1">
        <v>40</v>
      </c>
      <c r="I98" s="10" t="s">
        <v>50</v>
      </c>
      <c r="J98" s="1"/>
      <c r="K98" s="1">
        <v>101</v>
      </c>
      <c r="L98" s="1">
        <f t="shared" si="28"/>
        <v>-101</v>
      </c>
      <c r="M98" s="1">
        <f t="shared" si="29"/>
        <v>0</v>
      </c>
      <c r="N98" s="1"/>
      <c r="O98" s="1">
        <v>80</v>
      </c>
      <c r="P98" s="1">
        <v>-84</v>
      </c>
      <c r="Q98" s="1"/>
      <c r="R98" s="1">
        <v>40</v>
      </c>
      <c r="S98" s="1">
        <v>-40</v>
      </c>
      <c r="T98" s="1">
        <v>104</v>
      </c>
      <c r="U98" s="1"/>
      <c r="V98" s="1">
        <f t="shared" si="30"/>
        <v>0</v>
      </c>
      <c r="W98" s="5">
        <v>80</v>
      </c>
      <c r="X98" s="5">
        <f t="shared" ref="X98" si="42">W98*1.3</f>
        <v>104</v>
      </c>
      <c r="Y98" s="18"/>
      <c r="Z98" s="18"/>
      <c r="AA98" s="1" t="e">
        <f t="shared" si="32"/>
        <v>#DIV/0!</v>
      </c>
      <c r="AB98" s="1" t="e">
        <f t="shared" si="31"/>
        <v>#DIV/0!</v>
      </c>
      <c r="AC98" s="1">
        <v>0</v>
      </c>
      <c r="AD98" s="1">
        <v>0</v>
      </c>
      <c r="AE98" s="1">
        <v>-0.4</v>
      </c>
      <c r="AF98" s="1">
        <v>-0.4</v>
      </c>
      <c r="AG98" s="1">
        <v>0</v>
      </c>
      <c r="AH98" s="1">
        <v>-0.2</v>
      </c>
      <c r="AI98" s="1">
        <v>-0.6</v>
      </c>
      <c r="AJ98" s="1">
        <v>-0.4</v>
      </c>
      <c r="AK98" s="1"/>
      <c r="AL98" s="1">
        <f t="shared" si="33"/>
        <v>31</v>
      </c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 t="s">
        <v>146</v>
      </c>
      <c r="B99" s="1" t="s">
        <v>44</v>
      </c>
      <c r="C99" s="1">
        <v>55</v>
      </c>
      <c r="D99" s="1">
        <v>182</v>
      </c>
      <c r="E99" s="1">
        <v>40</v>
      </c>
      <c r="F99" s="1">
        <v>36</v>
      </c>
      <c r="G99" s="7">
        <v>0.3</v>
      </c>
      <c r="H99" s="1">
        <v>40</v>
      </c>
      <c r="I99" s="1" t="s">
        <v>39</v>
      </c>
      <c r="J99" s="1"/>
      <c r="K99" s="1">
        <v>52</v>
      </c>
      <c r="L99" s="1">
        <f t="shared" si="28"/>
        <v>-12</v>
      </c>
      <c r="M99" s="1">
        <f t="shared" si="29"/>
        <v>40</v>
      </c>
      <c r="N99" s="1"/>
      <c r="O99" s="1">
        <v>0</v>
      </c>
      <c r="P99" s="1"/>
      <c r="Q99" s="1"/>
      <c r="R99" s="1"/>
      <c r="S99" s="1"/>
      <c r="T99" s="1">
        <v>10.599999999999991</v>
      </c>
      <c r="U99" s="1"/>
      <c r="V99" s="1">
        <f t="shared" si="30"/>
        <v>8</v>
      </c>
      <c r="W99" s="5">
        <f t="shared" ref="W99" si="43">12*V99-U99-T99-S99-R99-Q99-P99-O99-F99</f>
        <v>49.400000000000006</v>
      </c>
      <c r="X99" s="5">
        <f>W99+V99*$X$1</f>
        <v>60.360000000000007</v>
      </c>
      <c r="Y99" s="18"/>
      <c r="Z99" s="18"/>
      <c r="AA99" s="1">
        <f t="shared" si="32"/>
        <v>13.370000000000001</v>
      </c>
      <c r="AB99" s="1">
        <f t="shared" si="31"/>
        <v>5.8249999999999993</v>
      </c>
      <c r="AC99" s="1">
        <v>5.6</v>
      </c>
      <c r="AD99" s="1">
        <v>4.2</v>
      </c>
      <c r="AE99" s="1">
        <v>6.4</v>
      </c>
      <c r="AF99" s="1">
        <v>8.8000000000000007</v>
      </c>
      <c r="AG99" s="1">
        <v>6</v>
      </c>
      <c r="AH99" s="1">
        <v>1.6</v>
      </c>
      <c r="AI99" s="1">
        <v>2.2000000000000002</v>
      </c>
      <c r="AJ99" s="1">
        <v>6.8</v>
      </c>
      <c r="AK99" s="1"/>
      <c r="AL99" s="1">
        <f t="shared" si="33"/>
        <v>18</v>
      </c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 t="s">
        <v>147</v>
      </c>
      <c r="B100" s="1" t="s">
        <v>44</v>
      </c>
      <c r="C100" s="1">
        <v>14</v>
      </c>
      <c r="D100" s="1">
        <v>409</v>
      </c>
      <c r="E100" s="1">
        <v>42</v>
      </c>
      <c r="F100" s="1">
        <v>20</v>
      </c>
      <c r="G100" s="7">
        <v>7.0000000000000007E-2</v>
      </c>
      <c r="H100" s="1">
        <v>90</v>
      </c>
      <c r="I100" s="10" t="s">
        <v>50</v>
      </c>
      <c r="J100" s="1"/>
      <c r="K100" s="1">
        <v>90</v>
      </c>
      <c r="L100" s="1">
        <f t="shared" si="28"/>
        <v>-48</v>
      </c>
      <c r="M100" s="1">
        <f t="shared" si="29"/>
        <v>42</v>
      </c>
      <c r="N100" s="1"/>
      <c r="O100" s="1">
        <v>90.199999999999989</v>
      </c>
      <c r="P100" s="1">
        <v>-89.999999999999986</v>
      </c>
      <c r="Q100" s="1"/>
      <c r="R100" s="1">
        <v>50</v>
      </c>
      <c r="S100" s="1">
        <v>-50</v>
      </c>
      <c r="T100" s="1">
        <v>130</v>
      </c>
      <c r="U100" s="1"/>
      <c r="V100" s="1">
        <f t="shared" si="30"/>
        <v>8.4</v>
      </c>
      <c r="W100" s="5">
        <v>80</v>
      </c>
      <c r="X100" s="5">
        <f t="shared" ref="X100:X102" si="44">W100*1.3</f>
        <v>104</v>
      </c>
      <c r="Y100" s="18"/>
      <c r="Z100" s="18"/>
      <c r="AA100" s="1">
        <f t="shared" si="32"/>
        <v>30.261904761904759</v>
      </c>
      <c r="AB100" s="1">
        <f t="shared" si="31"/>
        <v>17.88095238095238</v>
      </c>
      <c r="AC100" s="1">
        <v>20.399999999999999</v>
      </c>
      <c r="AD100" s="1">
        <v>12.6</v>
      </c>
      <c r="AE100" s="1">
        <v>0.4</v>
      </c>
      <c r="AF100" s="1">
        <v>3</v>
      </c>
      <c r="AG100" s="1">
        <v>4.8</v>
      </c>
      <c r="AH100" s="1">
        <v>17.399999999999999</v>
      </c>
      <c r="AI100" s="1">
        <v>32</v>
      </c>
      <c r="AJ100" s="1">
        <v>45.8</v>
      </c>
      <c r="AK100" s="1"/>
      <c r="AL100" s="1">
        <f t="shared" si="33"/>
        <v>7</v>
      </c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 t="s">
        <v>148</v>
      </c>
      <c r="B101" s="1" t="s">
        <v>44</v>
      </c>
      <c r="C101" s="1">
        <v>50</v>
      </c>
      <c r="D101" s="1">
        <v>809</v>
      </c>
      <c r="E101" s="1">
        <v>95</v>
      </c>
      <c r="F101" s="1">
        <v>220</v>
      </c>
      <c r="G101" s="7">
        <v>7.0000000000000007E-2</v>
      </c>
      <c r="H101" s="1">
        <v>90</v>
      </c>
      <c r="I101" s="10" t="s">
        <v>50</v>
      </c>
      <c r="J101" s="1"/>
      <c r="K101" s="1">
        <v>107</v>
      </c>
      <c r="L101" s="1">
        <f t="shared" si="28"/>
        <v>-12</v>
      </c>
      <c r="M101" s="1">
        <f t="shared" si="29"/>
        <v>95</v>
      </c>
      <c r="N101" s="1"/>
      <c r="O101" s="1">
        <v>145.09999999999991</v>
      </c>
      <c r="P101" s="1">
        <v>-144</v>
      </c>
      <c r="Q101" s="1"/>
      <c r="R101" s="1"/>
      <c r="S101" s="1"/>
      <c r="T101" s="1">
        <v>130</v>
      </c>
      <c r="U101" s="1"/>
      <c r="V101" s="1">
        <f t="shared" si="30"/>
        <v>19</v>
      </c>
      <c r="W101" s="5">
        <v>30</v>
      </c>
      <c r="X101" s="5">
        <f t="shared" si="44"/>
        <v>39</v>
      </c>
      <c r="Y101" s="18"/>
      <c r="Z101" s="18"/>
      <c r="AA101" s="1">
        <f t="shared" si="32"/>
        <v>20.531578947368416</v>
      </c>
      <c r="AB101" s="1">
        <f t="shared" si="31"/>
        <v>18.478947368421046</v>
      </c>
      <c r="AC101" s="1">
        <v>27.6</v>
      </c>
      <c r="AD101" s="1">
        <v>35.200000000000003</v>
      </c>
      <c r="AE101" s="1">
        <v>34.200000000000003</v>
      </c>
      <c r="AF101" s="1">
        <v>44.6</v>
      </c>
      <c r="AG101" s="1">
        <v>28.2</v>
      </c>
      <c r="AH101" s="1">
        <v>6.6</v>
      </c>
      <c r="AI101" s="1">
        <v>30</v>
      </c>
      <c r="AJ101" s="1">
        <v>51.8</v>
      </c>
      <c r="AK101" s="1"/>
      <c r="AL101" s="1">
        <f t="shared" si="33"/>
        <v>3</v>
      </c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 t="s">
        <v>149</v>
      </c>
      <c r="B102" s="1" t="s">
        <v>44</v>
      </c>
      <c r="C102" s="1">
        <v>23</v>
      </c>
      <c r="D102" s="1">
        <v>758</v>
      </c>
      <c r="E102" s="1">
        <v>55</v>
      </c>
      <c r="F102" s="1">
        <v>114</v>
      </c>
      <c r="G102" s="7">
        <v>7.0000000000000007E-2</v>
      </c>
      <c r="H102" s="1">
        <v>90</v>
      </c>
      <c r="I102" s="10" t="s">
        <v>50</v>
      </c>
      <c r="J102" s="1"/>
      <c r="K102" s="1">
        <v>66</v>
      </c>
      <c r="L102" s="1">
        <f t="shared" ref="L102:L133" si="45">E102-K102</f>
        <v>-11</v>
      </c>
      <c r="M102" s="1">
        <f t="shared" ref="M102:M133" si="46">E102-N102</f>
        <v>55</v>
      </c>
      <c r="N102" s="1"/>
      <c r="O102" s="1">
        <v>383.2</v>
      </c>
      <c r="P102" s="1"/>
      <c r="Q102" s="1"/>
      <c r="R102" s="1"/>
      <c r="S102" s="1"/>
      <c r="T102" s="1">
        <v>65</v>
      </c>
      <c r="U102" s="1"/>
      <c r="V102" s="1">
        <f t="shared" ref="V102:V138" si="47">M102/5</f>
        <v>11</v>
      </c>
      <c r="W102" s="5"/>
      <c r="X102" s="5">
        <f t="shared" si="44"/>
        <v>0</v>
      </c>
      <c r="Y102" s="18"/>
      <c r="Z102" s="18"/>
      <c r="AA102" s="1">
        <f t="shared" si="32"/>
        <v>51.109090909090916</v>
      </c>
      <c r="AB102" s="1">
        <f t="shared" ref="AB102:AB138" si="48">(F102+O102+P102+Q102+R102+S102+T102+U102)/V102</f>
        <v>51.109090909090916</v>
      </c>
      <c r="AC102" s="1">
        <v>38</v>
      </c>
      <c r="AD102" s="1">
        <v>42.6</v>
      </c>
      <c r="AE102" s="1">
        <v>11.4</v>
      </c>
      <c r="AF102" s="1">
        <v>17.8</v>
      </c>
      <c r="AG102" s="1">
        <v>18.2</v>
      </c>
      <c r="AH102" s="1">
        <v>23</v>
      </c>
      <c r="AI102" s="1">
        <v>39.200000000000003</v>
      </c>
      <c r="AJ102" s="1">
        <v>42</v>
      </c>
      <c r="AK102" s="1"/>
      <c r="AL102" s="1">
        <f t="shared" si="33"/>
        <v>0</v>
      </c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1" t="s">
        <v>150</v>
      </c>
      <c r="B103" s="11" t="s">
        <v>44</v>
      </c>
      <c r="C103" s="11">
        <v>4</v>
      </c>
      <c r="D103" s="11">
        <v>17</v>
      </c>
      <c r="E103" s="11"/>
      <c r="F103" s="11"/>
      <c r="G103" s="12">
        <v>0</v>
      </c>
      <c r="H103" s="11">
        <v>90</v>
      </c>
      <c r="I103" s="11" t="s">
        <v>53</v>
      </c>
      <c r="J103" s="11"/>
      <c r="K103" s="11">
        <v>1</v>
      </c>
      <c r="L103" s="11">
        <f t="shared" si="45"/>
        <v>-1</v>
      </c>
      <c r="M103" s="11">
        <f t="shared" si="46"/>
        <v>0</v>
      </c>
      <c r="N103" s="11"/>
      <c r="O103" s="11">
        <v>0</v>
      </c>
      <c r="P103" s="11"/>
      <c r="Q103" s="11"/>
      <c r="R103" s="11"/>
      <c r="S103" s="11"/>
      <c r="T103" s="11"/>
      <c r="U103" s="11"/>
      <c r="V103" s="11">
        <f t="shared" si="47"/>
        <v>0</v>
      </c>
      <c r="W103" s="13"/>
      <c r="X103" s="5">
        <f t="shared" si="34"/>
        <v>0</v>
      </c>
      <c r="Y103" s="18"/>
      <c r="Z103" s="18"/>
      <c r="AA103" s="1" t="e">
        <f t="shared" si="32"/>
        <v>#DIV/0!</v>
      </c>
      <c r="AB103" s="11" t="e">
        <f t="shared" si="48"/>
        <v>#DIV/0!</v>
      </c>
      <c r="AC103" s="11">
        <v>-0.4</v>
      </c>
      <c r="AD103" s="11">
        <v>-0.4</v>
      </c>
      <c r="AE103" s="11">
        <v>-0.4</v>
      </c>
      <c r="AF103" s="11">
        <v>-0.6</v>
      </c>
      <c r="AG103" s="11">
        <v>-0.2</v>
      </c>
      <c r="AH103" s="11">
        <v>0</v>
      </c>
      <c r="AI103" s="11">
        <v>-0.2</v>
      </c>
      <c r="AJ103" s="11">
        <v>-0.2</v>
      </c>
      <c r="AK103" s="11"/>
      <c r="AL103" s="1">
        <f t="shared" si="33"/>
        <v>0</v>
      </c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 t="s">
        <v>151</v>
      </c>
      <c r="B104" s="1" t="s">
        <v>44</v>
      </c>
      <c r="C104" s="1">
        <v>46</v>
      </c>
      <c r="D104" s="1">
        <v>62</v>
      </c>
      <c r="E104" s="1">
        <v>34</v>
      </c>
      <c r="F104" s="1">
        <v>18</v>
      </c>
      <c r="G104" s="7">
        <v>0.3</v>
      </c>
      <c r="H104" s="1">
        <v>40</v>
      </c>
      <c r="I104" s="1" t="s">
        <v>39</v>
      </c>
      <c r="J104" s="1"/>
      <c r="K104" s="1">
        <v>34</v>
      </c>
      <c r="L104" s="1">
        <f t="shared" si="45"/>
        <v>0</v>
      </c>
      <c r="M104" s="1">
        <f t="shared" si="46"/>
        <v>34</v>
      </c>
      <c r="N104" s="1"/>
      <c r="O104" s="1">
        <v>4.4000000000000057</v>
      </c>
      <c r="P104" s="1"/>
      <c r="Q104" s="1"/>
      <c r="R104" s="1"/>
      <c r="S104" s="1"/>
      <c r="T104" s="1">
        <v>44</v>
      </c>
      <c r="U104" s="1"/>
      <c r="V104" s="1">
        <f t="shared" si="47"/>
        <v>6.8</v>
      </c>
      <c r="W104" s="5">
        <f t="shared" ref="W104:W105" si="49">12*V104-U104-T104-S104-R104-Q104-P104-O104-F104</f>
        <v>15.199999999999989</v>
      </c>
      <c r="X104" s="5">
        <f>W104+V104*$X$1</f>
        <v>24.515999999999991</v>
      </c>
      <c r="Y104" s="18"/>
      <c r="Z104" s="18"/>
      <c r="AA104" s="1">
        <f t="shared" si="32"/>
        <v>13.37</v>
      </c>
      <c r="AB104" s="1">
        <f t="shared" si="48"/>
        <v>9.764705882352942</v>
      </c>
      <c r="AC104" s="1">
        <v>6.4</v>
      </c>
      <c r="AD104" s="1">
        <v>4.2</v>
      </c>
      <c r="AE104" s="1">
        <v>4</v>
      </c>
      <c r="AF104" s="1">
        <v>2.4</v>
      </c>
      <c r="AG104" s="1">
        <v>2.4</v>
      </c>
      <c r="AH104" s="1">
        <v>6.8</v>
      </c>
      <c r="AI104" s="1">
        <v>4.2</v>
      </c>
      <c r="AJ104" s="1">
        <v>1.2</v>
      </c>
      <c r="AK104" s="1"/>
      <c r="AL104" s="1">
        <f t="shared" si="33"/>
        <v>7</v>
      </c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 t="s">
        <v>152</v>
      </c>
      <c r="B105" s="1" t="s">
        <v>38</v>
      </c>
      <c r="C105" s="1">
        <v>5.3970000000000002</v>
      </c>
      <c r="D105" s="1">
        <v>46.164999999999999</v>
      </c>
      <c r="E105" s="1">
        <v>16.890999999999998</v>
      </c>
      <c r="F105" s="1">
        <v>28.097000000000001</v>
      </c>
      <c r="G105" s="7">
        <v>1</v>
      </c>
      <c r="H105" s="1">
        <v>55</v>
      </c>
      <c r="I105" s="10" t="s">
        <v>50</v>
      </c>
      <c r="J105" s="1"/>
      <c r="K105" s="1">
        <v>15.8</v>
      </c>
      <c r="L105" s="1">
        <f t="shared" si="45"/>
        <v>1.0909999999999975</v>
      </c>
      <c r="M105" s="1">
        <f t="shared" si="46"/>
        <v>16.890999999999998</v>
      </c>
      <c r="N105" s="1"/>
      <c r="O105" s="1">
        <v>0</v>
      </c>
      <c r="P105" s="1"/>
      <c r="Q105" s="1"/>
      <c r="R105" s="1"/>
      <c r="S105" s="1"/>
      <c r="T105" s="1">
        <v>0</v>
      </c>
      <c r="U105" s="1"/>
      <c r="V105" s="1">
        <f t="shared" si="47"/>
        <v>3.3781999999999996</v>
      </c>
      <c r="W105" s="5">
        <f t="shared" si="49"/>
        <v>12.441399999999994</v>
      </c>
      <c r="X105" s="5">
        <f t="shared" ref="X105" si="50">W105*1.3</f>
        <v>16.173819999999992</v>
      </c>
      <c r="Y105" s="18"/>
      <c r="Z105" s="18"/>
      <c r="AA105" s="1">
        <f t="shared" si="32"/>
        <v>13.104854656325854</v>
      </c>
      <c r="AB105" s="1">
        <f t="shared" si="48"/>
        <v>8.3171511455804872</v>
      </c>
      <c r="AC105" s="1">
        <v>2.556</v>
      </c>
      <c r="AD105" s="1">
        <v>2.0268000000000002</v>
      </c>
      <c r="AE105" s="1">
        <v>3.2402000000000002</v>
      </c>
      <c r="AF105" s="1">
        <v>3.1644000000000001</v>
      </c>
      <c r="AG105" s="1">
        <v>1.3438000000000001</v>
      </c>
      <c r="AH105" s="1">
        <v>1.5089999999999999</v>
      </c>
      <c r="AI105" s="1">
        <v>4.0606</v>
      </c>
      <c r="AJ105" s="1">
        <v>3.5045999999999999</v>
      </c>
      <c r="AK105" s="1"/>
      <c r="AL105" s="1">
        <f t="shared" si="33"/>
        <v>16</v>
      </c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 t="s">
        <v>153</v>
      </c>
      <c r="B106" s="1" t="s">
        <v>44</v>
      </c>
      <c r="C106" s="1">
        <v>327</v>
      </c>
      <c r="D106" s="1">
        <v>698</v>
      </c>
      <c r="E106" s="1">
        <v>36</v>
      </c>
      <c r="F106" s="1">
        <v>402</v>
      </c>
      <c r="G106" s="7">
        <v>0.11</v>
      </c>
      <c r="H106" s="1">
        <v>30</v>
      </c>
      <c r="I106" s="1" t="s">
        <v>39</v>
      </c>
      <c r="J106" s="1"/>
      <c r="K106" s="1">
        <v>103</v>
      </c>
      <c r="L106" s="1">
        <f t="shared" si="45"/>
        <v>-67</v>
      </c>
      <c r="M106" s="1">
        <f t="shared" si="46"/>
        <v>36</v>
      </c>
      <c r="N106" s="1"/>
      <c r="O106" s="1">
        <v>39</v>
      </c>
      <c r="P106" s="1"/>
      <c r="Q106" s="1"/>
      <c r="R106" s="1"/>
      <c r="S106" s="1"/>
      <c r="T106" s="1"/>
      <c r="U106" s="1"/>
      <c r="V106" s="1">
        <f t="shared" si="47"/>
        <v>7.2</v>
      </c>
      <c r="W106" s="5"/>
      <c r="X106" s="5">
        <f t="shared" si="34"/>
        <v>0</v>
      </c>
      <c r="Y106" s="18"/>
      <c r="Z106" s="18"/>
      <c r="AA106" s="1">
        <f t="shared" si="32"/>
        <v>61.25</v>
      </c>
      <c r="AB106" s="1">
        <f t="shared" si="48"/>
        <v>61.25</v>
      </c>
      <c r="AC106" s="1">
        <v>32.6</v>
      </c>
      <c r="AD106" s="1">
        <v>33</v>
      </c>
      <c r="AE106" s="1">
        <v>11.2</v>
      </c>
      <c r="AF106" s="1">
        <v>28.2</v>
      </c>
      <c r="AG106" s="1">
        <v>51.2</v>
      </c>
      <c r="AH106" s="1">
        <v>43.4</v>
      </c>
      <c r="AI106" s="1">
        <v>17</v>
      </c>
      <c r="AJ106" s="1">
        <v>11.6</v>
      </c>
      <c r="AK106" s="16" t="s">
        <v>88</v>
      </c>
      <c r="AL106" s="1">
        <f t="shared" si="33"/>
        <v>0</v>
      </c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1" t="s">
        <v>154</v>
      </c>
      <c r="B107" s="11" t="s">
        <v>44</v>
      </c>
      <c r="C107" s="11"/>
      <c r="D107" s="11"/>
      <c r="E107" s="11"/>
      <c r="F107" s="11"/>
      <c r="G107" s="12">
        <v>0</v>
      </c>
      <c r="H107" s="11"/>
      <c r="I107" s="11" t="s">
        <v>39</v>
      </c>
      <c r="J107" s="11"/>
      <c r="K107" s="11"/>
      <c r="L107" s="11">
        <f t="shared" si="45"/>
        <v>0</v>
      </c>
      <c r="M107" s="11">
        <f t="shared" si="46"/>
        <v>0</v>
      </c>
      <c r="N107" s="11"/>
      <c r="O107" s="11">
        <v>0</v>
      </c>
      <c r="P107" s="11"/>
      <c r="Q107" s="11"/>
      <c r="R107" s="11"/>
      <c r="S107" s="11"/>
      <c r="T107" s="11"/>
      <c r="U107" s="11"/>
      <c r="V107" s="11">
        <f t="shared" si="47"/>
        <v>0</v>
      </c>
      <c r="W107" s="13"/>
      <c r="X107" s="5">
        <f t="shared" si="34"/>
        <v>0</v>
      </c>
      <c r="Y107" s="18"/>
      <c r="Z107" s="18"/>
      <c r="AA107" s="1" t="e">
        <f t="shared" si="32"/>
        <v>#DIV/0!</v>
      </c>
      <c r="AB107" s="11" t="e">
        <f t="shared" si="48"/>
        <v>#DIV/0!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 t="s">
        <v>62</v>
      </c>
      <c r="AL107" s="1">
        <f t="shared" si="33"/>
        <v>0</v>
      </c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 t="s">
        <v>155</v>
      </c>
      <c r="B108" s="1" t="s">
        <v>44</v>
      </c>
      <c r="C108" s="1">
        <v>382</v>
      </c>
      <c r="D108" s="1">
        <v>1580</v>
      </c>
      <c r="E108" s="1">
        <v>195</v>
      </c>
      <c r="F108" s="1">
        <v>529</v>
      </c>
      <c r="G108" s="7">
        <v>0.08</v>
      </c>
      <c r="H108" s="1">
        <v>45</v>
      </c>
      <c r="I108" s="1" t="s">
        <v>39</v>
      </c>
      <c r="J108" s="1"/>
      <c r="K108" s="1">
        <v>214</v>
      </c>
      <c r="L108" s="1">
        <f t="shared" si="45"/>
        <v>-19</v>
      </c>
      <c r="M108" s="1">
        <f t="shared" si="46"/>
        <v>195</v>
      </c>
      <c r="N108" s="1"/>
      <c r="O108" s="1">
        <v>88.400000000000091</v>
      </c>
      <c r="P108" s="1"/>
      <c r="Q108" s="1"/>
      <c r="R108" s="1"/>
      <c r="S108" s="1"/>
      <c r="T108" s="1"/>
      <c r="U108" s="1"/>
      <c r="V108" s="1">
        <f t="shared" si="47"/>
        <v>39</v>
      </c>
      <c r="W108" s="5"/>
      <c r="X108" s="5">
        <f t="shared" si="34"/>
        <v>0</v>
      </c>
      <c r="Y108" s="18"/>
      <c r="Z108" s="18"/>
      <c r="AA108" s="1">
        <f t="shared" si="32"/>
        <v>15.830769230769233</v>
      </c>
      <c r="AB108" s="1">
        <f t="shared" si="48"/>
        <v>15.830769230769233</v>
      </c>
      <c r="AC108" s="1">
        <v>55</v>
      </c>
      <c r="AD108" s="1">
        <v>67.2</v>
      </c>
      <c r="AE108" s="1">
        <v>78.400000000000006</v>
      </c>
      <c r="AF108" s="1">
        <v>93.4</v>
      </c>
      <c r="AG108" s="1">
        <v>89.4</v>
      </c>
      <c r="AH108" s="1">
        <v>91.2</v>
      </c>
      <c r="AI108" s="1">
        <v>65.8</v>
      </c>
      <c r="AJ108" s="1">
        <v>55.2</v>
      </c>
      <c r="AK108" s="1"/>
      <c r="AL108" s="1">
        <f t="shared" si="33"/>
        <v>0</v>
      </c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 t="s">
        <v>156</v>
      </c>
      <c r="B109" s="1" t="s">
        <v>44</v>
      </c>
      <c r="C109" s="1">
        <v>293</v>
      </c>
      <c r="D109" s="1">
        <v>1768</v>
      </c>
      <c r="E109" s="1">
        <v>103</v>
      </c>
      <c r="F109" s="1">
        <v>643</v>
      </c>
      <c r="G109" s="7">
        <v>0.08</v>
      </c>
      <c r="H109" s="1">
        <v>45</v>
      </c>
      <c r="I109" s="1" t="s">
        <v>39</v>
      </c>
      <c r="J109" s="1"/>
      <c r="K109" s="1">
        <v>115</v>
      </c>
      <c r="L109" s="1">
        <f t="shared" si="45"/>
        <v>-12</v>
      </c>
      <c r="M109" s="1">
        <f t="shared" si="46"/>
        <v>103</v>
      </c>
      <c r="N109" s="1"/>
      <c r="O109" s="1">
        <v>0</v>
      </c>
      <c r="P109" s="1"/>
      <c r="Q109" s="1"/>
      <c r="R109" s="1"/>
      <c r="S109" s="1"/>
      <c r="T109" s="1"/>
      <c r="U109" s="1"/>
      <c r="V109" s="1">
        <f t="shared" si="47"/>
        <v>20.6</v>
      </c>
      <c r="W109" s="5"/>
      <c r="X109" s="5">
        <f t="shared" si="34"/>
        <v>0</v>
      </c>
      <c r="Y109" s="18"/>
      <c r="Z109" s="18"/>
      <c r="AA109" s="1">
        <f t="shared" si="32"/>
        <v>31.213592233009706</v>
      </c>
      <c r="AB109" s="1">
        <f t="shared" si="48"/>
        <v>31.213592233009706</v>
      </c>
      <c r="AC109" s="1">
        <v>41</v>
      </c>
      <c r="AD109" s="1">
        <v>50.6</v>
      </c>
      <c r="AE109" s="1">
        <v>60.4</v>
      </c>
      <c r="AF109" s="1">
        <v>86.8</v>
      </c>
      <c r="AG109" s="1">
        <v>88.8</v>
      </c>
      <c r="AH109" s="1">
        <v>80</v>
      </c>
      <c r="AI109" s="1">
        <v>44.6</v>
      </c>
      <c r="AJ109" s="1">
        <v>42</v>
      </c>
      <c r="AK109" s="16" t="s">
        <v>88</v>
      </c>
      <c r="AL109" s="1">
        <f t="shared" si="33"/>
        <v>0</v>
      </c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 t="s">
        <v>157</v>
      </c>
      <c r="B110" s="1" t="s">
        <v>44</v>
      </c>
      <c r="C110" s="1">
        <v>279</v>
      </c>
      <c r="D110" s="1">
        <v>845</v>
      </c>
      <c r="E110" s="1">
        <v>41</v>
      </c>
      <c r="F110" s="1">
        <v>355</v>
      </c>
      <c r="G110" s="7">
        <v>0.17</v>
      </c>
      <c r="H110" s="1">
        <v>30</v>
      </c>
      <c r="I110" s="1" t="s">
        <v>39</v>
      </c>
      <c r="J110" s="1"/>
      <c r="K110" s="1">
        <v>71</v>
      </c>
      <c r="L110" s="1">
        <f t="shared" si="45"/>
        <v>-30</v>
      </c>
      <c r="M110" s="1">
        <f t="shared" si="46"/>
        <v>41</v>
      </c>
      <c r="N110" s="1"/>
      <c r="O110" s="1">
        <v>40.681199999999997</v>
      </c>
      <c r="P110" s="1">
        <v>-2</v>
      </c>
      <c r="Q110" s="1"/>
      <c r="R110" s="1">
        <v>75.318799999999996</v>
      </c>
      <c r="S110" s="1">
        <f>-14/G110</f>
        <v>-82.35294117647058</v>
      </c>
      <c r="T110" s="1"/>
      <c r="U110" s="1"/>
      <c r="V110" s="1">
        <f t="shared" si="47"/>
        <v>8.1999999999999993</v>
      </c>
      <c r="W110" s="5"/>
      <c r="X110" s="5">
        <f t="shared" si="34"/>
        <v>0</v>
      </c>
      <c r="Y110" s="18"/>
      <c r="Z110" s="18"/>
      <c r="AA110" s="1">
        <f t="shared" si="32"/>
        <v>47.152080344332859</v>
      </c>
      <c r="AB110" s="1">
        <f t="shared" si="48"/>
        <v>47.152080344332859</v>
      </c>
      <c r="AC110" s="1">
        <v>27.8</v>
      </c>
      <c r="AD110" s="1">
        <v>35</v>
      </c>
      <c r="AE110" s="1">
        <v>11.4</v>
      </c>
      <c r="AF110" s="1">
        <v>28</v>
      </c>
      <c r="AG110" s="1">
        <v>48.4</v>
      </c>
      <c r="AH110" s="1">
        <v>49.4</v>
      </c>
      <c r="AI110" s="1">
        <v>25.6</v>
      </c>
      <c r="AJ110" s="1">
        <v>19.2</v>
      </c>
      <c r="AK110" s="16" t="s">
        <v>88</v>
      </c>
      <c r="AL110" s="1">
        <f t="shared" si="33"/>
        <v>0</v>
      </c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 t="s">
        <v>158</v>
      </c>
      <c r="B111" s="1" t="s">
        <v>38</v>
      </c>
      <c r="C111" s="1">
        <v>-15.329000000000001</v>
      </c>
      <c r="D111" s="1">
        <v>924.20299999999997</v>
      </c>
      <c r="E111" s="1">
        <v>365.589</v>
      </c>
      <c r="F111" s="1">
        <v>-0.879</v>
      </c>
      <c r="G111" s="7">
        <v>1</v>
      </c>
      <c r="H111" s="1">
        <v>40</v>
      </c>
      <c r="I111" s="10" t="s">
        <v>50</v>
      </c>
      <c r="J111" s="1"/>
      <c r="K111" s="1">
        <v>539.46100000000001</v>
      </c>
      <c r="L111" s="1">
        <f t="shared" si="45"/>
        <v>-173.87200000000001</v>
      </c>
      <c r="M111" s="1">
        <f t="shared" si="46"/>
        <v>300.089</v>
      </c>
      <c r="N111" s="1">
        <v>65.5</v>
      </c>
      <c r="O111" s="1">
        <v>0</v>
      </c>
      <c r="P111" s="1"/>
      <c r="Q111" s="1"/>
      <c r="R111" s="1"/>
      <c r="S111" s="1"/>
      <c r="T111" s="1">
        <v>325</v>
      </c>
      <c r="U111" s="1">
        <v>162.5</v>
      </c>
      <c r="V111" s="1">
        <f t="shared" si="47"/>
        <v>60.017800000000001</v>
      </c>
      <c r="W111" s="5">
        <f t="shared" ref="W111:W117" si="51">12*V111-U111-T111-S111-R111-Q111-P111-O111-F111</f>
        <v>233.59260000000003</v>
      </c>
      <c r="X111" s="5">
        <f t="shared" ref="X111:X112" si="52">W111*1.3</f>
        <v>303.67038000000008</v>
      </c>
      <c r="Y111" s="18"/>
      <c r="Z111" s="18"/>
      <c r="AA111" s="1">
        <f t="shared" si="32"/>
        <v>13.167616607073237</v>
      </c>
      <c r="AB111" s="1">
        <f t="shared" si="48"/>
        <v>8.1079446430892173</v>
      </c>
      <c r="AC111" s="1">
        <v>53.826599999999999</v>
      </c>
      <c r="AD111" s="1">
        <v>11.5198</v>
      </c>
      <c r="AE111" s="1">
        <v>44.968600000000002</v>
      </c>
      <c r="AF111" s="1">
        <v>78.888000000000005</v>
      </c>
      <c r="AG111" s="1">
        <v>74.961399999999998</v>
      </c>
      <c r="AH111" s="1">
        <v>27.752199999999998</v>
      </c>
      <c r="AI111" s="1">
        <v>9.1273999999999997</v>
      </c>
      <c r="AJ111" s="1">
        <v>22.7928</v>
      </c>
      <c r="AK111" s="1"/>
      <c r="AL111" s="1">
        <f t="shared" si="33"/>
        <v>304</v>
      </c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 t="s">
        <v>159</v>
      </c>
      <c r="B112" s="1" t="s">
        <v>38</v>
      </c>
      <c r="C112" s="1">
        <v>-7.5039999999999996</v>
      </c>
      <c r="D112" s="1">
        <v>424.738</v>
      </c>
      <c r="E112" s="1">
        <v>191.65</v>
      </c>
      <c r="F112" s="1">
        <v>-0.26700000000000002</v>
      </c>
      <c r="G112" s="7">
        <v>1</v>
      </c>
      <c r="H112" s="1">
        <v>40</v>
      </c>
      <c r="I112" s="10" t="s">
        <v>50</v>
      </c>
      <c r="J112" s="1"/>
      <c r="K112" s="1">
        <v>280.149</v>
      </c>
      <c r="L112" s="1">
        <f t="shared" si="45"/>
        <v>-88.498999999999995</v>
      </c>
      <c r="M112" s="1">
        <f t="shared" si="46"/>
        <v>151.24600000000001</v>
      </c>
      <c r="N112" s="1">
        <v>40.404000000000003</v>
      </c>
      <c r="O112" s="1">
        <v>0</v>
      </c>
      <c r="P112" s="1"/>
      <c r="Q112" s="1"/>
      <c r="R112" s="1"/>
      <c r="S112" s="1"/>
      <c r="T112" s="1">
        <v>195</v>
      </c>
      <c r="U112" s="1"/>
      <c r="V112" s="1">
        <f t="shared" si="47"/>
        <v>30.249200000000002</v>
      </c>
      <c r="W112" s="5">
        <v>200</v>
      </c>
      <c r="X112" s="5">
        <f t="shared" si="52"/>
        <v>260</v>
      </c>
      <c r="Y112" s="18"/>
      <c r="Z112" s="18"/>
      <c r="AA112" s="1">
        <f t="shared" si="32"/>
        <v>15.032893431892413</v>
      </c>
      <c r="AB112" s="1">
        <f t="shared" si="48"/>
        <v>6.437624796688838</v>
      </c>
      <c r="AC112" s="1">
        <v>33.227200000000003</v>
      </c>
      <c r="AD112" s="1">
        <v>28.0884</v>
      </c>
      <c r="AE112" s="1">
        <v>45.462800000000001</v>
      </c>
      <c r="AF112" s="1">
        <v>36.320399999999999</v>
      </c>
      <c r="AG112" s="1">
        <v>32.119199999999999</v>
      </c>
      <c r="AH112" s="1">
        <v>27.328199999999999</v>
      </c>
      <c r="AI112" s="1">
        <v>22.582599999999999</v>
      </c>
      <c r="AJ112" s="1">
        <v>18.3916</v>
      </c>
      <c r="AK112" s="1"/>
      <c r="AL112" s="1">
        <f t="shared" si="33"/>
        <v>260</v>
      </c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 t="s">
        <v>160</v>
      </c>
      <c r="B113" s="1" t="s">
        <v>38</v>
      </c>
      <c r="C113" s="1">
        <v>-8.6039999999999992</v>
      </c>
      <c r="D113" s="1">
        <v>241.61799999999999</v>
      </c>
      <c r="E113" s="1">
        <v>-1.423</v>
      </c>
      <c r="F113" s="1"/>
      <c r="G113" s="7">
        <v>1</v>
      </c>
      <c r="H113" s="1">
        <v>40</v>
      </c>
      <c r="I113" s="10" t="s">
        <v>50</v>
      </c>
      <c r="J113" s="1"/>
      <c r="K113" s="1">
        <v>15</v>
      </c>
      <c r="L113" s="1">
        <f t="shared" si="45"/>
        <v>-16.423000000000002</v>
      </c>
      <c r="M113" s="1">
        <f t="shared" si="46"/>
        <v>-1.423</v>
      </c>
      <c r="N113" s="1"/>
      <c r="O113" s="1">
        <v>40</v>
      </c>
      <c r="P113" s="1">
        <v>-42</v>
      </c>
      <c r="Q113" s="1"/>
      <c r="R113" s="1">
        <v>20</v>
      </c>
      <c r="S113" s="1">
        <v>-20</v>
      </c>
      <c r="T113" s="1">
        <v>26</v>
      </c>
      <c r="U113" s="1"/>
      <c r="V113" s="1">
        <f t="shared" si="47"/>
        <v>-0.28460000000000002</v>
      </c>
      <c r="W113" s="5">
        <v>20</v>
      </c>
      <c r="X113" s="5">
        <f>Y113</f>
        <v>50</v>
      </c>
      <c r="Y113" s="18">
        <v>50</v>
      </c>
      <c r="Z113" s="18" t="str">
        <f>VLOOKUP(A113,[1]Лист1!$A:$B,2,0)</f>
        <v>до 50 кг</v>
      </c>
      <c r="AA113" s="1">
        <f t="shared" si="32"/>
        <v>-260.01405481377373</v>
      </c>
      <c r="AB113" s="1">
        <f t="shared" si="48"/>
        <v>-84.32888264230499</v>
      </c>
      <c r="AC113" s="1">
        <v>-0.14319999999999999</v>
      </c>
      <c r="AD113" s="1">
        <v>-0.58819999999999995</v>
      </c>
      <c r="AE113" s="1">
        <v>-0.72819999999999996</v>
      </c>
      <c r="AF113" s="1">
        <v>-0.84860000000000002</v>
      </c>
      <c r="AG113" s="1">
        <v>-0.99199999999999999</v>
      </c>
      <c r="AH113" s="1">
        <v>-0.2918</v>
      </c>
      <c r="AI113" s="1">
        <v>0.2772</v>
      </c>
      <c r="AJ113" s="1">
        <v>6.3255999999999997</v>
      </c>
      <c r="AK113" s="1"/>
      <c r="AL113" s="1">
        <f t="shared" si="33"/>
        <v>50</v>
      </c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 t="s">
        <v>161</v>
      </c>
      <c r="B114" s="1" t="s">
        <v>44</v>
      </c>
      <c r="C114" s="1">
        <v>28</v>
      </c>
      <c r="D114" s="1">
        <v>155</v>
      </c>
      <c r="E114" s="1">
        <v>24</v>
      </c>
      <c r="F114" s="1"/>
      <c r="G114" s="7">
        <v>0.3</v>
      </c>
      <c r="H114" s="1">
        <v>45</v>
      </c>
      <c r="I114" s="1" t="s">
        <v>39</v>
      </c>
      <c r="J114" s="1"/>
      <c r="K114" s="1">
        <v>49</v>
      </c>
      <c r="L114" s="1">
        <f t="shared" si="45"/>
        <v>-25</v>
      </c>
      <c r="M114" s="1">
        <f t="shared" si="46"/>
        <v>24</v>
      </c>
      <c r="N114" s="1"/>
      <c r="O114" s="1">
        <v>53.8</v>
      </c>
      <c r="P114" s="1"/>
      <c r="Q114" s="1"/>
      <c r="R114" s="1"/>
      <c r="S114" s="1"/>
      <c r="T114" s="1">
        <v>71.600000000000009</v>
      </c>
      <c r="U114" s="1"/>
      <c r="V114" s="1">
        <f t="shared" si="47"/>
        <v>4.8</v>
      </c>
      <c r="W114" s="5"/>
      <c r="X114" s="5">
        <f t="shared" si="34"/>
        <v>0</v>
      </c>
      <c r="Y114" s="18"/>
      <c r="Z114" s="18"/>
      <c r="AA114" s="1">
        <f t="shared" si="32"/>
        <v>26.125000000000004</v>
      </c>
      <c r="AB114" s="1">
        <f t="shared" si="48"/>
        <v>26.125000000000004</v>
      </c>
      <c r="AC114" s="1">
        <v>11.4</v>
      </c>
      <c r="AD114" s="1">
        <v>7.2</v>
      </c>
      <c r="AE114" s="1">
        <v>2.2000000000000002</v>
      </c>
      <c r="AF114" s="1">
        <v>5</v>
      </c>
      <c r="AG114" s="1">
        <v>11.4</v>
      </c>
      <c r="AH114" s="1">
        <v>8.1999999999999993</v>
      </c>
      <c r="AI114" s="1">
        <v>0.4</v>
      </c>
      <c r="AJ114" s="1">
        <v>1.2</v>
      </c>
      <c r="AK114" s="1"/>
      <c r="AL114" s="1">
        <f t="shared" si="33"/>
        <v>0</v>
      </c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 t="s">
        <v>162</v>
      </c>
      <c r="B115" s="1" t="s">
        <v>38</v>
      </c>
      <c r="C115" s="1">
        <v>15.365</v>
      </c>
      <c r="D115" s="1">
        <v>3.6640000000000001</v>
      </c>
      <c r="E115" s="1">
        <v>4.085</v>
      </c>
      <c r="F115" s="1">
        <v>9.4890000000000008</v>
      </c>
      <c r="G115" s="7">
        <v>1</v>
      </c>
      <c r="H115" s="1">
        <v>55</v>
      </c>
      <c r="I115" s="1" t="s">
        <v>39</v>
      </c>
      <c r="J115" s="1"/>
      <c r="K115" s="1">
        <v>5.5</v>
      </c>
      <c r="L115" s="1">
        <f t="shared" si="45"/>
        <v>-1.415</v>
      </c>
      <c r="M115" s="1">
        <f t="shared" si="46"/>
        <v>4.085</v>
      </c>
      <c r="N115" s="1"/>
      <c r="O115" s="1">
        <v>0</v>
      </c>
      <c r="P115" s="1"/>
      <c r="Q115" s="1"/>
      <c r="R115" s="1"/>
      <c r="S115" s="1"/>
      <c r="T115" s="1"/>
      <c r="U115" s="1"/>
      <c r="V115" s="1">
        <f t="shared" si="47"/>
        <v>0.81699999999999995</v>
      </c>
      <c r="W115" s="5"/>
      <c r="X115" s="5"/>
      <c r="Y115" s="18"/>
      <c r="Z115" s="18"/>
      <c r="AA115" s="1">
        <f t="shared" si="32"/>
        <v>11.614443084455326</v>
      </c>
      <c r="AB115" s="1">
        <f t="shared" si="48"/>
        <v>11.614443084455326</v>
      </c>
      <c r="AC115" s="1">
        <v>0.54800000000000004</v>
      </c>
      <c r="AD115" s="1">
        <v>0.53959999999999997</v>
      </c>
      <c r="AE115" s="1">
        <v>0.53959999999999997</v>
      </c>
      <c r="AF115" s="1">
        <v>0.54379999999999995</v>
      </c>
      <c r="AG115" s="1">
        <v>0.54379999999999995</v>
      </c>
      <c r="AH115" s="1">
        <v>1.0960000000000001</v>
      </c>
      <c r="AI115" s="1">
        <v>1.0960000000000001</v>
      </c>
      <c r="AJ115" s="1">
        <v>0.27679999999999999</v>
      </c>
      <c r="AK115" s="17" t="s">
        <v>64</v>
      </c>
      <c r="AL115" s="1">
        <f t="shared" si="33"/>
        <v>0</v>
      </c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 t="s">
        <v>163</v>
      </c>
      <c r="B116" s="1" t="s">
        <v>44</v>
      </c>
      <c r="C116" s="1">
        <v>571</v>
      </c>
      <c r="D116" s="1">
        <v>1250</v>
      </c>
      <c r="E116" s="1">
        <v>593</v>
      </c>
      <c r="F116" s="1">
        <v>221</v>
      </c>
      <c r="G116" s="7">
        <v>0.28000000000000003</v>
      </c>
      <c r="H116" s="1">
        <v>40</v>
      </c>
      <c r="I116" s="10" t="s">
        <v>50</v>
      </c>
      <c r="J116" s="1"/>
      <c r="K116" s="1">
        <v>632</v>
      </c>
      <c r="L116" s="1">
        <f t="shared" si="45"/>
        <v>-39</v>
      </c>
      <c r="M116" s="1">
        <f t="shared" si="46"/>
        <v>593</v>
      </c>
      <c r="N116" s="1"/>
      <c r="O116" s="1">
        <v>0</v>
      </c>
      <c r="P116" s="1"/>
      <c r="Q116" s="1"/>
      <c r="R116" s="1"/>
      <c r="S116" s="1"/>
      <c r="T116" s="1">
        <v>492.17999999999989</v>
      </c>
      <c r="U116" s="1">
        <v>246.08999999999989</v>
      </c>
      <c r="V116" s="1">
        <f t="shared" si="47"/>
        <v>118.6</v>
      </c>
      <c r="W116" s="5">
        <f t="shared" si="51"/>
        <v>463.93000000000006</v>
      </c>
      <c r="X116" s="5">
        <f t="shared" ref="X116:X118" si="53">W116*1.3</f>
        <v>603.10900000000015</v>
      </c>
      <c r="Y116" s="18"/>
      <c r="Z116" s="18"/>
      <c r="AA116" s="1">
        <f t="shared" si="32"/>
        <v>13.173516020236088</v>
      </c>
      <c r="AB116" s="1">
        <f t="shared" si="48"/>
        <v>8.0882799325463726</v>
      </c>
      <c r="AC116" s="1">
        <v>92.6</v>
      </c>
      <c r="AD116" s="1">
        <v>36.799999999999997</v>
      </c>
      <c r="AE116" s="1">
        <v>29.6</v>
      </c>
      <c r="AF116" s="1">
        <v>101</v>
      </c>
      <c r="AG116" s="1">
        <v>125.4</v>
      </c>
      <c r="AH116" s="1">
        <v>60.4</v>
      </c>
      <c r="AI116" s="1">
        <v>3.4</v>
      </c>
      <c r="AJ116" s="1">
        <v>27.6</v>
      </c>
      <c r="AK116" s="1"/>
      <c r="AL116" s="1">
        <f t="shared" si="33"/>
        <v>169</v>
      </c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 t="s">
        <v>164</v>
      </c>
      <c r="B117" s="1" t="s">
        <v>44</v>
      </c>
      <c r="C117" s="1">
        <v>-16.274000000000001</v>
      </c>
      <c r="D117" s="1">
        <v>1500.3620000000001</v>
      </c>
      <c r="E117" s="1">
        <v>245</v>
      </c>
      <c r="F117" s="1">
        <v>174.08799999999999</v>
      </c>
      <c r="G117" s="7">
        <v>0.28000000000000003</v>
      </c>
      <c r="H117" s="1">
        <v>40</v>
      </c>
      <c r="I117" s="10" t="s">
        <v>50</v>
      </c>
      <c r="J117" s="1"/>
      <c r="K117" s="1">
        <v>376</v>
      </c>
      <c r="L117" s="1">
        <f t="shared" si="45"/>
        <v>-131</v>
      </c>
      <c r="M117" s="1">
        <f t="shared" si="46"/>
        <v>245</v>
      </c>
      <c r="N117" s="1"/>
      <c r="O117" s="1">
        <v>0</v>
      </c>
      <c r="P117" s="1"/>
      <c r="Q117" s="1"/>
      <c r="R117" s="1"/>
      <c r="S117" s="1"/>
      <c r="T117" s="1">
        <v>65</v>
      </c>
      <c r="U117" s="1"/>
      <c r="V117" s="1">
        <f t="shared" si="47"/>
        <v>49</v>
      </c>
      <c r="W117" s="5">
        <f t="shared" si="51"/>
        <v>348.91200000000003</v>
      </c>
      <c r="X117" s="5">
        <f t="shared" si="53"/>
        <v>453.58560000000006</v>
      </c>
      <c r="Y117" s="18"/>
      <c r="Z117" s="18"/>
      <c r="AA117" s="1">
        <f t="shared" si="32"/>
        <v>14.136195918367349</v>
      </c>
      <c r="AB117" s="1">
        <f t="shared" si="48"/>
        <v>4.8793469387755097</v>
      </c>
      <c r="AC117" s="1">
        <v>21.2</v>
      </c>
      <c r="AD117" s="1">
        <v>42.8</v>
      </c>
      <c r="AE117" s="1">
        <v>71.2</v>
      </c>
      <c r="AF117" s="1">
        <v>36.799999999999997</v>
      </c>
      <c r="AG117" s="1">
        <v>31.8</v>
      </c>
      <c r="AH117" s="1">
        <v>27.2</v>
      </c>
      <c r="AI117" s="1">
        <v>0.6</v>
      </c>
      <c r="AJ117" s="1">
        <v>0</v>
      </c>
      <c r="AK117" s="1"/>
      <c r="AL117" s="1">
        <f t="shared" si="33"/>
        <v>127</v>
      </c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 t="s">
        <v>165</v>
      </c>
      <c r="B118" s="1" t="s">
        <v>44</v>
      </c>
      <c r="C118" s="1">
        <v>482.5</v>
      </c>
      <c r="D118" s="1">
        <v>2405.5</v>
      </c>
      <c r="E118" s="1">
        <v>682</v>
      </c>
      <c r="F118" s="1">
        <v>-240</v>
      </c>
      <c r="G118" s="7">
        <v>0.28000000000000003</v>
      </c>
      <c r="H118" s="1">
        <v>40</v>
      </c>
      <c r="I118" s="10" t="s">
        <v>50</v>
      </c>
      <c r="J118" s="1"/>
      <c r="K118" s="1">
        <v>720</v>
      </c>
      <c r="L118" s="1">
        <f t="shared" si="45"/>
        <v>-38</v>
      </c>
      <c r="M118" s="1">
        <f t="shared" si="46"/>
        <v>682</v>
      </c>
      <c r="N118" s="1"/>
      <c r="O118" s="1">
        <v>137.69999999999999</v>
      </c>
      <c r="P118" s="1">
        <v>-144</v>
      </c>
      <c r="Q118" s="1"/>
      <c r="R118" s="1"/>
      <c r="S118" s="1"/>
      <c r="T118" s="1">
        <v>390</v>
      </c>
      <c r="U118" s="1">
        <v>195</v>
      </c>
      <c r="V118" s="1">
        <f t="shared" si="47"/>
        <v>136.4</v>
      </c>
      <c r="W118" s="5">
        <v>400</v>
      </c>
      <c r="X118" s="5">
        <f t="shared" si="53"/>
        <v>520</v>
      </c>
      <c r="Y118" s="18"/>
      <c r="Z118" s="18"/>
      <c r="AA118" s="1">
        <f t="shared" si="32"/>
        <v>6.2954545454545459</v>
      </c>
      <c r="AB118" s="1">
        <f t="shared" si="48"/>
        <v>2.4831378299120233</v>
      </c>
      <c r="AC118" s="1">
        <v>115</v>
      </c>
      <c r="AD118" s="1">
        <v>61.6</v>
      </c>
      <c r="AE118" s="1">
        <v>65.400000000000006</v>
      </c>
      <c r="AF118" s="1">
        <v>102</v>
      </c>
      <c r="AG118" s="1">
        <v>112.2</v>
      </c>
      <c r="AH118" s="1">
        <v>55.2</v>
      </c>
      <c r="AI118" s="1">
        <v>0.2</v>
      </c>
      <c r="AJ118" s="1">
        <v>26</v>
      </c>
      <c r="AK118" s="1"/>
      <c r="AL118" s="1">
        <f t="shared" si="33"/>
        <v>146</v>
      </c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 t="s">
        <v>166</v>
      </c>
      <c r="B119" s="1" t="s">
        <v>44</v>
      </c>
      <c r="C119" s="1">
        <v>111</v>
      </c>
      <c r="D119" s="1">
        <v>1550</v>
      </c>
      <c r="E119" s="1">
        <v>75</v>
      </c>
      <c r="F119" s="1">
        <v>622</v>
      </c>
      <c r="G119" s="7">
        <v>0.09</v>
      </c>
      <c r="H119" s="1">
        <v>45</v>
      </c>
      <c r="I119" s="1" t="s">
        <v>39</v>
      </c>
      <c r="J119" s="1"/>
      <c r="K119" s="1">
        <v>108</v>
      </c>
      <c r="L119" s="1">
        <f t="shared" si="45"/>
        <v>-33</v>
      </c>
      <c r="M119" s="1">
        <f t="shared" si="46"/>
        <v>75</v>
      </c>
      <c r="N119" s="1"/>
      <c r="O119" s="1">
        <v>0</v>
      </c>
      <c r="P119" s="1"/>
      <c r="Q119" s="1"/>
      <c r="R119" s="1"/>
      <c r="S119" s="1"/>
      <c r="T119" s="1"/>
      <c r="U119" s="1"/>
      <c r="V119" s="1">
        <f t="shared" si="47"/>
        <v>15</v>
      </c>
      <c r="W119" s="5"/>
      <c r="X119" s="5">
        <f t="shared" si="34"/>
        <v>0</v>
      </c>
      <c r="Y119" s="18"/>
      <c r="Z119" s="18"/>
      <c r="AA119" s="1">
        <f t="shared" si="32"/>
        <v>41.466666666666669</v>
      </c>
      <c r="AB119" s="1">
        <f t="shared" si="48"/>
        <v>41.466666666666669</v>
      </c>
      <c r="AC119" s="1">
        <v>37.200000000000003</v>
      </c>
      <c r="AD119" s="1">
        <v>45.6</v>
      </c>
      <c r="AE119" s="1">
        <v>44.2</v>
      </c>
      <c r="AF119" s="1">
        <v>73.2</v>
      </c>
      <c r="AG119" s="1">
        <v>85.6</v>
      </c>
      <c r="AH119" s="1">
        <v>59.6</v>
      </c>
      <c r="AI119" s="1">
        <v>28.2</v>
      </c>
      <c r="AJ119" s="1">
        <v>32.6</v>
      </c>
      <c r="AK119" s="16" t="s">
        <v>88</v>
      </c>
      <c r="AL119" s="1">
        <f t="shared" si="33"/>
        <v>0</v>
      </c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1" t="s">
        <v>167</v>
      </c>
      <c r="B120" s="11" t="s">
        <v>38</v>
      </c>
      <c r="C120" s="11">
        <v>-2.8069999999999999</v>
      </c>
      <c r="D120" s="11">
        <v>12.41</v>
      </c>
      <c r="E120" s="11">
        <v>1.325</v>
      </c>
      <c r="F120" s="11">
        <v>6.8879999999999999</v>
      </c>
      <c r="G120" s="12">
        <v>0</v>
      </c>
      <c r="H120" s="11">
        <v>55</v>
      </c>
      <c r="I120" s="11" t="s">
        <v>53</v>
      </c>
      <c r="J120" s="11"/>
      <c r="K120" s="11">
        <v>7</v>
      </c>
      <c r="L120" s="11">
        <f t="shared" si="45"/>
        <v>-5.6749999999999998</v>
      </c>
      <c r="M120" s="11">
        <f t="shared" si="46"/>
        <v>1.325</v>
      </c>
      <c r="N120" s="11"/>
      <c r="O120" s="11">
        <v>0</v>
      </c>
      <c r="P120" s="11"/>
      <c r="Q120" s="11"/>
      <c r="R120" s="11"/>
      <c r="S120" s="11"/>
      <c r="T120" s="11"/>
      <c r="U120" s="11"/>
      <c r="V120" s="11">
        <f t="shared" si="47"/>
        <v>0.26500000000000001</v>
      </c>
      <c r="W120" s="13"/>
      <c r="X120" s="5">
        <f t="shared" si="34"/>
        <v>0</v>
      </c>
      <c r="Y120" s="18"/>
      <c r="Z120" s="18"/>
      <c r="AA120" s="1">
        <f t="shared" si="32"/>
        <v>25.992452830188679</v>
      </c>
      <c r="AB120" s="11">
        <f t="shared" si="48"/>
        <v>25.992452830188679</v>
      </c>
      <c r="AC120" s="11">
        <v>-4.0000000000000001E-3</v>
      </c>
      <c r="AD120" s="11">
        <v>-0.26900000000000002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/>
      <c r="AL120" s="1">
        <f t="shared" si="33"/>
        <v>0</v>
      </c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 t="s">
        <v>168</v>
      </c>
      <c r="B121" s="1" t="s">
        <v>38</v>
      </c>
      <c r="C121" s="1">
        <v>17.611999999999998</v>
      </c>
      <c r="D121" s="1">
        <v>113.11199999999999</v>
      </c>
      <c r="E121" s="1">
        <v>29.125</v>
      </c>
      <c r="F121" s="1">
        <v>53.223999999999997</v>
      </c>
      <c r="G121" s="7">
        <v>1</v>
      </c>
      <c r="H121" s="1">
        <v>60</v>
      </c>
      <c r="I121" s="1" t="s">
        <v>39</v>
      </c>
      <c r="J121" s="1"/>
      <c r="K121" s="1">
        <v>35</v>
      </c>
      <c r="L121" s="1">
        <f t="shared" si="45"/>
        <v>-5.875</v>
      </c>
      <c r="M121" s="1">
        <f t="shared" si="46"/>
        <v>29.125</v>
      </c>
      <c r="N121" s="1"/>
      <c r="O121" s="1">
        <v>0</v>
      </c>
      <c r="P121" s="1"/>
      <c r="Q121" s="1"/>
      <c r="R121" s="1"/>
      <c r="S121" s="1"/>
      <c r="T121" s="1"/>
      <c r="U121" s="1"/>
      <c r="V121" s="1">
        <f t="shared" si="47"/>
        <v>5.8250000000000002</v>
      </c>
      <c r="W121" s="5">
        <f t="shared" ref="W121:W136" si="54">12*V121-U121-T121-S121-R121-Q121-P121-O121-F121</f>
        <v>16.676000000000009</v>
      </c>
      <c r="X121" s="5">
        <f>W121+V121*$X$1</f>
        <v>24.656250000000011</v>
      </c>
      <c r="Y121" s="18"/>
      <c r="Z121" s="18"/>
      <c r="AA121" s="1">
        <f t="shared" si="32"/>
        <v>13.370000000000001</v>
      </c>
      <c r="AB121" s="1">
        <f t="shared" si="48"/>
        <v>9.1371673819742476</v>
      </c>
      <c r="AC121" s="1">
        <v>4.3907999999999996</v>
      </c>
      <c r="AD121" s="1">
        <v>7.3688000000000002</v>
      </c>
      <c r="AE121" s="1">
        <v>7.8537999999999997</v>
      </c>
      <c r="AF121" s="1">
        <v>6.3715999999999999</v>
      </c>
      <c r="AG121" s="1">
        <v>5.3945999999999996</v>
      </c>
      <c r="AH121" s="1">
        <v>5.0279999999999996</v>
      </c>
      <c r="AI121" s="1">
        <v>5.5289999999999999</v>
      </c>
      <c r="AJ121" s="1">
        <v>6.0906000000000002</v>
      </c>
      <c r="AK121" s="1"/>
      <c r="AL121" s="1">
        <f t="shared" si="33"/>
        <v>25</v>
      </c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 t="s">
        <v>169</v>
      </c>
      <c r="B122" s="1" t="s">
        <v>38</v>
      </c>
      <c r="C122" s="1">
        <v>16.934000000000001</v>
      </c>
      <c r="D122" s="1">
        <v>183.547</v>
      </c>
      <c r="E122" s="1">
        <v>9.9160000000000004</v>
      </c>
      <c r="F122" s="1">
        <v>70.144999999999996</v>
      </c>
      <c r="G122" s="7">
        <v>1</v>
      </c>
      <c r="H122" s="1">
        <v>50</v>
      </c>
      <c r="I122" s="1" t="s">
        <v>39</v>
      </c>
      <c r="J122" s="1"/>
      <c r="K122" s="1">
        <v>10</v>
      </c>
      <c r="L122" s="1">
        <f t="shared" si="45"/>
        <v>-8.3999999999999631E-2</v>
      </c>
      <c r="M122" s="1">
        <f t="shared" si="46"/>
        <v>9.9160000000000004</v>
      </c>
      <c r="N122" s="1"/>
      <c r="O122" s="1">
        <v>27.3612</v>
      </c>
      <c r="P122" s="1"/>
      <c r="Q122" s="1"/>
      <c r="R122" s="1"/>
      <c r="S122" s="1"/>
      <c r="T122" s="1"/>
      <c r="U122" s="1"/>
      <c r="V122" s="1">
        <f t="shared" si="47"/>
        <v>1.9832000000000001</v>
      </c>
      <c r="W122" s="5"/>
      <c r="X122" s="5">
        <f t="shared" si="34"/>
        <v>0</v>
      </c>
      <c r="Y122" s="18"/>
      <c r="Z122" s="18"/>
      <c r="AA122" s="1">
        <f t="shared" si="32"/>
        <v>49.166095199677287</v>
      </c>
      <c r="AB122" s="1">
        <f t="shared" si="48"/>
        <v>49.166095199677287</v>
      </c>
      <c r="AC122" s="1">
        <v>2.9632000000000001</v>
      </c>
      <c r="AD122" s="1">
        <v>5.9215999999999998</v>
      </c>
      <c r="AE122" s="1">
        <v>5.3567999999999998</v>
      </c>
      <c r="AF122" s="1">
        <v>2.4121999999999999</v>
      </c>
      <c r="AG122" s="1">
        <v>1.9867999999999999</v>
      </c>
      <c r="AH122" s="1">
        <v>1.4796</v>
      </c>
      <c r="AI122" s="1">
        <v>0.99480000000000002</v>
      </c>
      <c r="AJ122" s="1">
        <v>3.9885999999999999</v>
      </c>
      <c r="AK122" s="16" t="s">
        <v>88</v>
      </c>
      <c r="AL122" s="1">
        <f t="shared" si="33"/>
        <v>0</v>
      </c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 t="s">
        <v>170</v>
      </c>
      <c r="B123" s="1" t="s">
        <v>44</v>
      </c>
      <c r="C123" s="1">
        <v>185</v>
      </c>
      <c r="D123" s="1">
        <v>1277</v>
      </c>
      <c r="E123" s="1">
        <v>39</v>
      </c>
      <c r="F123" s="1">
        <v>474</v>
      </c>
      <c r="G123" s="7">
        <v>0.09</v>
      </c>
      <c r="H123" s="1">
        <v>45</v>
      </c>
      <c r="I123" s="1" t="s">
        <v>39</v>
      </c>
      <c r="J123" s="1"/>
      <c r="K123" s="1">
        <v>52</v>
      </c>
      <c r="L123" s="1">
        <f t="shared" si="45"/>
        <v>-13</v>
      </c>
      <c r="M123" s="1">
        <f t="shared" si="46"/>
        <v>39</v>
      </c>
      <c r="N123" s="1"/>
      <c r="O123" s="1">
        <v>0</v>
      </c>
      <c r="P123" s="1"/>
      <c r="Q123" s="1"/>
      <c r="R123" s="1"/>
      <c r="S123" s="1"/>
      <c r="T123" s="1"/>
      <c r="U123" s="1"/>
      <c r="V123" s="1">
        <f t="shared" si="47"/>
        <v>7.8</v>
      </c>
      <c r="W123" s="5"/>
      <c r="X123" s="5">
        <f t="shared" si="34"/>
        <v>0</v>
      </c>
      <c r="Y123" s="18"/>
      <c r="Z123" s="18"/>
      <c r="AA123" s="1">
        <f t="shared" si="32"/>
        <v>60.769230769230774</v>
      </c>
      <c r="AB123" s="1">
        <f t="shared" si="48"/>
        <v>60.769230769230774</v>
      </c>
      <c r="AC123" s="1">
        <v>30</v>
      </c>
      <c r="AD123" s="1">
        <v>40</v>
      </c>
      <c r="AE123" s="1">
        <v>17.2</v>
      </c>
      <c r="AF123" s="1">
        <v>42.6</v>
      </c>
      <c r="AG123" s="1">
        <v>84.4</v>
      </c>
      <c r="AH123" s="1">
        <v>65.2</v>
      </c>
      <c r="AI123" s="1">
        <v>29</v>
      </c>
      <c r="AJ123" s="1">
        <v>42.4</v>
      </c>
      <c r="AK123" s="16" t="s">
        <v>88</v>
      </c>
      <c r="AL123" s="1">
        <f t="shared" si="33"/>
        <v>0</v>
      </c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 t="s">
        <v>171</v>
      </c>
      <c r="B124" s="1" t="s">
        <v>44</v>
      </c>
      <c r="C124" s="1">
        <v>178</v>
      </c>
      <c r="D124" s="1">
        <v>1217</v>
      </c>
      <c r="E124" s="1">
        <v>47</v>
      </c>
      <c r="F124" s="1">
        <v>420</v>
      </c>
      <c r="G124" s="7">
        <v>0.09</v>
      </c>
      <c r="H124" s="1">
        <v>45</v>
      </c>
      <c r="I124" s="1" t="s">
        <v>39</v>
      </c>
      <c r="J124" s="1"/>
      <c r="K124" s="1">
        <v>58</v>
      </c>
      <c r="L124" s="1">
        <f t="shared" si="45"/>
        <v>-11</v>
      </c>
      <c r="M124" s="1">
        <f t="shared" si="46"/>
        <v>47</v>
      </c>
      <c r="N124" s="1"/>
      <c r="O124" s="1">
        <v>24.799999999999951</v>
      </c>
      <c r="P124" s="1"/>
      <c r="Q124" s="1"/>
      <c r="R124" s="1"/>
      <c r="S124" s="1"/>
      <c r="T124" s="1"/>
      <c r="U124" s="1"/>
      <c r="V124" s="1">
        <f t="shared" si="47"/>
        <v>9.4</v>
      </c>
      <c r="W124" s="5"/>
      <c r="X124" s="5">
        <f t="shared" si="34"/>
        <v>0</v>
      </c>
      <c r="Y124" s="18"/>
      <c r="Z124" s="18"/>
      <c r="AA124" s="1">
        <f t="shared" si="32"/>
        <v>47.319148936170208</v>
      </c>
      <c r="AB124" s="1">
        <f t="shared" si="48"/>
        <v>47.319148936170208</v>
      </c>
      <c r="AC124" s="1">
        <v>30</v>
      </c>
      <c r="AD124" s="1">
        <v>39.4</v>
      </c>
      <c r="AE124" s="1">
        <v>27.8</v>
      </c>
      <c r="AF124" s="1">
        <v>52.8</v>
      </c>
      <c r="AG124" s="1">
        <v>83</v>
      </c>
      <c r="AH124" s="1">
        <v>59</v>
      </c>
      <c r="AI124" s="1">
        <v>24</v>
      </c>
      <c r="AJ124" s="1">
        <v>39.799999999999997</v>
      </c>
      <c r="AK124" s="16" t="s">
        <v>88</v>
      </c>
      <c r="AL124" s="1">
        <f t="shared" si="33"/>
        <v>0</v>
      </c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 t="s">
        <v>172</v>
      </c>
      <c r="B125" s="1" t="s">
        <v>38</v>
      </c>
      <c r="C125" s="1">
        <v>241.30199999999999</v>
      </c>
      <c r="D125" s="1">
        <v>443.58</v>
      </c>
      <c r="E125" s="1">
        <v>102.55800000000001</v>
      </c>
      <c r="F125" s="1">
        <v>134.74799999999999</v>
      </c>
      <c r="G125" s="7">
        <v>1</v>
      </c>
      <c r="H125" s="1">
        <v>60</v>
      </c>
      <c r="I125" s="1" t="s">
        <v>39</v>
      </c>
      <c r="J125" s="1"/>
      <c r="K125" s="1">
        <v>104.1</v>
      </c>
      <c r="L125" s="1">
        <f t="shared" si="45"/>
        <v>-1.5419999999999874</v>
      </c>
      <c r="M125" s="1">
        <f t="shared" si="46"/>
        <v>102.55800000000001</v>
      </c>
      <c r="N125" s="1"/>
      <c r="O125" s="1">
        <v>0</v>
      </c>
      <c r="P125" s="1"/>
      <c r="Q125" s="1"/>
      <c r="R125" s="1"/>
      <c r="S125" s="1"/>
      <c r="T125" s="1">
        <v>27.472999999999981</v>
      </c>
      <c r="U125" s="1"/>
      <c r="V125" s="1">
        <f t="shared" si="47"/>
        <v>20.511600000000001</v>
      </c>
      <c r="W125" s="5">
        <f t="shared" si="54"/>
        <v>83.918200000000041</v>
      </c>
      <c r="X125" s="5">
        <f t="shared" ref="X125:X127" si="55">W125+V125*$X$1</f>
        <v>112.01909200000004</v>
      </c>
      <c r="Y125" s="18"/>
      <c r="Z125" s="18"/>
      <c r="AA125" s="1">
        <f t="shared" si="32"/>
        <v>13.37</v>
      </c>
      <c r="AB125" s="1">
        <f t="shared" si="48"/>
        <v>7.9087443202870551</v>
      </c>
      <c r="AC125" s="1">
        <v>20.523</v>
      </c>
      <c r="AD125" s="1">
        <v>19.683800000000002</v>
      </c>
      <c r="AE125" s="1">
        <v>23.858799999999999</v>
      </c>
      <c r="AF125" s="1">
        <v>30.072199999999999</v>
      </c>
      <c r="AG125" s="1">
        <v>28.821999999999999</v>
      </c>
      <c r="AH125" s="1">
        <v>19.371600000000001</v>
      </c>
      <c r="AI125" s="1">
        <v>16.9956</v>
      </c>
      <c r="AJ125" s="1">
        <v>23.003799999999998</v>
      </c>
      <c r="AK125" s="1" t="s">
        <v>41</v>
      </c>
      <c r="AL125" s="1">
        <f t="shared" si="33"/>
        <v>112</v>
      </c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 t="s">
        <v>173</v>
      </c>
      <c r="B126" s="1" t="s">
        <v>38</v>
      </c>
      <c r="C126" s="1">
        <v>472.875</v>
      </c>
      <c r="D126" s="1">
        <v>1971.4739999999999</v>
      </c>
      <c r="E126" s="1">
        <v>709.54700000000003</v>
      </c>
      <c r="F126" s="1">
        <v>824.85900000000004</v>
      </c>
      <c r="G126" s="7">
        <v>1</v>
      </c>
      <c r="H126" s="1">
        <v>60</v>
      </c>
      <c r="I126" s="1" t="s">
        <v>39</v>
      </c>
      <c r="J126" s="1"/>
      <c r="K126" s="1">
        <v>703.77700000000004</v>
      </c>
      <c r="L126" s="1">
        <f t="shared" si="45"/>
        <v>5.7699999999999818</v>
      </c>
      <c r="M126" s="1">
        <f t="shared" si="46"/>
        <v>709.54700000000003</v>
      </c>
      <c r="N126" s="1"/>
      <c r="O126" s="1">
        <v>77.649749519999887</v>
      </c>
      <c r="P126" s="1"/>
      <c r="Q126" s="1"/>
      <c r="R126" s="1">
        <v>143.76385047999969</v>
      </c>
      <c r="S126" s="1">
        <v>-123</v>
      </c>
      <c r="T126" s="1">
        <v>101.626436</v>
      </c>
      <c r="U126" s="1">
        <v>406.50574399999999</v>
      </c>
      <c r="V126" s="1">
        <f t="shared" si="47"/>
        <v>141.90940000000001</v>
      </c>
      <c r="W126" s="5">
        <f t="shared" si="54"/>
        <v>271.50802000000033</v>
      </c>
      <c r="X126" s="5">
        <f t="shared" si="55"/>
        <v>465.92389800000035</v>
      </c>
      <c r="Y126" s="18"/>
      <c r="Z126" s="18"/>
      <c r="AA126" s="1">
        <f t="shared" si="32"/>
        <v>13.37</v>
      </c>
      <c r="AB126" s="1">
        <f t="shared" si="48"/>
        <v>10.086750983373896</v>
      </c>
      <c r="AC126" s="1">
        <v>146.82140000000001</v>
      </c>
      <c r="AD126" s="1">
        <v>140.74080000000001</v>
      </c>
      <c r="AE126" s="1">
        <v>154.98939999999999</v>
      </c>
      <c r="AF126" s="1">
        <v>181.70920000000001</v>
      </c>
      <c r="AG126" s="1">
        <v>175.9854</v>
      </c>
      <c r="AH126" s="1">
        <v>98.486199999999997</v>
      </c>
      <c r="AI126" s="1">
        <v>89.586800000000011</v>
      </c>
      <c r="AJ126" s="1">
        <v>117.7424</v>
      </c>
      <c r="AK126" s="1" t="s">
        <v>41</v>
      </c>
      <c r="AL126" s="1">
        <f t="shared" si="33"/>
        <v>466</v>
      </c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 t="s">
        <v>174</v>
      </c>
      <c r="B127" s="1" t="s">
        <v>38</v>
      </c>
      <c r="C127" s="1">
        <v>42.069000000000003</v>
      </c>
      <c r="D127" s="1">
        <v>146.84899999999999</v>
      </c>
      <c r="E127" s="1">
        <v>47.12</v>
      </c>
      <c r="F127" s="1">
        <v>71.897999999999996</v>
      </c>
      <c r="G127" s="7">
        <v>1</v>
      </c>
      <c r="H127" s="1">
        <v>60</v>
      </c>
      <c r="I127" s="1" t="s">
        <v>39</v>
      </c>
      <c r="J127" s="1"/>
      <c r="K127" s="1">
        <v>58.1</v>
      </c>
      <c r="L127" s="1">
        <f t="shared" si="45"/>
        <v>-10.980000000000004</v>
      </c>
      <c r="M127" s="1">
        <f t="shared" si="46"/>
        <v>47.12</v>
      </c>
      <c r="N127" s="1"/>
      <c r="O127" s="1">
        <v>37.005600000000001</v>
      </c>
      <c r="P127" s="1"/>
      <c r="Q127" s="1"/>
      <c r="R127" s="1"/>
      <c r="S127" s="1"/>
      <c r="T127" s="1"/>
      <c r="U127" s="1"/>
      <c r="V127" s="1">
        <f t="shared" si="47"/>
        <v>9.4239999999999995</v>
      </c>
      <c r="W127" s="5">
        <f t="shared" si="54"/>
        <v>4.1843999999999966</v>
      </c>
      <c r="X127" s="5">
        <f t="shared" si="55"/>
        <v>17.095279999999995</v>
      </c>
      <c r="Y127" s="18"/>
      <c r="Z127" s="18"/>
      <c r="AA127" s="1">
        <f t="shared" si="32"/>
        <v>13.37</v>
      </c>
      <c r="AB127" s="1">
        <f t="shared" si="48"/>
        <v>11.555984719864178</v>
      </c>
      <c r="AC127" s="1">
        <v>11.5632</v>
      </c>
      <c r="AD127" s="1">
        <v>12.903</v>
      </c>
      <c r="AE127" s="1">
        <v>13.724600000000001</v>
      </c>
      <c r="AF127" s="1">
        <v>13.781000000000001</v>
      </c>
      <c r="AG127" s="1">
        <v>13.204599999999999</v>
      </c>
      <c r="AH127" s="1">
        <v>10.835599999999999</v>
      </c>
      <c r="AI127" s="1">
        <v>10.377000000000001</v>
      </c>
      <c r="AJ127" s="1">
        <v>15.2936</v>
      </c>
      <c r="AK127" s="1"/>
      <c r="AL127" s="1">
        <f t="shared" si="33"/>
        <v>17</v>
      </c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 t="s">
        <v>60</v>
      </c>
      <c r="B128" s="1" t="s">
        <v>38</v>
      </c>
      <c r="C128" s="1">
        <v>570.17700000000002</v>
      </c>
      <c r="D128" s="1">
        <v>1675.9359999999999</v>
      </c>
      <c r="E128" s="14">
        <f>974.367+E19</f>
        <v>973.84699999999998</v>
      </c>
      <c r="F128" s="1">
        <v>744.37699999999995</v>
      </c>
      <c r="G128" s="7">
        <v>1</v>
      </c>
      <c r="H128" s="1">
        <v>60</v>
      </c>
      <c r="I128" s="1" t="s">
        <v>39</v>
      </c>
      <c r="J128" s="1"/>
      <c r="K128" s="1">
        <v>958.17499999999995</v>
      </c>
      <c r="L128" s="1">
        <f t="shared" si="45"/>
        <v>15.672000000000025</v>
      </c>
      <c r="M128" s="1">
        <f t="shared" si="46"/>
        <v>973.84699999999998</v>
      </c>
      <c r="N128" s="1"/>
      <c r="O128" s="1">
        <v>270.13975611000001</v>
      </c>
      <c r="P128" s="1"/>
      <c r="Q128" s="1"/>
      <c r="R128" s="1">
        <v>500.14754389000001</v>
      </c>
      <c r="S128" s="1"/>
      <c r="T128" s="1">
        <v>260</v>
      </c>
      <c r="U128" s="1">
        <v>1040</v>
      </c>
      <c r="V128" s="1">
        <f t="shared" si="47"/>
        <v>194.76939999999999</v>
      </c>
      <c r="W128" s="5"/>
      <c r="X128" s="5">
        <f t="shared" si="34"/>
        <v>0</v>
      </c>
      <c r="Y128" s="18"/>
      <c r="Z128" s="18"/>
      <c r="AA128" s="1">
        <f t="shared" si="32"/>
        <v>14.451265445188001</v>
      </c>
      <c r="AB128" s="1">
        <f t="shared" si="48"/>
        <v>14.451265445188001</v>
      </c>
      <c r="AC128" s="1">
        <v>203.86619999999999</v>
      </c>
      <c r="AD128" s="1">
        <v>195.4562</v>
      </c>
      <c r="AE128" s="1">
        <v>194.12459999999999</v>
      </c>
      <c r="AF128" s="1">
        <v>210.81899999999999</v>
      </c>
      <c r="AG128" s="1">
        <v>218.63480000000001</v>
      </c>
      <c r="AH128" s="1">
        <v>145.69720000000001</v>
      </c>
      <c r="AI128" s="1">
        <v>131.56319999999999</v>
      </c>
      <c r="AJ128" s="1">
        <v>184.21879999999999</v>
      </c>
      <c r="AK128" s="1"/>
      <c r="AL128" s="1">
        <f t="shared" si="33"/>
        <v>0</v>
      </c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 t="s">
        <v>175</v>
      </c>
      <c r="B129" s="1" t="s">
        <v>44</v>
      </c>
      <c r="C129" s="1">
        <v>190</v>
      </c>
      <c r="D129" s="1">
        <v>10</v>
      </c>
      <c r="E129" s="1"/>
      <c r="F129" s="1">
        <v>200</v>
      </c>
      <c r="G129" s="7">
        <v>0.25</v>
      </c>
      <c r="H129" s="1">
        <v>1096</v>
      </c>
      <c r="I129" s="1" t="s">
        <v>39</v>
      </c>
      <c r="J129" s="1"/>
      <c r="K129" s="1"/>
      <c r="L129" s="1">
        <f t="shared" si="45"/>
        <v>0</v>
      </c>
      <c r="M129" s="1">
        <f t="shared" si="46"/>
        <v>0</v>
      </c>
      <c r="N129" s="1"/>
      <c r="O129" s="1">
        <v>0</v>
      </c>
      <c r="P129" s="1"/>
      <c r="Q129" s="1"/>
      <c r="R129" s="1"/>
      <c r="S129" s="1"/>
      <c r="T129" s="1"/>
      <c r="U129" s="1"/>
      <c r="V129" s="1">
        <f t="shared" si="47"/>
        <v>0</v>
      </c>
      <c r="W129" s="5"/>
      <c r="X129" s="5">
        <f t="shared" si="34"/>
        <v>0</v>
      </c>
      <c r="Y129" s="18"/>
      <c r="Z129" s="18"/>
      <c r="AA129" s="1" t="e">
        <f t="shared" si="32"/>
        <v>#DIV/0!</v>
      </c>
      <c r="AB129" s="1" t="e">
        <f t="shared" si="48"/>
        <v>#DIV/0!</v>
      </c>
      <c r="AC129" s="1">
        <v>0.8</v>
      </c>
      <c r="AD129" s="1">
        <v>0.8</v>
      </c>
      <c r="AE129" s="1">
        <v>1</v>
      </c>
      <c r="AF129" s="1">
        <v>5.6</v>
      </c>
      <c r="AG129" s="1">
        <v>10</v>
      </c>
      <c r="AH129" s="1">
        <v>6</v>
      </c>
      <c r="AI129" s="1">
        <v>1.2</v>
      </c>
      <c r="AJ129" s="1">
        <v>3.6</v>
      </c>
      <c r="AK129" s="17" t="s">
        <v>186</v>
      </c>
      <c r="AL129" s="1">
        <f t="shared" si="33"/>
        <v>0</v>
      </c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 t="s">
        <v>176</v>
      </c>
      <c r="B130" s="1" t="s">
        <v>44</v>
      </c>
      <c r="C130" s="1">
        <v>112</v>
      </c>
      <c r="D130" s="1">
        <v>10</v>
      </c>
      <c r="E130" s="1"/>
      <c r="F130" s="14">
        <f>115+F138</f>
        <v>145</v>
      </c>
      <c r="G130" s="7">
        <v>0.32500000000000001</v>
      </c>
      <c r="H130" s="1">
        <v>1096</v>
      </c>
      <c r="I130" s="1" t="s">
        <v>39</v>
      </c>
      <c r="J130" s="1"/>
      <c r="K130" s="1"/>
      <c r="L130" s="1">
        <f t="shared" si="45"/>
        <v>0</v>
      </c>
      <c r="M130" s="1">
        <f t="shared" si="46"/>
        <v>0</v>
      </c>
      <c r="N130" s="1"/>
      <c r="O130" s="1">
        <v>0</v>
      </c>
      <c r="P130" s="1"/>
      <c r="Q130" s="1"/>
      <c r="R130" s="1"/>
      <c r="S130" s="1"/>
      <c r="T130" s="1"/>
      <c r="U130" s="1"/>
      <c r="V130" s="1">
        <f t="shared" si="47"/>
        <v>0</v>
      </c>
      <c r="W130" s="5"/>
      <c r="X130" s="5">
        <f t="shared" si="34"/>
        <v>0</v>
      </c>
      <c r="Y130" s="18"/>
      <c r="Z130" s="18"/>
      <c r="AA130" s="1" t="e">
        <f t="shared" si="32"/>
        <v>#DIV/0!</v>
      </c>
      <c r="AB130" s="1" t="e">
        <f t="shared" si="48"/>
        <v>#DIV/0!</v>
      </c>
      <c r="AC130" s="1">
        <v>1</v>
      </c>
      <c r="AD130" s="1">
        <v>1</v>
      </c>
      <c r="AE130" s="1">
        <v>1</v>
      </c>
      <c r="AF130" s="1">
        <v>5.2</v>
      </c>
      <c r="AG130" s="1">
        <v>7.2</v>
      </c>
      <c r="AH130" s="1">
        <v>3.8</v>
      </c>
      <c r="AI130" s="1">
        <v>1</v>
      </c>
      <c r="AJ130" s="1">
        <v>2.8</v>
      </c>
      <c r="AK130" s="17" t="s">
        <v>186</v>
      </c>
      <c r="AL130" s="1">
        <f t="shared" si="33"/>
        <v>0</v>
      </c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 t="s">
        <v>177</v>
      </c>
      <c r="B131" s="1" t="s">
        <v>44</v>
      </c>
      <c r="C131" s="1">
        <v>215</v>
      </c>
      <c r="D131" s="1">
        <v>7</v>
      </c>
      <c r="E131" s="1">
        <v>25</v>
      </c>
      <c r="F131" s="1">
        <v>171</v>
      </c>
      <c r="G131" s="7">
        <v>0.25</v>
      </c>
      <c r="H131" s="1">
        <v>1096</v>
      </c>
      <c r="I131" s="1" t="s">
        <v>39</v>
      </c>
      <c r="J131" s="1"/>
      <c r="K131" s="1">
        <v>25</v>
      </c>
      <c r="L131" s="1">
        <f t="shared" si="45"/>
        <v>0</v>
      </c>
      <c r="M131" s="1">
        <f t="shared" si="46"/>
        <v>25</v>
      </c>
      <c r="N131" s="1"/>
      <c r="O131" s="1">
        <v>0</v>
      </c>
      <c r="P131" s="1"/>
      <c r="Q131" s="1"/>
      <c r="R131" s="1"/>
      <c r="S131" s="1"/>
      <c r="T131" s="1"/>
      <c r="U131" s="1"/>
      <c r="V131" s="1">
        <f t="shared" si="47"/>
        <v>5</v>
      </c>
      <c r="W131" s="5"/>
      <c r="X131" s="5">
        <f t="shared" si="34"/>
        <v>0</v>
      </c>
      <c r="Y131" s="18"/>
      <c r="Z131" s="18"/>
      <c r="AA131" s="1">
        <f t="shared" si="32"/>
        <v>34.200000000000003</v>
      </c>
      <c r="AB131" s="1">
        <f t="shared" si="48"/>
        <v>34.200000000000003</v>
      </c>
      <c r="AC131" s="1">
        <v>5.8</v>
      </c>
      <c r="AD131" s="1">
        <v>1.8</v>
      </c>
      <c r="AE131" s="1">
        <v>2</v>
      </c>
      <c r="AF131" s="1">
        <v>6.4</v>
      </c>
      <c r="AG131" s="1">
        <v>12.4</v>
      </c>
      <c r="AH131" s="1">
        <v>8.6</v>
      </c>
      <c r="AI131" s="1">
        <v>2</v>
      </c>
      <c r="AJ131" s="1">
        <v>8</v>
      </c>
      <c r="AK131" s="17" t="s">
        <v>186</v>
      </c>
      <c r="AL131" s="1">
        <f t="shared" si="33"/>
        <v>0</v>
      </c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 t="s">
        <v>178</v>
      </c>
      <c r="B132" s="1" t="s">
        <v>44</v>
      </c>
      <c r="C132" s="1">
        <v>31</v>
      </c>
      <c r="D132" s="1">
        <v>262</v>
      </c>
      <c r="E132" s="1">
        <v>18</v>
      </c>
      <c r="F132" s="1"/>
      <c r="G132" s="7">
        <v>0.3</v>
      </c>
      <c r="H132" s="1">
        <v>40</v>
      </c>
      <c r="I132" s="10" t="s">
        <v>50</v>
      </c>
      <c r="J132" s="1"/>
      <c r="K132" s="1">
        <v>57</v>
      </c>
      <c r="L132" s="1">
        <f t="shared" si="45"/>
        <v>-39</v>
      </c>
      <c r="M132" s="1">
        <f t="shared" si="46"/>
        <v>18</v>
      </c>
      <c r="N132" s="1"/>
      <c r="O132" s="1">
        <v>30</v>
      </c>
      <c r="P132" s="1">
        <v>-30</v>
      </c>
      <c r="Q132" s="1"/>
      <c r="R132" s="1"/>
      <c r="S132" s="1"/>
      <c r="T132" s="1">
        <v>52</v>
      </c>
      <c r="U132" s="1"/>
      <c r="V132" s="1">
        <f t="shared" si="47"/>
        <v>3.6</v>
      </c>
      <c r="W132" s="5">
        <v>40</v>
      </c>
      <c r="X132" s="5">
        <f t="shared" ref="X132:X133" si="56">W132*1.3</f>
        <v>52</v>
      </c>
      <c r="Y132" s="18"/>
      <c r="Z132" s="18"/>
      <c r="AA132" s="1">
        <f t="shared" si="32"/>
        <v>28.888888888888889</v>
      </c>
      <c r="AB132" s="1">
        <f t="shared" si="48"/>
        <v>14.444444444444445</v>
      </c>
      <c r="AC132" s="1">
        <v>3.4</v>
      </c>
      <c r="AD132" s="1">
        <v>-0.2</v>
      </c>
      <c r="AE132" s="1">
        <v>13.2</v>
      </c>
      <c r="AF132" s="1">
        <v>28.8</v>
      </c>
      <c r="AG132" s="1">
        <v>16.8</v>
      </c>
      <c r="AH132" s="1">
        <v>0</v>
      </c>
      <c r="AI132" s="1">
        <v>-0.4</v>
      </c>
      <c r="AJ132" s="1">
        <v>-0.4</v>
      </c>
      <c r="AK132" s="1"/>
      <c r="AL132" s="1">
        <f t="shared" si="33"/>
        <v>16</v>
      </c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 t="s">
        <v>179</v>
      </c>
      <c r="B133" s="1" t="s">
        <v>44</v>
      </c>
      <c r="C133" s="1">
        <v>-15</v>
      </c>
      <c r="D133" s="1">
        <v>149</v>
      </c>
      <c r="E133" s="1">
        <v>-2</v>
      </c>
      <c r="F133" s="1"/>
      <c r="G133" s="7">
        <v>0.3</v>
      </c>
      <c r="H133" s="1">
        <v>40</v>
      </c>
      <c r="I133" s="10" t="s">
        <v>50</v>
      </c>
      <c r="J133" s="1"/>
      <c r="K133" s="1">
        <v>26</v>
      </c>
      <c r="L133" s="1">
        <f t="shared" si="45"/>
        <v>-28</v>
      </c>
      <c r="M133" s="1">
        <f t="shared" si="46"/>
        <v>-2</v>
      </c>
      <c r="N133" s="1"/>
      <c r="O133" s="1">
        <v>50</v>
      </c>
      <c r="P133" s="1">
        <v>-54</v>
      </c>
      <c r="Q133" s="1"/>
      <c r="R133" s="1"/>
      <c r="S133" s="1"/>
      <c r="T133" s="1">
        <v>52</v>
      </c>
      <c r="U133" s="1"/>
      <c r="V133" s="1">
        <f t="shared" si="47"/>
        <v>-0.4</v>
      </c>
      <c r="W133" s="5">
        <v>30</v>
      </c>
      <c r="X133" s="5">
        <f t="shared" si="56"/>
        <v>39</v>
      </c>
      <c r="Y133" s="18"/>
      <c r="Z133" s="18"/>
      <c r="AA133" s="1">
        <f t="shared" si="32"/>
        <v>-217.5</v>
      </c>
      <c r="AB133" s="1">
        <f t="shared" si="48"/>
        <v>-120</v>
      </c>
      <c r="AC133" s="1">
        <v>-1</v>
      </c>
      <c r="AD133" s="1">
        <v>0.6</v>
      </c>
      <c r="AE133" s="1">
        <v>9.1999999999999993</v>
      </c>
      <c r="AF133" s="1">
        <v>8</v>
      </c>
      <c r="AG133" s="1">
        <v>0</v>
      </c>
      <c r="AH133" s="1">
        <v>-0.2</v>
      </c>
      <c r="AI133" s="1">
        <v>-1.2</v>
      </c>
      <c r="AJ133" s="1">
        <v>-0.2</v>
      </c>
      <c r="AK133" s="1"/>
      <c r="AL133" s="1">
        <f t="shared" si="33"/>
        <v>12</v>
      </c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 t="s">
        <v>180</v>
      </c>
      <c r="B134" s="1" t="s">
        <v>38</v>
      </c>
      <c r="C134" s="1">
        <v>36.661999999999999</v>
      </c>
      <c r="D134" s="1">
        <v>173.35400000000001</v>
      </c>
      <c r="E134" s="1">
        <v>75.013999999999996</v>
      </c>
      <c r="F134" s="1">
        <v>27.041</v>
      </c>
      <c r="G134" s="7">
        <v>1</v>
      </c>
      <c r="H134" s="1">
        <v>50</v>
      </c>
      <c r="I134" s="1" t="s">
        <v>39</v>
      </c>
      <c r="J134" s="1"/>
      <c r="K134" s="1">
        <v>74.849999999999994</v>
      </c>
      <c r="L134" s="1">
        <f t="shared" ref="L134:L138" si="57">E134-K134</f>
        <v>0.16400000000000148</v>
      </c>
      <c r="M134" s="1">
        <f t="shared" ref="M134:M138" si="58">E134-N134</f>
        <v>75.013999999999996</v>
      </c>
      <c r="N134" s="1"/>
      <c r="O134" s="1">
        <v>69.44440000000003</v>
      </c>
      <c r="P134" s="1"/>
      <c r="Q134" s="1"/>
      <c r="R134" s="1"/>
      <c r="S134" s="1"/>
      <c r="T134" s="1">
        <v>63.883999999999993</v>
      </c>
      <c r="U134" s="1"/>
      <c r="V134" s="1">
        <f t="shared" si="47"/>
        <v>15.002799999999999</v>
      </c>
      <c r="W134" s="5">
        <f t="shared" si="54"/>
        <v>19.664199999999962</v>
      </c>
      <c r="X134" s="5">
        <f>W134+V134*$X$1</f>
        <v>40.218035999999962</v>
      </c>
      <c r="Y134" s="18"/>
      <c r="Z134" s="18"/>
      <c r="AA134" s="1">
        <f t="shared" si="32"/>
        <v>13.37</v>
      </c>
      <c r="AB134" s="1">
        <f t="shared" si="48"/>
        <v>10.689297997707097</v>
      </c>
      <c r="AC134" s="1">
        <v>16.108799999999999</v>
      </c>
      <c r="AD134" s="1">
        <v>13.9884</v>
      </c>
      <c r="AE134" s="1">
        <v>11.2852</v>
      </c>
      <c r="AF134" s="1">
        <v>10.900600000000001</v>
      </c>
      <c r="AG134" s="1">
        <v>11.664199999999999</v>
      </c>
      <c r="AH134" s="1">
        <v>8.6918000000000006</v>
      </c>
      <c r="AI134" s="1">
        <v>8.6745999999999999</v>
      </c>
      <c r="AJ134" s="1">
        <v>10.775399999999999</v>
      </c>
      <c r="AK134" s="1"/>
      <c r="AL134" s="1">
        <f t="shared" si="33"/>
        <v>40</v>
      </c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 t="s">
        <v>181</v>
      </c>
      <c r="B135" s="1" t="s">
        <v>44</v>
      </c>
      <c r="C135" s="1">
        <v>1</v>
      </c>
      <c r="D135" s="1">
        <v>47</v>
      </c>
      <c r="E135" s="1">
        <v>-1</v>
      </c>
      <c r="F135" s="1"/>
      <c r="G135" s="7">
        <v>0.3</v>
      </c>
      <c r="H135" s="1">
        <v>40</v>
      </c>
      <c r="I135" s="10" t="s">
        <v>50</v>
      </c>
      <c r="J135" s="1"/>
      <c r="K135" s="1">
        <v>4</v>
      </c>
      <c r="L135" s="1">
        <f t="shared" si="57"/>
        <v>-5</v>
      </c>
      <c r="M135" s="1">
        <f t="shared" si="58"/>
        <v>-1</v>
      </c>
      <c r="N135" s="1"/>
      <c r="O135" s="1">
        <v>20</v>
      </c>
      <c r="P135" s="1">
        <v>-24</v>
      </c>
      <c r="Q135" s="1"/>
      <c r="R135" s="1"/>
      <c r="S135" s="1"/>
      <c r="T135" s="1">
        <v>13</v>
      </c>
      <c r="U135" s="1"/>
      <c r="V135" s="1">
        <f t="shared" si="47"/>
        <v>-0.2</v>
      </c>
      <c r="W135" s="5">
        <v>10</v>
      </c>
      <c r="X135" s="5">
        <f t="shared" ref="X135:X136" si="59">W135*1.3</f>
        <v>13</v>
      </c>
      <c r="Y135" s="18"/>
      <c r="Z135" s="18"/>
      <c r="AA135" s="1">
        <f t="shared" ref="AA135:AA138" si="60">(F135+O135+P135+Q135+R135+S135+T135+U135+X135)/V135</f>
        <v>-110</v>
      </c>
      <c r="AB135" s="1">
        <f t="shared" si="48"/>
        <v>-45</v>
      </c>
      <c r="AC135" s="1">
        <v>0.2</v>
      </c>
      <c r="AD135" s="1">
        <v>0.2</v>
      </c>
      <c r="AE135" s="1">
        <v>-0.2</v>
      </c>
      <c r="AF135" s="1">
        <v>0.6</v>
      </c>
      <c r="AG135" s="1">
        <v>5.8</v>
      </c>
      <c r="AH135" s="1">
        <v>7.2</v>
      </c>
      <c r="AI135" s="1">
        <v>4.5999999999999996</v>
      </c>
      <c r="AJ135" s="1">
        <v>2.6</v>
      </c>
      <c r="AK135" s="1"/>
      <c r="AL135" s="1">
        <f t="shared" ref="AL135:AL138" si="61">ROUND(G135*X135,0)</f>
        <v>4</v>
      </c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 t="s">
        <v>182</v>
      </c>
      <c r="B136" s="1" t="s">
        <v>44</v>
      </c>
      <c r="C136" s="1">
        <v>81</v>
      </c>
      <c r="D136" s="1">
        <v>158</v>
      </c>
      <c r="E136" s="1">
        <v>48</v>
      </c>
      <c r="F136" s="1">
        <v>34</v>
      </c>
      <c r="G136" s="7">
        <v>0.12</v>
      </c>
      <c r="H136" s="1">
        <v>45</v>
      </c>
      <c r="I136" s="10" t="s">
        <v>50</v>
      </c>
      <c r="J136" s="1"/>
      <c r="K136" s="1">
        <v>57</v>
      </c>
      <c r="L136" s="1">
        <f t="shared" si="57"/>
        <v>-9</v>
      </c>
      <c r="M136" s="1">
        <f t="shared" si="58"/>
        <v>48</v>
      </c>
      <c r="N136" s="1"/>
      <c r="O136" s="1">
        <v>0</v>
      </c>
      <c r="P136" s="1"/>
      <c r="Q136" s="1"/>
      <c r="R136" s="1"/>
      <c r="S136" s="1"/>
      <c r="T136" s="1">
        <v>62.140000000000008</v>
      </c>
      <c r="U136" s="1"/>
      <c r="V136" s="1">
        <f t="shared" si="47"/>
        <v>9.6</v>
      </c>
      <c r="W136" s="5">
        <f t="shared" si="54"/>
        <v>19.059999999999981</v>
      </c>
      <c r="X136" s="5">
        <f t="shared" si="59"/>
        <v>24.777999999999977</v>
      </c>
      <c r="Y136" s="18"/>
      <c r="Z136" s="18"/>
      <c r="AA136" s="1">
        <f t="shared" si="60"/>
        <v>12.595625</v>
      </c>
      <c r="AB136" s="1">
        <f t="shared" si="48"/>
        <v>10.014583333333336</v>
      </c>
      <c r="AC136" s="1">
        <v>8.8000000000000007</v>
      </c>
      <c r="AD136" s="1">
        <v>6.6</v>
      </c>
      <c r="AE136" s="1">
        <v>8.4</v>
      </c>
      <c r="AF136" s="1">
        <v>10.4</v>
      </c>
      <c r="AG136" s="1">
        <v>13.2</v>
      </c>
      <c r="AH136" s="1">
        <v>9.8000000000000007</v>
      </c>
      <c r="AI136" s="1">
        <v>7.2</v>
      </c>
      <c r="AJ136" s="1">
        <v>8</v>
      </c>
      <c r="AK136" s="1"/>
      <c r="AL136" s="1">
        <f t="shared" si="61"/>
        <v>3</v>
      </c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1" t="s">
        <v>183</v>
      </c>
      <c r="B137" s="11" t="s">
        <v>44</v>
      </c>
      <c r="C137" s="11">
        <v>11</v>
      </c>
      <c r="D137" s="11">
        <v>150</v>
      </c>
      <c r="E137" s="14">
        <v>74</v>
      </c>
      <c r="F137" s="14">
        <v>65</v>
      </c>
      <c r="G137" s="12">
        <v>0</v>
      </c>
      <c r="H137" s="11"/>
      <c r="I137" s="11" t="s">
        <v>184</v>
      </c>
      <c r="J137" s="11" t="s">
        <v>106</v>
      </c>
      <c r="K137" s="11">
        <v>76</v>
      </c>
      <c r="L137" s="11">
        <f t="shared" si="57"/>
        <v>-2</v>
      </c>
      <c r="M137" s="11">
        <f t="shared" si="58"/>
        <v>74</v>
      </c>
      <c r="N137" s="11"/>
      <c r="O137" s="11">
        <v>0</v>
      </c>
      <c r="P137" s="11"/>
      <c r="Q137" s="11"/>
      <c r="R137" s="11"/>
      <c r="S137" s="11"/>
      <c r="T137" s="11"/>
      <c r="U137" s="11"/>
      <c r="V137" s="11">
        <f t="shared" si="47"/>
        <v>14.8</v>
      </c>
      <c r="W137" s="13"/>
      <c r="X137" s="5">
        <f t="shared" ref="X135:X138" si="62">W137</f>
        <v>0</v>
      </c>
      <c r="Y137" s="18"/>
      <c r="Z137" s="18"/>
      <c r="AA137" s="1">
        <f t="shared" si="60"/>
        <v>4.3918918918918921</v>
      </c>
      <c r="AB137" s="11">
        <f t="shared" si="48"/>
        <v>4.3918918918918921</v>
      </c>
      <c r="AC137" s="11">
        <v>21.6</v>
      </c>
      <c r="AD137" s="11">
        <v>19.8</v>
      </c>
      <c r="AE137" s="11">
        <v>10.4</v>
      </c>
      <c r="AF137" s="11">
        <v>11.2</v>
      </c>
      <c r="AG137" s="11">
        <v>14.6</v>
      </c>
      <c r="AH137" s="11">
        <v>5.2</v>
      </c>
      <c r="AI137" s="11">
        <v>0</v>
      </c>
      <c r="AJ137" s="11">
        <v>0</v>
      </c>
      <c r="AK137" s="11"/>
      <c r="AL137" s="1">
        <f t="shared" si="61"/>
        <v>0</v>
      </c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1" t="s">
        <v>185</v>
      </c>
      <c r="B138" s="11" t="s">
        <v>44</v>
      </c>
      <c r="C138" s="11">
        <v>30</v>
      </c>
      <c r="D138" s="11"/>
      <c r="E138" s="11"/>
      <c r="F138" s="14">
        <v>30</v>
      </c>
      <c r="G138" s="12">
        <v>0</v>
      </c>
      <c r="H138" s="11"/>
      <c r="I138" s="11" t="s">
        <v>184</v>
      </c>
      <c r="J138" s="11" t="s">
        <v>176</v>
      </c>
      <c r="K138" s="11"/>
      <c r="L138" s="11">
        <f t="shared" si="57"/>
        <v>0</v>
      </c>
      <c r="M138" s="11">
        <f t="shared" si="58"/>
        <v>0</v>
      </c>
      <c r="N138" s="11"/>
      <c r="O138" s="11">
        <v>0</v>
      </c>
      <c r="P138" s="11"/>
      <c r="Q138" s="11"/>
      <c r="R138" s="11"/>
      <c r="S138" s="11"/>
      <c r="T138" s="11"/>
      <c r="U138" s="11"/>
      <c r="V138" s="11">
        <f t="shared" si="47"/>
        <v>0</v>
      </c>
      <c r="W138" s="13"/>
      <c r="X138" s="5">
        <f t="shared" si="62"/>
        <v>0</v>
      </c>
      <c r="Y138" s="18"/>
      <c r="Z138" s="18"/>
      <c r="AA138" s="1" t="e">
        <f t="shared" si="60"/>
        <v>#DIV/0!</v>
      </c>
      <c r="AB138" s="11" t="e">
        <f t="shared" si="48"/>
        <v>#DIV/0!</v>
      </c>
      <c r="AC138" s="11">
        <v>0</v>
      </c>
      <c r="AD138" s="11">
        <v>0</v>
      </c>
      <c r="AE138" s="11">
        <v>0</v>
      </c>
      <c r="AF138" s="11">
        <v>0</v>
      </c>
      <c r="AG138" s="11">
        <v>0</v>
      </c>
      <c r="AH138" s="11">
        <v>0.2</v>
      </c>
      <c r="AI138" s="11">
        <v>0.4</v>
      </c>
      <c r="AJ138" s="11">
        <v>2.4</v>
      </c>
      <c r="AK138" s="11"/>
      <c r="AL138" s="1">
        <f t="shared" si="61"/>
        <v>0</v>
      </c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spans="1:48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</sheetData>
  <autoFilter ref="A3:AL138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2026-09-24T15:51:16Z</dcterms:created>
  <dcterms:modified xsi:type="dcterms:W3CDTF">2026-09-25T07:58:35Z</dcterms:modified>
</cp:coreProperties>
</file>