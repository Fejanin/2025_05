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DDEB2D2-4AEE-4355-A9EF-E7ABCD29CAB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8" i="1" l="1"/>
  <c r="X557" i="1"/>
  <c r="BO556" i="1"/>
  <c r="BM556" i="1"/>
  <c r="Y556" i="1"/>
  <c r="P556" i="1"/>
  <c r="X553" i="1"/>
  <c r="X552" i="1"/>
  <c r="BO551" i="1"/>
  <c r="BM551" i="1"/>
  <c r="Y551" i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X426" i="1"/>
  <c r="BO425" i="1"/>
  <c r="BM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0" i="1"/>
  <c r="Y419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BO357" i="1"/>
  <c r="BM357" i="1"/>
  <c r="Y357" i="1"/>
  <c r="P357" i="1"/>
  <c r="X354" i="1"/>
  <c r="X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Y257" i="1"/>
  <c r="X257" i="1"/>
  <c r="BP256" i="1"/>
  <c r="BO256" i="1"/>
  <c r="BN256" i="1"/>
  <c r="BM256" i="1"/>
  <c r="Z256" i="1"/>
  <c r="Z257" i="1" s="1"/>
  <c r="Y256" i="1"/>
  <c r="Y258" i="1" s="1"/>
  <c r="P256" i="1"/>
  <c r="X254" i="1"/>
  <c r="X253" i="1"/>
  <c r="BP252" i="1"/>
  <c r="BO252" i="1"/>
  <c r="BN252" i="1"/>
  <c r="BM252" i="1"/>
  <c r="Z252" i="1"/>
  <c r="Y252" i="1"/>
  <c r="P252" i="1"/>
  <c r="BO251" i="1"/>
  <c r="BM251" i="1"/>
  <c r="Y251" i="1"/>
  <c r="P251" i="1"/>
  <c r="BO250" i="1"/>
  <c r="BM250" i="1"/>
  <c r="Y250" i="1"/>
  <c r="Y254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P189" i="1"/>
  <c r="BO189" i="1"/>
  <c r="BN189" i="1"/>
  <c r="BM189" i="1"/>
  <c r="Z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O163" i="1"/>
  <c r="BM163" i="1"/>
  <c r="Y163" i="1"/>
  <c r="BP163" i="1" s="1"/>
  <c r="P163" i="1"/>
  <c r="X160" i="1"/>
  <c r="X159" i="1"/>
  <c r="BO158" i="1"/>
  <c r="BM158" i="1"/>
  <c r="Y158" i="1"/>
  <c r="Y160" i="1" s="1"/>
  <c r="P158" i="1"/>
  <c r="X156" i="1"/>
  <c r="X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BP133" i="1" s="1"/>
  <c r="P133" i="1"/>
  <c r="X130" i="1"/>
  <c r="X129" i="1"/>
  <c r="BO128" i="1"/>
  <c r="BM128" i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Y126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X563" i="1" s="1"/>
  <c r="BO23" i="1"/>
  <c r="BM23" i="1"/>
  <c r="Y23" i="1"/>
  <c r="BP23" i="1" s="1"/>
  <c r="P23" i="1"/>
  <c r="BO22" i="1"/>
  <c r="X561" i="1" s="1"/>
  <c r="BM22" i="1"/>
  <c r="Y22" i="1"/>
  <c r="B569" i="1" s="1"/>
  <c r="P22" i="1"/>
  <c r="H10" i="1"/>
  <c r="A9" i="1"/>
  <c r="F10" i="1" s="1"/>
  <c r="D7" i="1"/>
  <c r="Q6" i="1"/>
  <c r="P2" i="1"/>
  <c r="Y253" i="1" l="1"/>
  <c r="BP293" i="1"/>
  <c r="BN293" i="1"/>
  <c r="Z293" i="1"/>
  <c r="BP308" i="1"/>
  <c r="BN308" i="1"/>
  <c r="Z308" i="1"/>
  <c r="BP336" i="1"/>
  <c r="BN336" i="1"/>
  <c r="Z336" i="1"/>
  <c r="Z339" i="1" s="1"/>
  <c r="BP351" i="1"/>
  <c r="BN351" i="1"/>
  <c r="Z351" i="1"/>
  <c r="BP369" i="1"/>
  <c r="BN369" i="1"/>
  <c r="Z369" i="1"/>
  <c r="BP385" i="1"/>
  <c r="BN385" i="1"/>
  <c r="Z385" i="1"/>
  <c r="BP399" i="1"/>
  <c r="BN399" i="1"/>
  <c r="Z399" i="1"/>
  <c r="BP425" i="1"/>
  <c r="BN425" i="1"/>
  <c r="Z425" i="1"/>
  <c r="BP437" i="1"/>
  <c r="BN437" i="1"/>
  <c r="Z437" i="1"/>
  <c r="BP470" i="1"/>
  <c r="BN470" i="1"/>
  <c r="Z470" i="1"/>
  <c r="BP486" i="1"/>
  <c r="BN486" i="1"/>
  <c r="Z486" i="1"/>
  <c r="BP509" i="1"/>
  <c r="BN509" i="1"/>
  <c r="Z509" i="1"/>
  <c r="BP525" i="1"/>
  <c r="BN525" i="1"/>
  <c r="Z525" i="1"/>
  <c r="X560" i="1"/>
  <c r="X562" i="1" s="1"/>
  <c r="Z23" i="1"/>
  <c r="BN23" i="1"/>
  <c r="X559" i="1"/>
  <c r="Y33" i="1"/>
  <c r="Z29" i="1"/>
  <c r="BN29" i="1"/>
  <c r="Z37" i="1"/>
  <c r="BN37" i="1"/>
  <c r="Z41" i="1"/>
  <c r="BN41" i="1"/>
  <c r="Z49" i="1"/>
  <c r="BN49" i="1"/>
  <c r="E569" i="1"/>
  <c r="Z58" i="1"/>
  <c r="BN58" i="1"/>
  <c r="Z62" i="1"/>
  <c r="BN62" i="1"/>
  <c r="Y72" i="1"/>
  <c r="Z70" i="1"/>
  <c r="BN70" i="1"/>
  <c r="Z80" i="1"/>
  <c r="BN80" i="1"/>
  <c r="BP80" i="1"/>
  <c r="Z87" i="1"/>
  <c r="BN87" i="1"/>
  <c r="Z91" i="1"/>
  <c r="BN91" i="1"/>
  <c r="Y99" i="1"/>
  <c r="Z97" i="1"/>
  <c r="BN97" i="1"/>
  <c r="G569" i="1"/>
  <c r="Z106" i="1"/>
  <c r="BN106" i="1"/>
  <c r="Z110" i="1"/>
  <c r="BN110" i="1"/>
  <c r="Y118" i="1"/>
  <c r="Z122" i="1"/>
  <c r="BN122" i="1"/>
  <c r="Z128" i="1"/>
  <c r="Z129" i="1" s="1"/>
  <c r="BN128" i="1"/>
  <c r="BP128" i="1"/>
  <c r="Y129" i="1"/>
  <c r="Z133" i="1"/>
  <c r="Z135" i="1" s="1"/>
  <c r="BN133" i="1"/>
  <c r="Z143" i="1"/>
  <c r="BN143" i="1"/>
  <c r="BP143" i="1"/>
  <c r="I569" i="1"/>
  <c r="Z152" i="1"/>
  <c r="BN152" i="1"/>
  <c r="Z158" i="1"/>
  <c r="Z159" i="1" s="1"/>
  <c r="BN158" i="1"/>
  <c r="BP158" i="1"/>
  <c r="Y159" i="1"/>
  <c r="Z163" i="1"/>
  <c r="BN163" i="1"/>
  <c r="Z171" i="1"/>
  <c r="BN171" i="1"/>
  <c r="Y187" i="1"/>
  <c r="Z177" i="1"/>
  <c r="BN177" i="1"/>
  <c r="Z181" i="1"/>
  <c r="BN181" i="1"/>
  <c r="Z185" i="1"/>
  <c r="BN185" i="1"/>
  <c r="Z191" i="1"/>
  <c r="BN191" i="1"/>
  <c r="Z207" i="1"/>
  <c r="BN207" i="1"/>
  <c r="Z211" i="1"/>
  <c r="BN211" i="1"/>
  <c r="Z222" i="1"/>
  <c r="BN222" i="1"/>
  <c r="Z226" i="1"/>
  <c r="BN226" i="1"/>
  <c r="Z230" i="1"/>
  <c r="BN230" i="1"/>
  <c r="Z234" i="1"/>
  <c r="BN234" i="1"/>
  <c r="Y248" i="1"/>
  <c r="Z240" i="1"/>
  <c r="BN240" i="1"/>
  <c r="Z244" i="1"/>
  <c r="BN244" i="1"/>
  <c r="Z250" i="1"/>
  <c r="Z253" i="1" s="1"/>
  <c r="BN250" i="1"/>
  <c r="BP250" i="1"/>
  <c r="Z267" i="1"/>
  <c r="BN267" i="1"/>
  <c r="Y279" i="1"/>
  <c r="Z273" i="1"/>
  <c r="BN273" i="1"/>
  <c r="Z277" i="1"/>
  <c r="BN277" i="1"/>
  <c r="Z285" i="1"/>
  <c r="BN285" i="1"/>
  <c r="Z289" i="1"/>
  <c r="BN289" i="1"/>
  <c r="BP304" i="1"/>
  <c r="BN304" i="1"/>
  <c r="Z304" i="1"/>
  <c r="BP329" i="1"/>
  <c r="BN329" i="1"/>
  <c r="Z329" i="1"/>
  <c r="Y339" i="1"/>
  <c r="BP345" i="1"/>
  <c r="BN345" i="1"/>
  <c r="Z345" i="1"/>
  <c r="BP365" i="1"/>
  <c r="BN365" i="1"/>
  <c r="Z365" i="1"/>
  <c r="BP377" i="1"/>
  <c r="BN377" i="1"/>
  <c r="Z377" i="1"/>
  <c r="Y395" i="1"/>
  <c r="BP391" i="1"/>
  <c r="BN391" i="1"/>
  <c r="Z391" i="1"/>
  <c r="BP411" i="1"/>
  <c r="BN411" i="1"/>
  <c r="Z411" i="1"/>
  <c r="BP433" i="1"/>
  <c r="BN433" i="1"/>
  <c r="Z433" i="1"/>
  <c r="BP449" i="1"/>
  <c r="BN449" i="1"/>
  <c r="Z449" i="1"/>
  <c r="BP480" i="1"/>
  <c r="BN480" i="1"/>
  <c r="Z480" i="1"/>
  <c r="BP505" i="1"/>
  <c r="BN505" i="1"/>
  <c r="Z505" i="1"/>
  <c r="BP517" i="1"/>
  <c r="BN517" i="1"/>
  <c r="Z517" i="1"/>
  <c r="BP551" i="1"/>
  <c r="BN551" i="1"/>
  <c r="Z551" i="1"/>
  <c r="AC569" i="1"/>
  <c r="Y557" i="1"/>
  <c r="BP556" i="1"/>
  <c r="BN556" i="1"/>
  <c r="Z556" i="1"/>
  <c r="Z557" i="1" s="1"/>
  <c r="Y299" i="1"/>
  <c r="Z167" i="1"/>
  <c r="H9" i="1"/>
  <c r="A10" i="1"/>
  <c r="Y24" i="1"/>
  <c r="Y32" i="1"/>
  <c r="Y42" i="1"/>
  <c r="Y52" i="1"/>
  <c r="Y65" i="1"/>
  <c r="Y73" i="1"/>
  <c r="Y77" i="1"/>
  <c r="Y83" i="1"/>
  <c r="Y92" i="1"/>
  <c r="Y100" i="1"/>
  <c r="Y113" i="1"/>
  <c r="Y119" i="1"/>
  <c r="Y125" i="1"/>
  <c r="Y136" i="1"/>
  <c r="Y140" i="1"/>
  <c r="Y146" i="1"/>
  <c r="Y155" i="1"/>
  <c r="Y168" i="1"/>
  <c r="Y173" i="1"/>
  <c r="BP170" i="1"/>
  <c r="BN170" i="1"/>
  <c r="Z170" i="1"/>
  <c r="Z172" i="1" s="1"/>
  <c r="BP178" i="1"/>
  <c r="BN178" i="1"/>
  <c r="Z178" i="1"/>
  <c r="BP182" i="1"/>
  <c r="BN182" i="1"/>
  <c r="Z182" i="1"/>
  <c r="Y186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62" i="1"/>
  <c r="BN262" i="1"/>
  <c r="Z262" i="1"/>
  <c r="Z263" i="1" s="1"/>
  <c r="Y264" i="1"/>
  <c r="Y269" i="1"/>
  <c r="BP266" i="1"/>
  <c r="BN266" i="1"/>
  <c r="Z266" i="1"/>
  <c r="Z268" i="1" s="1"/>
  <c r="BP274" i="1"/>
  <c r="BN274" i="1"/>
  <c r="Z274" i="1"/>
  <c r="BP278" i="1"/>
  <c r="BN278" i="1"/>
  <c r="Z278" i="1"/>
  <c r="Y280" i="1"/>
  <c r="Y295" i="1"/>
  <c r="Y294" i="1"/>
  <c r="BP282" i="1"/>
  <c r="BN282" i="1"/>
  <c r="Z282" i="1"/>
  <c r="BP286" i="1"/>
  <c r="BN286" i="1"/>
  <c r="Z286" i="1"/>
  <c r="BP305" i="1"/>
  <c r="BN305" i="1"/>
  <c r="Z305" i="1"/>
  <c r="BP309" i="1"/>
  <c r="BN309" i="1"/>
  <c r="Z309" i="1"/>
  <c r="Y311" i="1"/>
  <c r="Y314" i="1"/>
  <c r="BP313" i="1"/>
  <c r="BN313" i="1"/>
  <c r="Z313" i="1"/>
  <c r="Z314" i="1" s="1"/>
  <c r="Y315" i="1"/>
  <c r="Y318" i="1"/>
  <c r="BP317" i="1"/>
  <c r="BN317" i="1"/>
  <c r="Z317" i="1"/>
  <c r="Z318" i="1" s="1"/>
  <c r="Y319" i="1"/>
  <c r="Y322" i="1"/>
  <c r="BP321" i="1"/>
  <c r="BN321" i="1"/>
  <c r="Z321" i="1"/>
  <c r="Z322" i="1" s="1"/>
  <c r="Y323" i="1"/>
  <c r="Y333" i="1"/>
  <c r="BP326" i="1"/>
  <c r="BN326" i="1"/>
  <c r="Z326" i="1"/>
  <c r="Y332" i="1"/>
  <c r="BP330" i="1"/>
  <c r="BN330" i="1"/>
  <c r="Z330" i="1"/>
  <c r="BP398" i="1"/>
  <c r="BN398" i="1"/>
  <c r="Z398" i="1"/>
  <c r="Y402" i="1"/>
  <c r="BP406" i="1"/>
  <c r="BN406" i="1"/>
  <c r="Z406" i="1"/>
  <c r="Y408" i="1"/>
  <c r="Y413" i="1"/>
  <c r="BP410" i="1"/>
  <c r="BN410" i="1"/>
  <c r="Z410" i="1"/>
  <c r="Y414" i="1"/>
  <c r="BP424" i="1"/>
  <c r="BN424" i="1"/>
  <c r="Z424" i="1"/>
  <c r="Z426" i="1" s="1"/>
  <c r="Y426" i="1"/>
  <c r="P569" i="1"/>
  <c r="F9" i="1"/>
  <c r="J9" i="1"/>
  <c r="Z22" i="1"/>
  <c r="Z24" i="1" s="1"/>
  <c r="BN22" i="1"/>
  <c r="BP22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Z64" i="1" s="1"/>
  <c r="BN55" i="1"/>
  <c r="BP55" i="1"/>
  <c r="Z57" i="1"/>
  <c r="BN57" i="1"/>
  <c r="Z59" i="1"/>
  <c r="BN59" i="1"/>
  <c r="Z61" i="1"/>
  <c r="BN61" i="1"/>
  <c r="Z63" i="1"/>
  <c r="BN63" i="1"/>
  <c r="Y64" i="1"/>
  <c r="Z67" i="1"/>
  <c r="Z72" i="1" s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69" i="1"/>
  <c r="Z88" i="1"/>
  <c r="BN88" i="1"/>
  <c r="Z90" i="1"/>
  <c r="BN90" i="1"/>
  <c r="Y93" i="1"/>
  <c r="Z96" i="1"/>
  <c r="BN96" i="1"/>
  <c r="Z98" i="1"/>
  <c r="BN98" i="1"/>
  <c r="Z103" i="1"/>
  <c r="Z112" i="1" s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Z118" i="1" s="1"/>
  <c r="BN115" i="1"/>
  <c r="BP115" i="1"/>
  <c r="Z117" i="1"/>
  <c r="BN117" i="1"/>
  <c r="Z121" i="1"/>
  <c r="BN121" i="1"/>
  <c r="BP121" i="1"/>
  <c r="Z123" i="1"/>
  <c r="BN123" i="1"/>
  <c r="H569" i="1"/>
  <c r="Z134" i="1"/>
  <c r="BN134" i="1"/>
  <c r="Y135" i="1"/>
  <c r="Z138" i="1"/>
  <c r="Z140" i="1" s="1"/>
  <c r="BN138" i="1"/>
  <c r="BP138" i="1"/>
  <c r="Z144" i="1"/>
  <c r="BN144" i="1"/>
  <c r="Z149" i="1"/>
  <c r="BN149" i="1"/>
  <c r="BP149" i="1"/>
  <c r="Z151" i="1"/>
  <c r="BN151" i="1"/>
  <c r="Z153" i="1"/>
  <c r="BN153" i="1"/>
  <c r="Y156" i="1"/>
  <c r="J569" i="1"/>
  <c r="Y167" i="1"/>
  <c r="Z164" i="1"/>
  <c r="BN164" i="1"/>
  <c r="Z166" i="1"/>
  <c r="BN166" i="1"/>
  <c r="Y172" i="1"/>
  <c r="BP176" i="1"/>
  <c r="BN176" i="1"/>
  <c r="Z176" i="1"/>
  <c r="BP180" i="1"/>
  <c r="BN180" i="1"/>
  <c r="Z180" i="1"/>
  <c r="BP184" i="1"/>
  <c r="BN184" i="1"/>
  <c r="Z184" i="1"/>
  <c r="Y193" i="1"/>
  <c r="Y192" i="1"/>
  <c r="BP206" i="1"/>
  <c r="BN206" i="1"/>
  <c r="Z206" i="1"/>
  <c r="BP210" i="1"/>
  <c r="BN210" i="1"/>
  <c r="Z210" i="1"/>
  <c r="Z212" i="1" s="1"/>
  <c r="Y236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BP251" i="1"/>
  <c r="BN251" i="1"/>
  <c r="Z251" i="1"/>
  <c r="Y268" i="1"/>
  <c r="BP272" i="1"/>
  <c r="BN272" i="1"/>
  <c r="Z272" i="1"/>
  <c r="BP276" i="1"/>
  <c r="BN276" i="1"/>
  <c r="Z276" i="1"/>
  <c r="BP284" i="1"/>
  <c r="BN284" i="1"/>
  <c r="Z284" i="1"/>
  <c r="BP288" i="1"/>
  <c r="BN288" i="1"/>
  <c r="Z288" i="1"/>
  <c r="BP292" i="1"/>
  <c r="BN292" i="1"/>
  <c r="Z292" i="1"/>
  <c r="BP344" i="1"/>
  <c r="BN344" i="1"/>
  <c r="Z344" i="1"/>
  <c r="Z348" i="1" s="1"/>
  <c r="Y348" i="1"/>
  <c r="BP352" i="1"/>
  <c r="BN352" i="1"/>
  <c r="Z352" i="1"/>
  <c r="Z353" i="1" s="1"/>
  <c r="Y354" i="1"/>
  <c r="S569" i="1"/>
  <c r="Y360" i="1"/>
  <c r="BP357" i="1"/>
  <c r="BN357" i="1"/>
  <c r="Z357" i="1"/>
  <c r="Y361" i="1"/>
  <c r="BP366" i="1"/>
  <c r="BN366" i="1"/>
  <c r="Z366" i="1"/>
  <c r="BP370" i="1"/>
  <c r="BN370" i="1"/>
  <c r="Z370" i="1"/>
  <c r="Y372" i="1"/>
  <c r="Y381" i="1"/>
  <c r="BP374" i="1"/>
  <c r="BN374" i="1"/>
  <c r="Z374" i="1"/>
  <c r="Y382" i="1"/>
  <c r="BP378" i="1"/>
  <c r="BN378" i="1"/>
  <c r="Z378" i="1"/>
  <c r="BP386" i="1"/>
  <c r="BN386" i="1"/>
  <c r="Z386" i="1"/>
  <c r="BP434" i="1"/>
  <c r="BN434" i="1"/>
  <c r="Z434" i="1"/>
  <c r="K569" i="1"/>
  <c r="Y213" i="1"/>
  <c r="L569" i="1"/>
  <c r="Y218" i="1"/>
  <c r="M569" i="1"/>
  <c r="Y263" i="1"/>
  <c r="BP290" i="1"/>
  <c r="BN290" i="1"/>
  <c r="Z290" i="1"/>
  <c r="BP298" i="1"/>
  <c r="BN298" i="1"/>
  <c r="Z298" i="1"/>
  <c r="Z299" i="1" s="1"/>
  <c r="Y300" i="1"/>
  <c r="O569" i="1"/>
  <c r="Y310" i="1"/>
  <c r="BP303" i="1"/>
  <c r="BN303" i="1"/>
  <c r="Z303" i="1"/>
  <c r="BP307" i="1"/>
  <c r="BN307" i="1"/>
  <c r="Z307" i="1"/>
  <c r="BP328" i="1"/>
  <c r="BN328" i="1"/>
  <c r="Z328" i="1"/>
  <c r="BP337" i="1"/>
  <c r="BN337" i="1"/>
  <c r="Z337" i="1"/>
  <c r="BP346" i="1"/>
  <c r="BN346" i="1"/>
  <c r="Z346" i="1"/>
  <c r="Y353" i="1"/>
  <c r="BP359" i="1"/>
  <c r="BN359" i="1"/>
  <c r="Z359" i="1"/>
  <c r="T569" i="1"/>
  <c r="Y371" i="1"/>
  <c r="BP364" i="1"/>
  <c r="BN364" i="1"/>
  <c r="Z364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Q569" i="1"/>
  <c r="Y340" i="1"/>
  <c r="R569" i="1"/>
  <c r="Y349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439" i="1" l="1"/>
  <c r="Z99" i="1"/>
  <c r="Z32" i="1"/>
  <c r="Z401" i="1"/>
  <c r="Z247" i="1"/>
  <c r="Z186" i="1"/>
  <c r="Z145" i="1"/>
  <c r="Z92" i="1"/>
  <c r="Z51" i="1"/>
  <c r="Z42" i="1"/>
  <c r="Z235" i="1"/>
  <c r="Z529" i="1"/>
  <c r="Z472" i="1"/>
  <c r="Z451" i="1"/>
  <c r="Z381" i="1"/>
  <c r="Z360" i="1"/>
  <c r="Y561" i="1"/>
  <c r="Z332" i="1"/>
  <c r="Y563" i="1"/>
  <c r="Z513" i="1"/>
  <c r="Z483" i="1"/>
  <c r="Z499" i="1"/>
  <c r="Z407" i="1"/>
  <c r="Z371" i="1"/>
  <c r="Z310" i="1"/>
  <c r="Z279" i="1"/>
  <c r="Z155" i="1"/>
  <c r="Z125" i="1"/>
  <c r="Y559" i="1"/>
  <c r="Y560" i="1"/>
  <c r="Y562" i="1" s="1"/>
  <c r="Z413" i="1"/>
  <c r="Z294" i="1"/>
  <c r="Z564" i="1" l="1"/>
</calcChain>
</file>

<file path=xl/sharedStrings.xml><?xml version="1.0" encoding="utf-8"?>
<sst xmlns="http://schemas.openxmlformats.org/spreadsheetml/2006/main" count="2538" uniqueCount="904">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</sst>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3" t="s">
        <v>0</v>
      </c>
      <c r="E1" s="675"/>
      <c r="F1" s="675"/>
      <c r="G1" s="12" t="s">
        <v>1</v>
      </c>
      <c r="H1" s="723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5" t="s">
        <v>8</v>
      </c>
      <c r="B5" s="699"/>
      <c r="C5" s="700"/>
      <c r="D5" s="730"/>
      <c r="E5" s="731"/>
      <c r="F5" s="965" t="s">
        <v>9</v>
      </c>
      <c r="G5" s="700"/>
      <c r="H5" s="730"/>
      <c r="I5" s="898"/>
      <c r="J5" s="898"/>
      <c r="K5" s="898"/>
      <c r="L5" s="898"/>
      <c r="M5" s="731"/>
      <c r="N5" s="58"/>
      <c r="P5" s="24" t="s">
        <v>10</v>
      </c>
      <c r="Q5" s="982">
        <v>46293</v>
      </c>
      <c r="R5" s="772"/>
      <c r="T5" s="822" t="s">
        <v>11</v>
      </c>
      <c r="U5" s="823"/>
      <c r="V5" s="825" t="s">
        <v>12</v>
      </c>
      <c r="W5" s="772"/>
      <c r="AB5" s="51"/>
      <c r="AC5" s="51"/>
      <c r="AD5" s="51"/>
      <c r="AE5" s="51"/>
    </row>
    <row r="6" spans="1:32" s="637" customFormat="1" ht="24" customHeight="1" x14ac:dyDescent="0.2">
      <c r="A6" s="775" t="s">
        <v>13</v>
      </c>
      <c r="B6" s="699"/>
      <c r="C6" s="700"/>
      <c r="D6" s="902"/>
      <c r="E6" s="903"/>
      <c r="F6" s="903"/>
      <c r="G6" s="903"/>
      <c r="H6" s="903"/>
      <c r="I6" s="903"/>
      <c r="J6" s="903"/>
      <c r="K6" s="903"/>
      <c r="L6" s="903"/>
      <c r="M6" s="772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832" t="s">
        <v>15</v>
      </c>
      <c r="U6" s="823"/>
      <c r="V6" s="960" t="s">
        <v>16</v>
      </c>
      <c r="W6" s="725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6">
        <f>IFERROR(VLOOKUP(DeliveryAddress,Table,3,0),1)</f>
        <v>1</v>
      </c>
      <c r="E7" s="707"/>
      <c r="F7" s="707"/>
      <c r="G7" s="707"/>
      <c r="H7" s="707"/>
      <c r="I7" s="707"/>
      <c r="J7" s="707"/>
      <c r="K7" s="707"/>
      <c r="L7" s="707"/>
      <c r="M7" s="708"/>
      <c r="N7" s="60"/>
      <c r="P7" s="24"/>
      <c r="Q7" s="42"/>
      <c r="R7" s="42"/>
      <c r="T7" s="653"/>
      <c r="U7" s="823"/>
      <c r="V7" s="961"/>
      <c r="W7" s="962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48"/>
      <c r="C8" s="649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82">
        <v>0.41666666666666669</v>
      </c>
      <c r="R8" s="708"/>
      <c r="T8" s="653"/>
      <c r="U8" s="823"/>
      <c r="V8" s="961"/>
      <c r="W8" s="962"/>
      <c r="AB8" s="51"/>
      <c r="AC8" s="51"/>
      <c r="AD8" s="51"/>
      <c r="AE8" s="51"/>
    </row>
    <row r="9" spans="1:32" s="637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3"/>
      <c r="E9" s="665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5"/>
      <c r="P9" s="26" t="s">
        <v>19</v>
      </c>
      <c r="Q9" s="769"/>
      <c r="R9" s="770"/>
      <c r="T9" s="653"/>
      <c r="U9" s="823"/>
      <c r="V9" s="963"/>
      <c r="W9" s="964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3"/>
      <c r="E10" s="665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81" t="str">
        <f>IFERROR(VLOOKUP($D$10,Proxy,2,FALSE),"")</f>
        <v/>
      </c>
      <c r="I10" s="653"/>
      <c r="J10" s="653"/>
      <c r="K10" s="653"/>
      <c r="L10" s="653"/>
      <c r="M10" s="653"/>
      <c r="N10" s="636"/>
      <c r="P10" s="26" t="s">
        <v>20</v>
      </c>
      <c r="Q10" s="833"/>
      <c r="R10" s="834"/>
      <c r="U10" s="24" t="s">
        <v>21</v>
      </c>
      <c r="V10" s="724" t="s">
        <v>22</v>
      </c>
      <c r="W10" s="725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5" t="s">
        <v>26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5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82"/>
      <c r="R12" s="708"/>
      <c r="S12" s="23"/>
      <c r="U12" s="24"/>
      <c r="V12" s="675"/>
      <c r="W12" s="653"/>
      <c r="AB12" s="51"/>
      <c r="AC12" s="51"/>
      <c r="AD12" s="51"/>
      <c r="AE12" s="51"/>
    </row>
    <row r="13" spans="1:32" s="637" customFormat="1" ht="23.25" customHeight="1" x14ac:dyDescent="0.2">
      <c r="A13" s="815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5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5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50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3" t="s">
        <v>33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4"/>
      <c r="Q16" s="804"/>
      <c r="R16" s="804"/>
      <c r="S16" s="804"/>
      <c r="T16" s="8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9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8"/>
      <c r="R17" s="748"/>
      <c r="S17" s="748"/>
      <c r="T17" s="749"/>
      <c r="U17" s="1004" t="s">
        <v>49</v>
      </c>
      <c r="V17" s="700"/>
      <c r="W17" s="689" t="s">
        <v>50</v>
      </c>
      <c r="X17" s="689" t="s">
        <v>51</v>
      </c>
      <c r="Y17" s="1008" t="s">
        <v>52</v>
      </c>
      <c r="Z17" s="896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50"/>
      <c r="E18" s="752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0"/>
      <c r="X18" s="690"/>
      <c r="Y18" s="1009"/>
      <c r="Z18" s="897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66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8"/>
      <c r="AB20" s="638"/>
      <c r="AC20" s="638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2"/>
      <c r="B24" s="653"/>
      <c r="C24" s="653"/>
      <c r="D24" s="653"/>
      <c r="E24" s="653"/>
      <c r="F24" s="653"/>
      <c r="G24" s="653"/>
      <c r="H24" s="653"/>
      <c r="I24" s="653"/>
      <c r="J24" s="653"/>
      <c r="K24" s="653"/>
      <c r="L24" s="653"/>
      <c r="M24" s="653"/>
      <c r="N24" s="653"/>
      <c r="O24" s="654"/>
      <c r="P24" s="647" t="s">
        <v>72</v>
      </c>
      <c r="Q24" s="648"/>
      <c r="R24" s="648"/>
      <c r="S24" s="648"/>
      <c r="T24" s="648"/>
      <c r="U24" s="648"/>
      <c r="V24" s="649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3"/>
      <c r="B25" s="653"/>
      <c r="C25" s="653"/>
      <c r="D25" s="653"/>
      <c r="E25" s="653"/>
      <c r="F25" s="653"/>
      <c r="G25" s="653"/>
      <c r="H25" s="653"/>
      <c r="I25" s="653"/>
      <c r="J25" s="653"/>
      <c r="K25" s="653"/>
      <c r="L25" s="653"/>
      <c r="M25" s="653"/>
      <c r="N25" s="653"/>
      <c r="O25" s="654"/>
      <c r="P25" s="647" t="s">
        <v>72</v>
      </c>
      <c r="Q25" s="648"/>
      <c r="R25" s="648"/>
      <c r="S25" s="648"/>
      <c r="T25" s="648"/>
      <c r="U25" s="648"/>
      <c r="V25" s="649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43">
        <v>7</v>
      </c>
      <c r="Y29" s="644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12.366666666666667</v>
      </c>
      <c r="BN29" s="64">
        <f>IFERROR(Y29*I29/H29,"0")</f>
        <v>12.72</v>
      </c>
      <c r="BO29" s="64">
        <f>IFERROR(1/J29*(X29/H29),"0")</f>
        <v>2.1367521367521368E-2</v>
      </c>
      <c r="BP29" s="64">
        <f>IFERROR(1/J29*(Y29/H29),"0")</f>
        <v>2.197802197802198E-2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43">
        <v>18</v>
      </c>
      <c r="Y30" s="644">
        <f>IFERROR(IF(X30="",0,CEILING((X30/$H30),1)*$H30),"")</f>
        <v>18</v>
      </c>
      <c r="Z30" s="36">
        <f>IFERROR(IF(Y30=0,"",ROUNDUP(Y30/H30,0)*0.00651),"")</f>
        <v>6.5100000000000005E-2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31.8</v>
      </c>
      <c r="BN30" s="64">
        <f>IFERROR(Y30*I30/H30,"0")</f>
        <v>31.8</v>
      </c>
      <c r="BO30" s="64">
        <f>IFERROR(1/J30*(X30/H30),"0")</f>
        <v>5.4945054945054951E-2</v>
      </c>
      <c r="BP30" s="64">
        <f>IFERROR(1/J30*(Y30/H30),"0")</f>
        <v>5.4945054945054951E-2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47" t="s">
        <v>72</v>
      </c>
      <c r="Q32" s="648"/>
      <c r="R32" s="648"/>
      <c r="S32" s="648"/>
      <c r="T32" s="648"/>
      <c r="U32" s="648"/>
      <c r="V32" s="649"/>
      <c r="W32" s="37" t="s">
        <v>73</v>
      </c>
      <c r="X32" s="645">
        <f>IFERROR(X27/H27,"0")+IFERROR(X28/H28,"0")+IFERROR(X29/H29,"0")+IFERROR(X30/H30,"0")+IFERROR(X31/H31,"0")</f>
        <v>13.888888888888889</v>
      </c>
      <c r="Y32" s="645">
        <f>IFERROR(Y27/H27,"0")+IFERROR(Y28/H28,"0")+IFERROR(Y29/H29,"0")+IFERROR(Y30/H30,"0")+IFERROR(Y31/H31,"0")</f>
        <v>14</v>
      </c>
      <c r="Z32" s="645">
        <f>IFERROR(IF(Z27="",0,Z27),"0")+IFERROR(IF(Z28="",0,Z28),"0")+IFERROR(IF(Z29="",0,Z29),"0")+IFERROR(IF(Z30="",0,Z30),"0")+IFERROR(IF(Z31="",0,Z31),"0")</f>
        <v>9.1139999999999999E-2</v>
      </c>
      <c r="AA32" s="646"/>
      <c r="AB32" s="646"/>
      <c r="AC32" s="646"/>
    </row>
    <row r="33" spans="1:68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47" t="s">
        <v>72</v>
      </c>
      <c r="Q33" s="648"/>
      <c r="R33" s="648"/>
      <c r="S33" s="648"/>
      <c r="T33" s="648"/>
      <c r="U33" s="648"/>
      <c r="V33" s="649"/>
      <c r="W33" s="37" t="s">
        <v>67</v>
      </c>
      <c r="X33" s="645">
        <f>IFERROR(SUM(X27:X31),"0")</f>
        <v>25</v>
      </c>
      <c r="Y33" s="645">
        <f>IFERROR(SUM(Y27:Y31),"0")</f>
        <v>25.2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66" t="s">
        <v>93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8"/>
      <c r="AB35" s="638"/>
      <c r="AC35" s="638"/>
    </row>
    <row r="36" spans="1:68" ht="14.25" hidden="1" customHeight="1" x14ac:dyDescent="0.25">
      <c r="A36" s="663" t="s">
        <v>74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8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47" t="s">
        <v>72</v>
      </c>
      <c r="Q42" s="648"/>
      <c r="R42" s="648"/>
      <c r="S42" s="648"/>
      <c r="T42" s="648"/>
      <c r="U42" s="648"/>
      <c r="V42" s="649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47" t="s">
        <v>72</v>
      </c>
      <c r="Q43" s="648"/>
      <c r="R43" s="648"/>
      <c r="S43" s="648"/>
      <c r="T43" s="648"/>
      <c r="U43" s="648"/>
      <c r="V43" s="649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66" t="s">
        <v>110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8"/>
      <c r="AB45" s="638"/>
      <c r="AC45" s="638"/>
    </row>
    <row r="46" spans="1:68" ht="14.25" hidden="1" customHeight="1" x14ac:dyDescent="0.25">
      <c r="A46" s="663" t="s">
        <v>111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43">
        <v>352</v>
      </c>
      <c r="Y47" s="644">
        <f>IFERROR(IF(X47="",0,CEILING((X47/$H47),1)*$H47),"")</f>
        <v>356.40000000000003</v>
      </c>
      <c r="Z47" s="36">
        <f>IFERROR(IF(Y47=0,"",ROUNDUP(Y47/H47,0)*0.01898),"")</f>
        <v>0.62634000000000001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365.36296296296297</v>
      </c>
      <c r="BN47" s="64">
        <f>IFERROR(Y47*I47/H47,"0")</f>
        <v>369.93</v>
      </c>
      <c r="BO47" s="64">
        <f>IFERROR(1/J47*(X47/H47),"0")</f>
        <v>0.50925925925925919</v>
      </c>
      <c r="BP47" s="64">
        <f>IFERROR(1/J47*(Y47/H47),"0")</f>
        <v>0.515625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43">
        <v>5</v>
      </c>
      <c r="Y49" s="644">
        <f>IFERROR(IF(X49="",0,CEILING((X49/$H49),1)*$H49),"")</f>
        <v>8</v>
      </c>
      <c r="Z49" s="36">
        <f>IFERROR(IF(Y49=0,"",ROUNDUP(Y49/H49,0)*0.00902),"")</f>
        <v>1.804E-2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5.2375000000000007</v>
      </c>
      <c r="BN49" s="64">
        <f>IFERROR(Y49*I49/H49,"0")</f>
        <v>8.3800000000000008</v>
      </c>
      <c r="BO49" s="64">
        <f>IFERROR(1/J49*(X49/H49),"0")</f>
        <v>9.46969696969697E-3</v>
      </c>
      <c r="BP49" s="64">
        <f>IFERROR(1/J49*(Y49/H49),"0")</f>
        <v>1.5151515151515152E-2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43">
        <v>52</v>
      </c>
      <c r="Y50" s="644">
        <f>IFERROR(IF(X50="",0,CEILING((X50/$H50),1)*$H50),"")</f>
        <v>55.5</v>
      </c>
      <c r="Z50" s="36">
        <f>IFERROR(IF(Y50=0,"",ROUNDUP(Y50/H50,0)*0.00902),"")</f>
        <v>0.1353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54.670270270270265</v>
      </c>
      <c r="BN50" s="64">
        <f>IFERROR(Y50*I50/H50,"0")</f>
        <v>58.35</v>
      </c>
      <c r="BO50" s="64">
        <f>IFERROR(1/J50*(X50/H50),"0")</f>
        <v>0.10647010647010646</v>
      </c>
      <c r="BP50" s="64">
        <f>IFERROR(1/J50*(Y50/H50),"0")</f>
        <v>0.11363636363636365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47" t="s">
        <v>72</v>
      </c>
      <c r="Q51" s="648"/>
      <c r="R51" s="648"/>
      <c r="S51" s="648"/>
      <c r="T51" s="648"/>
      <c r="U51" s="648"/>
      <c r="V51" s="649"/>
      <c r="W51" s="37" t="s">
        <v>73</v>
      </c>
      <c r="X51" s="645">
        <f>IFERROR(X47/H47,"0")+IFERROR(X48/H48,"0")+IFERROR(X49/H49,"0")+IFERROR(X50/H50,"0")</f>
        <v>47.896646646646644</v>
      </c>
      <c r="Y51" s="645">
        <f>IFERROR(Y47/H47,"0")+IFERROR(Y48/H48,"0")+IFERROR(Y49/H49,"0")+IFERROR(Y50/H50,"0")</f>
        <v>50</v>
      </c>
      <c r="Z51" s="645">
        <f>IFERROR(IF(Z47="",0,Z47),"0")+IFERROR(IF(Z48="",0,Z48),"0")+IFERROR(IF(Z49="",0,Z49),"0")+IFERROR(IF(Z50="",0,Z50),"0")</f>
        <v>0.77967999999999993</v>
      </c>
      <c r="AA51" s="646"/>
      <c r="AB51" s="646"/>
      <c r="AC51" s="646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47" t="s">
        <v>72</v>
      </c>
      <c r="Q52" s="648"/>
      <c r="R52" s="648"/>
      <c r="S52" s="648"/>
      <c r="T52" s="648"/>
      <c r="U52" s="648"/>
      <c r="V52" s="649"/>
      <c r="W52" s="37" t="s">
        <v>67</v>
      </c>
      <c r="X52" s="645">
        <f>IFERROR(SUM(X47:X50),"0")</f>
        <v>409</v>
      </c>
      <c r="Y52" s="645">
        <f>IFERROR(SUM(Y47:Y50),"0")</f>
        <v>419.90000000000003</v>
      </c>
      <c r="Z52" s="37"/>
      <c r="AA52" s="646"/>
      <c r="AB52" s="646"/>
      <c r="AC52" s="646"/>
    </row>
    <row r="53" spans="1:68" ht="16.5" hidden="1" customHeight="1" x14ac:dyDescent="0.25">
      <c r="A53" s="666" t="s">
        <v>126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8"/>
      <c r="AB53" s="638"/>
      <c r="AC53" s="638"/>
    </row>
    <row r="54" spans="1:68" ht="14.25" hidden="1" customHeight="1" x14ac:dyDescent="0.25">
      <c r="A54" s="663" t="s">
        <v>111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43">
        <v>40</v>
      </c>
      <c r="Y55" s="644">
        <f t="shared" ref="Y55:Y63" si="0">IFERROR(IF(X55="",0,CEILING((X55/$H55),1)*$H55),"")</f>
        <v>44.8</v>
      </c>
      <c r="Z55" s="36">
        <f>IFERROR(IF(Y55=0,"",ROUNDUP(Y55/H55,0)*0.01898),"")</f>
        <v>7.5920000000000001E-2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41.464285714285715</v>
      </c>
      <c r="BN55" s="64">
        <f t="shared" ref="BN55:BN63" si="2">IFERROR(Y55*I55/H55,"0")</f>
        <v>46.44</v>
      </c>
      <c r="BO55" s="64">
        <f t="shared" ref="BO55:BO63" si="3">IFERROR(1/J55*(X55/H55),"0")</f>
        <v>5.5803571428571432E-2</v>
      </c>
      <c r="BP55" s="64">
        <f t="shared" ref="BP55:BP63" si="4">IFERROR(1/J55*(Y55/H55),"0")</f>
        <v>6.25E-2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43">
        <v>932</v>
      </c>
      <c r="Y56" s="644">
        <f t="shared" si="0"/>
        <v>939.6</v>
      </c>
      <c r="Z56" s="36">
        <f>IFERROR(IF(Y56=0,"",ROUNDUP(Y56/H56,0)*0.01898),"")</f>
        <v>1.65126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967.3814814814815</v>
      </c>
      <c r="BN56" s="64">
        <f t="shared" si="2"/>
        <v>975.27</v>
      </c>
      <c r="BO56" s="64">
        <f t="shared" si="3"/>
        <v>1.3483796296296295</v>
      </c>
      <c r="BP56" s="64">
        <f t="shared" si="4"/>
        <v>1.359375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50">
        <v>4680115881426</v>
      </c>
      <c r="E57" s="651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50">
        <v>4680115880283</v>
      </c>
      <c r="E58" s="651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6"/>
      <c r="R58" s="656"/>
      <c r="S58" s="656"/>
      <c r="T58" s="657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50">
        <v>4680115881525</v>
      </c>
      <c r="E59" s="651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6"/>
      <c r="R59" s="656"/>
      <c r="S59" s="656"/>
      <c r="T59" s="657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50">
        <v>4680115881525</v>
      </c>
      <c r="E60" s="651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50">
        <v>4680115885899</v>
      </c>
      <c r="E61" s="651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6"/>
      <c r="R61" s="656"/>
      <c r="S61" s="656"/>
      <c r="T61" s="657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50">
        <v>4680115881419</v>
      </c>
      <c r="E62" s="651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6"/>
      <c r="R62" s="656"/>
      <c r="S62" s="656"/>
      <c r="T62" s="657"/>
      <c r="U62" s="34"/>
      <c r="V62" s="34"/>
      <c r="W62" s="35" t="s">
        <v>67</v>
      </c>
      <c r="X62" s="643">
        <v>116</v>
      </c>
      <c r="Y62" s="644">
        <f t="shared" si="0"/>
        <v>117</v>
      </c>
      <c r="Z62" s="36">
        <f>IFERROR(IF(Y62=0,"",ROUNDUP(Y62/H62,0)*0.00902),"")</f>
        <v>0.23452000000000001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120.89777777777779</v>
      </c>
      <c r="BN62" s="64">
        <f t="shared" si="2"/>
        <v>121.94</v>
      </c>
      <c r="BO62" s="64">
        <f t="shared" si="3"/>
        <v>0.19528619528619529</v>
      </c>
      <c r="BP62" s="64">
        <f t="shared" si="4"/>
        <v>0.19696969696969696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50">
        <v>4680115881419</v>
      </c>
      <c r="E63" s="651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6"/>
      <c r="R63" s="656"/>
      <c r="S63" s="656"/>
      <c r="T63" s="657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2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47" t="s">
        <v>72</v>
      </c>
      <c r="Q64" s="648"/>
      <c r="R64" s="648"/>
      <c r="S64" s="648"/>
      <c r="T64" s="648"/>
      <c r="U64" s="648"/>
      <c r="V64" s="649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115.64550264550263</v>
      </c>
      <c r="Y64" s="645">
        <f>IFERROR(Y55/H55,"0")+IFERROR(Y56/H56,"0")+IFERROR(Y57/H57,"0")+IFERROR(Y58/H58,"0")+IFERROR(Y59/H59,"0")+IFERROR(Y60/H60,"0")+IFERROR(Y61/H61,"0")+IFERROR(Y62/H62,"0")+IFERROR(Y63/H63,"0")</f>
        <v>117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1.9617</v>
      </c>
      <c r="AA64" s="646"/>
      <c r="AB64" s="646"/>
      <c r="AC64" s="646"/>
    </row>
    <row r="65" spans="1:68" x14ac:dyDescent="0.2">
      <c r="A65" s="653"/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4"/>
      <c r="P65" s="647" t="s">
        <v>72</v>
      </c>
      <c r="Q65" s="648"/>
      <c r="R65" s="648"/>
      <c r="S65" s="648"/>
      <c r="T65" s="648"/>
      <c r="U65" s="648"/>
      <c r="V65" s="649"/>
      <c r="W65" s="37" t="s">
        <v>67</v>
      </c>
      <c r="X65" s="645">
        <f>IFERROR(SUM(X55:X63),"0")</f>
        <v>1088</v>
      </c>
      <c r="Y65" s="645">
        <f>IFERROR(SUM(Y55:Y63),"0")</f>
        <v>1101.4000000000001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3"/>
      <c r="C66" s="653"/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3"/>
      <c r="O66" s="653"/>
      <c r="P66" s="653"/>
      <c r="Q66" s="653"/>
      <c r="R66" s="653"/>
      <c r="S66" s="653"/>
      <c r="T66" s="653"/>
      <c r="U66" s="653"/>
      <c r="V66" s="653"/>
      <c r="W66" s="653"/>
      <c r="X66" s="653"/>
      <c r="Y66" s="653"/>
      <c r="Z66" s="653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50">
        <v>4680115881440</v>
      </c>
      <c r="E67" s="651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50">
        <v>4680115881440</v>
      </c>
      <c r="E68" s="651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6"/>
      <c r="R68" s="656"/>
      <c r="S68" s="656"/>
      <c r="T68" s="657"/>
      <c r="U68" s="34"/>
      <c r="V68" s="34"/>
      <c r="W68" s="35" t="s">
        <v>67</v>
      </c>
      <c r="X68" s="643">
        <v>0</v>
      </c>
      <c r="Y68" s="644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50">
        <v>4680115885950</v>
      </c>
      <c r="E69" s="651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6"/>
      <c r="R69" s="656"/>
      <c r="S69" s="656"/>
      <c r="T69" s="657"/>
      <c r="U69" s="34"/>
      <c r="V69" s="34"/>
      <c r="W69" s="35" t="s">
        <v>67</v>
      </c>
      <c r="X69" s="643">
        <v>0</v>
      </c>
      <c r="Y69" s="64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50">
        <v>4680115887688</v>
      </c>
      <c r="E70" s="651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6"/>
      <c r="R70" s="656"/>
      <c r="S70" s="656"/>
      <c r="T70" s="657"/>
      <c r="U70" s="34"/>
      <c r="V70" s="34"/>
      <c r="W70" s="35" t="s">
        <v>67</v>
      </c>
      <c r="X70" s="643">
        <v>0</v>
      </c>
      <c r="Y70" s="644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4301020389</v>
      </c>
      <c r="D71" s="650">
        <v>4680115881433</v>
      </c>
      <c r="E71" s="651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52"/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4"/>
      <c r="P72" s="647" t="s">
        <v>72</v>
      </c>
      <c r="Q72" s="648"/>
      <c r="R72" s="648"/>
      <c r="S72" s="648"/>
      <c r="T72" s="648"/>
      <c r="U72" s="648"/>
      <c r="V72" s="649"/>
      <c r="W72" s="37" t="s">
        <v>73</v>
      </c>
      <c r="X72" s="645">
        <f>IFERROR(X67/H67,"0")+IFERROR(X68/H68,"0")+IFERROR(X69/H69,"0")+IFERROR(X70/H70,"0")+IFERROR(X71/H71,"0")</f>
        <v>0</v>
      </c>
      <c r="Y72" s="645">
        <f>IFERROR(Y67/H67,"0")+IFERROR(Y68/H68,"0")+IFERROR(Y69/H69,"0")+IFERROR(Y70/H70,"0")+IFERROR(Y71/H71,"0")</f>
        <v>0</v>
      </c>
      <c r="Z72" s="645">
        <f>IFERROR(IF(Z67="",0,Z67),"0")+IFERROR(IF(Z68="",0,Z68),"0")+IFERROR(IF(Z69="",0,Z69),"0")+IFERROR(IF(Z70="",0,Z70),"0")+IFERROR(IF(Z71="",0,Z71),"0")</f>
        <v>0</v>
      </c>
      <c r="AA72" s="646"/>
      <c r="AB72" s="646"/>
      <c r="AC72" s="646"/>
    </row>
    <row r="73" spans="1:68" hidden="1" x14ac:dyDescent="0.2">
      <c r="A73" s="653"/>
      <c r="B73" s="653"/>
      <c r="C73" s="653"/>
      <c r="D73" s="653"/>
      <c r="E73" s="653"/>
      <c r="F73" s="653"/>
      <c r="G73" s="653"/>
      <c r="H73" s="653"/>
      <c r="I73" s="653"/>
      <c r="J73" s="653"/>
      <c r="K73" s="653"/>
      <c r="L73" s="653"/>
      <c r="M73" s="653"/>
      <c r="N73" s="653"/>
      <c r="O73" s="654"/>
      <c r="P73" s="647" t="s">
        <v>72</v>
      </c>
      <c r="Q73" s="648"/>
      <c r="R73" s="648"/>
      <c r="S73" s="648"/>
      <c r="T73" s="648"/>
      <c r="U73" s="648"/>
      <c r="V73" s="649"/>
      <c r="W73" s="37" t="s">
        <v>67</v>
      </c>
      <c r="X73" s="645">
        <f>IFERROR(SUM(X67:X71),"0")</f>
        <v>0</v>
      </c>
      <c r="Y73" s="645">
        <f>IFERROR(SUM(Y67:Y71),"0")</f>
        <v>0</v>
      </c>
      <c r="Z73" s="37"/>
      <c r="AA73" s="646"/>
      <c r="AB73" s="646"/>
      <c r="AC73" s="646"/>
    </row>
    <row r="74" spans="1:68" ht="14.25" hidden="1" customHeight="1" x14ac:dyDescent="0.25">
      <c r="A74" s="663" t="s">
        <v>74</v>
      </c>
      <c r="B74" s="653"/>
      <c r="C74" s="653"/>
      <c r="D74" s="653"/>
      <c r="E74" s="653"/>
      <c r="F74" s="653"/>
      <c r="G74" s="653"/>
      <c r="H74" s="653"/>
      <c r="I74" s="653"/>
      <c r="J74" s="653"/>
      <c r="K74" s="653"/>
      <c r="L74" s="653"/>
      <c r="M74" s="653"/>
      <c r="N74" s="653"/>
      <c r="O74" s="653"/>
      <c r="P74" s="653"/>
      <c r="Q74" s="653"/>
      <c r="R74" s="653"/>
      <c r="S74" s="653"/>
      <c r="T74" s="653"/>
      <c r="U74" s="653"/>
      <c r="V74" s="653"/>
      <c r="W74" s="653"/>
      <c r="X74" s="653"/>
      <c r="Y74" s="653"/>
      <c r="Z74" s="653"/>
      <c r="AA74" s="639"/>
      <c r="AB74" s="639"/>
      <c r="AC74" s="639"/>
    </row>
    <row r="75" spans="1:68" ht="16.5" hidden="1" customHeight="1" x14ac:dyDescent="0.25">
      <c r="A75" s="54" t="s">
        <v>161</v>
      </c>
      <c r="B75" s="54" t="s">
        <v>162</v>
      </c>
      <c r="C75" s="31">
        <v>4301051837</v>
      </c>
      <c r="D75" s="650">
        <v>4680115884311</v>
      </c>
      <c r="E75" s="651"/>
      <c r="F75" s="642">
        <v>0.3</v>
      </c>
      <c r="G75" s="32">
        <v>6</v>
      </c>
      <c r="H75" s="642">
        <v>1.8</v>
      </c>
      <c r="I75" s="642">
        <v>2.0459999999999998</v>
      </c>
      <c r="J75" s="32">
        <v>182</v>
      </c>
      <c r="K75" s="32" t="s">
        <v>77</v>
      </c>
      <c r="L75" s="32"/>
      <c r="M75" s="33" t="s">
        <v>78</v>
      </c>
      <c r="N75" s="33"/>
      <c r="O75" s="32">
        <v>40</v>
      </c>
      <c r="P75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6"/>
      <c r="R75" s="656"/>
      <c r="S75" s="656"/>
      <c r="T75" s="657"/>
      <c r="U75" s="34"/>
      <c r="V75" s="34"/>
      <c r="W75" s="35" t="s">
        <v>67</v>
      </c>
      <c r="X75" s="643">
        <v>0</v>
      </c>
      <c r="Y75" s="6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4301052083</v>
      </c>
      <c r="D76" s="650">
        <v>4680115884403</v>
      </c>
      <c r="E76" s="651"/>
      <c r="F76" s="642">
        <v>0.3</v>
      </c>
      <c r="G76" s="32">
        <v>6</v>
      </c>
      <c r="H76" s="642">
        <v>1.8</v>
      </c>
      <c r="I76" s="642">
        <v>1.98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6"/>
      <c r="R76" s="656"/>
      <c r="S76" s="656"/>
      <c r="T76" s="657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52"/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4"/>
      <c r="P77" s="647" t="s">
        <v>72</v>
      </c>
      <c r="Q77" s="648"/>
      <c r="R77" s="648"/>
      <c r="S77" s="648"/>
      <c r="T77" s="648"/>
      <c r="U77" s="648"/>
      <c r="V77" s="649"/>
      <c r="W77" s="37" t="s">
        <v>73</v>
      </c>
      <c r="X77" s="645">
        <f>IFERROR(X75/H75,"0")+IFERROR(X76/H76,"0")</f>
        <v>0</v>
      </c>
      <c r="Y77" s="645">
        <f>IFERROR(Y75/H75,"0")+IFERROR(Y76/H76,"0")</f>
        <v>0</v>
      </c>
      <c r="Z77" s="645">
        <f>IFERROR(IF(Z75="",0,Z75),"0")+IFERROR(IF(Z76="",0,Z76),"0")</f>
        <v>0</v>
      </c>
      <c r="AA77" s="646"/>
      <c r="AB77" s="646"/>
      <c r="AC77" s="646"/>
    </row>
    <row r="78" spans="1:68" hidden="1" x14ac:dyDescent="0.2">
      <c r="A78" s="653"/>
      <c r="B78" s="653"/>
      <c r="C78" s="653"/>
      <c r="D78" s="653"/>
      <c r="E78" s="653"/>
      <c r="F78" s="653"/>
      <c r="G78" s="653"/>
      <c r="H78" s="653"/>
      <c r="I78" s="653"/>
      <c r="J78" s="653"/>
      <c r="K78" s="653"/>
      <c r="L78" s="653"/>
      <c r="M78" s="653"/>
      <c r="N78" s="653"/>
      <c r="O78" s="654"/>
      <c r="P78" s="647" t="s">
        <v>72</v>
      </c>
      <c r="Q78" s="648"/>
      <c r="R78" s="648"/>
      <c r="S78" s="648"/>
      <c r="T78" s="648"/>
      <c r="U78" s="648"/>
      <c r="V78" s="649"/>
      <c r="W78" s="37" t="s">
        <v>67</v>
      </c>
      <c r="X78" s="645">
        <f>IFERROR(SUM(X75:X76),"0")</f>
        <v>0</v>
      </c>
      <c r="Y78" s="645">
        <f>IFERROR(SUM(Y75:Y76),"0")</f>
        <v>0</v>
      </c>
      <c r="Z78" s="37"/>
      <c r="AA78" s="646"/>
      <c r="AB78" s="646"/>
      <c r="AC78" s="646"/>
    </row>
    <row r="79" spans="1:68" ht="14.25" hidden="1" customHeight="1" x14ac:dyDescent="0.25">
      <c r="A79" s="663" t="s">
        <v>167</v>
      </c>
      <c r="B79" s="653"/>
      <c r="C79" s="653"/>
      <c r="D79" s="653"/>
      <c r="E79" s="653"/>
      <c r="F79" s="653"/>
      <c r="G79" s="653"/>
      <c r="H79" s="653"/>
      <c r="I79" s="653"/>
      <c r="J79" s="653"/>
      <c r="K79" s="653"/>
      <c r="L79" s="653"/>
      <c r="M79" s="653"/>
      <c r="N79" s="653"/>
      <c r="O79" s="653"/>
      <c r="P79" s="653"/>
      <c r="Q79" s="653"/>
      <c r="R79" s="653"/>
      <c r="S79" s="653"/>
      <c r="T79" s="653"/>
      <c r="U79" s="653"/>
      <c r="V79" s="653"/>
      <c r="W79" s="653"/>
      <c r="X79" s="653"/>
      <c r="Y79" s="653"/>
      <c r="Z79" s="653"/>
      <c r="AA79" s="639"/>
      <c r="AB79" s="639"/>
      <c r="AC79" s="639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650">
        <v>4680115881532</v>
      </c>
      <c r="E80" s="651"/>
      <c r="F80" s="642">
        <v>1.3</v>
      </c>
      <c r="G80" s="32">
        <v>6</v>
      </c>
      <c r="H80" s="642">
        <v>7.8</v>
      </c>
      <c r="I80" s="642">
        <v>8.2100000000000009</v>
      </c>
      <c r="J80" s="32">
        <v>64</v>
      </c>
      <c r="K80" s="32" t="s">
        <v>114</v>
      </c>
      <c r="L80" s="32"/>
      <c r="M80" s="33" t="s">
        <v>84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170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168</v>
      </c>
      <c r="B81" s="54" t="s">
        <v>171</v>
      </c>
      <c r="C81" s="31">
        <v>4301060526</v>
      </c>
      <c r="D81" s="650">
        <v>4680115881532</v>
      </c>
      <c r="E81" s="651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6"/>
      <c r="R81" s="656"/>
      <c r="S81" s="656"/>
      <c r="T81" s="657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172</v>
      </c>
      <c r="B82" s="54" t="s">
        <v>173</v>
      </c>
      <c r="C82" s="31">
        <v>4301060527</v>
      </c>
      <c r="D82" s="650">
        <v>4680115881464</v>
      </c>
      <c r="E82" s="651"/>
      <c r="F82" s="642">
        <v>0.4</v>
      </c>
      <c r="G82" s="32">
        <v>6</v>
      </c>
      <c r="H82" s="642">
        <v>2.4</v>
      </c>
      <c r="I82" s="642">
        <v>2.59</v>
      </c>
      <c r="J82" s="32">
        <v>132</v>
      </c>
      <c r="K82" s="32" t="s">
        <v>123</v>
      </c>
      <c r="L82" s="32"/>
      <c r="M82" s="33" t="s">
        <v>78</v>
      </c>
      <c r="N82" s="33"/>
      <c r="O82" s="32">
        <v>30</v>
      </c>
      <c r="P82" s="9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6"/>
      <c r="R82" s="656"/>
      <c r="S82" s="656"/>
      <c r="T82" s="657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174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52"/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4"/>
      <c r="P83" s="647" t="s">
        <v>72</v>
      </c>
      <c r="Q83" s="648"/>
      <c r="R83" s="648"/>
      <c r="S83" s="648"/>
      <c r="T83" s="648"/>
      <c r="U83" s="648"/>
      <c r="V83" s="649"/>
      <c r="W83" s="37" t="s">
        <v>73</v>
      </c>
      <c r="X83" s="645">
        <f>IFERROR(X80/H80,"0")+IFERROR(X81/H81,"0")+IFERROR(X82/H82,"0")</f>
        <v>0</v>
      </c>
      <c r="Y83" s="645">
        <f>IFERROR(Y80/H80,"0")+IFERROR(Y81/H81,"0")+IFERROR(Y82/H82,"0")</f>
        <v>0</v>
      </c>
      <c r="Z83" s="645">
        <f>IFERROR(IF(Z80="",0,Z80),"0")+IFERROR(IF(Z81="",0,Z81),"0")+IFERROR(IF(Z82="",0,Z82),"0")</f>
        <v>0</v>
      </c>
      <c r="AA83" s="646"/>
      <c r="AB83" s="646"/>
      <c r="AC83" s="646"/>
    </row>
    <row r="84" spans="1:68" hidden="1" x14ac:dyDescent="0.2">
      <c r="A84" s="653"/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4"/>
      <c r="P84" s="647" t="s">
        <v>72</v>
      </c>
      <c r="Q84" s="648"/>
      <c r="R84" s="648"/>
      <c r="S84" s="648"/>
      <c r="T84" s="648"/>
      <c r="U84" s="648"/>
      <c r="V84" s="649"/>
      <c r="W84" s="37" t="s">
        <v>67</v>
      </c>
      <c r="X84" s="645">
        <f>IFERROR(SUM(X80:X82),"0")</f>
        <v>0</v>
      </c>
      <c r="Y84" s="645">
        <f>IFERROR(SUM(Y80:Y82),"0")</f>
        <v>0</v>
      </c>
      <c r="Z84" s="37"/>
      <c r="AA84" s="646"/>
      <c r="AB84" s="646"/>
      <c r="AC84" s="646"/>
    </row>
    <row r="85" spans="1:68" ht="16.5" hidden="1" customHeight="1" x14ac:dyDescent="0.25">
      <c r="A85" s="666" t="s">
        <v>175</v>
      </c>
      <c r="B85" s="653"/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653"/>
      <c r="Q85" s="653"/>
      <c r="R85" s="653"/>
      <c r="S85" s="653"/>
      <c r="T85" s="653"/>
      <c r="U85" s="653"/>
      <c r="V85" s="653"/>
      <c r="W85" s="653"/>
      <c r="X85" s="653"/>
      <c r="Y85" s="653"/>
      <c r="Z85" s="653"/>
      <c r="AA85" s="638"/>
      <c r="AB85" s="638"/>
      <c r="AC85" s="638"/>
    </row>
    <row r="86" spans="1:68" ht="14.25" hidden="1" customHeight="1" x14ac:dyDescent="0.25">
      <c r="A86" s="663" t="s">
        <v>111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39"/>
      <c r="AB86" s="639"/>
      <c r="AC86" s="639"/>
    </row>
    <row r="87" spans="1:68" ht="27" customHeight="1" x14ac:dyDescent="0.25">
      <c r="A87" s="54" t="s">
        <v>176</v>
      </c>
      <c r="B87" s="54" t="s">
        <v>177</v>
      </c>
      <c r="C87" s="31">
        <v>4301011468</v>
      </c>
      <c r="D87" s="650">
        <v>4680115881327</v>
      </c>
      <c r="E87" s="651"/>
      <c r="F87" s="642">
        <v>1.35</v>
      </c>
      <c r="G87" s="32">
        <v>8</v>
      </c>
      <c r="H87" s="642">
        <v>10.8</v>
      </c>
      <c r="I87" s="642">
        <v>11.21</v>
      </c>
      <c r="J87" s="32">
        <v>64</v>
      </c>
      <c r="K87" s="32" t="s">
        <v>114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6"/>
      <c r="R87" s="656"/>
      <c r="S87" s="656"/>
      <c r="T87" s="657"/>
      <c r="U87" s="34"/>
      <c r="V87" s="34"/>
      <c r="W87" s="35" t="s">
        <v>67</v>
      </c>
      <c r="X87" s="643">
        <v>1568</v>
      </c>
      <c r="Y87" s="644">
        <f>IFERROR(IF(X87="",0,CEILING((X87/$H87),1)*$H87),"")</f>
        <v>1576.8000000000002</v>
      </c>
      <c r="Z87" s="36">
        <f>IFERROR(IF(Y87=0,"",ROUNDUP(Y87/H87,0)*0.01898),"")</f>
        <v>2.77108</v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1627.525925925926</v>
      </c>
      <c r="BN87" s="64">
        <f>IFERROR(Y87*I87/H87,"0")</f>
        <v>1636.6600000000003</v>
      </c>
      <c r="BO87" s="64">
        <f>IFERROR(1/J87*(X87/H87),"0")</f>
        <v>2.2685185185185182</v>
      </c>
      <c r="BP87" s="64">
        <f>IFERROR(1/J87*(Y87/H87),"0")</f>
        <v>2.28125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4301012392</v>
      </c>
      <c r="D88" s="650">
        <v>4680115887732</v>
      </c>
      <c r="E88" s="651"/>
      <c r="F88" s="642">
        <v>0.17</v>
      </c>
      <c r="G88" s="32">
        <v>8</v>
      </c>
      <c r="H88" s="642">
        <v>1.36</v>
      </c>
      <c r="I88" s="642">
        <v>1.54</v>
      </c>
      <c r="J88" s="32">
        <v>192</v>
      </c>
      <c r="K88" s="32" t="s">
        <v>119</v>
      </c>
      <c r="L88" s="32"/>
      <c r="M88" s="33" t="s">
        <v>66</v>
      </c>
      <c r="N88" s="33"/>
      <c r="O88" s="32">
        <v>30</v>
      </c>
      <c r="P88" s="84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6"/>
      <c r="R88" s="656"/>
      <c r="S88" s="656"/>
      <c r="T88" s="657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4301011476</v>
      </c>
      <c r="D89" s="650">
        <v>4680115881518</v>
      </c>
      <c r="E89" s="651"/>
      <c r="F89" s="642">
        <v>0.4</v>
      </c>
      <c r="G89" s="32">
        <v>10</v>
      </c>
      <c r="H89" s="642">
        <v>4</v>
      </c>
      <c r="I89" s="642">
        <v>4.1900000000000004</v>
      </c>
      <c r="J89" s="32">
        <v>132</v>
      </c>
      <c r="K89" s="32" t="s">
        <v>123</v>
      </c>
      <c r="L89" s="32"/>
      <c r="M89" s="33" t="s">
        <v>78</v>
      </c>
      <c r="N89" s="33"/>
      <c r="O89" s="32">
        <v>50</v>
      </c>
      <c r="P89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6"/>
      <c r="R89" s="656"/>
      <c r="S89" s="656"/>
      <c r="T89" s="657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178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4301012252</v>
      </c>
      <c r="D90" s="650">
        <v>4680115881518</v>
      </c>
      <c r="E90" s="651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6"/>
      <c r="R90" s="656"/>
      <c r="S90" s="656"/>
      <c r="T90" s="657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178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4301012250</v>
      </c>
      <c r="D91" s="650">
        <v>4680115881303</v>
      </c>
      <c r="E91" s="651"/>
      <c r="F91" s="642">
        <v>0.45</v>
      </c>
      <c r="G91" s="32">
        <v>10</v>
      </c>
      <c r="H91" s="642">
        <v>4.5</v>
      </c>
      <c r="I91" s="642">
        <v>4.6900000000000004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6"/>
      <c r="R91" s="656"/>
      <c r="S91" s="656"/>
      <c r="T91" s="657"/>
      <c r="U91" s="34"/>
      <c r="V91" s="34"/>
      <c r="W91" s="35" t="s">
        <v>67</v>
      </c>
      <c r="X91" s="643">
        <v>139</v>
      </c>
      <c r="Y91" s="644">
        <f>IFERROR(IF(X91="",0,CEILING((X91/$H91),1)*$H91),"")</f>
        <v>139.5</v>
      </c>
      <c r="Z91" s="36">
        <f>IFERROR(IF(Y91=0,"",ROUNDUP(Y91/H91,0)*0.00902),"")</f>
        <v>0.27961999999999998</v>
      </c>
      <c r="AA91" s="56"/>
      <c r="AB91" s="57"/>
      <c r="AC91" s="147" t="s">
        <v>178</v>
      </c>
      <c r="AG91" s="64"/>
      <c r="AJ91" s="68"/>
      <c r="AK91" s="68">
        <v>0</v>
      </c>
      <c r="BB91" s="148" t="s">
        <v>1</v>
      </c>
      <c r="BM91" s="64">
        <f>IFERROR(X91*I91/H91,"0")</f>
        <v>144.8688888888889</v>
      </c>
      <c r="BN91" s="64">
        <f>IFERROR(Y91*I91/H91,"0")</f>
        <v>145.39000000000001</v>
      </c>
      <c r="BO91" s="64">
        <f>IFERROR(1/J91*(X91/H91),"0")</f>
        <v>0.23400673400673402</v>
      </c>
      <c r="BP91" s="64">
        <f>IFERROR(1/J91*(Y91/H91),"0")</f>
        <v>0.23484848484848486</v>
      </c>
    </row>
    <row r="92" spans="1:68" x14ac:dyDescent="0.2">
      <c r="A92" s="652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47" t="s">
        <v>72</v>
      </c>
      <c r="Q92" s="648"/>
      <c r="R92" s="648"/>
      <c r="S92" s="648"/>
      <c r="T92" s="648"/>
      <c r="U92" s="648"/>
      <c r="V92" s="649"/>
      <c r="W92" s="37" t="s">
        <v>73</v>
      </c>
      <c r="X92" s="645">
        <f>IFERROR(X87/H87,"0")+IFERROR(X88/H88,"0")+IFERROR(X89/H89,"0")+IFERROR(X90/H90,"0")+IFERROR(X91/H91,"0")</f>
        <v>176.07407407407405</v>
      </c>
      <c r="Y92" s="645">
        <f>IFERROR(Y87/H87,"0")+IFERROR(Y88/H88,"0")+IFERROR(Y89/H89,"0")+IFERROR(Y90/H90,"0")+IFERROR(Y91/H91,"0")</f>
        <v>177</v>
      </c>
      <c r="Z92" s="645">
        <f>IFERROR(IF(Z87="",0,Z87),"0")+IFERROR(IF(Z88="",0,Z88),"0")+IFERROR(IF(Z89="",0,Z89),"0")+IFERROR(IF(Z90="",0,Z90),"0")+IFERROR(IF(Z91="",0,Z91),"0")</f>
        <v>3.0507</v>
      </c>
      <c r="AA92" s="646"/>
      <c r="AB92" s="646"/>
      <c r="AC92" s="646"/>
    </row>
    <row r="93" spans="1:68" x14ac:dyDescent="0.2">
      <c r="A93" s="653"/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4"/>
      <c r="P93" s="647" t="s">
        <v>72</v>
      </c>
      <c r="Q93" s="648"/>
      <c r="R93" s="648"/>
      <c r="S93" s="648"/>
      <c r="T93" s="648"/>
      <c r="U93" s="648"/>
      <c r="V93" s="649"/>
      <c r="W93" s="37" t="s">
        <v>67</v>
      </c>
      <c r="X93" s="645">
        <f>IFERROR(SUM(X87:X91),"0")</f>
        <v>1707</v>
      </c>
      <c r="Y93" s="645">
        <f>IFERROR(SUM(Y87:Y91),"0")</f>
        <v>1716.3000000000002</v>
      </c>
      <c r="Z93" s="37"/>
      <c r="AA93" s="646"/>
      <c r="AB93" s="646"/>
      <c r="AC93" s="646"/>
    </row>
    <row r="94" spans="1:68" ht="14.25" hidden="1" customHeight="1" x14ac:dyDescent="0.25">
      <c r="A94" s="663" t="s">
        <v>74</v>
      </c>
      <c r="B94" s="653"/>
      <c r="C94" s="653"/>
      <c r="D94" s="653"/>
      <c r="E94" s="653"/>
      <c r="F94" s="653"/>
      <c r="G94" s="653"/>
      <c r="H94" s="653"/>
      <c r="I94" s="653"/>
      <c r="J94" s="653"/>
      <c r="K94" s="653"/>
      <c r="L94" s="653"/>
      <c r="M94" s="653"/>
      <c r="N94" s="653"/>
      <c r="O94" s="653"/>
      <c r="P94" s="653"/>
      <c r="Q94" s="653"/>
      <c r="R94" s="653"/>
      <c r="S94" s="653"/>
      <c r="T94" s="653"/>
      <c r="U94" s="653"/>
      <c r="V94" s="653"/>
      <c r="W94" s="653"/>
      <c r="X94" s="653"/>
      <c r="Y94" s="653"/>
      <c r="Z94" s="653"/>
      <c r="AA94" s="639"/>
      <c r="AB94" s="639"/>
      <c r="AC94" s="639"/>
    </row>
    <row r="95" spans="1:68" ht="27" hidden="1" customHeight="1" x14ac:dyDescent="0.25">
      <c r="A95" s="54" t="s">
        <v>187</v>
      </c>
      <c r="B95" s="54" t="s">
        <v>188</v>
      </c>
      <c r="C95" s="31">
        <v>4301052101</v>
      </c>
      <c r="D95" s="650">
        <v>4607091386967</v>
      </c>
      <c r="E95" s="651"/>
      <c r="F95" s="642">
        <v>1.35</v>
      </c>
      <c r="G95" s="32">
        <v>6</v>
      </c>
      <c r="H95" s="642">
        <v>8.1</v>
      </c>
      <c r="I95" s="642">
        <v>8.5939999999999994</v>
      </c>
      <c r="J95" s="32">
        <v>64</v>
      </c>
      <c r="K95" s="32" t="s">
        <v>114</v>
      </c>
      <c r="L95" s="32"/>
      <c r="M95" s="33" t="s">
        <v>84</v>
      </c>
      <c r="N95" s="33"/>
      <c r="O95" s="32">
        <v>45</v>
      </c>
      <c r="P95" s="7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43">
        <v>0</v>
      </c>
      <c r="Y95" s="644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189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4301052090</v>
      </c>
      <c r="D96" s="650">
        <v>4680115884953</v>
      </c>
      <c r="E96" s="651"/>
      <c r="F96" s="642">
        <v>0.37</v>
      </c>
      <c r="G96" s="32">
        <v>6</v>
      </c>
      <c r="H96" s="642">
        <v>2.2200000000000002</v>
      </c>
      <c r="I96" s="642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6"/>
      <c r="R96" s="656"/>
      <c r="S96" s="656"/>
      <c r="T96" s="657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4301052094</v>
      </c>
      <c r="D97" s="650">
        <v>4607091385731</v>
      </c>
      <c r="E97" s="651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43">
        <v>1210</v>
      </c>
      <c r="Y97" s="644">
        <f>IFERROR(IF(X97="",0,CEILING((X97/$H97),1)*$H97),"")</f>
        <v>1212.3000000000002</v>
      </c>
      <c r="Z97" s="36">
        <f>IFERROR(IF(Y97=0,"",ROUNDUP(Y97/H97,0)*0.00651),"")</f>
        <v>2.92299</v>
      </c>
      <c r="AA97" s="56"/>
      <c r="AB97" s="57"/>
      <c r="AC97" s="153" t="s">
        <v>189</v>
      </c>
      <c r="AG97" s="64"/>
      <c r="AJ97" s="68"/>
      <c r="AK97" s="68">
        <v>0</v>
      </c>
      <c r="BB97" s="154" t="s">
        <v>1</v>
      </c>
      <c r="BM97" s="64">
        <f>IFERROR(X97*I97/H97,"0")</f>
        <v>1322.9333333333332</v>
      </c>
      <c r="BN97" s="64">
        <f>IFERROR(Y97*I97/H97,"0")</f>
        <v>1325.4480000000001</v>
      </c>
      <c r="BO97" s="64">
        <f>IFERROR(1/J97*(X97/H97),"0")</f>
        <v>2.4623524623524622</v>
      </c>
      <c r="BP97" s="64">
        <f>IFERROR(1/J97*(Y97/H97),"0")</f>
        <v>2.4670329670329676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0">
        <v>4680115880894</v>
      </c>
      <c r="E98" s="651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6"/>
      <c r="R98" s="656"/>
      <c r="S98" s="656"/>
      <c r="T98" s="657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2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47" t="s">
        <v>72</v>
      </c>
      <c r="Q99" s="648"/>
      <c r="R99" s="648"/>
      <c r="S99" s="648"/>
      <c r="T99" s="648"/>
      <c r="U99" s="648"/>
      <c r="V99" s="649"/>
      <c r="W99" s="37" t="s">
        <v>73</v>
      </c>
      <c r="X99" s="645">
        <f>IFERROR(X95/H95,"0")+IFERROR(X96/H96,"0")+IFERROR(X97/H97,"0")+IFERROR(X98/H98,"0")</f>
        <v>448.1481481481481</v>
      </c>
      <c r="Y99" s="645">
        <f>IFERROR(Y95/H95,"0")+IFERROR(Y96/H96,"0")+IFERROR(Y97/H97,"0")+IFERROR(Y98/H98,"0")</f>
        <v>449.00000000000006</v>
      </c>
      <c r="Z99" s="645">
        <f>IFERROR(IF(Z95="",0,Z95),"0")+IFERROR(IF(Z96="",0,Z96),"0")+IFERROR(IF(Z97="",0,Z97),"0")+IFERROR(IF(Z98="",0,Z98),"0")</f>
        <v>2.92299</v>
      </c>
      <c r="AA99" s="646"/>
      <c r="AB99" s="646"/>
      <c r="AC99" s="646"/>
    </row>
    <row r="100" spans="1:68" x14ac:dyDescent="0.2">
      <c r="A100" s="653"/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4"/>
      <c r="P100" s="647" t="s">
        <v>72</v>
      </c>
      <c r="Q100" s="648"/>
      <c r="R100" s="648"/>
      <c r="S100" s="648"/>
      <c r="T100" s="648"/>
      <c r="U100" s="648"/>
      <c r="V100" s="649"/>
      <c r="W100" s="37" t="s">
        <v>67</v>
      </c>
      <c r="X100" s="645">
        <f>IFERROR(SUM(X95:X98),"0")</f>
        <v>1210</v>
      </c>
      <c r="Y100" s="645">
        <f>IFERROR(SUM(Y95:Y98),"0")</f>
        <v>1212.3000000000002</v>
      </c>
      <c r="Z100" s="37"/>
      <c r="AA100" s="646"/>
      <c r="AB100" s="646"/>
      <c r="AC100" s="646"/>
    </row>
    <row r="101" spans="1:68" ht="16.5" hidden="1" customHeight="1" x14ac:dyDescent="0.25">
      <c r="A101" s="666" t="s">
        <v>198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8"/>
      <c r="AB101" s="638"/>
      <c r="AC101" s="638"/>
    </row>
    <row r="102" spans="1:68" ht="14.25" hidden="1" customHeight="1" x14ac:dyDescent="0.25">
      <c r="A102" s="663" t="s">
        <v>111</v>
      </c>
      <c r="B102" s="653"/>
      <c r="C102" s="653"/>
      <c r="D102" s="653"/>
      <c r="E102" s="653"/>
      <c r="F102" s="653"/>
      <c r="G102" s="653"/>
      <c r="H102" s="653"/>
      <c r="I102" s="653"/>
      <c r="J102" s="653"/>
      <c r="K102" s="653"/>
      <c r="L102" s="653"/>
      <c r="M102" s="653"/>
      <c r="N102" s="653"/>
      <c r="O102" s="653"/>
      <c r="P102" s="653"/>
      <c r="Q102" s="653"/>
      <c r="R102" s="653"/>
      <c r="S102" s="653"/>
      <c r="T102" s="653"/>
      <c r="U102" s="653"/>
      <c r="V102" s="653"/>
      <c r="W102" s="653"/>
      <c r="X102" s="653"/>
      <c r="Y102" s="653"/>
      <c r="Z102" s="653"/>
      <c r="AA102" s="639"/>
      <c r="AB102" s="639"/>
      <c r="AC102" s="639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50">
        <v>4680115882133</v>
      </c>
      <c r="E103" s="651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6"/>
      <c r="R103" s="656"/>
      <c r="S103" s="656"/>
      <c r="T103" s="657"/>
      <c r="U103" s="34"/>
      <c r="V103" s="34"/>
      <c r="W103" s="35" t="s">
        <v>67</v>
      </c>
      <c r="X103" s="643">
        <v>0</v>
      </c>
      <c r="Y103" s="644">
        <f t="shared" ref="Y103:Y111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0</v>
      </c>
      <c r="BN103" s="64">
        <f t="shared" ref="BN103:BN111" si="7">IFERROR(Y103*I103/H103,"0")</f>
        <v>0</v>
      </c>
      <c r="BO103" s="64">
        <f t="shared" ref="BO103:BO111" si="8">IFERROR(1/J103*(X103/H103),"0")</f>
        <v>0</v>
      </c>
      <c r="BP103" s="64">
        <f t="shared" ref="BP103:BP111" si="9">IFERROR(1/J103*(Y103/H103),"0")</f>
        <v>0</v>
      </c>
    </row>
    <row r="104" spans="1:68" ht="27" hidden="1" customHeight="1" x14ac:dyDescent="0.25">
      <c r="A104" s="54" t="s">
        <v>199</v>
      </c>
      <c r="B104" s="54" t="s">
        <v>202</v>
      </c>
      <c r="C104" s="31">
        <v>4301012256</v>
      </c>
      <c r="D104" s="650">
        <v>4680115882133</v>
      </c>
      <c r="E104" s="651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8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43">
        <v>0</v>
      </c>
      <c r="Y104" s="644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4301012379</v>
      </c>
      <c r="D105" s="650">
        <v>4680115887718</v>
      </c>
      <c r="E105" s="651"/>
      <c r="F105" s="642">
        <v>0.11</v>
      </c>
      <c r="G105" s="32">
        <v>6</v>
      </c>
      <c r="H105" s="642">
        <v>0.66</v>
      </c>
      <c r="I105" s="642">
        <v>0.82599999999999996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43">
        <v>0</v>
      </c>
      <c r="Y105" s="644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50">
        <v>4680115880269</v>
      </c>
      <c r="E106" s="651"/>
      <c r="F106" s="642">
        <v>0.375</v>
      </c>
      <c r="G106" s="32">
        <v>10</v>
      </c>
      <c r="H106" s="642">
        <v>3.75</v>
      </c>
      <c r="I106" s="642">
        <v>3.94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0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6"/>
      <c r="R106" s="656"/>
      <c r="S106" s="656"/>
      <c r="T106" s="657"/>
      <c r="U106" s="34"/>
      <c r="V106" s="34"/>
      <c r="W106" s="35" t="s">
        <v>67</v>
      </c>
      <c r="X106" s="643">
        <v>0</v>
      </c>
      <c r="Y106" s="644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201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207</v>
      </c>
      <c r="B107" s="54" t="s">
        <v>209</v>
      </c>
      <c r="C107" s="31">
        <v>4301012253</v>
      </c>
      <c r="D107" s="650">
        <v>4680115880269</v>
      </c>
      <c r="E107" s="651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3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43">
        <v>0</v>
      </c>
      <c r="Y107" s="644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customHeight="1" x14ac:dyDescent="0.25">
      <c r="A108" s="54" t="s">
        <v>210</v>
      </c>
      <c r="B108" s="54" t="s">
        <v>211</v>
      </c>
      <c r="C108" s="31">
        <v>4301012254</v>
      </c>
      <c r="D108" s="650">
        <v>4680115880429</v>
      </c>
      <c r="E108" s="651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6"/>
      <c r="R108" s="656"/>
      <c r="S108" s="656"/>
      <c r="T108" s="657"/>
      <c r="U108" s="34"/>
      <c r="V108" s="34"/>
      <c r="W108" s="35" t="s">
        <v>67</v>
      </c>
      <c r="X108" s="643">
        <v>168</v>
      </c>
      <c r="Y108" s="644">
        <f t="shared" si="5"/>
        <v>171</v>
      </c>
      <c r="Z108" s="36">
        <f>IFERROR(IF(Y108=0,"",ROUNDUP(Y108/H108,0)*0.00902),"")</f>
        <v>0.34276000000000001</v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6"/>
        <v>175.09333333333336</v>
      </c>
      <c r="BN108" s="64">
        <f t="shared" si="7"/>
        <v>178.22000000000003</v>
      </c>
      <c r="BO108" s="64">
        <f t="shared" si="8"/>
        <v>0.28282828282828287</v>
      </c>
      <c r="BP108" s="64">
        <f t="shared" si="9"/>
        <v>0.2878787878787879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4301011462</v>
      </c>
      <c r="D109" s="650">
        <v>4680115881457</v>
      </c>
      <c r="E109" s="651"/>
      <c r="F109" s="642">
        <v>0.75</v>
      </c>
      <c r="G109" s="32">
        <v>6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89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43">
        <v>0</v>
      </c>
      <c r="Y109" s="644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201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4301012255</v>
      </c>
      <c r="D110" s="650">
        <v>4680115881457</v>
      </c>
      <c r="E110" s="651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6"/>
      <c r="R110" s="656"/>
      <c r="S110" s="656"/>
      <c r="T110" s="657"/>
      <c r="U110" s="34"/>
      <c r="V110" s="34"/>
      <c r="W110" s="35" t="s">
        <v>67</v>
      </c>
      <c r="X110" s="643">
        <v>0</v>
      </c>
      <c r="Y110" s="644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215</v>
      </c>
      <c r="B111" s="54" t="s">
        <v>216</v>
      </c>
      <c r="C111" s="31">
        <v>4301012366</v>
      </c>
      <c r="D111" s="650">
        <v>4680115889477</v>
      </c>
      <c r="E111" s="651"/>
      <c r="F111" s="642">
        <v>0.4</v>
      </c>
      <c r="G111" s="32">
        <v>6</v>
      </c>
      <c r="H111" s="642">
        <v>2.4</v>
      </c>
      <c r="I111" s="642">
        <v>2.58</v>
      </c>
      <c r="J111" s="32">
        <v>182</v>
      </c>
      <c r="K111" s="32" t="s">
        <v>77</v>
      </c>
      <c r="L111" s="32"/>
      <c r="M111" s="33" t="s">
        <v>115</v>
      </c>
      <c r="N111" s="33"/>
      <c r="O111" s="32">
        <v>55</v>
      </c>
      <c r="P111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6"/>
      <c r="R111" s="656"/>
      <c r="S111" s="656"/>
      <c r="T111" s="657"/>
      <c r="U111" s="34"/>
      <c r="V111" s="34"/>
      <c r="W111" s="35" t="s">
        <v>67</v>
      </c>
      <c r="X111" s="643">
        <v>0</v>
      </c>
      <c r="Y111" s="644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217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52"/>
      <c r="B112" s="653"/>
      <c r="C112" s="653"/>
      <c r="D112" s="653"/>
      <c r="E112" s="653"/>
      <c r="F112" s="653"/>
      <c r="G112" s="653"/>
      <c r="H112" s="653"/>
      <c r="I112" s="653"/>
      <c r="J112" s="653"/>
      <c r="K112" s="653"/>
      <c r="L112" s="653"/>
      <c r="M112" s="653"/>
      <c r="N112" s="653"/>
      <c r="O112" s="654"/>
      <c r="P112" s="647" t="s">
        <v>72</v>
      </c>
      <c r="Q112" s="648"/>
      <c r="R112" s="648"/>
      <c r="S112" s="648"/>
      <c r="T112" s="648"/>
      <c r="U112" s="648"/>
      <c r="V112" s="649"/>
      <c r="W112" s="37" t="s">
        <v>73</v>
      </c>
      <c r="X112" s="645">
        <f>IFERROR(X103/H103,"0")+IFERROR(X104/H104,"0")+IFERROR(X105/H105,"0")+IFERROR(X106/H106,"0")+IFERROR(X107/H107,"0")+IFERROR(X108/H108,"0")+IFERROR(X109/H109,"0")+IFERROR(X110/H110,"0")+IFERROR(X111/H111,"0")</f>
        <v>37.333333333333336</v>
      </c>
      <c r="Y112" s="645">
        <f>IFERROR(Y103/H103,"0")+IFERROR(Y104/H104,"0")+IFERROR(Y105/H105,"0")+IFERROR(Y106/H106,"0")+IFERROR(Y107/H107,"0")+IFERROR(Y108/H108,"0")+IFERROR(Y109/H109,"0")+IFERROR(Y110/H110,"0")+IFERROR(Y111/H111,"0")</f>
        <v>38</v>
      </c>
      <c r="Z112" s="64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0.34276000000000001</v>
      </c>
      <c r="AA112" s="646"/>
      <c r="AB112" s="646"/>
      <c r="AC112" s="646"/>
    </row>
    <row r="113" spans="1:68" x14ac:dyDescent="0.2">
      <c r="A113" s="653"/>
      <c r="B113" s="653"/>
      <c r="C113" s="653"/>
      <c r="D113" s="653"/>
      <c r="E113" s="653"/>
      <c r="F113" s="653"/>
      <c r="G113" s="653"/>
      <c r="H113" s="653"/>
      <c r="I113" s="653"/>
      <c r="J113" s="653"/>
      <c r="K113" s="653"/>
      <c r="L113" s="653"/>
      <c r="M113" s="653"/>
      <c r="N113" s="653"/>
      <c r="O113" s="654"/>
      <c r="P113" s="647" t="s">
        <v>72</v>
      </c>
      <c r="Q113" s="648"/>
      <c r="R113" s="648"/>
      <c r="S113" s="648"/>
      <c r="T113" s="648"/>
      <c r="U113" s="648"/>
      <c r="V113" s="649"/>
      <c r="W113" s="37" t="s">
        <v>67</v>
      </c>
      <c r="X113" s="645">
        <f>IFERROR(SUM(X103:X111),"0")</f>
        <v>168</v>
      </c>
      <c r="Y113" s="645">
        <f>IFERROR(SUM(Y103:Y111),"0")</f>
        <v>171</v>
      </c>
      <c r="Z113" s="37"/>
      <c r="AA113" s="646"/>
      <c r="AB113" s="646"/>
      <c r="AC113" s="646"/>
    </row>
    <row r="114" spans="1:68" ht="14.25" hidden="1" customHeight="1" x14ac:dyDescent="0.25">
      <c r="A114" s="663" t="s">
        <v>148</v>
      </c>
      <c r="B114" s="653"/>
      <c r="C114" s="653"/>
      <c r="D114" s="653"/>
      <c r="E114" s="653"/>
      <c r="F114" s="653"/>
      <c r="G114" s="653"/>
      <c r="H114" s="653"/>
      <c r="I114" s="653"/>
      <c r="J114" s="653"/>
      <c r="K114" s="653"/>
      <c r="L114" s="653"/>
      <c r="M114" s="653"/>
      <c r="N114" s="653"/>
      <c r="O114" s="653"/>
      <c r="P114" s="653"/>
      <c r="Q114" s="653"/>
      <c r="R114" s="653"/>
      <c r="S114" s="653"/>
      <c r="T114" s="653"/>
      <c r="U114" s="653"/>
      <c r="V114" s="653"/>
      <c r="W114" s="653"/>
      <c r="X114" s="653"/>
      <c r="Y114" s="653"/>
      <c r="Z114" s="653"/>
      <c r="AA114" s="639"/>
      <c r="AB114" s="639"/>
      <c r="AC114" s="639"/>
    </row>
    <row r="115" spans="1:68" ht="27" hidden="1" customHeight="1" x14ac:dyDescent="0.25">
      <c r="A115" s="54" t="s">
        <v>218</v>
      </c>
      <c r="B115" s="54" t="s">
        <v>219</v>
      </c>
      <c r="C115" s="31">
        <v>4301020391</v>
      </c>
      <c r="D115" s="650">
        <v>4680115881488</v>
      </c>
      <c r="E115" s="651"/>
      <c r="F115" s="642">
        <v>1.35</v>
      </c>
      <c r="G115" s="32">
        <v>8</v>
      </c>
      <c r="H115" s="642">
        <v>10.8</v>
      </c>
      <c r="I115" s="642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220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4301020393</v>
      </c>
      <c r="D116" s="650">
        <v>4680115882775</v>
      </c>
      <c r="E116" s="651"/>
      <c r="F116" s="642">
        <v>0.3</v>
      </c>
      <c r="G116" s="32">
        <v>8</v>
      </c>
      <c r="H116" s="642">
        <v>2.4</v>
      </c>
      <c r="I116" s="642">
        <v>2.5</v>
      </c>
      <c r="J116" s="32">
        <v>234</v>
      </c>
      <c r="K116" s="32" t="s">
        <v>65</v>
      </c>
      <c r="L116" s="32"/>
      <c r="M116" s="33" t="s">
        <v>115</v>
      </c>
      <c r="N116" s="33"/>
      <c r="O116" s="32">
        <v>55</v>
      </c>
      <c r="P116" s="74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IFERROR(IF(Y116=0,"",ROUNDUP(Y116/H116,0)*0.00502),"")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223</v>
      </c>
      <c r="B117" s="54" t="s">
        <v>224</v>
      </c>
      <c r="C117" s="31">
        <v>4301020392</v>
      </c>
      <c r="D117" s="650">
        <v>4680115880658</v>
      </c>
      <c r="E117" s="651"/>
      <c r="F117" s="642">
        <v>0.4</v>
      </c>
      <c r="G117" s="32">
        <v>6</v>
      </c>
      <c r="H117" s="642">
        <v>2.4</v>
      </c>
      <c r="I117" s="642">
        <v>2.58</v>
      </c>
      <c r="J117" s="32">
        <v>182</v>
      </c>
      <c r="K117" s="32" t="s">
        <v>77</v>
      </c>
      <c r="L117" s="32"/>
      <c r="M117" s="33" t="s">
        <v>115</v>
      </c>
      <c r="N117" s="33"/>
      <c r="O117" s="32">
        <v>55</v>
      </c>
      <c r="P117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652"/>
      <c r="B118" s="653"/>
      <c r="C118" s="653"/>
      <c r="D118" s="653"/>
      <c r="E118" s="653"/>
      <c r="F118" s="653"/>
      <c r="G118" s="653"/>
      <c r="H118" s="653"/>
      <c r="I118" s="653"/>
      <c r="J118" s="653"/>
      <c r="K118" s="653"/>
      <c r="L118" s="653"/>
      <c r="M118" s="653"/>
      <c r="N118" s="653"/>
      <c r="O118" s="654"/>
      <c r="P118" s="647" t="s">
        <v>72</v>
      </c>
      <c r="Q118" s="648"/>
      <c r="R118" s="648"/>
      <c r="S118" s="648"/>
      <c r="T118" s="648"/>
      <c r="U118" s="648"/>
      <c r="V118" s="649"/>
      <c r="W118" s="37" t="s">
        <v>73</v>
      </c>
      <c r="X118" s="645">
        <f>IFERROR(X115/H115,"0")+IFERROR(X116/H116,"0")+IFERROR(X117/H117,"0")</f>
        <v>0</v>
      </c>
      <c r="Y118" s="645">
        <f>IFERROR(Y115/H115,"0")+IFERROR(Y116/H116,"0")+IFERROR(Y117/H117,"0")</f>
        <v>0</v>
      </c>
      <c r="Z118" s="645">
        <f>IFERROR(IF(Z115="",0,Z115),"0")+IFERROR(IF(Z116="",0,Z116),"0")+IFERROR(IF(Z117="",0,Z117),"0")</f>
        <v>0</v>
      </c>
      <c r="AA118" s="646"/>
      <c r="AB118" s="646"/>
      <c r="AC118" s="646"/>
    </row>
    <row r="119" spans="1:68" hidden="1" x14ac:dyDescent="0.2">
      <c r="A119" s="653"/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4"/>
      <c r="P119" s="647" t="s">
        <v>72</v>
      </c>
      <c r="Q119" s="648"/>
      <c r="R119" s="648"/>
      <c r="S119" s="648"/>
      <c r="T119" s="648"/>
      <c r="U119" s="648"/>
      <c r="V119" s="649"/>
      <c r="W119" s="37" t="s">
        <v>67</v>
      </c>
      <c r="X119" s="645">
        <f>IFERROR(SUM(X115:X117),"0")</f>
        <v>0</v>
      </c>
      <c r="Y119" s="645">
        <f>IFERROR(SUM(Y115:Y117),"0")</f>
        <v>0</v>
      </c>
      <c r="Z119" s="37"/>
      <c r="AA119" s="646"/>
      <c r="AB119" s="646"/>
      <c r="AC119" s="646"/>
    </row>
    <row r="120" spans="1:68" ht="14.25" hidden="1" customHeight="1" x14ac:dyDescent="0.25">
      <c r="A120" s="663" t="s">
        <v>74</v>
      </c>
      <c r="B120" s="653"/>
      <c r="C120" s="653"/>
      <c r="D120" s="653"/>
      <c r="E120" s="653"/>
      <c r="F120" s="653"/>
      <c r="G120" s="653"/>
      <c r="H120" s="653"/>
      <c r="I120" s="653"/>
      <c r="J120" s="653"/>
      <c r="K120" s="653"/>
      <c r="L120" s="653"/>
      <c r="M120" s="653"/>
      <c r="N120" s="653"/>
      <c r="O120" s="653"/>
      <c r="P120" s="653"/>
      <c r="Q120" s="653"/>
      <c r="R120" s="653"/>
      <c r="S120" s="653"/>
      <c r="T120" s="653"/>
      <c r="U120" s="653"/>
      <c r="V120" s="653"/>
      <c r="W120" s="653"/>
      <c r="X120" s="653"/>
      <c r="Y120" s="653"/>
      <c r="Z120" s="653"/>
      <c r="AA120" s="639"/>
      <c r="AB120" s="639"/>
      <c r="AC120" s="639"/>
    </row>
    <row r="121" spans="1:68" ht="27" customHeight="1" x14ac:dyDescent="0.25">
      <c r="A121" s="54" t="s">
        <v>225</v>
      </c>
      <c r="B121" s="54" t="s">
        <v>226</v>
      </c>
      <c r="C121" s="31">
        <v>4301052088</v>
      </c>
      <c r="D121" s="650">
        <v>4607091385168</v>
      </c>
      <c r="E121" s="651"/>
      <c r="F121" s="642">
        <v>1.35</v>
      </c>
      <c r="G121" s="32">
        <v>6</v>
      </c>
      <c r="H121" s="642">
        <v>8.1</v>
      </c>
      <c r="I121" s="642">
        <v>8.5879999999999992</v>
      </c>
      <c r="J121" s="32">
        <v>64</v>
      </c>
      <c r="K121" s="32" t="s">
        <v>114</v>
      </c>
      <c r="L121" s="32"/>
      <c r="M121" s="33" t="s">
        <v>78</v>
      </c>
      <c r="N121" s="33"/>
      <c r="O121" s="32">
        <v>45</v>
      </c>
      <c r="P121" s="97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56"/>
      <c r="R121" s="656"/>
      <c r="S121" s="656"/>
      <c r="T121" s="657"/>
      <c r="U121" s="34"/>
      <c r="V121" s="34"/>
      <c r="W121" s="35" t="s">
        <v>67</v>
      </c>
      <c r="X121" s="643">
        <v>795</v>
      </c>
      <c r="Y121" s="644">
        <f>IFERROR(IF(X121="",0,CEILING((X121/$H121),1)*$H121),"")</f>
        <v>801.9</v>
      </c>
      <c r="Z121" s="36">
        <f>IFERROR(IF(Y121=0,"",ROUNDUP(Y121/H121,0)*0.01898),"")</f>
        <v>1.8790200000000001</v>
      </c>
      <c r="AA121" s="56"/>
      <c r="AB121" s="57"/>
      <c r="AC121" s="181" t="s">
        <v>227</v>
      </c>
      <c r="AG121" s="64"/>
      <c r="AJ121" s="68"/>
      <c r="AK121" s="68">
        <v>0</v>
      </c>
      <c r="BB121" s="182" t="s">
        <v>1</v>
      </c>
      <c r="BM121" s="64">
        <f>IFERROR(X121*I121/H121,"0")</f>
        <v>842.89629629629621</v>
      </c>
      <c r="BN121" s="64">
        <f>IFERROR(Y121*I121/H121,"0")</f>
        <v>850.21199999999988</v>
      </c>
      <c r="BO121" s="64">
        <f>IFERROR(1/J121*(X121/H121),"0")</f>
        <v>1.5335648148148149</v>
      </c>
      <c r="BP121" s="64">
        <f>IFERROR(1/J121*(Y121/H121),"0")</f>
        <v>1.546875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4301052087</v>
      </c>
      <c r="D122" s="650">
        <v>4607091383256</v>
      </c>
      <c r="E122" s="651"/>
      <c r="F122" s="642">
        <v>0.33</v>
      </c>
      <c r="G122" s="32">
        <v>6</v>
      </c>
      <c r="H122" s="642">
        <v>1.98</v>
      </c>
      <c r="I122" s="642">
        <v>2.226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56"/>
      <c r="R122" s="656"/>
      <c r="S122" s="656"/>
      <c r="T122" s="657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230</v>
      </c>
      <c r="B123" s="54" t="s">
        <v>231</v>
      </c>
      <c r="C123" s="31">
        <v>4301052086</v>
      </c>
      <c r="D123" s="650">
        <v>4607091385748</v>
      </c>
      <c r="E123" s="651"/>
      <c r="F123" s="642">
        <v>0.45</v>
      </c>
      <c r="G123" s="32">
        <v>6</v>
      </c>
      <c r="H123" s="642">
        <v>2.7</v>
      </c>
      <c r="I123" s="642">
        <v>2.952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16.5" hidden="1" customHeight="1" x14ac:dyDescent="0.25">
      <c r="A124" s="54" t="s">
        <v>232</v>
      </c>
      <c r="B124" s="54" t="s">
        <v>233</v>
      </c>
      <c r="C124" s="31">
        <v>4301052085</v>
      </c>
      <c r="D124" s="650">
        <v>4680115884533</v>
      </c>
      <c r="E124" s="651"/>
      <c r="F124" s="642">
        <v>0.3</v>
      </c>
      <c r="G124" s="32">
        <v>6</v>
      </c>
      <c r="H124" s="642">
        <v>1.8</v>
      </c>
      <c r="I124" s="642">
        <v>1.98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56"/>
      <c r="R124" s="656"/>
      <c r="S124" s="656"/>
      <c r="T124" s="657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234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52"/>
      <c r="B125" s="653"/>
      <c r="C125" s="653"/>
      <c r="D125" s="653"/>
      <c r="E125" s="653"/>
      <c r="F125" s="653"/>
      <c r="G125" s="653"/>
      <c r="H125" s="653"/>
      <c r="I125" s="653"/>
      <c r="J125" s="653"/>
      <c r="K125" s="653"/>
      <c r="L125" s="653"/>
      <c r="M125" s="653"/>
      <c r="N125" s="653"/>
      <c r="O125" s="654"/>
      <c r="P125" s="647" t="s">
        <v>72</v>
      </c>
      <c r="Q125" s="648"/>
      <c r="R125" s="648"/>
      <c r="S125" s="648"/>
      <c r="T125" s="648"/>
      <c r="U125" s="648"/>
      <c r="V125" s="649"/>
      <c r="W125" s="37" t="s">
        <v>73</v>
      </c>
      <c r="X125" s="645">
        <f>IFERROR(X121/H121,"0")+IFERROR(X122/H122,"0")+IFERROR(X123/H123,"0")+IFERROR(X124/H124,"0")</f>
        <v>98.148148148148152</v>
      </c>
      <c r="Y125" s="645">
        <f>IFERROR(Y121/H121,"0")+IFERROR(Y122/H122,"0")+IFERROR(Y123/H123,"0")+IFERROR(Y124/H124,"0")</f>
        <v>99</v>
      </c>
      <c r="Z125" s="645">
        <f>IFERROR(IF(Z121="",0,Z121),"0")+IFERROR(IF(Z122="",0,Z122),"0")+IFERROR(IF(Z123="",0,Z123),"0")+IFERROR(IF(Z124="",0,Z124),"0")</f>
        <v>1.8790200000000001</v>
      </c>
      <c r="AA125" s="646"/>
      <c r="AB125" s="646"/>
      <c r="AC125" s="646"/>
    </row>
    <row r="126" spans="1:68" x14ac:dyDescent="0.2">
      <c r="A126" s="653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47" t="s">
        <v>72</v>
      </c>
      <c r="Q126" s="648"/>
      <c r="R126" s="648"/>
      <c r="S126" s="648"/>
      <c r="T126" s="648"/>
      <c r="U126" s="648"/>
      <c r="V126" s="649"/>
      <c r="W126" s="37" t="s">
        <v>67</v>
      </c>
      <c r="X126" s="645">
        <f>IFERROR(SUM(X121:X124),"0")</f>
        <v>795</v>
      </c>
      <c r="Y126" s="645">
        <f>IFERROR(SUM(Y121:Y124),"0")</f>
        <v>801.9</v>
      </c>
      <c r="Z126" s="37"/>
      <c r="AA126" s="646"/>
      <c r="AB126" s="646"/>
      <c r="AC126" s="646"/>
    </row>
    <row r="127" spans="1:68" ht="14.25" hidden="1" customHeight="1" x14ac:dyDescent="0.25">
      <c r="A127" s="663" t="s">
        <v>167</v>
      </c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3"/>
      <c r="P127" s="653"/>
      <c r="Q127" s="653"/>
      <c r="R127" s="653"/>
      <c r="S127" s="653"/>
      <c r="T127" s="653"/>
      <c r="U127" s="653"/>
      <c r="V127" s="653"/>
      <c r="W127" s="653"/>
      <c r="X127" s="653"/>
      <c r="Y127" s="653"/>
      <c r="Z127" s="653"/>
      <c r="AA127" s="639"/>
      <c r="AB127" s="639"/>
      <c r="AC127" s="639"/>
    </row>
    <row r="128" spans="1:68" ht="16.5" customHeight="1" x14ac:dyDescent="0.25">
      <c r="A128" s="54" t="s">
        <v>235</v>
      </c>
      <c r="B128" s="54" t="s">
        <v>236</v>
      </c>
      <c r="C128" s="31">
        <v>4301060525</v>
      </c>
      <c r="D128" s="650">
        <v>4680115880238</v>
      </c>
      <c r="E128" s="651"/>
      <c r="F128" s="642">
        <v>0.33</v>
      </c>
      <c r="G128" s="32">
        <v>6</v>
      </c>
      <c r="H128" s="642">
        <v>1.98</v>
      </c>
      <c r="I128" s="642">
        <v>2.238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40</v>
      </c>
      <c r="P128" s="95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56"/>
      <c r="R128" s="656"/>
      <c r="S128" s="656"/>
      <c r="T128" s="657"/>
      <c r="U128" s="34"/>
      <c r="V128" s="34"/>
      <c r="W128" s="35" t="s">
        <v>67</v>
      </c>
      <c r="X128" s="643">
        <v>115</v>
      </c>
      <c r="Y128" s="644">
        <f>IFERROR(IF(X128="",0,CEILING((X128/$H128),1)*$H128),"")</f>
        <v>116.82</v>
      </c>
      <c r="Z128" s="36">
        <f>IFERROR(IF(Y128=0,"",ROUNDUP(Y128/H128,0)*0.00651),"")</f>
        <v>0.38408999999999999</v>
      </c>
      <c r="AA128" s="56"/>
      <c r="AB128" s="57"/>
      <c r="AC128" s="189" t="s">
        <v>237</v>
      </c>
      <c r="AG128" s="64"/>
      <c r="AJ128" s="68"/>
      <c r="AK128" s="68">
        <v>0</v>
      </c>
      <c r="BB128" s="190" t="s">
        <v>1</v>
      </c>
      <c r="BM128" s="64">
        <f>IFERROR(X128*I128/H128,"0")</f>
        <v>129.9848484848485</v>
      </c>
      <c r="BN128" s="64">
        <f>IFERROR(Y128*I128/H128,"0")</f>
        <v>132.042</v>
      </c>
      <c r="BO128" s="64">
        <f>IFERROR(1/J128*(X128/H128),"0")</f>
        <v>0.31912531912531916</v>
      </c>
      <c r="BP128" s="64">
        <f>IFERROR(1/J128*(Y128/H128),"0")</f>
        <v>0.32417582417582419</v>
      </c>
    </row>
    <row r="129" spans="1:68" x14ac:dyDescent="0.2">
      <c r="A129" s="652"/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4"/>
      <c r="P129" s="647" t="s">
        <v>72</v>
      </c>
      <c r="Q129" s="648"/>
      <c r="R129" s="648"/>
      <c r="S129" s="648"/>
      <c r="T129" s="648"/>
      <c r="U129" s="648"/>
      <c r="V129" s="649"/>
      <c r="W129" s="37" t="s">
        <v>73</v>
      </c>
      <c r="X129" s="645">
        <f>IFERROR(X128/H128,"0")</f>
        <v>58.080808080808083</v>
      </c>
      <c r="Y129" s="645">
        <f>IFERROR(Y128/H128,"0")</f>
        <v>59</v>
      </c>
      <c r="Z129" s="645">
        <f>IFERROR(IF(Z128="",0,Z128),"0")</f>
        <v>0.38408999999999999</v>
      </c>
      <c r="AA129" s="646"/>
      <c r="AB129" s="646"/>
      <c r="AC129" s="646"/>
    </row>
    <row r="130" spans="1:68" x14ac:dyDescent="0.2">
      <c r="A130" s="653"/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4"/>
      <c r="P130" s="647" t="s">
        <v>72</v>
      </c>
      <c r="Q130" s="648"/>
      <c r="R130" s="648"/>
      <c r="S130" s="648"/>
      <c r="T130" s="648"/>
      <c r="U130" s="648"/>
      <c r="V130" s="649"/>
      <c r="W130" s="37" t="s">
        <v>67</v>
      </c>
      <c r="X130" s="645">
        <f>IFERROR(SUM(X128:X128),"0")</f>
        <v>115</v>
      </c>
      <c r="Y130" s="645">
        <f>IFERROR(SUM(Y128:Y128),"0")</f>
        <v>116.82</v>
      </c>
      <c r="Z130" s="37"/>
      <c r="AA130" s="646"/>
      <c r="AB130" s="646"/>
      <c r="AC130" s="646"/>
    </row>
    <row r="131" spans="1:68" ht="16.5" hidden="1" customHeight="1" x14ac:dyDescent="0.25">
      <c r="A131" s="666" t="s">
        <v>238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38"/>
      <c r="AB131" s="638"/>
      <c r="AC131" s="638"/>
    </row>
    <row r="132" spans="1:68" ht="14.25" hidden="1" customHeight="1" x14ac:dyDescent="0.25">
      <c r="A132" s="663" t="s">
        <v>111</v>
      </c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3"/>
      <c r="P132" s="653"/>
      <c r="Q132" s="653"/>
      <c r="R132" s="653"/>
      <c r="S132" s="653"/>
      <c r="T132" s="653"/>
      <c r="U132" s="653"/>
      <c r="V132" s="653"/>
      <c r="W132" s="653"/>
      <c r="X132" s="653"/>
      <c r="Y132" s="653"/>
      <c r="Z132" s="653"/>
      <c r="AA132" s="639"/>
      <c r="AB132" s="639"/>
      <c r="AC132" s="639"/>
    </row>
    <row r="133" spans="1:68" ht="27" hidden="1" customHeight="1" x14ac:dyDescent="0.25">
      <c r="A133" s="54" t="s">
        <v>239</v>
      </c>
      <c r="B133" s="54" t="s">
        <v>240</v>
      </c>
      <c r="C133" s="31">
        <v>4301011562</v>
      </c>
      <c r="D133" s="650">
        <v>4680115882577</v>
      </c>
      <c r="E133" s="651"/>
      <c r="F133" s="642">
        <v>0.4</v>
      </c>
      <c r="G133" s="32">
        <v>8</v>
      </c>
      <c r="H133" s="642">
        <v>3.2</v>
      </c>
      <c r="I133" s="642">
        <v>3.38</v>
      </c>
      <c r="J133" s="32">
        <v>182</v>
      </c>
      <c r="K133" s="32" t="s">
        <v>77</v>
      </c>
      <c r="L133" s="32"/>
      <c r="M133" s="33" t="s">
        <v>241</v>
      </c>
      <c r="N133" s="33"/>
      <c r="O133" s="32">
        <v>90</v>
      </c>
      <c r="P133" s="9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56"/>
      <c r="R133" s="656"/>
      <c r="S133" s="656"/>
      <c r="T133" s="657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242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239</v>
      </c>
      <c r="B134" s="54" t="s">
        <v>243</v>
      </c>
      <c r="C134" s="31">
        <v>4301011564</v>
      </c>
      <c r="D134" s="650">
        <v>4680115882577</v>
      </c>
      <c r="E134" s="651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241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56"/>
      <c r="R134" s="656"/>
      <c r="S134" s="656"/>
      <c r="T134" s="657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52"/>
      <c r="B135" s="653"/>
      <c r="C135" s="653"/>
      <c r="D135" s="653"/>
      <c r="E135" s="653"/>
      <c r="F135" s="653"/>
      <c r="G135" s="653"/>
      <c r="H135" s="653"/>
      <c r="I135" s="653"/>
      <c r="J135" s="653"/>
      <c r="K135" s="653"/>
      <c r="L135" s="653"/>
      <c r="M135" s="653"/>
      <c r="N135" s="653"/>
      <c r="O135" s="654"/>
      <c r="P135" s="647" t="s">
        <v>72</v>
      </c>
      <c r="Q135" s="648"/>
      <c r="R135" s="648"/>
      <c r="S135" s="648"/>
      <c r="T135" s="648"/>
      <c r="U135" s="648"/>
      <c r="V135" s="649"/>
      <c r="W135" s="37" t="s">
        <v>73</v>
      </c>
      <c r="X135" s="645">
        <f>IFERROR(X133/H133,"0")+IFERROR(X134/H134,"0")</f>
        <v>0</v>
      </c>
      <c r="Y135" s="645">
        <f>IFERROR(Y133/H133,"0")+IFERROR(Y134/H134,"0")</f>
        <v>0</v>
      </c>
      <c r="Z135" s="645">
        <f>IFERROR(IF(Z133="",0,Z133),"0")+IFERROR(IF(Z134="",0,Z134),"0")</f>
        <v>0</v>
      </c>
      <c r="AA135" s="646"/>
      <c r="AB135" s="646"/>
      <c r="AC135" s="646"/>
    </row>
    <row r="136" spans="1:68" hidden="1" x14ac:dyDescent="0.2">
      <c r="A136" s="653"/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4"/>
      <c r="P136" s="647" t="s">
        <v>72</v>
      </c>
      <c r="Q136" s="648"/>
      <c r="R136" s="648"/>
      <c r="S136" s="648"/>
      <c r="T136" s="648"/>
      <c r="U136" s="648"/>
      <c r="V136" s="649"/>
      <c r="W136" s="37" t="s">
        <v>67</v>
      </c>
      <c r="X136" s="645">
        <f>IFERROR(SUM(X133:X134),"0")</f>
        <v>0</v>
      </c>
      <c r="Y136" s="645">
        <f>IFERROR(SUM(Y133:Y134),"0")</f>
        <v>0</v>
      </c>
      <c r="Z136" s="37"/>
      <c r="AA136" s="646"/>
      <c r="AB136" s="646"/>
      <c r="AC136" s="646"/>
    </row>
    <row r="137" spans="1:68" ht="14.25" hidden="1" customHeight="1" x14ac:dyDescent="0.25">
      <c r="A137" s="663" t="s">
        <v>62</v>
      </c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3"/>
      <c r="P137" s="653"/>
      <c r="Q137" s="653"/>
      <c r="R137" s="653"/>
      <c r="S137" s="653"/>
      <c r="T137" s="653"/>
      <c r="U137" s="653"/>
      <c r="V137" s="653"/>
      <c r="W137" s="653"/>
      <c r="X137" s="653"/>
      <c r="Y137" s="653"/>
      <c r="Z137" s="653"/>
      <c r="AA137" s="639"/>
      <c r="AB137" s="639"/>
      <c r="AC137" s="639"/>
    </row>
    <row r="138" spans="1:68" ht="27" hidden="1" customHeight="1" x14ac:dyDescent="0.25">
      <c r="A138" s="54" t="s">
        <v>244</v>
      </c>
      <c r="B138" s="54" t="s">
        <v>245</v>
      </c>
      <c r="C138" s="31">
        <v>4301031234</v>
      </c>
      <c r="D138" s="650">
        <v>4680115883444</v>
      </c>
      <c r="E138" s="651"/>
      <c r="F138" s="642">
        <v>0.35</v>
      </c>
      <c r="G138" s="32">
        <v>8</v>
      </c>
      <c r="H138" s="642">
        <v>2.8</v>
      </c>
      <c r="I138" s="642">
        <v>3.0680000000000001</v>
      </c>
      <c r="J138" s="32">
        <v>182</v>
      </c>
      <c r="K138" s="32" t="s">
        <v>77</v>
      </c>
      <c r="L138" s="32"/>
      <c r="M138" s="33" t="s">
        <v>241</v>
      </c>
      <c r="N138" s="33"/>
      <c r="O138" s="32">
        <v>90</v>
      </c>
      <c r="P138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246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244</v>
      </c>
      <c r="B139" s="54" t="s">
        <v>247</v>
      </c>
      <c r="C139" s="31">
        <v>4301031235</v>
      </c>
      <c r="D139" s="650">
        <v>4680115883444</v>
      </c>
      <c r="E139" s="651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241</v>
      </c>
      <c r="N139" s="33"/>
      <c r="O139" s="32">
        <v>90</v>
      </c>
      <c r="P139" s="9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56"/>
      <c r="R139" s="656"/>
      <c r="S139" s="656"/>
      <c r="T139" s="657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52"/>
      <c r="B140" s="653"/>
      <c r="C140" s="653"/>
      <c r="D140" s="653"/>
      <c r="E140" s="653"/>
      <c r="F140" s="653"/>
      <c r="G140" s="653"/>
      <c r="H140" s="653"/>
      <c r="I140" s="653"/>
      <c r="J140" s="653"/>
      <c r="K140" s="653"/>
      <c r="L140" s="653"/>
      <c r="M140" s="653"/>
      <c r="N140" s="653"/>
      <c r="O140" s="654"/>
      <c r="P140" s="647" t="s">
        <v>72</v>
      </c>
      <c r="Q140" s="648"/>
      <c r="R140" s="648"/>
      <c r="S140" s="648"/>
      <c r="T140" s="648"/>
      <c r="U140" s="648"/>
      <c r="V140" s="649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hidden="1" x14ac:dyDescent="0.2">
      <c r="A141" s="653"/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4"/>
      <c r="P141" s="647" t="s">
        <v>72</v>
      </c>
      <c r="Q141" s="648"/>
      <c r="R141" s="648"/>
      <c r="S141" s="648"/>
      <c r="T141" s="648"/>
      <c r="U141" s="648"/>
      <c r="V141" s="649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hidden="1" customHeight="1" x14ac:dyDescent="0.25">
      <c r="A142" s="663" t="s">
        <v>74</v>
      </c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3"/>
      <c r="P142" s="653"/>
      <c r="Q142" s="653"/>
      <c r="R142" s="653"/>
      <c r="S142" s="653"/>
      <c r="T142" s="653"/>
      <c r="U142" s="653"/>
      <c r="V142" s="653"/>
      <c r="W142" s="653"/>
      <c r="X142" s="653"/>
      <c r="Y142" s="653"/>
      <c r="Z142" s="653"/>
      <c r="AA142" s="639"/>
      <c r="AB142" s="639"/>
      <c r="AC142" s="639"/>
    </row>
    <row r="143" spans="1:68" ht="16.5" hidden="1" customHeight="1" x14ac:dyDescent="0.25">
      <c r="A143" s="54" t="s">
        <v>248</v>
      </c>
      <c r="B143" s="54" t="s">
        <v>249</v>
      </c>
      <c r="C143" s="31">
        <v>4301051476</v>
      </c>
      <c r="D143" s="650">
        <v>4680115882584</v>
      </c>
      <c r="E143" s="651"/>
      <c r="F143" s="642">
        <v>0.33</v>
      </c>
      <c r="G143" s="32">
        <v>8</v>
      </c>
      <c r="H143" s="642">
        <v>2.64</v>
      </c>
      <c r="I143" s="642">
        <v>2.9079999999999999</v>
      </c>
      <c r="J143" s="32">
        <v>182</v>
      </c>
      <c r="K143" s="32" t="s">
        <v>77</v>
      </c>
      <c r="L143" s="32"/>
      <c r="M143" s="33" t="s">
        <v>241</v>
      </c>
      <c r="N143" s="33"/>
      <c r="O143" s="32">
        <v>60</v>
      </c>
      <c r="P143" s="8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6"/>
      <c r="R143" s="656"/>
      <c r="S143" s="656"/>
      <c r="T143" s="657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242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248</v>
      </c>
      <c r="B144" s="54" t="s">
        <v>250</v>
      </c>
      <c r="C144" s="31">
        <v>4301051477</v>
      </c>
      <c r="D144" s="650">
        <v>4680115882584</v>
      </c>
      <c r="E144" s="651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241</v>
      </c>
      <c r="N144" s="33"/>
      <c r="O144" s="32">
        <v>60</v>
      </c>
      <c r="P144" s="6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6"/>
      <c r="R144" s="656"/>
      <c r="S144" s="656"/>
      <c r="T144" s="657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2"/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4"/>
      <c r="P145" s="647" t="s">
        <v>72</v>
      </c>
      <c r="Q145" s="648"/>
      <c r="R145" s="648"/>
      <c r="S145" s="648"/>
      <c r="T145" s="648"/>
      <c r="U145" s="648"/>
      <c r="V145" s="649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3"/>
      <c r="B146" s="653"/>
      <c r="C146" s="653"/>
      <c r="D146" s="653"/>
      <c r="E146" s="653"/>
      <c r="F146" s="653"/>
      <c r="G146" s="653"/>
      <c r="H146" s="653"/>
      <c r="I146" s="653"/>
      <c r="J146" s="653"/>
      <c r="K146" s="653"/>
      <c r="L146" s="653"/>
      <c r="M146" s="653"/>
      <c r="N146" s="653"/>
      <c r="O146" s="654"/>
      <c r="P146" s="647" t="s">
        <v>72</v>
      </c>
      <c r="Q146" s="648"/>
      <c r="R146" s="648"/>
      <c r="S146" s="648"/>
      <c r="T146" s="648"/>
      <c r="U146" s="648"/>
      <c r="V146" s="649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6.5" hidden="1" customHeight="1" x14ac:dyDescent="0.25">
      <c r="A147" s="666" t="s">
        <v>251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38"/>
      <c r="AB147" s="638"/>
      <c r="AC147" s="638"/>
    </row>
    <row r="148" spans="1:68" ht="14.25" hidden="1" customHeight="1" x14ac:dyDescent="0.25">
      <c r="A148" s="663" t="s">
        <v>74</v>
      </c>
      <c r="B148" s="653"/>
      <c r="C148" s="653"/>
      <c r="D148" s="653"/>
      <c r="E148" s="653"/>
      <c r="F148" s="653"/>
      <c r="G148" s="653"/>
      <c r="H148" s="653"/>
      <c r="I148" s="653"/>
      <c r="J148" s="653"/>
      <c r="K148" s="653"/>
      <c r="L148" s="653"/>
      <c r="M148" s="653"/>
      <c r="N148" s="653"/>
      <c r="O148" s="653"/>
      <c r="P148" s="653"/>
      <c r="Q148" s="653"/>
      <c r="R148" s="653"/>
      <c r="S148" s="653"/>
      <c r="T148" s="653"/>
      <c r="U148" s="653"/>
      <c r="V148" s="653"/>
      <c r="W148" s="653"/>
      <c r="X148" s="653"/>
      <c r="Y148" s="653"/>
      <c r="Z148" s="653"/>
      <c r="AA148" s="639"/>
      <c r="AB148" s="639"/>
      <c r="AC148" s="639"/>
    </row>
    <row r="149" spans="1:68" ht="27" hidden="1" customHeight="1" x14ac:dyDescent="0.25">
      <c r="A149" s="54" t="s">
        <v>252</v>
      </c>
      <c r="B149" s="54" t="s">
        <v>253</v>
      </c>
      <c r="C149" s="31">
        <v>4301052254</v>
      </c>
      <c r="D149" s="650">
        <v>4680115888203</v>
      </c>
      <c r="E149" s="651"/>
      <c r="F149" s="642">
        <v>0.22</v>
      </c>
      <c r="G149" s="32">
        <v>6</v>
      </c>
      <c r="H149" s="642">
        <v>1.32</v>
      </c>
      <c r="I149" s="64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6"/>
      <c r="R149" s="656"/>
      <c r="S149" s="656"/>
      <c r="T149" s="657"/>
      <c r="U149" s="34"/>
      <c r="V149" s="34"/>
      <c r="W149" s="35" t="s">
        <v>67</v>
      </c>
      <c r="X149" s="643">
        <v>0</v>
      </c>
      <c r="Y149" s="644">
        <f t="shared" ref="Y149:Y154" si="10">IFERROR(IF(X149="",0,CEILING((X149/$H149),1)*$H149),"")</f>
        <v>0</v>
      </c>
      <c r="Z149" s="36" t="str">
        <f t="shared" ref="Z149:Z154" si="11">IFERROR(IF(Y149=0,"",ROUNDUP(Y149/H149,0)*0.00651),"")</f>
        <v/>
      </c>
      <c r="AA149" s="56"/>
      <c r="AB149" s="57"/>
      <c r="AC149" s="203" t="s">
        <v>254</v>
      </c>
      <c r="AG149" s="64"/>
      <c r="AJ149" s="68"/>
      <c r="AK149" s="68">
        <v>0</v>
      </c>
      <c r="BB149" s="204" t="s">
        <v>1</v>
      </c>
      <c r="BM149" s="64">
        <f t="shared" ref="BM149:BM154" si="12">IFERROR(X149*I149/H149,"0")</f>
        <v>0</v>
      </c>
      <c r="BN149" s="64">
        <f t="shared" ref="BN149:BN154" si="13">IFERROR(Y149*I149/H149,"0")</f>
        <v>0</v>
      </c>
      <c r="BO149" s="64">
        <f t="shared" ref="BO149:BO154" si="14">IFERROR(1/J149*(X149/H149),"0")</f>
        <v>0</v>
      </c>
      <c r="BP149" s="64">
        <f t="shared" ref="BP149:BP154" si="15"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4301052172</v>
      </c>
      <c r="D150" s="650">
        <v>4680115888180</v>
      </c>
      <c r="E150" s="651"/>
      <c r="F150" s="642">
        <v>0.22</v>
      </c>
      <c r="G150" s="32">
        <v>9</v>
      </c>
      <c r="H150" s="642">
        <v>1.98</v>
      </c>
      <c r="I150" s="64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4"/>
      <c r="V150" s="34"/>
      <c r="W150" s="35" t="s">
        <v>67</v>
      </c>
      <c r="X150" s="643">
        <v>0</v>
      </c>
      <c r="Y150" s="644">
        <f t="shared" si="10"/>
        <v>0</v>
      </c>
      <c r="Z150" s="36" t="str">
        <f t="shared" si="11"/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255</v>
      </c>
      <c r="B151" s="54" t="s">
        <v>258</v>
      </c>
      <c r="C151" s="31">
        <v>4301052252</v>
      </c>
      <c r="D151" s="650">
        <v>4680115888180</v>
      </c>
      <c r="E151" s="651"/>
      <c r="F151" s="642">
        <v>0.22</v>
      </c>
      <c r="G151" s="32">
        <v>6</v>
      </c>
      <c r="H151" s="642">
        <v>1.32</v>
      </c>
      <c r="I151" s="64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6"/>
      <c r="R151" s="656"/>
      <c r="S151" s="656"/>
      <c r="T151" s="657"/>
      <c r="U151" s="34"/>
      <c r="V151" s="34"/>
      <c r="W151" s="35" t="s">
        <v>67</v>
      </c>
      <c r="X151" s="643">
        <v>0</v>
      </c>
      <c r="Y151" s="644">
        <f t="shared" si="10"/>
        <v>0</v>
      </c>
      <c r="Z151" s="36" t="str">
        <f t="shared" si="11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4301052253</v>
      </c>
      <c r="D152" s="650">
        <v>4680115888197</v>
      </c>
      <c r="E152" s="651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6"/>
      <c r="R152" s="656"/>
      <c r="S152" s="656"/>
      <c r="T152" s="657"/>
      <c r="U152" s="34"/>
      <c r="V152" s="34"/>
      <c r="W152" s="35" t="s">
        <v>67</v>
      </c>
      <c r="X152" s="643">
        <v>0</v>
      </c>
      <c r="Y152" s="644">
        <f t="shared" si="10"/>
        <v>0</v>
      </c>
      <c r="Z152" s="36" t="str">
        <f t="shared" si="11"/>
        <v/>
      </c>
      <c r="AA152" s="56"/>
      <c r="AB152" s="57"/>
      <c r="AC152" s="209" t="s">
        <v>261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4301052175</v>
      </c>
      <c r="D153" s="650">
        <v>4680115888210</v>
      </c>
      <c r="E153" s="651"/>
      <c r="F153" s="642">
        <v>0.22</v>
      </c>
      <c r="G153" s="32">
        <v>9</v>
      </c>
      <c r="H153" s="642">
        <v>1.98</v>
      </c>
      <c r="I153" s="642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4"/>
      <c r="V153" s="34"/>
      <c r="W153" s="35" t="s">
        <v>67</v>
      </c>
      <c r="X153" s="643">
        <v>0</v>
      </c>
      <c r="Y153" s="644">
        <f t="shared" si="10"/>
        <v>0</v>
      </c>
      <c r="Z153" s="36" t="str">
        <f t="shared" si="11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262</v>
      </c>
      <c r="B154" s="54" t="s">
        <v>265</v>
      </c>
      <c r="C154" s="31">
        <v>4301052255</v>
      </c>
      <c r="D154" s="650">
        <v>4680115888210</v>
      </c>
      <c r="E154" s="651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6"/>
      <c r="R154" s="656"/>
      <c r="S154" s="656"/>
      <c r="T154" s="657"/>
      <c r="U154" s="34"/>
      <c r="V154" s="34"/>
      <c r="W154" s="35" t="s">
        <v>67</v>
      </c>
      <c r="X154" s="643">
        <v>0</v>
      </c>
      <c r="Y154" s="644">
        <f t="shared" si="10"/>
        <v>0</v>
      </c>
      <c r="Z154" s="36" t="str">
        <f t="shared" si="11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idden="1" x14ac:dyDescent="0.2">
      <c r="A155" s="652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47" t="s">
        <v>72</v>
      </c>
      <c r="Q155" s="648"/>
      <c r="R155" s="648"/>
      <c r="S155" s="648"/>
      <c r="T155" s="648"/>
      <c r="U155" s="648"/>
      <c r="V155" s="649"/>
      <c r="W155" s="37" t="s">
        <v>73</v>
      </c>
      <c r="X155" s="645">
        <f>IFERROR(X149/H149,"0")+IFERROR(X150/H150,"0")+IFERROR(X151/H151,"0")+IFERROR(X152/H152,"0")+IFERROR(X153/H153,"0")+IFERROR(X154/H154,"0")</f>
        <v>0</v>
      </c>
      <c r="Y155" s="645">
        <f>IFERROR(Y149/H149,"0")+IFERROR(Y150/H150,"0")+IFERROR(Y151/H151,"0")+IFERROR(Y152/H152,"0")+IFERROR(Y153/H153,"0")+IFERROR(Y154/H154,"0")</f>
        <v>0</v>
      </c>
      <c r="Z155" s="645">
        <f>IFERROR(IF(Z149="",0,Z149),"0")+IFERROR(IF(Z150="",0,Z150),"0")+IFERROR(IF(Z151="",0,Z151),"0")+IFERROR(IF(Z152="",0,Z152),"0")+IFERROR(IF(Z153="",0,Z153),"0")+IFERROR(IF(Z154="",0,Z154),"0")</f>
        <v>0</v>
      </c>
      <c r="AA155" s="646"/>
      <c r="AB155" s="646"/>
      <c r="AC155" s="646"/>
    </row>
    <row r="156" spans="1:68" hidden="1" x14ac:dyDescent="0.2">
      <c r="A156" s="653"/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4"/>
      <c r="P156" s="647" t="s">
        <v>72</v>
      </c>
      <c r="Q156" s="648"/>
      <c r="R156" s="648"/>
      <c r="S156" s="648"/>
      <c r="T156" s="648"/>
      <c r="U156" s="648"/>
      <c r="V156" s="649"/>
      <c r="W156" s="37" t="s">
        <v>67</v>
      </c>
      <c r="X156" s="645">
        <f>IFERROR(SUM(X149:X154),"0")</f>
        <v>0</v>
      </c>
      <c r="Y156" s="645">
        <f>IFERROR(SUM(Y149:Y154),"0")</f>
        <v>0</v>
      </c>
      <c r="Z156" s="37"/>
      <c r="AA156" s="646"/>
      <c r="AB156" s="646"/>
      <c r="AC156" s="646"/>
    </row>
    <row r="157" spans="1:68" ht="14.25" hidden="1" customHeight="1" x14ac:dyDescent="0.25">
      <c r="A157" s="663" t="s">
        <v>266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9"/>
      <c r="AB157" s="639"/>
      <c r="AC157" s="639"/>
    </row>
    <row r="158" spans="1:68" ht="27" hidden="1" customHeight="1" x14ac:dyDescent="0.25">
      <c r="A158" s="54" t="s">
        <v>267</v>
      </c>
      <c r="B158" s="54" t="s">
        <v>268</v>
      </c>
      <c r="C158" s="31">
        <v>4301032067</v>
      </c>
      <c r="D158" s="650">
        <v>4680115889132</v>
      </c>
      <c r="E158" s="651"/>
      <c r="F158" s="642">
        <v>0.04</v>
      </c>
      <c r="G158" s="32">
        <v>8</v>
      </c>
      <c r="H158" s="642">
        <v>0.32</v>
      </c>
      <c r="I158" s="642">
        <v>0.5</v>
      </c>
      <c r="J158" s="32">
        <v>330</v>
      </c>
      <c r="K158" s="32" t="s">
        <v>269</v>
      </c>
      <c r="L158" s="32"/>
      <c r="M158" s="33" t="s">
        <v>270</v>
      </c>
      <c r="N158" s="33"/>
      <c r="O158" s="32">
        <v>120</v>
      </c>
      <c r="P158" s="71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43">
        <v>0</v>
      </c>
      <c r="Y158" s="64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271</v>
      </c>
      <c r="AG158" s="64"/>
      <c r="AJ158" s="68"/>
      <c r="AK158" s="68">
        <v>0</v>
      </c>
      <c r="BB158" s="216" t="s">
        <v>272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52"/>
      <c r="B159" s="653"/>
      <c r="C159" s="653"/>
      <c r="D159" s="653"/>
      <c r="E159" s="653"/>
      <c r="F159" s="653"/>
      <c r="G159" s="653"/>
      <c r="H159" s="653"/>
      <c r="I159" s="653"/>
      <c r="J159" s="653"/>
      <c r="K159" s="653"/>
      <c r="L159" s="653"/>
      <c r="M159" s="653"/>
      <c r="N159" s="653"/>
      <c r="O159" s="654"/>
      <c r="P159" s="647" t="s">
        <v>72</v>
      </c>
      <c r="Q159" s="648"/>
      <c r="R159" s="648"/>
      <c r="S159" s="648"/>
      <c r="T159" s="648"/>
      <c r="U159" s="648"/>
      <c r="V159" s="649"/>
      <c r="W159" s="37" t="s">
        <v>73</v>
      </c>
      <c r="X159" s="645">
        <f>IFERROR(X158/H158,"0")</f>
        <v>0</v>
      </c>
      <c r="Y159" s="645">
        <f>IFERROR(Y158/H158,"0")</f>
        <v>0</v>
      </c>
      <c r="Z159" s="645">
        <f>IFERROR(IF(Z158="",0,Z158),"0")</f>
        <v>0</v>
      </c>
      <c r="AA159" s="646"/>
      <c r="AB159" s="646"/>
      <c r="AC159" s="646"/>
    </row>
    <row r="160" spans="1:68" hidden="1" x14ac:dyDescent="0.2">
      <c r="A160" s="653"/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4"/>
      <c r="P160" s="647" t="s">
        <v>72</v>
      </c>
      <c r="Q160" s="648"/>
      <c r="R160" s="648"/>
      <c r="S160" s="648"/>
      <c r="T160" s="648"/>
      <c r="U160" s="648"/>
      <c r="V160" s="649"/>
      <c r="W160" s="37" t="s">
        <v>67</v>
      </c>
      <c r="X160" s="645">
        <f>IFERROR(SUM(X158:X158),"0")</f>
        <v>0</v>
      </c>
      <c r="Y160" s="645">
        <f>IFERROR(SUM(Y158:Y158),"0")</f>
        <v>0</v>
      </c>
      <c r="Z160" s="37"/>
      <c r="AA160" s="646"/>
      <c r="AB160" s="646"/>
      <c r="AC160" s="646"/>
    </row>
    <row r="161" spans="1:68" ht="16.5" hidden="1" customHeight="1" x14ac:dyDescent="0.25">
      <c r="A161" s="666" t="s">
        <v>109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38"/>
      <c r="AB161" s="638"/>
      <c r="AC161" s="638"/>
    </row>
    <row r="162" spans="1:68" ht="14.25" hidden="1" customHeight="1" x14ac:dyDescent="0.25">
      <c r="A162" s="663" t="s">
        <v>111</v>
      </c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3"/>
      <c r="P162" s="653"/>
      <c r="Q162" s="653"/>
      <c r="R162" s="653"/>
      <c r="S162" s="653"/>
      <c r="T162" s="653"/>
      <c r="U162" s="653"/>
      <c r="V162" s="653"/>
      <c r="W162" s="653"/>
      <c r="X162" s="653"/>
      <c r="Y162" s="653"/>
      <c r="Z162" s="653"/>
      <c r="AA162" s="639"/>
      <c r="AB162" s="639"/>
      <c r="AC162" s="639"/>
    </row>
    <row r="163" spans="1:68" ht="27" customHeight="1" x14ac:dyDescent="0.25">
      <c r="A163" s="54" t="s">
        <v>273</v>
      </c>
      <c r="B163" s="54" t="s">
        <v>274</v>
      </c>
      <c r="C163" s="31">
        <v>4301012338</v>
      </c>
      <c r="D163" s="650">
        <v>4680115887374</v>
      </c>
      <c r="E163" s="651"/>
      <c r="F163" s="642">
        <v>1</v>
      </c>
      <c r="G163" s="32">
        <v>6</v>
      </c>
      <c r="H163" s="642">
        <v>6</v>
      </c>
      <c r="I163" s="642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1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6"/>
      <c r="R163" s="656"/>
      <c r="S163" s="656"/>
      <c r="T163" s="657"/>
      <c r="U163" s="34"/>
      <c r="V163" s="34"/>
      <c r="W163" s="35" t="s">
        <v>67</v>
      </c>
      <c r="X163" s="643">
        <v>16</v>
      </c>
      <c r="Y163" s="644">
        <f>IFERROR(IF(X163="",0,CEILING((X163/$H163),1)*$H163),"")</f>
        <v>18</v>
      </c>
      <c r="Z163" s="36">
        <f>IFERROR(IF(Y163=0,"",ROUNDUP(Y163/H163,0)*0.01196),"")</f>
        <v>3.5880000000000002E-2</v>
      </c>
      <c r="AA163" s="56"/>
      <c r="AB163" s="57"/>
      <c r="AC163" s="217" t="s">
        <v>275</v>
      </c>
      <c r="AG163" s="64"/>
      <c r="AJ163" s="68"/>
      <c r="AK163" s="68">
        <v>0</v>
      </c>
      <c r="BB163" s="218" t="s">
        <v>1</v>
      </c>
      <c r="BM163" s="64">
        <f>IFERROR(X163*I163/H163,"0")</f>
        <v>16.933333333333334</v>
      </c>
      <c r="BN163" s="64">
        <f>IFERROR(Y163*I163/H163,"0")</f>
        <v>19.05</v>
      </c>
      <c r="BO163" s="64">
        <f>IFERROR(1/J163*(X163/H163),"0")</f>
        <v>2.564102564102564E-2</v>
      </c>
      <c r="BP163" s="64">
        <f>IFERROR(1/J163*(Y163/H163),"0")</f>
        <v>2.8846153846153848E-2</v>
      </c>
    </row>
    <row r="164" spans="1:68" ht="27" hidden="1" customHeight="1" x14ac:dyDescent="0.25">
      <c r="A164" s="54" t="s">
        <v>276</v>
      </c>
      <c r="B164" s="54" t="s">
        <v>277</v>
      </c>
      <c r="C164" s="31">
        <v>4301011705</v>
      </c>
      <c r="D164" s="650">
        <v>4607091384604</v>
      </c>
      <c r="E164" s="651"/>
      <c r="F164" s="642">
        <v>0.4</v>
      </c>
      <c r="G164" s="32">
        <v>10</v>
      </c>
      <c r="H164" s="642">
        <v>4</v>
      </c>
      <c r="I164" s="642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6"/>
      <c r="R164" s="656"/>
      <c r="S164" s="656"/>
      <c r="T164" s="657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279</v>
      </c>
      <c r="C165" s="31">
        <v>4301012258</v>
      </c>
      <c r="D165" s="650">
        <v>4607091384604</v>
      </c>
      <c r="E165" s="651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6"/>
      <c r="R165" s="656"/>
      <c r="S165" s="656"/>
      <c r="T165" s="657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280</v>
      </c>
      <c r="B166" s="54" t="s">
        <v>281</v>
      </c>
      <c r="C166" s="31">
        <v>4301012344</v>
      </c>
      <c r="D166" s="650">
        <v>4680115888876</v>
      </c>
      <c r="E166" s="651"/>
      <c r="F166" s="642">
        <v>0.43</v>
      </c>
      <c r="G166" s="32">
        <v>6</v>
      </c>
      <c r="H166" s="642">
        <v>2.58</v>
      </c>
      <c r="I166" s="64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282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47" t="s">
        <v>72</v>
      </c>
      <c r="Q167" s="648"/>
      <c r="R167" s="648"/>
      <c r="S167" s="648"/>
      <c r="T167" s="648"/>
      <c r="U167" s="648"/>
      <c r="V167" s="649"/>
      <c r="W167" s="37" t="s">
        <v>73</v>
      </c>
      <c r="X167" s="645">
        <f>IFERROR(X163/H163,"0")+IFERROR(X164/H164,"0")+IFERROR(X165/H165,"0")+IFERROR(X166/H166,"0")</f>
        <v>2.6666666666666665</v>
      </c>
      <c r="Y167" s="645">
        <f>IFERROR(Y163/H163,"0")+IFERROR(Y164/H164,"0")+IFERROR(Y165/H165,"0")+IFERROR(Y166/H166,"0")</f>
        <v>3</v>
      </c>
      <c r="Z167" s="645">
        <f>IFERROR(IF(Z163="",0,Z163),"0")+IFERROR(IF(Z164="",0,Z164),"0")+IFERROR(IF(Z165="",0,Z165),"0")+IFERROR(IF(Z166="",0,Z166),"0")</f>
        <v>3.5880000000000002E-2</v>
      </c>
      <c r="AA167" s="646"/>
      <c r="AB167" s="646"/>
      <c r="AC167" s="646"/>
    </row>
    <row r="168" spans="1:68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47" t="s">
        <v>72</v>
      </c>
      <c r="Q168" s="648"/>
      <c r="R168" s="648"/>
      <c r="S168" s="648"/>
      <c r="T168" s="648"/>
      <c r="U168" s="648"/>
      <c r="V168" s="649"/>
      <c r="W168" s="37" t="s">
        <v>67</v>
      </c>
      <c r="X168" s="645">
        <f>IFERROR(SUM(X163:X166),"0")</f>
        <v>16</v>
      </c>
      <c r="Y168" s="645">
        <f>IFERROR(SUM(Y163:Y166),"0")</f>
        <v>18</v>
      </c>
      <c r="Z168" s="37"/>
      <c r="AA168" s="646"/>
      <c r="AB168" s="646"/>
      <c r="AC168" s="646"/>
    </row>
    <row r="169" spans="1:68" ht="14.25" hidden="1" customHeight="1" x14ac:dyDescent="0.25">
      <c r="A169" s="663" t="s">
        <v>148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9"/>
      <c r="AB169" s="639"/>
      <c r="AC169" s="639"/>
    </row>
    <row r="170" spans="1:68" ht="16.5" hidden="1" customHeight="1" x14ac:dyDescent="0.25">
      <c r="A170" s="54" t="s">
        <v>283</v>
      </c>
      <c r="B170" s="54" t="s">
        <v>284</v>
      </c>
      <c r="C170" s="31">
        <v>4301020410</v>
      </c>
      <c r="D170" s="650">
        <v>4680115887695</v>
      </c>
      <c r="E170" s="651"/>
      <c r="F170" s="642">
        <v>0.12</v>
      </c>
      <c r="G170" s="32">
        <v>6</v>
      </c>
      <c r="H170" s="642">
        <v>0.72</v>
      </c>
      <c r="I170" s="64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6"/>
      <c r="R170" s="656"/>
      <c r="S170" s="656"/>
      <c r="T170" s="657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285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286</v>
      </c>
      <c r="B171" s="54" t="s">
        <v>287</v>
      </c>
      <c r="C171" s="31">
        <v>4301020439</v>
      </c>
      <c r="D171" s="650">
        <v>4680115889491</v>
      </c>
      <c r="E171" s="651"/>
      <c r="F171" s="642">
        <v>0.3</v>
      </c>
      <c r="G171" s="32">
        <v>8</v>
      </c>
      <c r="H171" s="642">
        <v>2.4</v>
      </c>
      <c r="I171" s="64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2"/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4"/>
      <c r="P172" s="647" t="s">
        <v>72</v>
      </c>
      <c r="Q172" s="648"/>
      <c r="R172" s="648"/>
      <c r="S172" s="648"/>
      <c r="T172" s="648"/>
      <c r="U172" s="648"/>
      <c r="V172" s="649"/>
      <c r="W172" s="37" t="s">
        <v>73</v>
      </c>
      <c r="X172" s="645">
        <f>IFERROR(X170/H170,"0")+IFERROR(X171/H171,"0")</f>
        <v>0</v>
      </c>
      <c r="Y172" s="645">
        <f>IFERROR(Y170/H170,"0")+IFERROR(Y171/H171,"0")</f>
        <v>0</v>
      </c>
      <c r="Z172" s="645">
        <f>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3"/>
      <c r="B173" s="653"/>
      <c r="C173" s="653"/>
      <c r="D173" s="653"/>
      <c r="E173" s="653"/>
      <c r="F173" s="653"/>
      <c r="G173" s="653"/>
      <c r="H173" s="653"/>
      <c r="I173" s="653"/>
      <c r="J173" s="653"/>
      <c r="K173" s="653"/>
      <c r="L173" s="653"/>
      <c r="M173" s="653"/>
      <c r="N173" s="653"/>
      <c r="O173" s="654"/>
      <c r="P173" s="647" t="s">
        <v>72</v>
      </c>
      <c r="Q173" s="648"/>
      <c r="R173" s="648"/>
      <c r="S173" s="648"/>
      <c r="T173" s="648"/>
      <c r="U173" s="648"/>
      <c r="V173" s="649"/>
      <c r="W173" s="37" t="s">
        <v>67</v>
      </c>
      <c r="X173" s="645">
        <f>IFERROR(SUM(X170:X171),"0")</f>
        <v>0</v>
      </c>
      <c r="Y173" s="645">
        <f>IFERROR(SUM(Y170:Y171),"0")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63" t="s">
        <v>62</v>
      </c>
      <c r="B174" s="653"/>
      <c r="C174" s="653"/>
      <c r="D174" s="653"/>
      <c r="E174" s="653"/>
      <c r="F174" s="653"/>
      <c r="G174" s="653"/>
      <c r="H174" s="653"/>
      <c r="I174" s="653"/>
      <c r="J174" s="653"/>
      <c r="K174" s="653"/>
      <c r="L174" s="653"/>
      <c r="M174" s="653"/>
      <c r="N174" s="653"/>
      <c r="O174" s="653"/>
      <c r="P174" s="653"/>
      <c r="Q174" s="653"/>
      <c r="R174" s="653"/>
      <c r="S174" s="653"/>
      <c r="T174" s="653"/>
      <c r="U174" s="653"/>
      <c r="V174" s="653"/>
      <c r="W174" s="653"/>
      <c r="X174" s="653"/>
      <c r="Y174" s="653"/>
      <c r="Z174" s="653"/>
      <c r="AA174" s="639"/>
      <c r="AB174" s="639"/>
      <c r="AC174" s="639"/>
    </row>
    <row r="175" spans="1:68" ht="27" customHeight="1" x14ac:dyDescent="0.25">
      <c r="A175" s="54" t="s">
        <v>289</v>
      </c>
      <c r="B175" s="54" t="s">
        <v>290</v>
      </c>
      <c r="C175" s="31">
        <v>4301031496</v>
      </c>
      <c r="D175" s="650">
        <v>4680115887428</v>
      </c>
      <c r="E175" s="651"/>
      <c r="F175" s="642">
        <v>0.7</v>
      </c>
      <c r="G175" s="32">
        <v>5</v>
      </c>
      <c r="H175" s="642">
        <v>3.5</v>
      </c>
      <c r="I175" s="64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6"/>
      <c r="R175" s="656"/>
      <c r="S175" s="656"/>
      <c r="T175" s="657"/>
      <c r="U175" s="34"/>
      <c r="V175" s="34"/>
      <c r="W175" s="35" t="s">
        <v>67</v>
      </c>
      <c r="X175" s="643">
        <v>50</v>
      </c>
      <c r="Y175" s="644">
        <f t="shared" ref="Y175:Y185" si="16">IFERROR(IF(X175="",0,CEILING((X175/$H175),1)*$H175),"")</f>
        <v>52.5</v>
      </c>
      <c r="Z175" s="36">
        <f>IFERROR(IF(Y175=0,"",ROUNDUP(Y175/H175,0)*0.00902),"")</f>
        <v>0.1353</v>
      </c>
      <c r="AA175" s="56"/>
      <c r="AB175" s="57"/>
      <c r="AC175" s="229" t="s">
        <v>291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52.714285714285715</v>
      </c>
      <c r="BN175" s="64">
        <f t="shared" ref="BN175:BN185" si="18">IFERROR(Y175*I175/H175,"0")</f>
        <v>55.35</v>
      </c>
      <c r="BO175" s="64">
        <f t="shared" ref="BO175:BO185" si="19">IFERROR(1/J175*(X175/H175),"0")</f>
        <v>0.10822510822510824</v>
      </c>
      <c r="BP175" s="64">
        <f t="shared" ref="BP175:BP185" si="20">IFERROR(1/J175*(Y175/H175),"0")</f>
        <v>0.11363636363636365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4301031509</v>
      </c>
      <c r="D176" s="650">
        <v>4680115889170</v>
      </c>
      <c r="E176" s="651"/>
      <c r="F176" s="642">
        <v>0.7</v>
      </c>
      <c r="G176" s="32">
        <v>5</v>
      </c>
      <c r="H176" s="642">
        <v>3.5</v>
      </c>
      <c r="I176" s="64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6"/>
      <c r="R176" s="656"/>
      <c r="S176" s="656"/>
      <c r="T176" s="657"/>
      <c r="U176" s="34"/>
      <c r="V176" s="34"/>
      <c r="W176" s="35" t="s">
        <v>67</v>
      </c>
      <c r="X176" s="643">
        <v>0</v>
      </c>
      <c r="Y176" s="64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295</v>
      </c>
      <c r="B177" s="54" t="s">
        <v>296</v>
      </c>
      <c r="C177" s="31">
        <v>4301031522</v>
      </c>
      <c r="D177" s="650">
        <v>4680115887398</v>
      </c>
      <c r="E177" s="651"/>
      <c r="F177" s="642">
        <v>0.7</v>
      </c>
      <c r="G177" s="32">
        <v>5</v>
      </c>
      <c r="H177" s="642">
        <v>3.5</v>
      </c>
      <c r="I177" s="64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43">
        <v>260</v>
      </c>
      <c r="Y177" s="644">
        <f t="shared" si="16"/>
        <v>262.5</v>
      </c>
      <c r="Z177" s="36">
        <f>IFERROR(IF(Y177=0,"",ROUNDUP(Y177/H177,0)*0.00902),"")</f>
        <v>0.67649999999999999</v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17"/>
        <v>274.1142857142857</v>
      </c>
      <c r="BN177" s="64">
        <f t="shared" si="18"/>
        <v>276.75</v>
      </c>
      <c r="BO177" s="64">
        <f t="shared" si="19"/>
        <v>0.56277056277056281</v>
      </c>
      <c r="BP177" s="64">
        <f t="shared" si="20"/>
        <v>0.56818181818181823</v>
      </c>
    </row>
    <row r="178" spans="1:68" ht="27" customHeight="1" x14ac:dyDescent="0.25">
      <c r="A178" s="54" t="s">
        <v>298</v>
      </c>
      <c r="B178" s="54" t="s">
        <v>299</v>
      </c>
      <c r="C178" s="31">
        <v>4301031520</v>
      </c>
      <c r="D178" s="650">
        <v>4680115887336</v>
      </c>
      <c r="E178" s="651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3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43">
        <v>304</v>
      </c>
      <c r="Y178" s="644">
        <f t="shared" si="16"/>
        <v>304.5</v>
      </c>
      <c r="Z178" s="36">
        <f>IFERROR(IF(Y178=0,"",ROUNDUP(Y178/H178,0)*0.00902),"")</f>
        <v>0.78473999999999999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17"/>
        <v>320.50285714285712</v>
      </c>
      <c r="BN178" s="64">
        <f t="shared" si="18"/>
        <v>321.03000000000003</v>
      </c>
      <c r="BO178" s="64">
        <f t="shared" si="19"/>
        <v>0.65800865800865804</v>
      </c>
      <c r="BP178" s="64">
        <f t="shared" si="20"/>
        <v>0.65909090909090906</v>
      </c>
    </row>
    <row r="179" spans="1:68" ht="16.5" hidden="1" customHeight="1" x14ac:dyDescent="0.25">
      <c r="A179" s="54" t="s">
        <v>301</v>
      </c>
      <c r="B179" s="54" t="s">
        <v>302</v>
      </c>
      <c r="C179" s="31">
        <v>4301032049</v>
      </c>
      <c r="D179" s="650">
        <v>4680115887787</v>
      </c>
      <c r="E179" s="651"/>
      <c r="F179" s="642">
        <v>0.09</v>
      </c>
      <c r="G179" s="32">
        <v>10</v>
      </c>
      <c r="H179" s="642">
        <v>0.9</v>
      </c>
      <c r="I179" s="64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4"/>
      <c r="V179" s="34"/>
      <c r="W179" s="35" t="s">
        <v>67</v>
      </c>
      <c r="X179" s="643">
        <v>0</v>
      </c>
      <c r="Y179" s="64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16.5" hidden="1" customHeight="1" x14ac:dyDescent="0.25">
      <c r="A180" s="54" t="s">
        <v>301</v>
      </c>
      <c r="B180" s="54" t="s">
        <v>304</v>
      </c>
      <c r="C180" s="31">
        <v>4301031528</v>
      </c>
      <c r="D180" s="650">
        <v>4680115887787</v>
      </c>
      <c r="E180" s="651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192</v>
      </c>
      <c r="K180" s="32" t="s">
        <v>119</v>
      </c>
      <c r="L180" s="32"/>
      <c r="M180" s="33" t="s">
        <v>66</v>
      </c>
      <c r="N180" s="33"/>
      <c r="O180" s="32">
        <v>45</v>
      </c>
      <c r="P180" s="7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6"/>
      <c r="R180" s="656"/>
      <c r="S180" s="656"/>
      <c r="T180" s="657"/>
      <c r="U180" s="34"/>
      <c r="V180" s="34"/>
      <c r="W180" s="35" t="s">
        <v>67</v>
      </c>
      <c r="X180" s="643">
        <v>0</v>
      </c>
      <c r="Y180" s="644">
        <f t="shared" si="16"/>
        <v>0</v>
      </c>
      <c r="Z180" s="36" t="str">
        <f>IFERROR(IF(Y180=0,"",ROUNDUP(Y180/H180,0)*0.00726),"")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305</v>
      </c>
      <c r="B181" s="54" t="s">
        <v>306</v>
      </c>
      <c r="C181" s="31">
        <v>4301031448</v>
      </c>
      <c r="D181" s="650">
        <v>4680115887503</v>
      </c>
      <c r="E181" s="651"/>
      <c r="F181" s="642">
        <v>0.28000000000000003</v>
      </c>
      <c r="G181" s="32">
        <v>6</v>
      </c>
      <c r="H181" s="642">
        <v>1.68</v>
      </c>
      <c r="I181" s="642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40</v>
      </c>
      <c r="P181" s="97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56"/>
      <c r="R181" s="656"/>
      <c r="S181" s="656"/>
      <c r="T181" s="657"/>
      <c r="U181" s="34"/>
      <c r="V181" s="34"/>
      <c r="W181" s="35" t="s">
        <v>67</v>
      </c>
      <c r="X181" s="643">
        <v>169</v>
      </c>
      <c r="Y181" s="644">
        <f t="shared" si="16"/>
        <v>169.68</v>
      </c>
      <c r="Z181" s="36">
        <f>IFERROR(IF(Y181=0,"",ROUNDUP(Y181/H181,0)*0.00502),"")</f>
        <v>0.50702000000000003</v>
      </c>
      <c r="AA181" s="56"/>
      <c r="AB181" s="57"/>
      <c r="AC181" s="241" t="s">
        <v>291</v>
      </c>
      <c r="AG181" s="64"/>
      <c r="AJ181" s="68"/>
      <c r="AK181" s="68">
        <v>0</v>
      </c>
      <c r="BB181" s="242" t="s">
        <v>1</v>
      </c>
      <c r="BM181" s="64">
        <f t="shared" si="17"/>
        <v>179.05952380952382</v>
      </c>
      <c r="BN181" s="64">
        <f t="shared" si="18"/>
        <v>179.78000000000003</v>
      </c>
      <c r="BO181" s="64">
        <f t="shared" si="19"/>
        <v>0.42989417989417994</v>
      </c>
      <c r="BP181" s="64">
        <f t="shared" si="20"/>
        <v>0.43162393162393176</v>
      </c>
    </row>
    <row r="182" spans="1:68" ht="27" hidden="1" customHeight="1" x14ac:dyDescent="0.25">
      <c r="A182" s="54" t="s">
        <v>307</v>
      </c>
      <c r="B182" s="54" t="s">
        <v>308</v>
      </c>
      <c r="C182" s="31">
        <v>4301031389</v>
      </c>
      <c r="D182" s="650">
        <v>4680115887763</v>
      </c>
      <c r="E182" s="651"/>
      <c r="F182" s="642">
        <v>0.09</v>
      </c>
      <c r="G182" s="32">
        <v>10</v>
      </c>
      <c r="H182" s="642">
        <v>0.9</v>
      </c>
      <c r="I182" s="642">
        <v>1.1100000000000001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43">
        <v>0</v>
      </c>
      <c r="Y182" s="64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309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4301031521</v>
      </c>
      <c r="D183" s="650">
        <v>4680115887480</v>
      </c>
      <c r="E183" s="651"/>
      <c r="F183" s="642">
        <v>0.28000000000000003</v>
      </c>
      <c r="G183" s="32">
        <v>6</v>
      </c>
      <c r="H183" s="642">
        <v>1.68</v>
      </c>
      <c r="I183" s="64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43">
        <v>127</v>
      </c>
      <c r="Y183" s="644">
        <f t="shared" si="16"/>
        <v>127.67999999999999</v>
      </c>
      <c r="Z183" s="36">
        <f>IFERROR(IF(Y183=0,"",ROUNDUP(Y183/H183,0)*0.00502),"")</f>
        <v>0.38152000000000003</v>
      </c>
      <c r="AA183" s="56"/>
      <c r="AB183" s="57"/>
      <c r="AC183" s="245" t="s">
        <v>297</v>
      </c>
      <c r="AG183" s="64"/>
      <c r="AJ183" s="68"/>
      <c r="AK183" s="68">
        <v>0</v>
      </c>
      <c r="BB183" s="246" t="s">
        <v>1</v>
      </c>
      <c r="BM183" s="64">
        <f t="shared" si="17"/>
        <v>134.55952380952382</v>
      </c>
      <c r="BN183" s="64">
        <f t="shared" si="18"/>
        <v>135.28</v>
      </c>
      <c r="BO183" s="64">
        <f t="shared" si="19"/>
        <v>0.32305657305657309</v>
      </c>
      <c r="BP183" s="64">
        <f t="shared" si="20"/>
        <v>0.3247863247863248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4301031434</v>
      </c>
      <c r="D184" s="650">
        <v>4680115888067</v>
      </c>
      <c r="E184" s="651"/>
      <c r="F184" s="642">
        <v>0.09</v>
      </c>
      <c r="G184" s="32">
        <v>10</v>
      </c>
      <c r="H184" s="642">
        <v>0.9</v>
      </c>
      <c r="I184" s="64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43">
        <v>0</v>
      </c>
      <c r="Y184" s="64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4301031519</v>
      </c>
      <c r="D185" s="650">
        <v>4680115887435</v>
      </c>
      <c r="E185" s="651"/>
      <c r="F185" s="642">
        <v>0.28000000000000003</v>
      </c>
      <c r="G185" s="32">
        <v>6</v>
      </c>
      <c r="H185" s="642">
        <v>1.68</v>
      </c>
      <c r="I185" s="64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45</v>
      </c>
      <c r="P185" s="81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6"/>
      <c r="R185" s="656"/>
      <c r="S185" s="656"/>
      <c r="T185" s="657"/>
      <c r="U185" s="34"/>
      <c r="V185" s="34"/>
      <c r="W185" s="35" t="s">
        <v>67</v>
      </c>
      <c r="X185" s="643">
        <v>146</v>
      </c>
      <c r="Y185" s="644">
        <f t="shared" si="16"/>
        <v>146.16</v>
      </c>
      <c r="Z185" s="36">
        <f>IFERROR(IF(Y185=0,"",ROUNDUP(Y185/H185,0)*0.00502),"")</f>
        <v>0.43674000000000002</v>
      </c>
      <c r="AA185" s="56"/>
      <c r="AB185" s="57"/>
      <c r="AC185" s="249" t="s">
        <v>300</v>
      </c>
      <c r="AG185" s="64"/>
      <c r="AJ185" s="68"/>
      <c r="AK185" s="68">
        <v>0</v>
      </c>
      <c r="BB185" s="250" t="s">
        <v>1</v>
      </c>
      <c r="BM185" s="64">
        <f t="shared" si="17"/>
        <v>154.6904761904762</v>
      </c>
      <c r="BN185" s="64">
        <f t="shared" si="18"/>
        <v>154.86000000000001</v>
      </c>
      <c r="BO185" s="64">
        <f t="shared" si="19"/>
        <v>0.37138787138787144</v>
      </c>
      <c r="BP185" s="64">
        <f t="shared" si="20"/>
        <v>0.37179487179487181</v>
      </c>
    </row>
    <row r="186" spans="1:68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47" t="s">
        <v>72</v>
      </c>
      <c r="Q186" s="648"/>
      <c r="R186" s="648"/>
      <c r="S186" s="648"/>
      <c r="T186" s="648"/>
      <c r="U186" s="648"/>
      <c r="V186" s="649"/>
      <c r="W186" s="37" t="s">
        <v>73</v>
      </c>
      <c r="X186" s="64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438.52380952380952</v>
      </c>
      <c r="Y186" s="64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441</v>
      </c>
      <c r="Z186" s="64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2.9218199999999999</v>
      </c>
      <c r="AA186" s="646"/>
      <c r="AB186" s="646"/>
      <c r="AC186" s="646"/>
    </row>
    <row r="187" spans="1:68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47" t="s">
        <v>72</v>
      </c>
      <c r="Q187" s="648"/>
      <c r="R187" s="648"/>
      <c r="S187" s="648"/>
      <c r="T187" s="648"/>
      <c r="U187" s="648"/>
      <c r="V187" s="649"/>
      <c r="W187" s="37" t="s">
        <v>67</v>
      </c>
      <c r="X187" s="645">
        <f>IFERROR(SUM(X175:X185),"0")</f>
        <v>1056</v>
      </c>
      <c r="Y187" s="645">
        <f>IFERROR(SUM(Y175:Y185),"0")</f>
        <v>1063.02</v>
      </c>
      <c r="Z187" s="37"/>
      <c r="AA187" s="646"/>
      <c r="AB187" s="646"/>
      <c r="AC187" s="646"/>
    </row>
    <row r="188" spans="1:68" ht="14.25" hidden="1" customHeight="1" x14ac:dyDescent="0.25">
      <c r="A188" s="663" t="s">
        <v>74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9"/>
      <c r="AB188" s="639"/>
      <c r="AC188" s="639"/>
    </row>
    <row r="189" spans="1:68" ht="16.5" hidden="1" customHeight="1" x14ac:dyDescent="0.25">
      <c r="A189" s="54" t="s">
        <v>317</v>
      </c>
      <c r="B189" s="54" t="s">
        <v>318</v>
      </c>
      <c r="C189" s="31">
        <v>4301052193</v>
      </c>
      <c r="D189" s="650">
        <v>4680115888395</v>
      </c>
      <c r="E189" s="651"/>
      <c r="F189" s="642">
        <v>0.42</v>
      </c>
      <c r="G189" s="32">
        <v>6</v>
      </c>
      <c r="H189" s="642">
        <v>2.52</v>
      </c>
      <c r="I189" s="64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6"/>
      <c r="R189" s="656"/>
      <c r="S189" s="656"/>
      <c r="T189" s="657"/>
      <c r="U189" s="34"/>
      <c r="V189" s="34"/>
      <c r="W189" s="35" t="s">
        <v>67</v>
      </c>
      <c r="X189" s="643">
        <v>0</v>
      </c>
      <c r="Y189" s="64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319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320</v>
      </c>
      <c r="B190" s="54" t="s">
        <v>321</v>
      </c>
      <c r="C190" s="31">
        <v>4301052191</v>
      </c>
      <c r="D190" s="650">
        <v>4680115888371</v>
      </c>
      <c r="E190" s="651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1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323</v>
      </c>
      <c r="B191" s="54" t="s">
        <v>324</v>
      </c>
      <c r="C191" s="31">
        <v>4301052064</v>
      </c>
      <c r="D191" s="650">
        <v>4680115887459</v>
      </c>
      <c r="E191" s="651"/>
      <c r="F191" s="642">
        <v>0.3</v>
      </c>
      <c r="G191" s="32">
        <v>6</v>
      </c>
      <c r="H191" s="642">
        <v>1.8</v>
      </c>
      <c r="I191" s="64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2"/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4"/>
      <c r="P192" s="647" t="s">
        <v>72</v>
      </c>
      <c r="Q192" s="648"/>
      <c r="R192" s="648"/>
      <c r="S192" s="648"/>
      <c r="T192" s="648"/>
      <c r="U192" s="648"/>
      <c r="V192" s="649"/>
      <c r="W192" s="37" t="s">
        <v>73</v>
      </c>
      <c r="X192" s="645">
        <f>IFERROR(X189/H189,"0")+IFERROR(X190/H190,"0")+IFERROR(X191/H191,"0")</f>
        <v>0</v>
      </c>
      <c r="Y192" s="645">
        <f>IFERROR(Y189/H189,"0")+IFERROR(Y190/H190,"0")+IFERROR(Y191/H191,"0")</f>
        <v>0</v>
      </c>
      <c r="Z192" s="645">
        <f>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3"/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4"/>
      <c r="P193" s="647" t="s">
        <v>72</v>
      </c>
      <c r="Q193" s="648"/>
      <c r="R193" s="648"/>
      <c r="S193" s="648"/>
      <c r="T193" s="648"/>
      <c r="U193" s="648"/>
      <c r="V193" s="649"/>
      <c r="W193" s="37" t="s">
        <v>67</v>
      </c>
      <c r="X193" s="645">
        <f>IFERROR(SUM(X189:X191),"0")</f>
        <v>0</v>
      </c>
      <c r="Y193" s="645">
        <f>IFERROR(SUM(Y189:Y191),"0")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63" t="s">
        <v>266</v>
      </c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3"/>
      <c r="P194" s="653"/>
      <c r="Q194" s="653"/>
      <c r="R194" s="653"/>
      <c r="S194" s="653"/>
      <c r="T194" s="653"/>
      <c r="U194" s="653"/>
      <c r="V194" s="653"/>
      <c r="W194" s="653"/>
      <c r="X194" s="653"/>
      <c r="Y194" s="653"/>
      <c r="Z194" s="653"/>
      <c r="AA194" s="639"/>
      <c r="AB194" s="639"/>
      <c r="AC194" s="639"/>
    </row>
    <row r="195" spans="1:68" ht="16.5" hidden="1" customHeight="1" x14ac:dyDescent="0.25">
      <c r="A195" s="54" t="s">
        <v>326</v>
      </c>
      <c r="B195" s="54" t="s">
        <v>327</v>
      </c>
      <c r="C195" s="31">
        <v>4301032058</v>
      </c>
      <c r="D195" s="650">
        <v>4680115889026</v>
      </c>
      <c r="E195" s="651"/>
      <c r="F195" s="642">
        <v>0.06</v>
      </c>
      <c r="G195" s="32">
        <v>18</v>
      </c>
      <c r="H195" s="642">
        <v>1.08</v>
      </c>
      <c r="I195" s="642">
        <v>1.36</v>
      </c>
      <c r="J195" s="32">
        <v>216</v>
      </c>
      <c r="K195" s="32" t="s">
        <v>328</v>
      </c>
      <c r="L195" s="32"/>
      <c r="M195" s="33" t="s">
        <v>270</v>
      </c>
      <c r="N195" s="33"/>
      <c r="O195" s="32">
        <v>60</v>
      </c>
      <c r="P195" s="7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329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2"/>
      <c r="B196" s="653"/>
      <c r="C196" s="653"/>
      <c r="D196" s="653"/>
      <c r="E196" s="653"/>
      <c r="F196" s="653"/>
      <c r="G196" s="653"/>
      <c r="H196" s="653"/>
      <c r="I196" s="653"/>
      <c r="J196" s="653"/>
      <c r="K196" s="653"/>
      <c r="L196" s="653"/>
      <c r="M196" s="653"/>
      <c r="N196" s="653"/>
      <c r="O196" s="654"/>
      <c r="P196" s="647" t="s">
        <v>72</v>
      </c>
      <c r="Q196" s="648"/>
      <c r="R196" s="648"/>
      <c r="S196" s="648"/>
      <c r="T196" s="648"/>
      <c r="U196" s="648"/>
      <c r="V196" s="649"/>
      <c r="W196" s="37" t="s">
        <v>73</v>
      </c>
      <c r="X196" s="645">
        <f>IFERROR(X195/H195,"0")</f>
        <v>0</v>
      </c>
      <c r="Y196" s="645">
        <f>IFERROR(Y195/H195,"0")</f>
        <v>0</v>
      </c>
      <c r="Z196" s="645">
        <f>IFERROR(IF(Z195="",0,Z195),"0")</f>
        <v>0</v>
      </c>
      <c r="AA196" s="646"/>
      <c r="AB196" s="646"/>
      <c r="AC196" s="646"/>
    </row>
    <row r="197" spans="1:68" hidden="1" x14ac:dyDescent="0.2">
      <c r="A197" s="653"/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4"/>
      <c r="P197" s="647" t="s">
        <v>72</v>
      </c>
      <c r="Q197" s="648"/>
      <c r="R197" s="648"/>
      <c r="S197" s="648"/>
      <c r="T197" s="648"/>
      <c r="U197" s="648"/>
      <c r="V197" s="649"/>
      <c r="W197" s="37" t="s">
        <v>67</v>
      </c>
      <c r="X197" s="645">
        <f>IFERROR(SUM(X195:X195),"0")</f>
        <v>0</v>
      </c>
      <c r="Y197" s="645">
        <f>IFERROR(SUM(Y195:Y195),"0")</f>
        <v>0</v>
      </c>
      <c r="Z197" s="37"/>
      <c r="AA197" s="646"/>
      <c r="AB197" s="646"/>
      <c r="AC197" s="646"/>
    </row>
    <row r="198" spans="1:68" ht="14.25" hidden="1" customHeight="1" x14ac:dyDescent="0.25">
      <c r="A198" s="663" t="s">
        <v>330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9"/>
      <c r="AB198" s="639"/>
      <c r="AC198" s="639"/>
    </row>
    <row r="199" spans="1:68" ht="27" hidden="1" customHeight="1" x14ac:dyDescent="0.25">
      <c r="A199" s="54" t="s">
        <v>331</v>
      </c>
      <c r="B199" s="54" t="s">
        <v>332</v>
      </c>
      <c r="C199" s="31">
        <v>4301041009</v>
      </c>
      <c r="D199" s="650">
        <v>4680115889033</v>
      </c>
      <c r="E199" s="651"/>
      <c r="F199" s="642">
        <v>0.11</v>
      </c>
      <c r="G199" s="32">
        <v>15</v>
      </c>
      <c r="H199" s="642">
        <v>1.65</v>
      </c>
      <c r="I199" s="642">
        <v>1.9</v>
      </c>
      <c r="J199" s="32">
        <v>216</v>
      </c>
      <c r="K199" s="32" t="s">
        <v>328</v>
      </c>
      <c r="L199" s="32"/>
      <c r="M199" s="33" t="s">
        <v>270</v>
      </c>
      <c r="N199" s="33"/>
      <c r="O199" s="32">
        <v>60</v>
      </c>
      <c r="P199" s="9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43">
        <v>0</v>
      </c>
      <c r="Y199" s="644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9" t="s">
        <v>333</v>
      </c>
      <c r="AG199" s="64"/>
      <c r="AJ199" s="68"/>
      <c r="AK199" s="68">
        <v>0</v>
      </c>
      <c r="BB199" s="26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2"/>
      <c r="B200" s="653"/>
      <c r="C200" s="653"/>
      <c r="D200" s="653"/>
      <c r="E200" s="653"/>
      <c r="F200" s="653"/>
      <c r="G200" s="653"/>
      <c r="H200" s="653"/>
      <c r="I200" s="653"/>
      <c r="J200" s="653"/>
      <c r="K200" s="653"/>
      <c r="L200" s="653"/>
      <c r="M200" s="653"/>
      <c r="N200" s="653"/>
      <c r="O200" s="654"/>
      <c r="P200" s="647" t="s">
        <v>72</v>
      </c>
      <c r="Q200" s="648"/>
      <c r="R200" s="648"/>
      <c r="S200" s="648"/>
      <c r="T200" s="648"/>
      <c r="U200" s="648"/>
      <c r="V200" s="649"/>
      <c r="W200" s="37" t="s">
        <v>73</v>
      </c>
      <c r="X200" s="645">
        <f>IFERROR(X199/H199,"0")</f>
        <v>0</v>
      </c>
      <c r="Y200" s="645">
        <f>IFERROR(Y199/H199,"0")</f>
        <v>0</v>
      </c>
      <c r="Z200" s="645">
        <f>IFERROR(IF(Z199="",0,Z199),"0")</f>
        <v>0</v>
      </c>
      <c r="AA200" s="646"/>
      <c r="AB200" s="646"/>
      <c r="AC200" s="646"/>
    </row>
    <row r="201" spans="1:68" hidden="1" x14ac:dyDescent="0.2">
      <c r="A201" s="653"/>
      <c r="B201" s="653"/>
      <c r="C201" s="653"/>
      <c r="D201" s="653"/>
      <c r="E201" s="653"/>
      <c r="F201" s="653"/>
      <c r="G201" s="653"/>
      <c r="H201" s="653"/>
      <c r="I201" s="653"/>
      <c r="J201" s="653"/>
      <c r="K201" s="653"/>
      <c r="L201" s="653"/>
      <c r="M201" s="653"/>
      <c r="N201" s="653"/>
      <c r="O201" s="654"/>
      <c r="P201" s="647" t="s">
        <v>72</v>
      </c>
      <c r="Q201" s="648"/>
      <c r="R201" s="648"/>
      <c r="S201" s="648"/>
      <c r="T201" s="648"/>
      <c r="U201" s="648"/>
      <c r="V201" s="649"/>
      <c r="W201" s="37" t="s">
        <v>67</v>
      </c>
      <c r="X201" s="645">
        <f>IFERROR(SUM(X199:X199),"0")</f>
        <v>0</v>
      </c>
      <c r="Y201" s="645">
        <f>IFERROR(SUM(Y199:Y199),"0")</f>
        <v>0</v>
      </c>
      <c r="Z201" s="37"/>
      <c r="AA201" s="646"/>
      <c r="AB201" s="646"/>
      <c r="AC201" s="646"/>
    </row>
    <row r="202" spans="1:68" ht="27.75" hidden="1" customHeight="1" x14ac:dyDescent="0.2">
      <c r="A202" s="661" t="s">
        <v>334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48"/>
      <c r="AB202" s="48"/>
      <c r="AC202" s="48"/>
    </row>
    <row r="203" spans="1:68" ht="16.5" hidden="1" customHeight="1" x14ac:dyDescent="0.25">
      <c r="A203" s="666" t="s">
        <v>335</v>
      </c>
      <c r="B203" s="653"/>
      <c r="C203" s="653"/>
      <c r="D203" s="653"/>
      <c r="E203" s="653"/>
      <c r="F203" s="653"/>
      <c r="G203" s="653"/>
      <c r="H203" s="653"/>
      <c r="I203" s="653"/>
      <c r="J203" s="653"/>
      <c r="K203" s="653"/>
      <c r="L203" s="653"/>
      <c r="M203" s="653"/>
      <c r="N203" s="653"/>
      <c r="O203" s="653"/>
      <c r="P203" s="653"/>
      <c r="Q203" s="653"/>
      <c r="R203" s="653"/>
      <c r="S203" s="653"/>
      <c r="T203" s="653"/>
      <c r="U203" s="653"/>
      <c r="V203" s="653"/>
      <c r="W203" s="653"/>
      <c r="X203" s="653"/>
      <c r="Y203" s="653"/>
      <c r="Z203" s="653"/>
      <c r="AA203" s="638"/>
      <c r="AB203" s="638"/>
      <c r="AC203" s="638"/>
    </row>
    <row r="204" spans="1:68" ht="14.25" hidden="1" customHeight="1" x14ac:dyDescent="0.25">
      <c r="A204" s="663" t="s">
        <v>111</v>
      </c>
      <c r="B204" s="653"/>
      <c r="C204" s="653"/>
      <c r="D204" s="653"/>
      <c r="E204" s="653"/>
      <c r="F204" s="653"/>
      <c r="G204" s="653"/>
      <c r="H204" s="653"/>
      <c r="I204" s="653"/>
      <c r="J204" s="653"/>
      <c r="K204" s="653"/>
      <c r="L204" s="653"/>
      <c r="M204" s="653"/>
      <c r="N204" s="653"/>
      <c r="O204" s="653"/>
      <c r="P204" s="653"/>
      <c r="Q204" s="653"/>
      <c r="R204" s="653"/>
      <c r="S204" s="653"/>
      <c r="T204" s="653"/>
      <c r="U204" s="653"/>
      <c r="V204" s="653"/>
      <c r="W204" s="653"/>
      <c r="X204" s="653"/>
      <c r="Y204" s="653"/>
      <c r="Z204" s="653"/>
      <c r="AA204" s="639"/>
      <c r="AB204" s="639"/>
      <c r="AC204" s="639"/>
    </row>
    <row r="205" spans="1:68" ht="27" hidden="1" customHeight="1" x14ac:dyDescent="0.25">
      <c r="A205" s="54" t="s">
        <v>336</v>
      </c>
      <c r="B205" s="54" t="s">
        <v>337</v>
      </c>
      <c r="C205" s="31">
        <v>4301011223</v>
      </c>
      <c r="D205" s="650">
        <v>4607091383423</v>
      </c>
      <c r="E205" s="651"/>
      <c r="F205" s="642">
        <v>1.35</v>
      </c>
      <c r="G205" s="32">
        <v>8</v>
      </c>
      <c r="H205" s="642">
        <v>10.8</v>
      </c>
      <c r="I205" s="642">
        <v>11.305999999999999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6"/>
      <c r="R205" s="656"/>
      <c r="S205" s="656"/>
      <c r="T205" s="657"/>
      <c r="U205" s="34"/>
      <c r="V205" s="34"/>
      <c r="W205" s="35" t="s">
        <v>67</v>
      </c>
      <c r="X205" s="643">
        <v>0</v>
      </c>
      <c r="Y205" s="644">
        <f t="shared" ref="Y205:Y211" si="21">IFERROR(IF(X205="",0,CEILING((X205/$H205),1)*$H205),"")</f>
        <v>0</v>
      </c>
      <c r="Z205" s="36" t="str">
        <f t="shared" ref="Z205:Z211" si="22">IFERROR(IF(Y205=0,"",ROUNDUP(Y205/H205,0)*0.01898),"")</f>
        <v/>
      </c>
      <c r="AA205" s="56"/>
      <c r="AB205" s="57"/>
      <c r="AC205" s="261" t="s">
        <v>116</v>
      </c>
      <c r="AG205" s="64"/>
      <c r="AJ205" s="68"/>
      <c r="AK205" s="68">
        <v>0</v>
      </c>
      <c r="BB205" s="262" t="s">
        <v>1</v>
      </c>
      <c r="BM205" s="64">
        <f t="shared" ref="BM205:BM211" si="23">IFERROR(X205*I205/H205,"0")</f>
        <v>0</v>
      </c>
      <c r="BN205" s="64">
        <f t="shared" ref="BN205:BN211" si="24">IFERROR(Y205*I205/H205,"0")</f>
        <v>0</v>
      </c>
      <c r="BO205" s="64">
        <f t="shared" ref="BO205:BO211" si="25">IFERROR(1/J205*(X205/H205),"0")</f>
        <v>0</v>
      </c>
      <c r="BP205" s="64">
        <f t="shared" ref="BP205:BP211" si="26">IFERROR(1/J205*(Y205/H205),"0")</f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4301012340</v>
      </c>
      <c r="D206" s="650">
        <v>4680115888760</v>
      </c>
      <c r="E206" s="651"/>
      <c r="F206" s="642">
        <v>1.4</v>
      </c>
      <c r="G206" s="32">
        <v>6</v>
      </c>
      <c r="H206" s="642">
        <v>8.4</v>
      </c>
      <c r="I206" s="642">
        <v>8.81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6"/>
      <c r="R206" s="656"/>
      <c r="S206" s="656"/>
      <c r="T206" s="657"/>
      <c r="U206" s="34"/>
      <c r="V206" s="34"/>
      <c r="W206" s="35" t="s">
        <v>67</v>
      </c>
      <c r="X206" s="643">
        <v>0</v>
      </c>
      <c r="Y206" s="644">
        <f t="shared" si="21"/>
        <v>0</v>
      </c>
      <c r="Z206" s="36" t="str">
        <f t="shared" si="22"/>
        <v/>
      </c>
      <c r="AA206" s="56"/>
      <c r="AB206" s="57"/>
      <c r="AC206" s="263" t="s">
        <v>340</v>
      </c>
      <c r="AG206" s="64"/>
      <c r="AJ206" s="68"/>
      <c r="AK206" s="68">
        <v>0</v>
      </c>
      <c r="BB206" s="264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4301012341</v>
      </c>
      <c r="D207" s="650">
        <v>4680115888807</v>
      </c>
      <c r="E207" s="651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6"/>
      <c r="R207" s="656"/>
      <c r="S207" s="656"/>
      <c r="T207" s="657"/>
      <c r="U207" s="34"/>
      <c r="V207" s="34"/>
      <c r="W207" s="35" t="s">
        <v>67</v>
      </c>
      <c r="X207" s="643">
        <v>0</v>
      </c>
      <c r="Y207" s="644">
        <f t="shared" si="21"/>
        <v>0</v>
      </c>
      <c r="Z207" s="36" t="str">
        <f t="shared" si="22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4301012342</v>
      </c>
      <c r="D208" s="650">
        <v>4680115888852</v>
      </c>
      <c r="E208" s="651"/>
      <c r="F208" s="642">
        <v>0.9</v>
      </c>
      <c r="G208" s="32">
        <v>6</v>
      </c>
      <c r="H208" s="642">
        <v>5.4</v>
      </c>
      <c r="I208" s="642">
        <v>5.81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6"/>
      <c r="R208" s="656"/>
      <c r="S208" s="656"/>
      <c r="T208" s="657"/>
      <c r="U208" s="34"/>
      <c r="V208" s="34"/>
      <c r="W208" s="35" t="s">
        <v>67</v>
      </c>
      <c r="X208" s="643">
        <v>0</v>
      </c>
      <c r="Y208" s="644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37.5" hidden="1" customHeight="1" x14ac:dyDescent="0.25">
      <c r="A209" s="54" t="s">
        <v>347</v>
      </c>
      <c r="B209" s="54" t="s">
        <v>348</v>
      </c>
      <c r="C209" s="31">
        <v>4301012370</v>
      </c>
      <c r="D209" s="650">
        <v>4680115886957</v>
      </c>
      <c r="E209" s="651"/>
      <c r="F209" s="642">
        <v>1.35</v>
      </c>
      <c r="G209" s="32">
        <v>8</v>
      </c>
      <c r="H209" s="642">
        <v>10.8</v>
      </c>
      <c r="I209" s="642">
        <v>11.29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6"/>
      <c r="R209" s="656"/>
      <c r="S209" s="656"/>
      <c r="T209" s="657"/>
      <c r="U209" s="34"/>
      <c r="V209" s="34"/>
      <c r="W209" s="35" t="s">
        <v>67</v>
      </c>
      <c r="X209" s="643">
        <v>0</v>
      </c>
      <c r="Y209" s="644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4301012098</v>
      </c>
      <c r="D210" s="650">
        <v>4680115885660</v>
      </c>
      <c r="E210" s="651"/>
      <c r="F210" s="642">
        <v>1.35</v>
      </c>
      <c r="G210" s="32">
        <v>8</v>
      </c>
      <c r="H210" s="642">
        <v>10.8</v>
      </c>
      <c r="I210" s="642">
        <v>11.21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6"/>
      <c r="R210" s="656"/>
      <c r="S210" s="656"/>
      <c r="T210" s="657"/>
      <c r="U210" s="34"/>
      <c r="V210" s="34"/>
      <c r="W210" s="35" t="s">
        <v>67</v>
      </c>
      <c r="X210" s="643">
        <v>0</v>
      </c>
      <c r="Y210" s="644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4301012369</v>
      </c>
      <c r="D211" s="650">
        <v>4680115886773</v>
      </c>
      <c r="E211" s="651"/>
      <c r="F211" s="642">
        <v>0.9</v>
      </c>
      <c r="G211" s="32">
        <v>10</v>
      </c>
      <c r="H211" s="642">
        <v>9</v>
      </c>
      <c r="I211" s="642">
        <v>9.51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6"/>
      <c r="R211" s="656"/>
      <c r="S211" s="656"/>
      <c r="T211" s="657"/>
      <c r="U211" s="34"/>
      <c r="V211" s="34"/>
      <c r="W211" s="35" t="s">
        <v>67</v>
      </c>
      <c r="X211" s="643">
        <v>0</v>
      </c>
      <c r="Y211" s="644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idden="1" x14ac:dyDescent="0.2">
      <c r="A212" s="652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47" t="s">
        <v>72</v>
      </c>
      <c r="Q212" s="648"/>
      <c r="R212" s="648"/>
      <c r="S212" s="648"/>
      <c r="T212" s="648"/>
      <c r="U212" s="648"/>
      <c r="V212" s="649"/>
      <c r="W212" s="37" t="s">
        <v>73</v>
      </c>
      <c r="X212" s="645">
        <f>IFERROR(X205/H205,"0")+IFERROR(X206/H206,"0")+IFERROR(X207/H207,"0")+IFERROR(X208/H208,"0")+IFERROR(X209/H209,"0")+IFERROR(X210/H210,"0")+IFERROR(X211/H211,"0")</f>
        <v>0</v>
      </c>
      <c r="Y212" s="645">
        <f>IFERROR(Y205/H205,"0")+IFERROR(Y206/H206,"0")+IFERROR(Y207/H207,"0")+IFERROR(Y208/H208,"0")+IFERROR(Y209/H209,"0")+IFERROR(Y210/H210,"0")+IFERROR(Y211/H211,"0")</f>
        <v>0</v>
      </c>
      <c r="Z212" s="645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6"/>
      <c r="AB212" s="646"/>
      <c r="AC212" s="646"/>
    </row>
    <row r="213" spans="1:68" hidden="1" x14ac:dyDescent="0.2">
      <c r="A213" s="653"/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4"/>
      <c r="P213" s="647" t="s">
        <v>72</v>
      </c>
      <c r="Q213" s="648"/>
      <c r="R213" s="648"/>
      <c r="S213" s="648"/>
      <c r="T213" s="648"/>
      <c r="U213" s="648"/>
      <c r="V213" s="649"/>
      <c r="W213" s="37" t="s">
        <v>67</v>
      </c>
      <c r="X213" s="645">
        <f>IFERROR(SUM(X205:X211),"0")</f>
        <v>0</v>
      </c>
      <c r="Y213" s="645">
        <f>IFERROR(SUM(Y205:Y211),"0")</f>
        <v>0</v>
      </c>
      <c r="Z213" s="37"/>
      <c r="AA213" s="646"/>
      <c r="AB213" s="646"/>
      <c r="AC213" s="646"/>
    </row>
    <row r="214" spans="1:68" ht="16.5" hidden="1" customHeight="1" x14ac:dyDescent="0.25">
      <c r="A214" s="666" t="s">
        <v>356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38"/>
      <c r="AB214" s="638"/>
      <c r="AC214" s="638"/>
    </row>
    <row r="215" spans="1:68" ht="14.25" hidden="1" customHeight="1" x14ac:dyDescent="0.25">
      <c r="A215" s="663" t="s">
        <v>148</v>
      </c>
      <c r="B215" s="653"/>
      <c r="C215" s="653"/>
      <c r="D215" s="653"/>
      <c r="E215" s="653"/>
      <c r="F215" s="653"/>
      <c r="G215" s="653"/>
      <c r="H215" s="653"/>
      <c r="I215" s="653"/>
      <c r="J215" s="653"/>
      <c r="K215" s="653"/>
      <c r="L215" s="653"/>
      <c r="M215" s="653"/>
      <c r="N215" s="653"/>
      <c r="O215" s="653"/>
      <c r="P215" s="653"/>
      <c r="Q215" s="653"/>
      <c r="R215" s="653"/>
      <c r="S215" s="653"/>
      <c r="T215" s="653"/>
      <c r="U215" s="653"/>
      <c r="V215" s="653"/>
      <c r="W215" s="653"/>
      <c r="X215" s="653"/>
      <c r="Y215" s="653"/>
      <c r="Z215" s="653"/>
      <c r="AA215" s="639"/>
      <c r="AB215" s="639"/>
      <c r="AC215" s="639"/>
    </row>
    <row r="216" spans="1:68" ht="27" hidden="1" customHeight="1" x14ac:dyDescent="0.25">
      <c r="A216" s="54" t="s">
        <v>357</v>
      </c>
      <c r="B216" s="54" t="s">
        <v>358</v>
      </c>
      <c r="C216" s="31">
        <v>4301020323</v>
      </c>
      <c r="D216" s="650">
        <v>4680115886223</v>
      </c>
      <c r="E216" s="651"/>
      <c r="F216" s="642">
        <v>0.33</v>
      </c>
      <c r="G216" s="32">
        <v>6</v>
      </c>
      <c r="H216" s="642">
        <v>1.98</v>
      </c>
      <c r="I216" s="642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43">
        <v>0</v>
      </c>
      <c r="Y216" s="644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75" t="s">
        <v>359</v>
      </c>
      <c r="AG216" s="64"/>
      <c r="AJ216" s="68"/>
      <c r="AK216" s="68">
        <v>0</v>
      </c>
      <c r="BB216" s="276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2"/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4"/>
      <c r="P217" s="647" t="s">
        <v>72</v>
      </c>
      <c r="Q217" s="648"/>
      <c r="R217" s="648"/>
      <c r="S217" s="648"/>
      <c r="T217" s="648"/>
      <c r="U217" s="648"/>
      <c r="V217" s="649"/>
      <c r="W217" s="37" t="s">
        <v>73</v>
      </c>
      <c r="X217" s="645">
        <f>IFERROR(X216/H216,"0")</f>
        <v>0</v>
      </c>
      <c r="Y217" s="645">
        <f>IFERROR(Y216/H216,"0")</f>
        <v>0</v>
      </c>
      <c r="Z217" s="645">
        <f>IFERROR(IF(Z216="",0,Z216),"0")</f>
        <v>0</v>
      </c>
      <c r="AA217" s="646"/>
      <c r="AB217" s="646"/>
      <c r="AC217" s="646"/>
    </row>
    <row r="218" spans="1:68" hidden="1" x14ac:dyDescent="0.2">
      <c r="A218" s="653"/>
      <c r="B218" s="653"/>
      <c r="C218" s="653"/>
      <c r="D218" s="653"/>
      <c r="E218" s="653"/>
      <c r="F218" s="653"/>
      <c r="G218" s="653"/>
      <c r="H218" s="653"/>
      <c r="I218" s="653"/>
      <c r="J218" s="653"/>
      <c r="K218" s="653"/>
      <c r="L218" s="653"/>
      <c r="M218" s="653"/>
      <c r="N218" s="653"/>
      <c r="O218" s="654"/>
      <c r="P218" s="647" t="s">
        <v>72</v>
      </c>
      <c r="Q218" s="648"/>
      <c r="R218" s="648"/>
      <c r="S218" s="648"/>
      <c r="T218" s="648"/>
      <c r="U218" s="648"/>
      <c r="V218" s="649"/>
      <c r="W218" s="37" t="s">
        <v>67</v>
      </c>
      <c r="X218" s="645">
        <f>IFERROR(SUM(X216:X216),"0")</f>
        <v>0</v>
      </c>
      <c r="Y218" s="645">
        <f>IFERROR(SUM(Y216:Y216),"0")</f>
        <v>0</v>
      </c>
      <c r="Z218" s="37"/>
      <c r="AA218" s="646"/>
      <c r="AB218" s="646"/>
      <c r="AC218" s="646"/>
    </row>
    <row r="219" spans="1:68" ht="14.25" hidden="1" customHeight="1" x14ac:dyDescent="0.25">
      <c r="A219" s="663" t="s">
        <v>62</v>
      </c>
      <c r="B219" s="653"/>
      <c r="C219" s="653"/>
      <c r="D219" s="653"/>
      <c r="E219" s="653"/>
      <c r="F219" s="653"/>
      <c r="G219" s="653"/>
      <c r="H219" s="653"/>
      <c r="I219" s="653"/>
      <c r="J219" s="653"/>
      <c r="K219" s="653"/>
      <c r="L219" s="653"/>
      <c r="M219" s="653"/>
      <c r="N219" s="653"/>
      <c r="O219" s="653"/>
      <c r="P219" s="653"/>
      <c r="Q219" s="653"/>
      <c r="R219" s="653"/>
      <c r="S219" s="653"/>
      <c r="T219" s="653"/>
      <c r="U219" s="653"/>
      <c r="V219" s="653"/>
      <c r="W219" s="653"/>
      <c r="X219" s="653"/>
      <c r="Y219" s="653"/>
      <c r="Z219" s="653"/>
      <c r="AA219" s="639"/>
      <c r="AB219" s="639"/>
      <c r="AC219" s="639"/>
    </row>
    <row r="220" spans="1:68" ht="27" hidden="1" customHeight="1" x14ac:dyDescent="0.25">
      <c r="A220" s="54" t="s">
        <v>360</v>
      </c>
      <c r="B220" s="54" t="s">
        <v>361</v>
      </c>
      <c r="C220" s="31">
        <v>4301031191</v>
      </c>
      <c r="D220" s="650">
        <v>4680115880993</v>
      </c>
      <c r="E220" s="651"/>
      <c r="F220" s="642">
        <v>0.7</v>
      </c>
      <c r="G220" s="32">
        <v>6</v>
      </c>
      <c r="H220" s="642">
        <v>4.2</v>
      </c>
      <c r="I220" s="642">
        <v>4.45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6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6"/>
      <c r="R220" s="656"/>
      <c r="S220" s="656"/>
      <c r="T220" s="657"/>
      <c r="U220" s="34"/>
      <c r="V220" s="34"/>
      <c r="W220" s="35" t="s">
        <v>67</v>
      </c>
      <c r="X220" s="643">
        <v>0</v>
      </c>
      <c r="Y220" s="644">
        <f t="shared" ref="Y220:Y234" si="27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7" t="s">
        <v>362</v>
      </c>
      <c r="AG220" s="64"/>
      <c r="AJ220" s="68"/>
      <c r="AK220" s="68">
        <v>0</v>
      </c>
      <c r="BB220" s="278" t="s">
        <v>1</v>
      </c>
      <c r="BM220" s="64">
        <f t="shared" ref="BM220:BM234" si="28">IFERROR(X220*I220/H220,"0")</f>
        <v>0</v>
      </c>
      <c r="BN220" s="64">
        <f t="shared" ref="BN220:BN234" si="29">IFERROR(Y220*I220/H220,"0")</f>
        <v>0</v>
      </c>
      <c r="BO220" s="64">
        <f t="shared" ref="BO220:BO234" si="30">IFERROR(1/J220*(X220/H220),"0")</f>
        <v>0</v>
      </c>
      <c r="BP220" s="64">
        <f t="shared" ref="BP220:BP234" si="31">IFERROR(1/J220*(Y220/H220),"0")</f>
        <v>0</v>
      </c>
    </row>
    <row r="221" spans="1:68" ht="27" hidden="1" customHeight="1" x14ac:dyDescent="0.25">
      <c r="A221" s="54" t="s">
        <v>363</v>
      </c>
      <c r="B221" s="54" t="s">
        <v>364</v>
      </c>
      <c r="C221" s="31">
        <v>4301031204</v>
      </c>
      <c r="D221" s="650">
        <v>4680115881761</v>
      </c>
      <c r="E221" s="651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6"/>
      <c r="R221" s="656"/>
      <c r="S221" s="656"/>
      <c r="T221" s="657"/>
      <c r="U221" s="34"/>
      <c r="V221" s="34"/>
      <c r="W221" s="35" t="s">
        <v>67</v>
      </c>
      <c r="X221" s="643">
        <v>0</v>
      </c>
      <c r="Y221" s="644">
        <f t="shared" si="27"/>
        <v>0</v>
      </c>
      <c r="Z221" s="36" t="str">
        <f>IFERROR(IF(Y221=0,"",ROUNDUP(Y221/H221,0)*0.00902),"")</f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customHeight="1" x14ac:dyDescent="0.25">
      <c r="A222" s="54" t="s">
        <v>366</v>
      </c>
      <c r="B222" s="54" t="s">
        <v>367</v>
      </c>
      <c r="C222" s="31">
        <v>4301031201</v>
      </c>
      <c r="D222" s="650">
        <v>4680115881563</v>
      </c>
      <c r="E222" s="651"/>
      <c r="F222" s="642">
        <v>0.7</v>
      </c>
      <c r="G222" s="32">
        <v>6</v>
      </c>
      <c r="H222" s="642">
        <v>4.2</v>
      </c>
      <c r="I222" s="642">
        <v>4.3899999999999997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56"/>
      <c r="R222" s="656"/>
      <c r="S222" s="656"/>
      <c r="T222" s="657"/>
      <c r="U222" s="34"/>
      <c r="V222" s="34"/>
      <c r="W222" s="35" t="s">
        <v>67</v>
      </c>
      <c r="X222" s="643">
        <v>39</v>
      </c>
      <c r="Y222" s="644">
        <f t="shared" si="27"/>
        <v>42</v>
      </c>
      <c r="Z222" s="36">
        <f>IFERROR(IF(Y222=0,"",ROUNDUP(Y222/H222,0)*0.00902),"")</f>
        <v>9.0200000000000002E-2</v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28"/>
        <v>40.764285714285705</v>
      </c>
      <c r="BN222" s="64">
        <f t="shared" si="29"/>
        <v>43.9</v>
      </c>
      <c r="BO222" s="64">
        <f t="shared" si="30"/>
        <v>7.0346320346320337E-2</v>
      </c>
      <c r="BP222" s="64">
        <f t="shared" si="31"/>
        <v>7.575757575757576E-2</v>
      </c>
    </row>
    <row r="223" spans="1:68" ht="37.5" hidden="1" customHeight="1" x14ac:dyDescent="0.25">
      <c r="A223" s="54" t="s">
        <v>369</v>
      </c>
      <c r="B223" s="54" t="s">
        <v>370</v>
      </c>
      <c r="C223" s="31">
        <v>4301031447</v>
      </c>
      <c r="D223" s="650">
        <v>4680115887565</v>
      </c>
      <c r="E223" s="651"/>
      <c r="F223" s="642">
        <v>0.08</v>
      </c>
      <c r="G223" s="32">
        <v>10</v>
      </c>
      <c r="H223" s="642">
        <v>0.8</v>
      </c>
      <c r="I223" s="642">
        <v>0.93</v>
      </c>
      <c r="J223" s="32">
        <v>252</v>
      </c>
      <c r="K223" s="32" t="s">
        <v>65</v>
      </c>
      <c r="L223" s="32"/>
      <c r="M223" s="33" t="s">
        <v>66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6"/>
      <c r="R223" s="656"/>
      <c r="S223" s="656"/>
      <c r="T223" s="657"/>
      <c r="U223" s="34"/>
      <c r="V223" s="34"/>
      <c r="W223" s="35" t="s">
        <v>67</v>
      </c>
      <c r="X223" s="643">
        <v>0</v>
      </c>
      <c r="Y223" s="644">
        <f t="shared" si="27"/>
        <v>0</v>
      </c>
      <c r="Z223" s="36" t="str">
        <f>IFERROR(IF(Y223=0,"",ROUNDUP(Y223/H223,0)*0.00556),"")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4301031199</v>
      </c>
      <c r="D224" s="650">
        <v>4680115880986</v>
      </c>
      <c r="E224" s="651"/>
      <c r="F224" s="642">
        <v>0.35</v>
      </c>
      <c r="G224" s="32">
        <v>6</v>
      </c>
      <c r="H224" s="642">
        <v>2.1</v>
      </c>
      <c r="I224" s="642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6"/>
      <c r="R224" s="656"/>
      <c r="S224" s="656"/>
      <c r="T224" s="657"/>
      <c r="U224" s="34"/>
      <c r="V224" s="34"/>
      <c r="W224" s="35" t="s">
        <v>67</v>
      </c>
      <c r="X224" s="643">
        <v>14</v>
      </c>
      <c r="Y224" s="644">
        <f t="shared" si="27"/>
        <v>14.700000000000001</v>
      </c>
      <c r="Z224" s="36">
        <f t="shared" ref="Z224:Z229" si="32">IFERROR(IF(Y224=0,"",ROUNDUP(Y224/H224,0)*0.00502),"")</f>
        <v>3.5140000000000005E-2</v>
      </c>
      <c r="AA224" s="56"/>
      <c r="AB224" s="57"/>
      <c r="AC224" s="285" t="s">
        <v>362</v>
      </c>
      <c r="AG224" s="64"/>
      <c r="AJ224" s="68"/>
      <c r="AK224" s="68">
        <v>0</v>
      </c>
      <c r="BB224" s="286" t="s">
        <v>1</v>
      </c>
      <c r="BM224" s="64">
        <f t="shared" si="28"/>
        <v>14.866666666666665</v>
      </c>
      <c r="BN224" s="64">
        <f t="shared" si="29"/>
        <v>15.61</v>
      </c>
      <c r="BO224" s="64">
        <f t="shared" si="30"/>
        <v>2.8490028490028491E-2</v>
      </c>
      <c r="BP224" s="64">
        <f t="shared" si="31"/>
        <v>2.9914529914529919E-2</v>
      </c>
    </row>
    <row r="225" spans="1:68" ht="27" hidden="1" customHeight="1" x14ac:dyDescent="0.25">
      <c r="A225" s="54" t="s">
        <v>374</v>
      </c>
      <c r="B225" s="54" t="s">
        <v>375</v>
      </c>
      <c r="C225" s="31">
        <v>4301031443</v>
      </c>
      <c r="D225" s="650">
        <v>4680115887213</v>
      </c>
      <c r="E225" s="651"/>
      <c r="F225" s="642">
        <v>0.3</v>
      </c>
      <c r="G225" s="32">
        <v>6</v>
      </c>
      <c r="H225" s="642">
        <v>1.8</v>
      </c>
      <c r="I225" s="642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6"/>
      <c r="R225" s="656"/>
      <c r="S225" s="656"/>
      <c r="T225" s="657"/>
      <c r="U225" s="34"/>
      <c r="V225" s="34"/>
      <c r="W225" s="35" t="s">
        <v>67</v>
      </c>
      <c r="X225" s="643">
        <v>0</v>
      </c>
      <c r="Y225" s="644">
        <f t="shared" si="27"/>
        <v>0</v>
      </c>
      <c r="Z225" s="36" t="str">
        <f t="shared" si="32"/>
        <v/>
      </c>
      <c r="AA225" s="56"/>
      <c r="AB225" s="57"/>
      <c r="AC225" s="287" t="s">
        <v>376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4301031205</v>
      </c>
      <c r="D226" s="650">
        <v>4680115881785</v>
      </c>
      <c r="E226" s="651"/>
      <c r="F226" s="642">
        <v>0.35</v>
      </c>
      <c r="G226" s="32">
        <v>6</v>
      </c>
      <c r="H226" s="642">
        <v>2.1</v>
      </c>
      <c r="I226" s="642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6"/>
      <c r="R226" s="656"/>
      <c r="S226" s="656"/>
      <c r="T226" s="657"/>
      <c r="U226" s="34"/>
      <c r="V226" s="34"/>
      <c r="W226" s="35" t="s">
        <v>67</v>
      </c>
      <c r="X226" s="643">
        <v>0</v>
      </c>
      <c r="Y226" s="644">
        <f t="shared" si="27"/>
        <v>0</v>
      </c>
      <c r="Z226" s="36" t="str">
        <f t="shared" si="32"/>
        <v/>
      </c>
      <c r="AA226" s="56"/>
      <c r="AB226" s="57"/>
      <c r="AC226" s="289" t="s">
        <v>365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4301031499</v>
      </c>
      <c r="D227" s="650">
        <v>4680115888432</v>
      </c>
      <c r="E227" s="651"/>
      <c r="F227" s="642">
        <v>0.3</v>
      </c>
      <c r="G227" s="32">
        <v>6</v>
      </c>
      <c r="H227" s="642">
        <v>1.8</v>
      </c>
      <c r="I227" s="64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6"/>
      <c r="R227" s="656"/>
      <c r="S227" s="656"/>
      <c r="T227" s="657"/>
      <c r="U227" s="34"/>
      <c r="V227" s="34"/>
      <c r="W227" s="35" t="s">
        <v>67</v>
      </c>
      <c r="X227" s="643">
        <v>0</v>
      </c>
      <c r="Y227" s="644">
        <f t="shared" si="27"/>
        <v>0</v>
      </c>
      <c r="Z227" s="36" t="str">
        <f t="shared" si="32"/>
        <v/>
      </c>
      <c r="AA227" s="56"/>
      <c r="AB227" s="57"/>
      <c r="AC227" s="291" t="s">
        <v>381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4301031427</v>
      </c>
      <c r="D228" s="650">
        <v>4680115888104</v>
      </c>
      <c r="E228" s="651"/>
      <c r="F228" s="642">
        <v>0.35</v>
      </c>
      <c r="G228" s="32">
        <v>6</v>
      </c>
      <c r="H228" s="642">
        <v>2.1</v>
      </c>
      <c r="I228" s="642">
        <v>2.2000000000000002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56"/>
      <c r="R228" s="656"/>
      <c r="S228" s="656"/>
      <c r="T228" s="657"/>
      <c r="U228" s="34"/>
      <c r="V228" s="34"/>
      <c r="W228" s="35" t="s">
        <v>67</v>
      </c>
      <c r="X228" s="643">
        <v>0</v>
      </c>
      <c r="Y228" s="644">
        <f t="shared" si="27"/>
        <v>0</v>
      </c>
      <c r="Z228" s="36" t="str">
        <f t="shared" si="32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385</v>
      </c>
      <c r="B229" s="54" t="s">
        <v>386</v>
      </c>
      <c r="C229" s="31">
        <v>4301031503</v>
      </c>
      <c r="D229" s="650">
        <v>4680115886537</v>
      </c>
      <c r="E229" s="651"/>
      <c r="F229" s="642">
        <v>0.3</v>
      </c>
      <c r="G229" s="32">
        <v>6</v>
      </c>
      <c r="H229" s="642">
        <v>1.8</v>
      </c>
      <c r="I229" s="642">
        <v>1.93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6"/>
      <c r="R229" s="656"/>
      <c r="S229" s="656"/>
      <c r="T229" s="657"/>
      <c r="U229" s="34"/>
      <c r="V229" s="34"/>
      <c r="W229" s="35" t="s">
        <v>67</v>
      </c>
      <c r="X229" s="643">
        <v>4</v>
      </c>
      <c r="Y229" s="644">
        <f t="shared" si="27"/>
        <v>5.4</v>
      </c>
      <c r="Z229" s="36">
        <f t="shared" si="32"/>
        <v>1.506E-2</v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4.2888888888888888</v>
      </c>
      <c r="BN229" s="64">
        <f t="shared" si="29"/>
        <v>5.79</v>
      </c>
      <c r="BO229" s="64">
        <f t="shared" si="30"/>
        <v>9.4966761633428314E-3</v>
      </c>
      <c r="BP229" s="64">
        <f t="shared" si="31"/>
        <v>1.2820512820512822E-2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4301031279</v>
      </c>
      <c r="D230" s="650">
        <v>4680115887596</v>
      </c>
      <c r="E230" s="651"/>
      <c r="F230" s="642">
        <v>0.08</v>
      </c>
      <c r="G230" s="32">
        <v>10</v>
      </c>
      <c r="H230" s="642">
        <v>0.8</v>
      </c>
      <c r="I230" s="642">
        <v>1.01</v>
      </c>
      <c r="J230" s="32">
        <v>336</v>
      </c>
      <c r="K230" s="32" t="s">
        <v>119</v>
      </c>
      <c r="L230" s="32"/>
      <c r="M230" s="33" t="s">
        <v>66</v>
      </c>
      <c r="N230" s="33"/>
      <c r="O230" s="32">
        <v>45</v>
      </c>
      <c r="P230" s="7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6"/>
      <c r="R230" s="656"/>
      <c r="S230" s="656"/>
      <c r="T230" s="657"/>
      <c r="U230" s="34"/>
      <c r="V230" s="34"/>
      <c r="W230" s="35" t="s">
        <v>67</v>
      </c>
      <c r="X230" s="643">
        <v>0</v>
      </c>
      <c r="Y230" s="644">
        <f t="shared" si="27"/>
        <v>0</v>
      </c>
      <c r="Z230" s="36" t="str">
        <f>IFERROR(IF(Y230=0,"",ROUNDUP(Y230/H230,0)*0.00417),"")</f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37.5" customHeight="1" x14ac:dyDescent="0.25">
      <c r="A231" s="54" t="s">
        <v>391</v>
      </c>
      <c r="B231" s="54" t="s">
        <v>392</v>
      </c>
      <c r="C231" s="31">
        <v>4301031530</v>
      </c>
      <c r="D231" s="650">
        <v>4680115881679</v>
      </c>
      <c r="E231" s="651"/>
      <c r="F231" s="642">
        <v>0.35</v>
      </c>
      <c r="G231" s="32">
        <v>6</v>
      </c>
      <c r="H231" s="642">
        <v>2.1</v>
      </c>
      <c r="I231" s="642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6"/>
      <c r="R231" s="656"/>
      <c r="S231" s="656"/>
      <c r="T231" s="657"/>
      <c r="U231" s="34"/>
      <c r="V231" s="34"/>
      <c r="W231" s="35" t="s">
        <v>67</v>
      </c>
      <c r="X231" s="643">
        <v>53</v>
      </c>
      <c r="Y231" s="644">
        <f t="shared" si="27"/>
        <v>54.6</v>
      </c>
      <c r="Z231" s="36">
        <f>IFERROR(IF(Y231=0,"",ROUNDUP(Y231/H231,0)*0.00502),"")</f>
        <v>0.13052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28"/>
        <v>55.523809523809526</v>
      </c>
      <c r="BN231" s="64">
        <f t="shared" si="29"/>
        <v>57.20000000000001</v>
      </c>
      <c r="BO231" s="64">
        <f t="shared" si="30"/>
        <v>0.10785510785510787</v>
      </c>
      <c r="BP231" s="64">
        <f t="shared" si="31"/>
        <v>0.11111111111111112</v>
      </c>
    </row>
    <row r="232" spans="1:68" ht="27" hidden="1" customHeight="1" x14ac:dyDescent="0.25">
      <c r="A232" s="54" t="s">
        <v>393</v>
      </c>
      <c r="B232" s="54" t="s">
        <v>394</v>
      </c>
      <c r="C232" s="31">
        <v>4301031158</v>
      </c>
      <c r="D232" s="650">
        <v>4680115880191</v>
      </c>
      <c r="E232" s="651"/>
      <c r="F232" s="642">
        <v>0.4</v>
      </c>
      <c r="G232" s="32">
        <v>6</v>
      </c>
      <c r="H232" s="642">
        <v>2.4</v>
      </c>
      <c r="I232" s="642">
        <v>2.58</v>
      </c>
      <c r="J232" s="32">
        <v>182</v>
      </c>
      <c r="K232" s="32" t="s">
        <v>77</v>
      </c>
      <c r="L232" s="32"/>
      <c r="M232" s="33" t="s">
        <v>66</v>
      </c>
      <c r="N232" s="33"/>
      <c r="O232" s="32">
        <v>40</v>
      </c>
      <c r="P232" s="8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43">
        <v>0</v>
      </c>
      <c r="Y232" s="644">
        <f t="shared" si="27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393</v>
      </c>
      <c r="B233" s="54" t="s">
        <v>395</v>
      </c>
      <c r="C233" s="31">
        <v>4301031531</v>
      </c>
      <c r="D233" s="650">
        <v>4680115880191</v>
      </c>
      <c r="E233" s="651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45</v>
      </c>
      <c r="P233" s="86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43">
        <v>0</v>
      </c>
      <c r="Y233" s="64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396</v>
      </c>
      <c r="B234" s="54" t="s">
        <v>397</v>
      </c>
      <c r="C234" s="31">
        <v>4301031245</v>
      </c>
      <c r="D234" s="650">
        <v>4680115883963</v>
      </c>
      <c r="E234" s="651"/>
      <c r="F234" s="642">
        <v>0.28000000000000003</v>
      </c>
      <c r="G234" s="32">
        <v>6</v>
      </c>
      <c r="H234" s="642">
        <v>1.68</v>
      </c>
      <c r="I234" s="64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6"/>
      <c r="R234" s="656"/>
      <c r="S234" s="656"/>
      <c r="T234" s="657"/>
      <c r="U234" s="34"/>
      <c r="V234" s="34"/>
      <c r="W234" s="35" t="s">
        <v>67</v>
      </c>
      <c r="X234" s="643">
        <v>0</v>
      </c>
      <c r="Y234" s="64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398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47" t="s">
        <v>72</v>
      </c>
      <c r="Q235" s="648"/>
      <c r="R235" s="648"/>
      <c r="S235" s="648"/>
      <c r="T235" s="648"/>
      <c r="U235" s="648"/>
      <c r="V235" s="649"/>
      <c r="W235" s="37" t="s">
        <v>73</v>
      </c>
      <c r="X235" s="645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43.412698412698411</v>
      </c>
      <c r="Y235" s="645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46</v>
      </c>
      <c r="Z235" s="645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0.27091999999999999</v>
      </c>
      <c r="AA235" s="646"/>
      <c r="AB235" s="646"/>
      <c r="AC235" s="646"/>
    </row>
    <row r="236" spans="1:68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47" t="s">
        <v>72</v>
      </c>
      <c r="Q236" s="648"/>
      <c r="R236" s="648"/>
      <c r="S236" s="648"/>
      <c r="T236" s="648"/>
      <c r="U236" s="648"/>
      <c r="V236" s="649"/>
      <c r="W236" s="37" t="s">
        <v>67</v>
      </c>
      <c r="X236" s="645">
        <f>IFERROR(SUM(X220:X234),"0")</f>
        <v>110</v>
      </c>
      <c r="Y236" s="645">
        <f>IFERROR(SUM(Y220:Y234),"0")</f>
        <v>116.7</v>
      </c>
      <c r="Z236" s="37"/>
      <c r="AA236" s="646"/>
      <c r="AB236" s="646"/>
      <c r="AC236" s="646"/>
    </row>
    <row r="237" spans="1:68" ht="14.25" hidden="1" customHeight="1" x14ac:dyDescent="0.25">
      <c r="A237" s="663" t="s">
        <v>74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9"/>
      <c r="AB237" s="639"/>
      <c r="AC237" s="639"/>
    </row>
    <row r="238" spans="1:68" ht="16.5" hidden="1" customHeight="1" x14ac:dyDescent="0.25">
      <c r="A238" s="54" t="s">
        <v>399</v>
      </c>
      <c r="B238" s="54" t="s">
        <v>400</v>
      </c>
      <c r="C238" s="31">
        <v>4301052209</v>
      </c>
      <c r="D238" s="650">
        <v>4680115888692</v>
      </c>
      <c r="E238" s="651"/>
      <c r="F238" s="642">
        <v>0.8</v>
      </c>
      <c r="G238" s="32">
        <v>6</v>
      </c>
      <c r="H238" s="642">
        <v>4.8</v>
      </c>
      <c r="I238" s="64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43">
        <v>0</v>
      </c>
      <c r="Y238" s="644">
        <f t="shared" ref="Y238:Y246" si="33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401</v>
      </c>
      <c r="AG238" s="64"/>
      <c r="AJ238" s="68"/>
      <c r="AK238" s="68">
        <v>0</v>
      </c>
      <c r="BB238" s="308" t="s">
        <v>1</v>
      </c>
      <c r="BM238" s="64">
        <f t="shared" ref="BM238:BM246" si="34">IFERROR(X238*I238/H238,"0")</f>
        <v>0</v>
      </c>
      <c r="BN238" s="64">
        <f t="shared" ref="BN238:BN246" si="35">IFERROR(Y238*I238/H238,"0")</f>
        <v>0</v>
      </c>
      <c r="BO238" s="64">
        <f t="shared" ref="BO238:BO246" si="36">IFERROR(1/J238*(X238/H238),"0")</f>
        <v>0</v>
      </c>
      <c r="BP238" s="64">
        <f t="shared" ref="BP238:BP246" si="37">IFERROR(1/J238*(Y238/H238),"0")</f>
        <v>0</v>
      </c>
    </row>
    <row r="239" spans="1:68" ht="16.5" hidden="1" customHeight="1" x14ac:dyDescent="0.25">
      <c r="A239" s="54" t="s">
        <v>399</v>
      </c>
      <c r="B239" s="54" t="s">
        <v>402</v>
      </c>
      <c r="C239" s="31">
        <v>4301052279</v>
      </c>
      <c r="D239" s="650">
        <v>4680115888692</v>
      </c>
      <c r="E239" s="651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43">
        <v>0</v>
      </c>
      <c r="Y239" s="644">
        <f t="shared" si="33"/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404</v>
      </c>
      <c r="B240" s="54" t="s">
        <v>405</v>
      </c>
      <c r="C240" s="31">
        <v>4301052213</v>
      </c>
      <c r="D240" s="650">
        <v>4680115888722</v>
      </c>
      <c r="E240" s="651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35</v>
      </c>
      <c r="P240" s="73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43">
        <v>0</v>
      </c>
      <c r="Y240" s="644">
        <f t="shared" si="33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404</v>
      </c>
      <c r="B241" s="54" t="s">
        <v>407</v>
      </c>
      <c r="C241" s="31">
        <v>4301052280</v>
      </c>
      <c r="D241" s="650">
        <v>4680115888722</v>
      </c>
      <c r="E241" s="651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40</v>
      </c>
      <c r="P241" s="9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6"/>
      <c r="R241" s="656"/>
      <c r="S241" s="656"/>
      <c r="T241" s="657"/>
      <c r="U241" s="34"/>
      <c r="V241" s="34"/>
      <c r="W241" s="35" t="s">
        <v>67</v>
      </c>
      <c r="X241" s="643">
        <v>0</v>
      </c>
      <c r="Y241" s="644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409</v>
      </c>
      <c r="B242" s="54" t="s">
        <v>410</v>
      </c>
      <c r="C242" s="31">
        <v>4301052177</v>
      </c>
      <c r="D242" s="650">
        <v>4680115888951</v>
      </c>
      <c r="E242" s="651"/>
      <c r="F242" s="642">
        <v>0.36</v>
      </c>
      <c r="G242" s="32">
        <v>6</v>
      </c>
      <c r="H242" s="642">
        <v>2.16</v>
      </c>
      <c r="I242" s="64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6"/>
      <c r="R242" s="656"/>
      <c r="S242" s="656"/>
      <c r="T242" s="657"/>
      <c r="U242" s="34"/>
      <c r="V242" s="34"/>
      <c r="W242" s="35" t="s">
        <v>67</v>
      </c>
      <c r="X242" s="643">
        <v>0</v>
      </c>
      <c r="Y242" s="644">
        <f t="shared" si="33"/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409</v>
      </c>
      <c r="B243" s="54" t="s">
        <v>412</v>
      </c>
      <c r="C243" s="31">
        <v>4301052276</v>
      </c>
      <c r="D243" s="650">
        <v>4680115888951</v>
      </c>
      <c r="E243" s="651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40</v>
      </c>
      <c r="P243" s="99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43">
        <v>0</v>
      </c>
      <c r="Y243" s="644">
        <f t="shared" si="33"/>
        <v>0</v>
      </c>
      <c r="Z243" s="36" t="str">
        <f>IFERROR(IF(Y243=0,"",ROUNDUP(Y243/H243,0)*0.00902),"")</f>
        <v/>
      </c>
      <c r="AA243" s="56"/>
      <c r="AB243" s="57"/>
      <c r="AC243" s="317" t="s">
        <v>403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413</v>
      </c>
      <c r="B244" s="54" t="s">
        <v>414</v>
      </c>
      <c r="C244" s="31">
        <v>4301052178</v>
      </c>
      <c r="D244" s="650">
        <v>4680115888975</v>
      </c>
      <c r="E244" s="651"/>
      <c r="F244" s="642">
        <v>0.32</v>
      </c>
      <c r="G244" s="32">
        <v>6</v>
      </c>
      <c r="H244" s="642">
        <v>1.92</v>
      </c>
      <c r="I244" s="642">
        <v>2.1819999999999999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35</v>
      </c>
      <c r="P244" s="6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6"/>
      <c r="R244" s="656"/>
      <c r="S244" s="656"/>
      <c r="T244" s="657"/>
      <c r="U244" s="34"/>
      <c r="V244" s="34"/>
      <c r="W244" s="35" t="s">
        <v>67</v>
      </c>
      <c r="X244" s="643">
        <v>0</v>
      </c>
      <c r="Y244" s="644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415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4301052176</v>
      </c>
      <c r="D245" s="650">
        <v>4680115888982</v>
      </c>
      <c r="E245" s="651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6"/>
      <c r="R245" s="656"/>
      <c r="S245" s="656"/>
      <c r="T245" s="657"/>
      <c r="U245" s="34"/>
      <c r="V245" s="34"/>
      <c r="W245" s="35" t="s">
        <v>67</v>
      </c>
      <c r="X245" s="643">
        <v>0</v>
      </c>
      <c r="Y245" s="644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406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416</v>
      </c>
      <c r="B246" s="54" t="s">
        <v>418</v>
      </c>
      <c r="C246" s="31">
        <v>4301052277</v>
      </c>
      <c r="D246" s="650">
        <v>4680115888982</v>
      </c>
      <c r="E246" s="651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40</v>
      </c>
      <c r="P246" s="7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6"/>
      <c r="R246" s="656"/>
      <c r="S246" s="656"/>
      <c r="T246" s="657"/>
      <c r="U246" s="34"/>
      <c r="V246" s="34"/>
      <c r="W246" s="35" t="s">
        <v>67</v>
      </c>
      <c r="X246" s="643">
        <v>0</v>
      </c>
      <c r="Y246" s="644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idden="1" x14ac:dyDescent="0.2">
      <c r="A247" s="652"/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4"/>
      <c r="P247" s="647" t="s">
        <v>72</v>
      </c>
      <c r="Q247" s="648"/>
      <c r="R247" s="648"/>
      <c r="S247" s="648"/>
      <c r="T247" s="648"/>
      <c r="U247" s="648"/>
      <c r="V247" s="649"/>
      <c r="W247" s="37" t="s">
        <v>73</v>
      </c>
      <c r="X247" s="645">
        <f>IFERROR(X238/H238,"0")+IFERROR(X239/H239,"0")+IFERROR(X240/H240,"0")+IFERROR(X241/H241,"0")+IFERROR(X242/H242,"0")+IFERROR(X243/H243,"0")+IFERROR(X244/H244,"0")+IFERROR(X245/H245,"0")+IFERROR(X246/H246,"0")</f>
        <v>0</v>
      </c>
      <c r="Y247" s="645">
        <f>IFERROR(Y238/H238,"0")+IFERROR(Y239/H239,"0")+IFERROR(Y240/H240,"0")+IFERROR(Y241/H241,"0")+IFERROR(Y242/H242,"0")+IFERROR(Y243/H243,"0")+IFERROR(Y244/H244,"0")+IFERROR(Y245/H245,"0")+IFERROR(Y246/H246,"0")</f>
        <v>0</v>
      </c>
      <c r="Z247" s="645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6"/>
      <c r="AB247" s="646"/>
      <c r="AC247" s="646"/>
    </row>
    <row r="248" spans="1:68" hidden="1" x14ac:dyDescent="0.2">
      <c r="A248" s="653"/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4"/>
      <c r="P248" s="647" t="s">
        <v>72</v>
      </c>
      <c r="Q248" s="648"/>
      <c r="R248" s="648"/>
      <c r="S248" s="648"/>
      <c r="T248" s="648"/>
      <c r="U248" s="648"/>
      <c r="V248" s="649"/>
      <c r="W248" s="37" t="s">
        <v>67</v>
      </c>
      <c r="X248" s="645">
        <f>IFERROR(SUM(X238:X246),"0")</f>
        <v>0</v>
      </c>
      <c r="Y248" s="645">
        <f>IFERROR(SUM(Y238:Y246),"0")</f>
        <v>0</v>
      </c>
      <c r="Z248" s="37"/>
      <c r="AA248" s="646"/>
      <c r="AB248" s="646"/>
      <c r="AC248" s="646"/>
    </row>
    <row r="249" spans="1:68" ht="14.25" hidden="1" customHeight="1" x14ac:dyDescent="0.25">
      <c r="A249" s="663" t="s">
        <v>266</v>
      </c>
      <c r="B249" s="653"/>
      <c r="C249" s="653"/>
      <c r="D249" s="653"/>
      <c r="E249" s="653"/>
      <c r="F249" s="653"/>
      <c r="G249" s="653"/>
      <c r="H249" s="653"/>
      <c r="I249" s="653"/>
      <c r="J249" s="653"/>
      <c r="K249" s="653"/>
      <c r="L249" s="653"/>
      <c r="M249" s="653"/>
      <c r="N249" s="653"/>
      <c r="O249" s="653"/>
      <c r="P249" s="653"/>
      <c r="Q249" s="653"/>
      <c r="R249" s="653"/>
      <c r="S249" s="653"/>
      <c r="T249" s="653"/>
      <c r="U249" s="653"/>
      <c r="V249" s="653"/>
      <c r="W249" s="653"/>
      <c r="X249" s="653"/>
      <c r="Y249" s="653"/>
      <c r="Z249" s="653"/>
      <c r="AA249" s="639"/>
      <c r="AB249" s="639"/>
      <c r="AC249" s="639"/>
    </row>
    <row r="250" spans="1:68" ht="27" hidden="1" customHeight="1" x14ac:dyDescent="0.25">
      <c r="A250" s="54" t="s">
        <v>419</v>
      </c>
      <c r="B250" s="54" t="s">
        <v>420</v>
      </c>
      <c r="C250" s="31">
        <v>4301032053</v>
      </c>
      <c r="D250" s="650">
        <v>4680115886780</v>
      </c>
      <c r="E250" s="651"/>
      <c r="F250" s="642">
        <v>7.0000000000000007E-2</v>
      </c>
      <c r="G250" s="32">
        <v>18</v>
      </c>
      <c r="H250" s="642">
        <v>1.26</v>
      </c>
      <c r="I250" s="642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43">
        <v>0</v>
      </c>
      <c r="Y250" s="6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421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422</v>
      </c>
      <c r="B251" s="54" t="s">
        <v>423</v>
      </c>
      <c r="C251" s="31">
        <v>4301032051</v>
      </c>
      <c r="D251" s="650">
        <v>4680115886742</v>
      </c>
      <c r="E251" s="651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43">
        <v>7</v>
      </c>
      <c r="Y251" s="644">
        <f>IFERROR(IF(X251="",0,CEILING((X251/$H251),1)*$H251),"")</f>
        <v>7.5600000000000005</v>
      </c>
      <c r="Z251" s="36">
        <f>IFERROR(IF(Y251=0,"",ROUNDUP(Y251/H251,0)*0.0059),"")</f>
        <v>3.5400000000000001E-2</v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8.0555555555555554</v>
      </c>
      <c r="BN251" s="64">
        <f>IFERROR(Y251*I251/H251,"0")</f>
        <v>8.6999999999999993</v>
      </c>
      <c r="BO251" s="64">
        <f>IFERROR(1/J251*(X251/H251),"0")</f>
        <v>2.5720164609053495E-2</v>
      </c>
      <c r="BP251" s="64">
        <f>IFERROR(1/J251*(Y251/H251),"0")</f>
        <v>2.7777777777777776E-2</v>
      </c>
    </row>
    <row r="252" spans="1:68" ht="27" customHeight="1" x14ac:dyDescent="0.25">
      <c r="A252" s="54" t="s">
        <v>425</v>
      </c>
      <c r="B252" s="54" t="s">
        <v>426</v>
      </c>
      <c r="C252" s="31">
        <v>4301032052</v>
      </c>
      <c r="D252" s="650">
        <v>4680115886766</v>
      </c>
      <c r="E252" s="651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6"/>
      <c r="R252" s="656"/>
      <c r="S252" s="656"/>
      <c r="T252" s="657"/>
      <c r="U252" s="34"/>
      <c r="V252" s="34"/>
      <c r="W252" s="35" t="s">
        <v>67</v>
      </c>
      <c r="X252" s="643">
        <v>3</v>
      </c>
      <c r="Y252" s="64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9" t="s">
        <v>424</v>
      </c>
      <c r="AG252" s="64"/>
      <c r="AJ252" s="68"/>
      <c r="AK252" s="68">
        <v>0</v>
      </c>
      <c r="BB252" s="330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x14ac:dyDescent="0.2">
      <c r="A253" s="652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47" t="s">
        <v>72</v>
      </c>
      <c r="Q253" s="648"/>
      <c r="R253" s="648"/>
      <c r="S253" s="648"/>
      <c r="T253" s="648"/>
      <c r="U253" s="648"/>
      <c r="V253" s="649"/>
      <c r="W253" s="37" t="s">
        <v>73</v>
      </c>
      <c r="X253" s="645">
        <f>IFERROR(X250/H250,"0")+IFERROR(X251/H251,"0")+IFERROR(X252/H252,"0")</f>
        <v>7.9365079365079367</v>
      </c>
      <c r="Y253" s="645">
        <f>IFERROR(Y250/H250,"0")+IFERROR(Y251/H251,"0")+IFERROR(Y252/H252,"0")</f>
        <v>9</v>
      </c>
      <c r="Z253" s="645">
        <f>IFERROR(IF(Z250="",0,Z250),"0")+IFERROR(IF(Z251="",0,Z251),"0")+IFERROR(IF(Z252="",0,Z252),"0")</f>
        <v>5.3100000000000001E-2</v>
      </c>
      <c r="AA253" s="646"/>
      <c r="AB253" s="646"/>
      <c r="AC253" s="646"/>
    </row>
    <row r="254" spans="1:68" x14ac:dyDescent="0.2">
      <c r="A254" s="653"/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4"/>
      <c r="P254" s="647" t="s">
        <v>72</v>
      </c>
      <c r="Q254" s="648"/>
      <c r="R254" s="648"/>
      <c r="S254" s="648"/>
      <c r="T254" s="648"/>
      <c r="U254" s="648"/>
      <c r="V254" s="649"/>
      <c r="W254" s="37" t="s">
        <v>67</v>
      </c>
      <c r="X254" s="645">
        <f>IFERROR(SUM(X250:X252),"0")</f>
        <v>10</v>
      </c>
      <c r="Y254" s="645">
        <f>IFERROR(SUM(Y250:Y252),"0")</f>
        <v>11.34</v>
      </c>
      <c r="Z254" s="37"/>
      <c r="AA254" s="646"/>
      <c r="AB254" s="646"/>
      <c r="AC254" s="646"/>
    </row>
    <row r="255" spans="1:68" ht="14.25" hidden="1" customHeight="1" x14ac:dyDescent="0.25">
      <c r="A255" s="663" t="s">
        <v>427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39"/>
      <c r="AB255" s="639"/>
      <c r="AC255" s="639"/>
    </row>
    <row r="256" spans="1:68" ht="27" hidden="1" customHeight="1" x14ac:dyDescent="0.25">
      <c r="A256" s="54" t="s">
        <v>428</v>
      </c>
      <c r="B256" s="54" t="s">
        <v>429</v>
      </c>
      <c r="C256" s="31">
        <v>4301170013</v>
      </c>
      <c r="D256" s="650">
        <v>4680115886797</v>
      </c>
      <c r="E256" s="651"/>
      <c r="F256" s="642">
        <v>7.0000000000000007E-2</v>
      </c>
      <c r="G256" s="32">
        <v>18</v>
      </c>
      <c r="H256" s="642">
        <v>1.26</v>
      </c>
      <c r="I256" s="642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43">
        <v>0</v>
      </c>
      <c r="Y256" s="64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424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47" t="s">
        <v>72</v>
      </c>
      <c r="Q257" s="648"/>
      <c r="R257" s="648"/>
      <c r="S257" s="648"/>
      <c r="T257" s="648"/>
      <c r="U257" s="648"/>
      <c r="V257" s="649"/>
      <c r="W257" s="37" t="s">
        <v>73</v>
      </c>
      <c r="X257" s="645">
        <f>IFERROR(X256/H256,"0")</f>
        <v>0</v>
      </c>
      <c r="Y257" s="645">
        <f>IFERROR(Y256/H256,"0")</f>
        <v>0</v>
      </c>
      <c r="Z257" s="645">
        <f>IFERROR(IF(Z256="",0,Z256),"0")</f>
        <v>0</v>
      </c>
      <c r="AA257" s="646"/>
      <c r="AB257" s="646"/>
      <c r="AC257" s="646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47" t="s">
        <v>72</v>
      </c>
      <c r="Q258" s="648"/>
      <c r="R258" s="648"/>
      <c r="S258" s="648"/>
      <c r="T258" s="648"/>
      <c r="U258" s="648"/>
      <c r="V258" s="649"/>
      <c r="W258" s="37" t="s">
        <v>67</v>
      </c>
      <c r="X258" s="645">
        <f>IFERROR(SUM(X256:X256),"0")</f>
        <v>0</v>
      </c>
      <c r="Y258" s="645">
        <f>IFERROR(SUM(Y256:Y256),"0")</f>
        <v>0</v>
      </c>
      <c r="Z258" s="37"/>
      <c r="AA258" s="646"/>
      <c r="AB258" s="646"/>
      <c r="AC258" s="646"/>
    </row>
    <row r="259" spans="1:68" ht="16.5" hidden="1" customHeight="1" x14ac:dyDescent="0.25">
      <c r="A259" s="666" t="s">
        <v>430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8"/>
      <c r="AB259" s="638"/>
      <c r="AC259" s="638"/>
    </row>
    <row r="260" spans="1:68" ht="14.25" hidden="1" customHeight="1" x14ac:dyDescent="0.25">
      <c r="A260" s="663" t="s">
        <v>111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39"/>
      <c r="AB260" s="639"/>
      <c r="AC260" s="639"/>
    </row>
    <row r="261" spans="1:68" ht="27" hidden="1" customHeight="1" x14ac:dyDescent="0.25">
      <c r="A261" s="54" t="s">
        <v>431</v>
      </c>
      <c r="B261" s="54" t="s">
        <v>432</v>
      </c>
      <c r="C261" s="31">
        <v>4301011450</v>
      </c>
      <c r="D261" s="650">
        <v>4680115881402</v>
      </c>
      <c r="E261" s="651"/>
      <c r="F261" s="642">
        <v>1.35</v>
      </c>
      <c r="G261" s="32">
        <v>8</v>
      </c>
      <c r="H261" s="642">
        <v>10.8</v>
      </c>
      <c r="I261" s="642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55</v>
      </c>
      <c r="P261" s="8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43">
        <v>0</v>
      </c>
      <c r="Y261" s="644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433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4301011768</v>
      </c>
      <c r="D262" s="650">
        <v>4680115881396</v>
      </c>
      <c r="E262" s="651"/>
      <c r="F262" s="642">
        <v>0.45</v>
      </c>
      <c r="G262" s="32">
        <v>6</v>
      </c>
      <c r="H262" s="642">
        <v>2.7</v>
      </c>
      <c r="I262" s="642">
        <v>2.88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55</v>
      </c>
      <c r="P262" s="9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6"/>
      <c r="R262" s="656"/>
      <c r="S262" s="656"/>
      <c r="T262" s="657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433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2"/>
      <c r="B263" s="653"/>
      <c r="C263" s="653"/>
      <c r="D263" s="653"/>
      <c r="E263" s="653"/>
      <c r="F263" s="653"/>
      <c r="G263" s="653"/>
      <c r="H263" s="653"/>
      <c r="I263" s="653"/>
      <c r="J263" s="653"/>
      <c r="K263" s="653"/>
      <c r="L263" s="653"/>
      <c r="M263" s="653"/>
      <c r="N263" s="653"/>
      <c r="O263" s="654"/>
      <c r="P263" s="647" t="s">
        <v>72</v>
      </c>
      <c r="Q263" s="648"/>
      <c r="R263" s="648"/>
      <c r="S263" s="648"/>
      <c r="T263" s="648"/>
      <c r="U263" s="648"/>
      <c r="V263" s="649"/>
      <c r="W263" s="37" t="s">
        <v>73</v>
      </c>
      <c r="X263" s="645">
        <f>IFERROR(X261/H261,"0")+IFERROR(X262/H262,"0")</f>
        <v>0</v>
      </c>
      <c r="Y263" s="645">
        <f>IFERROR(Y261/H261,"0")+IFERROR(Y262/H262,"0")</f>
        <v>0</v>
      </c>
      <c r="Z263" s="645">
        <f>IFERROR(IF(Z261="",0,Z261),"0")+IFERROR(IF(Z262="",0,Z262),"0")</f>
        <v>0</v>
      </c>
      <c r="AA263" s="646"/>
      <c r="AB263" s="646"/>
      <c r="AC263" s="646"/>
    </row>
    <row r="264" spans="1:68" hidden="1" x14ac:dyDescent="0.2">
      <c r="A264" s="653"/>
      <c r="B264" s="653"/>
      <c r="C264" s="653"/>
      <c r="D264" s="653"/>
      <c r="E264" s="653"/>
      <c r="F264" s="653"/>
      <c r="G264" s="653"/>
      <c r="H264" s="653"/>
      <c r="I264" s="653"/>
      <c r="J264" s="653"/>
      <c r="K264" s="653"/>
      <c r="L264" s="653"/>
      <c r="M264" s="653"/>
      <c r="N264" s="653"/>
      <c r="O264" s="654"/>
      <c r="P264" s="647" t="s">
        <v>72</v>
      </c>
      <c r="Q264" s="648"/>
      <c r="R264" s="648"/>
      <c r="S264" s="648"/>
      <c r="T264" s="648"/>
      <c r="U264" s="648"/>
      <c r="V264" s="649"/>
      <c r="W264" s="37" t="s">
        <v>67</v>
      </c>
      <c r="X264" s="645">
        <f>IFERROR(SUM(X261:X262),"0")</f>
        <v>0</v>
      </c>
      <c r="Y264" s="645">
        <f>IFERROR(SUM(Y261:Y262),"0")</f>
        <v>0</v>
      </c>
      <c r="Z264" s="37"/>
      <c r="AA264" s="646"/>
      <c r="AB264" s="646"/>
      <c r="AC264" s="646"/>
    </row>
    <row r="265" spans="1:68" ht="14.25" hidden="1" customHeight="1" x14ac:dyDescent="0.25">
      <c r="A265" s="663" t="s">
        <v>148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39"/>
      <c r="AB265" s="639"/>
      <c r="AC265" s="639"/>
    </row>
    <row r="266" spans="1:68" ht="16.5" hidden="1" customHeight="1" x14ac:dyDescent="0.25">
      <c r="A266" s="54" t="s">
        <v>436</v>
      </c>
      <c r="B266" s="54" t="s">
        <v>437</v>
      </c>
      <c r="C266" s="31">
        <v>4301020261</v>
      </c>
      <c r="D266" s="650">
        <v>4680115882935</v>
      </c>
      <c r="E266" s="651"/>
      <c r="F266" s="642">
        <v>1.35</v>
      </c>
      <c r="G266" s="32">
        <v>8</v>
      </c>
      <c r="H266" s="642">
        <v>10.8</v>
      </c>
      <c r="I266" s="642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50</v>
      </c>
      <c r="P266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43">
        <v>0</v>
      </c>
      <c r="Y266" s="6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438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439</v>
      </c>
      <c r="B267" s="54" t="s">
        <v>440</v>
      </c>
      <c r="C267" s="31">
        <v>4301020220</v>
      </c>
      <c r="D267" s="650">
        <v>4680115880764</v>
      </c>
      <c r="E267" s="651"/>
      <c r="F267" s="642">
        <v>0.35</v>
      </c>
      <c r="G267" s="32">
        <v>6</v>
      </c>
      <c r="H267" s="642">
        <v>2.1</v>
      </c>
      <c r="I267" s="642">
        <v>2.2799999999999998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6"/>
      <c r="R267" s="656"/>
      <c r="S267" s="656"/>
      <c r="T267" s="657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438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47" t="s">
        <v>72</v>
      </c>
      <c r="Q268" s="648"/>
      <c r="R268" s="648"/>
      <c r="S268" s="648"/>
      <c r="T268" s="648"/>
      <c r="U268" s="648"/>
      <c r="V268" s="649"/>
      <c r="W268" s="37" t="s">
        <v>73</v>
      </c>
      <c r="X268" s="645">
        <f>IFERROR(X266/H266,"0")+IFERROR(X267/H267,"0")</f>
        <v>0</v>
      </c>
      <c r="Y268" s="645">
        <f>IFERROR(Y266/H266,"0")+IFERROR(Y267/H267,"0")</f>
        <v>0</v>
      </c>
      <c r="Z268" s="645">
        <f>IFERROR(IF(Z266="",0,Z266),"0")+IFERROR(IF(Z267="",0,Z267),"0")</f>
        <v>0</v>
      </c>
      <c r="AA268" s="646"/>
      <c r="AB268" s="646"/>
      <c r="AC268" s="646"/>
    </row>
    <row r="269" spans="1:68" hidden="1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47" t="s">
        <v>72</v>
      </c>
      <c r="Q269" s="648"/>
      <c r="R269" s="648"/>
      <c r="S269" s="648"/>
      <c r="T269" s="648"/>
      <c r="U269" s="648"/>
      <c r="V269" s="649"/>
      <c r="W269" s="37" t="s">
        <v>67</v>
      </c>
      <c r="X269" s="645">
        <f>IFERROR(SUM(X266:X267),"0")</f>
        <v>0</v>
      </c>
      <c r="Y269" s="645">
        <f>IFERROR(SUM(Y266:Y267),"0")</f>
        <v>0</v>
      </c>
      <c r="Z269" s="37"/>
      <c r="AA269" s="646"/>
      <c r="AB269" s="646"/>
      <c r="AC269" s="646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9"/>
      <c r="AB270" s="639"/>
      <c r="AC270" s="639"/>
    </row>
    <row r="271" spans="1:68" ht="27" hidden="1" customHeight="1" x14ac:dyDescent="0.25">
      <c r="A271" s="54" t="s">
        <v>441</v>
      </c>
      <c r="B271" s="54" t="s">
        <v>442</v>
      </c>
      <c r="C271" s="31">
        <v>4301031224</v>
      </c>
      <c r="D271" s="650">
        <v>4680115882683</v>
      </c>
      <c r="E271" s="651"/>
      <c r="F271" s="642">
        <v>0.9</v>
      </c>
      <c r="G271" s="32">
        <v>6</v>
      </c>
      <c r="H271" s="642">
        <v>5.4</v>
      </c>
      <c r="I271" s="642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43">
        <v>0</v>
      </c>
      <c r="Y271" s="644">
        <f t="shared" ref="Y271:Y278" si="38">IFERROR(IF(X271="",0,CEILING((X271/$H271),1)*$H271),"")</f>
        <v>0</v>
      </c>
      <c r="Z271" s="36" t="str">
        <f>IFERROR(IF(Y271=0,"",ROUNDUP(Y271/H271,0)*0.00902),"")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ref="BM271:BM278" si="39">IFERROR(X271*I271/H271,"0")</f>
        <v>0</v>
      </c>
      <c r="BN271" s="64">
        <f t="shared" ref="BN271:BN278" si="40">IFERROR(Y271*I271/H271,"0")</f>
        <v>0</v>
      </c>
      <c r="BO271" s="64">
        <f t="shared" ref="BO271:BO278" si="41">IFERROR(1/J271*(X271/H271),"0")</f>
        <v>0</v>
      </c>
      <c r="BP271" s="64">
        <f t="shared" ref="BP271:BP278" si="42">IFERROR(1/J271*(Y271/H271),"0")</f>
        <v>0</v>
      </c>
    </row>
    <row r="272" spans="1:68" ht="27" customHeight="1" x14ac:dyDescent="0.25">
      <c r="A272" s="54" t="s">
        <v>444</v>
      </c>
      <c r="B272" s="54" t="s">
        <v>445</v>
      </c>
      <c r="C272" s="31">
        <v>4301031230</v>
      </c>
      <c r="D272" s="650">
        <v>4680115882690</v>
      </c>
      <c r="E272" s="651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6"/>
      <c r="R272" s="656"/>
      <c r="S272" s="656"/>
      <c r="T272" s="657"/>
      <c r="U272" s="34"/>
      <c r="V272" s="34"/>
      <c r="W272" s="35" t="s">
        <v>67</v>
      </c>
      <c r="X272" s="643">
        <v>55</v>
      </c>
      <c r="Y272" s="644">
        <f t="shared" si="38"/>
        <v>59.400000000000006</v>
      </c>
      <c r="Z272" s="36">
        <f>IFERROR(IF(Y272=0,"",ROUNDUP(Y272/H272,0)*0.00902),"")</f>
        <v>9.9220000000000003E-2</v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9"/>
        <v>56.935185185185176</v>
      </c>
      <c r="BN272" s="64">
        <f t="shared" si="40"/>
        <v>61.49</v>
      </c>
      <c r="BO272" s="64">
        <f t="shared" si="41"/>
        <v>7.716049382716049E-2</v>
      </c>
      <c r="BP272" s="64">
        <f t="shared" si="42"/>
        <v>8.3333333333333343E-2</v>
      </c>
    </row>
    <row r="273" spans="1:68" ht="27" customHeight="1" x14ac:dyDescent="0.25">
      <c r="A273" s="54" t="s">
        <v>447</v>
      </c>
      <c r="B273" s="54" t="s">
        <v>448</v>
      </c>
      <c r="C273" s="31">
        <v>4301031220</v>
      </c>
      <c r="D273" s="650">
        <v>4680115882669</v>
      </c>
      <c r="E273" s="651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6"/>
      <c r="R273" s="656"/>
      <c r="S273" s="656"/>
      <c r="T273" s="657"/>
      <c r="U273" s="34"/>
      <c r="V273" s="34"/>
      <c r="W273" s="35" t="s">
        <v>67</v>
      </c>
      <c r="X273" s="643">
        <v>23</v>
      </c>
      <c r="Y273" s="644">
        <f t="shared" si="38"/>
        <v>27</v>
      </c>
      <c r="Z273" s="36">
        <f>IFERROR(IF(Y273=0,"",ROUNDUP(Y273/H273,0)*0.00902),"")</f>
        <v>4.5100000000000001E-2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9"/>
        <v>23.809259259259257</v>
      </c>
      <c r="BN273" s="64">
        <f t="shared" si="40"/>
        <v>27.95</v>
      </c>
      <c r="BO273" s="64">
        <f t="shared" si="41"/>
        <v>3.2267115600448933E-2</v>
      </c>
      <c r="BP273" s="64">
        <f t="shared" si="42"/>
        <v>3.787878787878788E-2</v>
      </c>
    </row>
    <row r="274" spans="1:68" ht="27" customHeight="1" x14ac:dyDescent="0.25">
      <c r="A274" s="54" t="s">
        <v>450</v>
      </c>
      <c r="B274" s="54" t="s">
        <v>451</v>
      </c>
      <c r="C274" s="31">
        <v>4301031221</v>
      </c>
      <c r="D274" s="650">
        <v>4680115882676</v>
      </c>
      <c r="E274" s="651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6"/>
      <c r="R274" s="656"/>
      <c r="S274" s="656"/>
      <c r="T274" s="657"/>
      <c r="U274" s="34"/>
      <c r="V274" s="34"/>
      <c r="W274" s="35" t="s">
        <v>67</v>
      </c>
      <c r="X274" s="643">
        <v>26</v>
      </c>
      <c r="Y274" s="644">
        <f t="shared" si="38"/>
        <v>27</v>
      </c>
      <c r="Z274" s="36">
        <f>IFERROR(IF(Y274=0,"",ROUNDUP(Y274/H274,0)*0.00902),"")</f>
        <v>4.5100000000000001E-2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26.914814814814815</v>
      </c>
      <c r="BN274" s="64">
        <f t="shared" si="40"/>
        <v>27.95</v>
      </c>
      <c r="BO274" s="64">
        <f t="shared" si="41"/>
        <v>3.6475869809203143E-2</v>
      </c>
      <c r="BP274" s="64">
        <f t="shared" si="42"/>
        <v>3.787878787878788E-2</v>
      </c>
    </row>
    <row r="275" spans="1:68" ht="27" customHeight="1" x14ac:dyDescent="0.25">
      <c r="A275" s="54" t="s">
        <v>453</v>
      </c>
      <c r="B275" s="54" t="s">
        <v>454</v>
      </c>
      <c r="C275" s="31">
        <v>4301031223</v>
      </c>
      <c r="D275" s="650">
        <v>4680115884014</v>
      </c>
      <c r="E275" s="651"/>
      <c r="F275" s="642">
        <v>0.3</v>
      </c>
      <c r="G275" s="32">
        <v>6</v>
      </c>
      <c r="H275" s="642">
        <v>1.8</v>
      </c>
      <c r="I275" s="642">
        <v>1.93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6"/>
      <c r="R275" s="656"/>
      <c r="S275" s="656"/>
      <c r="T275" s="657"/>
      <c r="U275" s="34"/>
      <c r="V275" s="34"/>
      <c r="W275" s="35" t="s">
        <v>67</v>
      </c>
      <c r="X275" s="643">
        <v>16</v>
      </c>
      <c r="Y275" s="644">
        <f t="shared" si="38"/>
        <v>16.2</v>
      </c>
      <c r="Z275" s="36">
        <f>IFERROR(IF(Y275=0,"",ROUNDUP(Y275/H275,0)*0.00502),"")</f>
        <v>4.5179999999999998E-2</v>
      </c>
      <c r="AA275" s="56"/>
      <c r="AB275" s="57"/>
      <c r="AC275" s="349" t="s">
        <v>443</v>
      </c>
      <c r="AG275" s="64"/>
      <c r="AJ275" s="68"/>
      <c r="AK275" s="68">
        <v>0</v>
      </c>
      <c r="BB275" s="350" t="s">
        <v>1</v>
      </c>
      <c r="BM275" s="64">
        <f t="shared" si="39"/>
        <v>17.155555555555555</v>
      </c>
      <c r="BN275" s="64">
        <f t="shared" si="40"/>
        <v>17.369999999999997</v>
      </c>
      <c r="BO275" s="64">
        <f t="shared" si="41"/>
        <v>3.7986704653371325E-2</v>
      </c>
      <c r="BP275" s="64">
        <f t="shared" si="42"/>
        <v>3.8461538461538464E-2</v>
      </c>
    </row>
    <row r="276" spans="1:68" ht="27" customHeight="1" x14ac:dyDescent="0.25">
      <c r="A276" s="54" t="s">
        <v>455</v>
      </c>
      <c r="B276" s="54" t="s">
        <v>456</v>
      </c>
      <c r="C276" s="31">
        <v>4301031222</v>
      </c>
      <c r="D276" s="650">
        <v>4680115884007</v>
      </c>
      <c r="E276" s="651"/>
      <c r="F276" s="642">
        <v>0.3</v>
      </c>
      <c r="G276" s="32">
        <v>6</v>
      </c>
      <c r="H276" s="642">
        <v>1.8</v>
      </c>
      <c r="I276" s="642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43">
        <v>12</v>
      </c>
      <c r="Y276" s="644">
        <f t="shared" si="38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39"/>
        <v>12.666666666666664</v>
      </c>
      <c r="BN276" s="64">
        <f t="shared" si="40"/>
        <v>13.299999999999999</v>
      </c>
      <c r="BO276" s="64">
        <f t="shared" si="41"/>
        <v>2.8490028490028491E-2</v>
      </c>
      <c r="BP276" s="64">
        <f t="shared" si="42"/>
        <v>2.9914529914529919E-2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4301031229</v>
      </c>
      <c r="D277" s="650">
        <v>4680115884038</v>
      </c>
      <c r="E277" s="651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43">
        <v>0</v>
      </c>
      <c r="Y277" s="644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customHeight="1" x14ac:dyDescent="0.25">
      <c r="A278" s="54" t="s">
        <v>459</v>
      </c>
      <c r="B278" s="54" t="s">
        <v>460</v>
      </c>
      <c r="C278" s="31">
        <v>4301031225</v>
      </c>
      <c r="D278" s="650">
        <v>4680115884021</v>
      </c>
      <c r="E278" s="651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43">
        <v>31</v>
      </c>
      <c r="Y278" s="644">
        <f t="shared" si="38"/>
        <v>32.4</v>
      </c>
      <c r="Z278" s="36">
        <f>IFERROR(IF(Y278=0,"",ROUNDUP(Y278/H278,0)*0.00502),"")</f>
        <v>9.0359999999999996E-2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32.722222222222221</v>
      </c>
      <c r="BN278" s="64">
        <f t="shared" si="40"/>
        <v>34.199999999999996</v>
      </c>
      <c r="BO278" s="64">
        <f t="shared" si="41"/>
        <v>7.3599240265906932E-2</v>
      </c>
      <c r="BP278" s="64">
        <f t="shared" si="42"/>
        <v>7.6923076923076927E-2</v>
      </c>
    </row>
    <row r="279" spans="1:68" x14ac:dyDescent="0.2">
      <c r="A279" s="652"/>
      <c r="B279" s="653"/>
      <c r="C279" s="653"/>
      <c r="D279" s="653"/>
      <c r="E279" s="653"/>
      <c r="F279" s="653"/>
      <c r="G279" s="653"/>
      <c r="H279" s="653"/>
      <c r="I279" s="653"/>
      <c r="J279" s="653"/>
      <c r="K279" s="653"/>
      <c r="L279" s="653"/>
      <c r="M279" s="653"/>
      <c r="N279" s="653"/>
      <c r="O279" s="654"/>
      <c r="P279" s="647" t="s">
        <v>72</v>
      </c>
      <c r="Q279" s="648"/>
      <c r="R279" s="648"/>
      <c r="S279" s="648"/>
      <c r="T279" s="648"/>
      <c r="U279" s="648"/>
      <c r="V279" s="649"/>
      <c r="W279" s="37" t="s">
        <v>73</v>
      </c>
      <c r="X279" s="645">
        <f>IFERROR(X271/H271,"0")+IFERROR(X272/H272,"0")+IFERROR(X273/H273,"0")+IFERROR(X274/H274,"0")+IFERROR(X275/H275,"0")+IFERROR(X276/H276,"0")+IFERROR(X277/H277,"0")+IFERROR(X278/H278,"0")</f>
        <v>52.037037037037038</v>
      </c>
      <c r="Y279" s="645">
        <f>IFERROR(Y271/H271,"0")+IFERROR(Y272/H272,"0")+IFERROR(Y273/H273,"0")+IFERROR(Y274/H274,"0")+IFERROR(Y275/H275,"0")+IFERROR(Y276/H276,"0")+IFERROR(Y277/H277,"0")+IFERROR(Y278/H278,"0")</f>
        <v>55</v>
      </c>
      <c r="Z279" s="645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0.36009999999999998</v>
      </c>
      <c r="AA279" s="646"/>
      <c r="AB279" s="646"/>
      <c r="AC279" s="646"/>
    </row>
    <row r="280" spans="1:68" x14ac:dyDescent="0.2">
      <c r="A280" s="653"/>
      <c r="B280" s="653"/>
      <c r="C280" s="653"/>
      <c r="D280" s="653"/>
      <c r="E280" s="653"/>
      <c r="F280" s="653"/>
      <c r="G280" s="653"/>
      <c r="H280" s="653"/>
      <c r="I280" s="653"/>
      <c r="J280" s="653"/>
      <c r="K280" s="653"/>
      <c r="L280" s="653"/>
      <c r="M280" s="653"/>
      <c r="N280" s="653"/>
      <c r="O280" s="654"/>
      <c r="P280" s="647" t="s">
        <v>72</v>
      </c>
      <c r="Q280" s="648"/>
      <c r="R280" s="648"/>
      <c r="S280" s="648"/>
      <c r="T280" s="648"/>
      <c r="U280" s="648"/>
      <c r="V280" s="649"/>
      <c r="W280" s="37" t="s">
        <v>67</v>
      </c>
      <c r="X280" s="645">
        <f>IFERROR(SUM(X271:X278),"0")</f>
        <v>163</v>
      </c>
      <c r="Y280" s="645">
        <f>IFERROR(SUM(Y271:Y278),"0")</f>
        <v>174.6</v>
      </c>
      <c r="Z280" s="37"/>
      <c r="AA280" s="646"/>
      <c r="AB280" s="646"/>
      <c r="AC280" s="646"/>
    </row>
    <row r="281" spans="1:68" ht="14.25" hidden="1" customHeight="1" x14ac:dyDescent="0.25">
      <c r="A281" s="663" t="s">
        <v>74</v>
      </c>
      <c r="B281" s="653"/>
      <c r="C281" s="653"/>
      <c r="D281" s="653"/>
      <c r="E281" s="653"/>
      <c r="F281" s="653"/>
      <c r="G281" s="653"/>
      <c r="H281" s="653"/>
      <c r="I281" s="653"/>
      <c r="J281" s="653"/>
      <c r="K281" s="653"/>
      <c r="L281" s="653"/>
      <c r="M281" s="653"/>
      <c r="N281" s="653"/>
      <c r="O281" s="653"/>
      <c r="P281" s="653"/>
      <c r="Q281" s="653"/>
      <c r="R281" s="653"/>
      <c r="S281" s="653"/>
      <c r="T281" s="653"/>
      <c r="U281" s="653"/>
      <c r="V281" s="653"/>
      <c r="W281" s="653"/>
      <c r="X281" s="653"/>
      <c r="Y281" s="653"/>
      <c r="Z281" s="653"/>
      <c r="AA281" s="639"/>
      <c r="AB281" s="639"/>
      <c r="AC281" s="639"/>
    </row>
    <row r="282" spans="1:68" ht="27" customHeight="1" x14ac:dyDescent="0.25">
      <c r="A282" s="54" t="s">
        <v>461</v>
      </c>
      <c r="B282" s="54" t="s">
        <v>462</v>
      </c>
      <c r="C282" s="31">
        <v>4301051408</v>
      </c>
      <c r="D282" s="650">
        <v>4680115881594</v>
      </c>
      <c r="E282" s="651"/>
      <c r="F282" s="642">
        <v>1.35</v>
      </c>
      <c r="G282" s="32">
        <v>6</v>
      </c>
      <c r="H282" s="642">
        <v>8.1</v>
      </c>
      <c r="I282" s="642">
        <v>8.5939999999999994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40</v>
      </c>
      <c r="P282" s="9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43">
        <v>651</v>
      </c>
      <c r="Y282" s="644">
        <f t="shared" ref="Y282:Y293" si="43">IFERROR(IF(X282="",0,CEILING((X282/$H282),1)*$H282),"")</f>
        <v>656.1</v>
      </c>
      <c r="Z282" s="36">
        <f>IFERROR(IF(Y282=0,"",ROUNDUP(Y282/H282,0)*0.01898),"")</f>
        <v>1.53738</v>
      </c>
      <c r="AA282" s="56"/>
      <c r="AB282" s="57"/>
      <c r="AC282" s="357" t="s">
        <v>463</v>
      </c>
      <c r="AG282" s="64"/>
      <c r="AJ282" s="68"/>
      <c r="AK282" s="68">
        <v>0</v>
      </c>
      <c r="BB282" s="358" t="s">
        <v>1</v>
      </c>
      <c r="BM282" s="64">
        <f t="shared" ref="BM282:BM293" si="44">IFERROR(X282*I282/H282,"0")</f>
        <v>690.70296296296294</v>
      </c>
      <c r="BN282" s="64">
        <f t="shared" ref="BN282:BN293" si="45">IFERROR(Y282*I282/H282,"0")</f>
        <v>696.11400000000003</v>
      </c>
      <c r="BO282" s="64">
        <f t="shared" ref="BO282:BO293" si="46">IFERROR(1/J282*(X282/H282),"0")</f>
        <v>1.2557870370370372</v>
      </c>
      <c r="BP282" s="64">
        <f t="shared" ref="BP282:BP293" si="47">IFERROR(1/J282*(Y282/H282),"0")</f>
        <v>1.265625</v>
      </c>
    </row>
    <row r="283" spans="1:68" ht="27" hidden="1" customHeight="1" x14ac:dyDescent="0.25">
      <c r="A283" s="54" t="s">
        <v>464</v>
      </c>
      <c r="B283" s="54" t="s">
        <v>465</v>
      </c>
      <c r="C283" s="31">
        <v>4301051411</v>
      </c>
      <c r="D283" s="650">
        <v>4680115881617</v>
      </c>
      <c r="E283" s="651"/>
      <c r="F283" s="642">
        <v>1.35</v>
      </c>
      <c r="G283" s="32">
        <v>6</v>
      </c>
      <c r="H283" s="642">
        <v>8.1</v>
      </c>
      <c r="I283" s="642">
        <v>8.5760000000000005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6"/>
      <c r="R283" s="656"/>
      <c r="S283" s="656"/>
      <c r="T283" s="657"/>
      <c r="U283" s="34"/>
      <c r="V283" s="34"/>
      <c r="W283" s="35" t="s">
        <v>67</v>
      </c>
      <c r="X283" s="643">
        <v>0</v>
      </c>
      <c r="Y283" s="644">
        <f t="shared" si="43"/>
        <v>0</v>
      </c>
      <c r="Z283" s="36" t="str">
        <f>IFERROR(IF(Y283=0,"",ROUNDUP(Y283/H283,0)*0.01898),"")</f>
        <v/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si="44"/>
        <v>0</v>
      </c>
      <c r="BN283" s="64">
        <f t="shared" si="45"/>
        <v>0</v>
      </c>
      <c r="BO283" s="64">
        <f t="shared" si="46"/>
        <v>0</v>
      </c>
      <c r="BP283" s="64">
        <f t="shared" si="47"/>
        <v>0</v>
      </c>
    </row>
    <row r="284" spans="1:68" ht="27" hidden="1" customHeight="1" x14ac:dyDescent="0.25">
      <c r="A284" s="54" t="s">
        <v>467</v>
      </c>
      <c r="B284" s="54" t="s">
        <v>468</v>
      </c>
      <c r="C284" s="31">
        <v>4301051656</v>
      </c>
      <c r="D284" s="650">
        <v>4680115880573</v>
      </c>
      <c r="E284" s="651"/>
      <c r="F284" s="642">
        <v>1.45</v>
      </c>
      <c r="G284" s="32">
        <v>6</v>
      </c>
      <c r="H284" s="642">
        <v>8.6999999999999993</v>
      </c>
      <c r="I284" s="642">
        <v>9.1940000000000008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45</v>
      </c>
      <c r="P284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6"/>
      <c r="R284" s="656"/>
      <c r="S284" s="656"/>
      <c r="T284" s="657"/>
      <c r="U284" s="34"/>
      <c r="V284" s="34"/>
      <c r="W284" s="35" t="s">
        <v>67</v>
      </c>
      <c r="X284" s="643">
        <v>0</v>
      </c>
      <c r="Y284" s="644">
        <f t="shared" si="43"/>
        <v>0</v>
      </c>
      <c r="Z284" s="36" t="str">
        <f>IFERROR(IF(Y284=0,"",ROUNDUP(Y284/H284,0)*0.01898),"")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470</v>
      </c>
      <c r="B285" s="54" t="s">
        <v>471</v>
      </c>
      <c r="C285" s="31">
        <v>4301051407</v>
      </c>
      <c r="D285" s="650">
        <v>4680115882195</v>
      </c>
      <c r="E285" s="651"/>
      <c r="F285" s="642">
        <v>0.4</v>
      </c>
      <c r="G285" s="32">
        <v>6</v>
      </c>
      <c r="H285" s="642">
        <v>2.4</v>
      </c>
      <c r="I285" s="642">
        <v>2.67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6"/>
      <c r="R285" s="656"/>
      <c r="S285" s="656"/>
      <c r="T285" s="657"/>
      <c r="U285" s="34"/>
      <c r="V285" s="34"/>
      <c r="W285" s="35" t="s">
        <v>67</v>
      </c>
      <c r="X285" s="643">
        <v>40</v>
      </c>
      <c r="Y285" s="644">
        <f t="shared" si="43"/>
        <v>40.799999999999997</v>
      </c>
      <c r="Z285" s="36">
        <f>IFERROR(IF(Y285=0,"",ROUNDUP(Y285/H285,0)*0.00651),"")</f>
        <v>0.11067</v>
      </c>
      <c r="AA285" s="56"/>
      <c r="AB285" s="57"/>
      <c r="AC285" s="363" t="s">
        <v>463</v>
      </c>
      <c r="AG285" s="64"/>
      <c r="AJ285" s="68"/>
      <c r="AK285" s="68">
        <v>0</v>
      </c>
      <c r="BB285" s="364" t="s">
        <v>1</v>
      </c>
      <c r="BM285" s="64">
        <f t="shared" si="44"/>
        <v>44.5</v>
      </c>
      <c r="BN285" s="64">
        <f t="shared" si="45"/>
        <v>45.39</v>
      </c>
      <c r="BO285" s="64">
        <f t="shared" si="46"/>
        <v>9.1575091575091583E-2</v>
      </c>
      <c r="BP285" s="64">
        <f t="shared" si="47"/>
        <v>9.3406593406593408E-2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4301051752</v>
      </c>
      <c r="D286" s="650">
        <v>4680115882607</v>
      </c>
      <c r="E286" s="651"/>
      <c r="F286" s="642">
        <v>0.3</v>
      </c>
      <c r="G286" s="32">
        <v>6</v>
      </c>
      <c r="H286" s="642">
        <v>1.8</v>
      </c>
      <c r="I286" s="642">
        <v>2.052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45</v>
      </c>
      <c r="P286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6"/>
      <c r="R286" s="656"/>
      <c r="S286" s="656"/>
      <c r="T286" s="657"/>
      <c r="U286" s="34"/>
      <c r="V286" s="34"/>
      <c r="W286" s="35" t="s">
        <v>67</v>
      </c>
      <c r="X286" s="643">
        <v>0</v>
      </c>
      <c r="Y286" s="644">
        <f t="shared" si="43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4301052143</v>
      </c>
      <c r="D287" s="650">
        <v>4680115882607</v>
      </c>
      <c r="E287" s="651"/>
      <c r="F287" s="642">
        <v>0.3</v>
      </c>
      <c r="G287" s="32">
        <v>6</v>
      </c>
      <c r="H287" s="642">
        <v>1.8</v>
      </c>
      <c r="I287" s="642">
        <v>2.0619999999999998</v>
      </c>
      <c r="J287" s="32">
        <v>132</v>
      </c>
      <c r="K287" s="32" t="s">
        <v>123</v>
      </c>
      <c r="L287" s="32"/>
      <c r="M287" s="33" t="s">
        <v>78</v>
      </c>
      <c r="N287" s="33"/>
      <c r="O287" s="32">
        <v>45</v>
      </c>
      <c r="P287" s="76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43">
        <v>0</v>
      </c>
      <c r="Y287" s="644">
        <f t="shared" si="43"/>
        <v>0</v>
      </c>
      <c r="Z287" s="36" t="str">
        <f>IFERROR(IF(Y287=0,"",ROUNDUP(Y287/H287,0)*0.00902),"")</f>
        <v/>
      </c>
      <c r="AA287" s="56"/>
      <c r="AB287" s="57"/>
      <c r="AC287" s="367" t="s">
        <v>476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customHeight="1" x14ac:dyDescent="0.25">
      <c r="A288" s="54" t="s">
        <v>477</v>
      </c>
      <c r="B288" s="54" t="s">
        <v>478</v>
      </c>
      <c r="C288" s="31">
        <v>4301051666</v>
      </c>
      <c r="D288" s="650">
        <v>4680115880092</v>
      </c>
      <c r="E288" s="651"/>
      <c r="F288" s="642">
        <v>0.4</v>
      </c>
      <c r="G288" s="32">
        <v>6</v>
      </c>
      <c r="H288" s="642">
        <v>2.4</v>
      </c>
      <c r="I288" s="642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6"/>
      <c r="R288" s="656"/>
      <c r="S288" s="656"/>
      <c r="T288" s="657"/>
      <c r="U288" s="34"/>
      <c r="V288" s="34"/>
      <c r="W288" s="35" t="s">
        <v>67</v>
      </c>
      <c r="X288" s="643">
        <v>1042</v>
      </c>
      <c r="Y288" s="644">
        <f t="shared" si="43"/>
        <v>1044</v>
      </c>
      <c r="Z288" s="36">
        <f>IFERROR(IF(Y288=0,"",ROUNDUP(Y288/H288,0)*0.00651),"")</f>
        <v>2.8318500000000002</v>
      </c>
      <c r="AA288" s="56"/>
      <c r="AB288" s="57"/>
      <c r="AC288" s="369" t="s">
        <v>469</v>
      </c>
      <c r="AG288" s="64"/>
      <c r="AJ288" s="68"/>
      <c r="AK288" s="68">
        <v>0</v>
      </c>
      <c r="BB288" s="370" t="s">
        <v>1</v>
      </c>
      <c r="BM288" s="64">
        <f t="shared" si="44"/>
        <v>1151.4100000000001</v>
      </c>
      <c r="BN288" s="64">
        <f t="shared" si="45"/>
        <v>1153.6200000000001</v>
      </c>
      <c r="BO288" s="64">
        <f t="shared" si="46"/>
        <v>2.3855311355311359</v>
      </c>
      <c r="BP288" s="64">
        <f t="shared" si="47"/>
        <v>2.3901098901098905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4301052214</v>
      </c>
      <c r="D289" s="650">
        <v>4680115889064</v>
      </c>
      <c r="E289" s="651"/>
      <c r="F289" s="642">
        <v>0.7</v>
      </c>
      <c r="G289" s="32">
        <v>6</v>
      </c>
      <c r="H289" s="642">
        <v>4.2</v>
      </c>
      <c r="I289" s="642">
        <v>4.6159999999999997</v>
      </c>
      <c r="J289" s="32">
        <v>104</v>
      </c>
      <c r="K289" s="32" t="s">
        <v>114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43">
        <v>0</v>
      </c>
      <c r="Y289" s="644">
        <f t="shared" si="43"/>
        <v>0</v>
      </c>
      <c r="Z289" s="36" t="str">
        <f>IFERROR(IF(Y289=0,"",ROUNDUP(Y289/H289,0)*0.01196),"")</f>
        <v/>
      </c>
      <c r="AA289" s="56"/>
      <c r="AB289" s="57"/>
      <c r="AC289" s="371" t="s">
        <v>476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4301051668</v>
      </c>
      <c r="D290" s="650">
        <v>4680115880221</v>
      </c>
      <c r="E290" s="651"/>
      <c r="F290" s="642">
        <v>0.4</v>
      </c>
      <c r="G290" s="32">
        <v>6</v>
      </c>
      <c r="H290" s="642">
        <v>2.4</v>
      </c>
      <c r="I290" s="642">
        <v>2.6520000000000001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43">
        <v>0</v>
      </c>
      <c r="Y290" s="644">
        <f t="shared" si="43"/>
        <v>0</v>
      </c>
      <c r="Z290" s="36" t="str">
        <f>IFERROR(IF(Y290=0,"",ROUNDUP(Y290/H290,0)*0.00651),"")</f>
        <v/>
      </c>
      <c r="AA290" s="56"/>
      <c r="AB290" s="57"/>
      <c r="AC290" s="373" t="s">
        <v>469</v>
      </c>
      <c r="AG290" s="64"/>
      <c r="AJ290" s="68"/>
      <c r="AK290" s="68">
        <v>0</v>
      </c>
      <c r="BB290" s="374" t="s">
        <v>1</v>
      </c>
      <c r="BM290" s="64">
        <f t="shared" si="44"/>
        <v>0</v>
      </c>
      <c r="BN290" s="64">
        <f t="shared" si="45"/>
        <v>0</v>
      </c>
      <c r="BO290" s="64">
        <f t="shared" si="46"/>
        <v>0</v>
      </c>
      <c r="BP290" s="64">
        <f t="shared" si="47"/>
        <v>0</v>
      </c>
    </row>
    <row r="291" spans="1:68" ht="27" customHeight="1" x14ac:dyDescent="0.25">
      <c r="A291" s="54" t="s">
        <v>483</v>
      </c>
      <c r="B291" s="54" t="s">
        <v>484</v>
      </c>
      <c r="C291" s="31">
        <v>4301051945</v>
      </c>
      <c r="D291" s="650">
        <v>4680115880504</v>
      </c>
      <c r="E291" s="651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40</v>
      </c>
      <c r="P291" s="9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6"/>
      <c r="R291" s="656"/>
      <c r="S291" s="656"/>
      <c r="T291" s="657"/>
      <c r="U291" s="34"/>
      <c r="V291" s="34"/>
      <c r="W291" s="35" t="s">
        <v>67</v>
      </c>
      <c r="X291" s="643">
        <v>187</v>
      </c>
      <c r="Y291" s="644">
        <f t="shared" si="43"/>
        <v>187.2</v>
      </c>
      <c r="Z291" s="36">
        <f>IFERROR(IF(Y291=0,"",ROUNDUP(Y291/H291,0)*0.00651),"")</f>
        <v>0.50778000000000001</v>
      </c>
      <c r="AA291" s="56"/>
      <c r="AB291" s="57"/>
      <c r="AC291" s="375" t="s">
        <v>485</v>
      </c>
      <c r="AG291" s="64"/>
      <c r="AJ291" s="68"/>
      <c r="AK291" s="68">
        <v>0</v>
      </c>
      <c r="BB291" s="376" t="s">
        <v>1</v>
      </c>
      <c r="BM291" s="64">
        <f t="shared" si="44"/>
        <v>206.63500000000002</v>
      </c>
      <c r="BN291" s="64">
        <f t="shared" si="45"/>
        <v>206.85600000000002</v>
      </c>
      <c r="BO291" s="64">
        <f t="shared" si="46"/>
        <v>0.42811355311355315</v>
      </c>
      <c r="BP291" s="64">
        <f t="shared" si="47"/>
        <v>0.4285714285714286</v>
      </c>
    </row>
    <row r="292" spans="1:68" ht="27" customHeight="1" x14ac:dyDescent="0.25">
      <c r="A292" s="54" t="s">
        <v>486</v>
      </c>
      <c r="B292" s="54" t="s">
        <v>487</v>
      </c>
      <c r="C292" s="31">
        <v>4301051410</v>
      </c>
      <c r="D292" s="650">
        <v>4680115882164</v>
      </c>
      <c r="E292" s="651"/>
      <c r="F292" s="642">
        <v>0.4</v>
      </c>
      <c r="G292" s="32">
        <v>6</v>
      </c>
      <c r="H292" s="642">
        <v>2.4</v>
      </c>
      <c r="I292" s="642">
        <v>2.6579999999999999</v>
      </c>
      <c r="J292" s="32">
        <v>182</v>
      </c>
      <c r="K292" s="32" t="s">
        <v>77</v>
      </c>
      <c r="L292" s="32"/>
      <c r="M292" s="33" t="s">
        <v>78</v>
      </c>
      <c r="N292" s="33"/>
      <c r="O292" s="32">
        <v>40</v>
      </c>
      <c r="P292" s="9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43">
        <v>35</v>
      </c>
      <c r="Y292" s="644">
        <f t="shared" si="43"/>
        <v>36</v>
      </c>
      <c r="Z292" s="36">
        <f>IFERROR(IF(Y292=0,"",ROUNDUP(Y292/H292,0)*0.00651),"")</f>
        <v>9.7650000000000001E-2</v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4"/>
        <v>38.762500000000003</v>
      </c>
      <c r="BN292" s="64">
        <f t="shared" si="45"/>
        <v>39.870000000000005</v>
      </c>
      <c r="BO292" s="64">
        <f t="shared" si="46"/>
        <v>8.0128205128205135E-2</v>
      </c>
      <c r="BP292" s="64">
        <f t="shared" si="47"/>
        <v>8.241758241758243E-2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4301052180</v>
      </c>
      <c r="D293" s="650">
        <v>4680115888340</v>
      </c>
      <c r="E293" s="651"/>
      <c r="F293" s="642">
        <v>0.4</v>
      </c>
      <c r="G293" s="32">
        <v>6</v>
      </c>
      <c r="H293" s="642">
        <v>2.4</v>
      </c>
      <c r="I293" s="642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9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43">
        <v>0</v>
      </c>
      <c r="Y293" s="644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x14ac:dyDescent="0.2">
      <c r="A294" s="652"/>
      <c r="B294" s="653"/>
      <c r="C294" s="653"/>
      <c r="D294" s="653"/>
      <c r="E294" s="653"/>
      <c r="F294" s="653"/>
      <c r="G294" s="653"/>
      <c r="H294" s="653"/>
      <c r="I294" s="653"/>
      <c r="J294" s="653"/>
      <c r="K294" s="653"/>
      <c r="L294" s="653"/>
      <c r="M294" s="653"/>
      <c r="N294" s="653"/>
      <c r="O294" s="654"/>
      <c r="P294" s="647" t="s">
        <v>72</v>
      </c>
      <c r="Q294" s="648"/>
      <c r="R294" s="648"/>
      <c r="S294" s="648"/>
      <c r="T294" s="648"/>
      <c r="U294" s="648"/>
      <c r="V294" s="649"/>
      <c r="W294" s="37" t="s">
        <v>73</v>
      </c>
      <c r="X294" s="645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623.7037037037037</v>
      </c>
      <c r="Y294" s="645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626</v>
      </c>
      <c r="Z294" s="645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5.0853300000000008</v>
      </c>
      <c r="AA294" s="646"/>
      <c r="AB294" s="646"/>
      <c r="AC294" s="646"/>
    </row>
    <row r="295" spans="1:68" x14ac:dyDescent="0.2">
      <c r="A295" s="653"/>
      <c r="B295" s="653"/>
      <c r="C295" s="653"/>
      <c r="D295" s="653"/>
      <c r="E295" s="653"/>
      <c r="F295" s="653"/>
      <c r="G295" s="653"/>
      <c r="H295" s="653"/>
      <c r="I295" s="653"/>
      <c r="J295" s="653"/>
      <c r="K295" s="653"/>
      <c r="L295" s="653"/>
      <c r="M295" s="653"/>
      <c r="N295" s="653"/>
      <c r="O295" s="654"/>
      <c r="P295" s="647" t="s">
        <v>72</v>
      </c>
      <c r="Q295" s="648"/>
      <c r="R295" s="648"/>
      <c r="S295" s="648"/>
      <c r="T295" s="648"/>
      <c r="U295" s="648"/>
      <c r="V295" s="649"/>
      <c r="W295" s="37" t="s">
        <v>67</v>
      </c>
      <c r="X295" s="645">
        <f>IFERROR(SUM(X282:X293),"0")</f>
        <v>1955</v>
      </c>
      <c r="Y295" s="645">
        <f>IFERROR(SUM(Y282:Y293),"0")</f>
        <v>1964.1000000000001</v>
      </c>
      <c r="Z295" s="37"/>
      <c r="AA295" s="646"/>
      <c r="AB295" s="646"/>
      <c r="AC295" s="646"/>
    </row>
    <row r="296" spans="1:68" ht="14.25" hidden="1" customHeight="1" x14ac:dyDescent="0.25">
      <c r="A296" s="663" t="s">
        <v>167</v>
      </c>
      <c r="B296" s="653"/>
      <c r="C296" s="653"/>
      <c r="D296" s="653"/>
      <c r="E296" s="653"/>
      <c r="F296" s="653"/>
      <c r="G296" s="653"/>
      <c r="H296" s="653"/>
      <c r="I296" s="653"/>
      <c r="J296" s="653"/>
      <c r="K296" s="653"/>
      <c r="L296" s="653"/>
      <c r="M296" s="653"/>
      <c r="N296" s="653"/>
      <c r="O296" s="653"/>
      <c r="P296" s="653"/>
      <c r="Q296" s="653"/>
      <c r="R296" s="653"/>
      <c r="S296" s="653"/>
      <c r="T296" s="653"/>
      <c r="U296" s="653"/>
      <c r="V296" s="653"/>
      <c r="W296" s="653"/>
      <c r="X296" s="653"/>
      <c r="Y296" s="653"/>
      <c r="Z296" s="653"/>
      <c r="AA296" s="639"/>
      <c r="AB296" s="639"/>
      <c r="AC296" s="639"/>
    </row>
    <row r="297" spans="1:68" ht="27" customHeight="1" x14ac:dyDescent="0.25">
      <c r="A297" s="54" t="s">
        <v>492</v>
      </c>
      <c r="B297" s="54" t="s">
        <v>493</v>
      </c>
      <c r="C297" s="31">
        <v>4301060463</v>
      </c>
      <c r="D297" s="650">
        <v>4680115880818</v>
      </c>
      <c r="E297" s="651"/>
      <c r="F297" s="642">
        <v>0.4</v>
      </c>
      <c r="G297" s="32">
        <v>6</v>
      </c>
      <c r="H297" s="642">
        <v>2.4</v>
      </c>
      <c r="I297" s="642">
        <v>2.6520000000000001</v>
      </c>
      <c r="J297" s="32">
        <v>182</v>
      </c>
      <c r="K297" s="32" t="s">
        <v>77</v>
      </c>
      <c r="L297" s="32"/>
      <c r="M297" s="33" t="s">
        <v>84</v>
      </c>
      <c r="N297" s="33"/>
      <c r="O297" s="32">
        <v>40</v>
      </c>
      <c r="P297" s="9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43">
        <v>7</v>
      </c>
      <c r="Y297" s="644">
        <f>IFERROR(IF(X297="",0,CEILING((X297/$H297),1)*$H297),"")</f>
        <v>7.1999999999999993</v>
      </c>
      <c r="Z297" s="36">
        <f>IFERROR(IF(Y297=0,"",ROUNDUP(Y297/H297,0)*0.00651),"")</f>
        <v>1.9529999999999999E-2</v>
      </c>
      <c r="AA297" s="56"/>
      <c r="AB297" s="57"/>
      <c r="AC297" s="381" t="s">
        <v>494</v>
      </c>
      <c r="AG297" s="64"/>
      <c r="AJ297" s="68"/>
      <c r="AK297" s="68">
        <v>0</v>
      </c>
      <c r="BB297" s="382" t="s">
        <v>1</v>
      </c>
      <c r="BM297" s="64">
        <f>IFERROR(X297*I297/H297,"0")</f>
        <v>7.7350000000000003</v>
      </c>
      <c r="BN297" s="64">
        <f>IFERROR(Y297*I297/H297,"0")</f>
        <v>7.9560000000000004</v>
      </c>
      <c r="BO297" s="64">
        <f>IFERROR(1/J297*(X297/H297),"0")</f>
        <v>1.6025641025641028E-2</v>
      </c>
      <c r="BP297" s="64">
        <f>IFERROR(1/J297*(Y297/H297),"0")</f>
        <v>1.6483516483516484E-2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4301060389</v>
      </c>
      <c r="D298" s="650">
        <v>4680115880801</v>
      </c>
      <c r="E298" s="651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40</v>
      </c>
      <c r="P298" s="94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47" t="s">
        <v>72</v>
      </c>
      <c r="Q299" s="648"/>
      <c r="R299" s="648"/>
      <c r="S299" s="648"/>
      <c r="T299" s="648"/>
      <c r="U299" s="648"/>
      <c r="V299" s="649"/>
      <c r="W299" s="37" t="s">
        <v>73</v>
      </c>
      <c r="X299" s="645">
        <f>IFERROR(X297/H297,"0")+IFERROR(X298/H298,"0")</f>
        <v>2.916666666666667</v>
      </c>
      <c r="Y299" s="645">
        <f>IFERROR(Y297/H297,"0")+IFERROR(Y298/H298,"0")</f>
        <v>3</v>
      </c>
      <c r="Z299" s="645">
        <f>IFERROR(IF(Z297="",0,Z297),"0")+IFERROR(IF(Z298="",0,Z298),"0")</f>
        <v>1.9529999999999999E-2</v>
      </c>
      <c r="AA299" s="646"/>
      <c r="AB299" s="646"/>
      <c r="AC299" s="646"/>
    </row>
    <row r="300" spans="1:68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47" t="s">
        <v>72</v>
      </c>
      <c r="Q300" s="648"/>
      <c r="R300" s="648"/>
      <c r="S300" s="648"/>
      <c r="T300" s="648"/>
      <c r="U300" s="648"/>
      <c r="V300" s="649"/>
      <c r="W300" s="37" t="s">
        <v>67</v>
      </c>
      <c r="X300" s="645">
        <f>IFERROR(SUM(X297:X298),"0")</f>
        <v>7</v>
      </c>
      <c r="Y300" s="645">
        <f>IFERROR(SUM(Y297:Y298),"0")</f>
        <v>7.1999999999999993</v>
      </c>
      <c r="Z300" s="37"/>
      <c r="AA300" s="646"/>
      <c r="AB300" s="646"/>
      <c r="AC300" s="646"/>
    </row>
    <row r="301" spans="1:68" ht="16.5" hidden="1" customHeight="1" x14ac:dyDescent="0.25">
      <c r="A301" s="666" t="s">
        <v>498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8"/>
      <c r="AB301" s="638"/>
      <c r="AC301" s="638"/>
    </row>
    <row r="302" spans="1:68" ht="14.25" hidden="1" customHeight="1" x14ac:dyDescent="0.25">
      <c r="A302" s="663" t="s">
        <v>111</v>
      </c>
      <c r="B302" s="653"/>
      <c r="C302" s="653"/>
      <c r="D302" s="653"/>
      <c r="E302" s="653"/>
      <c r="F302" s="653"/>
      <c r="G302" s="653"/>
      <c r="H302" s="653"/>
      <c r="I302" s="653"/>
      <c r="J302" s="653"/>
      <c r="K302" s="653"/>
      <c r="L302" s="653"/>
      <c r="M302" s="653"/>
      <c r="N302" s="653"/>
      <c r="O302" s="653"/>
      <c r="P302" s="653"/>
      <c r="Q302" s="653"/>
      <c r="R302" s="653"/>
      <c r="S302" s="653"/>
      <c r="T302" s="653"/>
      <c r="U302" s="653"/>
      <c r="V302" s="653"/>
      <c r="W302" s="653"/>
      <c r="X302" s="653"/>
      <c r="Y302" s="653"/>
      <c r="Z302" s="653"/>
      <c r="AA302" s="639"/>
      <c r="AB302" s="639"/>
      <c r="AC302" s="639"/>
    </row>
    <row r="303" spans="1:68" ht="27" hidden="1" customHeight="1" x14ac:dyDescent="0.25">
      <c r="A303" s="54" t="s">
        <v>499</v>
      </c>
      <c r="B303" s="54" t="s">
        <v>500</v>
      </c>
      <c r="C303" s="31">
        <v>4301011826</v>
      </c>
      <c r="D303" s="650">
        <v>4680115884137</v>
      </c>
      <c r="E303" s="651"/>
      <c r="F303" s="642">
        <v>1.45</v>
      </c>
      <c r="G303" s="32">
        <v>8</v>
      </c>
      <c r="H303" s="642">
        <v>11.6</v>
      </c>
      <c r="I303" s="642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0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43">
        <v>0</v>
      </c>
      <c r="Y303" s="644">
        <f t="shared" ref="Y303:Y309" si="48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501</v>
      </c>
      <c r="AG303" s="64"/>
      <c r="AJ303" s="68"/>
      <c r="AK303" s="68">
        <v>0</v>
      </c>
      <c r="BB303" s="386" t="s">
        <v>1</v>
      </c>
      <c r="BM303" s="64">
        <f t="shared" ref="BM303:BM309" si="49">IFERROR(X303*I303/H303,"0")</f>
        <v>0</v>
      </c>
      <c r="BN303" s="64">
        <f t="shared" ref="BN303:BN309" si="50">IFERROR(Y303*I303/H303,"0")</f>
        <v>0</v>
      </c>
      <c r="BO303" s="64">
        <f t="shared" ref="BO303:BO309" si="51">IFERROR(1/J303*(X303/H303),"0")</f>
        <v>0</v>
      </c>
      <c r="BP303" s="64">
        <f t="shared" ref="BP303:BP309" si="52">IFERROR(1/J303*(Y303/H303),"0")</f>
        <v>0</v>
      </c>
    </row>
    <row r="304" spans="1:68" ht="27" customHeight="1" x14ac:dyDescent="0.25">
      <c r="A304" s="54" t="s">
        <v>502</v>
      </c>
      <c r="B304" s="54" t="s">
        <v>503</v>
      </c>
      <c r="C304" s="31">
        <v>4301011724</v>
      </c>
      <c r="D304" s="650">
        <v>4680115884236</v>
      </c>
      <c r="E304" s="651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6"/>
      <c r="R304" s="656"/>
      <c r="S304" s="656"/>
      <c r="T304" s="657"/>
      <c r="U304" s="34"/>
      <c r="V304" s="34"/>
      <c r="W304" s="35" t="s">
        <v>67</v>
      </c>
      <c r="X304" s="643">
        <v>4</v>
      </c>
      <c r="Y304" s="644">
        <f t="shared" si="48"/>
        <v>11.6</v>
      </c>
      <c r="Z304" s="36">
        <f>IFERROR(IF(Y304=0,"",ROUNDUP(Y304/H304,0)*0.01898),"")</f>
        <v>1.898E-2</v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si="49"/>
        <v>4.1413793103448278</v>
      </c>
      <c r="BN304" s="64">
        <f t="shared" si="50"/>
        <v>12.01</v>
      </c>
      <c r="BO304" s="64">
        <f t="shared" si="51"/>
        <v>5.387931034482759E-3</v>
      </c>
      <c r="BP304" s="64">
        <f t="shared" si="52"/>
        <v>1.5625E-2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4301011721</v>
      </c>
      <c r="D305" s="650">
        <v>4680115884175</v>
      </c>
      <c r="E305" s="651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6"/>
      <c r="R305" s="656"/>
      <c r="S305" s="656"/>
      <c r="T305" s="657"/>
      <c r="U305" s="34"/>
      <c r="V305" s="34"/>
      <c r="W305" s="35" t="s">
        <v>67</v>
      </c>
      <c r="X305" s="643">
        <v>0</v>
      </c>
      <c r="Y305" s="644">
        <f t="shared" si="48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49"/>
        <v>0</v>
      </c>
      <c r="BN305" s="64">
        <f t="shared" si="50"/>
        <v>0</v>
      </c>
      <c r="BO305" s="64">
        <f t="shared" si="51"/>
        <v>0</v>
      </c>
      <c r="BP305" s="64">
        <f t="shared" si="52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4301011824</v>
      </c>
      <c r="D306" s="650">
        <v>4680115884144</v>
      </c>
      <c r="E306" s="651"/>
      <c r="F306" s="642">
        <v>0.4</v>
      </c>
      <c r="G306" s="32">
        <v>10</v>
      </c>
      <c r="H306" s="642">
        <v>4</v>
      </c>
      <c r="I306" s="642">
        <v>4.1900000000000004</v>
      </c>
      <c r="J306" s="32">
        <v>132</v>
      </c>
      <c r="K306" s="32" t="s">
        <v>123</v>
      </c>
      <c r="L306" s="32"/>
      <c r="M306" s="33" t="s">
        <v>115</v>
      </c>
      <c r="N306" s="33"/>
      <c r="O306" s="32">
        <v>55</v>
      </c>
      <c r="P306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6"/>
      <c r="R306" s="656"/>
      <c r="S306" s="656"/>
      <c r="T306" s="657"/>
      <c r="U306" s="34"/>
      <c r="V306" s="34"/>
      <c r="W306" s="35" t="s">
        <v>67</v>
      </c>
      <c r="X306" s="643">
        <v>0</v>
      </c>
      <c r="Y306" s="644">
        <f t="shared" si="48"/>
        <v>0</v>
      </c>
      <c r="Z306" s="36" t="str">
        <f>IFERROR(IF(Y306=0,"",ROUNDUP(Y306/H306,0)*0.00902),"")</f>
        <v/>
      </c>
      <c r="AA306" s="56"/>
      <c r="AB306" s="57"/>
      <c r="AC306" s="391" t="s">
        <v>501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4301012149</v>
      </c>
      <c r="D307" s="650">
        <v>4680115886551</v>
      </c>
      <c r="E307" s="651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6"/>
      <c r="R307" s="656"/>
      <c r="S307" s="656"/>
      <c r="T307" s="657"/>
      <c r="U307" s="34"/>
      <c r="V307" s="34"/>
      <c r="W307" s="35" t="s">
        <v>67</v>
      </c>
      <c r="X307" s="643">
        <v>0</v>
      </c>
      <c r="Y307" s="644">
        <f t="shared" si="48"/>
        <v>0</v>
      </c>
      <c r="Z307" s="36" t="str">
        <f>IFERROR(IF(Y307=0,"",ROUNDUP(Y307/H307,0)*0.00902),"")</f>
        <v/>
      </c>
      <c r="AA307" s="56"/>
      <c r="AB307" s="57"/>
      <c r="AC307" s="393" t="s">
        <v>511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4301012228</v>
      </c>
      <c r="D308" s="650">
        <v>4680115887282</v>
      </c>
      <c r="E308" s="651"/>
      <c r="F308" s="642">
        <v>0.4</v>
      </c>
      <c r="G308" s="32">
        <v>6</v>
      </c>
      <c r="H308" s="642">
        <v>2.4</v>
      </c>
      <c r="I308" s="642">
        <v>2.58</v>
      </c>
      <c r="J308" s="32">
        <v>182</v>
      </c>
      <c r="K308" s="32" t="s">
        <v>77</v>
      </c>
      <c r="L308" s="32"/>
      <c r="M308" s="33" t="s">
        <v>115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43">
        <v>0</v>
      </c>
      <c r="Y308" s="644">
        <f t="shared" si="48"/>
        <v>0</v>
      </c>
      <c r="Z308" s="36" t="str">
        <f>IFERROR(IF(Y308=0,"",ROUNDUP(Y308/H308,0)*0.00651),"")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4301011722</v>
      </c>
      <c r="D309" s="650">
        <v>4680115884205</v>
      </c>
      <c r="E309" s="651"/>
      <c r="F309" s="642">
        <v>0.4</v>
      </c>
      <c r="G309" s="32">
        <v>10</v>
      </c>
      <c r="H309" s="642">
        <v>4</v>
      </c>
      <c r="I309" s="642">
        <v>4.1900000000000004</v>
      </c>
      <c r="J309" s="32">
        <v>132</v>
      </c>
      <c r="K309" s="32" t="s">
        <v>123</v>
      </c>
      <c r="L309" s="32"/>
      <c r="M309" s="33" t="s">
        <v>115</v>
      </c>
      <c r="N309" s="33"/>
      <c r="O309" s="32">
        <v>55</v>
      </c>
      <c r="P309" s="8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43">
        <v>0</v>
      </c>
      <c r="Y309" s="644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x14ac:dyDescent="0.2">
      <c r="A310" s="652"/>
      <c r="B310" s="653"/>
      <c r="C310" s="653"/>
      <c r="D310" s="653"/>
      <c r="E310" s="653"/>
      <c r="F310" s="653"/>
      <c r="G310" s="653"/>
      <c r="H310" s="653"/>
      <c r="I310" s="653"/>
      <c r="J310" s="653"/>
      <c r="K310" s="653"/>
      <c r="L310" s="653"/>
      <c r="M310" s="653"/>
      <c r="N310" s="653"/>
      <c r="O310" s="654"/>
      <c r="P310" s="647" t="s">
        <v>72</v>
      </c>
      <c r="Q310" s="648"/>
      <c r="R310" s="648"/>
      <c r="S310" s="648"/>
      <c r="T310" s="648"/>
      <c r="U310" s="648"/>
      <c r="V310" s="649"/>
      <c r="W310" s="37" t="s">
        <v>73</v>
      </c>
      <c r="X310" s="645">
        <f>IFERROR(X303/H303,"0")+IFERROR(X304/H304,"0")+IFERROR(X305/H305,"0")+IFERROR(X306/H306,"0")+IFERROR(X307/H307,"0")+IFERROR(X308/H308,"0")+IFERROR(X309/H309,"0")</f>
        <v>0.34482758620689657</v>
      </c>
      <c r="Y310" s="645">
        <f>IFERROR(Y303/H303,"0")+IFERROR(Y304/H304,"0")+IFERROR(Y305/H305,"0")+IFERROR(Y306/H306,"0")+IFERROR(Y307/H307,"0")+IFERROR(Y308/H308,"0")+IFERROR(Y309/H309,"0")</f>
        <v>1</v>
      </c>
      <c r="Z310" s="645">
        <f>IFERROR(IF(Z303="",0,Z303),"0")+IFERROR(IF(Z304="",0,Z304),"0")+IFERROR(IF(Z305="",0,Z305),"0")+IFERROR(IF(Z306="",0,Z306),"0")+IFERROR(IF(Z307="",0,Z307),"0")+IFERROR(IF(Z308="",0,Z308),"0")+IFERROR(IF(Z309="",0,Z309),"0")</f>
        <v>1.898E-2</v>
      </c>
      <c r="AA310" s="646"/>
      <c r="AB310" s="646"/>
      <c r="AC310" s="646"/>
    </row>
    <row r="311" spans="1:68" x14ac:dyDescent="0.2">
      <c r="A311" s="653"/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4"/>
      <c r="P311" s="647" t="s">
        <v>72</v>
      </c>
      <c r="Q311" s="648"/>
      <c r="R311" s="648"/>
      <c r="S311" s="648"/>
      <c r="T311" s="648"/>
      <c r="U311" s="648"/>
      <c r="V311" s="649"/>
      <c r="W311" s="37" t="s">
        <v>67</v>
      </c>
      <c r="X311" s="645">
        <f>IFERROR(SUM(X303:X309),"0")</f>
        <v>4</v>
      </c>
      <c r="Y311" s="645">
        <f>IFERROR(SUM(Y303:Y309),"0")</f>
        <v>11.6</v>
      </c>
      <c r="Z311" s="37"/>
      <c r="AA311" s="646"/>
      <c r="AB311" s="646"/>
      <c r="AC311" s="646"/>
    </row>
    <row r="312" spans="1:68" ht="14.25" hidden="1" customHeight="1" x14ac:dyDescent="0.25">
      <c r="A312" s="663" t="s">
        <v>148</v>
      </c>
      <c r="B312" s="653"/>
      <c r="C312" s="653"/>
      <c r="D312" s="653"/>
      <c r="E312" s="653"/>
      <c r="F312" s="653"/>
      <c r="G312" s="653"/>
      <c r="H312" s="653"/>
      <c r="I312" s="653"/>
      <c r="J312" s="653"/>
      <c r="K312" s="653"/>
      <c r="L312" s="653"/>
      <c r="M312" s="653"/>
      <c r="N312" s="653"/>
      <c r="O312" s="653"/>
      <c r="P312" s="653"/>
      <c r="Q312" s="653"/>
      <c r="R312" s="653"/>
      <c r="S312" s="653"/>
      <c r="T312" s="653"/>
      <c r="U312" s="653"/>
      <c r="V312" s="653"/>
      <c r="W312" s="653"/>
      <c r="X312" s="653"/>
      <c r="Y312" s="653"/>
      <c r="Z312" s="653"/>
      <c r="AA312" s="639"/>
      <c r="AB312" s="639"/>
      <c r="AC312" s="639"/>
    </row>
    <row r="313" spans="1:68" ht="27" hidden="1" customHeight="1" x14ac:dyDescent="0.25">
      <c r="A313" s="54" t="s">
        <v>517</v>
      </c>
      <c r="B313" s="54" t="s">
        <v>518</v>
      </c>
      <c r="C313" s="31">
        <v>4301020377</v>
      </c>
      <c r="D313" s="650">
        <v>4680115885981</v>
      </c>
      <c r="E313" s="651"/>
      <c r="F313" s="642">
        <v>0.33</v>
      </c>
      <c r="G313" s="32">
        <v>6</v>
      </c>
      <c r="H313" s="642">
        <v>1.98</v>
      </c>
      <c r="I313" s="642">
        <v>2.08</v>
      </c>
      <c r="J313" s="32">
        <v>234</v>
      </c>
      <c r="K313" s="32" t="s">
        <v>65</v>
      </c>
      <c r="L313" s="32"/>
      <c r="M313" s="33" t="s">
        <v>78</v>
      </c>
      <c r="N313" s="33"/>
      <c r="O313" s="32">
        <v>50</v>
      </c>
      <c r="P313" s="10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43">
        <v>0</v>
      </c>
      <c r="Y313" s="644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519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47" t="s">
        <v>72</v>
      </c>
      <c r="Q314" s="648"/>
      <c r="R314" s="648"/>
      <c r="S314" s="648"/>
      <c r="T314" s="648"/>
      <c r="U314" s="648"/>
      <c r="V314" s="649"/>
      <c r="W314" s="37" t="s">
        <v>73</v>
      </c>
      <c r="X314" s="645">
        <f>IFERROR(X313/H313,"0")</f>
        <v>0</v>
      </c>
      <c r="Y314" s="645">
        <f>IFERROR(Y313/H313,"0")</f>
        <v>0</v>
      </c>
      <c r="Z314" s="645">
        <f>IFERROR(IF(Z313="",0,Z313),"0")</f>
        <v>0</v>
      </c>
      <c r="AA314" s="646"/>
      <c r="AB314" s="646"/>
      <c r="AC314" s="646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47" t="s">
        <v>72</v>
      </c>
      <c r="Q315" s="648"/>
      <c r="R315" s="648"/>
      <c r="S315" s="648"/>
      <c r="T315" s="648"/>
      <c r="U315" s="648"/>
      <c r="V315" s="649"/>
      <c r="W315" s="37" t="s">
        <v>67</v>
      </c>
      <c r="X315" s="645">
        <f>IFERROR(SUM(X313:X313),"0")</f>
        <v>0</v>
      </c>
      <c r="Y315" s="645">
        <f>IFERROR(SUM(Y313:Y313),"0")</f>
        <v>0</v>
      </c>
      <c r="Z315" s="37"/>
      <c r="AA315" s="646"/>
      <c r="AB315" s="646"/>
      <c r="AC315" s="646"/>
    </row>
    <row r="316" spans="1:68" ht="14.25" hidden="1" customHeight="1" x14ac:dyDescent="0.25">
      <c r="A316" s="663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9"/>
      <c r="AB316" s="639"/>
      <c r="AC316" s="639"/>
    </row>
    <row r="317" spans="1:68" ht="27" customHeight="1" x14ac:dyDescent="0.25">
      <c r="A317" s="54" t="s">
        <v>521</v>
      </c>
      <c r="B317" s="54" t="s">
        <v>522</v>
      </c>
      <c r="C317" s="31">
        <v>4301040362</v>
      </c>
      <c r="D317" s="650">
        <v>4680115886803</v>
      </c>
      <c r="E317" s="651"/>
      <c r="F317" s="642">
        <v>0.12</v>
      </c>
      <c r="G317" s="32">
        <v>15</v>
      </c>
      <c r="H317" s="642">
        <v>1.8</v>
      </c>
      <c r="I317" s="642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6"/>
      <c r="R317" s="656"/>
      <c r="S317" s="656"/>
      <c r="T317" s="657"/>
      <c r="U317" s="34"/>
      <c r="V317" s="34"/>
      <c r="W317" s="35" t="s">
        <v>67</v>
      </c>
      <c r="X317" s="643">
        <v>3</v>
      </c>
      <c r="Y317" s="644">
        <f>IFERROR(IF(X317="",0,CEILING((X317/$H317),1)*$H317),"")</f>
        <v>3.6</v>
      </c>
      <c r="Z317" s="36">
        <f>IFERROR(IF(Y317=0,"",ROUNDUP(Y317/H317,0)*0.0059),"")</f>
        <v>1.18E-2</v>
      </c>
      <c r="AA317" s="56"/>
      <c r="AB317" s="57"/>
      <c r="AC317" s="401" t="s">
        <v>523</v>
      </c>
      <c r="AG317" s="64"/>
      <c r="AJ317" s="68"/>
      <c r="AK317" s="68">
        <v>0</v>
      </c>
      <c r="BB317" s="402" t="s">
        <v>1</v>
      </c>
      <c r="BM317" s="64">
        <f>IFERROR(X317*I317/H317,"0")</f>
        <v>3.291666666666667</v>
      </c>
      <c r="BN317" s="64">
        <f>IFERROR(Y317*I317/H317,"0")</f>
        <v>3.95</v>
      </c>
      <c r="BO317" s="64">
        <f>IFERROR(1/J317*(X317/H317),"0")</f>
        <v>7.7160493827160481E-3</v>
      </c>
      <c r="BP317" s="64">
        <f>IFERROR(1/J317*(Y317/H317),"0")</f>
        <v>9.2592592592592587E-3</v>
      </c>
    </row>
    <row r="318" spans="1:68" x14ac:dyDescent="0.2">
      <c r="A318" s="652"/>
      <c r="B318" s="653"/>
      <c r="C318" s="653"/>
      <c r="D318" s="653"/>
      <c r="E318" s="653"/>
      <c r="F318" s="653"/>
      <c r="G318" s="653"/>
      <c r="H318" s="653"/>
      <c r="I318" s="653"/>
      <c r="J318" s="653"/>
      <c r="K318" s="653"/>
      <c r="L318" s="653"/>
      <c r="M318" s="653"/>
      <c r="N318" s="653"/>
      <c r="O318" s="654"/>
      <c r="P318" s="647" t="s">
        <v>72</v>
      </c>
      <c r="Q318" s="648"/>
      <c r="R318" s="648"/>
      <c r="S318" s="648"/>
      <c r="T318" s="648"/>
      <c r="U318" s="648"/>
      <c r="V318" s="649"/>
      <c r="W318" s="37" t="s">
        <v>73</v>
      </c>
      <c r="X318" s="645">
        <f>IFERROR(X317/H317,"0")</f>
        <v>1.6666666666666665</v>
      </c>
      <c r="Y318" s="645">
        <f>IFERROR(Y317/H317,"0")</f>
        <v>2</v>
      </c>
      <c r="Z318" s="645">
        <f>IFERROR(IF(Z317="",0,Z317),"0")</f>
        <v>1.18E-2</v>
      </c>
      <c r="AA318" s="646"/>
      <c r="AB318" s="646"/>
      <c r="AC318" s="646"/>
    </row>
    <row r="319" spans="1:68" x14ac:dyDescent="0.2">
      <c r="A319" s="653"/>
      <c r="B319" s="653"/>
      <c r="C319" s="653"/>
      <c r="D319" s="653"/>
      <c r="E319" s="653"/>
      <c r="F319" s="653"/>
      <c r="G319" s="653"/>
      <c r="H319" s="653"/>
      <c r="I319" s="653"/>
      <c r="J319" s="653"/>
      <c r="K319" s="653"/>
      <c r="L319" s="653"/>
      <c r="M319" s="653"/>
      <c r="N319" s="653"/>
      <c r="O319" s="654"/>
      <c r="P319" s="647" t="s">
        <v>72</v>
      </c>
      <c r="Q319" s="648"/>
      <c r="R319" s="648"/>
      <c r="S319" s="648"/>
      <c r="T319" s="648"/>
      <c r="U319" s="648"/>
      <c r="V319" s="649"/>
      <c r="W319" s="37" t="s">
        <v>67</v>
      </c>
      <c r="X319" s="645">
        <f>IFERROR(SUM(X317:X317),"0")</f>
        <v>3</v>
      </c>
      <c r="Y319" s="645">
        <f>IFERROR(SUM(Y317:Y317),"0")</f>
        <v>3.6</v>
      </c>
      <c r="Z319" s="37"/>
      <c r="AA319" s="646"/>
      <c r="AB319" s="646"/>
      <c r="AC319" s="646"/>
    </row>
    <row r="320" spans="1:68" ht="14.25" hidden="1" customHeight="1" x14ac:dyDescent="0.25">
      <c r="A320" s="663" t="s">
        <v>330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39"/>
      <c r="AB320" s="639"/>
      <c r="AC320" s="639"/>
    </row>
    <row r="321" spans="1:68" ht="27" hidden="1" customHeight="1" x14ac:dyDescent="0.25">
      <c r="A321" s="54" t="s">
        <v>524</v>
      </c>
      <c r="B321" s="54" t="s">
        <v>525</v>
      </c>
      <c r="C321" s="31">
        <v>4301041008</v>
      </c>
      <c r="D321" s="650">
        <v>4680115886681</v>
      </c>
      <c r="E321" s="651"/>
      <c r="F321" s="642">
        <v>0.12</v>
      </c>
      <c r="G321" s="32">
        <v>15</v>
      </c>
      <c r="H321" s="642">
        <v>1.8</v>
      </c>
      <c r="I321" s="642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6"/>
      <c r="R321" s="656"/>
      <c r="S321" s="656"/>
      <c r="T321" s="657"/>
      <c r="U321" s="34"/>
      <c r="V321" s="34"/>
      <c r="W321" s="35" t="s">
        <v>67</v>
      </c>
      <c r="X321" s="643">
        <v>0</v>
      </c>
      <c r="Y321" s="644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526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2"/>
      <c r="B322" s="653"/>
      <c r="C322" s="653"/>
      <c r="D322" s="653"/>
      <c r="E322" s="653"/>
      <c r="F322" s="653"/>
      <c r="G322" s="653"/>
      <c r="H322" s="653"/>
      <c r="I322" s="653"/>
      <c r="J322" s="653"/>
      <c r="K322" s="653"/>
      <c r="L322" s="653"/>
      <c r="M322" s="653"/>
      <c r="N322" s="653"/>
      <c r="O322" s="654"/>
      <c r="P322" s="647" t="s">
        <v>72</v>
      </c>
      <c r="Q322" s="648"/>
      <c r="R322" s="648"/>
      <c r="S322" s="648"/>
      <c r="T322" s="648"/>
      <c r="U322" s="648"/>
      <c r="V322" s="649"/>
      <c r="W322" s="37" t="s">
        <v>73</v>
      </c>
      <c r="X322" s="645">
        <f>IFERROR(X321/H321,"0")</f>
        <v>0</v>
      </c>
      <c r="Y322" s="645">
        <f>IFERROR(Y321/H321,"0")</f>
        <v>0</v>
      </c>
      <c r="Z322" s="645">
        <f>IFERROR(IF(Z321="",0,Z321),"0")</f>
        <v>0</v>
      </c>
      <c r="AA322" s="646"/>
      <c r="AB322" s="646"/>
      <c r="AC322" s="646"/>
    </row>
    <row r="323" spans="1:68" hidden="1" x14ac:dyDescent="0.2">
      <c r="A323" s="653"/>
      <c r="B323" s="653"/>
      <c r="C323" s="653"/>
      <c r="D323" s="653"/>
      <c r="E323" s="653"/>
      <c r="F323" s="653"/>
      <c r="G323" s="653"/>
      <c r="H323" s="653"/>
      <c r="I323" s="653"/>
      <c r="J323" s="653"/>
      <c r="K323" s="653"/>
      <c r="L323" s="653"/>
      <c r="M323" s="653"/>
      <c r="N323" s="653"/>
      <c r="O323" s="654"/>
      <c r="P323" s="647" t="s">
        <v>72</v>
      </c>
      <c r="Q323" s="648"/>
      <c r="R323" s="648"/>
      <c r="S323" s="648"/>
      <c r="T323" s="648"/>
      <c r="U323" s="648"/>
      <c r="V323" s="649"/>
      <c r="W323" s="37" t="s">
        <v>67</v>
      </c>
      <c r="X323" s="645">
        <f>IFERROR(SUM(X321:X321),"0")</f>
        <v>0</v>
      </c>
      <c r="Y323" s="645">
        <f>IFERROR(SUM(Y321:Y321),"0")</f>
        <v>0</v>
      </c>
      <c r="Z323" s="37"/>
      <c r="AA323" s="646"/>
      <c r="AB323" s="646"/>
      <c r="AC323" s="646"/>
    </row>
    <row r="324" spans="1:68" ht="16.5" hidden="1" customHeight="1" x14ac:dyDescent="0.25">
      <c r="A324" s="666" t="s">
        <v>527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38"/>
      <c r="AB324" s="638"/>
      <c r="AC324" s="638"/>
    </row>
    <row r="325" spans="1:68" ht="14.25" hidden="1" customHeight="1" x14ac:dyDescent="0.25">
      <c r="A325" s="663" t="s">
        <v>111</v>
      </c>
      <c r="B325" s="653"/>
      <c r="C325" s="653"/>
      <c r="D325" s="653"/>
      <c r="E325" s="653"/>
      <c r="F325" s="653"/>
      <c r="G325" s="653"/>
      <c r="H325" s="653"/>
      <c r="I325" s="653"/>
      <c r="J325" s="653"/>
      <c r="K325" s="653"/>
      <c r="L325" s="653"/>
      <c r="M325" s="653"/>
      <c r="N325" s="653"/>
      <c r="O325" s="653"/>
      <c r="P325" s="653"/>
      <c r="Q325" s="653"/>
      <c r="R325" s="653"/>
      <c r="S325" s="653"/>
      <c r="T325" s="653"/>
      <c r="U325" s="653"/>
      <c r="V325" s="653"/>
      <c r="W325" s="653"/>
      <c r="X325" s="653"/>
      <c r="Y325" s="653"/>
      <c r="Z325" s="653"/>
      <c r="AA325" s="639"/>
      <c r="AB325" s="639"/>
      <c r="AC325" s="639"/>
    </row>
    <row r="326" spans="1:68" ht="27" hidden="1" customHeight="1" x14ac:dyDescent="0.25">
      <c r="A326" s="54" t="s">
        <v>528</v>
      </c>
      <c r="B326" s="54" t="s">
        <v>529</v>
      </c>
      <c r="C326" s="31">
        <v>4301012390</v>
      </c>
      <c r="D326" s="650">
        <v>4680115889637</v>
      </c>
      <c r="E326" s="651"/>
      <c r="F326" s="642">
        <v>1.35</v>
      </c>
      <c r="G326" s="32">
        <v>8</v>
      </c>
      <c r="H326" s="642">
        <v>10.8</v>
      </c>
      <c r="I326" s="64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43">
        <v>0</v>
      </c>
      <c r="Y326" s="644">
        <f t="shared" ref="Y326:Y331" si="53">IFERROR(IF(X326="",0,CEILING((X326/$H326),1)*$H326),"")</f>
        <v>0</v>
      </c>
      <c r="Z326" s="36" t="str">
        <f>IFERROR(IF(Y326=0,"",ROUNDUP(Y326/H326,0)*0.01898),"")</f>
        <v/>
      </c>
      <c r="AA326" s="56"/>
      <c r="AB326" s="57" t="s">
        <v>530</v>
      </c>
      <c r="AC326" s="405" t="s">
        <v>531</v>
      </c>
      <c r="AG326" s="64"/>
      <c r="AJ326" s="68"/>
      <c r="AK326" s="68">
        <v>0</v>
      </c>
      <c r="BB326" s="406" t="s">
        <v>1</v>
      </c>
      <c r="BM326" s="64">
        <f t="shared" ref="BM326:BM331" si="54">IFERROR(X326*I326/H326,"0")</f>
        <v>0</v>
      </c>
      <c r="BN326" s="64">
        <f t="shared" ref="BN326:BN331" si="55">IFERROR(Y326*I326/H326,"0")</f>
        <v>0</v>
      </c>
      <c r="BO326" s="64">
        <f t="shared" ref="BO326:BO331" si="56">IFERROR(1/J326*(X326/H326),"0")</f>
        <v>0</v>
      </c>
      <c r="BP326" s="64">
        <f t="shared" ref="BP326:BP331" si="57">IFERROR(1/J326*(Y326/H326),"0")</f>
        <v>0</v>
      </c>
    </row>
    <row r="327" spans="1:68" ht="27" hidden="1" customHeight="1" x14ac:dyDescent="0.25">
      <c r="A327" s="54" t="s">
        <v>532</v>
      </c>
      <c r="B327" s="54" t="s">
        <v>533</v>
      </c>
      <c r="C327" s="31">
        <v>4301011855</v>
      </c>
      <c r="D327" s="650">
        <v>4680115885837</v>
      </c>
      <c r="E327" s="651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43">
        <v>0</v>
      </c>
      <c r="Y327" s="644">
        <f t="shared" si="53"/>
        <v>0</v>
      </c>
      <c r="Z327" s="36" t="str">
        <f>IFERROR(IF(Y327=0,"",ROUNDUP(Y327/H327,0)*0.01898),"")</f>
        <v/>
      </c>
      <c r="AA327" s="56"/>
      <c r="AB327" s="57"/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si="54"/>
        <v>0</v>
      </c>
      <c r="BN327" s="64">
        <f t="shared" si="55"/>
        <v>0</v>
      </c>
      <c r="BO327" s="64">
        <f t="shared" si="56"/>
        <v>0</v>
      </c>
      <c r="BP327" s="64">
        <f t="shared" si="57"/>
        <v>0</v>
      </c>
    </row>
    <row r="328" spans="1:68" ht="37.5" hidden="1" customHeight="1" x14ac:dyDescent="0.25">
      <c r="A328" s="54" t="s">
        <v>535</v>
      </c>
      <c r="B328" s="54" t="s">
        <v>536</v>
      </c>
      <c r="C328" s="31">
        <v>4301012234</v>
      </c>
      <c r="D328" s="650">
        <v>4680115887237</v>
      </c>
      <c r="E328" s="651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43">
        <v>0</v>
      </c>
      <c r="Y328" s="644">
        <f t="shared" si="53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4"/>
        <v>0</v>
      </c>
      <c r="BN328" s="64">
        <f t="shared" si="55"/>
        <v>0</v>
      </c>
      <c r="BO328" s="64">
        <f t="shared" si="56"/>
        <v>0</v>
      </c>
      <c r="BP328" s="64">
        <f t="shared" si="57"/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4301011850</v>
      </c>
      <c r="D329" s="650">
        <v>4680115885806</v>
      </c>
      <c r="E329" s="651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6"/>
      <c r="R329" s="656"/>
      <c r="S329" s="656"/>
      <c r="T329" s="657"/>
      <c r="U329" s="34"/>
      <c r="V329" s="34"/>
      <c r="W329" s="35" t="s">
        <v>67</v>
      </c>
      <c r="X329" s="643">
        <v>0</v>
      </c>
      <c r="Y329" s="644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4301011852</v>
      </c>
      <c r="D330" s="650">
        <v>4680115885844</v>
      </c>
      <c r="E330" s="651"/>
      <c r="F330" s="642">
        <v>0.4</v>
      </c>
      <c r="G330" s="32">
        <v>10</v>
      </c>
      <c r="H330" s="642">
        <v>4</v>
      </c>
      <c r="I330" s="642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6"/>
      <c r="R330" s="656"/>
      <c r="S330" s="656"/>
      <c r="T330" s="657"/>
      <c r="U330" s="34"/>
      <c r="V330" s="34"/>
      <c r="W330" s="35" t="s">
        <v>67</v>
      </c>
      <c r="X330" s="643">
        <v>0</v>
      </c>
      <c r="Y330" s="644">
        <f t="shared" si="53"/>
        <v>0</v>
      </c>
      <c r="Z330" s="36" t="str">
        <f>IFERROR(IF(Y330=0,"",ROUNDUP(Y330/H330,0)*0.00902),"")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37.5" hidden="1" customHeight="1" x14ac:dyDescent="0.25">
      <c r="A331" s="54" t="s">
        <v>544</v>
      </c>
      <c r="B331" s="54" t="s">
        <v>545</v>
      </c>
      <c r="C331" s="31">
        <v>4301011851</v>
      </c>
      <c r="D331" s="650">
        <v>4680115885820</v>
      </c>
      <c r="E331" s="651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6"/>
      <c r="R331" s="656"/>
      <c r="S331" s="656"/>
      <c r="T331" s="657"/>
      <c r="U331" s="34"/>
      <c r="V331" s="34"/>
      <c r="W331" s="35" t="s">
        <v>67</v>
      </c>
      <c r="X331" s="643">
        <v>0</v>
      </c>
      <c r="Y331" s="644">
        <f t="shared" si="53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idden="1" x14ac:dyDescent="0.2">
      <c r="A332" s="652"/>
      <c r="B332" s="653"/>
      <c r="C332" s="653"/>
      <c r="D332" s="653"/>
      <c r="E332" s="653"/>
      <c r="F332" s="653"/>
      <c r="G332" s="653"/>
      <c r="H332" s="653"/>
      <c r="I332" s="653"/>
      <c r="J332" s="653"/>
      <c r="K332" s="653"/>
      <c r="L332" s="653"/>
      <c r="M332" s="653"/>
      <c r="N332" s="653"/>
      <c r="O332" s="654"/>
      <c r="P332" s="647" t="s">
        <v>72</v>
      </c>
      <c r="Q332" s="648"/>
      <c r="R332" s="648"/>
      <c r="S332" s="648"/>
      <c r="T332" s="648"/>
      <c r="U332" s="648"/>
      <c r="V332" s="649"/>
      <c r="W332" s="37" t="s">
        <v>73</v>
      </c>
      <c r="X332" s="645">
        <f>IFERROR(X326/H326,"0")+IFERROR(X327/H327,"0")+IFERROR(X328/H328,"0")+IFERROR(X329/H329,"0")+IFERROR(X330/H330,"0")+IFERROR(X331/H331,"0")</f>
        <v>0</v>
      </c>
      <c r="Y332" s="645">
        <f>IFERROR(Y326/H326,"0")+IFERROR(Y327/H327,"0")+IFERROR(Y328/H328,"0")+IFERROR(Y329/H329,"0")+IFERROR(Y330/H330,"0")+IFERROR(Y331/H331,"0")</f>
        <v>0</v>
      </c>
      <c r="Z332" s="645">
        <f>IFERROR(IF(Z326="",0,Z326),"0")+IFERROR(IF(Z327="",0,Z327),"0")+IFERROR(IF(Z328="",0,Z328),"0")+IFERROR(IF(Z329="",0,Z329),"0")+IFERROR(IF(Z330="",0,Z330),"0")+IFERROR(IF(Z331="",0,Z331),"0")</f>
        <v>0</v>
      </c>
      <c r="AA332" s="646"/>
      <c r="AB332" s="646"/>
      <c r="AC332" s="646"/>
    </row>
    <row r="333" spans="1:68" hidden="1" x14ac:dyDescent="0.2">
      <c r="A333" s="653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47" t="s">
        <v>72</v>
      </c>
      <c r="Q333" s="648"/>
      <c r="R333" s="648"/>
      <c r="S333" s="648"/>
      <c r="T333" s="648"/>
      <c r="U333" s="648"/>
      <c r="V333" s="649"/>
      <c r="W333" s="37" t="s">
        <v>67</v>
      </c>
      <c r="X333" s="645">
        <f>IFERROR(SUM(X326:X331),"0")</f>
        <v>0</v>
      </c>
      <c r="Y333" s="645">
        <f>IFERROR(SUM(Y326:Y331),"0")</f>
        <v>0</v>
      </c>
      <c r="Z333" s="37"/>
      <c r="AA333" s="646"/>
      <c r="AB333" s="646"/>
      <c r="AC333" s="646"/>
    </row>
    <row r="334" spans="1:68" ht="16.5" hidden="1" customHeight="1" x14ac:dyDescent="0.25">
      <c r="A334" s="666" t="s">
        <v>547</v>
      </c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3"/>
      <c r="P334" s="653"/>
      <c r="Q334" s="653"/>
      <c r="R334" s="653"/>
      <c r="S334" s="653"/>
      <c r="T334" s="653"/>
      <c r="U334" s="653"/>
      <c r="V334" s="653"/>
      <c r="W334" s="653"/>
      <c r="X334" s="653"/>
      <c r="Y334" s="653"/>
      <c r="Z334" s="653"/>
      <c r="AA334" s="638"/>
      <c r="AB334" s="638"/>
      <c r="AC334" s="638"/>
    </row>
    <row r="335" spans="1:68" ht="14.25" hidden="1" customHeight="1" x14ac:dyDescent="0.25">
      <c r="A335" s="663" t="s">
        <v>74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9"/>
      <c r="AB335" s="639"/>
      <c r="AC335" s="639"/>
    </row>
    <row r="336" spans="1:68" ht="27" hidden="1" customHeight="1" x14ac:dyDescent="0.25">
      <c r="A336" s="54" t="s">
        <v>548</v>
      </c>
      <c r="B336" s="54" t="s">
        <v>549</v>
      </c>
      <c r="C336" s="31">
        <v>4301051893</v>
      </c>
      <c r="D336" s="650">
        <v>4680115886186</v>
      </c>
      <c r="E336" s="651"/>
      <c r="F336" s="642">
        <v>0.3</v>
      </c>
      <c r="G336" s="32">
        <v>6</v>
      </c>
      <c r="H336" s="642">
        <v>1.8</v>
      </c>
      <c r="I336" s="642">
        <v>1.98</v>
      </c>
      <c r="J336" s="32">
        <v>182</v>
      </c>
      <c r="K336" s="32" t="s">
        <v>77</v>
      </c>
      <c r="L336" s="32"/>
      <c r="M336" s="33" t="s">
        <v>78</v>
      </c>
      <c r="N336" s="33"/>
      <c r="O336" s="32">
        <v>45</v>
      </c>
      <c r="P336" s="94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43">
        <v>0</v>
      </c>
      <c r="Y336" s="6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550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551</v>
      </c>
      <c r="B337" s="54" t="s">
        <v>552</v>
      </c>
      <c r="C337" s="31">
        <v>4301051795</v>
      </c>
      <c r="D337" s="650">
        <v>4680115881228</v>
      </c>
      <c r="E337" s="651"/>
      <c r="F337" s="642">
        <v>0.4</v>
      </c>
      <c r="G337" s="32">
        <v>6</v>
      </c>
      <c r="H337" s="642">
        <v>2.4</v>
      </c>
      <c r="I337" s="642">
        <v>2.6520000000000001</v>
      </c>
      <c r="J337" s="32">
        <v>182</v>
      </c>
      <c r="K337" s="32" t="s">
        <v>77</v>
      </c>
      <c r="L337" s="32"/>
      <c r="M337" s="33" t="s">
        <v>84</v>
      </c>
      <c r="N337" s="33"/>
      <c r="O337" s="32">
        <v>40</v>
      </c>
      <c r="P337" s="74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43">
        <v>37</v>
      </c>
      <c r="Y337" s="644">
        <f>IFERROR(IF(X337="",0,CEILING((X337/$H337),1)*$H337),"")</f>
        <v>38.4</v>
      </c>
      <c r="Z337" s="36">
        <f>IFERROR(IF(Y337=0,"",ROUNDUP(Y337/H337,0)*0.00651),"")</f>
        <v>0.10416</v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40.885000000000005</v>
      </c>
      <c r="BN337" s="64">
        <f>IFERROR(Y337*I337/H337,"0")</f>
        <v>42.432000000000002</v>
      </c>
      <c r="BO337" s="64">
        <f>IFERROR(1/J337*(X337/H337),"0")</f>
        <v>8.4706959706959725E-2</v>
      </c>
      <c r="BP337" s="64">
        <f>IFERROR(1/J337*(Y337/H337),"0")</f>
        <v>8.7912087912087919E-2</v>
      </c>
    </row>
    <row r="338" spans="1:68" ht="27" hidden="1" customHeight="1" x14ac:dyDescent="0.25">
      <c r="A338" s="54" t="s">
        <v>554</v>
      </c>
      <c r="B338" s="54" t="s">
        <v>555</v>
      </c>
      <c r="C338" s="31">
        <v>4301051388</v>
      </c>
      <c r="D338" s="650">
        <v>4680115881211</v>
      </c>
      <c r="E338" s="651"/>
      <c r="F338" s="642">
        <v>0.4</v>
      </c>
      <c r="G338" s="32">
        <v>6</v>
      </c>
      <c r="H338" s="642">
        <v>2.4</v>
      </c>
      <c r="I338" s="642">
        <v>2.58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6"/>
      <c r="R338" s="656"/>
      <c r="S338" s="656"/>
      <c r="T338" s="657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550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52"/>
      <c r="B339" s="653"/>
      <c r="C339" s="653"/>
      <c r="D339" s="653"/>
      <c r="E339" s="653"/>
      <c r="F339" s="653"/>
      <c r="G339" s="653"/>
      <c r="H339" s="653"/>
      <c r="I339" s="653"/>
      <c r="J339" s="653"/>
      <c r="K339" s="653"/>
      <c r="L339" s="653"/>
      <c r="M339" s="653"/>
      <c r="N339" s="653"/>
      <c r="O339" s="654"/>
      <c r="P339" s="647" t="s">
        <v>72</v>
      </c>
      <c r="Q339" s="648"/>
      <c r="R339" s="648"/>
      <c r="S339" s="648"/>
      <c r="T339" s="648"/>
      <c r="U339" s="648"/>
      <c r="V339" s="649"/>
      <c r="W339" s="37" t="s">
        <v>73</v>
      </c>
      <c r="X339" s="645">
        <f>IFERROR(X336/H336,"0")+IFERROR(X337/H337,"0")+IFERROR(X338/H338,"0")</f>
        <v>15.416666666666668</v>
      </c>
      <c r="Y339" s="645">
        <f>IFERROR(Y336/H336,"0")+IFERROR(Y337/H337,"0")+IFERROR(Y338/H338,"0")</f>
        <v>16</v>
      </c>
      <c r="Z339" s="645">
        <f>IFERROR(IF(Z336="",0,Z336),"0")+IFERROR(IF(Z337="",0,Z337),"0")+IFERROR(IF(Z338="",0,Z338),"0")</f>
        <v>0.10416</v>
      </c>
      <c r="AA339" s="646"/>
      <c r="AB339" s="646"/>
      <c r="AC339" s="646"/>
    </row>
    <row r="340" spans="1:68" x14ac:dyDescent="0.2">
      <c r="A340" s="653"/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4"/>
      <c r="P340" s="647" t="s">
        <v>72</v>
      </c>
      <c r="Q340" s="648"/>
      <c r="R340" s="648"/>
      <c r="S340" s="648"/>
      <c r="T340" s="648"/>
      <c r="U340" s="648"/>
      <c r="V340" s="649"/>
      <c r="W340" s="37" t="s">
        <v>67</v>
      </c>
      <c r="X340" s="645">
        <f>IFERROR(SUM(X336:X338),"0")</f>
        <v>37</v>
      </c>
      <c r="Y340" s="645">
        <f>IFERROR(SUM(Y336:Y338),"0")</f>
        <v>38.4</v>
      </c>
      <c r="Z340" s="37"/>
      <c r="AA340" s="646"/>
      <c r="AB340" s="646"/>
      <c r="AC340" s="646"/>
    </row>
    <row r="341" spans="1:68" ht="16.5" hidden="1" customHeight="1" x14ac:dyDescent="0.25">
      <c r="A341" s="666" t="s">
        <v>556</v>
      </c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3"/>
      <c r="P341" s="653"/>
      <c r="Q341" s="653"/>
      <c r="R341" s="653"/>
      <c r="S341" s="653"/>
      <c r="T341" s="653"/>
      <c r="U341" s="653"/>
      <c r="V341" s="653"/>
      <c r="W341" s="653"/>
      <c r="X341" s="653"/>
      <c r="Y341" s="653"/>
      <c r="Z341" s="653"/>
      <c r="AA341" s="638"/>
      <c r="AB341" s="638"/>
      <c r="AC341" s="638"/>
    </row>
    <row r="342" spans="1:68" ht="14.25" hidden="1" customHeight="1" x14ac:dyDescent="0.25">
      <c r="A342" s="663" t="s">
        <v>62</v>
      </c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3"/>
      <c r="P342" s="653"/>
      <c r="Q342" s="653"/>
      <c r="R342" s="653"/>
      <c r="S342" s="653"/>
      <c r="T342" s="653"/>
      <c r="U342" s="653"/>
      <c r="V342" s="653"/>
      <c r="W342" s="653"/>
      <c r="X342" s="653"/>
      <c r="Y342" s="653"/>
      <c r="Z342" s="653"/>
      <c r="AA342" s="639"/>
      <c r="AB342" s="639"/>
      <c r="AC342" s="639"/>
    </row>
    <row r="343" spans="1:68" ht="27" hidden="1" customHeight="1" x14ac:dyDescent="0.25">
      <c r="A343" s="54" t="s">
        <v>557</v>
      </c>
      <c r="B343" s="54" t="s">
        <v>558</v>
      </c>
      <c r="C343" s="31">
        <v>4301031445</v>
      </c>
      <c r="D343" s="650">
        <v>4680115888319</v>
      </c>
      <c r="E343" s="651"/>
      <c r="F343" s="642">
        <v>0.35</v>
      </c>
      <c r="G343" s="32">
        <v>6</v>
      </c>
      <c r="H343" s="642">
        <v>2.1</v>
      </c>
      <c r="I343" s="642">
        <v>2.23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45</v>
      </c>
      <c r="P343" s="88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43">
        <v>0</v>
      </c>
      <c r="Y343" s="644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384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559</v>
      </c>
      <c r="B344" s="54" t="s">
        <v>560</v>
      </c>
      <c r="C344" s="31">
        <v>4301031502</v>
      </c>
      <c r="D344" s="650">
        <v>4680115884700</v>
      </c>
      <c r="E344" s="651"/>
      <c r="F344" s="642">
        <v>0.57999999999999996</v>
      </c>
      <c r="G344" s="32">
        <v>4</v>
      </c>
      <c r="H344" s="642">
        <v>2.3199999999999998</v>
      </c>
      <c r="I344" s="642">
        <v>2.42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6"/>
      <c r="R344" s="656"/>
      <c r="S344" s="656"/>
      <c r="T344" s="657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4301031307</v>
      </c>
      <c r="D345" s="650">
        <v>4680115880344</v>
      </c>
      <c r="E345" s="651"/>
      <c r="F345" s="642">
        <v>0.28000000000000003</v>
      </c>
      <c r="G345" s="32">
        <v>6</v>
      </c>
      <c r="H345" s="642">
        <v>1.68</v>
      </c>
      <c r="I345" s="642">
        <v>1.78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6"/>
      <c r="R345" s="656"/>
      <c r="S345" s="656"/>
      <c r="T345" s="657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4301031501</v>
      </c>
      <c r="D346" s="650">
        <v>4680115886919</v>
      </c>
      <c r="E346" s="651"/>
      <c r="F346" s="642">
        <v>0.4</v>
      </c>
      <c r="G346" s="32">
        <v>6</v>
      </c>
      <c r="H346" s="642">
        <v>2.4</v>
      </c>
      <c r="I346" s="642">
        <v>2.58</v>
      </c>
      <c r="J346" s="32">
        <v>182</v>
      </c>
      <c r="K346" s="32" t="s">
        <v>77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6"/>
      <c r="R346" s="656"/>
      <c r="S346" s="656"/>
      <c r="T346" s="657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4301031246</v>
      </c>
      <c r="D347" s="650">
        <v>4680115883970</v>
      </c>
      <c r="E347" s="651"/>
      <c r="F347" s="642">
        <v>0.28000000000000003</v>
      </c>
      <c r="G347" s="32">
        <v>6</v>
      </c>
      <c r="H347" s="642">
        <v>1.68</v>
      </c>
      <c r="I347" s="642">
        <v>2.5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56"/>
      <c r="R347" s="656"/>
      <c r="S347" s="656"/>
      <c r="T347" s="657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2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47" t="s">
        <v>72</v>
      </c>
      <c r="Q348" s="648"/>
      <c r="R348" s="648"/>
      <c r="S348" s="648"/>
      <c r="T348" s="648"/>
      <c r="U348" s="648"/>
      <c r="V348" s="649"/>
      <c r="W348" s="37" t="s">
        <v>73</v>
      </c>
      <c r="X348" s="645">
        <f>IFERROR(X343/H343,"0")+IFERROR(X344/H344,"0")+IFERROR(X345/H345,"0")+IFERROR(X346/H346,"0")+IFERROR(X347/H347,"0")</f>
        <v>0</v>
      </c>
      <c r="Y348" s="645">
        <f>IFERROR(Y343/H343,"0")+IFERROR(Y344/H344,"0")+IFERROR(Y345/H345,"0")+IFERROR(Y346/H346,"0")+IFERROR(Y347/H347,"0")</f>
        <v>0</v>
      </c>
      <c r="Z348" s="645">
        <f>IFERROR(IF(Z343="",0,Z343),"0")+IFERROR(IF(Z344="",0,Z344),"0")+IFERROR(IF(Z345="",0,Z345),"0")+IFERROR(IF(Z346="",0,Z346),"0")+IFERROR(IF(Z347="",0,Z347),"0")</f>
        <v>0</v>
      </c>
      <c r="AA348" s="646"/>
      <c r="AB348" s="646"/>
      <c r="AC348" s="646"/>
    </row>
    <row r="349" spans="1:68" hidden="1" x14ac:dyDescent="0.2">
      <c r="A349" s="653"/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4"/>
      <c r="P349" s="647" t="s">
        <v>72</v>
      </c>
      <c r="Q349" s="648"/>
      <c r="R349" s="648"/>
      <c r="S349" s="648"/>
      <c r="T349" s="648"/>
      <c r="U349" s="648"/>
      <c r="V349" s="649"/>
      <c r="W349" s="37" t="s">
        <v>67</v>
      </c>
      <c r="X349" s="645">
        <f>IFERROR(SUM(X343:X347),"0")</f>
        <v>0</v>
      </c>
      <c r="Y349" s="645">
        <f>IFERROR(SUM(Y343:Y347),"0")</f>
        <v>0</v>
      </c>
      <c r="Z349" s="37"/>
      <c r="AA349" s="646"/>
      <c r="AB349" s="646"/>
      <c r="AC349" s="646"/>
    </row>
    <row r="350" spans="1:68" ht="14.25" hidden="1" customHeight="1" x14ac:dyDescent="0.25">
      <c r="A350" s="663" t="s">
        <v>74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9"/>
      <c r="AB350" s="639"/>
      <c r="AC350" s="639"/>
    </row>
    <row r="351" spans="1:68" ht="27" hidden="1" customHeight="1" x14ac:dyDescent="0.25">
      <c r="A351" s="54" t="s">
        <v>571</v>
      </c>
      <c r="B351" s="54" t="s">
        <v>572</v>
      </c>
      <c r="C351" s="31">
        <v>4301051782</v>
      </c>
      <c r="D351" s="650">
        <v>4680115884618</v>
      </c>
      <c r="E351" s="651"/>
      <c r="F351" s="642">
        <v>0.6</v>
      </c>
      <c r="G351" s="32">
        <v>6</v>
      </c>
      <c r="H351" s="642">
        <v>3.6</v>
      </c>
      <c r="I351" s="642">
        <v>3.79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56"/>
      <c r="R351" s="656"/>
      <c r="S351" s="656"/>
      <c r="T351" s="657"/>
      <c r="U351" s="34"/>
      <c r="V351" s="34"/>
      <c r="W351" s="35" t="s">
        <v>67</v>
      </c>
      <c r="X351" s="643">
        <v>0</v>
      </c>
      <c r="Y351" s="644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573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574</v>
      </c>
      <c r="B352" s="54" t="s">
        <v>575</v>
      </c>
      <c r="C352" s="31">
        <v>4301052057</v>
      </c>
      <c r="D352" s="650">
        <v>4680115887114</v>
      </c>
      <c r="E352" s="651"/>
      <c r="F352" s="642">
        <v>0.55000000000000004</v>
      </c>
      <c r="G352" s="32">
        <v>6</v>
      </c>
      <c r="H352" s="642">
        <v>3.3</v>
      </c>
      <c r="I352" s="642">
        <v>3.49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52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47" t="s">
        <v>72</v>
      </c>
      <c r="Q353" s="648"/>
      <c r="R353" s="648"/>
      <c r="S353" s="648"/>
      <c r="T353" s="648"/>
      <c r="U353" s="648"/>
      <c r="V353" s="649"/>
      <c r="W353" s="37" t="s">
        <v>73</v>
      </c>
      <c r="X353" s="645">
        <f>IFERROR(X351/H351,"0")+IFERROR(X352/H352,"0")</f>
        <v>0</v>
      </c>
      <c r="Y353" s="645">
        <f>IFERROR(Y351/H351,"0")+IFERROR(Y352/H352,"0")</f>
        <v>0</v>
      </c>
      <c r="Z353" s="645">
        <f>IFERROR(IF(Z351="",0,Z351),"0")+IFERROR(IF(Z352="",0,Z352),"0")</f>
        <v>0</v>
      </c>
      <c r="AA353" s="646"/>
      <c r="AB353" s="646"/>
      <c r="AC353" s="646"/>
    </row>
    <row r="354" spans="1:68" hidden="1" x14ac:dyDescent="0.2">
      <c r="A354" s="653"/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4"/>
      <c r="P354" s="647" t="s">
        <v>72</v>
      </c>
      <c r="Q354" s="648"/>
      <c r="R354" s="648"/>
      <c r="S354" s="648"/>
      <c r="T354" s="648"/>
      <c r="U354" s="648"/>
      <c r="V354" s="649"/>
      <c r="W354" s="37" t="s">
        <v>67</v>
      </c>
      <c r="X354" s="645">
        <f>IFERROR(SUM(X351:X352),"0")</f>
        <v>0</v>
      </c>
      <c r="Y354" s="645">
        <f>IFERROR(SUM(Y351:Y352),"0")</f>
        <v>0</v>
      </c>
      <c r="Z354" s="37"/>
      <c r="AA354" s="646"/>
      <c r="AB354" s="646"/>
      <c r="AC354" s="646"/>
    </row>
    <row r="355" spans="1:68" ht="16.5" hidden="1" customHeight="1" x14ac:dyDescent="0.25">
      <c r="A355" s="666" t="s">
        <v>577</v>
      </c>
      <c r="B355" s="653"/>
      <c r="C355" s="653"/>
      <c r="D355" s="653"/>
      <c r="E355" s="653"/>
      <c r="F355" s="653"/>
      <c r="G355" s="653"/>
      <c r="H355" s="653"/>
      <c r="I355" s="653"/>
      <c r="J355" s="653"/>
      <c r="K355" s="653"/>
      <c r="L355" s="653"/>
      <c r="M355" s="653"/>
      <c r="N355" s="653"/>
      <c r="O355" s="653"/>
      <c r="P355" s="653"/>
      <c r="Q355" s="653"/>
      <c r="R355" s="653"/>
      <c r="S355" s="653"/>
      <c r="T355" s="653"/>
      <c r="U355" s="653"/>
      <c r="V355" s="653"/>
      <c r="W355" s="653"/>
      <c r="X355" s="653"/>
      <c r="Y355" s="653"/>
      <c r="Z355" s="653"/>
      <c r="AA355" s="638"/>
      <c r="AB355" s="638"/>
      <c r="AC355" s="638"/>
    </row>
    <row r="356" spans="1:68" ht="14.25" hidden="1" customHeight="1" x14ac:dyDescent="0.25">
      <c r="A356" s="663" t="s">
        <v>111</v>
      </c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3"/>
      <c r="P356" s="653"/>
      <c r="Q356" s="653"/>
      <c r="R356" s="653"/>
      <c r="S356" s="653"/>
      <c r="T356" s="653"/>
      <c r="U356" s="653"/>
      <c r="V356" s="653"/>
      <c r="W356" s="653"/>
      <c r="X356" s="653"/>
      <c r="Y356" s="653"/>
      <c r="Z356" s="653"/>
      <c r="AA356" s="639"/>
      <c r="AB356" s="639"/>
      <c r="AC356" s="639"/>
    </row>
    <row r="357" spans="1:68" ht="27" customHeight="1" x14ac:dyDescent="0.25">
      <c r="A357" s="54" t="s">
        <v>578</v>
      </c>
      <c r="B357" s="54" t="s">
        <v>579</v>
      </c>
      <c r="C357" s="31">
        <v>4301012324</v>
      </c>
      <c r="D357" s="650">
        <v>4680115887947</v>
      </c>
      <c r="E357" s="651"/>
      <c r="F357" s="642">
        <v>1.3</v>
      </c>
      <c r="G357" s="32">
        <v>6</v>
      </c>
      <c r="H357" s="642">
        <v>7.8</v>
      </c>
      <c r="I357" s="642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43">
        <v>112</v>
      </c>
      <c r="Y357" s="644">
        <f>IFERROR(IF(X357="",0,CEILING((X357/$H357),1)*$H357),"")</f>
        <v>117</v>
      </c>
      <c r="Z357" s="36">
        <f>IFERROR(IF(Y357=0,"",ROUNDUP(Y357/H357,0)*0.01898),"")</f>
        <v>0.28470000000000001</v>
      </c>
      <c r="AA357" s="56"/>
      <c r="AB357" s="57"/>
      <c r="AC357" s="437" t="s">
        <v>343</v>
      </c>
      <c r="AG357" s="64"/>
      <c r="AJ357" s="68"/>
      <c r="AK357" s="68">
        <v>0</v>
      </c>
      <c r="BB357" s="438" t="s">
        <v>1</v>
      </c>
      <c r="BM357" s="64">
        <f>IFERROR(X357*I357/H357,"0")</f>
        <v>117.88717948717951</v>
      </c>
      <c r="BN357" s="64">
        <f>IFERROR(Y357*I357/H357,"0")</f>
        <v>123.15</v>
      </c>
      <c r="BO357" s="64">
        <f>IFERROR(1/J357*(X357/H357),"0")</f>
        <v>0.22435897435897437</v>
      </c>
      <c r="BP357" s="64">
        <f>IFERROR(1/J357*(Y357/H357),"0")</f>
        <v>0.234375</v>
      </c>
    </row>
    <row r="358" spans="1:68" ht="27" customHeight="1" x14ac:dyDescent="0.25">
      <c r="A358" s="54" t="s">
        <v>580</v>
      </c>
      <c r="B358" s="54" t="s">
        <v>581</v>
      </c>
      <c r="C358" s="31">
        <v>4301012325</v>
      </c>
      <c r="D358" s="650">
        <v>4680115887978</v>
      </c>
      <c r="E358" s="651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43">
        <v>466</v>
      </c>
      <c r="Y358" s="644">
        <f>IFERROR(IF(X358="",0,CEILING((X358/$H358),1)*$H358),"")</f>
        <v>468</v>
      </c>
      <c r="Z358" s="36">
        <f>IFERROR(IF(Y358=0,"",ROUNDUP(Y358/H358,0)*0.01898),"")</f>
        <v>1.1388</v>
      </c>
      <c r="AA358" s="56"/>
      <c r="AB358" s="57"/>
      <c r="AC358" s="439" t="s">
        <v>582</v>
      </c>
      <c r="AG358" s="64"/>
      <c r="AJ358" s="68"/>
      <c r="AK358" s="68">
        <v>0</v>
      </c>
      <c r="BB358" s="440" t="s">
        <v>1</v>
      </c>
      <c r="BM358" s="64">
        <f>IFERROR(X358*I358/H358,"0")</f>
        <v>490.49487179487187</v>
      </c>
      <c r="BN358" s="64">
        <f>IFERROR(Y358*I358/H358,"0")</f>
        <v>492.6</v>
      </c>
      <c r="BO358" s="64">
        <f>IFERROR(1/J358*(X358/H358),"0")</f>
        <v>0.93349358974358976</v>
      </c>
      <c r="BP358" s="64">
        <f>IFERROR(1/J358*(Y358/H358),"0")</f>
        <v>0.9375</v>
      </c>
    </row>
    <row r="359" spans="1:68" ht="27" customHeight="1" x14ac:dyDescent="0.25">
      <c r="A359" s="54" t="s">
        <v>583</v>
      </c>
      <c r="B359" s="54" t="s">
        <v>584</v>
      </c>
      <c r="C359" s="31">
        <v>4301012327</v>
      </c>
      <c r="D359" s="650">
        <v>4680115887992</v>
      </c>
      <c r="E359" s="651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56"/>
      <c r="R359" s="656"/>
      <c r="S359" s="656"/>
      <c r="T359" s="657"/>
      <c r="U359" s="34"/>
      <c r="V359" s="34"/>
      <c r="W359" s="35" t="s">
        <v>67</v>
      </c>
      <c r="X359" s="643">
        <v>17</v>
      </c>
      <c r="Y359" s="644">
        <f>IFERROR(IF(X359="",0,CEILING((X359/$H359),1)*$H359),"")</f>
        <v>23.4</v>
      </c>
      <c r="Z359" s="36">
        <f>IFERROR(IF(Y359=0,"",ROUNDUP(Y359/H359,0)*0.01898),"")</f>
        <v>5.6940000000000004E-2</v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17.893589743589747</v>
      </c>
      <c r="BN359" s="64">
        <f>IFERROR(Y359*I359/H359,"0")</f>
        <v>24.630000000000003</v>
      </c>
      <c r="BO359" s="64">
        <f>IFERROR(1/J359*(X359/H359),"0")</f>
        <v>3.4054487179487183E-2</v>
      </c>
      <c r="BP359" s="64">
        <f>IFERROR(1/J359*(Y359/H359),"0")</f>
        <v>4.6875E-2</v>
      </c>
    </row>
    <row r="360" spans="1:68" x14ac:dyDescent="0.2">
      <c r="A360" s="652"/>
      <c r="B360" s="653"/>
      <c r="C360" s="653"/>
      <c r="D360" s="653"/>
      <c r="E360" s="653"/>
      <c r="F360" s="653"/>
      <c r="G360" s="653"/>
      <c r="H360" s="653"/>
      <c r="I360" s="653"/>
      <c r="J360" s="653"/>
      <c r="K360" s="653"/>
      <c r="L360" s="653"/>
      <c r="M360" s="653"/>
      <c r="N360" s="653"/>
      <c r="O360" s="654"/>
      <c r="P360" s="647" t="s">
        <v>72</v>
      </c>
      <c r="Q360" s="648"/>
      <c r="R360" s="648"/>
      <c r="S360" s="648"/>
      <c r="T360" s="648"/>
      <c r="U360" s="648"/>
      <c r="V360" s="649"/>
      <c r="W360" s="37" t="s">
        <v>73</v>
      </c>
      <c r="X360" s="645">
        <f>IFERROR(X357/H357,"0")+IFERROR(X358/H358,"0")+IFERROR(X359/H359,"0")</f>
        <v>76.282051282051285</v>
      </c>
      <c r="Y360" s="645">
        <f>IFERROR(Y357/H357,"0")+IFERROR(Y358/H358,"0")+IFERROR(Y359/H359,"0")</f>
        <v>78</v>
      </c>
      <c r="Z360" s="645">
        <f>IFERROR(IF(Z357="",0,Z357),"0")+IFERROR(IF(Z358="",0,Z358),"0")+IFERROR(IF(Z359="",0,Z359),"0")</f>
        <v>1.48044</v>
      </c>
      <c r="AA360" s="646"/>
      <c r="AB360" s="646"/>
      <c r="AC360" s="646"/>
    </row>
    <row r="361" spans="1:68" x14ac:dyDescent="0.2">
      <c r="A361" s="653"/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4"/>
      <c r="P361" s="647" t="s">
        <v>72</v>
      </c>
      <c r="Q361" s="648"/>
      <c r="R361" s="648"/>
      <c r="S361" s="648"/>
      <c r="T361" s="648"/>
      <c r="U361" s="648"/>
      <c r="V361" s="649"/>
      <c r="W361" s="37" t="s">
        <v>67</v>
      </c>
      <c r="X361" s="645">
        <f>IFERROR(SUM(X357:X359),"0")</f>
        <v>595</v>
      </c>
      <c r="Y361" s="645">
        <f>IFERROR(SUM(Y357:Y359),"0")</f>
        <v>608.4</v>
      </c>
      <c r="Z361" s="37"/>
      <c r="AA361" s="646"/>
      <c r="AB361" s="646"/>
      <c r="AC361" s="646"/>
    </row>
    <row r="362" spans="1:68" ht="16.5" hidden="1" customHeight="1" x14ac:dyDescent="0.25">
      <c r="A362" s="666" t="s">
        <v>586</v>
      </c>
      <c r="B362" s="653"/>
      <c r="C362" s="653"/>
      <c r="D362" s="653"/>
      <c r="E362" s="653"/>
      <c r="F362" s="653"/>
      <c r="G362" s="653"/>
      <c r="H362" s="653"/>
      <c r="I362" s="653"/>
      <c r="J362" s="653"/>
      <c r="K362" s="653"/>
      <c r="L362" s="653"/>
      <c r="M362" s="653"/>
      <c r="N362" s="653"/>
      <c r="O362" s="653"/>
      <c r="P362" s="653"/>
      <c r="Q362" s="653"/>
      <c r="R362" s="653"/>
      <c r="S362" s="653"/>
      <c r="T362" s="653"/>
      <c r="U362" s="653"/>
      <c r="V362" s="653"/>
      <c r="W362" s="653"/>
      <c r="X362" s="653"/>
      <c r="Y362" s="653"/>
      <c r="Z362" s="653"/>
      <c r="AA362" s="638"/>
      <c r="AB362" s="638"/>
      <c r="AC362" s="638"/>
    </row>
    <row r="363" spans="1:68" ht="14.25" hidden="1" customHeight="1" x14ac:dyDescent="0.25">
      <c r="A363" s="663" t="s">
        <v>111</v>
      </c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3"/>
      <c r="P363" s="653"/>
      <c r="Q363" s="653"/>
      <c r="R363" s="653"/>
      <c r="S363" s="653"/>
      <c r="T363" s="653"/>
      <c r="U363" s="653"/>
      <c r="V363" s="653"/>
      <c r="W363" s="653"/>
      <c r="X363" s="653"/>
      <c r="Y363" s="653"/>
      <c r="Z363" s="653"/>
      <c r="AA363" s="639"/>
      <c r="AB363" s="639"/>
      <c r="AC363" s="639"/>
    </row>
    <row r="364" spans="1:68" ht="27" hidden="1" customHeight="1" x14ac:dyDescent="0.25">
      <c r="A364" s="54" t="s">
        <v>587</v>
      </c>
      <c r="B364" s="54" t="s">
        <v>588</v>
      </c>
      <c r="C364" s="31">
        <v>4301012400</v>
      </c>
      <c r="D364" s="650">
        <v>4680115889880</v>
      </c>
      <c r="E364" s="651"/>
      <c r="F364" s="642">
        <v>1.35</v>
      </c>
      <c r="G364" s="32">
        <v>8</v>
      </c>
      <c r="H364" s="642">
        <v>10.8</v>
      </c>
      <c r="I364" s="642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43">
        <v>0</v>
      </c>
      <c r="Y364" s="644">
        <f t="shared" ref="Y364:Y370" si="58">IFERROR(IF(X364="",0,CEILING((X364/$H364),1)*$H364),"")</f>
        <v>0</v>
      </c>
      <c r="Z364" s="36" t="str">
        <f>IFERROR(IF(Y364=0,"",ROUNDUP(Y364/H364,0)*0.01898),"")</f>
        <v/>
      </c>
      <c r="AA364" s="56"/>
      <c r="AB364" s="57" t="s">
        <v>530</v>
      </c>
      <c r="AC364" s="443" t="s">
        <v>511</v>
      </c>
      <c r="AG364" s="64"/>
      <c r="AJ364" s="68"/>
      <c r="AK364" s="68">
        <v>0</v>
      </c>
      <c r="BB364" s="444" t="s">
        <v>1</v>
      </c>
      <c r="BM364" s="64">
        <f t="shared" ref="BM364:BM370" si="59">IFERROR(X364*I364/H364,"0")</f>
        <v>0</v>
      </c>
      <c r="BN364" s="64">
        <f t="shared" ref="BN364:BN370" si="60">IFERROR(Y364*I364/H364,"0")</f>
        <v>0</v>
      </c>
      <c r="BO364" s="64">
        <f t="shared" ref="BO364:BO370" si="61">IFERROR(1/J364*(X364/H364),"0")</f>
        <v>0</v>
      </c>
      <c r="BP364" s="64">
        <f t="shared" ref="BP364:BP370" si="62"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4301012360</v>
      </c>
      <c r="D365" s="650">
        <v>4680115889293</v>
      </c>
      <c r="E365" s="651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4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43">
        <v>0</v>
      </c>
      <c r="Y365" s="644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591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4301012235</v>
      </c>
      <c r="D366" s="650">
        <v>4680115887190</v>
      </c>
      <c r="E366" s="651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6"/>
      <c r="R366" s="656"/>
      <c r="S366" s="656"/>
      <c r="T366" s="657"/>
      <c r="U366" s="34"/>
      <c r="V366" s="34"/>
      <c r="W366" s="35" t="s">
        <v>67</v>
      </c>
      <c r="X366" s="643">
        <v>0</v>
      </c>
      <c r="Y366" s="644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37.5" hidden="1" customHeight="1" x14ac:dyDescent="0.25">
      <c r="A367" s="54" t="s">
        <v>595</v>
      </c>
      <c r="B367" s="54" t="s">
        <v>596</v>
      </c>
      <c r="C367" s="31">
        <v>4301012233</v>
      </c>
      <c r="D367" s="650">
        <v>4680115887138</v>
      </c>
      <c r="E367" s="651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6"/>
      <c r="R367" s="656"/>
      <c r="S367" s="656"/>
      <c r="T367" s="657"/>
      <c r="U367" s="34"/>
      <c r="V367" s="34"/>
      <c r="W367" s="35" t="s">
        <v>67</v>
      </c>
      <c r="X367" s="643">
        <v>0</v>
      </c>
      <c r="Y367" s="644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4301012016</v>
      </c>
      <c r="D368" s="650">
        <v>4680115885554</v>
      </c>
      <c r="E368" s="651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6"/>
      <c r="R368" s="656"/>
      <c r="S368" s="656"/>
      <c r="T368" s="657"/>
      <c r="U368" s="34"/>
      <c r="V368" s="34"/>
      <c r="W368" s="35" t="s">
        <v>67</v>
      </c>
      <c r="X368" s="643">
        <v>0</v>
      </c>
      <c r="Y368" s="644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4301012236</v>
      </c>
      <c r="D369" s="650">
        <v>4680115887220</v>
      </c>
      <c r="E369" s="651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6"/>
      <c r="R369" s="656"/>
      <c r="S369" s="656"/>
      <c r="T369" s="657"/>
      <c r="U369" s="34"/>
      <c r="V369" s="34"/>
      <c r="W369" s="35" t="s">
        <v>67</v>
      </c>
      <c r="X369" s="643">
        <v>0</v>
      </c>
      <c r="Y369" s="644">
        <f t="shared" si="58"/>
        <v>0</v>
      </c>
      <c r="Z369" s="36" t="str">
        <f>IFERROR(IF(Y369=0,"",ROUNDUP(Y369/H369,0)*0.00902),"")</f>
        <v/>
      </c>
      <c r="AA369" s="56"/>
      <c r="AB369" s="57"/>
      <c r="AC369" s="453" t="s">
        <v>594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4301011859</v>
      </c>
      <c r="D370" s="650">
        <v>4680115885608</v>
      </c>
      <c r="E370" s="651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43">
        <v>0</v>
      </c>
      <c r="Y370" s="644">
        <f t="shared" si="58"/>
        <v>0</v>
      </c>
      <c r="Z370" s="36" t="str">
        <f>IFERROR(IF(Y370=0,"",ROUNDUP(Y370/H370,0)*0.00902),"")</f>
        <v/>
      </c>
      <c r="AA370" s="56"/>
      <c r="AB370" s="57"/>
      <c r="AC370" s="455" t="s">
        <v>605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idden="1" x14ac:dyDescent="0.2">
      <c r="A371" s="652"/>
      <c r="B371" s="653"/>
      <c r="C371" s="653"/>
      <c r="D371" s="653"/>
      <c r="E371" s="653"/>
      <c r="F371" s="653"/>
      <c r="G371" s="653"/>
      <c r="H371" s="653"/>
      <c r="I371" s="653"/>
      <c r="J371" s="653"/>
      <c r="K371" s="653"/>
      <c r="L371" s="653"/>
      <c r="M371" s="653"/>
      <c r="N371" s="653"/>
      <c r="O371" s="654"/>
      <c r="P371" s="647" t="s">
        <v>72</v>
      </c>
      <c r="Q371" s="648"/>
      <c r="R371" s="648"/>
      <c r="S371" s="648"/>
      <c r="T371" s="648"/>
      <c r="U371" s="648"/>
      <c r="V371" s="649"/>
      <c r="W371" s="37" t="s">
        <v>73</v>
      </c>
      <c r="X371" s="645">
        <f>IFERROR(X364/H364,"0")+IFERROR(X365/H365,"0")+IFERROR(X366/H366,"0")+IFERROR(X367/H367,"0")+IFERROR(X368/H368,"0")+IFERROR(X369/H369,"0")+IFERROR(X370/H370,"0")</f>
        <v>0</v>
      </c>
      <c r="Y371" s="645">
        <f>IFERROR(Y364/H364,"0")+IFERROR(Y365/H365,"0")+IFERROR(Y366/H366,"0")+IFERROR(Y367/H367,"0")+IFERROR(Y368/H368,"0")+IFERROR(Y369/H369,"0")+IFERROR(Y370/H370,"0")</f>
        <v>0</v>
      </c>
      <c r="Z371" s="645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3"/>
      <c r="B372" s="653"/>
      <c r="C372" s="653"/>
      <c r="D372" s="653"/>
      <c r="E372" s="653"/>
      <c r="F372" s="653"/>
      <c r="G372" s="653"/>
      <c r="H372" s="653"/>
      <c r="I372" s="653"/>
      <c r="J372" s="653"/>
      <c r="K372" s="653"/>
      <c r="L372" s="653"/>
      <c r="M372" s="653"/>
      <c r="N372" s="653"/>
      <c r="O372" s="654"/>
      <c r="P372" s="647" t="s">
        <v>72</v>
      </c>
      <c r="Q372" s="648"/>
      <c r="R372" s="648"/>
      <c r="S372" s="648"/>
      <c r="T372" s="648"/>
      <c r="U372" s="648"/>
      <c r="V372" s="649"/>
      <c r="W372" s="37" t="s">
        <v>67</v>
      </c>
      <c r="X372" s="645">
        <f>IFERROR(SUM(X364:X370),"0")</f>
        <v>0</v>
      </c>
      <c r="Y372" s="645">
        <f>IFERROR(SUM(Y364:Y370),"0")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63" t="s">
        <v>62</v>
      </c>
      <c r="B373" s="653"/>
      <c r="C373" s="653"/>
      <c r="D373" s="653"/>
      <c r="E373" s="653"/>
      <c r="F373" s="653"/>
      <c r="G373" s="653"/>
      <c r="H373" s="653"/>
      <c r="I373" s="653"/>
      <c r="J373" s="653"/>
      <c r="K373" s="653"/>
      <c r="L373" s="653"/>
      <c r="M373" s="653"/>
      <c r="N373" s="653"/>
      <c r="O373" s="653"/>
      <c r="P373" s="653"/>
      <c r="Q373" s="653"/>
      <c r="R373" s="653"/>
      <c r="S373" s="653"/>
      <c r="T373" s="653"/>
      <c r="U373" s="653"/>
      <c r="V373" s="653"/>
      <c r="W373" s="653"/>
      <c r="X373" s="653"/>
      <c r="Y373" s="653"/>
      <c r="Z373" s="653"/>
      <c r="AA373" s="639"/>
      <c r="AB373" s="639"/>
      <c r="AC373" s="639"/>
    </row>
    <row r="374" spans="1:68" ht="27" hidden="1" customHeight="1" x14ac:dyDescent="0.25">
      <c r="A374" s="54" t="s">
        <v>606</v>
      </c>
      <c r="B374" s="54" t="s">
        <v>607</v>
      </c>
      <c r="C374" s="31">
        <v>4301030878</v>
      </c>
      <c r="D374" s="650">
        <v>4607091387193</v>
      </c>
      <c r="E374" s="651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6"/>
      <c r="R374" s="656"/>
      <c r="S374" s="656"/>
      <c r="T374" s="657"/>
      <c r="U374" s="34"/>
      <c r="V374" s="34"/>
      <c r="W374" s="35" t="s">
        <v>67</v>
      </c>
      <c r="X374" s="643">
        <v>0</v>
      </c>
      <c r="Y374" s="644">
        <f t="shared" ref="Y374:Y380" si="63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608</v>
      </c>
      <c r="AG374" s="64"/>
      <c r="AJ374" s="68"/>
      <c r="AK374" s="68">
        <v>0</v>
      </c>
      <c r="BB374" s="458" t="s">
        <v>1</v>
      </c>
      <c r="BM374" s="64">
        <f t="shared" ref="BM374:BM380" si="64">IFERROR(X374*I374/H374,"0")</f>
        <v>0</v>
      </c>
      <c r="BN374" s="64">
        <f t="shared" ref="BN374:BN380" si="65">IFERROR(Y374*I374/H374,"0")</f>
        <v>0</v>
      </c>
      <c r="BO374" s="64">
        <f t="shared" ref="BO374:BO380" si="66">IFERROR(1/J374*(X374/H374),"0")</f>
        <v>0</v>
      </c>
      <c r="BP374" s="64">
        <f t="shared" ref="BP374:BP380" si="67"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4301031153</v>
      </c>
      <c r="D375" s="650">
        <v>4607091387230</v>
      </c>
      <c r="E375" s="651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6"/>
      <c r="R375" s="656"/>
      <c r="S375" s="656"/>
      <c r="T375" s="657"/>
      <c r="U375" s="34"/>
      <c r="V375" s="34"/>
      <c r="W375" s="35" t="s">
        <v>67</v>
      </c>
      <c r="X375" s="643">
        <v>7</v>
      </c>
      <c r="Y375" s="644">
        <f t="shared" si="63"/>
        <v>8.4</v>
      </c>
      <c r="Z375" s="36">
        <f>IFERROR(IF(Y375=0,"",ROUNDUP(Y375/H375,0)*0.00902),"")</f>
        <v>1.804E-2</v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si="64"/>
        <v>7.416666666666667</v>
      </c>
      <c r="BN375" s="64">
        <f t="shared" si="65"/>
        <v>8.9</v>
      </c>
      <c r="BO375" s="64">
        <f t="shared" si="66"/>
        <v>1.2626262626262626E-2</v>
      </c>
      <c r="BP375" s="64">
        <f t="shared" si="67"/>
        <v>1.5151515151515152E-2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4301031154</v>
      </c>
      <c r="D376" s="650">
        <v>4607091387292</v>
      </c>
      <c r="E376" s="651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6"/>
      <c r="R376" s="656"/>
      <c r="S376" s="656"/>
      <c r="T376" s="657"/>
      <c r="U376" s="34"/>
      <c r="V376" s="34"/>
      <c r="W376" s="35" t="s">
        <v>67</v>
      </c>
      <c r="X376" s="643">
        <v>0</v>
      </c>
      <c r="Y376" s="644">
        <f t="shared" si="63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4301031152</v>
      </c>
      <c r="D377" s="650">
        <v>4607091387285</v>
      </c>
      <c r="E377" s="651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6"/>
      <c r="R377" s="656"/>
      <c r="S377" s="656"/>
      <c r="T377" s="657"/>
      <c r="U377" s="34"/>
      <c r="V377" s="34"/>
      <c r="W377" s="35" t="s">
        <v>67</v>
      </c>
      <c r="X377" s="643">
        <v>0</v>
      </c>
      <c r="Y377" s="644">
        <f t="shared" si="63"/>
        <v>0</v>
      </c>
      <c r="Z377" s="36" t="str">
        <f>IFERROR(IF(Y377=0,"",ROUNDUP(Y377/H377,0)*0.00502),"")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4301031305</v>
      </c>
      <c r="D378" s="650">
        <v>4607091389845</v>
      </c>
      <c r="E378" s="651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43">
        <v>0</v>
      </c>
      <c r="Y378" s="644">
        <f t="shared" si="63"/>
        <v>0</v>
      </c>
      <c r="Z378" s="36" t="str">
        <f>IFERROR(IF(Y378=0,"",ROUNDUP(Y378/H378,0)*0.00502),"")</f>
        <v/>
      </c>
      <c r="AA378" s="56"/>
      <c r="AB378" s="57"/>
      <c r="AC378" s="465" t="s">
        <v>619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4301031460</v>
      </c>
      <c r="D379" s="650">
        <v>4680115887442</v>
      </c>
      <c r="E379" s="651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6"/>
      <c r="R379" s="656"/>
      <c r="S379" s="656"/>
      <c r="T379" s="657"/>
      <c r="U379" s="34"/>
      <c r="V379" s="34"/>
      <c r="W379" s="35" t="s">
        <v>67</v>
      </c>
      <c r="X379" s="643">
        <v>0</v>
      </c>
      <c r="Y379" s="644">
        <f t="shared" si="63"/>
        <v>0</v>
      </c>
      <c r="Z379" s="36" t="str">
        <f>IFERROR(IF(Y379=0,"",ROUNDUP(Y379/H379,0)*0.00902),"")</f>
        <v/>
      </c>
      <c r="AA379" s="56"/>
      <c r="AB379" s="57"/>
      <c r="AC379" s="467" t="s">
        <v>614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customHeight="1" x14ac:dyDescent="0.25">
      <c r="A380" s="54" t="s">
        <v>622</v>
      </c>
      <c r="B380" s="54" t="s">
        <v>623</v>
      </c>
      <c r="C380" s="31">
        <v>4301031066</v>
      </c>
      <c r="D380" s="650">
        <v>4607091383836</v>
      </c>
      <c r="E380" s="651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43">
        <v>22</v>
      </c>
      <c r="Y380" s="644">
        <f t="shared" si="63"/>
        <v>23.400000000000002</v>
      </c>
      <c r="Z380" s="36">
        <f>IFERROR(IF(Y380=0,"",ROUNDUP(Y380/H380,0)*0.00651),"")</f>
        <v>8.4629999999999997E-2</v>
      </c>
      <c r="AA380" s="56"/>
      <c r="AB380" s="57"/>
      <c r="AC380" s="469" t="s">
        <v>624</v>
      </c>
      <c r="AG380" s="64"/>
      <c r="AJ380" s="68"/>
      <c r="AK380" s="68">
        <v>0</v>
      </c>
      <c r="BB380" s="470" t="s">
        <v>1</v>
      </c>
      <c r="BM380" s="64">
        <f t="shared" si="64"/>
        <v>24.786666666666665</v>
      </c>
      <c r="BN380" s="64">
        <f t="shared" si="65"/>
        <v>26.364000000000001</v>
      </c>
      <c r="BO380" s="64">
        <f t="shared" si="66"/>
        <v>6.7155067155067152E-2</v>
      </c>
      <c r="BP380" s="64">
        <f t="shared" si="67"/>
        <v>7.1428571428571438E-2</v>
      </c>
    </row>
    <row r="381" spans="1:68" x14ac:dyDescent="0.2">
      <c r="A381" s="652"/>
      <c r="B381" s="653"/>
      <c r="C381" s="653"/>
      <c r="D381" s="653"/>
      <c r="E381" s="653"/>
      <c r="F381" s="653"/>
      <c r="G381" s="653"/>
      <c r="H381" s="653"/>
      <c r="I381" s="653"/>
      <c r="J381" s="653"/>
      <c r="K381" s="653"/>
      <c r="L381" s="653"/>
      <c r="M381" s="653"/>
      <c r="N381" s="653"/>
      <c r="O381" s="654"/>
      <c r="P381" s="647" t="s">
        <v>72</v>
      </c>
      <c r="Q381" s="648"/>
      <c r="R381" s="648"/>
      <c r="S381" s="648"/>
      <c r="T381" s="648"/>
      <c r="U381" s="648"/>
      <c r="V381" s="649"/>
      <c r="W381" s="37" t="s">
        <v>73</v>
      </c>
      <c r="X381" s="645">
        <f>IFERROR(X374/H374,"0")+IFERROR(X375/H375,"0")+IFERROR(X376/H376,"0")+IFERROR(X377/H377,"0")+IFERROR(X378/H378,"0")+IFERROR(X379/H379,"0")+IFERROR(X380/H380,"0")</f>
        <v>13.888888888888888</v>
      </c>
      <c r="Y381" s="645">
        <f>IFERROR(Y374/H374,"0")+IFERROR(Y375/H375,"0")+IFERROR(Y376/H376,"0")+IFERROR(Y377/H377,"0")+IFERROR(Y378/H378,"0")+IFERROR(Y379/H379,"0")+IFERROR(Y380/H380,"0")</f>
        <v>15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0.10267</v>
      </c>
      <c r="AA381" s="646"/>
      <c r="AB381" s="646"/>
      <c r="AC381" s="646"/>
    </row>
    <row r="382" spans="1:68" x14ac:dyDescent="0.2">
      <c r="A382" s="653"/>
      <c r="B382" s="653"/>
      <c r="C382" s="653"/>
      <c r="D382" s="653"/>
      <c r="E382" s="653"/>
      <c r="F382" s="653"/>
      <c r="G382" s="653"/>
      <c r="H382" s="653"/>
      <c r="I382" s="653"/>
      <c r="J382" s="653"/>
      <c r="K382" s="653"/>
      <c r="L382" s="653"/>
      <c r="M382" s="653"/>
      <c r="N382" s="653"/>
      <c r="O382" s="654"/>
      <c r="P382" s="647" t="s">
        <v>72</v>
      </c>
      <c r="Q382" s="648"/>
      <c r="R382" s="648"/>
      <c r="S382" s="648"/>
      <c r="T382" s="648"/>
      <c r="U382" s="648"/>
      <c r="V382" s="649"/>
      <c r="W382" s="37" t="s">
        <v>67</v>
      </c>
      <c r="X382" s="645">
        <f>IFERROR(SUM(X374:X380),"0")</f>
        <v>29</v>
      </c>
      <c r="Y382" s="645">
        <f>IFERROR(SUM(Y374:Y380),"0")</f>
        <v>31.800000000000004</v>
      </c>
      <c r="Z382" s="37"/>
      <c r="AA382" s="646"/>
      <c r="AB382" s="646"/>
      <c r="AC382" s="646"/>
    </row>
    <row r="383" spans="1:68" ht="14.25" hidden="1" customHeight="1" x14ac:dyDescent="0.25">
      <c r="A383" s="663" t="s">
        <v>74</v>
      </c>
      <c r="B383" s="653"/>
      <c r="C383" s="653"/>
      <c r="D383" s="653"/>
      <c r="E383" s="653"/>
      <c r="F383" s="653"/>
      <c r="G383" s="653"/>
      <c r="H383" s="653"/>
      <c r="I383" s="653"/>
      <c r="J383" s="653"/>
      <c r="K383" s="653"/>
      <c r="L383" s="653"/>
      <c r="M383" s="653"/>
      <c r="N383" s="653"/>
      <c r="O383" s="653"/>
      <c r="P383" s="653"/>
      <c r="Q383" s="653"/>
      <c r="R383" s="653"/>
      <c r="S383" s="653"/>
      <c r="T383" s="653"/>
      <c r="U383" s="653"/>
      <c r="V383" s="653"/>
      <c r="W383" s="653"/>
      <c r="X383" s="653"/>
      <c r="Y383" s="653"/>
      <c r="Z383" s="653"/>
      <c r="AA383" s="639"/>
      <c r="AB383" s="639"/>
      <c r="AC383" s="639"/>
    </row>
    <row r="384" spans="1:68" ht="27" hidden="1" customHeight="1" x14ac:dyDescent="0.25">
      <c r="A384" s="54" t="s">
        <v>625</v>
      </c>
      <c r="B384" s="54" t="s">
        <v>626</v>
      </c>
      <c r="C384" s="31">
        <v>4301051100</v>
      </c>
      <c r="D384" s="650">
        <v>4607091387766</v>
      </c>
      <c r="E384" s="651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6"/>
      <c r="R384" s="656"/>
      <c r="S384" s="656"/>
      <c r="T384" s="657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627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4301051818</v>
      </c>
      <c r="D385" s="650">
        <v>4607091387957</v>
      </c>
      <c r="E385" s="651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6"/>
      <c r="R385" s="656"/>
      <c r="S385" s="656"/>
      <c r="T385" s="657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4301051819</v>
      </c>
      <c r="D386" s="650">
        <v>4607091387964</v>
      </c>
      <c r="E386" s="651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6"/>
      <c r="R386" s="656"/>
      <c r="S386" s="656"/>
      <c r="T386" s="657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4301051734</v>
      </c>
      <c r="D387" s="650">
        <v>4680115884588</v>
      </c>
      <c r="E387" s="651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6"/>
      <c r="R387" s="656"/>
      <c r="S387" s="656"/>
      <c r="T387" s="657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627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2"/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4"/>
      <c r="P388" s="647" t="s">
        <v>72</v>
      </c>
      <c r="Q388" s="648"/>
      <c r="R388" s="648"/>
      <c r="S388" s="648"/>
      <c r="T388" s="648"/>
      <c r="U388" s="648"/>
      <c r="V388" s="649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3"/>
      <c r="B389" s="653"/>
      <c r="C389" s="653"/>
      <c r="D389" s="653"/>
      <c r="E389" s="653"/>
      <c r="F389" s="653"/>
      <c r="G389" s="653"/>
      <c r="H389" s="653"/>
      <c r="I389" s="653"/>
      <c r="J389" s="653"/>
      <c r="K389" s="653"/>
      <c r="L389" s="653"/>
      <c r="M389" s="653"/>
      <c r="N389" s="653"/>
      <c r="O389" s="654"/>
      <c r="P389" s="647" t="s">
        <v>72</v>
      </c>
      <c r="Q389" s="648"/>
      <c r="R389" s="648"/>
      <c r="S389" s="648"/>
      <c r="T389" s="648"/>
      <c r="U389" s="648"/>
      <c r="V389" s="649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63" t="s">
        <v>167</v>
      </c>
      <c r="B390" s="653"/>
      <c r="C390" s="653"/>
      <c r="D390" s="653"/>
      <c r="E390" s="653"/>
      <c r="F390" s="653"/>
      <c r="G390" s="653"/>
      <c r="H390" s="653"/>
      <c r="I390" s="653"/>
      <c r="J390" s="653"/>
      <c r="K390" s="653"/>
      <c r="L390" s="653"/>
      <c r="M390" s="653"/>
      <c r="N390" s="653"/>
      <c r="O390" s="653"/>
      <c r="P390" s="653"/>
      <c r="Q390" s="653"/>
      <c r="R390" s="653"/>
      <c r="S390" s="653"/>
      <c r="T390" s="653"/>
      <c r="U390" s="653"/>
      <c r="V390" s="653"/>
      <c r="W390" s="653"/>
      <c r="X390" s="653"/>
      <c r="Y390" s="653"/>
      <c r="Z390" s="653"/>
      <c r="AA390" s="639"/>
      <c r="AB390" s="639"/>
      <c r="AC390" s="639"/>
    </row>
    <row r="391" spans="1:68" ht="27" hidden="1" customHeight="1" x14ac:dyDescent="0.25">
      <c r="A391" s="54" t="s">
        <v>636</v>
      </c>
      <c r="B391" s="54" t="s">
        <v>637</v>
      </c>
      <c r="C391" s="31">
        <v>4301060387</v>
      </c>
      <c r="D391" s="650">
        <v>4607091380880</v>
      </c>
      <c r="E391" s="651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638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4301060406</v>
      </c>
      <c r="D392" s="650">
        <v>4607091384482</v>
      </c>
      <c r="E392" s="651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6"/>
      <c r="R392" s="656"/>
      <c r="S392" s="656"/>
      <c r="T392" s="657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4301060484</v>
      </c>
      <c r="D393" s="650">
        <v>4607091380897</v>
      </c>
      <c r="E393" s="651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6"/>
      <c r="R393" s="656"/>
      <c r="S393" s="656"/>
      <c r="T393" s="657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52"/>
      <c r="B394" s="653"/>
      <c r="C394" s="653"/>
      <c r="D394" s="653"/>
      <c r="E394" s="653"/>
      <c r="F394" s="653"/>
      <c r="G394" s="653"/>
      <c r="H394" s="653"/>
      <c r="I394" s="653"/>
      <c r="J394" s="653"/>
      <c r="K394" s="653"/>
      <c r="L394" s="653"/>
      <c r="M394" s="653"/>
      <c r="N394" s="653"/>
      <c r="O394" s="654"/>
      <c r="P394" s="647" t="s">
        <v>72</v>
      </c>
      <c r="Q394" s="648"/>
      <c r="R394" s="648"/>
      <c r="S394" s="648"/>
      <c r="T394" s="648"/>
      <c r="U394" s="648"/>
      <c r="V394" s="649"/>
      <c r="W394" s="37" t="s">
        <v>73</v>
      </c>
      <c r="X394" s="645">
        <f>IFERROR(X391/H391,"0")+IFERROR(X392/H392,"0")+IFERROR(X393/H393,"0")</f>
        <v>0</v>
      </c>
      <c r="Y394" s="645">
        <f>IFERROR(Y391/H391,"0")+IFERROR(Y392/H392,"0")+IFERROR(Y393/H393,"0")</f>
        <v>0</v>
      </c>
      <c r="Z394" s="645">
        <f>IFERROR(IF(Z391="",0,Z391),"0")+IFERROR(IF(Z392="",0,Z392),"0")+IFERROR(IF(Z393="",0,Z393),"0")</f>
        <v>0</v>
      </c>
      <c r="AA394" s="646"/>
      <c r="AB394" s="646"/>
      <c r="AC394" s="646"/>
    </row>
    <row r="395" spans="1:68" hidden="1" x14ac:dyDescent="0.2">
      <c r="A395" s="653"/>
      <c r="B395" s="653"/>
      <c r="C395" s="653"/>
      <c r="D395" s="653"/>
      <c r="E395" s="653"/>
      <c r="F395" s="653"/>
      <c r="G395" s="653"/>
      <c r="H395" s="653"/>
      <c r="I395" s="653"/>
      <c r="J395" s="653"/>
      <c r="K395" s="653"/>
      <c r="L395" s="653"/>
      <c r="M395" s="653"/>
      <c r="N395" s="653"/>
      <c r="O395" s="654"/>
      <c r="P395" s="647" t="s">
        <v>72</v>
      </c>
      <c r="Q395" s="648"/>
      <c r="R395" s="648"/>
      <c r="S395" s="648"/>
      <c r="T395" s="648"/>
      <c r="U395" s="648"/>
      <c r="V395" s="649"/>
      <c r="W395" s="37" t="s">
        <v>67</v>
      </c>
      <c r="X395" s="645">
        <f>IFERROR(SUM(X391:X393),"0")</f>
        <v>0</v>
      </c>
      <c r="Y395" s="645">
        <f>IFERROR(SUM(Y391:Y393),"0")</f>
        <v>0</v>
      </c>
      <c r="Z395" s="37"/>
      <c r="AA395" s="646"/>
      <c r="AB395" s="646"/>
      <c r="AC395" s="646"/>
    </row>
    <row r="396" spans="1:68" ht="14.25" hidden="1" customHeight="1" x14ac:dyDescent="0.25">
      <c r="A396" s="663" t="s">
        <v>266</v>
      </c>
      <c r="B396" s="653"/>
      <c r="C396" s="653"/>
      <c r="D396" s="653"/>
      <c r="E396" s="653"/>
      <c r="F396" s="653"/>
      <c r="G396" s="653"/>
      <c r="H396" s="653"/>
      <c r="I396" s="653"/>
      <c r="J396" s="653"/>
      <c r="K396" s="653"/>
      <c r="L396" s="653"/>
      <c r="M396" s="653"/>
      <c r="N396" s="653"/>
      <c r="O396" s="653"/>
      <c r="P396" s="653"/>
      <c r="Q396" s="653"/>
      <c r="R396" s="653"/>
      <c r="S396" s="653"/>
      <c r="T396" s="653"/>
      <c r="U396" s="653"/>
      <c r="V396" s="653"/>
      <c r="W396" s="653"/>
      <c r="X396" s="653"/>
      <c r="Y396" s="653"/>
      <c r="Z396" s="653"/>
      <c r="AA396" s="639"/>
      <c r="AB396" s="639"/>
      <c r="AC396" s="639"/>
    </row>
    <row r="397" spans="1:68" ht="27" hidden="1" customHeight="1" x14ac:dyDescent="0.25">
      <c r="A397" s="54" t="s">
        <v>645</v>
      </c>
      <c r="B397" s="54" t="s">
        <v>646</v>
      </c>
      <c r="C397" s="31">
        <v>4301030235</v>
      </c>
      <c r="D397" s="650">
        <v>4607091388381</v>
      </c>
      <c r="E397" s="651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6"/>
      <c r="R397" s="656"/>
      <c r="S397" s="656"/>
      <c r="T397" s="657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647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4301030232</v>
      </c>
      <c r="D398" s="650">
        <v>4607091388374</v>
      </c>
      <c r="E398" s="651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241</v>
      </c>
      <c r="N398" s="33"/>
      <c r="O398" s="32">
        <v>180</v>
      </c>
      <c r="P398" s="9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6"/>
      <c r="R398" s="656"/>
      <c r="S398" s="656"/>
      <c r="T398" s="657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647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650</v>
      </c>
      <c r="B399" s="54" t="s">
        <v>651</v>
      </c>
      <c r="C399" s="31">
        <v>4301032015</v>
      </c>
      <c r="D399" s="650">
        <v>4607091383102</v>
      </c>
      <c r="E399" s="651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241</v>
      </c>
      <c r="N399" s="33"/>
      <c r="O399" s="32">
        <v>180</v>
      </c>
      <c r="P399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6"/>
      <c r="R399" s="656"/>
      <c r="S399" s="656"/>
      <c r="T399" s="657"/>
      <c r="U399" s="34"/>
      <c r="V399" s="34"/>
      <c r="W399" s="35" t="s">
        <v>67</v>
      </c>
      <c r="X399" s="643">
        <v>12</v>
      </c>
      <c r="Y399" s="644">
        <f>IFERROR(IF(X399="",0,CEILING((X399/$H399),1)*$H399),"")</f>
        <v>12.75</v>
      </c>
      <c r="Z399" s="36">
        <f>IFERROR(IF(Y399=0,"",ROUNDUP(Y399/H399,0)*0.00651),"")</f>
        <v>3.2550000000000003E-2</v>
      </c>
      <c r="AA399" s="56"/>
      <c r="AB399" s="57"/>
      <c r="AC399" s="489" t="s">
        <v>647</v>
      </c>
      <c r="AG399" s="64"/>
      <c r="AJ399" s="68"/>
      <c r="AK399" s="68">
        <v>0</v>
      </c>
      <c r="BB399" s="490" t="s">
        <v>1</v>
      </c>
      <c r="BM399" s="64">
        <f>IFERROR(X399*I399/H399,"0")</f>
        <v>13.905882352941179</v>
      </c>
      <c r="BN399" s="64">
        <f>IFERROR(Y399*I399/H399,"0")</f>
        <v>14.775000000000002</v>
      </c>
      <c r="BO399" s="64">
        <f>IFERROR(1/J399*(X399/H399),"0")</f>
        <v>2.5856496444731741E-2</v>
      </c>
      <c r="BP399" s="64">
        <f>IFERROR(1/J399*(Y399/H399),"0")</f>
        <v>2.7472527472527476E-2</v>
      </c>
    </row>
    <row r="400" spans="1:68" ht="27" customHeight="1" x14ac:dyDescent="0.25">
      <c r="A400" s="54" t="s">
        <v>652</v>
      </c>
      <c r="B400" s="54" t="s">
        <v>653</v>
      </c>
      <c r="C400" s="31">
        <v>4301030233</v>
      </c>
      <c r="D400" s="650">
        <v>4607091388404</v>
      </c>
      <c r="E400" s="651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241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6"/>
      <c r="R400" s="656"/>
      <c r="S400" s="656"/>
      <c r="T400" s="657"/>
      <c r="U400" s="34"/>
      <c r="V400" s="34"/>
      <c r="W400" s="35" t="s">
        <v>67</v>
      </c>
      <c r="X400" s="643">
        <v>12</v>
      </c>
      <c r="Y400" s="644">
        <f>IFERROR(IF(X400="",0,CEILING((X400/$H400),1)*$H400),"")</f>
        <v>12.75</v>
      </c>
      <c r="Z400" s="36">
        <f>IFERROR(IF(Y400=0,"",ROUNDUP(Y400/H400,0)*0.00651),"")</f>
        <v>3.2550000000000003E-2</v>
      </c>
      <c r="AA400" s="56"/>
      <c r="AB400" s="57"/>
      <c r="AC400" s="491" t="s">
        <v>647</v>
      </c>
      <c r="AG400" s="64"/>
      <c r="AJ400" s="68"/>
      <c r="AK400" s="68">
        <v>0</v>
      </c>
      <c r="BB400" s="492" t="s">
        <v>1</v>
      </c>
      <c r="BM400" s="64">
        <f>IFERROR(X400*I400/H400,"0")</f>
        <v>13.55294117647059</v>
      </c>
      <c r="BN400" s="64">
        <f>IFERROR(Y400*I400/H400,"0")</f>
        <v>14.4</v>
      </c>
      <c r="BO400" s="64">
        <f>IFERROR(1/J400*(X400/H400),"0")</f>
        <v>2.5856496444731741E-2</v>
      </c>
      <c r="BP400" s="64">
        <f>IFERROR(1/J400*(Y400/H400),"0")</f>
        <v>2.7472527472527476E-2</v>
      </c>
    </row>
    <row r="401" spans="1:68" x14ac:dyDescent="0.2">
      <c r="A401" s="652"/>
      <c r="B401" s="653"/>
      <c r="C401" s="653"/>
      <c r="D401" s="653"/>
      <c r="E401" s="653"/>
      <c r="F401" s="653"/>
      <c r="G401" s="653"/>
      <c r="H401" s="653"/>
      <c r="I401" s="653"/>
      <c r="J401" s="653"/>
      <c r="K401" s="653"/>
      <c r="L401" s="653"/>
      <c r="M401" s="653"/>
      <c r="N401" s="653"/>
      <c r="O401" s="654"/>
      <c r="P401" s="647" t="s">
        <v>72</v>
      </c>
      <c r="Q401" s="648"/>
      <c r="R401" s="648"/>
      <c r="S401" s="648"/>
      <c r="T401" s="648"/>
      <c r="U401" s="648"/>
      <c r="V401" s="649"/>
      <c r="W401" s="37" t="s">
        <v>73</v>
      </c>
      <c r="X401" s="645">
        <f>IFERROR(X397/H397,"0")+IFERROR(X398/H398,"0")+IFERROR(X399/H399,"0")+IFERROR(X400/H400,"0")</f>
        <v>9.4117647058823533</v>
      </c>
      <c r="Y401" s="645">
        <f>IFERROR(Y397/H397,"0")+IFERROR(Y398/H398,"0")+IFERROR(Y399/H399,"0")+IFERROR(Y400/H400,"0")</f>
        <v>10</v>
      </c>
      <c r="Z401" s="645">
        <f>IFERROR(IF(Z397="",0,Z397),"0")+IFERROR(IF(Z398="",0,Z398),"0")+IFERROR(IF(Z399="",0,Z399),"0")+IFERROR(IF(Z400="",0,Z400),"0")</f>
        <v>6.5100000000000005E-2</v>
      </c>
      <c r="AA401" s="646"/>
      <c r="AB401" s="646"/>
      <c r="AC401" s="646"/>
    </row>
    <row r="402" spans="1:68" x14ac:dyDescent="0.2">
      <c r="A402" s="653"/>
      <c r="B402" s="653"/>
      <c r="C402" s="653"/>
      <c r="D402" s="653"/>
      <c r="E402" s="653"/>
      <c r="F402" s="653"/>
      <c r="G402" s="653"/>
      <c r="H402" s="653"/>
      <c r="I402" s="653"/>
      <c r="J402" s="653"/>
      <c r="K402" s="653"/>
      <c r="L402" s="653"/>
      <c r="M402" s="653"/>
      <c r="N402" s="653"/>
      <c r="O402" s="654"/>
      <c r="P402" s="647" t="s">
        <v>72</v>
      </c>
      <c r="Q402" s="648"/>
      <c r="R402" s="648"/>
      <c r="S402" s="648"/>
      <c r="T402" s="648"/>
      <c r="U402" s="648"/>
      <c r="V402" s="649"/>
      <c r="W402" s="37" t="s">
        <v>67</v>
      </c>
      <c r="X402" s="645">
        <f>IFERROR(SUM(X397:X400),"0")</f>
        <v>24</v>
      </c>
      <c r="Y402" s="645">
        <f>IFERROR(SUM(Y397:Y400),"0")</f>
        <v>25.5</v>
      </c>
      <c r="Z402" s="37"/>
      <c r="AA402" s="646"/>
      <c r="AB402" s="646"/>
      <c r="AC402" s="646"/>
    </row>
    <row r="403" spans="1:68" ht="14.25" hidden="1" customHeight="1" x14ac:dyDescent="0.25">
      <c r="A403" s="663" t="s">
        <v>654</v>
      </c>
      <c r="B403" s="653"/>
      <c r="C403" s="653"/>
      <c r="D403" s="653"/>
      <c r="E403" s="653"/>
      <c r="F403" s="653"/>
      <c r="G403" s="653"/>
      <c r="H403" s="653"/>
      <c r="I403" s="653"/>
      <c r="J403" s="653"/>
      <c r="K403" s="653"/>
      <c r="L403" s="653"/>
      <c r="M403" s="653"/>
      <c r="N403" s="653"/>
      <c r="O403" s="653"/>
      <c r="P403" s="653"/>
      <c r="Q403" s="653"/>
      <c r="R403" s="653"/>
      <c r="S403" s="653"/>
      <c r="T403" s="653"/>
      <c r="U403" s="653"/>
      <c r="V403" s="653"/>
      <c r="W403" s="653"/>
      <c r="X403" s="653"/>
      <c r="Y403" s="653"/>
      <c r="Z403" s="653"/>
      <c r="AA403" s="639"/>
      <c r="AB403" s="639"/>
      <c r="AC403" s="639"/>
    </row>
    <row r="404" spans="1:68" ht="16.5" hidden="1" customHeight="1" x14ac:dyDescent="0.25">
      <c r="A404" s="54" t="s">
        <v>655</v>
      </c>
      <c r="B404" s="54" t="s">
        <v>656</v>
      </c>
      <c r="C404" s="31">
        <v>4301180007</v>
      </c>
      <c r="D404" s="650">
        <v>4680115881808</v>
      </c>
      <c r="E404" s="651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657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6"/>
      <c r="R404" s="656"/>
      <c r="S404" s="656"/>
      <c r="T404" s="657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658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659</v>
      </c>
      <c r="B405" s="54" t="s">
        <v>660</v>
      </c>
      <c r="C405" s="31">
        <v>4301180006</v>
      </c>
      <c r="D405" s="650">
        <v>4680115881822</v>
      </c>
      <c r="E405" s="651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657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6"/>
      <c r="R405" s="656"/>
      <c r="S405" s="656"/>
      <c r="T405" s="657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658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661</v>
      </c>
      <c r="B406" s="54" t="s">
        <v>662</v>
      </c>
      <c r="C406" s="31">
        <v>4301180001</v>
      </c>
      <c r="D406" s="650">
        <v>4680115880016</v>
      </c>
      <c r="E406" s="651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657</v>
      </c>
      <c r="N406" s="33"/>
      <c r="O406" s="32">
        <v>731</v>
      </c>
      <c r="P406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6"/>
      <c r="R406" s="656"/>
      <c r="S406" s="656"/>
      <c r="T406" s="657"/>
      <c r="U406" s="34"/>
      <c r="V406" s="34"/>
      <c r="W406" s="35" t="s">
        <v>67</v>
      </c>
      <c r="X406" s="643">
        <v>18</v>
      </c>
      <c r="Y406" s="644">
        <f>IFERROR(IF(X406="",0,CEILING((X406/$H406),1)*$H406),"")</f>
        <v>18</v>
      </c>
      <c r="Z406" s="36">
        <f>IFERROR(IF(Y406=0,"",ROUNDUP(Y406/H406,0)*0.00474),"")</f>
        <v>4.2660000000000003E-2</v>
      </c>
      <c r="AA406" s="56"/>
      <c r="AB406" s="57"/>
      <c r="AC406" s="497" t="s">
        <v>658</v>
      </c>
      <c r="AG406" s="64"/>
      <c r="AJ406" s="68"/>
      <c r="AK406" s="68">
        <v>0</v>
      </c>
      <c r="BB406" s="498" t="s">
        <v>1</v>
      </c>
      <c r="BM406" s="64">
        <f>IFERROR(X406*I406/H406,"0")</f>
        <v>20.160000000000004</v>
      </c>
      <c r="BN406" s="64">
        <f>IFERROR(Y406*I406/H406,"0")</f>
        <v>20.160000000000004</v>
      </c>
      <c r="BO406" s="64">
        <f>IFERROR(1/J406*(X406/H406),"0")</f>
        <v>3.7815126050420166E-2</v>
      </c>
      <c r="BP406" s="64">
        <f>IFERROR(1/J406*(Y406/H406),"0")</f>
        <v>3.7815126050420166E-2</v>
      </c>
    </row>
    <row r="407" spans="1:68" x14ac:dyDescent="0.2">
      <c r="A407" s="652"/>
      <c r="B407" s="653"/>
      <c r="C407" s="653"/>
      <c r="D407" s="653"/>
      <c r="E407" s="653"/>
      <c r="F407" s="653"/>
      <c r="G407" s="653"/>
      <c r="H407" s="653"/>
      <c r="I407" s="653"/>
      <c r="J407" s="653"/>
      <c r="K407" s="653"/>
      <c r="L407" s="653"/>
      <c r="M407" s="653"/>
      <c r="N407" s="653"/>
      <c r="O407" s="654"/>
      <c r="P407" s="647" t="s">
        <v>72</v>
      </c>
      <c r="Q407" s="648"/>
      <c r="R407" s="648"/>
      <c r="S407" s="648"/>
      <c r="T407" s="648"/>
      <c r="U407" s="648"/>
      <c r="V407" s="649"/>
      <c r="W407" s="37" t="s">
        <v>73</v>
      </c>
      <c r="X407" s="645">
        <f>IFERROR(X404/H404,"0")+IFERROR(X405/H405,"0")+IFERROR(X406/H406,"0")</f>
        <v>9</v>
      </c>
      <c r="Y407" s="645">
        <f>IFERROR(Y404/H404,"0")+IFERROR(Y405/H405,"0")+IFERROR(Y406/H406,"0")</f>
        <v>9</v>
      </c>
      <c r="Z407" s="645">
        <f>IFERROR(IF(Z404="",0,Z404),"0")+IFERROR(IF(Z405="",0,Z405),"0")+IFERROR(IF(Z406="",0,Z406),"0")</f>
        <v>4.2660000000000003E-2</v>
      </c>
      <c r="AA407" s="646"/>
      <c r="AB407" s="646"/>
      <c r="AC407" s="646"/>
    </row>
    <row r="408" spans="1:68" x14ac:dyDescent="0.2">
      <c r="A408" s="653"/>
      <c r="B408" s="653"/>
      <c r="C408" s="653"/>
      <c r="D408" s="653"/>
      <c r="E408" s="653"/>
      <c r="F408" s="653"/>
      <c r="G408" s="653"/>
      <c r="H408" s="653"/>
      <c r="I408" s="653"/>
      <c r="J408" s="653"/>
      <c r="K408" s="653"/>
      <c r="L408" s="653"/>
      <c r="M408" s="653"/>
      <c r="N408" s="653"/>
      <c r="O408" s="654"/>
      <c r="P408" s="647" t="s">
        <v>72</v>
      </c>
      <c r="Q408" s="648"/>
      <c r="R408" s="648"/>
      <c r="S408" s="648"/>
      <c r="T408" s="648"/>
      <c r="U408" s="648"/>
      <c r="V408" s="649"/>
      <c r="W408" s="37" t="s">
        <v>67</v>
      </c>
      <c r="X408" s="645">
        <f>IFERROR(SUM(X404:X406),"0")</f>
        <v>18</v>
      </c>
      <c r="Y408" s="645">
        <f>IFERROR(SUM(Y404:Y406),"0")</f>
        <v>18</v>
      </c>
      <c r="Z408" s="37"/>
      <c r="AA408" s="646"/>
      <c r="AB408" s="646"/>
      <c r="AC408" s="646"/>
    </row>
    <row r="409" spans="1:68" ht="14.25" hidden="1" customHeight="1" x14ac:dyDescent="0.25">
      <c r="A409" s="663" t="s">
        <v>663</v>
      </c>
      <c r="B409" s="653"/>
      <c r="C409" s="653"/>
      <c r="D409" s="653"/>
      <c r="E409" s="653"/>
      <c r="F409" s="653"/>
      <c r="G409" s="653"/>
      <c r="H409" s="653"/>
      <c r="I409" s="653"/>
      <c r="J409" s="653"/>
      <c r="K409" s="653"/>
      <c r="L409" s="653"/>
      <c r="M409" s="653"/>
      <c r="N409" s="653"/>
      <c r="O409" s="653"/>
      <c r="P409" s="653"/>
      <c r="Q409" s="653"/>
      <c r="R409" s="653"/>
      <c r="S409" s="653"/>
      <c r="T409" s="653"/>
      <c r="U409" s="653"/>
      <c r="V409" s="653"/>
      <c r="W409" s="653"/>
      <c r="X409" s="653"/>
      <c r="Y409" s="653"/>
      <c r="Z409" s="653"/>
      <c r="AA409" s="639"/>
      <c r="AB409" s="639"/>
      <c r="AC409" s="639"/>
    </row>
    <row r="410" spans="1:68" ht="27" hidden="1" customHeight="1" x14ac:dyDescent="0.25">
      <c r="A410" s="54" t="s">
        <v>664</v>
      </c>
      <c r="B410" s="54" t="s">
        <v>665</v>
      </c>
      <c r="C410" s="31">
        <v>4301220003</v>
      </c>
      <c r="D410" s="650">
        <v>4680115888678</v>
      </c>
      <c r="E410" s="651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657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6"/>
      <c r="R410" s="656"/>
      <c r="S410" s="656"/>
      <c r="T410" s="657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666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667</v>
      </c>
      <c r="B411" s="54" t="s">
        <v>668</v>
      </c>
      <c r="C411" s="31">
        <v>4301220001</v>
      </c>
      <c r="D411" s="650">
        <v>4680115888654</v>
      </c>
      <c r="E411" s="651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657</v>
      </c>
      <c r="N411" s="33"/>
      <c r="O411" s="32">
        <v>1096</v>
      </c>
      <c r="P411" s="78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6"/>
      <c r="R411" s="656"/>
      <c r="S411" s="656"/>
      <c r="T411" s="657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4301220002</v>
      </c>
      <c r="D412" s="650">
        <v>4680115888753</v>
      </c>
      <c r="E412" s="651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657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6"/>
      <c r="R412" s="656"/>
      <c r="S412" s="656"/>
      <c r="T412" s="657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666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2"/>
      <c r="B413" s="653"/>
      <c r="C413" s="653"/>
      <c r="D413" s="653"/>
      <c r="E413" s="653"/>
      <c r="F413" s="653"/>
      <c r="G413" s="653"/>
      <c r="H413" s="653"/>
      <c r="I413" s="653"/>
      <c r="J413" s="653"/>
      <c r="K413" s="653"/>
      <c r="L413" s="653"/>
      <c r="M413" s="653"/>
      <c r="N413" s="653"/>
      <c r="O413" s="654"/>
      <c r="P413" s="647" t="s">
        <v>72</v>
      </c>
      <c r="Q413" s="648"/>
      <c r="R413" s="648"/>
      <c r="S413" s="648"/>
      <c r="T413" s="648"/>
      <c r="U413" s="648"/>
      <c r="V413" s="649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3"/>
      <c r="B414" s="653"/>
      <c r="C414" s="653"/>
      <c r="D414" s="653"/>
      <c r="E414" s="653"/>
      <c r="F414" s="653"/>
      <c r="G414" s="653"/>
      <c r="H414" s="653"/>
      <c r="I414" s="653"/>
      <c r="J414" s="653"/>
      <c r="K414" s="653"/>
      <c r="L414" s="653"/>
      <c r="M414" s="653"/>
      <c r="N414" s="653"/>
      <c r="O414" s="654"/>
      <c r="P414" s="647" t="s">
        <v>72</v>
      </c>
      <c r="Q414" s="648"/>
      <c r="R414" s="648"/>
      <c r="S414" s="648"/>
      <c r="T414" s="648"/>
      <c r="U414" s="648"/>
      <c r="V414" s="649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6" t="s">
        <v>672</v>
      </c>
      <c r="B415" s="653"/>
      <c r="C415" s="653"/>
      <c r="D415" s="653"/>
      <c r="E415" s="653"/>
      <c r="F415" s="653"/>
      <c r="G415" s="653"/>
      <c r="H415" s="653"/>
      <c r="I415" s="653"/>
      <c r="J415" s="653"/>
      <c r="K415" s="653"/>
      <c r="L415" s="653"/>
      <c r="M415" s="653"/>
      <c r="N415" s="653"/>
      <c r="O415" s="653"/>
      <c r="P415" s="653"/>
      <c r="Q415" s="653"/>
      <c r="R415" s="653"/>
      <c r="S415" s="653"/>
      <c r="T415" s="653"/>
      <c r="U415" s="653"/>
      <c r="V415" s="653"/>
      <c r="W415" s="653"/>
      <c r="X415" s="653"/>
      <c r="Y415" s="653"/>
      <c r="Z415" s="653"/>
      <c r="AA415" s="638"/>
      <c r="AB415" s="638"/>
      <c r="AC415" s="638"/>
    </row>
    <row r="416" spans="1:68" ht="14.25" hidden="1" customHeight="1" x14ac:dyDescent="0.25">
      <c r="A416" s="663" t="s">
        <v>74</v>
      </c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3"/>
      <c r="P416" s="653"/>
      <c r="Q416" s="653"/>
      <c r="R416" s="653"/>
      <c r="S416" s="653"/>
      <c r="T416" s="653"/>
      <c r="U416" s="653"/>
      <c r="V416" s="653"/>
      <c r="W416" s="653"/>
      <c r="X416" s="653"/>
      <c r="Y416" s="653"/>
      <c r="Z416" s="653"/>
      <c r="AA416" s="639"/>
      <c r="AB416" s="639"/>
      <c r="AC416" s="639"/>
    </row>
    <row r="417" spans="1:68" ht="16.5" hidden="1" customHeight="1" x14ac:dyDescent="0.25">
      <c r="A417" s="54" t="s">
        <v>673</v>
      </c>
      <c r="B417" s="54" t="s">
        <v>674</v>
      </c>
      <c r="C417" s="31">
        <v>4301052235</v>
      </c>
      <c r="D417" s="650">
        <v>4680115889415</v>
      </c>
      <c r="E417" s="651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6"/>
      <c r="R417" s="656"/>
      <c r="S417" s="656"/>
      <c r="T417" s="657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675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676</v>
      </c>
      <c r="B418" s="54" t="s">
        <v>677</v>
      </c>
      <c r="C418" s="31">
        <v>4301052236</v>
      </c>
      <c r="D418" s="650">
        <v>4680115889422</v>
      </c>
      <c r="E418" s="651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6"/>
      <c r="R418" s="656"/>
      <c r="S418" s="656"/>
      <c r="T418" s="657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2"/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4"/>
      <c r="P419" s="647" t="s">
        <v>72</v>
      </c>
      <c r="Q419" s="648"/>
      <c r="R419" s="648"/>
      <c r="S419" s="648"/>
      <c r="T419" s="648"/>
      <c r="U419" s="648"/>
      <c r="V419" s="649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3"/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4"/>
      <c r="P420" s="647" t="s">
        <v>72</v>
      </c>
      <c r="Q420" s="648"/>
      <c r="R420" s="648"/>
      <c r="S420" s="648"/>
      <c r="T420" s="648"/>
      <c r="U420" s="648"/>
      <c r="V420" s="649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6" t="s">
        <v>679</v>
      </c>
      <c r="B421" s="653"/>
      <c r="C421" s="653"/>
      <c r="D421" s="653"/>
      <c r="E421" s="653"/>
      <c r="F421" s="653"/>
      <c r="G421" s="653"/>
      <c r="H421" s="653"/>
      <c r="I421" s="653"/>
      <c r="J421" s="653"/>
      <c r="K421" s="653"/>
      <c r="L421" s="653"/>
      <c r="M421" s="653"/>
      <c r="N421" s="653"/>
      <c r="O421" s="653"/>
      <c r="P421" s="653"/>
      <c r="Q421" s="653"/>
      <c r="R421" s="653"/>
      <c r="S421" s="653"/>
      <c r="T421" s="653"/>
      <c r="U421" s="653"/>
      <c r="V421" s="653"/>
      <c r="W421" s="653"/>
      <c r="X421" s="653"/>
      <c r="Y421" s="653"/>
      <c r="Z421" s="653"/>
      <c r="AA421" s="638"/>
      <c r="AB421" s="638"/>
      <c r="AC421" s="638"/>
    </row>
    <row r="422" spans="1:68" ht="14.25" hidden="1" customHeight="1" x14ac:dyDescent="0.25">
      <c r="A422" s="663" t="s">
        <v>74</v>
      </c>
      <c r="B422" s="653"/>
      <c r="C422" s="653"/>
      <c r="D422" s="653"/>
      <c r="E422" s="653"/>
      <c r="F422" s="653"/>
      <c r="G422" s="653"/>
      <c r="H422" s="653"/>
      <c r="I422" s="653"/>
      <c r="J422" s="653"/>
      <c r="K422" s="653"/>
      <c r="L422" s="653"/>
      <c r="M422" s="653"/>
      <c r="N422" s="653"/>
      <c r="O422" s="653"/>
      <c r="P422" s="653"/>
      <c r="Q422" s="653"/>
      <c r="R422" s="653"/>
      <c r="S422" s="653"/>
      <c r="T422" s="653"/>
      <c r="U422" s="653"/>
      <c r="V422" s="653"/>
      <c r="W422" s="653"/>
      <c r="X422" s="653"/>
      <c r="Y422" s="653"/>
      <c r="Z422" s="653"/>
      <c r="AA422" s="639"/>
      <c r="AB422" s="639"/>
      <c r="AC422" s="639"/>
    </row>
    <row r="423" spans="1:68" ht="27" hidden="1" customHeight="1" x14ac:dyDescent="0.25">
      <c r="A423" s="54" t="s">
        <v>680</v>
      </c>
      <c r="B423" s="54" t="s">
        <v>681</v>
      </c>
      <c r="C423" s="31">
        <v>4301051489</v>
      </c>
      <c r="D423" s="650">
        <v>4607091387919</v>
      </c>
      <c r="E423" s="651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6"/>
      <c r="R423" s="656"/>
      <c r="S423" s="656"/>
      <c r="T423" s="657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682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683</v>
      </c>
      <c r="B424" s="54" t="s">
        <v>684</v>
      </c>
      <c r="C424" s="31">
        <v>4301051461</v>
      </c>
      <c r="D424" s="650">
        <v>4680115883604</v>
      </c>
      <c r="E424" s="651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6"/>
      <c r="R424" s="656"/>
      <c r="S424" s="656"/>
      <c r="T424" s="657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686</v>
      </c>
      <c r="B425" s="54" t="s">
        <v>687</v>
      </c>
      <c r="C425" s="31">
        <v>4301051864</v>
      </c>
      <c r="D425" s="650">
        <v>4680115883567</v>
      </c>
      <c r="E425" s="651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6"/>
      <c r="R425" s="656"/>
      <c r="S425" s="656"/>
      <c r="T425" s="657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52"/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4"/>
      <c r="P426" s="647" t="s">
        <v>72</v>
      </c>
      <c r="Q426" s="648"/>
      <c r="R426" s="648"/>
      <c r="S426" s="648"/>
      <c r="T426" s="648"/>
      <c r="U426" s="648"/>
      <c r="V426" s="649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hidden="1" x14ac:dyDescent="0.2">
      <c r="A427" s="653"/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4"/>
      <c r="P427" s="647" t="s">
        <v>72</v>
      </c>
      <c r="Q427" s="648"/>
      <c r="R427" s="648"/>
      <c r="S427" s="648"/>
      <c r="T427" s="648"/>
      <c r="U427" s="648"/>
      <c r="V427" s="649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hidden="1" customHeight="1" x14ac:dyDescent="0.2">
      <c r="A428" s="661" t="s">
        <v>689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66" t="s">
        <v>690</v>
      </c>
      <c r="B429" s="653"/>
      <c r="C429" s="653"/>
      <c r="D429" s="653"/>
      <c r="E429" s="653"/>
      <c r="F429" s="653"/>
      <c r="G429" s="653"/>
      <c r="H429" s="653"/>
      <c r="I429" s="653"/>
      <c r="J429" s="653"/>
      <c r="K429" s="653"/>
      <c r="L429" s="653"/>
      <c r="M429" s="653"/>
      <c r="N429" s="653"/>
      <c r="O429" s="653"/>
      <c r="P429" s="653"/>
      <c r="Q429" s="653"/>
      <c r="R429" s="653"/>
      <c r="S429" s="653"/>
      <c r="T429" s="653"/>
      <c r="U429" s="653"/>
      <c r="V429" s="653"/>
      <c r="W429" s="653"/>
      <c r="X429" s="653"/>
      <c r="Y429" s="653"/>
      <c r="Z429" s="653"/>
      <c r="AA429" s="638"/>
      <c r="AB429" s="638"/>
      <c r="AC429" s="638"/>
    </row>
    <row r="430" spans="1:68" ht="14.25" hidden="1" customHeight="1" x14ac:dyDescent="0.25">
      <c r="A430" s="663" t="s">
        <v>111</v>
      </c>
      <c r="B430" s="653"/>
      <c r="C430" s="653"/>
      <c r="D430" s="653"/>
      <c r="E430" s="653"/>
      <c r="F430" s="653"/>
      <c r="G430" s="653"/>
      <c r="H430" s="653"/>
      <c r="I430" s="653"/>
      <c r="J430" s="653"/>
      <c r="K430" s="653"/>
      <c r="L430" s="653"/>
      <c r="M430" s="653"/>
      <c r="N430" s="653"/>
      <c r="O430" s="653"/>
      <c r="P430" s="653"/>
      <c r="Q430" s="653"/>
      <c r="R430" s="653"/>
      <c r="S430" s="653"/>
      <c r="T430" s="653"/>
      <c r="U430" s="653"/>
      <c r="V430" s="653"/>
      <c r="W430" s="653"/>
      <c r="X430" s="653"/>
      <c r="Y430" s="653"/>
      <c r="Z430" s="653"/>
      <c r="AA430" s="639"/>
      <c r="AB430" s="639"/>
      <c r="AC430" s="639"/>
    </row>
    <row r="431" spans="1:68" ht="27" customHeight="1" x14ac:dyDescent="0.25">
      <c r="A431" s="54" t="s">
        <v>691</v>
      </c>
      <c r="B431" s="54" t="s">
        <v>692</v>
      </c>
      <c r="C431" s="31">
        <v>4301012332</v>
      </c>
      <c r="D431" s="650">
        <v>4680115888401</v>
      </c>
      <c r="E431" s="651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6"/>
      <c r="R431" s="656"/>
      <c r="S431" s="656"/>
      <c r="T431" s="657"/>
      <c r="U431" s="34"/>
      <c r="V431" s="34"/>
      <c r="W431" s="35" t="s">
        <v>67</v>
      </c>
      <c r="X431" s="643">
        <v>25</v>
      </c>
      <c r="Y431" s="644">
        <f t="shared" ref="Y431:Y438" si="68">IFERROR(IF(X431="",0,CEILING((X431/$H431),1)*$H431),"")</f>
        <v>30</v>
      </c>
      <c r="Z431" s="36">
        <f>IFERROR(IF(Y431=0,"",ROUNDUP(Y431/H431,0)*0.02175),"")</f>
        <v>4.3499999999999997E-2</v>
      </c>
      <c r="AA431" s="56"/>
      <c r="AB431" s="57"/>
      <c r="AC431" s="515" t="s">
        <v>693</v>
      </c>
      <c r="AG431" s="64"/>
      <c r="AJ431" s="68"/>
      <c r="AK431" s="68">
        <v>0</v>
      </c>
      <c r="BB431" s="516" t="s">
        <v>1</v>
      </c>
      <c r="BM431" s="64">
        <f t="shared" ref="BM431:BM438" si="69">IFERROR(X431*I431/H431,"0")</f>
        <v>25.783333333333335</v>
      </c>
      <c r="BN431" s="64">
        <f t="shared" ref="BN431:BN438" si="70">IFERROR(Y431*I431/H431,"0")</f>
        <v>30.94</v>
      </c>
      <c r="BO431" s="64">
        <f t="shared" ref="BO431:BO438" si="71">IFERROR(1/J431*(X431/H431),"0")</f>
        <v>3.4722222222222224E-2</v>
      </c>
      <c r="BP431" s="64">
        <f t="shared" ref="BP431:BP438" si="72">IFERROR(1/J431*(Y431/H431),"0")</f>
        <v>4.1666666666666664E-2</v>
      </c>
    </row>
    <row r="432" spans="1:68" ht="37.5" customHeight="1" x14ac:dyDescent="0.25">
      <c r="A432" s="54" t="s">
        <v>694</v>
      </c>
      <c r="B432" s="54" t="s">
        <v>695</v>
      </c>
      <c r="C432" s="31">
        <v>4301011869</v>
      </c>
      <c r="D432" s="650">
        <v>4680115884847</v>
      </c>
      <c r="E432" s="651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6"/>
      <c r="R432" s="656"/>
      <c r="S432" s="656"/>
      <c r="T432" s="657"/>
      <c r="U432" s="34"/>
      <c r="V432" s="34"/>
      <c r="W432" s="35" t="s">
        <v>67</v>
      </c>
      <c r="X432" s="643">
        <v>746</v>
      </c>
      <c r="Y432" s="644">
        <f t="shared" si="68"/>
        <v>750</v>
      </c>
      <c r="Z432" s="36">
        <f>IFERROR(IF(Y432=0,"",ROUNDUP(Y432/H432,0)*0.02175),"")</f>
        <v>1.0874999999999999</v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si="69"/>
        <v>769.37466666666671</v>
      </c>
      <c r="BN432" s="64">
        <f t="shared" si="70"/>
        <v>773.5</v>
      </c>
      <c r="BO432" s="64">
        <f t="shared" si="71"/>
        <v>1.036111111111111</v>
      </c>
      <c r="BP432" s="64">
        <f t="shared" si="72"/>
        <v>1.0416666666666665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4301012083</v>
      </c>
      <c r="D433" s="650">
        <v>4680115884854</v>
      </c>
      <c r="E433" s="651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6"/>
      <c r="R433" s="656"/>
      <c r="S433" s="656"/>
      <c r="T433" s="657"/>
      <c r="U433" s="34"/>
      <c r="V433" s="34"/>
      <c r="W433" s="35" t="s">
        <v>67</v>
      </c>
      <c r="X433" s="643">
        <v>0</v>
      </c>
      <c r="Y433" s="644">
        <f t="shared" si="68"/>
        <v>0</v>
      </c>
      <c r="Z433" s="36" t="str">
        <f>IFERROR(IF(Y433=0,"",ROUNDUP(Y433/H433,0)*0.02175),"")</f>
        <v/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ht="27" customHeight="1" x14ac:dyDescent="0.25">
      <c r="A434" s="54" t="s">
        <v>700</v>
      </c>
      <c r="B434" s="54" t="s">
        <v>701</v>
      </c>
      <c r="C434" s="31">
        <v>4301011867</v>
      </c>
      <c r="D434" s="650">
        <v>4680115884830</v>
      </c>
      <c r="E434" s="651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6"/>
      <c r="R434" s="656"/>
      <c r="S434" s="656"/>
      <c r="T434" s="657"/>
      <c r="U434" s="34"/>
      <c r="V434" s="34"/>
      <c r="W434" s="35" t="s">
        <v>67</v>
      </c>
      <c r="X434" s="643">
        <v>665</v>
      </c>
      <c r="Y434" s="644">
        <f t="shared" si="68"/>
        <v>675</v>
      </c>
      <c r="Z434" s="36">
        <f>IFERROR(IF(Y434=0,"",ROUNDUP(Y434/H434,0)*0.02175),"")</f>
        <v>0.9787499999999999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685.8366666666667</v>
      </c>
      <c r="BN434" s="64">
        <f t="shared" si="70"/>
        <v>696.15</v>
      </c>
      <c r="BO434" s="64">
        <f t="shared" si="71"/>
        <v>0.92361111111111116</v>
      </c>
      <c r="BP434" s="64">
        <f t="shared" si="72"/>
        <v>0.9375</v>
      </c>
    </row>
    <row r="435" spans="1:68" ht="27" hidden="1" customHeight="1" x14ac:dyDescent="0.25">
      <c r="A435" s="54" t="s">
        <v>703</v>
      </c>
      <c r="B435" s="54" t="s">
        <v>704</v>
      </c>
      <c r="C435" s="31">
        <v>4301012356</v>
      </c>
      <c r="D435" s="650">
        <v>4680115889231</v>
      </c>
      <c r="E435" s="651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43">
        <v>0</v>
      </c>
      <c r="Y435" s="644">
        <f t="shared" si="68"/>
        <v>0</v>
      </c>
      <c r="Z435" s="36" t="str">
        <f>IFERROR(IF(Y435=0,"",ROUNDUP(Y435/H435,0)*0.02175),"")</f>
        <v/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4301011433</v>
      </c>
      <c r="D436" s="650">
        <v>4680115882638</v>
      </c>
      <c r="E436" s="651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43">
        <v>0</v>
      </c>
      <c r="Y436" s="644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4301011952</v>
      </c>
      <c r="D437" s="650">
        <v>4680115884922</v>
      </c>
      <c r="E437" s="651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6"/>
      <c r="R437" s="656"/>
      <c r="S437" s="656"/>
      <c r="T437" s="657"/>
      <c r="U437" s="34"/>
      <c r="V437" s="34"/>
      <c r="W437" s="35" t="s">
        <v>67</v>
      </c>
      <c r="X437" s="643">
        <v>0</v>
      </c>
      <c r="Y437" s="644">
        <f t="shared" si="68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0</v>
      </c>
      <c r="BN437" s="64">
        <f t="shared" si="70"/>
        <v>0</v>
      </c>
      <c r="BO437" s="64">
        <f t="shared" si="71"/>
        <v>0</v>
      </c>
      <c r="BP437" s="64">
        <f t="shared" si="72"/>
        <v>0</v>
      </c>
    </row>
    <row r="438" spans="1:68" ht="37.5" hidden="1" customHeight="1" x14ac:dyDescent="0.25">
      <c r="A438" s="54" t="s">
        <v>712</v>
      </c>
      <c r="B438" s="54" t="s">
        <v>713</v>
      </c>
      <c r="C438" s="31">
        <v>4301011868</v>
      </c>
      <c r="D438" s="650">
        <v>4680115884861</v>
      </c>
      <c r="E438" s="651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6"/>
      <c r="R438" s="656"/>
      <c r="S438" s="656"/>
      <c r="T438" s="657"/>
      <c r="U438" s="34"/>
      <c r="V438" s="34"/>
      <c r="W438" s="35" t="s">
        <v>67</v>
      </c>
      <c r="X438" s="643">
        <v>0</v>
      </c>
      <c r="Y438" s="644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x14ac:dyDescent="0.2">
      <c r="A439" s="652"/>
      <c r="B439" s="653"/>
      <c r="C439" s="653"/>
      <c r="D439" s="653"/>
      <c r="E439" s="653"/>
      <c r="F439" s="653"/>
      <c r="G439" s="653"/>
      <c r="H439" s="653"/>
      <c r="I439" s="653"/>
      <c r="J439" s="653"/>
      <c r="K439" s="653"/>
      <c r="L439" s="653"/>
      <c r="M439" s="653"/>
      <c r="N439" s="653"/>
      <c r="O439" s="654"/>
      <c r="P439" s="647" t="s">
        <v>72</v>
      </c>
      <c r="Q439" s="648"/>
      <c r="R439" s="648"/>
      <c r="S439" s="648"/>
      <c r="T439" s="648"/>
      <c r="U439" s="648"/>
      <c r="V439" s="649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95.733333333333334</v>
      </c>
      <c r="Y439" s="645">
        <f>IFERROR(Y431/H431,"0")+IFERROR(Y432/H432,"0")+IFERROR(Y433/H433,"0")+IFERROR(Y434/H434,"0")+IFERROR(Y435/H435,"0")+IFERROR(Y436/H436,"0")+IFERROR(Y437/H437,"0")+IFERROR(Y438/H438,"0")</f>
        <v>97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2.10975</v>
      </c>
      <c r="AA439" s="646"/>
      <c r="AB439" s="646"/>
      <c r="AC439" s="646"/>
    </row>
    <row r="440" spans="1:68" x14ac:dyDescent="0.2">
      <c r="A440" s="653"/>
      <c r="B440" s="653"/>
      <c r="C440" s="653"/>
      <c r="D440" s="653"/>
      <c r="E440" s="653"/>
      <c r="F440" s="653"/>
      <c r="G440" s="653"/>
      <c r="H440" s="653"/>
      <c r="I440" s="653"/>
      <c r="J440" s="653"/>
      <c r="K440" s="653"/>
      <c r="L440" s="653"/>
      <c r="M440" s="653"/>
      <c r="N440" s="653"/>
      <c r="O440" s="654"/>
      <c r="P440" s="647" t="s">
        <v>72</v>
      </c>
      <c r="Q440" s="648"/>
      <c r="R440" s="648"/>
      <c r="S440" s="648"/>
      <c r="T440" s="648"/>
      <c r="U440" s="648"/>
      <c r="V440" s="649"/>
      <c r="W440" s="37" t="s">
        <v>67</v>
      </c>
      <c r="X440" s="645">
        <f>IFERROR(SUM(X431:X438),"0")</f>
        <v>1436</v>
      </c>
      <c r="Y440" s="645">
        <f>IFERROR(SUM(Y431:Y438),"0")</f>
        <v>1455</v>
      </c>
      <c r="Z440" s="37"/>
      <c r="AA440" s="646"/>
      <c r="AB440" s="646"/>
      <c r="AC440" s="646"/>
    </row>
    <row r="441" spans="1:68" ht="14.25" hidden="1" customHeight="1" x14ac:dyDescent="0.25">
      <c r="A441" s="663" t="s">
        <v>148</v>
      </c>
      <c r="B441" s="653"/>
      <c r="C441" s="653"/>
      <c r="D441" s="653"/>
      <c r="E441" s="653"/>
      <c r="F441" s="653"/>
      <c r="G441" s="653"/>
      <c r="H441" s="653"/>
      <c r="I441" s="653"/>
      <c r="J441" s="653"/>
      <c r="K441" s="653"/>
      <c r="L441" s="653"/>
      <c r="M441" s="653"/>
      <c r="N441" s="653"/>
      <c r="O441" s="653"/>
      <c r="P441" s="653"/>
      <c r="Q441" s="653"/>
      <c r="R441" s="653"/>
      <c r="S441" s="653"/>
      <c r="T441" s="653"/>
      <c r="U441" s="653"/>
      <c r="V441" s="653"/>
      <c r="W441" s="653"/>
      <c r="X441" s="653"/>
      <c r="Y441" s="653"/>
      <c r="Z441" s="653"/>
      <c r="AA441" s="639"/>
      <c r="AB441" s="639"/>
      <c r="AC441" s="639"/>
    </row>
    <row r="442" spans="1:68" ht="27" customHeight="1" x14ac:dyDescent="0.25">
      <c r="A442" s="54" t="s">
        <v>715</v>
      </c>
      <c r="B442" s="54" t="s">
        <v>716</v>
      </c>
      <c r="C442" s="31">
        <v>4301020178</v>
      </c>
      <c r="D442" s="650">
        <v>4607091383980</v>
      </c>
      <c r="E442" s="651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6"/>
      <c r="R442" s="656"/>
      <c r="S442" s="656"/>
      <c r="T442" s="657"/>
      <c r="U442" s="34"/>
      <c r="V442" s="34"/>
      <c r="W442" s="35" t="s">
        <v>67</v>
      </c>
      <c r="X442" s="643">
        <v>855</v>
      </c>
      <c r="Y442" s="644">
        <f>IFERROR(IF(X442="",0,CEILING((X442/$H442),1)*$H442),"")</f>
        <v>855</v>
      </c>
      <c r="Z442" s="36">
        <f>IFERROR(IF(Y442=0,"",ROUNDUP(Y442/H442,0)*0.02175),"")</f>
        <v>1.2397499999999999</v>
      </c>
      <c r="AA442" s="56"/>
      <c r="AB442" s="57"/>
      <c r="AC442" s="531" t="s">
        <v>717</v>
      </c>
      <c r="AG442" s="64"/>
      <c r="AJ442" s="68"/>
      <c r="AK442" s="68">
        <v>0</v>
      </c>
      <c r="BB442" s="532" t="s">
        <v>1</v>
      </c>
      <c r="BM442" s="64">
        <f>IFERROR(X442*I442/H442,"0")</f>
        <v>881.79000000000008</v>
      </c>
      <c r="BN442" s="64">
        <f>IFERROR(Y442*I442/H442,"0")</f>
        <v>881.79000000000008</v>
      </c>
      <c r="BO442" s="64">
        <f>IFERROR(1/J442*(X442/H442),"0")</f>
        <v>1.1875</v>
      </c>
      <c r="BP442" s="64">
        <f>IFERROR(1/J442*(Y442/H442),"0")</f>
        <v>1.1875</v>
      </c>
    </row>
    <row r="443" spans="1:68" ht="27" hidden="1" customHeight="1" x14ac:dyDescent="0.25">
      <c r="A443" s="54" t="s">
        <v>718</v>
      </c>
      <c r="B443" s="54" t="s">
        <v>719</v>
      </c>
      <c r="C443" s="31">
        <v>4301020355</v>
      </c>
      <c r="D443" s="650">
        <v>4680115888425</v>
      </c>
      <c r="E443" s="651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6"/>
      <c r="R443" s="656"/>
      <c r="S443" s="656"/>
      <c r="T443" s="657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4301020179</v>
      </c>
      <c r="D444" s="650">
        <v>4607091384178</v>
      </c>
      <c r="E444" s="651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6"/>
      <c r="R444" s="656"/>
      <c r="S444" s="656"/>
      <c r="T444" s="657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2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47" t="s">
        <v>72</v>
      </c>
      <c r="Q445" s="648"/>
      <c r="R445" s="648"/>
      <c r="S445" s="648"/>
      <c r="T445" s="648"/>
      <c r="U445" s="648"/>
      <c r="V445" s="649"/>
      <c r="W445" s="37" t="s">
        <v>73</v>
      </c>
      <c r="X445" s="645">
        <f>IFERROR(X442/H442,"0")+IFERROR(X443/H443,"0")+IFERROR(X444/H444,"0")</f>
        <v>57</v>
      </c>
      <c r="Y445" s="645">
        <f>IFERROR(Y442/H442,"0")+IFERROR(Y443/H443,"0")+IFERROR(Y444/H444,"0")</f>
        <v>57</v>
      </c>
      <c r="Z445" s="645">
        <f>IFERROR(IF(Z442="",0,Z442),"0")+IFERROR(IF(Z443="",0,Z443),"0")+IFERROR(IF(Z444="",0,Z444),"0")</f>
        <v>1.2397499999999999</v>
      </c>
      <c r="AA445" s="646"/>
      <c r="AB445" s="646"/>
      <c r="AC445" s="646"/>
    </row>
    <row r="446" spans="1:68" x14ac:dyDescent="0.2">
      <c r="A446" s="653"/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4"/>
      <c r="P446" s="647" t="s">
        <v>72</v>
      </c>
      <c r="Q446" s="648"/>
      <c r="R446" s="648"/>
      <c r="S446" s="648"/>
      <c r="T446" s="648"/>
      <c r="U446" s="648"/>
      <c r="V446" s="649"/>
      <c r="W446" s="37" t="s">
        <v>67</v>
      </c>
      <c r="X446" s="645">
        <f>IFERROR(SUM(X442:X444),"0")</f>
        <v>855</v>
      </c>
      <c r="Y446" s="645">
        <f>IFERROR(SUM(Y442:Y444),"0")</f>
        <v>855</v>
      </c>
      <c r="Z446" s="37"/>
      <c r="AA446" s="646"/>
      <c r="AB446" s="646"/>
      <c r="AC446" s="646"/>
    </row>
    <row r="447" spans="1:68" ht="14.25" hidden="1" customHeight="1" x14ac:dyDescent="0.25">
      <c r="A447" s="663" t="s">
        <v>74</v>
      </c>
      <c r="B447" s="653"/>
      <c r="C447" s="653"/>
      <c r="D447" s="653"/>
      <c r="E447" s="653"/>
      <c r="F447" s="653"/>
      <c r="G447" s="653"/>
      <c r="H447" s="653"/>
      <c r="I447" s="653"/>
      <c r="J447" s="653"/>
      <c r="K447" s="653"/>
      <c r="L447" s="653"/>
      <c r="M447" s="653"/>
      <c r="N447" s="653"/>
      <c r="O447" s="653"/>
      <c r="P447" s="653"/>
      <c r="Q447" s="653"/>
      <c r="R447" s="653"/>
      <c r="S447" s="653"/>
      <c r="T447" s="653"/>
      <c r="U447" s="653"/>
      <c r="V447" s="653"/>
      <c r="W447" s="653"/>
      <c r="X447" s="653"/>
      <c r="Y447" s="653"/>
      <c r="Z447" s="653"/>
      <c r="AA447" s="639"/>
      <c r="AB447" s="639"/>
      <c r="AC447" s="639"/>
    </row>
    <row r="448" spans="1:68" ht="27" hidden="1" customHeight="1" x14ac:dyDescent="0.25">
      <c r="A448" s="54" t="s">
        <v>724</v>
      </c>
      <c r="B448" s="54" t="s">
        <v>725</v>
      </c>
      <c r="C448" s="31">
        <v>4301051903</v>
      </c>
      <c r="D448" s="650">
        <v>4607091383928</v>
      </c>
      <c r="E448" s="651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6"/>
      <c r="R448" s="656"/>
      <c r="S448" s="656"/>
      <c r="T448" s="657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726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727</v>
      </c>
      <c r="B449" s="54" t="s">
        <v>728</v>
      </c>
      <c r="C449" s="31">
        <v>4301051897</v>
      </c>
      <c r="D449" s="650">
        <v>4607091384260</v>
      </c>
      <c r="E449" s="651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6"/>
      <c r="R449" s="656"/>
      <c r="S449" s="656"/>
      <c r="T449" s="657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730</v>
      </c>
      <c r="B450" s="54" t="s">
        <v>731</v>
      </c>
      <c r="C450" s="31">
        <v>4301052220</v>
      </c>
      <c r="D450" s="650">
        <v>4680115889538</v>
      </c>
      <c r="E450" s="651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6"/>
      <c r="R450" s="656"/>
      <c r="S450" s="656"/>
      <c r="T450" s="657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2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47" t="s">
        <v>72</v>
      </c>
      <c r="Q451" s="648"/>
      <c r="R451" s="648"/>
      <c r="S451" s="648"/>
      <c r="T451" s="648"/>
      <c r="U451" s="648"/>
      <c r="V451" s="649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3"/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4"/>
      <c r="P452" s="647" t="s">
        <v>72</v>
      </c>
      <c r="Q452" s="648"/>
      <c r="R452" s="648"/>
      <c r="S452" s="648"/>
      <c r="T452" s="648"/>
      <c r="U452" s="648"/>
      <c r="V452" s="649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63" t="s">
        <v>167</v>
      </c>
      <c r="B453" s="653"/>
      <c r="C453" s="653"/>
      <c r="D453" s="653"/>
      <c r="E453" s="653"/>
      <c r="F453" s="653"/>
      <c r="G453" s="653"/>
      <c r="H453" s="653"/>
      <c r="I453" s="653"/>
      <c r="J453" s="653"/>
      <c r="K453" s="653"/>
      <c r="L453" s="653"/>
      <c r="M453" s="653"/>
      <c r="N453" s="653"/>
      <c r="O453" s="653"/>
      <c r="P453" s="653"/>
      <c r="Q453" s="653"/>
      <c r="R453" s="653"/>
      <c r="S453" s="653"/>
      <c r="T453" s="653"/>
      <c r="U453" s="653"/>
      <c r="V453" s="653"/>
      <c r="W453" s="653"/>
      <c r="X453" s="653"/>
      <c r="Y453" s="653"/>
      <c r="Z453" s="653"/>
      <c r="AA453" s="639"/>
      <c r="AB453" s="639"/>
      <c r="AC453" s="639"/>
    </row>
    <row r="454" spans="1:68" ht="27" hidden="1" customHeight="1" x14ac:dyDescent="0.25">
      <c r="A454" s="54" t="s">
        <v>733</v>
      </c>
      <c r="B454" s="54" t="s">
        <v>734</v>
      </c>
      <c r="C454" s="31">
        <v>4301060537</v>
      </c>
      <c r="D454" s="650">
        <v>4680115889545</v>
      </c>
      <c r="E454" s="651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735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736</v>
      </c>
      <c r="B455" s="54" t="s">
        <v>737</v>
      </c>
      <c r="C455" s="31">
        <v>4301060524</v>
      </c>
      <c r="D455" s="650">
        <v>4607091384673</v>
      </c>
      <c r="E455" s="651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6"/>
      <c r="R455" s="656"/>
      <c r="S455" s="656"/>
      <c r="T455" s="657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47" t="s">
        <v>72</v>
      </c>
      <c r="Q456" s="648"/>
      <c r="R456" s="648"/>
      <c r="S456" s="648"/>
      <c r="T456" s="648"/>
      <c r="U456" s="648"/>
      <c r="V456" s="649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47" t="s">
        <v>72</v>
      </c>
      <c r="Q457" s="648"/>
      <c r="R457" s="648"/>
      <c r="S457" s="648"/>
      <c r="T457" s="648"/>
      <c r="U457" s="648"/>
      <c r="V457" s="649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66" t="s">
        <v>739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8"/>
      <c r="AB458" s="638"/>
      <c r="AC458" s="638"/>
    </row>
    <row r="459" spans="1:68" ht="14.25" hidden="1" customHeight="1" x14ac:dyDescent="0.25">
      <c r="A459" s="663" t="s">
        <v>111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39"/>
      <c r="AB459" s="639"/>
      <c r="AC459" s="639"/>
    </row>
    <row r="460" spans="1:68" ht="27" hidden="1" customHeight="1" x14ac:dyDescent="0.25">
      <c r="A460" s="54" t="s">
        <v>740</v>
      </c>
      <c r="B460" s="54" t="s">
        <v>741</v>
      </c>
      <c r="C460" s="31">
        <v>4301011875</v>
      </c>
      <c r="D460" s="650">
        <v>4680115884885</v>
      </c>
      <c r="E460" s="651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6"/>
      <c r="R460" s="656"/>
      <c r="S460" s="656"/>
      <c r="T460" s="657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742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743</v>
      </c>
      <c r="B461" s="54" t="s">
        <v>744</v>
      </c>
      <c r="C461" s="31">
        <v>4301011871</v>
      </c>
      <c r="D461" s="650">
        <v>4680115884908</v>
      </c>
      <c r="E461" s="651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6"/>
      <c r="R461" s="656"/>
      <c r="S461" s="656"/>
      <c r="T461" s="657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742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2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47" t="s">
        <v>72</v>
      </c>
      <c r="Q462" s="648"/>
      <c r="R462" s="648"/>
      <c r="S462" s="648"/>
      <c r="T462" s="648"/>
      <c r="U462" s="648"/>
      <c r="V462" s="649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3"/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4"/>
      <c r="P463" s="647" t="s">
        <v>72</v>
      </c>
      <c r="Q463" s="648"/>
      <c r="R463" s="648"/>
      <c r="S463" s="648"/>
      <c r="T463" s="648"/>
      <c r="U463" s="648"/>
      <c r="V463" s="649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63" t="s">
        <v>62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9"/>
      <c r="AB464" s="639"/>
      <c r="AC464" s="639"/>
    </row>
    <row r="465" spans="1:68" ht="27" hidden="1" customHeight="1" x14ac:dyDescent="0.25">
      <c r="A465" s="54" t="s">
        <v>745</v>
      </c>
      <c r="B465" s="54" t="s">
        <v>746</v>
      </c>
      <c r="C465" s="31">
        <v>4301031457</v>
      </c>
      <c r="D465" s="650">
        <v>4607091384802</v>
      </c>
      <c r="E465" s="651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747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2"/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4"/>
      <c r="P466" s="647" t="s">
        <v>72</v>
      </c>
      <c r="Q466" s="648"/>
      <c r="R466" s="648"/>
      <c r="S466" s="648"/>
      <c r="T466" s="648"/>
      <c r="U466" s="648"/>
      <c r="V466" s="649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3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47" t="s">
        <v>72</v>
      </c>
      <c r="Q467" s="648"/>
      <c r="R467" s="648"/>
      <c r="S467" s="648"/>
      <c r="T467" s="648"/>
      <c r="U467" s="648"/>
      <c r="V467" s="649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63" t="s">
        <v>74</v>
      </c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3"/>
      <c r="P468" s="653"/>
      <c r="Q468" s="653"/>
      <c r="R468" s="653"/>
      <c r="S468" s="653"/>
      <c r="T468" s="653"/>
      <c r="U468" s="653"/>
      <c r="V468" s="653"/>
      <c r="W468" s="653"/>
      <c r="X468" s="653"/>
      <c r="Y468" s="653"/>
      <c r="Z468" s="653"/>
      <c r="AA468" s="639"/>
      <c r="AB468" s="639"/>
      <c r="AC468" s="639"/>
    </row>
    <row r="469" spans="1:68" ht="27" hidden="1" customHeight="1" x14ac:dyDescent="0.25">
      <c r="A469" s="54" t="s">
        <v>748</v>
      </c>
      <c r="B469" s="54" t="s">
        <v>749</v>
      </c>
      <c r="C469" s="31">
        <v>4301051899</v>
      </c>
      <c r="D469" s="650">
        <v>4607091384246</v>
      </c>
      <c r="E469" s="651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750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751</v>
      </c>
      <c r="B470" s="54" t="s">
        <v>752</v>
      </c>
      <c r="C470" s="31">
        <v>4301051660</v>
      </c>
      <c r="D470" s="650">
        <v>4607091384253</v>
      </c>
      <c r="E470" s="651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6"/>
      <c r="R470" s="656"/>
      <c r="S470" s="656"/>
      <c r="T470" s="657"/>
      <c r="U470" s="34"/>
      <c r="V470" s="34"/>
      <c r="W470" s="35" t="s">
        <v>67</v>
      </c>
      <c r="X470" s="643">
        <v>15</v>
      </c>
      <c r="Y470" s="644">
        <f>IFERROR(IF(X470="",0,CEILING((X470/$H470),1)*$H470),"")</f>
        <v>16.8</v>
      </c>
      <c r="Z470" s="36">
        <f>IFERROR(IF(Y470=0,"",ROUNDUP(Y470/H470,0)*0.00651),"")</f>
        <v>4.5569999999999999E-2</v>
      </c>
      <c r="AA470" s="56"/>
      <c r="AB470" s="57"/>
      <c r="AC470" s="555" t="s">
        <v>750</v>
      </c>
      <c r="AG470" s="64"/>
      <c r="AJ470" s="68"/>
      <c r="AK470" s="68">
        <v>0</v>
      </c>
      <c r="BB470" s="556" t="s">
        <v>1</v>
      </c>
      <c r="BM470" s="64">
        <f>IFERROR(X470*I470/H470,"0")</f>
        <v>16.650000000000002</v>
      </c>
      <c r="BN470" s="64">
        <f>IFERROR(Y470*I470/H470,"0")</f>
        <v>18.648000000000003</v>
      </c>
      <c r="BO470" s="64">
        <f>IFERROR(1/J470*(X470/H470),"0")</f>
        <v>3.4340659340659344E-2</v>
      </c>
      <c r="BP470" s="64">
        <f>IFERROR(1/J470*(Y470/H470),"0")</f>
        <v>3.8461538461538471E-2</v>
      </c>
    </row>
    <row r="471" spans="1:68" ht="27" hidden="1" customHeight="1" x14ac:dyDescent="0.25">
      <c r="A471" s="54" t="s">
        <v>751</v>
      </c>
      <c r="B471" s="54" t="s">
        <v>753</v>
      </c>
      <c r="C471" s="31">
        <v>4301052069</v>
      </c>
      <c r="D471" s="650">
        <v>4607091384253</v>
      </c>
      <c r="E471" s="651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6"/>
      <c r="R471" s="656"/>
      <c r="S471" s="656"/>
      <c r="T471" s="657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754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2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47" t="s">
        <v>72</v>
      </c>
      <c r="Q472" s="648"/>
      <c r="R472" s="648"/>
      <c r="S472" s="648"/>
      <c r="T472" s="648"/>
      <c r="U472" s="648"/>
      <c r="V472" s="649"/>
      <c r="W472" s="37" t="s">
        <v>73</v>
      </c>
      <c r="X472" s="645">
        <f>IFERROR(X469/H469,"0")+IFERROR(X470/H470,"0")+IFERROR(X471/H471,"0")</f>
        <v>6.25</v>
      </c>
      <c r="Y472" s="645">
        <f>IFERROR(Y469/H469,"0")+IFERROR(Y470/H470,"0")+IFERROR(Y471/H471,"0")</f>
        <v>7.0000000000000009</v>
      </c>
      <c r="Z472" s="645">
        <f>IFERROR(IF(Z469="",0,Z469),"0")+IFERROR(IF(Z470="",0,Z470),"0")+IFERROR(IF(Z471="",0,Z471),"0")</f>
        <v>4.5569999999999999E-2</v>
      </c>
      <c r="AA472" s="646"/>
      <c r="AB472" s="646"/>
      <c r="AC472" s="646"/>
    </row>
    <row r="473" spans="1:68" x14ac:dyDescent="0.2">
      <c r="A473" s="653"/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4"/>
      <c r="P473" s="647" t="s">
        <v>72</v>
      </c>
      <c r="Q473" s="648"/>
      <c r="R473" s="648"/>
      <c r="S473" s="648"/>
      <c r="T473" s="648"/>
      <c r="U473" s="648"/>
      <c r="V473" s="649"/>
      <c r="W473" s="37" t="s">
        <v>67</v>
      </c>
      <c r="X473" s="645">
        <f>IFERROR(SUM(X469:X471),"0")</f>
        <v>15</v>
      </c>
      <c r="Y473" s="645">
        <f>IFERROR(SUM(Y469:Y471),"0")</f>
        <v>16.8</v>
      </c>
      <c r="Z473" s="37"/>
      <c r="AA473" s="646"/>
      <c r="AB473" s="646"/>
      <c r="AC473" s="646"/>
    </row>
    <row r="474" spans="1:68" ht="27.75" hidden="1" customHeight="1" x14ac:dyDescent="0.2">
      <c r="A474" s="661" t="s">
        <v>755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66" t="s">
        <v>756</v>
      </c>
      <c r="B475" s="653"/>
      <c r="C475" s="653"/>
      <c r="D475" s="653"/>
      <c r="E475" s="653"/>
      <c r="F475" s="653"/>
      <c r="G475" s="653"/>
      <c r="H475" s="653"/>
      <c r="I475" s="653"/>
      <c r="J475" s="653"/>
      <c r="K475" s="653"/>
      <c r="L475" s="653"/>
      <c r="M475" s="653"/>
      <c r="N475" s="653"/>
      <c r="O475" s="653"/>
      <c r="P475" s="653"/>
      <c r="Q475" s="653"/>
      <c r="R475" s="653"/>
      <c r="S475" s="653"/>
      <c r="T475" s="653"/>
      <c r="U475" s="653"/>
      <c r="V475" s="653"/>
      <c r="W475" s="653"/>
      <c r="X475" s="653"/>
      <c r="Y475" s="653"/>
      <c r="Z475" s="653"/>
      <c r="AA475" s="638"/>
      <c r="AB475" s="638"/>
      <c r="AC475" s="638"/>
    </row>
    <row r="476" spans="1:68" ht="14.25" hidden="1" customHeight="1" x14ac:dyDescent="0.25">
      <c r="A476" s="663" t="s">
        <v>62</v>
      </c>
      <c r="B476" s="653"/>
      <c r="C476" s="653"/>
      <c r="D476" s="653"/>
      <c r="E476" s="653"/>
      <c r="F476" s="653"/>
      <c r="G476" s="653"/>
      <c r="H476" s="653"/>
      <c r="I476" s="653"/>
      <c r="J476" s="653"/>
      <c r="K476" s="653"/>
      <c r="L476" s="653"/>
      <c r="M476" s="653"/>
      <c r="N476" s="653"/>
      <c r="O476" s="653"/>
      <c r="P476" s="653"/>
      <c r="Q476" s="653"/>
      <c r="R476" s="653"/>
      <c r="S476" s="653"/>
      <c r="T476" s="653"/>
      <c r="U476" s="653"/>
      <c r="V476" s="653"/>
      <c r="W476" s="653"/>
      <c r="X476" s="653"/>
      <c r="Y476" s="653"/>
      <c r="Z476" s="653"/>
      <c r="AA476" s="639"/>
      <c r="AB476" s="639"/>
      <c r="AC476" s="639"/>
    </row>
    <row r="477" spans="1:68" ht="27" hidden="1" customHeight="1" x14ac:dyDescent="0.25">
      <c r="A477" s="54" t="s">
        <v>757</v>
      </c>
      <c r="B477" s="54" t="s">
        <v>758</v>
      </c>
      <c r="C477" s="31">
        <v>4301031405</v>
      </c>
      <c r="D477" s="650">
        <v>4680115886100</v>
      </c>
      <c r="E477" s="651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6"/>
      <c r="R477" s="656"/>
      <c r="S477" s="656"/>
      <c r="T477" s="657"/>
      <c r="U477" s="34"/>
      <c r="V477" s="34"/>
      <c r="W477" s="35" t="s">
        <v>67</v>
      </c>
      <c r="X477" s="643">
        <v>0</v>
      </c>
      <c r="Y477" s="644">
        <f t="shared" ref="Y477:Y482" si="73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759</v>
      </c>
      <c r="AG477" s="64"/>
      <c r="AJ477" s="68"/>
      <c r="AK477" s="68">
        <v>0</v>
      </c>
      <c r="BB477" s="560" t="s">
        <v>1</v>
      </c>
      <c r="BM477" s="64">
        <f t="shared" ref="BM477:BM482" si="74">IFERROR(X477*I477/H477,"0")</f>
        <v>0</v>
      </c>
      <c r="BN477" s="64">
        <f t="shared" ref="BN477:BN482" si="75">IFERROR(Y477*I477/H477,"0")</f>
        <v>0</v>
      </c>
      <c r="BO477" s="64">
        <f t="shared" ref="BO477:BO482" si="76">IFERROR(1/J477*(X477/H477),"0")</f>
        <v>0</v>
      </c>
      <c r="BP477" s="64">
        <f t="shared" ref="BP477:BP482" si="77"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4301031402</v>
      </c>
      <c r="D478" s="650">
        <v>4680115886124</v>
      </c>
      <c r="E478" s="651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6"/>
      <c r="R478" s="656"/>
      <c r="S478" s="656"/>
      <c r="T478" s="657"/>
      <c r="U478" s="34"/>
      <c r="V478" s="34"/>
      <c r="W478" s="35" t="s">
        <v>67</v>
      </c>
      <c r="X478" s="643">
        <v>0</v>
      </c>
      <c r="Y478" s="644">
        <f t="shared" si="73"/>
        <v>0</v>
      </c>
      <c r="Z478" s="36" t="str">
        <f>IFERROR(IF(Y478=0,"",ROUNDUP(Y478/H478,0)*0.00902),"")</f>
        <v/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4301031362</v>
      </c>
      <c r="D479" s="650">
        <v>4607091384338</v>
      </c>
      <c r="E479" s="651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6"/>
      <c r="R479" s="656"/>
      <c r="S479" s="656"/>
      <c r="T479" s="657"/>
      <c r="U479" s="34"/>
      <c r="V479" s="34"/>
      <c r="W479" s="35" t="s">
        <v>67</v>
      </c>
      <c r="X479" s="643">
        <v>0</v>
      </c>
      <c r="Y479" s="644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759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4301031364</v>
      </c>
      <c r="D480" s="650">
        <v>4680115883161</v>
      </c>
      <c r="E480" s="651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6"/>
      <c r="R480" s="656"/>
      <c r="S480" s="656"/>
      <c r="T480" s="657"/>
      <c r="U480" s="34"/>
      <c r="V480" s="34"/>
      <c r="W480" s="35" t="s">
        <v>67</v>
      </c>
      <c r="X480" s="643">
        <v>0</v>
      </c>
      <c r="Y480" s="644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767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4301031358</v>
      </c>
      <c r="D481" s="650">
        <v>4607091389531</v>
      </c>
      <c r="E481" s="651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6"/>
      <c r="R481" s="656"/>
      <c r="S481" s="656"/>
      <c r="T481" s="657"/>
      <c r="U481" s="34"/>
      <c r="V481" s="34"/>
      <c r="W481" s="35" t="s">
        <v>67</v>
      </c>
      <c r="X481" s="643">
        <v>0</v>
      </c>
      <c r="Y481" s="644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37.5" hidden="1" customHeight="1" x14ac:dyDescent="0.25">
      <c r="A482" s="54" t="s">
        <v>771</v>
      </c>
      <c r="B482" s="54" t="s">
        <v>772</v>
      </c>
      <c r="C482" s="31">
        <v>4301031360</v>
      </c>
      <c r="D482" s="650">
        <v>4607091384345</v>
      </c>
      <c r="E482" s="651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6"/>
      <c r="R482" s="656"/>
      <c r="S482" s="656"/>
      <c r="T482" s="657"/>
      <c r="U482" s="34"/>
      <c r="V482" s="34"/>
      <c r="W482" s="35" t="s">
        <v>67</v>
      </c>
      <c r="X482" s="643">
        <v>0</v>
      </c>
      <c r="Y482" s="644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767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idden="1" x14ac:dyDescent="0.2">
      <c r="A483" s="652"/>
      <c r="B483" s="653"/>
      <c r="C483" s="653"/>
      <c r="D483" s="653"/>
      <c r="E483" s="653"/>
      <c r="F483" s="653"/>
      <c r="G483" s="653"/>
      <c r="H483" s="653"/>
      <c r="I483" s="653"/>
      <c r="J483" s="653"/>
      <c r="K483" s="653"/>
      <c r="L483" s="653"/>
      <c r="M483" s="653"/>
      <c r="N483" s="653"/>
      <c r="O483" s="654"/>
      <c r="P483" s="647" t="s">
        <v>72</v>
      </c>
      <c r="Q483" s="648"/>
      <c r="R483" s="648"/>
      <c r="S483" s="648"/>
      <c r="T483" s="648"/>
      <c r="U483" s="648"/>
      <c r="V483" s="649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3"/>
      <c r="B484" s="653"/>
      <c r="C484" s="653"/>
      <c r="D484" s="653"/>
      <c r="E484" s="653"/>
      <c r="F484" s="653"/>
      <c r="G484" s="653"/>
      <c r="H484" s="653"/>
      <c r="I484" s="653"/>
      <c r="J484" s="653"/>
      <c r="K484" s="653"/>
      <c r="L484" s="653"/>
      <c r="M484" s="653"/>
      <c r="N484" s="653"/>
      <c r="O484" s="654"/>
      <c r="P484" s="647" t="s">
        <v>72</v>
      </c>
      <c r="Q484" s="648"/>
      <c r="R484" s="648"/>
      <c r="S484" s="648"/>
      <c r="T484" s="648"/>
      <c r="U484" s="648"/>
      <c r="V484" s="649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63" t="s">
        <v>74</v>
      </c>
      <c r="B485" s="653"/>
      <c r="C485" s="653"/>
      <c r="D485" s="653"/>
      <c r="E485" s="653"/>
      <c r="F485" s="653"/>
      <c r="G485" s="653"/>
      <c r="H485" s="653"/>
      <c r="I485" s="653"/>
      <c r="J485" s="653"/>
      <c r="K485" s="653"/>
      <c r="L485" s="653"/>
      <c r="M485" s="653"/>
      <c r="N485" s="653"/>
      <c r="O485" s="653"/>
      <c r="P485" s="653"/>
      <c r="Q485" s="653"/>
      <c r="R485" s="653"/>
      <c r="S485" s="653"/>
      <c r="T485" s="653"/>
      <c r="U485" s="653"/>
      <c r="V485" s="653"/>
      <c r="W485" s="653"/>
      <c r="X485" s="653"/>
      <c r="Y485" s="653"/>
      <c r="Z485" s="653"/>
      <c r="AA485" s="639"/>
      <c r="AB485" s="639"/>
      <c r="AC485" s="639"/>
    </row>
    <row r="486" spans="1:68" ht="27" hidden="1" customHeight="1" x14ac:dyDescent="0.25">
      <c r="A486" s="54" t="s">
        <v>773</v>
      </c>
      <c r="B486" s="54" t="s">
        <v>774</v>
      </c>
      <c r="C486" s="31">
        <v>4301051284</v>
      </c>
      <c r="D486" s="650">
        <v>4607091384352</v>
      </c>
      <c r="E486" s="651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775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776</v>
      </c>
      <c r="B487" s="54" t="s">
        <v>777</v>
      </c>
      <c r="C487" s="31">
        <v>4301051431</v>
      </c>
      <c r="D487" s="650">
        <v>4607091389654</v>
      </c>
      <c r="E487" s="651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6"/>
      <c r="R487" s="656"/>
      <c r="S487" s="656"/>
      <c r="T487" s="657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47" t="s">
        <v>72</v>
      </c>
      <c r="Q488" s="648"/>
      <c r="R488" s="648"/>
      <c r="S488" s="648"/>
      <c r="T488" s="648"/>
      <c r="U488" s="648"/>
      <c r="V488" s="649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47" t="s">
        <v>72</v>
      </c>
      <c r="Q489" s="648"/>
      <c r="R489" s="648"/>
      <c r="S489" s="648"/>
      <c r="T489" s="648"/>
      <c r="U489" s="648"/>
      <c r="V489" s="649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6" t="s">
        <v>779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8"/>
      <c r="AB490" s="638"/>
      <c r="AC490" s="638"/>
    </row>
    <row r="491" spans="1:68" ht="14.25" hidden="1" customHeight="1" x14ac:dyDescent="0.25">
      <c r="A491" s="663" t="s">
        <v>148</v>
      </c>
      <c r="B491" s="653"/>
      <c r="C491" s="653"/>
      <c r="D491" s="653"/>
      <c r="E491" s="653"/>
      <c r="F491" s="653"/>
      <c r="G491" s="653"/>
      <c r="H491" s="653"/>
      <c r="I491" s="653"/>
      <c r="J491" s="653"/>
      <c r="K491" s="653"/>
      <c r="L491" s="653"/>
      <c r="M491" s="653"/>
      <c r="N491" s="653"/>
      <c r="O491" s="653"/>
      <c r="P491" s="653"/>
      <c r="Q491" s="653"/>
      <c r="R491" s="653"/>
      <c r="S491" s="653"/>
      <c r="T491" s="653"/>
      <c r="U491" s="653"/>
      <c r="V491" s="653"/>
      <c r="W491" s="653"/>
      <c r="X491" s="653"/>
      <c r="Y491" s="653"/>
      <c r="Z491" s="653"/>
      <c r="AA491" s="639"/>
      <c r="AB491" s="639"/>
      <c r="AC491" s="639"/>
    </row>
    <row r="492" spans="1:68" ht="27" hidden="1" customHeight="1" x14ac:dyDescent="0.25">
      <c r="A492" s="54" t="s">
        <v>780</v>
      </c>
      <c r="B492" s="54" t="s">
        <v>781</v>
      </c>
      <c r="C492" s="31">
        <v>4301020416</v>
      </c>
      <c r="D492" s="650">
        <v>4680115885240</v>
      </c>
      <c r="E492" s="651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6"/>
      <c r="R492" s="656"/>
      <c r="S492" s="656"/>
      <c r="T492" s="657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782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2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47" t="s">
        <v>72</v>
      </c>
      <c r="Q493" s="648"/>
      <c r="R493" s="648"/>
      <c r="S493" s="648"/>
      <c r="T493" s="648"/>
      <c r="U493" s="648"/>
      <c r="V493" s="649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3"/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4"/>
      <c r="P494" s="647" t="s">
        <v>72</v>
      </c>
      <c r="Q494" s="648"/>
      <c r="R494" s="648"/>
      <c r="S494" s="648"/>
      <c r="T494" s="648"/>
      <c r="U494" s="648"/>
      <c r="V494" s="649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63" t="s">
        <v>62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9"/>
      <c r="AB495" s="639"/>
      <c r="AC495" s="639"/>
    </row>
    <row r="496" spans="1:68" ht="27" hidden="1" customHeight="1" x14ac:dyDescent="0.25">
      <c r="A496" s="54" t="s">
        <v>783</v>
      </c>
      <c r="B496" s="54" t="s">
        <v>784</v>
      </c>
      <c r="C496" s="31">
        <v>4301031407</v>
      </c>
      <c r="D496" s="650">
        <v>4680115886094</v>
      </c>
      <c r="E496" s="651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786</v>
      </c>
      <c r="B497" s="54" t="s">
        <v>787</v>
      </c>
      <c r="C497" s="31">
        <v>4301031373</v>
      </c>
      <c r="D497" s="650">
        <v>4680115880771</v>
      </c>
      <c r="E497" s="651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6"/>
      <c r="R497" s="656"/>
      <c r="S497" s="656"/>
      <c r="T497" s="657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4301031359</v>
      </c>
      <c r="D498" s="650">
        <v>4607091389500</v>
      </c>
      <c r="E498" s="651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6"/>
      <c r="R498" s="656"/>
      <c r="S498" s="656"/>
      <c r="T498" s="657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788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2"/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4"/>
      <c r="P499" s="647" t="s">
        <v>72</v>
      </c>
      <c r="Q499" s="648"/>
      <c r="R499" s="648"/>
      <c r="S499" s="648"/>
      <c r="T499" s="648"/>
      <c r="U499" s="648"/>
      <c r="V499" s="649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3"/>
      <c r="B500" s="653"/>
      <c r="C500" s="653"/>
      <c r="D500" s="653"/>
      <c r="E500" s="653"/>
      <c r="F500" s="653"/>
      <c r="G500" s="653"/>
      <c r="H500" s="653"/>
      <c r="I500" s="653"/>
      <c r="J500" s="653"/>
      <c r="K500" s="653"/>
      <c r="L500" s="653"/>
      <c r="M500" s="653"/>
      <c r="N500" s="653"/>
      <c r="O500" s="654"/>
      <c r="P500" s="647" t="s">
        <v>72</v>
      </c>
      <c r="Q500" s="648"/>
      <c r="R500" s="648"/>
      <c r="S500" s="648"/>
      <c r="T500" s="648"/>
      <c r="U500" s="648"/>
      <c r="V500" s="649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66" t="s">
        <v>791</v>
      </c>
      <c r="B502" s="653"/>
      <c r="C502" s="653"/>
      <c r="D502" s="653"/>
      <c r="E502" s="653"/>
      <c r="F502" s="653"/>
      <c r="G502" s="653"/>
      <c r="H502" s="653"/>
      <c r="I502" s="653"/>
      <c r="J502" s="653"/>
      <c r="K502" s="653"/>
      <c r="L502" s="653"/>
      <c r="M502" s="653"/>
      <c r="N502" s="653"/>
      <c r="O502" s="653"/>
      <c r="P502" s="653"/>
      <c r="Q502" s="653"/>
      <c r="R502" s="653"/>
      <c r="S502" s="653"/>
      <c r="T502" s="653"/>
      <c r="U502" s="653"/>
      <c r="V502" s="653"/>
      <c r="W502" s="653"/>
      <c r="X502" s="653"/>
      <c r="Y502" s="653"/>
      <c r="Z502" s="653"/>
      <c r="AA502" s="638"/>
      <c r="AB502" s="638"/>
      <c r="AC502" s="638"/>
    </row>
    <row r="503" spans="1:68" ht="14.25" hidden="1" customHeight="1" x14ac:dyDescent="0.25">
      <c r="A503" s="663" t="s">
        <v>111</v>
      </c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3"/>
      <c r="P503" s="653"/>
      <c r="Q503" s="653"/>
      <c r="R503" s="653"/>
      <c r="S503" s="653"/>
      <c r="T503" s="653"/>
      <c r="U503" s="653"/>
      <c r="V503" s="653"/>
      <c r="W503" s="653"/>
      <c r="X503" s="653"/>
      <c r="Y503" s="653"/>
      <c r="Z503" s="653"/>
      <c r="AA503" s="639"/>
      <c r="AB503" s="639"/>
      <c r="AC503" s="639"/>
    </row>
    <row r="504" spans="1:68" ht="27" customHeight="1" x14ac:dyDescent="0.25">
      <c r="A504" s="54" t="s">
        <v>792</v>
      </c>
      <c r="B504" s="54" t="s">
        <v>793</v>
      </c>
      <c r="C504" s="31">
        <v>4301011769</v>
      </c>
      <c r="D504" s="650">
        <v>4607091389067</v>
      </c>
      <c r="E504" s="651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6"/>
      <c r="R504" s="656"/>
      <c r="S504" s="656"/>
      <c r="T504" s="657"/>
      <c r="U504" s="34"/>
      <c r="V504" s="34"/>
      <c r="W504" s="35" t="s">
        <v>67</v>
      </c>
      <c r="X504" s="643">
        <v>231</v>
      </c>
      <c r="Y504" s="644">
        <f t="shared" ref="Y504:Y512" si="78">IFERROR(IF(X504="",0,CEILING((X504/$H504),1)*$H504),"")</f>
        <v>232.32000000000002</v>
      </c>
      <c r="Z504" s="36">
        <f t="shared" ref="Z504:Z509" si="79">IFERROR(IF(Y504=0,"",ROUNDUP(Y504/H504,0)*0.01196),"")</f>
        <v>0.52624000000000004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80">IFERROR(X504*I504/H504,"0")</f>
        <v>246.31249999999997</v>
      </c>
      <c r="BN504" s="64">
        <f t="shared" ref="BN504:BN512" si="81">IFERROR(Y504*I504/H504,"0")</f>
        <v>247.72</v>
      </c>
      <c r="BO504" s="64">
        <f t="shared" ref="BO504:BO512" si="82">IFERROR(1/J504*(X504/H504),"0")</f>
        <v>0.42067307692307693</v>
      </c>
      <c r="BP504" s="64">
        <f t="shared" ref="BP504:BP512" si="83">IFERROR(1/J504*(Y504/H504),"0")</f>
        <v>0.42307692307692313</v>
      </c>
    </row>
    <row r="505" spans="1:68" ht="16.5" hidden="1" customHeight="1" x14ac:dyDescent="0.25">
      <c r="A505" s="54" t="s">
        <v>794</v>
      </c>
      <c r="B505" s="54" t="s">
        <v>795</v>
      </c>
      <c r="C505" s="31">
        <v>4301012380</v>
      </c>
      <c r="D505" s="650">
        <v>4680115889576</v>
      </c>
      <c r="E505" s="651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6"/>
      <c r="R505" s="656"/>
      <c r="S505" s="656"/>
      <c r="T505" s="657"/>
      <c r="U505" s="34"/>
      <c r="V505" s="34"/>
      <c r="W505" s="35" t="s">
        <v>67</v>
      </c>
      <c r="X505" s="643">
        <v>0</v>
      </c>
      <c r="Y505" s="644">
        <f t="shared" si="78"/>
        <v>0</v>
      </c>
      <c r="Z505" s="36" t="str">
        <f t="shared" si="79"/>
        <v/>
      </c>
      <c r="AA505" s="56"/>
      <c r="AB505" s="57"/>
      <c r="AC505" s="585" t="s">
        <v>796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797</v>
      </c>
      <c r="B506" s="54" t="s">
        <v>798</v>
      </c>
      <c r="C506" s="31">
        <v>4301011961</v>
      </c>
      <c r="D506" s="650">
        <v>4680115885271</v>
      </c>
      <c r="E506" s="651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6"/>
      <c r="R506" s="656"/>
      <c r="S506" s="656"/>
      <c r="T506" s="657"/>
      <c r="U506" s="34"/>
      <c r="V506" s="34"/>
      <c r="W506" s="35" t="s">
        <v>67</v>
      </c>
      <c r="X506" s="643">
        <v>0</v>
      </c>
      <c r="Y506" s="644">
        <f t="shared" si="78"/>
        <v>0</v>
      </c>
      <c r="Z506" s="36" t="str">
        <f t="shared" si="79"/>
        <v/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800</v>
      </c>
      <c r="B507" s="54" t="s">
        <v>801</v>
      </c>
      <c r="C507" s="31">
        <v>4301011369</v>
      </c>
      <c r="D507" s="650">
        <v>4680115885226</v>
      </c>
      <c r="E507" s="651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6"/>
      <c r="R507" s="656"/>
      <c r="S507" s="656"/>
      <c r="T507" s="657"/>
      <c r="U507" s="34"/>
      <c r="V507" s="34"/>
      <c r="W507" s="35" t="s">
        <v>67</v>
      </c>
      <c r="X507" s="643">
        <v>688</v>
      </c>
      <c r="Y507" s="644">
        <f t="shared" si="78"/>
        <v>691.68000000000006</v>
      </c>
      <c r="Z507" s="36">
        <f t="shared" si="79"/>
        <v>1.5667599999999999</v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733.60606060606062</v>
      </c>
      <c r="BN507" s="64">
        <f t="shared" si="81"/>
        <v>737.53</v>
      </c>
      <c r="BO507" s="64">
        <f t="shared" si="82"/>
        <v>1.2529137529137528</v>
      </c>
      <c r="BP507" s="64">
        <f t="shared" si="83"/>
        <v>1.2596153846153846</v>
      </c>
    </row>
    <row r="508" spans="1:68" ht="16.5" hidden="1" customHeight="1" x14ac:dyDescent="0.25">
      <c r="A508" s="54" t="s">
        <v>803</v>
      </c>
      <c r="B508" s="54" t="s">
        <v>804</v>
      </c>
      <c r="C508" s="31">
        <v>4301011797</v>
      </c>
      <c r="D508" s="650">
        <v>4680115884502</v>
      </c>
      <c r="E508" s="651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6"/>
      <c r="R508" s="656"/>
      <c r="S508" s="656"/>
      <c r="T508" s="657"/>
      <c r="U508" s="34"/>
      <c r="V508" s="34"/>
      <c r="W508" s="35" t="s">
        <v>67</v>
      </c>
      <c r="X508" s="643">
        <v>0</v>
      </c>
      <c r="Y508" s="644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4301011771</v>
      </c>
      <c r="D509" s="650">
        <v>4607091389104</v>
      </c>
      <c r="E509" s="651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6"/>
      <c r="R509" s="656"/>
      <c r="S509" s="656"/>
      <c r="T509" s="657"/>
      <c r="U509" s="34"/>
      <c r="V509" s="34"/>
      <c r="W509" s="35" t="s">
        <v>67</v>
      </c>
      <c r="X509" s="643">
        <v>1733</v>
      </c>
      <c r="Y509" s="644">
        <f t="shared" si="78"/>
        <v>1737.1200000000001</v>
      </c>
      <c r="Z509" s="36">
        <f t="shared" si="79"/>
        <v>3.9348399999999999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1847.8768939393938</v>
      </c>
      <c r="BN509" s="64">
        <f t="shared" si="81"/>
        <v>1852.27</v>
      </c>
      <c r="BO509" s="64">
        <f t="shared" si="82"/>
        <v>3.1559586247086244</v>
      </c>
      <c r="BP509" s="64">
        <f t="shared" si="83"/>
        <v>3.1634615384615388</v>
      </c>
    </row>
    <row r="510" spans="1:68" ht="27" hidden="1" customHeight="1" x14ac:dyDescent="0.25">
      <c r="A510" s="54" t="s">
        <v>809</v>
      </c>
      <c r="B510" s="54" t="s">
        <v>810</v>
      </c>
      <c r="C510" s="31">
        <v>4301012125</v>
      </c>
      <c r="D510" s="650">
        <v>4680115886391</v>
      </c>
      <c r="E510" s="651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6"/>
      <c r="R510" s="656"/>
      <c r="S510" s="656"/>
      <c r="T510" s="657"/>
      <c r="U510" s="34"/>
      <c r="V510" s="34"/>
      <c r="W510" s="35" t="s">
        <v>67</v>
      </c>
      <c r="X510" s="643">
        <v>0</v>
      </c>
      <c r="Y510" s="644">
        <f t="shared" si="78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811</v>
      </c>
      <c r="B511" s="54" t="s">
        <v>812</v>
      </c>
      <c r="C511" s="31">
        <v>4301012048</v>
      </c>
      <c r="D511" s="650">
        <v>4680115880603</v>
      </c>
      <c r="E511" s="651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43">
        <v>120</v>
      </c>
      <c r="Y511" s="644">
        <f t="shared" si="78"/>
        <v>120</v>
      </c>
      <c r="Z511" s="36">
        <f>IFERROR(IF(Y511=0,"",ROUNDUP(Y511/H511,0)*0.00902),"")</f>
        <v>0.22550000000000001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0"/>
        <v>172.75000000000003</v>
      </c>
      <c r="BN511" s="64">
        <f t="shared" si="81"/>
        <v>172.75000000000003</v>
      </c>
      <c r="BO511" s="64">
        <f t="shared" si="82"/>
        <v>0.18939393939393939</v>
      </c>
      <c r="BP511" s="64">
        <f t="shared" si="83"/>
        <v>0.18939393939393939</v>
      </c>
    </row>
    <row r="512" spans="1:68" ht="27" customHeight="1" x14ac:dyDescent="0.25">
      <c r="A512" s="54" t="s">
        <v>813</v>
      </c>
      <c r="B512" s="54" t="s">
        <v>814</v>
      </c>
      <c r="C512" s="31">
        <v>4301012034</v>
      </c>
      <c r="D512" s="650">
        <v>4607091389982</v>
      </c>
      <c r="E512" s="651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43">
        <v>327</v>
      </c>
      <c r="Y512" s="644">
        <f t="shared" si="78"/>
        <v>331.2</v>
      </c>
      <c r="Z512" s="36">
        <f>IFERROR(IF(Y512=0,"",ROUNDUP(Y512/H512,0)*0.00902),"")</f>
        <v>0.62238000000000004</v>
      </c>
      <c r="AA512" s="56"/>
      <c r="AB512" s="57"/>
      <c r="AC512" s="599" t="s">
        <v>808</v>
      </c>
      <c r="AG512" s="64"/>
      <c r="AJ512" s="68"/>
      <c r="AK512" s="68">
        <v>0</v>
      </c>
      <c r="BB512" s="600" t="s">
        <v>1</v>
      </c>
      <c r="BM512" s="64">
        <f t="shared" si="80"/>
        <v>470.74375000000003</v>
      </c>
      <c r="BN512" s="64">
        <f t="shared" si="81"/>
        <v>476.79</v>
      </c>
      <c r="BO512" s="64">
        <f t="shared" si="82"/>
        <v>0.51609848484848486</v>
      </c>
      <c r="BP512" s="64">
        <f t="shared" si="83"/>
        <v>0.52272727272727271</v>
      </c>
    </row>
    <row r="513" spans="1:68" x14ac:dyDescent="0.2">
      <c r="A513" s="652"/>
      <c r="B513" s="653"/>
      <c r="C513" s="653"/>
      <c r="D513" s="653"/>
      <c r="E513" s="653"/>
      <c r="F513" s="653"/>
      <c r="G513" s="653"/>
      <c r="H513" s="653"/>
      <c r="I513" s="653"/>
      <c r="J513" s="653"/>
      <c r="K513" s="653"/>
      <c r="L513" s="653"/>
      <c r="M513" s="653"/>
      <c r="N513" s="653"/>
      <c r="O513" s="654"/>
      <c r="P513" s="647" t="s">
        <v>72</v>
      </c>
      <c r="Q513" s="648"/>
      <c r="R513" s="648"/>
      <c r="S513" s="648"/>
      <c r="T513" s="648"/>
      <c r="U513" s="648"/>
      <c r="V513" s="649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595.39772727272725</v>
      </c>
      <c r="Y513" s="645">
        <f>IFERROR(Y504/H504,"0")+IFERROR(Y505/H505,"0")+IFERROR(Y506/H506,"0")+IFERROR(Y507/H507,"0")+IFERROR(Y508/H508,"0")+IFERROR(Y509/H509,"0")+IFERROR(Y510/H510,"0")+IFERROR(Y511/H511,"0")+IFERROR(Y512/H512,"0")</f>
        <v>598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6.8757199999999994</v>
      </c>
      <c r="AA513" s="646"/>
      <c r="AB513" s="646"/>
      <c r="AC513" s="646"/>
    </row>
    <row r="514" spans="1:68" x14ac:dyDescent="0.2">
      <c r="A514" s="653"/>
      <c r="B514" s="653"/>
      <c r="C514" s="653"/>
      <c r="D514" s="653"/>
      <c r="E514" s="653"/>
      <c r="F514" s="653"/>
      <c r="G514" s="653"/>
      <c r="H514" s="653"/>
      <c r="I514" s="653"/>
      <c r="J514" s="653"/>
      <c r="K514" s="653"/>
      <c r="L514" s="653"/>
      <c r="M514" s="653"/>
      <c r="N514" s="653"/>
      <c r="O514" s="654"/>
      <c r="P514" s="647" t="s">
        <v>72</v>
      </c>
      <c r="Q514" s="648"/>
      <c r="R514" s="648"/>
      <c r="S514" s="648"/>
      <c r="T514" s="648"/>
      <c r="U514" s="648"/>
      <c r="V514" s="649"/>
      <c r="W514" s="37" t="s">
        <v>67</v>
      </c>
      <c r="X514" s="645">
        <f>IFERROR(SUM(X504:X512),"0")</f>
        <v>3099</v>
      </c>
      <c r="Y514" s="645">
        <f>IFERROR(SUM(Y504:Y512),"0")</f>
        <v>3112.32</v>
      </c>
      <c r="Z514" s="37"/>
      <c r="AA514" s="646"/>
      <c r="AB514" s="646"/>
      <c r="AC514" s="646"/>
    </row>
    <row r="515" spans="1:68" ht="14.25" hidden="1" customHeight="1" x14ac:dyDescent="0.25">
      <c r="A515" s="663" t="s">
        <v>148</v>
      </c>
      <c r="B515" s="653"/>
      <c r="C515" s="653"/>
      <c r="D515" s="653"/>
      <c r="E515" s="653"/>
      <c r="F515" s="653"/>
      <c r="G515" s="653"/>
      <c r="H515" s="653"/>
      <c r="I515" s="653"/>
      <c r="J515" s="653"/>
      <c r="K515" s="653"/>
      <c r="L515" s="653"/>
      <c r="M515" s="653"/>
      <c r="N515" s="653"/>
      <c r="O515" s="653"/>
      <c r="P515" s="653"/>
      <c r="Q515" s="653"/>
      <c r="R515" s="653"/>
      <c r="S515" s="653"/>
      <c r="T515" s="653"/>
      <c r="U515" s="653"/>
      <c r="V515" s="653"/>
      <c r="W515" s="653"/>
      <c r="X515" s="653"/>
      <c r="Y515" s="653"/>
      <c r="Z515" s="653"/>
      <c r="AA515" s="639"/>
      <c r="AB515" s="639"/>
      <c r="AC515" s="639"/>
    </row>
    <row r="516" spans="1:68" ht="16.5" hidden="1" customHeight="1" x14ac:dyDescent="0.25">
      <c r="A516" s="54" t="s">
        <v>815</v>
      </c>
      <c r="B516" s="54" t="s">
        <v>816</v>
      </c>
      <c r="C516" s="31">
        <v>4301020334</v>
      </c>
      <c r="D516" s="650">
        <v>4607091388930</v>
      </c>
      <c r="E516" s="651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6"/>
      <c r="R516" s="656"/>
      <c r="S516" s="656"/>
      <c r="T516" s="657"/>
      <c r="U516" s="34"/>
      <c r="V516" s="34"/>
      <c r="W516" s="35" t="s">
        <v>67</v>
      </c>
      <c r="X516" s="643">
        <v>0</v>
      </c>
      <c r="Y516" s="644">
        <f>IFERROR(IF(X516="",0,CEILING((X516/$H516),1)*$H516),"")</f>
        <v>0</v>
      </c>
      <c r="Z516" s="36" t="str">
        <f>IFERROR(IF(Y516=0,"",ROUNDUP(Y516/H516,0)*0.01196),"")</f>
        <v/>
      </c>
      <c r="AA516" s="56"/>
      <c r="AB516" s="57"/>
      <c r="AC516" s="601" t="s">
        <v>817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818</v>
      </c>
      <c r="B517" s="54" t="s">
        <v>819</v>
      </c>
      <c r="C517" s="31">
        <v>4301020374</v>
      </c>
      <c r="D517" s="650">
        <v>4680115886407</v>
      </c>
      <c r="E517" s="651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7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6"/>
      <c r="R517" s="656"/>
      <c r="S517" s="656"/>
      <c r="T517" s="657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817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820</v>
      </c>
      <c r="B518" s="54" t="s">
        <v>821</v>
      </c>
      <c r="C518" s="31">
        <v>4301020385</v>
      </c>
      <c r="D518" s="650">
        <v>4680115880054</v>
      </c>
      <c r="E518" s="651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6"/>
      <c r="R518" s="656"/>
      <c r="S518" s="656"/>
      <c r="T518" s="657"/>
      <c r="U518" s="34"/>
      <c r="V518" s="34"/>
      <c r="W518" s="35" t="s">
        <v>67</v>
      </c>
      <c r="X518" s="643">
        <v>243</v>
      </c>
      <c r="Y518" s="644">
        <f>IFERROR(IF(X518="",0,CEILING((X518/$H518),1)*$H518),"")</f>
        <v>244.79999999999998</v>
      </c>
      <c r="Z518" s="36">
        <f>IFERROR(IF(Y518=0,"",ROUNDUP(Y518/H518,0)*0.00902),"")</f>
        <v>0.46001999999999998</v>
      </c>
      <c r="AA518" s="56"/>
      <c r="AB518" s="57"/>
      <c r="AC518" s="605" t="s">
        <v>817</v>
      </c>
      <c r="AG518" s="64"/>
      <c r="AJ518" s="68"/>
      <c r="AK518" s="68">
        <v>0</v>
      </c>
      <c r="BB518" s="606" t="s">
        <v>1</v>
      </c>
      <c r="BM518" s="64">
        <f>IFERROR(X518*I518/H518,"0")</f>
        <v>349.81875000000002</v>
      </c>
      <c r="BN518" s="64">
        <f>IFERROR(Y518*I518/H518,"0")</f>
        <v>352.41</v>
      </c>
      <c r="BO518" s="64">
        <f>IFERROR(1/J518*(X518/H518),"0")</f>
        <v>0.38352272727272729</v>
      </c>
      <c r="BP518" s="64">
        <f>IFERROR(1/J518*(Y518/H518),"0")</f>
        <v>0.38636363636363635</v>
      </c>
    </row>
    <row r="519" spans="1:68" x14ac:dyDescent="0.2">
      <c r="A519" s="652"/>
      <c r="B519" s="653"/>
      <c r="C519" s="653"/>
      <c r="D519" s="653"/>
      <c r="E519" s="653"/>
      <c r="F519" s="653"/>
      <c r="G519" s="653"/>
      <c r="H519" s="653"/>
      <c r="I519" s="653"/>
      <c r="J519" s="653"/>
      <c r="K519" s="653"/>
      <c r="L519" s="653"/>
      <c r="M519" s="653"/>
      <c r="N519" s="653"/>
      <c r="O519" s="654"/>
      <c r="P519" s="647" t="s">
        <v>72</v>
      </c>
      <c r="Q519" s="648"/>
      <c r="R519" s="648"/>
      <c r="S519" s="648"/>
      <c r="T519" s="648"/>
      <c r="U519" s="648"/>
      <c r="V519" s="649"/>
      <c r="W519" s="37" t="s">
        <v>73</v>
      </c>
      <c r="X519" s="645">
        <f>IFERROR(X516/H516,"0")+IFERROR(X517/H517,"0")+IFERROR(X518/H518,"0")</f>
        <v>50.625</v>
      </c>
      <c r="Y519" s="645">
        <f>IFERROR(Y516/H516,"0")+IFERROR(Y517/H517,"0")+IFERROR(Y518/H518,"0")</f>
        <v>51</v>
      </c>
      <c r="Z519" s="645">
        <f>IFERROR(IF(Z516="",0,Z516),"0")+IFERROR(IF(Z517="",0,Z517),"0")+IFERROR(IF(Z518="",0,Z518),"0")</f>
        <v>0.46001999999999998</v>
      </c>
      <c r="AA519" s="646"/>
      <c r="AB519" s="646"/>
      <c r="AC519" s="646"/>
    </row>
    <row r="520" spans="1:68" x14ac:dyDescent="0.2">
      <c r="A520" s="653"/>
      <c r="B520" s="653"/>
      <c r="C520" s="653"/>
      <c r="D520" s="653"/>
      <c r="E520" s="653"/>
      <c r="F520" s="653"/>
      <c r="G520" s="653"/>
      <c r="H520" s="653"/>
      <c r="I520" s="653"/>
      <c r="J520" s="653"/>
      <c r="K520" s="653"/>
      <c r="L520" s="653"/>
      <c r="M520" s="653"/>
      <c r="N520" s="653"/>
      <c r="O520" s="654"/>
      <c r="P520" s="647" t="s">
        <v>72</v>
      </c>
      <c r="Q520" s="648"/>
      <c r="R520" s="648"/>
      <c r="S520" s="648"/>
      <c r="T520" s="648"/>
      <c r="U520" s="648"/>
      <c r="V520" s="649"/>
      <c r="W520" s="37" t="s">
        <v>67</v>
      </c>
      <c r="X520" s="645">
        <f>IFERROR(SUM(X516:X518),"0")</f>
        <v>243</v>
      </c>
      <c r="Y520" s="645">
        <f>IFERROR(SUM(Y516:Y518),"0")</f>
        <v>244.79999999999998</v>
      </c>
      <c r="Z520" s="37"/>
      <c r="AA520" s="646"/>
      <c r="AB520" s="646"/>
      <c r="AC520" s="646"/>
    </row>
    <row r="521" spans="1:68" ht="14.25" hidden="1" customHeight="1" x14ac:dyDescent="0.25">
      <c r="A521" s="663" t="s">
        <v>62</v>
      </c>
      <c r="B521" s="653"/>
      <c r="C521" s="653"/>
      <c r="D521" s="653"/>
      <c r="E521" s="653"/>
      <c r="F521" s="653"/>
      <c r="G521" s="653"/>
      <c r="H521" s="653"/>
      <c r="I521" s="653"/>
      <c r="J521" s="653"/>
      <c r="K521" s="653"/>
      <c r="L521" s="653"/>
      <c r="M521" s="653"/>
      <c r="N521" s="653"/>
      <c r="O521" s="653"/>
      <c r="P521" s="653"/>
      <c r="Q521" s="653"/>
      <c r="R521" s="653"/>
      <c r="S521" s="653"/>
      <c r="T521" s="653"/>
      <c r="U521" s="653"/>
      <c r="V521" s="653"/>
      <c r="W521" s="653"/>
      <c r="X521" s="653"/>
      <c r="Y521" s="653"/>
      <c r="Z521" s="653"/>
      <c r="AA521" s="639"/>
      <c r="AB521" s="639"/>
      <c r="AC521" s="639"/>
    </row>
    <row r="522" spans="1:68" ht="27" customHeight="1" x14ac:dyDescent="0.25">
      <c r="A522" s="54" t="s">
        <v>822</v>
      </c>
      <c r="B522" s="54" t="s">
        <v>823</v>
      </c>
      <c r="C522" s="31">
        <v>4301031349</v>
      </c>
      <c r="D522" s="650">
        <v>4680115883116</v>
      </c>
      <c r="E522" s="651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43">
        <v>549</v>
      </c>
      <c r="Y522" s="644">
        <f t="shared" ref="Y522:Y528" si="84">IFERROR(IF(X522="",0,CEILING((X522/$H522),1)*$H522),"")</f>
        <v>549.12</v>
      </c>
      <c r="Z522" s="36">
        <f>IFERROR(IF(Y522=0,"",ROUNDUP(Y522/H522,0)*0.01196),"")</f>
        <v>1.2438400000000001</v>
      </c>
      <c r="AA522" s="56"/>
      <c r="AB522" s="57"/>
      <c r="AC522" s="607" t="s">
        <v>824</v>
      </c>
      <c r="AG522" s="64"/>
      <c r="AJ522" s="68"/>
      <c r="AK522" s="68">
        <v>0</v>
      </c>
      <c r="BB522" s="608" t="s">
        <v>1</v>
      </c>
      <c r="BM522" s="64">
        <f t="shared" ref="BM522:BM528" si="85">IFERROR(X522*I522/H522,"0")</f>
        <v>585.39204545454538</v>
      </c>
      <c r="BN522" s="64">
        <f t="shared" ref="BN522:BN528" si="86">IFERROR(Y522*I522/H522,"0")</f>
        <v>585.52</v>
      </c>
      <c r="BO522" s="64">
        <f t="shared" ref="BO522:BO528" si="87">IFERROR(1/J522*(X522/H522),"0")</f>
        <v>0.99978146853146854</v>
      </c>
      <c r="BP522" s="64">
        <f t="shared" ref="BP522:BP528" si="88">IFERROR(1/J522*(Y522/H522),"0")</f>
        <v>1</v>
      </c>
    </row>
    <row r="523" spans="1:68" ht="27" customHeight="1" x14ac:dyDescent="0.25">
      <c r="A523" s="54" t="s">
        <v>825</v>
      </c>
      <c r="B523" s="54" t="s">
        <v>826</v>
      </c>
      <c r="C523" s="31">
        <v>4301031350</v>
      </c>
      <c r="D523" s="650">
        <v>4680115883093</v>
      </c>
      <c r="E523" s="651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6"/>
      <c r="R523" s="656"/>
      <c r="S523" s="656"/>
      <c r="T523" s="657"/>
      <c r="U523" s="34"/>
      <c r="V523" s="34"/>
      <c r="W523" s="35" t="s">
        <v>67</v>
      </c>
      <c r="X523" s="643">
        <v>809</v>
      </c>
      <c r="Y523" s="644">
        <f t="shared" si="84"/>
        <v>813.12</v>
      </c>
      <c r="Z523" s="36">
        <f>IFERROR(IF(Y523=0,"",ROUNDUP(Y523/H523,0)*0.01196),"")</f>
        <v>1.8418399999999999</v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si="85"/>
        <v>862.62689393939388</v>
      </c>
      <c r="BN523" s="64">
        <f t="shared" si="86"/>
        <v>867.02</v>
      </c>
      <c r="BO523" s="64">
        <f t="shared" si="87"/>
        <v>1.4732663170163172</v>
      </c>
      <c r="BP523" s="64">
        <f t="shared" si="88"/>
        <v>1.4807692307692308</v>
      </c>
    </row>
    <row r="524" spans="1:68" ht="27" hidden="1" customHeight="1" x14ac:dyDescent="0.25">
      <c r="A524" s="54" t="s">
        <v>828</v>
      </c>
      <c r="B524" s="54" t="s">
        <v>829</v>
      </c>
      <c r="C524" s="31">
        <v>4301031353</v>
      </c>
      <c r="D524" s="650">
        <v>4680115883109</v>
      </c>
      <c r="E524" s="651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6"/>
      <c r="R524" s="656"/>
      <c r="S524" s="656"/>
      <c r="T524" s="657"/>
      <c r="U524" s="34"/>
      <c r="V524" s="34"/>
      <c r="W524" s="35" t="s">
        <v>67</v>
      </c>
      <c r="X524" s="643">
        <v>0</v>
      </c>
      <c r="Y524" s="644">
        <f t="shared" si="84"/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4301031419</v>
      </c>
      <c r="D525" s="650">
        <v>4680115882072</v>
      </c>
      <c r="E525" s="651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0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6"/>
      <c r="R525" s="656"/>
      <c r="S525" s="656"/>
      <c r="T525" s="657"/>
      <c r="U525" s="34"/>
      <c r="V525" s="34"/>
      <c r="W525" s="35" t="s">
        <v>67</v>
      </c>
      <c r="X525" s="643">
        <v>0</v>
      </c>
      <c r="Y525" s="644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4301031352</v>
      </c>
      <c r="D526" s="650">
        <v>4680115882102</v>
      </c>
      <c r="E526" s="651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6"/>
      <c r="R526" s="656"/>
      <c r="S526" s="656"/>
      <c r="T526" s="657"/>
      <c r="U526" s="34"/>
      <c r="V526" s="34"/>
      <c r="W526" s="35" t="s">
        <v>67</v>
      </c>
      <c r="X526" s="643">
        <v>0</v>
      </c>
      <c r="Y526" s="644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833</v>
      </c>
      <c r="B527" s="54" t="s">
        <v>835</v>
      </c>
      <c r="C527" s="31">
        <v>4301031418</v>
      </c>
      <c r="D527" s="650">
        <v>4680115882102</v>
      </c>
      <c r="E527" s="651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6"/>
      <c r="R527" s="656"/>
      <c r="S527" s="656"/>
      <c r="T527" s="657"/>
      <c r="U527" s="34"/>
      <c r="V527" s="34"/>
      <c r="W527" s="35" t="s">
        <v>67</v>
      </c>
      <c r="X527" s="643">
        <v>0</v>
      </c>
      <c r="Y527" s="644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827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836</v>
      </c>
      <c r="B528" s="54" t="s">
        <v>837</v>
      </c>
      <c r="C528" s="31">
        <v>4301031417</v>
      </c>
      <c r="D528" s="650">
        <v>4680115882096</v>
      </c>
      <c r="E528" s="651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6"/>
      <c r="R528" s="656"/>
      <c r="S528" s="656"/>
      <c r="T528" s="657"/>
      <c r="U528" s="34"/>
      <c r="V528" s="34"/>
      <c r="W528" s="35" t="s">
        <v>67</v>
      </c>
      <c r="X528" s="643">
        <v>0</v>
      </c>
      <c r="Y528" s="644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x14ac:dyDescent="0.2">
      <c r="A529" s="652"/>
      <c r="B529" s="653"/>
      <c r="C529" s="653"/>
      <c r="D529" s="653"/>
      <c r="E529" s="653"/>
      <c r="F529" s="653"/>
      <c r="G529" s="653"/>
      <c r="H529" s="653"/>
      <c r="I529" s="653"/>
      <c r="J529" s="653"/>
      <c r="K529" s="653"/>
      <c r="L529" s="653"/>
      <c r="M529" s="653"/>
      <c r="N529" s="653"/>
      <c r="O529" s="654"/>
      <c r="P529" s="647" t="s">
        <v>72</v>
      </c>
      <c r="Q529" s="648"/>
      <c r="R529" s="648"/>
      <c r="S529" s="648"/>
      <c r="T529" s="648"/>
      <c r="U529" s="648"/>
      <c r="V529" s="649"/>
      <c r="W529" s="37" t="s">
        <v>73</v>
      </c>
      <c r="X529" s="645">
        <f>IFERROR(X522/H522,"0")+IFERROR(X523/H523,"0")+IFERROR(X524/H524,"0")+IFERROR(X525/H525,"0")+IFERROR(X526/H526,"0")+IFERROR(X527/H527,"0")+IFERROR(X528/H528,"0")</f>
        <v>257.19696969696969</v>
      </c>
      <c r="Y529" s="645">
        <f>IFERROR(Y522/H522,"0")+IFERROR(Y523/H523,"0")+IFERROR(Y524/H524,"0")+IFERROR(Y525/H525,"0")+IFERROR(Y526/H526,"0")+IFERROR(Y527/H527,"0")+IFERROR(Y528/H528,"0")</f>
        <v>258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3.08568</v>
      </c>
      <c r="AA529" s="646"/>
      <c r="AB529" s="646"/>
      <c r="AC529" s="646"/>
    </row>
    <row r="530" spans="1:68" x14ac:dyDescent="0.2">
      <c r="A530" s="653"/>
      <c r="B530" s="653"/>
      <c r="C530" s="653"/>
      <c r="D530" s="653"/>
      <c r="E530" s="653"/>
      <c r="F530" s="653"/>
      <c r="G530" s="653"/>
      <c r="H530" s="653"/>
      <c r="I530" s="653"/>
      <c r="J530" s="653"/>
      <c r="K530" s="653"/>
      <c r="L530" s="653"/>
      <c r="M530" s="653"/>
      <c r="N530" s="653"/>
      <c r="O530" s="654"/>
      <c r="P530" s="647" t="s">
        <v>72</v>
      </c>
      <c r="Q530" s="648"/>
      <c r="R530" s="648"/>
      <c r="S530" s="648"/>
      <c r="T530" s="648"/>
      <c r="U530" s="648"/>
      <c r="V530" s="649"/>
      <c r="W530" s="37" t="s">
        <v>67</v>
      </c>
      <c r="X530" s="645">
        <f>IFERROR(SUM(X522:X528),"0")</f>
        <v>1358</v>
      </c>
      <c r="Y530" s="645">
        <f>IFERROR(SUM(Y522:Y528),"0")</f>
        <v>1362.24</v>
      </c>
      <c r="Z530" s="37"/>
      <c r="AA530" s="646"/>
      <c r="AB530" s="646"/>
      <c r="AC530" s="646"/>
    </row>
    <row r="531" spans="1:68" ht="27.75" hidden="1" customHeight="1" x14ac:dyDescent="0.2">
      <c r="A531" s="661" t="s">
        <v>838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66" t="s">
        <v>838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38"/>
      <c r="AB532" s="638"/>
      <c r="AC532" s="638"/>
    </row>
    <row r="533" spans="1:68" ht="14.25" hidden="1" customHeight="1" x14ac:dyDescent="0.25">
      <c r="A533" s="663" t="s">
        <v>111</v>
      </c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3"/>
      <c r="P533" s="653"/>
      <c r="Q533" s="653"/>
      <c r="R533" s="653"/>
      <c r="S533" s="653"/>
      <c r="T533" s="653"/>
      <c r="U533" s="653"/>
      <c r="V533" s="653"/>
      <c r="W533" s="653"/>
      <c r="X533" s="653"/>
      <c r="Y533" s="653"/>
      <c r="Z533" s="653"/>
      <c r="AA533" s="639"/>
      <c r="AB533" s="639"/>
      <c r="AC533" s="639"/>
    </row>
    <row r="534" spans="1:68" ht="27" hidden="1" customHeight="1" x14ac:dyDescent="0.25">
      <c r="A534" s="54" t="s">
        <v>839</v>
      </c>
      <c r="B534" s="54" t="s">
        <v>840</v>
      </c>
      <c r="C534" s="31">
        <v>4301011584</v>
      </c>
      <c r="D534" s="650">
        <v>4640242180564</v>
      </c>
      <c r="E534" s="651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6"/>
      <c r="R534" s="656"/>
      <c r="S534" s="656"/>
      <c r="T534" s="657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841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2"/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4"/>
      <c r="P535" s="647" t="s">
        <v>72</v>
      </c>
      <c r="Q535" s="648"/>
      <c r="R535" s="648"/>
      <c r="S535" s="648"/>
      <c r="T535" s="648"/>
      <c r="U535" s="648"/>
      <c r="V535" s="649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3"/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4"/>
      <c r="P536" s="647" t="s">
        <v>72</v>
      </c>
      <c r="Q536" s="648"/>
      <c r="R536" s="648"/>
      <c r="S536" s="648"/>
      <c r="T536" s="648"/>
      <c r="U536" s="648"/>
      <c r="V536" s="649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63" t="s">
        <v>148</v>
      </c>
      <c r="B537" s="653"/>
      <c r="C537" s="653"/>
      <c r="D537" s="653"/>
      <c r="E537" s="653"/>
      <c r="F537" s="653"/>
      <c r="G537" s="653"/>
      <c r="H537" s="653"/>
      <c r="I537" s="653"/>
      <c r="J537" s="653"/>
      <c r="K537" s="653"/>
      <c r="L537" s="653"/>
      <c r="M537" s="653"/>
      <c r="N537" s="653"/>
      <c r="O537" s="653"/>
      <c r="P537" s="653"/>
      <c r="Q537" s="653"/>
      <c r="R537" s="653"/>
      <c r="S537" s="653"/>
      <c r="T537" s="653"/>
      <c r="U537" s="653"/>
      <c r="V537" s="653"/>
      <c r="W537" s="653"/>
      <c r="X537" s="653"/>
      <c r="Y537" s="653"/>
      <c r="Z537" s="653"/>
      <c r="AA537" s="639"/>
      <c r="AB537" s="639"/>
      <c r="AC537" s="639"/>
    </row>
    <row r="538" spans="1:68" ht="27" hidden="1" customHeight="1" x14ac:dyDescent="0.25">
      <c r="A538" s="54" t="s">
        <v>842</v>
      </c>
      <c r="B538" s="54" t="s">
        <v>843</v>
      </c>
      <c r="C538" s="31">
        <v>4301020444</v>
      </c>
      <c r="D538" s="650">
        <v>4680115889781</v>
      </c>
      <c r="E538" s="651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78</v>
      </c>
      <c r="N538" s="33"/>
      <c r="O538" s="32">
        <v>50</v>
      </c>
      <c r="P538" s="85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56"/>
      <c r="R538" s="656"/>
      <c r="S538" s="656"/>
      <c r="T538" s="657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717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2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47" t="s">
        <v>72</v>
      </c>
      <c r="Q539" s="648"/>
      <c r="R539" s="648"/>
      <c r="S539" s="648"/>
      <c r="T539" s="648"/>
      <c r="U539" s="648"/>
      <c r="V539" s="649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3"/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4"/>
      <c r="P540" s="647" t="s">
        <v>72</v>
      </c>
      <c r="Q540" s="648"/>
      <c r="R540" s="648"/>
      <c r="S540" s="648"/>
      <c r="T540" s="648"/>
      <c r="U540" s="648"/>
      <c r="V540" s="649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63" t="s">
        <v>62</v>
      </c>
      <c r="B541" s="653"/>
      <c r="C541" s="653"/>
      <c r="D541" s="653"/>
      <c r="E541" s="653"/>
      <c r="F541" s="653"/>
      <c r="G541" s="653"/>
      <c r="H541" s="653"/>
      <c r="I541" s="653"/>
      <c r="J541" s="653"/>
      <c r="K541" s="653"/>
      <c r="L541" s="653"/>
      <c r="M541" s="653"/>
      <c r="N541" s="653"/>
      <c r="O541" s="653"/>
      <c r="P541" s="653"/>
      <c r="Q541" s="653"/>
      <c r="R541" s="653"/>
      <c r="S541" s="653"/>
      <c r="T541" s="653"/>
      <c r="U541" s="653"/>
      <c r="V541" s="653"/>
      <c r="W541" s="653"/>
      <c r="X541" s="653"/>
      <c r="Y541" s="653"/>
      <c r="Z541" s="653"/>
      <c r="AA541" s="639"/>
      <c r="AB541" s="639"/>
      <c r="AC541" s="639"/>
    </row>
    <row r="542" spans="1:68" ht="27" hidden="1" customHeight="1" x14ac:dyDescent="0.25">
      <c r="A542" s="54" t="s">
        <v>844</v>
      </c>
      <c r="B542" s="54" t="s">
        <v>845</v>
      </c>
      <c r="C542" s="31">
        <v>4301031500</v>
      </c>
      <c r="D542" s="650">
        <v>4640242180595</v>
      </c>
      <c r="E542" s="651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846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2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47" t="s">
        <v>72</v>
      </c>
      <c r="Q543" s="648"/>
      <c r="R543" s="648"/>
      <c r="S543" s="648"/>
      <c r="T543" s="648"/>
      <c r="U543" s="648"/>
      <c r="V543" s="649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3"/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4"/>
      <c r="P544" s="647" t="s">
        <v>72</v>
      </c>
      <c r="Q544" s="648"/>
      <c r="R544" s="648"/>
      <c r="S544" s="648"/>
      <c r="T544" s="648"/>
      <c r="U544" s="648"/>
      <c r="V544" s="649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63" t="s">
        <v>74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39"/>
      <c r="AB545" s="639"/>
      <c r="AC545" s="639"/>
    </row>
    <row r="546" spans="1:68" ht="27" hidden="1" customHeight="1" x14ac:dyDescent="0.25">
      <c r="A546" s="54" t="s">
        <v>847</v>
      </c>
      <c r="B546" s="54" t="s">
        <v>848</v>
      </c>
      <c r="C546" s="31">
        <v>4301052043</v>
      </c>
      <c r="D546" s="650">
        <v>4640242180533</v>
      </c>
      <c r="E546" s="651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849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2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47" t="s">
        <v>72</v>
      </c>
      <c r="Q547" s="648"/>
      <c r="R547" s="648"/>
      <c r="S547" s="648"/>
      <c r="T547" s="648"/>
      <c r="U547" s="648"/>
      <c r="V547" s="649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3"/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4"/>
      <c r="P548" s="647" t="s">
        <v>72</v>
      </c>
      <c r="Q548" s="648"/>
      <c r="R548" s="648"/>
      <c r="S548" s="648"/>
      <c r="T548" s="648"/>
      <c r="U548" s="648"/>
      <c r="V548" s="649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63" t="s">
        <v>167</v>
      </c>
      <c r="B549" s="653"/>
      <c r="C549" s="653"/>
      <c r="D549" s="653"/>
      <c r="E549" s="653"/>
      <c r="F549" s="653"/>
      <c r="G549" s="653"/>
      <c r="H549" s="653"/>
      <c r="I549" s="653"/>
      <c r="J549" s="653"/>
      <c r="K549" s="653"/>
      <c r="L549" s="653"/>
      <c r="M549" s="653"/>
      <c r="N549" s="653"/>
      <c r="O549" s="653"/>
      <c r="P549" s="653"/>
      <c r="Q549" s="653"/>
      <c r="R549" s="653"/>
      <c r="S549" s="653"/>
      <c r="T549" s="653"/>
      <c r="U549" s="653"/>
      <c r="V549" s="653"/>
      <c r="W549" s="653"/>
      <c r="X549" s="653"/>
      <c r="Y549" s="653"/>
      <c r="Z549" s="653"/>
      <c r="AA549" s="639"/>
      <c r="AB549" s="639"/>
      <c r="AC549" s="639"/>
    </row>
    <row r="550" spans="1:68" ht="27" hidden="1" customHeight="1" x14ac:dyDescent="0.25">
      <c r="A550" s="54" t="s">
        <v>850</v>
      </c>
      <c r="B550" s="54" t="s">
        <v>851</v>
      </c>
      <c r="C550" s="31">
        <v>4301060535</v>
      </c>
      <c r="D550" s="650">
        <v>4640242180120</v>
      </c>
      <c r="E550" s="651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852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853</v>
      </c>
      <c r="B551" s="54" t="s">
        <v>854</v>
      </c>
      <c r="C551" s="31">
        <v>4301060536</v>
      </c>
      <c r="D551" s="650">
        <v>4640242180137</v>
      </c>
      <c r="E551" s="651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6"/>
      <c r="R551" s="656"/>
      <c r="S551" s="656"/>
      <c r="T551" s="657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2"/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4"/>
      <c r="P552" s="647" t="s">
        <v>72</v>
      </c>
      <c r="Q552" s="648"/>
      <c r="R552" s="648"/>
      <c r="S552" s="648"/>
      <c r="T552" s="648"/>
      <c r="U552" s="648"/>
      <c r="V552" s="649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3"/>
      <c r="B553" s="653"/>
      <c r="C553" s="653"/>
      <c r="D553" s="653"/>
      <c r="E553" s="653"/>
      <c r="F553" s="653"/>
      <c r="G553" s="653"/>
      <c r="H553" s="653"/>
      <c r="I553" s="653"/>
      <c r="J553" s="653"/>
      <c r="K553" s="653"/>
      <c r="L553" s="653"/>
      <c r="M553" s="653"/>
      <c r="N553" s="653"/>
      <c r="O553" s="654"/>
      <c r="P553" s="647" t="s">
        <v>72</v>
      </c>
      <c r="Q553" s="648"/>
      <c r="R553" s="648"/>
      <c r="S553" s="648"/>
      <c r="T553" s="648"/>
      <c r="U553" s="648"/>
      <c r="V553" s="649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6" t="s">
        <v>856</v>
      </c>
      <c r="B554" s="653"/>
      <c r="C554" s="653"/>
      <c r="D554" s="653"/>
      <c r="E554" s="653"/>
      <c r="F554" s="653"/>
      <c r="G554" s="653"/>
      <c r="H554" s="653"/>
      <c r="I554" s="653"/>
      <c r="J554" s="653"/>
      <c r="K554" s="653"/>
      <c r="L554" s="653"/>
      <c r="M554" s="653"/>
      <c r="N554" s="653"/>
      <c r="O554" s="653"/>
      <c r="P554" s="653"/>
      <c r="Q554" s="653"/>
      <c r="R554" s="653"/>
      <c r="S554" s="653"/>
      <c r="T554" s="653"/>
      <c r="U554" s="653"/>
      <c r="V554" s="653"/>
      <c r="W554" s="653"/>
      <c r="X554" s="653"/>
      <c r="Y554" s="653"/>
      <c r="Z554" s="653"/>
      <c r="AA554" s="638"/>
      <c r="AB554" s="638"/>
      <c r="AC554" s="638"/>
    </row>
    <row r="555" spans="1:68" ht="14.25" hidden="1" customHeight="1" x14ac:dyDescent="0.25">
      <c r="A555" s="663" t="s">
        <v>148</v>
      </c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3"/>
      <c r="P555" s="653"/>
      <c r="Q555" s="653"/>
      <c r="R555" s="653"/>
      <c r="S555" s="653"/>
      <c r="T555" s="653"/>
      <c r="U555" s="653"/>
      <c r="V555" s="653"/>
      <c r="W555" s="653"/>
      <c r="X555" s="653"/>
      <c r="Y555" s="653"/>
      <c r="Z555" s="653"/>
      <c r="AA555" s="639"/>
      <c r="AB555" s="639"/>
      <c r="AC555" s="639"/>
    </row>
    <row r="556" spans="1:68" ht="27" hidden="1" customHeight="1" x14ac:dyDescent="0.25">
      <c r="A556" s="54" t="s">
        <v>857</v>
      </c>
      <c r="B556" s="54" t="s">
        <v>858</v>
      </c>
      <c r="C556" s="31">
        <v>4301020441</v>
      </c>
      <c r="D556" s="650">
        <v>4680115889798</v>
      </c>
      <c r="E556" s="651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56"/>
      <c r="R556" s="656"/>
      <c r="S556" s="656"/>
      <c r="T556" s="657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859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2"/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4"/>
      <c r="P557" s="647" t="s">
        <v>72</v>
      </c>
      <c r="Q557" s="648"/>
      <c r="R557" s="648"/>
      <c r="S557" s="648"/>
      <c r="T557" s="648"/>
      <c r="U557" s="648"/>
      <c r="V557" s="649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3"/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4"/>
      <c r="P558" s="647" t="s">
        <v>72</v>
      </c>
      <c r="Q558" s="648"/>
      <c r="R558" s="648"/>
      <c r="S558" s="648"/>
      <c r="T558" s="648"/>
      <c r="U558" s="648"/>
      <c r="V558" s="649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34"/>
      <c r="B559" s="653"/>
      <c r="C559" s="653"/>
      <c r="D559" s="653"/>
      <c r="E559" s="653"/>
      <c r="F559" s="653"/>
      <c r="G559" s="653"/>
      <c r="H559" s="653"/>
      <c r="I559" s="653"/>
      <c r="J559" s="653"/>
      <c r="K559" s="653"/>
      <c r="L559" s="653"/>
      <c r="M559" s="653"/>
      <c r="N559" s="653"/>
      <c r="O559" s="823"/>
      <c r="P559" s="698" t="s">
        <v>860</v>
      </c>
      <c r="Q559" s="699"/>
      <c r="R559" s="699"/>
      <c r="S559" s="699"/>
      <c r="T559" s="699"/>
      <c r="U559" s="699"/>
      <c r="V559" s="700"/>
      <c r="W559" s="37" t="s">
        <v>67</v>
      </c>
      <c r="X559" s="645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16550</v>
      </c>
      <c r="Y559" s="645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16703.239999999998</v>
      </c>
      <c r="Z559" s="37"/>
      <c r="AA559" s="646"/>
      <c r="AB559" s="646"/>
      <c r="AC559" s="646"/>
    </row>
    <row r="560" spans="1:68" x14ac:dyDescent="0.2">
      <c r="A560" s="653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823"/>
      <c r="P560" s="698" t="s">
        <v>861</v>
      </c>
      <c r="Q560" s="699"/>
      <c r="R560" s="699"/>
      <c r="S560" s="699"/>
      <c r="T560" s="699"/>
      <c r="U560" s="699"/>
      <c r="V560" s="700"/>
      <c r="W560" s="37" t="s">
        <v>67</v>
      </c>
      <c r="X560" s="645">
        <f>IFERROR(SUM(BM22:BM556),"0")</f>
        <v>17814.936015290066</v>
      </c>
      <c r="Y560" s="645">
        <f>IFERROR(SUM(BN22:BN556),"0")</f>
        <v>17978.927000000003</v>
      </c>
      <c r="Z560" s="37"/>
      <c r="AA560" s="646"/>
      <c r="AB560" s="646"/>
      <c r="AC560" s="646"/>
    </row>
    <row r="561" spans="1:32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823"/>
      <c r="P561" s="698" t="s">
        <v>862</v>
      </c>
      <c r="Q561" s="699"/>
      <c r="R561" s="699"/>
      <c r="S561" s="699"/>
      <c r="T561" s="699"/>
      <c r="U561" s="699"/>
      <c r="V561" s="700"/>
      <c r="W561" s="37" t="s">
        <v>863</v>
      </c>
      <c r="X561" s="38">
        <f>ROUNDUP(SUM(BO22:BO556),0)</f>
        <v>30</v>
      </c>
      <c r="Y561" s="38">
        <f>ROUNDUP(SUM(BP22:BP556),0)</f>
        <v>31</v>
      </c>
      <c r="Z561" s="37"/>
      <c r="AA561" s="646"/>
      <c r="AB561" s="646"/>
      <c r="AC561" s="646"/>
    </row>
    <row r="562" spans="1:32" x14ac:dyDescent="0.2">
      <c r="A562" s="653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23"/>
      <c r="P562" s="698" t="s">
        <v>864</v>
      </c>
      <c r="Q562" s="699"/>
      <c r="R562" s="699"/>
      <c r="S562" s="699"/>
      <c r="T562" s="699"/>
      <c r="U562" s="699"/>
      <c r="V562" s="700"/>
      <c r="W562" s="37" t="s">
        <v>67</v>
      </c>
      <c r="X562" s="645">
        <f>GrossWeightTotal+PalletQtyTotal*25</f>
        <v>18564.936015290066</v>
      </c>
      <c r="Y562" s="645">
        <f>GrossWeightTotalR+PalletQtyTotalR*25</f>
        <v>18753.927000000003</v>
      </c>
      <c r="Z562" s="37"/>
      <c r="AA562" s="646"/>
      <c r="AB562" s="646"/>
      <c r="AC562" s="646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23"/>
      <c r="P563" s="698" t="s">
        <v>865</v>
      </c>
      <c r="Q563" s="699"/>
      <c r="R563" s="699"/>
      <c r="S563" s="699"/>
      <c r="T563" s="699"/>
      <c r="U563" s="699"/>
      <c r="V563" s="700"/>
      <c r="W563" s="37" t="s">
        <v>863</v>
      </c>
      <c r="X563" s="645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3354.6265360120319</v>
      </c>
      <c r="Y563" s="645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3385</v>
      </c>
      <c r="Z563" s="37"/>
      <c r="AA563" s="646"/>
      <c r="AB563" s="646"/>
      <c r="AC563" s="646"/>
    </row>
    <row r="564" spans="1:32" ht="14.25" hidden="1" customHeight="1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23"/>
      <c r="P564" s="698" t="s">
        <v>866</v>
      </c>
      <c r="Q564" s="699"/>
      <c r="R564" s="699"/>
      <c r="S564" s="699"/>
      <c r="T564" s="699"/>
      <c r="U564" s="699"/>
      <c r="V564" s="700"/>
      <c r="W564" s="39" t="s">
        <v>867</v>
      </c>
      <c r="X564" s="37"/>
      <c r="Y564" s="37"/>
      <c r="Z564" s="37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35.801060000000007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868</v>
      </c>
      <c r="B566" s="640" t="s">
        <v>61</v>
      </c>
      <c r="C566" s="640" t="s">
        <v>92</v>
      </c>
      <c r="D566" s="702" t="s">
        <v>109</v>
      </c>
      <c r="E566" s="847"/>
      <c r="F566" s="847"/>
      <c r="G566" s="847"/>
      <c r="H566" s="847"/>
      <c r="I566" s="847"/>
      <c r="J566" s="788"/>
      <c r="K566" s="702" t="s">
        <v>334</v>
      </c>
      <c r="L566" s="847"/>
      <c r="M566" s="847"/>
      <c r="N566" s="847"/>
      <c r="O566" s="847"/>
      <c r="P566" s="847"/>
      <c r="Q566" s="847"/>
      <c r="R566" s="847"/>
      <c r="S566" s="847"/>
      <c r="T566" s="847"/>
      <c r="U566" s="847"/>
      <c r="V566" s="788"/>
      <c r="W566" s="702" t="s">
        <v>689</v>
      </c>
      <c r="X566" s="788"/>
      <c r="Y566" s="702" t="s">
        <v>755</v>
      </c>
      <c r="Z566" s="788"/>
      <c r="AA566" s="640" t="s">
        <v>791</v>
      </c>
      <c r="AB566" s="702" t="s">
        <v>838</v>
      </c>
      <c r="AC566" s="788"/>
      <c r="AF566" s="641"/>
    </row>
    <row r="567" spans="1:32" ht="14.25" customHeight="1" thickTop="1" x14ac:dyDescent="0.2">
      <c r="A567" s="817" t="s">
        <v>869</v>
      </c>
      <c r="B567" s="702" t="s">
        <v>61</v>
      </c>
      <c r="C567" s="702" t="s">
        <v>93</v>
      </c>
      <c r="D567" s="702" t="s">
        <v>110</v>
      </c>
      <c r="E567" s="702" t="s">
        <v>126</v>
      </c>
      <c r="F567" s="702" t="s">
        <v>175</v>
      </c>
      <c r="G567" s="702" t="s">
        <v>198</v>
      </c>
      <c r="H567" s="702" t="s">
        <v>238</v>
      </c>
      <c r="I567" s="702" t="s">
        <v>251</v>
      </c>
      <c r="J567" s="702" t="s">
        <v>109</v>
      </c>
      <c r="K567" s="702" t="s">
        <v>335</v>
      </c>
      <c r="L567" s="702" t="s">
        <v>356</v>
      </c>
      <c r="M567" s="702" t="s">
        <v>430</v>
      </c>
      <c r="N567" s="641"/>
      <c r="O567" s="702" t="s">
        <v>498</v>
      </c>
      <c r="P567" s="702" t="s">
        <v>527</v>
      </c>
      <c r="Q567" s="702" t="s">
        <v>547</v>
      </c>
      <c r="R567" s="702" t="s">
        <v>556</v>
      </c>
      <c r="S567" s="702" t="s">
        <v>577</v>
      </c>
      <c r="T567" s="702" t="s">
        <v>586</v>
      </c>
      <c r="U567" s="702" t="s">
        <v>672</v>
      </c>
      <c r="V567" s="702" t="s">
        <v>679</v>
      </c>
      <c r="W567" s="702" t="s">
        <v>690</v>
      </c>
      <c r="X567" s="702" t="s">
        <v>739</v>
      </c>
      <c r="Y567" s="702" t="s">
        <v>756</v>
      </c>
      <c r="Z567" s="702" t="s">
        <v>779</v>
      </c>
      <c r="AA567" s="702" t="s">
        <v>791</v>
      </c>
      <c r="AB567" s="702" t="s">
        <v>838</v>
      </c>
      <c r="AC567" s="702" t="s">
        <v>856</v>
      </c>
      <c r="AF567" s="641"/>
    </row>
    <row r="568" spans="1:32" ht="13.5" customHeight="1" thickBot="1" x14ac:dyDescent="0.25">
      <c r="A568" s="818"/>
      <c r="B568" s="703"/>
      <c r="C568" s="703"/>
      <c r="D568" s="703"/>
      <c r="E568" s="703"/>
      <c r="F568" s="703"/>
      <c r="G568" s="703"/>
      <c r="H568" s="703"/>
      <c r="I568" s="703"/>
      <c r="J568" s="703"/>
      <c r="K568" s="703"/>
      <c r="L568" s="703"/>
      <c r="M568" s="703"/>
      <c r="N568" s="641"/>
      <c r="O568" s="703"/>
      <c r="P568" s="703"/>
      <c r="Q568" s="703"/>
      <c r="R568" s="703"/>
      <c r="S568" s="703"/>
      <c r="T568" s="703"/>
      <c r="U568" s="703"/>
      <c r="V568" s="703"/>
      <c r="W568" s="703"/>
      <c r="X568" s="703"/>
      <c r="Y568" s="703"/>
      <c r="Z568" s="703"/>
      <c r="AA568" s="703"/>
      <c r="AB568" s="703"/>
      <c r="AC568" s="703"/>
      <c r="AF568" s="641"/>
    </row>
    <row r="569" spans="1:32" ht="18" customHeight="1" thickTop="1" thickBot="1" x14ac:dyDescent="0.25">
      <c r="A569" s="40" t="s">
        <v>870</v>
      </c>
      <c r="B569" s="46">
        <f>IFERROR(Y22*1,"0")+IFERROR(Y23*1,"0")+IFERROR(Y27*1,"0")+IFERROR(Y28*1,"0")+IFERROR(Y29*1,"0")+IFERROR(Y30*1,"0")+IFERROR(Y31*1,"0")</f>
        <v>25.2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419.90000000000003</v>
      </c>
      <c r="E569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1101.4000000000001</v>
      </c>
      <c r="F569" s="46">
        <f>IFERROR(Y87*1,"0")+IFERROR(Y88*1,"0")+IFERROR(Y89*1,"0")+IFERROR(Y90*1,"0")+IFERROR(Y91*1,"0")+IFERROR(Y95*1,"0")+IFERROR(Y96*1,"0")+IFERROR(Y97*1,"0")+IFERROR(Y98*1,"0")</f>
        <v>2928.6000000000004</v>
      </c>
      <c r="G569" s="46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1089.72</v>
      </c>
      <c r="H569" s="46">
        <f>IFERROR(Y133*1,"0")+IFERROR(Y134*1,"0")+IFERROR(Y138*1,"0")+IFERROR(Y139*1,"0")+IFERROR(Y143*1,"0")+IFERROR(Y144*1,"0")</f>
        <v>0</v>
      </c>
      <c r="I569" s="46">
        <f>IFERROR(Y149*1,"0")+IFERROR(Y150*1,"0")+IFERROR(Y151*1,"0")+IFERROR(Y152*1,"0")+IFERROR(Y153*1,"0")+IFERROR(Y154*1,"0")+IFERROR(Y158*1,"0")</f>
        <v>0</v>
      </c>
      <c r="J569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1081.02</v>
      </c>
      <c r="K569" s="46">
        <f>IFERROR(Y205*1,"0")+IFERROR(Y206*1,"0")+IFERROR(Y207*1,"0")+IFERROR(Y208*1,"0")+IFERROR(Y209*1,"0")+IFERROR(Y210*1,"0")+IFERROR(Y211*1,"0")</f>
        <v>0</v>
      </c>
      <c r="L569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128.04</v>
      </c>
      <c r="M569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2145.8999999999996</v>
      </c>
      <c r="N569" s="641"/>
      <c r="O569" s="46">
        <f>IFERROR(Y303*1,"0")+IFERROR(Y304*1,"0")+IFERROR(Y305*1,"0")+IFERROR(Y306*1,"0")+IFERROR(Y307*1,"0")+IFERROR(Y308*1,"0")+IFERROR(Y309*1,"0")+IFERROR(Y313*1,"0")+IFERROR(Y317*1,"0")+IFERROR(Y321*1,"0")</f>
        <v>15.2</v>
      </c>
      <c r="P569" s="46">
        <f>IFERROR(Y326*1,"0")+IFERROR(Y327*1,"0")+IFERROR(Y328*1,"0")+IFERROR(Y329*1,"0")+IFERROR(Y330*1,"0")+IFERROR(Y331*1,"0")</f>
        <v>0</v>
      </c>
      <c r="Q569" s="46">
        <f>IFERROR(Y336*1,"0")+IFERROR(Y337*1,"0")+IFERROR(Y338*1,"0")</f>
        <v>38.4</v>
      </c>
      <c r="R569" s="46">
        <f>IFERROR(Y343*1,"0")+IFERROR(Y344*1,"0")+IFERROR(Y345*1,"0")+IFERROR(Y346*1,"0")+IFERROR(Y347*1,"0")+IFERROR(Y351*1,"0")+IFERROR(Y352*1,"0")</f>
        <v>0</v>
      </c>
      <c r="S569" s="46">
        <f>IFERROR(Y357*1,"0")+IFERROR(Y358*1,"0")+IFERROR(Y359*1,"0")</f>
        <v>608.4</v>
      </c>
      <c r="T569" s="46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75.300000000000011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2310</v>
      </c>
      <c r="X569" s="46">
        <f>IFERROR(Y460*1,"0")+IFERROR(Y461*1,"0")+IFERROR(Y465*1,"0")+IFERROR(Y469*1,"0")+IFERROR(Y470*1,"0")+IFERROR(Y471*1,"0")</f>
        <v>16.8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4719.3600000000006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4"/>
        <filter val="1 042,00"/>
        <filter val="1 056,00"/>
        <filter val="1 088,00"/>
        <filter val="1 210,00"/>
        <filter val="1 358,00"/>
        <filter val="1 436,00"/>
        <filter val="1 568,00"/>
        <filter val="1 707,00"/>
        <filter val="1 733,00"/>
        <filter val="1 955,00"/>
        <filter val="1,67"/>
        <filter val="10,00"/>
        <filter val="110,00"/>
        <filter val="112,00"/>
        <filter val="115,00"/>
        <filter val="115,65"/>
        <filter val="116,00"/>
        <filter val="12,00"/>
        <filter val="120,00"/>
        <filter val="127,00"/>
        <filter val="13,89"/>
        <filter val="139,00"/>
        <filter val="14,00"/>
        <filter val="146,00"/>
        <filter val="15,00"/>
        <filter val="15,42"/>
        <filter val="16 550,00"/>
        <filter val="16,00"/>
        <filter val="163,00"/>
        <filter val="168,00"/>
        <filter val="169,00"/>
        <filter val="17 814,94"/>
        <filter val="17,00"/>
        <filter val="176,07"/>
        <filter val="18 564,94"/>
        <filter val="18,00"/>
        <filter val="187,00"/>
        <filter val="2,67"/>
        <filter val="2,92"/>
        <filter val="22,00"/>
        <filter val="23,00"/>
        <filter val="231,00"/>
        <filter val="24,00"/>
        <filter val="243,00"/>
        <filter val="25,00"/>
        <filter val="257,20"/>
        <filter val="26,00"/>
        <filter val="260,00"/>
        <filter val="29,00"/>
        <filter val="3 099,00"/>
        <filter val="3 354,63"/>
        <filter val="3,00"/>
        <filter val="30"/>
        <filter val="304,00"/>
        <filter val="31,00"/>
        <filter val="327,00"/>
        <filter val="35,00"/>
        <filter val="352,00"/>
        <filter val="37,00"/>
        <filter val="37,33"/>
        <filter val="39,00"/>
        <filter val="4,00"/>
        <filter val="40,00"/>
        <filter val="409,00"/>
        <filter val="43,41"/>
        <filter val="438,52"/>
        <filter val="448,15"/>
        <filter val="466,00"/>
        <filter val="47,90"/>
        <filter val="5,00"/>
        <filter val="50,00"/>
        <filter val="50,63"/>
        <filter val="52,00"/>
        <filter val="52,04"/>
        <filter val="53,00"/>
        <filter val="549,00"/>
        <filter val="55,00"/>
        <filter val="57,00"/>
        <filter val="58,08"/>
        <filter val="595,00"/>
        <filter val="595,40"/>
        <filter val="6,25"/>
        <filter val="623,70"/>
        <filter val="651,00"/>
        <filter val="665,00"/>
        <filter val="688,00"/>
        <filter val="7,00"/>
        <filter val="7,94"/>
        <filter val="746,00"/>
        <filter val="76,28"/>
        <filter val="795,00"/>
        <filter val="809,00"/>
        <filter val="855,00"/>
        <filter val="9,00"/>
        <filter val="9,41"/>
        <filter val="932,00"/>
        <filter val="95,73"/>
        <filter val="98,15"/>
      </filters>
    </filterColumn>
    <filterColumn colId="29" showButton="0"/>
    <filterColumn colId="30" showButton="0"/>
  </autoFilter>
  <mergeCells count="1003">
    <mergeCell ref="D471:E471"/>
    <mergeCell ref="D542:E542"/>
    <mergeCell ref="A131:Z131"/>
    <mergeCell ref="P313:T313"/>
    <mergeCell ref="P71:T71"/>
    <mergeCell ref="D123:E123"/>
    <mergeCell ref="P307:T307"/>
    <mergeCell ref="P444:T444"/>
    <mergeCell ref="D250:E250"/>
    <mergeCell ref="D50:E50"/>
    <mergeCell ref="P58:T58"/>
    <mergeCell ref="X17:X18"/>
    <mergeCell ref="D286:E286"/>
    <mergeCell ref="U17:V17"/>
    <mergeCell ref="P410:T410"/>
    <mergeCell ref="P385:T385"/>
    <mergeCell ref="P372:V372"/>
    <mergeCell ref="D331:E331"/>
    <mergeCell ref="P310:V310"/>
    <mergeCell ref="P124:T124"/>
    <mergeCell ref="D57:E57"/>
    <mergeCell ref="D293:E293"/>
    <mergeCell ref="Y17:Y18"/>
    <mergeCell ref="A8:C8"/>
    <mergeCell ref="D97:E97"/>
    <mergeCell ref="P151:T151"/>
    <mergeCell ref="P449:T449"/>
    <mergeCell ref="A268:O269"/>
    <mergeCell ref="A255:Z255"/>
    <mergeCell ref="A10:C10"/>
    <mergeCell ref="P361:V361"/>
    <mergeCell ref="P311:V311"/>
    <mergeCell ref="P140:V140"/>
    <mergeCell ref="A21:Z21"/>
    <mergeCell ref="D184:E184"/>
    <mergeCell ref="A428:Z428"/>
    <mergeCell ref="A415:Z415"/>
    <mergeCell ref="D121:E121"/>
    <mergeCell ref="A194:Z194"/>
    <mergeCell ref="A99:O100"/>
    <mergeCell ref="P338:T338"/>
    <mergeCell ref="D344:E344"/>
    <mergeCell ref="D17:E18"/>
    <mergeCell ref="Q6:R6"/>
    <mergeCell ref="P513:V513"/>
    <mergeCell ref="P134:T134"/>
    <mergeCell ref="P243:T243"/>
    <mergeCell ref="P436:T436"/>
    <mergeCell ref="A118:O119"/>
    <mergeCell ref="P292:T292"/>
    <mergeCell ref="A360:O361"/>
    <mergeCell ref="P528:T528"/>
    <mergeCell ref="A204:Z204"/>
    <mergeCell ref="P419:V419"/>
    <mergeCell ref="D566:J566"/>
    <mergeCell ref="P145:V145"/>
    <mergeCell ref="D133:E133"/>
    <mergeCell ref="P381:V381"/>
    <mergeCell ref="A35:Z35"/>
    <mergeCell ref="P510:T510"/>
    <mergeCell ref="P544:V544"/>
    <mergeCell ref="P427:V427"/>
    <mergeCell ref="P160:V160"/>
    <mergeCell ref="A42:O43"/>
    <mergeCell ref="D271:E271"/>
    <mergeCell ref="P519:V519"/>
    <mergeCell ref="V12:W12"/>
    <mergeCell ref="A200:O201"/>
    <mergeCell ref="D191:E191"/>
    <mergeCell ref="D433:E433"/>
    <mergeCell ref="D262:E262"/>
    <mergeCell ref="P368:T368"/>
    <mergeCell ref="A362:Z362"/>
    <mergeCell ref="P43:V43"/>
    <mergeCell ref="D522:E522"/>
    <mergeCell ref="AB566:AC566"/>
    <mergeCell ref="A476:Z476"/>
    <mergeCell ref="D170:E170"/>
    <mergeCell ref="D105:E105"/>
    <mergeCell ref="A83:O84"/>
    <mergeCell ref="N17:N18"/>
    <mergeCell ref="D49:E49"/>
    <mergeCell ref="Q5:R5"/>
    <mergeCell ref="F17:F18"/>
    <mergeCell ref="P370:T370"/>
    <mergeCell ref="D242:E242"/>
    <mergeCell ref="P199:T199"/>
    <mergeCell ref="P497:T497"/>
    <mergeCell ref="P297:T2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63:E163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293:T293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P197:V197"/>
    <mergeCell ref="A249:Z249"/>
    <mergeCell ref="A127:Z127"/>
    <mergeCell ref="A320:Z320"/>
    <mergeCell ref="A114:Z114"/>
    <mergeCell ref="D567:D568"/>
    <mergeCell ref="A555:Z555"/>
    <mergeCell ref="P433:T433"/>
    <mergeCell ref="D276:E276"/>
    <mergeCell ref="A549:Z549"/>
    <mergeCell ref="P353:V353"/>
    <mergeCell ref="P262:T262"/>
    <mergeCell ref="P60:T60"/>
    <mergeCell ref="D291:E291"/>
    <mergeCell ref="D239:E239"/>
    <mergeCell ref="A279:O280"/>
    <mergeCell ref="D266:E266"/>
    <mergeCell ref="P149:T149"/>
    <mergeCell ref="D95:E95"/>
    <mergeCell ref="P505:T505"/>
    <mergeCell ref="J567:J568"/>
    <mergeCell ref="L567:L568"/>
    <mergeCell ref="AD17:AF18"/>
    <mergeCell ref="A310:O311"/>
    <mergeCell ref="P167:V167"/>
    <mergeCell ref="V6:W9"/>
    <mergeCell ref="A132:Z132"/>
    <mergeCell ref="A430:Z430"/>
    <mergeCell ref="D76:E76"/>
    <mergeCell ref="F5:G5"/>
    <mergeCell ref="P467:V467"/>
    <mergeCell ref="D455:E455"/>
    <mergeCell ref="P509:T509"/>
    <mergeCell ref="P119:V119"/>
    <mergeCell ref="P67:T67"/>
    <mergeCell ref="D175:E175"/>
    <mergeCell ref="W567:W568"/>
    <mergeCell ref="P82:T82"/>
    <mergeCell ref="D392:E392"/>
    <mergeCell ref="D221:E221"/>
    <mergeCell ref="V11:W11"/>
    <mergeCell ref="Y566:Z566"/>
    <mergeCell ref="P57:T57"/>
    <mergeCell ref="P367:T367"/>
    <mergeCell ref="D165:E165"/>
    <mergeCell ref="P486:T486"/>
    <mergeCell ref="P75:T75"/>
    <mergeCell ref="P317:T317"/>
    <mergeCell ref="D152:E152"/>
    <mergeCell ref="D223:E223"/>
    <mergeCell ref="D450:E450"/>
    <mergeCell ref="A263:O264"/>
    <mergeCell ref="A192:O193"/>
    <mergeCell ref="P121:T121"/>
    <mergeCell ref="P2:W3"/>
    <mergeCell ref="P133:T133"/>
    <mergeCell ref="P298:T298"/>
    <mergeCell ref="D437:E437"/>
    <mergeCell ref="D241:E241"/>
    <mergeCell ref="P218:V218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228:E228"/>
    <mergeCell ref="D10:E10"/>
    <mergeCell ref="F10:G10"/>
    <mergeCell ref="P191:T191"/>
    <mergeCell ref="D305:E305"/>
    <mergeCell ref="D243:E243"/>
    <mergeCell ref="P78:V78"/>
    <mergeCell ref="D397:E397"/>
    <mergeCell ref="D528:E528"/>
    <mergeCell ref="P128:T128"/>
    <mergeCell ref="P364:T364"/>
    <mergeCell ref="A499:O500"/>
    <mergeCell ref="P181:T181"/>
    <mergeCell ref="P357:T357"/>
    <mergeCell ref="D29:E29"/>
    <mergeCell ref="P49:T49"/>
    <mergeCell ref="P478:T478"/>
    <mergeCell ref="D321:E321"/>
    <mergeCell ref="P278:T278"/>
    <mergeCell ref="D150:E150"/>
    <mergeCell ref="P129:V129"/>
    <mergeCell ref="P107:T107"/>
    <mergeCell ref="P465:T465"/>
    <mergeCell ref="D386:E386"/>
    <mergeCell ref="A426:O427"/>
    <mergeCell ref="A339:O340"/>
    <mergeCell ref="A531:Z531"/>
    <mergeCell ref="A409:Z409"/>
    <mergeCell ref="M17:M18"/>
    <mergeCell ref="P336:T336"/>
    <mergeCell ref="O17:O18"/>
    <mergeCell ref="P187:V187"/>
    <mergeCell ref="P258:V258"/>
    <mergeCell ref="P52:V52"/>
    <mergeCell ref="P494:V494"/>
    <mergeCell ref="P417:T417"/>
    <mergeCell ref="P456:V456"/>
    <mergeCell ref="A312:Z312"/>
    <mergeCell ref="D177:E177"/>
    <mergeCell ref="P414:V414"/>
    <mergeCell ref="D226:E226"/>
    <mergeCell ref="P183:T183"/>
    <mergeCell ref="D164:E164"/>
    <mergeCell ref="P365:T365"/>
    <mergeCell ref="P62:T62"/>
    <mergeCell ref="D23:E23"/>
    <mergeCell ref="P344:T344"/>
    <mergeCell ref="P48:T48"/>
    <mergeCell ref="D292:E292"/>
    <mergeCell ref="P346:T346"/>
    <mergeCell ref="D534:E534"/>
    <mergeCell ref="D227:E227"/>
    <mergeCell ref="D525:E525"/>
    <mergeCell ref="P321:T321"/>
    <mergeCell ref="A9:C9"/>
    <mergeCell ref="A413:O414"/>
    <mergeCell ref="D58:E58"/>
    <mergeCell ref="A302:Z302"/>
    <mergeCell ref="D231:E231"/>
    <mergeCell ref="D358:E358"/>
    <mergeCell ref="P32:V32"/>
    <mergeCell ref="Q13:R13"/>
    <mergeCell ref="P401:V401"/>
    <mergeCell ref="P268:V268"/>
    <mergeCell ref="P339:V339"/>
    <mergeCell ref="P139:T139"/>
    <mergeCell ref="A125:O126"/>
    <mergeCell ref="A318:O319"/>
    <mergeCell ref="P176:T176"/>
    <mergeCell ref="P241:T241"/>
    <mergeCell ref="P41:T41"/>
    <mergeCell ref="A157:Z157"/>
    <mergeCell ref="D22:E22"/>
    <mergeCell ref="D149:E149"/>
    <mergeCell ref="P470:T470"/>
    <mergeCell ref="P426:V426"/>
    <mergeCell ref="D385:E385"/>
    <mergeCell ref="P178:T178"/>
    <mergeCell ref="P276:T276"/>
    <mergeCell ref="Y567:Y568"/>
    <mergeCell ref="P551:T551"/>
    <mergeCell ref="A169:Z169"/>
    <mergeCell ref="A296:Z296"/>
    <mergeCell ref="D288:E288"/>
    <mergeCell ref="A532:Z532"/>
    <mergeCell ref="P59:T59"/>
    <mergeCell ref="P190:T190"/>
    <mergeCell ref="D434:E434"/>
    <mergeCell ref="P282:T282"/>
    <mergeCell ref="D154:E154"/>
    <mergeCell ref="A539:O540"/>
    <mergeCell ref="D225:E225"/>
    <mergeCell ref="P111:T111"/>
    <mergeCell ref="D461:E461"/>
    <mergeCell ref="P61:T61"/>
    <mergeCell ref="A51:O52"/>
    <mergeCell ref="P359:T359"/>
    <mergeCell ref="D436:E436"/>
    <mergeCell ref="P105:T105"/>
    <mergeCell ref="D384:E384"/>
    <mergeCell ref="A64:O65"/>
    <mergeCell ref="P192:V192"/>
    <mergeCell ref="D151:E151"/>
    <mergeCell ref="D449:E449"/>
    <mergeCell ref="A559:O564"/>
    <mergeCell ref="A547:O548"/>
    <mergeCell ref="A533:Z533"/>
    <mergeCell ref="D216:E216"/>
    <mergeCell ref="P300:V300"/>
    <mergeCell ref="P507:T507"/>
    <mergeCell ref="P534:T534"/>
    <mergeCell ref="AB17:AB18"/>
    <mergeCell ref="P563:V563"/>
    <mergeCell ref="D367:E367"/>
    <mergeCell ref="H5:M5"/>
    <mergeCell ref="P473:V473"/>
    <mergeCell ref="P98:T98"/>
    <mergeCell ref="A214:Z214"/>
    <mergeCell ref="D317:E317"/>
    <mergeCell ref="P225:T225"/>
    <mergeCell ref="D510:E510"/>
    <mergeCell ref="A390:Z390"/>
    <mergeCell ref="A341:Z341"/>
    <mergeCell ref="P461:T461"/>
    <mergeCell ref="D304:E304"/>
    <mergeCell ref="D6:M6"/>
    <mergeCell ref="P175:T175"/>
    <mergeCell ref="A85:Z8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P274:T274"/>
    <mergeCell ref="A155:O156"/>
    <mergeCell ref="P109:T109"/>
    <mergeCell ref="P222:T222"/>
    <mergeCell ref="A462:O463"/>
    <mergeCell ref="P22:T22"/>
    <mergeCell ref="P40:T40"/>
    <mergeCell ref="P567:P568"/>
    <mergeCell ref="P236:V236"/>
    <mergeCell ref="P92:V92"/>
    <mergeCell ref="P394:V394"/>
    <mergeCell ref="P80:T80"/>
    <mergeCell ref="Z17:Z18"/>
    <mergeCell ref="P173:V173"/>
    <mergeCell ref="A172:O173"/>
    <mergeCell ref="A54:Z54"/>
    <mergeCell ref="P100:V100"/>
    <mergeCell ref="D207:E207"/>
    <mergeCell ref="P164:T164"/>
    <mergeCell ref="D370:E370"/>
    <mergeCell ref="D222:E222"/>
    <mergeCell ref="A529:O530"/>
    <mergeCell ref="P399:T399"/>
    <mergeCell ref="G17:G18"/>
    <mergeCell ref="P526:T526"/>
    <mergeCell ref="P413:V413"/>
    <mergeCell ref="P407:V407"/>
    <mergeCell ref="A403:Z403"/>
    <mergeCell ref="D80:E80"/>
    <mergeCell ref="P553:V553"/>
    <mergeCell ref="P382:V382"/>
    <mergeCell ref="P42:V42"/>
    <mergeCell ref="O567:O568"/>
    <mergeCell ref="Q567:Q568"/>
    <mergeCell ref="P99:V99"/>
    <mergeCell ref="D39:E39"/>
    <mergeCell ref="A464:Z464"/>
    <mergeCell ref="AA17:AA18"/>
    <mergeCell ref="P552:V552"/>
    <mergeCell ref="H10:M10"/>
    <mergeCell ref="AC17:AC18"/>
    <mergeCell ref="P108:T108"/>
    <mergeCell ref="D418:E418"/>
    <mergeCell ref="D393:E393"/>
    <mergeCell ref="A491:Z491"/>
    <mergeCell ref="D89:E89"/>
    <mergeCell ref="P445:V445"/>
    <mergeCell ref="P251:T251"/>
    <mergeCell ref="P512:T512"/>
    <mergeCell ref="P487:T487"/>
    <mergeCell ref="A235:O236"/>
    <mergeCell ref="P343:T343"/>
    <mergeCell ref="D153:E153"/>
    <mergeCell ref="P256:T256"/>
    <mergeCell ref="D128:E128"/>
    <mergeCell ref="D199:E199"/>
    <mergeCell ref="A112:O113"/>
    <mergeCell ref="P38:T38"/>
    <mergeCell ref="D497:E497"/>
    <mergeCell ref="D364:E364"/>
    <mergeCell ref="D435:E435"/>
    <mergeCell ref="A348:O349"/>
    <mergeCell ref="A299:O300"/>
    <mergeCell ref="P345:T345"/>
    <mergeCell ref="P562:V562"/>
    <mergeCell ref="P37:T37"/>
    <mergeCell ref="P143:T143"/>
    <mergeCell ref="A129:O130"/>
    <mergeCell ref="P506:T506"/>
    <mergeCell ref="P477:T477"/>
    <mergeCell ref="P306:T306"/>
    <mergeCell ref="P213:V213"/>
    <mergeCell ref="A147:Z147"/>
    <mergeCell ref="P207:T207"/>
    <mergeCell ref="P520:V520"/>
    <mergeCell ref="P172:V172"/>
    <mergeCell ref="D138:E138"/>
    <mergeCell ref="P457:V457"/>
    <mergeCell ref="P393:T393"/>
    <mergeCell ref="D374:E374"/>
    <mergeCell ref="P232:T232"/>
    <mergeCell ref="P330:T330"/>
    <mergeCell ref="P517:T517"/>
    <mergeCell ref="D438:E438"/>
    <mergeCell ref="D509:E509"/>
    <mergeCell ref="D267:E267"/>
    <mergeCell ref="D425:E425"/>
    <mergeCell ref="D359:E359"/>
    <mergeCell ref="P96:T96"/>
    <mergeCell ref="P261:T261"/>
    <mergeCell ref="P90:T90"/>
    <mergeCell ref="P452:V452"/>
    <mergeCell ref="D465:E465"/>
    <mergeCell ref="P154:T154"/>
    <mergeCell ref="D75:E75"/>
    <mergeCell ref="P560:V560"/>
    <mergeCell ref="A15:M15"/>
    <mergeCell ref="P238:T238"/>
    <mergeCell ref="D48:E48"/>
    <mergeCell ref="D346:E346"/>
    <mergeCell ref="P229:T229"/>
    <mergeCell ref="D477:E477"/>
    <mergeCell ref="P375:T375"/>
    <mergeCell ref="P179:T179"/>
    <mergeCell ref="A198:Z198"/>
    <mergeCell ref="J9:M9"/>
    <mergeCell ref="D283:E283"/>
    <mergeCell ref="A356:Z356"/>
    <mergeCell ref="P538:T538"/>
    <mergeCell ref="P389:V389"/>
    <mergeCell ref="A388:O389"/>
    <mergeCell ref="D62:E62"/>
    <mergeCell ref="A519:O520"/>
    <mergeCell ref="D56:E56"/>
    <mergeCell ref="P377:T377"/>
    <mergeCell ref="P206:T206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P155:V155"/>
    <mergeCell ref="H17:H18"/>
    <mergeCell ref="P27:T27"/>
    <mergeCell ref="P247:V247"/>
    <mergeCell ref="T6:U9"/>
    <mergeCell ref="Q10:R10"/>
    <mergeCell ref="D185:E185"/>
    <mergeCell ref="D41:E41"/>
    <mergeCell ref="A429:Z429"/>
    <mergeCell ref="P318:V318"/>
    <mergeCell ref="A557:O558"/>
    <mergeCell ref="D277:E277"/>
    <mergeCell ref="P25:V25"/>
    <mergeCell ref="AB567:AB568"/>
    <mergeCell ref="A137:Z137"/>
    <mergeCell ref="P84:V84"/>
    <mergeCell ref="P314:V314"/>
    <mergeCell ref="P387:T387"/>
    <mergeCell ref="P216:T216"/>
    <mergeCell ref="P360:V360"/>
    <mergeCell ref="A217:O218"/>
    <mergeCell ref="P87:T87"/>
    <mergeCell ref="A203:Z203"/>
    <mergeCell ref="D68:E68"/>
    <mergeCell ref="P245:T245"/>
    <mergeCell ref="P516:T516"/>
    <mergeCell ref="P126:V126"/>
    <mergeCell ref="D424:E424"/>
    <mergeCell ref="P224:T224"/>
    <mergeCell ref="P211:T211"/>
    <mergeCell ref="D399:E399"/>
    <mergeCell ref="P89:T89"/>
    <mergeCell ref="A439:O440"/>
    <mergeCell ref="P309:T309"/>
    <mergeCell ref="D59:E59"/>
    <mergeCell ref="D178:E178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A466:O467"/>
    <mergeCell ref="D338:E338"/>
    <mergeCell ref="D282:E282"/>
    <mergeCell ref="D233:E233"/>
    <mergeCell ref="P212:V212"/>
    <mergeCell ref="D469:E469"/>
    <mergeCell ref="A142:Z142"/>
    <mergeCell ref="D111:E111"/>
    <mergeCell ref="P69:T69"/>
    <mergeCell ref="D183:E183"/>
    <mergeCell ref="Q8:R8"/>
    <mergeCell ref="P438:T438"/>
    <mergeCell ref="D444:E444"/>
    <mergeCell ref="A257:O258"/>
    <mergeCell ref="P267:T267"/>
    <mergeCell ref="D275:E275"/>
    <mergeCell ref="A186:O187"/>
    <mergeCell ref="P425:T425"/>
    <mergeCell ref="P254:V254"/>
    <mergeCell ref="D104:E104"/>
    <mergeCell ref="A79:Z79"/>
    <mergeCell ref="P83:V83"/>
    <mergeCell ref="A12:M12"/>
    <mergeCell ref="D343:E343"/>
    <mergeCell ref="P397:T397"/>
    <mergeCell ref="A416:Z416"/>
    <mergeCell ref="P200:V200"/>
    <mergeCell ref="A19:Z19"/>
    <mergeCell ref="G567:G568"/>
    <mergeCell ref="D182:E182"/>
    <mergeCell ref="I567:I568"/>
    <mergeCell ref="D480:E480"/>
    <mergeCell ref="A567:A568"/>
    <mergeCell ref="D551:E551"/>
    <mergeCell ref="P163:T163"/>
    <mergeCell ref="D109:E109"/>
    <mergeCell ref="A14:M14"/>
    <mergeCell ref="P424:T424"/>
    <mergeCell ref="D345:E345"/>
    <mergeCell ref="D538:E538"/>
    <mergeCell ref="P138:T138"/>
    <mergeCell ref="P319:V319"/>
    <mergeCell ref="P88:T88"/>
    <mergeCell ref="P153:T153"/>
    <mergeCell ref="A72:O73"/>
    <mergeCell ref="P511:T511"/>
    <mergeCell ref="K566:V566"/>
    <mergeCell ref="A350:Z350"/>
    <mergeCell ref="P380:T380"/>
    <mergeCell ref="P500:V500"/>
    <mergeCell ref="A325:Z325"/>
    <mergeCell ref="A13:M13"/>
    <mergeCell ref="P536:V536"/>
    <mergeCell ref="A94:Z94"/>
    <mergeCell ref="A394:O395"/>
    <mergeCell ref="P122:T122"/>
    <mergeCell ref="P484:V484"/>
    <mergeCell ref="D328:E328"/>
    <mergeCell ref="P285:T285"/>
    <mergeCell ref="A545:Z545"/>
    <mergeCell ref="P136:V136"/>
    <mergeCell ref="A188:Z188"/>
    <mergeCell ref="P263:V263"/>
    <mergeCell ref="A259:Z259"/>
    <mergeCell ref="A135:O136"/>
    <mergeCell ref="P65:V65"/>
    <mergeCell ref="D251:E251"/>
    <mergeCell ref="P499:V499"/>
    <mergeCell ref="A495:Z495"/>
    <mergeCell ref="A324:Z324"/>
    <mergeCell ref="A53:Z53"/>
    <mergeCell ref="D487:E487"/>
    <mergeCell ref="D87:E87"/>
    <mergeCell ref="P73:V73"/>
    <mergeCell ref="P315:V315"/>
    <mergeCell ref="D61:E61"/>
    <mergeCell ref="P115:T115"/>
    <mergeCell ref="D206:E206"/>
    <mergeCell ref="D504:E504"/>
    <mergeCell ref="A66:Z66"/>
    <mergeCell ref="P483:V483"/>
    <mergeCell ref="D298:E298"/>
    <mergeCell ref="D181:E181"/>
    <mergeCell ref="P91:T91"/>
    <mergeCell ref="D273:E273"/>
    <mergeCell ref="P327:T327"/>
    <mergeCell ref="P540:V540"/>
    <mergeCell ref="P305:T305"/>
    <mergeCell ref="A421:Z421"/>
    <mergeCell ref="D96:E96"/>
    <mergeCell ref="A396:Z396"/>
    <mergeCell ref="A162:Z162"/>
    <mergeCell ref="P408:V408"/>
    <mergeCell ref="D27:E27"/>
    <mergeCell ref="P208:T208"/>
    <mergeCell ref="P15:T16"/>
    <mergeCell ref="P450:T450"/>
    <mergeCell ref="D116:E116"/>
    <mergeCell ref="D352:E352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D398:E398"/>
    <mergeCell ref="P308:T308"/>
    <mergeCell ref="P210:T210"/>
    <mergeCell ref="A196:O197"/>
    <mergeCell ref="P185:T185"/>
    <mergeCell ref="D106:E106"/>
    <mergeCell ref="P283:T283"/>
    <mergeCell ref="P277:T277"/>
    <mergeCell ref="P72:V72"/>
    <mergeCell ref="D391:E391"/>
    <mergeCell ref="D220:E220"/>
    <mergeCell ref="D37:E37"/>
    <mergeCell ref="A488:O489"/>
    <mergeCell ref="P358:T358"/>
    <mergeCell ref="D230:E230"/>
    <mergeCell ref="A474:Z474"/>
    <mergeCell ref="D180:E180"/>
    <mergeCell ref="D9:E9"/>
    <mergeCell ref="F9:G9"/>
    <mergeCell ref="AA567:AA568"/>
    <mergeCell ref="P351:T351"/>
    <mergeCell ref="A419:O420"/>
    <mergeCell ref="AC567:AC568"/>
    <mergeCell ref="P289:T289"/>
    <mergeCell ref="D232:E232"/>
    <mergeCell ref="P239:T239"/>
    <mergeCell ref="P68:T68"/>
    <mergeCell ref="A247:O248"/>
    <mergeCell ref="P186:V186"/>
    <mergeCell ref="D38:E38"/>
    <mergeCell ref="A483:O484"/>
    <mergeCell ref="P524:T524"/>
    <mergeCell ref="P253:V253"/>
    <mergeCell ref="P440:V440"/>
    <mergeCell ref="A265:Z265"/>
    <mergeCell ref="P303:T303"/>
    <mergeCell ref="D507:E507"/>
    <mergeCell ref="A44:Z44"/>
    <mergeCell ref="A314:O315"/>
    <mergeCell ref="P146:V146"/>
    <mergeCell ref="D63:E63"/>
    <mergeCell ref="D330:E330"/>
    <mergeCell ref="D492:E492"/>
    <mergeCell ref="P411:T411"/>
    <mergeCell ref="P442:T442"/>
    <mergeCell ref="P489:V489"/>
    <mergeCell ref="D448:E448"/>
    <mergeCell ref="P196:V196"/>
    <mergeCell ref="D546:E546"/>
    <mergeCell ref="P354:V354"/>
    <mergeCell ref="P246:T246"/>
    <mergeCell ref="F567:F568"/>
    <mergeCell ref="H567:H568"/>
    <mergeCell ref="P469:T469"/>
    <mergeCell ref="A5:C5"/>
    <mergeCell ref="A237:Z237"/>
    <mergeCell ref="P406:T406"/>
    <mergeCell ref="P64:V64"/>
    <mergeCell ref="P135:V135"/>
    <mergeCell ref="P51:V51"/>
    <mergeCell ref="A485:Z485"/>
    <mergeCell ref="D179:E179"/>
    <mergeCell ref="P349:V349"/>
    <mergeCell ref="A174:Z174"/>
    <mergeCell ref="P420:V420"/>
    <mergeCell ref="W566:X566"/>
    <mergeCell ref="D337:E337"/>
    <mergeCell ref="D166:E166"/>
    <mergeCell ref="A537:Z537"/>
    <mergeCell ref="P195:T195"/>
    <mergeCell ref="A17:A18"/>
    <mergeCell ref="K17:K18"/>
    <mergeCell ref="C17:C18"/>
    <mergeCell ref="P431:T431"/>
    <mergeCell ref="D103:E103"/>
    <mergeCell ref="P523:T523"/>
    <mergeCell ref="P352:T352"/>
    <mergeCell ref="P498:T498"/>
    <mergeCell ref="P295:V295"/>
    <mergeCell ref="A120:Z120"/>
    <mergeCell ref="A301:Z301"/>
    <mergeCell ref="P547:V547"/>
    <mergeCell ref="P463:V463"/>
    <mergeCell ref="Q9:R9"/>
    <mergeCell ref="R567:R568"/>
    <mergeCell ref="A219:Z219"/>
    <mergeCell ref="Q11:R11"/>
    <mergeCell ref="P376:T376"/>
    <mergeCell ref="P205:T205"/>
    <mergeCell ref="A6:C6"/>
    <mergeCell ref="A493:O494"/>
    <mergeCell ref="A322:O323"/>
    <mergeCell ref="D309:E309"/>
    <mergeCell ref="P180:T180"/>
    <mergeCell ref="D88:E88"/>
    <mergeCell ref="A161:Z161"/>
    <mergeCell ref="A459:Z459"/>
    <mergeCell ref="P378:T378"/>
    <mergeCell ref="D517:E517"/>
    <mergeCell ref="A253:O254"/>
    <mergeCell ref="P117:T117"/>
    <mergeCell ref="P55:T55"/>
    <mergeCell ref="D115:E115"/>
    <mergeCell ref="P182:T182"/>
    <mergeCell ref="P480:T480"/>
    <mergeCell ref="Q12:R12"/>
    <mergeCell ref="D261:E261"/>
    <mergeCell ref="P557:V557"/>
    <mergeCell ref="P112:V112"/>
    <mergeCell ref="A102:Z102"/>
    <mergeCell ref="P348:V348"/>
    <mergeCell ref="P284:T284"/>
    <mergeCell ref="P17:T18"/>
    <mergeCell ref="P323:V323"/>
    <mergeCell ref="D523:E523"/>
    <mergeCell ref="A148:Z148"/>
    <mergeCell ref="P63:T63"/>
    <mergeCell ref="P250:T250"/>
    <mergeCell ref="P50:T50"/>
    <mergeCell ref="P492:T492"/>
    <mergeCell ref="S567:S568"/>
    <mergeCell ref="D31:E31"/>
    <mergeCell ref="U567:U568"/>
    <mergeCell ref="D329:E329"/>
    <mergeCell ref="P479:T479"/>
    <mergeCell ref="A167:O168"/>
    <mergeCell ref="D400:E400"/>
    <mergeCell ref="P286:T286"/>
    <mergeCell ref="D158:E158"/>
    <mergeCell ref="D229:E229"/>
    <mergeCell ref="M567:M568"/>
    <mergeCell ref="D108:E108"/>
    <mergeCell ref="D375:E375"/>
    <mergeCell ref="D369:E369"/>
    <mergeCell ref="P556:T556"/>
    <mergeCell ref="P423:T423"/>
    <mergeCell ref="A353:O354"/>
    <mergeCell ref="P546:T546"/>
    <mergeCell ref="P223:T223"/>
    <mergeCell ref="D245:E245"/>
    <mergeCell ref="D516:E516"/>
    <mergeCell ref="P166:T166"/>
    <mergeCell ref="P116:T116"/>
    <mergeCell ref="D122:E122"/>
    <mergeCell ref="D224:E224"/>
    <mergeCell ref="P103:T103"/>
    <mergeCell ref="A26:Z26"/>
    <mergeCell ref="A468:Z468"/>
    <mergeCell ref="P230:T230"/>
    <mergeCell ref="D211:E211"/>
    <mergeCell ref="P130:V130"/>
    <mergeCell ref="P97:T97"/>
    <mergeCell ref="D1:F1"/>
    <mergeCell ref="P488:V488"/>
    <mergeCell ref="A456:O457"/>
    <mergeCell ref="P47:T47"/>
    <mergeCell ref="J17:J18"/>
    <mergeCell ref="D82:E82"/>
    <mergeCell ref="L17:L18"/>
    <mergeCell ref="D240:E240"/>
    <mergeCell ref="D511:E511"/>
    <mergeCell ref="A342:Z342"/>
    <mergeCell ref="P125:V125"/>
    <mergeCell ref="P201:V201"/>
    <mergeCell ref="P481:T481"/>
    <mergeCell ref="I17:I18"/>
    <mergeCell ref="D306:E306"/>
    <mergeCell ref="P189:T189"/>
    <mergeCell ref="D377:E377"/>
    <mergeCell ref="P287:T287"/>
    <mergeCell ref="D90:E90"/>
    <mergeCell ref="P482:T482"/>
    <mergeCell ref="A475:Z475"/>
    <mergeCell ref="A332:O333"/>
    <mergeCell ref="A521:Z521"/>
    <mergeCell ref="P33:V33"/>
    <mergeCell ref="D527:E527"/>
    <mergeCell ref="P264:V264"/>
    <mergeCell ref="P93:V93"/>
    <mergeCell ref="B567:B568"/>
    <mergeCell ref="P542:T542"/>
    <mergeCell ref="P462:V462"/>
    <mergeCell ref="A458:Z458"/>
    <mergeCell ref="P269:V269"/>
    <mergeCell ref="A45:Z45"/>
    <mergeCell ref="A281:Z281"/>
    <mergeCell ref="P333:V333"/>
    <mergeCell ref="P273:T273"/>
    <mergeCell ref="D387:E387"/>
    <mergeCell ref="D443:E443"/>
    <mergeCell ref="P400:T400"/>
    <mergeCell ref="D272:E272"/>
    <mergeCell ref="A316:Z316"/>
    <mergeCell ref="D210:E210"/>
    <mergeCell ref="D308:E308"/>
    <mergeCell ref="P39:T39"/>
    <mergeCell ref="A46:Z46"/>
    <mergeCell ref="P508:T508"/>
    <mergeCell ref="D380:E380"/>
    <mergeCell ref="A453:Z453"/>
    <mergeCell ref="P337:T337"/>
    <mergeCell ref="D209:E209"/>
    <mergeCell ref="D274:E274"/>
    <mergeCell ref="H1:Q1"/>
    <mergeCell ref="A501:Z501"/>
    <mergeCell ref="T567:T568"/>
    <mergeCell ref="P280:V280"/>
    <mergeCell ref="D284:E284"/>
    <mergeCell ref="P193:V193"/>
    <mergeCell ref="A74:Z74"/>
    <mergeCell ref="A503:Z503"/>
    <mergeCell ref="D28:E28"/>
    <mergeCell ref="V10:W10"/>
    <mergeCell ref="A535:O536"/>
    <mergeCell ref="P405:T405"/>
    <mergeCell ref="D326:E326"/>
    <mergeCell ref="A101:Z101"/>
    <mergeCell ref="P257:V257"/>
    <mergeCell ref="D313:E313"/>
    <mergeCell ref="P184:T184"/>
    <mergeCell ref="D432:E432"/>
    <mergeCell ref="A472:O473"/>
    <mergeCell ref="P171:T171"/>
    <mergeCell ref="A543:O544"/>
    <mergeCell ref="P340:V340"/>
    <mergeCell ref="P242:T242"/>
    <mergeCell ref="D524:E524"/>
    <mergeCell ref="D117:E117"/>
    <mergeCell ref="D55:E55"/>
    <mergeCell ref="D30:E30"/>
    <mergeCell ref="D67:E67"/>
    <mergeCell ref="D5:E5"/>
    <mergeCell ref="D303:E303"/>
    <mergeCell ref="D496:E496"/>
    <mergeCell ref="A32:O33"/>
    <mergeCell ref="D7:M7"/>
    <mergeCell ref="P548:V548"/>
    <mergeCell ref="A373:Z373"/>
    <mergeCell ref="D365:E365"/>
    <mergeCell ref="P156:V156"/>
    <mergeCell ref="D144:E144"/>
    <mergeCell ref="A451:O452"/>
    <mergeCell ref="D442:E442"/>
    <mergeCell ref="A159:O160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279:V279"/>
    <mergeCell ref="P472:V472"/>
    <mergeCell ref="P31:T31"/>
    <mergeCell ref="P329:T329"/>
    <mergeCell ref="P158:T158"/>
    <mergeCell ref="P522:T522"/>
    <mergeCell ref="D406:E406"/>
    <mergeCell ref="D139:E139"/>
    <mergeCell ref="P118:V118"/>
    <mergeCell ref="P266:T266"/>
    <mergeCell ref="P530:V530"/>
    <mergeCell ref="A355:Z355"/>
    <mergeCell ref="P95:T95"/>
    <mergeCell ref="P527:T527"/>
    <mergeCell ref="P331:T331"/>
    <mergeCell ref="P564:V564"/>
    <mergeCell ref="P113:V113"/>
    <mergeCell ref="P443:T443"/>
    <mergeCell ref="K567:K568"/>
    <mergeCell ref="D351:E351"/>
    <mergeCell ref="C567:C568"/>
    <mergeCell ref="D411:E411"/>
    <mergeCell ref="D289:E289"/>
    <mergeCell ref="E567:E568"/>
    <mergeCell ref="D482:E482"/>
    <mergeCell ref="P159:V159"/>
    <mergeCell ref="P395:V395"/>
    <mergeCell ref="D47:E47"/>
    <mergeCell ref="A447:Z447"/>
    <mergeCell ref="P209:T209"/>
    <mergeCell ref="W17:W18"/>
    <mergeCell ref="A86:Z86"/>
    <mergeCell ref="P332:V332"/>
    <mergeCell ref="P559:V559"/>
    <mergeCell ref="P388:V388"/>
    <mergeCell ref="P217:V217"/>
    <mergeCell ref="A515:Z515"/>
    <mergeCell ref="D110:E110"/>
    <mergeCell ref="P234:T234"/>
    <mergeCell ref="P561:V561"/>
    <mergeCell ref="A215:Z215"/>
    <mergeCell ref="D378:E378"/>
    <mergeCell ref="P550:T550"/>
    <mergeCell ref="D470:E470"/>
    <mergeCell ref="A212:O213"/>
    <mergeCell ref="D290:E290"/>
    <mergeCell ref="D417:E417"/>
    <mergeCell ref="R1:T1"/>
    <mergeCell ref="P150:T150"/>
    <mergeCell ref="D71:E71"/>
    <mergeCell ref="P392:T392"/>
    <mergeCell ref="P326:T326"/>
    <mergeCell ref="P221:T221"/>
    <mergeCell ref="P386:T386"/>
    <mergeCell ref="D307:E307"/>
    <mergeCell ref="A145:O146"/>
    <mergeCell ref="P28:T28"/>
    <mergeCell ref="A381:O382"/>
    <mergeCell ref="P165:T165"/>
    <mergeCell ref="P432:T432"/>
    <mergeCell ref="D98:E98"/>
    <mergeCell ref="P152:T152"/>
    <mergeCell ref="P77:V77"/>
    <mergeCell ref="P30:T30"/>
    <mergeCell ref="P402:V402"/>
    <mergeCell ref="P290:T290"/>
    <mergeCell ref="P141:V141"/>
    <mergeCell ref="A140:O141"/>
    <mergeCell ref="A202:Z202"/>
    <mergeCell ref="P275:T275"/>
    <mergeCell ref="P168:V168"/>
    <mergeCell ref="P104:T104"/>
    <mergeCell ref="B17:B18"/>
    <mergeCell ref="A77:O78"/>
    <mergeCell ref="P248:V248"/>
    <mergeCell ref="A260:Z260"/>
    <mergeCell ref="P235:V235"/>
    <mergeCell ref="A407:O408"/>
    <mergeCell ref="A92:O93"/>
    <mergeCell ref="P558:V558"/>
    <mergeCell ref="A383:Z383"/>
    <mergeCell ref="A334:Z334"/>
    <mergeCell ref="P454:T454"/>
    <mergeCell ref="D297:E297"/>
    <mergeCell ref="D70:E70"/>
    <mergeCell ref="P391:T391"/>
    <mergeCell ref="P220:T220"/>
    <mergeCell ref="D505:E505"/>
    <mergeCell ref="P518:T518"/>
    <mergeCell ref="A363:Z363"/>
    <mergeCell ref="D238:E238"/>
    <mergeCell ref="D486:E486"/>
    <mergeCell ref="P328:T328"/>
    <mergeCell ref="P384:T384"/>
    <mergeCell ref="D134:E134"/>
    <mergeCell ref="P455:T455"/>
    <mergeCell ref="D376:E376"/>
    <mergeCell ref="D205:E205"/>
    <mergeCell ref="D357:E357"/>
    <mergeCell ref="P446:V446"/>
    <mergeCell ref="A445:O446"/>
    <mergeCell ref="P466:V466"/>
    <mergeCell ref="D479:E479"/>
    <mergeCell ref="A502:Z502"/>
    <mergeCell ref="D556:E556"/>
    <mergeCell ref="P404:T404"/>
    <mergeCell ref="D518:E518"/>
    <mergeCell ref="P252:T252"/>
    <mergeCell ref="D124:E124"/>
    <mergeCell ref="D195:E195"/>
    <mergeCell ref="P379:T379"/>
    <mergeCell ref="P514:V514"/>
    <mergeCell ref="D60:E60"/>
    <mergeCell ref="A513:O514"/>
    <mergeCell ref="P244:T244"/>
    <mergeCell ref="P437:T437"/>
    <mergeCell ref="P144:T144"/>
    <mergeCell ref="P231:T231"/>
    <mergeCell ref="D423:E423"/>
    <mergeCell ref="A34:Z34"/>
    <mergeCell ref="P451:V451"/>
    <mergeCell ref="D410:E410"/>
    <mergeCell ref="A441:Z441"/>
    <mergeCell ref="A270:Z270"/>
    <mergeCell ref="P543:V543"/>
    <mergeCell ref="H9:I9"/>
    <mergeCell ref="P24:V24"/>
    <mergeCell ref="P322:V322"/>
    <mergeCell ref="A36:Z36"/>
    <mergeCell ref="P81:T81"/>
    <mergeCell ref="P299:V299"/>
    <mergeCell ref="D189:E189"/>
    <mergeCell ref="D431:E431"/>
    <mergeCell ref="P56:T56"/>
    <mergeCell ref="A422:Z422"/>
    <mergeCell ref="P366:T366"/>
    <mergeCell ref="D287:E287"/>
    <mergeCell ref="P170:T170"/>
    <mergeCell ref="P471:T471"/>
    <mergeCell ref="A401:O402"/>
    <mergeCell ref="D69:E69"/>
    <mergeCell ref="D498:E498"/>
    <mergeCell ref="P240:T24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2" spans="2:8" x14ac:dyDescent="0.2">
      <c r="B12" s="47" t="s">
        <v>888</v>
      </c>
      <c r="C12" s="47" t="s">
        <v>874</v>
      </c>
      <c r="D12" s="47"/>
      <c r="E12" s="47"/>
    </row>
    <row r="14" spans="2:8" x14ac:dyDescent="0.2">
      <c r="B14" s="47" t="s">
        <v>889</v>
      </c>
      <c r="C14" s="47" t="s">
        <v>877</v>
      </c>
      <c r="D14" s="47"/>
      <c r="E14" s="47"/>
    </row>
    <row r="16" spans="2:8" x14ac:dyDescent="0.2">
      <c r="B16" s="47" t="s">
        <v>890</v>
      </c>
      <c r="C16" s="47" t="s">
        <v>880</v>
      </c>
      <c r="D16" s="47"/>
      <c r="E16" s="47"/>
    </row>
    <row r="18" spans="2:5" x14ac:dyDescent="0.2">
      <c r="B18" s="47" t="s">
        <v>891</v>
      </c>
      <c r="C18" s="47" t="s">
        <v>883</v>
      </c>
      <c r="D18" s="47"/>
      <c r="E18" s="47"/>
    </row>
    <row r="20" spans="2:5" x14ac:dyDescent="0.2">
      <c r="B20" s="47" t="s">
        <v>892</v>
      </c>
      <c r="C20" s="47" t="s">
        <v>886</v>
      </c>
      <c r="D20" s="47"/>
      <c r="E20" s="47"/>
    </row>
    <row r="22" spans="2:5" x14ac:dyDescent="0.2">
      <c r="B22" s="47" t="s">
        <v>893</v>
      </c>
      <c r="C22" s="47"/>
      <c r="D22" s="47"/>
      <c r="E22" s="47"/>
    </row>
    <row r="23" spans="2:5" x14ac:dyDescent="0.2">
      <c r="B23" s="47" t="s">
        <v>894</v>
      </c>
      <c r="C23" s="47"/>
      <c r="D23" s="47"/>
      <c r="E23" s="47"/>
    </row>
    <row r="24" spans="2:5" x14ac:dyDescent="0.2">
      <c r="B24" s="47" t="s">
        <v>895</v>
      </c>
      <c r="C24" s="47"/>
      <c r="D24" s="47"/>
      <c r="E24" s="47"/>
    </row>
    <row r="25" spans="2:5" x14ac:dyDescent="0.2">
      <c r="B25" s="47" t="s">
        <v>896</v>
      </c>
      <c r="C25" s="47"/>
      <c r="D25" s="47"/>
      <c r="E25" s="47"/>
    </row>
    <row r="26" spans="2:5" x14ac:dyDescent="0.2">
      <c r="B26" s="47" t="s">
        <v>897</v>
      </c>
      <c r="C26" s="47"/>
      <c r="D26" s="47"/>
      <c r="E26" s="47"/>
    </row>
    <row r="27" spans="2:5" x14ac:dyDescent="0.2">
      <c r="B27" s="47" t="s">
        <v>898</v>
      </c>
      <c r="C27" s="47"/>
      <c r="D27" s="47"/>
      <c r="E27" s="47"/>
    </row>
    <row r="28" spans="2:5" x14ac:dyDescent="0.2">
      <c r="B28" s="47" t="s">
        <v>899</v>
      </c>
      <c r="C28" s="47"/>
      <c r="D28" s="47"/>
      <c r="E28" s="47"/>
    </row>
    <row r="29" spans="2:5" x14ac:dyDescent="0.2">
      <c r="B29" s="47" t="s">
        <v>900</v>
      </c>
      <c r="C29" s="47"/>
      <c r="D29" s="47"/>
      <c r="E29" s="47"/>
    </row>
    <row r="30" spans="2:5" x14ac:dyDescent="0.2">
      <c r="B30" s="47" t="s">
        <v>901</v>
      </c>
      <c r="C30" s="47"/>
      <c r="D30" s="47"/>
      <c r="E30" s="47"/>
    </row>
    <row r="31" spans="2:5" x14ac:dyDescent="0.2">
      <c r="B31" s="47" t="s">
        <v>902</v>
      </c>
      <c r="C31" s="47"/>
      <c r="D31" s="47"/>
      <c r="E31" s="47"/>
    </row>
    <row r="32" spans="2:5" x14ac:dyDescent="0.2">
      <c r="B32" s="47" t="s">
        <v>903</v>
      </c>
      <c r="C32" s="47"/>
      <c r="D32" s="47"/>
      <c r="E32" s="47"/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2026-09-25T08:45:20Z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