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29DC3DD-3D8B-46CB-9156-155E3FE43C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3" i="1"/>
  <c r="P21" i="1"/>
  <c r="O21" i="1"/>
  <c r="N21" i="1"/>
  <c r="N28" i="1" s="1"/>
  <c r="T27" i="1" l="1"/>
  <c r="T26" i="1"/>
  <c r="T25" i="1"/>
  <c r="T24" i="1"/>
  <c r="T28" i="1" s="1"/>
  <c r="T23" i="1"/>
  <c r="C21" i="1" l="1"/>
  <c r="D21" i="1"/>
  <c r="E21" i="1" l="1"/>
  <c r="E28" i="1" s="1"/>
  <c r="S21" i="1" l="1"/>
  <c r="R21" i="1"/>
  <c r="Q21" i="1"/>
  <c r="Q28" i="1" s="1"/>
  <c r="F21" i="1" l="1"/>
  <c r="G21" i="1"/>
  <c r="H21" i="1"/>
  <c r="H28" i="1" s="1"/>
  <c r="I21" i="1"/>
  <c r="J21" i="1"/>
  <c r="K21" i="1"/>
  <c r="K28" i="1" s="1"/>
  <c r="L21" i="1"/>
  <c r="M21" i="1"/>
  <c r="B21" i="1" l="1"/>
  <c r="T21" i="1" l="1"/>
</calcChain>
</file>

<file path=xl/sharedStrings.xml><?xml version="1.0" encoding="utf-8"?>
<sst xmlns="http://schemas.openxmlformats.org/spreadsheetml/2006/main" count="55" uniqueCount="34">
  <si>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</si>
  <si>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</si>
  <si>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</si>
  <si>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</si>
  <si>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</si>
  <si>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</si>
  <si>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</si>
  <si>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</si>
  <si>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</si>
  <si>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</si>
  <si>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</si>
  <si>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</si>
  <si>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</si>
  <si>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</si>
  <si>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</si>
  <si>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</si>
  <si>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</si>
  <si>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</si>
  <si>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</si>
  <si>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</si>
  <si>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</si>
  <si>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</si>
  <si>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</si>
  <si>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</si>
  <si>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</si>
  <si>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Мариуполь</t>
  </si>
  <si>
    <t>1 машина на 28,09</t>
  </si>
  <si>
    <t>СЫРЫ</t>
  </si>
  <si>
    <t>2 машина на 28,09</t>
  </si>
  <si>
    <t>1 машина на 29,09</t>
  </si>
  <si>
    <t>2 машина на 29,09</t>
  </si>
  <si>
    <t>3 машина на 29,09</t>
  </si>
  <si>
    <t>НВ</t>
  </si>
  <si>
    <t>КСК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</si>
</sst>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6" xfId="0" applyFill="1" applyBorder="1"/>
    <xf numFmtId="0" fontId="0" fillId="0" borderId="28" xfId="0" applyBorder="1"/>
    <xf numFmtId="0" fontId="0" fillId="0" borderId="29" xfId="0" applyBorder="1"/>
    <xf numFmtId="0" fontId="1" fillId="0" borderId="27" xfId="0" applyFont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zoomScale="115" zoomScaleNormal="115" workbookViewId="0">
      <selection activeCell="W6" sqref="W6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35" t="s">
        <v>5</v>
      </c>
      <c r="B1" s="37" t="s">
        <v>18</v>
      </c>
      <c r="C1" s="37" t="s">
        <v>19</v>
      </c>
      <c r="D1" s="37" t="s">
        <v>20</v>
      </c>
      <c r="E1" s="35" t="s">
        <v>26</v>
      </c>
      <c r="F1" s="39"/>
      <c r="G1" s="40"/>
      <c r="H1" s="35" t="s">
        <v>28</v>
      </c>
      <c r="I1" s="39"/>
      <c r="J1" s="40"/>
      <c r="K1" s="35" t="s">
        <v>29</v>
      </c>
      <c r="L1" s="39"/>
      <c r="M1" s="40"/>
      <c r="N1" s="35" t="s">
        <v>30</v>
      </c>
      <c r="O1" s="39"/>
      <c r="P1" s="40"/>
      <c r="Q1" s="35" t="s">
        <v>31</v>
      </c>
      <c r="R1" s="39"/>
      <c r="S1" s="40"/>
      <c r="T1" s="33" t="s">
        <v>6</v>
      </c>
    </row>
    <row r="2" spans="1:20" ht="30.75" thickBot="1" x14ac:dyDescent="0.3">
      <c r="A2" s="36"/>
      <c r="B2" s="38"/>
      <c r="C2" s="38"/>
      <c r="D2" s="38"/>
      <c r="E2" s="17" t="s">
        <v>9</v>
      </c>
      <c r="F2" s="18" t="s">
        <v>10</v>
      </c>
      <c r="G2" s="19" t="s">
        <v>11</v>
      </c>
      <c r="H2" s="17" t="s">
        <v>9</v>
      </c>
      <c r="I2" s="18" t="s">
        <v>10</v>
      </c>
      <c r="J2" s="19" t="s">
        <v>11</v>
      </c>
      <c r="K2" s="17" t="s">
        <v>9</v>
      </c>
      <c r="L2" s="18" t="s">
        <v>10</v>
      </c>
      <c r="M2" s="19" t="s">
        <v>11</v>
      </c>
      <c r="N2" s="17" t="s">
        <v>9</v>
      </c>
      <c r="O2" s="18" t="s">
        <v>10</v>
      </c>
      <c r="P2" s="19" t="s">
        <v>11</v>
      </c>
      <c r="Q2" s="17" t="s">
        <v>9</v>
      </c>
      <c r="R2" s="18" t="s">
        <v>10</v>
      </c>
      <c r="S2" s="19" t="s">
        <v>11</v>
      </c>
      <c r="T2" s="34"/>
    </row>
    <row r="3" spans="1:20" x14ac:dyDescent="0.25">
      <c r="A3" s="6" t="s">
        <v>0</v>
      </c>
      <c r="B3" s="20">
        <v>10916</v>
      </c>
      <c r="C3" s="21"/>
      <c r="D3" s="22"/>
      <c r="E3" s="20"/>
      <c r="F3" s="21"/>
      <c r="G3" s="22"/>
      <c r="H3" s="6"/>
      <c r="I3" s="3"/>
      <c r="J3" s="7"/>
      <c r="K3" s="6">
        <v>10916</v>
      </c>
      <c r="L3" s="3">
        <v>12005</v>
      </c>
      <c r="M3" s="7">
        <v>18</v>
      </c>
      <c r="N3" s="6"/>
      <c r="O3" s="3"/>
      <c r="P3" s="7"/>
      <c r="Q3" s="6"/>
      <c r="R3" s="3"/>
      <c r="S3" s="7"/>
      <c r="T3" s="8">
        <f>B3-E3-H3-K3-N3-Q3</f>
        <v>0</v>
      </c>
    </row>
    <row r="4" spans="1:20" x14ac:dyDescent="0.25">
      <c r="A4" s="4" t="s">
        <v>1</v>
      </c>
      <c r="B4" s="23">
        <v>16550</v>
      </c>
      <c r="C4" s="24"/>
      <c r="D4" s="25"/>
      <c r="E4" s="23"/>
      <c r="F4" s="24"/>
      <c r="G4" s="25"/>
      <c r="H4" s="4">
        <v>16550</v>
      </c>
      <c r="I4" s="2">
        <v>18753</v>
      </c>
      <c r="J4" s="5">
        <v>31</v>
      </c>
      <c r="K4" s="4"/>
      <c r="L4" s="2"/>
      <c r="M4" s="5"/>
      <c r="N4" s="4"/>
      <c r="O4" s="2"/>
      <c r="P4" s="5"/>
      <c r="Q4" s="4"/>
      <c r="R4" s="2"/>
      <c r="S4" s="5"/>
      <c r="T4" s="8">
        <f t="shared" ref="T4:T20" si="0">B4-E4-H4-K4-N4-Q4</f>
        <v>0</v>
      </c>
    </row>
    <row r="5" spans="1:20" x14ac:dyDescent="0.25">
      <c r="A5" s="4" t="s">
        <v>2</v>
      </c>
      <c r="B5" s="23">
        <v>17055</v>
      </c>
      <c r="C5" s="24"/>
      <c r="D5" s="25"/>
      <c r="E5" s="23">
        <v>17055</v>
      </c>
      <c r="F5" s="24">
        <v>19171</v>
      </c>
      <c r="G5" s="25">
        <v>32</v>
      </c>
      <c r="H5" s="4"/>
      <c r="I5" s="2"/>
      <c r="J5" s="5"/>
      <c r="K5" s="4"/>
      <c r="L5" s="2"/>
      <c r="M5" s="5"/>
      <c r="N5" s="4"/>
      <c r="O5" s="2"/>
      <c r="P5" s="5"/>
      <c r="Q5" s="4"/>
      <c r="R5" s="2"/>
      <c r="S5" s="5"/>
      <c r="T5" s="8">
        <f t="shared" si="0"/>
        <v>0</v>
      </c>
    </row>
    <row r="6" spans="1:20" x14ac:dyDescent="0.25">
      <c r="A6" s="4" t="s">
        <v>3</v>
      </c>
      <c r="B6" s="23">
        <v>16771</v>
      </c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4">
        <v>16771</v>
      </c>
      <c r="R6" s="2">
        <v>18310</v>
      </c>
      <c r="S6" s="5">
        <v>27</v>
      </c>
      <c r="T6" s="8">
        <f t="shared" si="0"/>
        <v>0</v>
      </c>
    </row>
    <row r="7" spans="1:20" x14ac:dyDescent="0.25">
      <c r="A7" s="4" t="s">
        <v>25</v>
      </c>
      <c r="B7" s="23">
        <v>4022</v>
      </c>
      <c r="C7" s="24"/>
      <c r="D7" s="25"/>
      <c r="E7" s="23"/>
      <c r="F7" s="24"/>
      <c r="G7" s="25"/>
      <c r="H7" s="4"/>
      <c r="I7" s="2"/>
      <c r="J7" s="5"/>
      <c r="K7" s="4">
        <v>4022</v>
      </c>
      <c r="L7" s="2">
        <v>4508</v>
      </c>
      <c r="M7" s="5">
        <v>7</v>
      </c>
      <c r="N7" s="4"/>
      <c r="O7" s="2"/>
      <c r="P7" s="5"/>
      <c r="Q7" s="4"/>
      <c r="R7" s="2"/>
      <c r="S7" s="5"/>
      <c r="T7" s="8">
        <f t="shared" si="0"/>
        <v>0</v>
      </c>
    </row>
    <row r="8" spans="1:20" ht="15.75" thickBot="1" x14ac:dyDescent="0.3">
      <c r="A8" s="4" t="s">
        <v>4</v>
      </c>
      <c r="B8" s="23">
        <v>18187</v>
      </c>
      <c r="C8" s="24">
        <v>19680</v>
      </c>
      <c r="D8" s="25">
        <v>29</v>
      </c>
      <c r="E8" s="23"/>
      <c r="F8" s="24"/>
      <c r="G8" s="25"/>
      <c r="H8" s="4"/>
      <c r="I8" s="2"/>
      <c r="J8" s="5"/>
      <c r="K8" s="4"/>
      <c r="L8" s="2"/>
      <c r="M8" s="5"/>
      <c r="N8" s="23">
        <v>18187</v>
      </c>
      <c r="O8" s="24">
        <v>19680</v>
      </c>
      <c r="P8" s="25">
        <v>29</v>
      </c>
      <c r="Q8" s="4"/>
      <c r="R8" s="2"/>
      <c r="S8" s="5"/>
      <c r="T8" s="8">
        <f t="shared" si="0"/>
        <v>0</v>
      </c>
    </row>
    <row r="9" spans="1:20" hidden="1" x14ac:dyDescent="0.25">
      <c r="A9" s="4" t="s">
        <v>13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8">
        <f t="shared" si="0"/>
        <v>0</v>
      </c>
    </row>
    <row r="10" spans="1:20" hidden="1" x14ac:dyDescent="0.25">
      <c r="A10" s="4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4"/>
      <c r="R10" s="2"/>
      <c r="S10" s="5"/>
      <c r="T10" s="8">
        <f t="shared" si="0"/>
        <v>0</v>
      </c>
    </row>
    <row r="11" spans="1:20" hidden="1" x14ac:dyDescent="0.25">
      <c r="A11" s="9" t="s">
        <v>21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8">
        <f t="shared" si="0"/>
        <v>0</v>
      </c>
    </row>
    <row r="12" spans="1:20" hidden="1" x14ac:dyDescent="0.25">
      <c r="A12" s="9" t="s">
        <v>12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8">
        <f t="shared" si="0"/>
        <v>0</v>
      </c>
    </row>
    <row r="13" spans="1:20" hidden="1" x14ac:dyDescent="0.25">
      <c r="A13" s="9" t="s">
        <v>24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8">
        <f t="shared" si="0"/>
        <v>0</v>
      </c>
    </row>
    <row r="14" spans="1:20" hidden="1" x14ac:dyDescent="0.25">
      <c r="A14" s="9" t="s">
        <v>15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8">
        <f t="shared" si="0"/>
        <v>0</v>
      </c>
    </row>
    <row r="15" spans="1:20" hidden="1" x14ac:dyDescent="0.25">
      <c r="A15" s="9" t="s">
        <v>16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9"/>
      <c r="R15" s="10"/>
      <c r="S15" s="11"/>
      <c r="T15" s="8">
        <f t="shared" si="0"/>
        <v>0</v>
      </c>
    </row>
    <row r="16" spans="1:20" hidden="1" x14ac:dyDescent="0.25">
      <c r="A16" s="9" t="s">
        <v>17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9"/>
      <c r="R16" s="10"/>
      <c r="S16" s="11"/>
      <c r="T16" s="8">
        <f t="shared" si="0"/>
        <v>0</v>
      </c>
    </row>
    <row r="17" spans="1:20" hidden="1" x14ac:dyDescent="0.25">
      <c r="A17" s="9" t="s">
        <v>8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8">
        <f t="shared" si="0"/>
        <v>0</v>
      </c>
    </row>
    <row r="18" spans="1:20" hidden="1" x14ac:dyDescent="0.25">
      <c r="A18" s="9" t="s">
        <v>14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8">
        <f t="shared" si="0"/>
        <v>0</v>
      </c>
    </row>
    <row r="19" spans="1:20" hidden="1" x14ac:dyDescent="0.25">
      <c r="A19" s="9" t="s">
        <v>23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8">
        <f t="shared" si="0"/>
        <v>0</v>
      </c>
    </row>
    <row r="20" spans="1:20" ht="15.75" hidden="1" thickBot="1" x14ac:dyDescent="0.3">
      <c r="A20" s="9" t="s">
        <v>22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9"/>
      <c r="R20" s="10"/>
      <c r="S20" s="11"/>
      <c r="T20" s="8">
        <f t="shared" si="0"/>
        <v>0</v>
      </c>
    </row>
    <row r="21" spans="1:20" s="1" customFormat="1" ht="15.75" thickBot="1" x14ac:dyDescent="0.3">
      <c r="A21" s="12" t="s">
        <v>7</v>
      </c>
      <c r="B21" s="13">
        <f t="shared" ref="B21:P21" si="1">SUM(B3:B20)</f>
        <v>83501</v>
      </c>
      <c r="C21" s="13">
        <f t="shared" si="1"/>
        <v>19680</v>
      </c>
      <c r="D21" s="13">
        <f t="shared" si="1"/>
        <v>29</v>
      </c>
      <c r="E21" s="12">
        <f t="shared" si="1"/>
        <v>17055</v>
      </c>
      <c r="F21" s="14">
        <f t="shared" si="1"/>
        <v>19171</v>
      </c>
      <c r="G21" s="15">
        <f t="shared" si="1"/>
        <v>32</v>
      </c>
      <c r="H21" s="12">
        <f t="shared" si="1"/>
        <v>16550</v>
      </c>
      <c r="I21" s="14">
        <f t="shared" si="1"/>
        <v>18753</v>
      </c>
      <c r="J21" s="15">
        <f t="shared" si="1"/>
        <v>31</v>
      </c>
      <c r="K21" s="12">
        <f t="shared" si="1"/>
        <v>14938</v>
      </c>
      <c r="L21" s="14">
        <f t="shared" si="1"/>
        <v>16513</v>
      </c>
      <c r="M21" s="15">
        <f t="shared" si="1"/>
        <v>25</v>
      </c>
      <c r="N21" s="12">
        <f t="shared" si="1"/>
        <v>18187</v>
      </c>
      <c r="O21" s="14">
        <f t="shared" si="1"/>
        <v>19680</v>
      </c>
      <c r="P21" s="15">
        <f t="shared" si="1"/>
        <v>29</v>
      </c>
      <c r="Q21" s="12">
        <f t="shared" ref="Q21:S21" si="2">SUM(Q3:Q20)</f>
        <v>16771</v>
      </c>
      <c r="R21" s="14">
        <f t="shared" si="2"/>
        <v>18310</v>
      </c>
      <c r="S21" s="15">
        <f t="shared" si="2"/>
        <v>27</v>
      </c>
      <c r="T21" s="16">
        <f>SUM(T3:T20)</f>
        <v>0</v>
      </c>
    </row>
    <row r="22" spans="1:20" ht="15.75" thickBot="1" x14ac:dyDescent="0.3">
      <c r="A22" s="29" t="s">
        <v>27</v>
      </c>
      <c r="E22">
        <v>17100</v>
      </c>
      <c r="G22">
        <v>31</v>
      </c>
      <c r="H22">
        <v>16600</v>
      </c>
      <c r="J22">
        <v>30</v>
      </c>
      <c r="K22">
        <v>15100</v>
      </c>
      <c r="M22">
        <v>27</v>
      </c>
      <c r="Q22">
        <v>16800</v>
      </c>
      <c r="S22">
        <v>30</v>
      </c>
    </row>
    <row r="23" spans="1:20" x14ac:dyDescent="0.25">
      <c r="A23" t="s">
        <v>0</v>
      </c>
      <c r="B23">
        <v>1371</v>
      </c>
      <c r="D23">
        <v>3</v>
      </c>
      <c r="K23">
        <v>1371</v>
      </c>
      <c r="M23">
        <v>3</v>
      </c>
      <c r="T23" s="30">
        <f t="shared" ref="T23:T27" si="3">B23-E23-H23-K23-Q23</f>
        <v>0</v>
      </c>
    </row>
    <row r="24" spans="1:20" x14ac:dyDescent="0.25">
      <c r="A24" t="s">
        <v>1</v>
      </c>
      <c r="B24">
        <v>926</v>
      </c>
      <c r="D24">
        <v>2</v>
      </c>
      <c r="H24">
        <v>926</v>
      </c>
      <c r="J24">
        <v>2</v>
      </c>
      <c r="T24" s="31">
        <f t="shared" si="3"/>
        <v>0</v>
      </c>
    </row>
    <row r="25" spans="1:20" x14ac:dyDescent="0.25">
      <c r="A25" t="s">
        <v>2</v>
      </c>
      <c r="B25">
        <v>455</v>
      </c>
      <c r="D25">
        <v>1</v>
      </c>
      <c r="E25">
        <v>455</v>
      </c>
      <c r="G25">
        <v>1</v>
      </c>
      <c r="T25" s="31">
        <f t="shared" si="3"/>
        <v>0</v>
      </c>
    </row>
    <row r="26" spans="1:20" x14ac:dyDescent="0.25">
      <c r="A26" t="s">
        <v>25</v>
      </c>
      <c r="B26">
        <v>1007</v>
      </c>
      <c r="D26">
        <v>2</v>
      </c>
      <c r="K26">
        <v>1007</v>
      </c>
      <c r="M26">
        <v>2</v>
      </c>
      <c r="T26" s="31">
        <f t="shared" si="3"/>
        <v>0</v>
      </c>
    </row>
    <row r="27" spans="1:20" ht="15.75" thickBot="1" x14ac:dyDescent="0.3">
      <c r="A27" t="s">
        <v>3</v>
      </c>
      <c r="B27">
        <v>699</v>
      </c>
      <c r="D27">
        <v>2</v>
      </c>
      <c r="Q27">
        <v>699</v>
      </c>
      <c r="S27">
        <v>2</v>
      </c>
      <c r="T27" s="31">
        <f t="shared" si="3"/>
        <v>0</v>
      </c>
    </row>
    <row r="28" spans="1:20" ht="15.75" thickBot="1" x14ac:dyDescent="0.3">
      <c r="E28">
        <f>SUM(E23:E27)+E21</f>
        <v>17510</v>
      </c>
      <c r="H28">
        <f>SUM(H23:H27)+H21</f>
        <v>17476</v>
      </c>
      <c r="K28">
        <f>SUM(K23:K27)+K21</f>
        <v>17316</v>
      </c>
      <c r="N28">
        <f>SUM(N23:N27)+N21</f>
        <v>18187</v>
      </c>
      <c r="Q28">
        <f>SUM(Q23:Q27)+Q21</f>
        <v>17470</v>
      </c>
      <c r="T28" s="32">
        <f>SUM(T24:T27)</f>
        <v>0</v>
      </c>
    </row>
    <row r="29" spans="1:20" x14ac:dyDescent="0.25">
      <c r="E29" t="s">
        <v>32</v>
      </c>
      <c r="H29" t="s">
        <v>32</v>
      </c>
      <c r="K29" t="s">
        <v>32</v>
      </c>
      <c r="N29" t="s">
        <v>33</v>
      </c>
      <c r="Q29" t="s">
        <v>32</v>
      </c>
    </row>
  </sheetData>
  <mergeCells count="10">
    <mergeCell ref="T1:T2"/>
    <mergeCell ref="A1:A2"/>
    <mergeCell ref="B1:B2"/>
    <mergeCell ref="E1:G1"/>
    <mergeCell ref="H1:J1"/>
    <mergeCell ref="K1:M1"/>
    <mergeCell ref="Q1:S1"/>
    <mergeCell ref="C1:C2"/>
    <mergeCell ref="D1:D2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2026-09-25T09:58:02Z</dcterms:modified>
</cp:coreProperties>
</file>