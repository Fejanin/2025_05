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78ECE5F-1171-4916-A643-3819D48FC21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Y547" i="2" s="1"/>
  <c r="P546" i="2"/>
  <c r="X544" i="2"/>
  <c r="X543" i="2"/>
  <c r="BO542" i="2"/>
  <c r="BM542" i="2"/>
  <c r="Y542" i="2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BN525" i="2" s="1"/>
  <c r="P525" i="2"/>
  <c r="BO524" i="2"/>
  <c r="BM524" i="2"/>
  <c r="Y524" i="2"/>
  <c r="BP524" i="2" s="1"/>
  <c r="P524" i="2"/>
  <c r="BO523" i="2"/>
  <c r="BM523" i="2"/>
  <c r="Y523" i="2"/>
  <c r="P523" i="2"/>
  <c r="BO522" i="2"/>
  <c r="BM522" i="2"/>
  <c r="Y522" i="2"/>
  <c r="BP522" i="2" s="1"/>
  <c r="P522" i="2"/>
  <c r="X520" i="2"/>
  <c r="X519" i="2"/>
  <c r="BO518" i="2"/>
  <c r="BM518" i="2"/>
  <c r="Y518" i="2"/>
  <c r="BP518" i="2" s="1"/>
  <c r="P518" i="2"/>
  <c r="BO517" i="2"/>
  <c r="BM517" i="2"/>
  <c r="Y517" i="2"/>
  <c r="P517" i="2"/>
  <c r="BO516" i="2"/>
  <c r="BM516" i="2"/>
  <c r="Y516" i="2"/>
  <c r="Y520" i="2" s="1"/>
  <c r="P516" i="2"/>
  <c r="X514" i="2"/>
  <c r="X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P510" i="2"/>
  <c r="BO509" i="2"/>
  <c r="BM509" i="2"/>
  <c r="Y509" i="2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O498" i="2"/>
  <c r="BM498" i="2"/>
  <c r="Y498" i="2"/>
  <c r="BP498" i="2" s="1"/>
  <c r="P498" i="2"/>
  <c r="BO497" i="2"/>
  <c r="BM497" i="2"/>
  <c r="Y497" i="2"/>
  <c r="BP497" i="2" s="1"/>
  <c r="P497" i="2"/>
  <c r="BO496" i="2"/>
  <c r="BM496" i="2"/>
  <c r="Y496" i="2"/>
  <c r="BP496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BP487" i="2" s="1"/>
  <c r="P487" i="2"/>
  <c r="BO486" i="2"/>
  <c r="BM486" i="2"/>
  <c r="Y486" i="2"/>
  <c r="P486" i="2"/>
  <c r="X484" i="2"/>
  <c r="X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BN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X473" i="2"/>
  <c r="X472" i="2"/>
  <c r="BO471" i="2"/>
  <c r="BM471" i="2"/>
  <c r="Y471" i="2"/>
  <c r="BP471" i="2" s="1"/>
  <c r="P471" i="2"/>
  <c r="BO470" i="2"/>
  <c r="BM470" i="2"/>
  <c r="Y470" i="2"/>
  <c r="BP470" i="2" s="1"/>
  <c r="P470" i="2"/>
  <c r="BO469" i="2"/>
  <c r="BM469" i="2"/>
  <c r="Y469" i="2"/>
  <c r="BP469" i="2" s="1"/>
  <c r="P469" i="2"/>
  <c r="X467" i="2"/>
  <c r="X466" i="2"/>
  <c r="BO465" i="2"/>
  <c r="BM465" i="2"/>
  <c r="Y465" i="2"/>
  <c r="Y466" i="2" s="1"/>
  <c r="P465" i="2"/>
  <c r="X463" i="2"/>
  <c r="X462" i="2"/>
  <c r="BO461" i="2"/>
  <c r="BM461" i="2"/>
  <c r="Y461" i="2"/>
  <c r="P461" i="2"/>
  <c r="BO460" i="2"/>
  <c r="BM460" i="2"/>
  <c r="Y460" i="2"/>
  <c r="BN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X452" i="2"/>
  <c r="X451" i="2"/>
  <c r="BO450" i="2"/>
  <c r="BM450" i="2"/>
  <c r="Y450" i="2"/>
  <c r="BP450" i="2" s="1"/>
  <c r="P450" i="2"/>
  <c r="BO449" i="2"/>
  <c r="BM449" i="2"/>
  <c r="Y449" i="2"/>
  <c r="BP449" i="2" s="1"/>
  <c r="P449" i="2"/>
  <c r="BO448" i="2"/>
  <c r="BM448" i="2"/>
  <c r="Y448" i="2"/>
  <c r="P448" i="2"/>
  <c r="X446" i="2"/>
  <c r="X445" i="2"/>
  <c r="BO444" i="2"/>
  <c r="BM444" i="2"/>
  <c r="Y444" i="2"/>
  <c r="BP444" i="2" s="1"/>
  <c r="P444" i="2"/>
  <c r="BO443" i="2"/>
  <c r="BM443" i="2"/>
  <c r="Y443" i="2"/>
  <c r="Z443" i="2" s="1"/>
  <c r="P443" i="2"/>
  <c r="BO442" i="2"/>
  <c r="BM442" i="2"/>
  <c r="Y442" i="2"/>
  <c r="Y446" i="2" s="1"/>
  <c r="P442" i="2"/>
  <c r="X440" i="2"/>
  <c r="X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P432" i="2" s="1"/>
  <c r="P432" i="2"/>
  <c r="BO431" i="2"/>
  <c r="BM431" i="2"/>
  <c r="Y431" i="2"/>
  <c r="BN431" i="2" s="1"/>
  <c r="P431" i="2"/>
  <c r="X427" i="2"/>
  <c r="X426" i="2"/>
  <c r="BO425" i="2"/>
  <c r="BM425" i="2"/>
  <c r="Y425" i="2"/>
  <c r="BN425" i="2" s="1"/>
  <c r="P425" i="2"/>
  <c r="BO424" i="2"/>
  <c r="BM424" i="2"/>
  <c r="Y424" i="2"/>
  <c r="P424" i="2"/>
  <c r="BO423" i="2"/>
  <c r="BM423" i="2"/>
  <c r="Y423" i="2"/>
  <c r="P423" i="2"/>
  <c r="X420" i="2"/>
  <c r="X419" i="2"/>
  <c r="BO418" i="2"/>
  <c r="BM418" i="2"/>
  <c r="Y418" i="2"/>
  <c r="P418" i="2"/>
  <c r="BO417" i="2"/>
  <c r="BM417" i="2"/>
  <c r="Y417" i="2"/>
  <c r="BN417" i="2" s="1"/>
  <c r="P417" i="2"/>
  <c r="X414" i="2"/>
  <c r="X413" i="2"/>
  <c r="BO412" i="2"/>
  <c r="BM412" i="2"/>
  <c r="Y412" i="2"/>
  <c r="BP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Y406" i="2"/>
  <c r="P406" i="2"/>
  <c r="BO405" i="2"/>
  <c r="BM405" i="2"/>
  <c r="Y405" i="2"/>
  <c r="BP405" i="2" s="1"/>
  <c r="P405" i="2"/>
  <c r="BO404" i="2"/>
  <c r="BM404" i="2"/>
  <c r="Y404" i="2"/>
  <c r="BN404" i="2" s="1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O398" i="2"/>
  <c r="BM398" i="2"/>
  <c r="Y398" i="2"/>
  <c r="BP398" i="2" s="1"/>
  <c r="P398" i="2"/>
  <c r="BO397" i="2"/>
  <c r="BM397" i="2"/>
  <c r="Y397" i="2"/>
  <c r="Z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P392" i="2"/>
  <c r="BO391" i="2"/>
  <c r="BM391" i="2"/>
  <c r="Y391" i="2"/>
  <c r="BP391" i="2" s="1"/>
  <c r="P391" i="2"/>
  <c r="X389" i="2"/>
  <c r="X388" i="2"/>
  <c r="BO387" i="2"/>
  <c r="BM387" i="2"/>
  <c r="Y387" i="2"/>
  <c r="BN387" i="2" s="1"/>
  <c r="P387" i="2"/>
  <c r="BO386" i="2"/>
  <c r="BM386" i="2"/>
  <c r="Y386" i="2"/>
  <c r="BP386" i="2" s="1"/>
  <c r="P386" i="2"/>
  <c r="BO385" i="2"/>
  <c r="BM385" i="2"/>
  <c r="Y385" i="2"/>
  <c r="BP385" i="2" s="1"/>
  <c r="P385" i="2"/>
  <c r="BO384" i="2"/>
  <c r="BM384" i="2"/>
  <c r="Y384" i="2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X372" i="2"/>
  <c r="X371" i="2"/>
  <c r="BO370" i="2"/>
  <c r="BM370" i="2"/>
  <c r="Y370" i="2"/>
  <c r="P370" i="2"/>
  <c r="BO369" i="2"/>
  <c r="BM369" i="2"/>
  <c r="Y369" i="2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X361" i="2"/>
  <c r="X360" i="2"/>
  <c r="BO359" i="2"/>
  <c r="BM359" i="2"/>
  <c r="Y359" i="2"/>
  <c r="BP359" i="2" s="1"/>
  <c r="P359" i="2"/>
  <c r="BO358" i="2"/>
  <c r="BM358" i="2"/>
  <c r="Y358" i="2"/>
  <c r="BP358" i="2" s="1"/>
  <c r="P358" i="2"/>
  <c r="BO357" i="2"/>
  <c r="BM357" i="2"/>
  <c r="Y357" i="2"/>
  <c r="BP357" i="2" s="1"/>
  <c r="P357" i="2"/>
  <c r="X354" i="2"/>
  <c r="X353" i="2"/>
  <c r="BO352" i="2"/>
  <c r="BM352" i="2"/>
  <c r="Y352" i="2"/>
  <c r="P352" i="2"/>
  <c r="BO351" i="2"/>
  <c r="BM351" i="2"/>
  <c r="Y351" i="2"/>
  <c r="P351" i="2"/>
  <c r="X349" i="2"/>
  <c r="X348" i="2"/>
  <c r="BO347" i="2"/>
  <c r="BM347" i="2"/>
  <c r="Y347" i="2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BP344" i="2" s="1"/>
  <c r="P344" i="2"/>
  <c r="BO343" i="2"/>
  <c r="BM343" i="2"/>
  <c r="Y343" i="2"/>
  <c r="P343" i="2"/>
  <c r="X340" i="2"/>
  <c r="X339" i="2"/>
  <c r="BO338" i="2"/>
  <c r="BM338" i="2"/>
  <c r="Y338" i="2"/>
  <c r="BP338" i="2" s="1"/>
  <c r="P338" i="2"/>
  <c r="BO337" i="2"/>
  <c r="BM337" i="2"/>
  <c r="Y337" i="2"/>
  <c r="BP337" i="2" s="1"/>
  <c r="P337" i="2"/>
  <c r="BO336" i="2"/>
  <c r="BM336" i="2"/>
  <c r="Y336" i="2"/>
  <c r="P336" i="2"/>
  <c r="X333" i="2"/>
  <c r="X332" i="2"/>
  <c r="BO331" i="2"/>
  <c r="BM331" i="2"/>
  <c r="Y331" i="2"/>
  <c r="BN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BO328" i="2"/>
  <c r="BM328" i="2"/>
  <c r="Y328" i="2"/>
  <c r="BN328" i="2" s="1"/>
  <c r="P328" i="2"/>
  <c r="BO327" i="2"/>
  <c r="BM327" i="2"/>
  <c r="Y327" i="2"/>
  <c r="P327" i="2"/>
  <c r="BO326" i="2"/>
  <c r="BM326" i="2"/>
  <c r="Y326" i="2"/>
  <c r="BN326" i="2" s="1"/>
  <c r="P326" i="2"/>
  <c r="X323" i="2"/>
  <c r="X322" i="2"/>
  <c r="BO321" i="2"/>
  <c r="BM321" i="2"/>
  <c r="Y321" i="2"/>
  <c r="P321" i="2"/>
  <c r="X319" i="2"/>
  <c r="X318" i="2"/>
  <c r="BO317" i="2"/>
  <c r="BM317" i="2"/>
  <c r="Y317" i="2"/>
  <c r="Y318" i="2" s="1"/>
  <c r="P317" i="2"/>
  <c r="X315" i="2"/>
  <c r="X314" i="2"/>
  <c r="BO313" i="2"/>
  <c r="BM313" i="2"/>
  <c r="Y313" i="2"/>
  <c r="P313" i="2"/>
  <c r="X311" i="2"/>
  <c r="X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N304" i="2" s="1"/>
  <c r="P304" i="2"/>
  <c r="BO303" i="2"/>
  <c r="BM303" i="2"/>
  <c r="Y303" i="2"/>
  <c r="P303" i="2"/>
  <c r="X300" i="2"/>
  <c r="X299" i="2"/>
  <c r="BO298" i="2"/>
  <c r="BM298" i="2"/>
  <c r="Y298" i="2"/>
  <c r="BN298" i="2" s="1"/>
  <c r="P298" i="2"/>
  <c r="BO297" i="2"/>
  <c r="BM297" i="2"/>
  <c r="Y297" i="2"/>
  <c r="BN297" i="2" s="1"/>
  <c r="P297" i="2"/>
  <c r="X295" i="2"/>
  <c r="X294" i="2"/>
  <c r="BO293" i="2"/>
  <c r="BM293" i="2"/>
  <c r="Y293" i="2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P283" i="2" s="1"/>
  <c r="P283" i="2"/>
  <c r="BO282" i="2"/>
  <c r="BM282" i="2"/>
  <c r="Y282" i="2"/>
  <c r="P282" i="2"/>
  <c r="X280" i="2"/>
  <c r="X279" i="2"/>
  <c r="BO278" i="2"/>
  <c r="BM278" i="2"/>
  <c r="Y278" i="2"/>
  <c r="BP278" i="2" s="1"/>
  <c r="P278" i="2"/>
  <c r="BO277" i="2"/>
  <c r="BM277" i="2"/>
  <c r="Y277" i="2"/>
  <c r="BN277" i="2" s="1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X269" i="2"/>
  <c r="X268" i="2"/>
  <c r="BO267" i="2"/>
  <c r="BM267" i="2"/>
  <c r="Y267" i="2"/>
  <c r="BN267" i="2" s="1"/>
  <c r="P267" i="2"/>
  <c r="BO266" i="2"/>
  <c r="BM266" i="2"/>
  <c r="Y266" i="2"/>
  <c r="BP266" i="2" s="1"/>
  <c r="P266" i="2"/>
  <c r="X264" i="2"/>
  <c r="X263" i="2"/>
  <c r="BO262" i="2"/>
  <c r="BM262" i="2"/>
  <c r="Y262" i="2"/>
  <c r="BP262" i="2" s="1"/>
  <c r="P262" i="2"/>
  <c r="BO261" i="2"/>
  <c r="BM261" i="2"/>
  <c r="Y261" i="2"/>
  <c r="BN261" i="2" s="1"/>
  <c r="P261" i="2"/>
  <c r="X258" i="2"/>
  <c r="X257" i="2"/>
  <c r="BO256" i="2"/>
  <c r="BM256" i="2"/>
  <c r="Y256" i="2"/>
  <c r="Y257" i="2" s="1"/>
  <c r="P256" i="2"/>
  <c r="X254" i="2"/>
  <c r="X253" i="2"/>
  <c r="BO252" i="2"/>
  <c r="BM252" i="2"/>
  <c r="Y252" i="2"/>
  <c r="BP252" i="2" s="1"/>
  <c r="P252" i="2"/>
  <c r="BO251" i="2"/>
  <c r="BM251" i="2"/>
  <c r="Y251" i="2"/>
  <c r="BN251" i="2" s="1"/>
  <c r="P251" i="2"/>
  <c r="BO250" i="2"/>
  <c r="BM250" i="2"/>
  <c r="Y250" i="2"/>
  <c r="P250" i="2"/>
  <c r="X248" i="2"/>
  <c r="X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P223" i="2" s="1"/>
  <c r="P223" i="2"/>
  <c r="BO222" i="2"/>
  <c r="BM222" i="2"/>
  <c r="Y222" i="2"/>
  <c r="BN222" i="2" s="1"/>
  <c r="P222" i="2"/>
  <c r="BO221" i="2"/>
  <c r="BM221" i="2"/>
  <c r="Y221" i="2"/>
  <c r="BP221" i="2" s="1"/>
  <c r="P221" i="2"/>
  <c r="BO220" i="2"/>
  <c r="BM220" i="2"/>
  <c r="Y220" i="2"/>
  <c r="P220" i="2"/>
  <c r="X218" i="2"/>
  <c r="X217" i="2"/>
  <c r="BO216" i="2"/>
  <c r="BM216" i="2"/>
  <c r="Y216" i="2"/>
  <c r="P216" i="2"/>
  <c r="X213" i="2"/>
  <c r="X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N207" i="2" s="1"/>
  <c r="P207" i="2"/>
  <c r="BO206" i="2"/>
  <c r="BM206" i="2"/>
  <c r="Y206" i="2"/>
  <c r="P206" i="2"/>
  <c r="BO205" i="2"/>
  <c r="BM205" i="2"/>
  <c r="Y205" i="2"/>
  <c r="BP205" i="2" s="1"/>
  <c r="P205" i="2"/>
  <c r="X201" i="2"/>
  <c r="X200" i="2"/>
  <c r="BO199" i="2"/>
  <c r="BM199" i="2"/>
  <c r="Y199" i="2"/>
  <c r="Y201" i="2" s="1"/>
  <c r="P199" i="2"/>
  <c r="X197" i="2"/>
  <c r="X196" i="2"/>
  <c r="BO195" i="2"/>
  <c r="BM195" i="2"/>
  <c r="Y195" i="2"/>
  <c r="Y197" i="2" s="1"/>
  <c r="P195" i="2"/>
  <c r="X193" i="2"/>
  <c r="X192" i="2"/>
  <c r="BO191" i="2"/>
  <c r="BM191" i="2"/>
  <c r="Y191" i="2"/>
  <c r="P191" i="2"/>
  <c r="BO190" i="2"/>
  <c r="BM190" i="2"/>
  <c r="Y190" i="2"/>
  <c r="BP190" i="2" s="1"/>
  <c r="P190" i="2"/>
  <c r="BO189" i="2"/>
  <c r="BM189" i="2"/>
  <c r="Y189" i="2"/>
  <c r="Z189" i="2" s="1"/>
  <c r="P189" i="2"/>
  <c r="X187" i="2"/>
  <c r="X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Z179" i="2" s="1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BP170" i="2" s="1"/>
  <c r="P170" i="2"/>
  <c r="X168" i="2"/>
  <c r="X167" i="2"/>
  <c r="BO166" i="2"/>
  <c r="BM166" i="2"/>
  <c r="Y166" i="2"/>
  <c r="P166" i="2"/>
  <c r="BO165" i="2"/>
  <c r="BM165" i="2"/>
  <c r="Y165" i="2"/>
  <c r="P165" i="2"/>
  <c r="BO164" i="2"/>
  <c r="BM164" i="2"/>
  <c r="Y164" i="2"/>
  <c r="BP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BN158" i="2" s="1"/>
  <c r="P158" i="2"/>
  <c r="X156" i="2"/>
  <c r="X155" i="2"/>
  <c r="BO154" i="2"/>
  <c r="BM154" i="2"/>
  <c r="Y154" i="2"/>
  <c r="P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N151" i="2" s="1"/>
  <c r="P151" i="2"/>
  <c r="BO150" i="2"/>
  <c r="BM150" i="2"/>
  <c r="Y150" i="2"/>
  <c r="BN150" i="2" s="1"/>
  <c r="P150" i="2"/>
  <c r="BO149" i="2"/>
  <c r="BM149" i="2"/>
  <c r="Y149" i="2"/>
  <c r="P149" i="2"/>
  <c r="X146" i="2"/>
  <c r="X145" i="2"/>
  <c r="BO144" i="2"/>
  <c r="BM144" i="2"/>
  <c r="Y144" i="2"/>
  <c r="P144" i="2"/>
  <c r="BO143" i="2"/>
  <c r="BM143" i="2"/>
  <c r="Y143" i="2"/>
  <c r="P143" i="2"/>
  <c r="X141" i="2"/>
  <c r="X140" i="2"/>
  <c r="BO139" i="2"/>
  <c r="BM139" i="2"/>
  <c r="Y139" i="2"/>
  <c r="P139" i="2"/>
  <c r="BO138" i="2"/>
  <c r="BM138" i="2"/>
  <c r="Y138" i="2"/>
  <c r="BP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Y136" i="2" s="1"/>
  <c r="P133" i="2"/>
  <c r="X130" i="2"/>
  <c r="X129" i="2"/>
  <c r="BO128" i="2"/>
  <c r="BM128" i="2"/>
  <c r="Y128" i="2"/>
  <c r="Y129" i="2" s="1"/>
  <c r="P128" i="2"/>
  <c r="X126" i="2"/>
  <c r="X125" i="2"/>
  <c r="BO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X119" i="2"/>
  <c r="X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P115" i="2"/>
  <c r="X113" i="2"/>
  <c r="X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Y113" i="2" s="1"/>
  <c r="P103" i="2"/>
  <c r="X100" i="2"/>
  <c r="X99" i="2"/>
  <c r="BO98" i="2"/>
  <c r="BM98" i="2"/>
  <c r="Y98" i="2"/>
  <c r="Z98" i="2" s="1"/>
  <c r="P98" i="2"/>
  <c r="BO97" i="2"/>
  <c r="BM97" i="2"/>
  <c r="Y97" i="2"/>
  <c r="P97" i="2"/>
  <c r="BO96" i="2"/>
  <c r="BM96" i="2"/>
  <c r="Y96" i="2"/>
  <c r="BP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P87" i="2"/>
  <c r="X84" i="2"/>
  <c r="X83" i="2"/>
  <c r="BO82" i="2"/>
  <c r="BM82" i="2"/>
  <c r="Y82" i="2"/>
  <c r="BP82" i="2" s="1"/>
  <c r="P82" i="2"/>
  <c r="BO81" i="2"/>
  <c r="BM81" i="2"/>
  <c r="Y81" i="2"/>
  <c r="BN81" i="2" s="1"/>
  <c r="P81" i="2"/>
  <c r="BO80" i="2"/>
  <c r="BM80" i="2"/>
  <c r="Y80" i="2"/>
  <c r="BP80" i="2" s="1"/>
  <c r="P80" i="2"/>
  <c r="X78" i="2"/>
  <c r="X77" i="2"/>
  <c r="BO76" i="2"/>
  <c r="BM76" i="2"/>
  <c r="Y76" i="2"/>
  <c r="BN76" i="2" s="1"/>
  <c r="P76" i="2"/>
  <c r="BO75" i="2"/>
  <c r="BM75" i="2"/>
  <c r="Y75" i="2"/>
  <c r="BP75" i="2" s="1"/>
  <c r="P75" i="2"/>
  <c r="X73" i="2"/>
  <c r="X72" i="2"/>
  <c r="BO71" i="2"/>
  <c r="BM71" i="2"/>
  <c r="Y71" i="2"/>
  <c r="BP71" i="2" s="1"/>
  <c r="P71" i="2"/>
  <c r="BO70" i="2"/>
  <c r="BM70" i="2"/>
  <c r="Y70" i="2"/>
  <c r="BP70" i="2" s="1"/>
  <c r="P70" i="2"/>
  <c r="BO69" i="2"/>
  <c r="BM69" i="2"/>
  <c r="Y69" i="2"/>
  <c r="BP69" i="2" s="1"/>
  <c r="P69" i="2"/>
  <c r="BO68" i="2"/>
  <c r="BM68" i="2"/>
  <c r="Y68" i="2"/>
  <c r="Z68" i="2" s="1"/>
  <c r="P68" i="2"/>
  <c r="BO67" i="2"/>
  <c r="BM67" i="2"/>
  <c r="Y67" i="2"/>
  <c r="BP67" i="2" s="1"/>
  <c r="P67" i="2"/>
  <c r="X65" i="2"/>
  <c r="X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Z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Z47" i="2" s="1"/>
  <c r="P47" i="2"/>
  <c r="X43" i="2"/>
  <c r="X42" i="2"/>
  <c r="BO41" i="2"/>
  <c r="BM41" i="2"/>
  <c r="Y41" i="2"/>
  <c r="BP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Z289" i="2" l="1"/>
  <c r="Z227" i="2"/>
  <c r="Z411" i="2"/>
  <c r="BN411" i="2"/>
  <c r="BP56" i="2"/>
  <c r="Z181" i="2"/>
  <c r="BN181" i="2"/>
  <c r="Z245" i="2"/>
  <c r="BN245" i="2"/>
  <c r="Z471" i="2"/>
  <c r="BN471" i="2"/>
  <c r="BP23" i="2"/>
  <c r="BP91" i="2"/>
  <c r="Z164" i="2"/>
  <c r="BN164" i="2"/>
  <c r="Z195" i="2"/>
  <c r="Z196" i="2" s="1"/>
  <c r="BN195" i="2"/>
  <c r="BP195" i="2"/>
  <c r="Y196" i="2"/>
  <c r="Z238" i="2"/>
  <c r="Z261" i="2"/>
  <c r="Z298" i="2"/>
  <c r="BP374" i="2"/>
  <c r="Z449" i="2"/>
  <c r="BN449" i="2"/>
  <c r="Z496" i="2"/>
  <c r="BN496" i="2"/>
  <c r="Y382" i="2"/>
  <c r="Y462" i="2"/>
  <c r="BP30" i="2"/>
  <c r="Z107" i="2"/>
  <c r="BN107" i="2"/>
  <c r="Z163" i="2"/>
  <c r="Z175" i="2"/>
  <c r="BN175" i="2"/>
  <c r="Z184" i="2"/>
  <c r="Z228" i="2"/>
  <c r="BN228" i="2"/>
  <c r="Z239" i="2"/>
  <c r="BN239" i="2"/>
  <c r="BP251" i="2"/>
  <c r="Z271" i="2"/>
  <c r="BN271" i="2"/>
  <c r="Z290" i="2"/>
  <c r="BN290" i="2"/>
  <c r="BP328" i="2"/>
  <c r="BP417" i="2"/>
  <c r="Z460" i="2"/>
  <c r="Z507" i="2"/>
  <c r="BN507" i="2"/>
  <c r="Y530" i="2"/>
  <c r="BN49" i="2"/>
  <c r="BN60" i="2"/>
  <c r="BN70" i="2"/>
  <c r="Y99" i="2"/>
  <c r="BN105" i="2"/>
  <c r="Z109" i="2"/>
  <c r="BN109" i="2"/>
  <c r="BN116" i="2"/>
  <c r="BP139" i="2"/>
  <c r="BN139" i="2"/>
  <c r="Z139" i="2"/>
  <c r="BN154" i="2"/>
  <c r="BP154" i="2"/>
  <c r="BN166" i="2"/>
  <c r="BP166" i="2"/>
  <c r="BN182" i="2"/>
  <c r="BP206" i="2"/>
  <c r="BN206" i="2"/>
  <c r="Z206" i="2"/>
  <c r="BP216" i="2"/>
  <c r="BN216" i="2"/>
  <c r="Z216" i="2"/>
  <c r="Z217" i="2" s="1"/>
  <c r="BN229" i="2"/>
  <c r="BN246" i="2"/>
  <c r="BN256" i="2"/>
  <c r="BN282" i="2"/>
  <c r="Z282" i="2"/>
  <c r="Y322" i="2"/>
  <c r="Z321" i="2"/>
  <c r="Z322" i="2" s="1"/>
  <c r="BN347" i="2"/>
  <c r="Z347" i="2"/>
  <c r="BN358" i="2"/>
  <c r="BP370" i="2"/>
  <c r="BN370" i="2"/>
  <c r="Z370" i="2"/>
  <c r="BN384" i="2"/>
  <c r="BP384" i="2"/>
  <c r="BP392" i="2"/>
  <c r="BN392" i="2"/>
  <c r="Z392" i="2"/>
  <c r="BP437" i="2"/>
  <c r="BN437" i="2"/>
  <c r="Z437" i="2"/>
  <c r="BN438" i="2"/>
  <c r="BN450" i="2"/>
  <c r="BN470" i="2"/>
  <c r="BN497" i="2"/>
  <c r="BP510" i="2"/>
  <c r="BN510" i="2"/>
  <c r="Z510" i="2"/>
  <c r="BN516" i="2"/>
  <c r="Z542" i="2"/>
  <c r="Z543" i="2" s="1"/>
  <c r="BP542" i="2"/>
  <c r="X561" i="2"/>
  <c r="BN39" i="2"/>
  <c r="BN62" i="2"/>
  <c r="Z82" i="2"/>
  <c r="BN82" i="2"/>
  <c r="BN96" i="2"/>
  <c r="BN124" i="2"/>
  <c r="Y141" i="2"/>
  <c r="BP149" i="2"/>
  <c r="BN149" i="2"/>
  <c r="Z149" i="2"/>
  <c r="BN152" i="2"/>
  <c r="Z152" i="2"/>
  <c r="BN177" i="2"/>
  <c r="BP177" i="2"/>
  <c r="BN205" i="2"/>
  <c r="Z205" i="2"/>
  <c r="BN241" i="2"/>
  <c r="BP241" i="2"/>
  <c r="BN272" i="2"/>
  <c r="BP282" i="2"/>
  <c r="BN291" i="2"/>
  <c r="Y315" i="2"/>
  <c r="Y314" i="2"/>
  <c r="BN313" i="2"/>
  <c r="BP321" i="2"/>
  <c r="BN337" i="2"/>
  <c r="Z337" i="2"/>
  <c r="BP347" i="2"/>
  <c r="Y361" i="2"/>
  <c r="Z357" i="2"/>
  <c r="Y360" i="2"/>
  <c r="BN378" i="2"/>
  <c r="BN399" i="2"/>
  <c r="BN412" i="2"/>
  <c r="BP424" i="2"/>
  <c r="BN424" i="2"/>
  <c r="Z424" i="2"/>
  <c r="BP481" i="2"/>
  <c r="BN481" i="2"/>
  <c r="Z481" i="2"/>
  <c r="Y488" i="2"/>
  <c r="BP486" i="2"/>
  <c r="Y499" i="2"/>
  <c r="BN523" i="2"/>
  <c r="BP523" i="2"/>
  <c r="Z528" i="2"/>
  <c r="BP528" i="2"/>
  <c r="Y544" i="2"/>
  <c r="BN117" i="2"/>
  <c r="BN138" i="2"/>
  <c r="BP163" i="2"/>
  <c r="BP184" i="2"/>
  <c r="BP227" i="2"/>
  <c r="BP238" i="2"/>
  <c r="BP261" i="2"/>
  <c r="BN278" i="2"/>
  <c r="BP289" i="2"/>
  <c r="BP298" i="2"/>
  <c r="BN309" i="2"/>
  <c r="BN345" i="2"/>
  <c r="BN359" i="2"/>
  <c r="BN368" i="2"/>
  <c r="BN379" i="2"/>
  <c r="BN391" i="2"/>
  <c r="BN435" i="2"/>
  <c r="Y463" i="2"/>
  <c r="BN461" i="2"/>
  <c r="BN469" i="2"/>
  <c r="Y473" i="2"/>
  <c r="Y483" i="2"/>
  <c r="BN482" i="2"/>
  <c r="Z569" i="2"/>
  <c r="Y500" i="2"/>
  <c r="BN498" i="2"/>
  <c r="AA569" i="2"/>
  <c r="BN508" i="2"/>
  <c r="BN511" i="2"/>
  <c r="BN518" i="2"/>
  <c r="BN526" i="2"/>
  <c r="F9" i="2"/>
  <c r="BP98" i="2"/>
  <c r="Y414" i="2"/>
  <c r="BN410" i="2"/>
  <c r="Y413" i="2"/>
  <c r="BP410" i="2"/>
  <c r="Z410" i="2"/>
  <c r="BN506" i="2"/>
  <c r="BP506" i="2"/>
  <c r="Z506" i="2"/>
  <c r="H9" i="2"/>
  <c r="Y33" i="2"/>
  <c r="Z28" i="2"/>
  <c r="BP28" i="2"/>
  <c r="Y43" i="2"/>
  <c r="Z40" i="2"/>
  <c r="BP40" i="2"/>
  <c r="Z63" i="2"/>
  <c r="BP63" i="2"/>
  <c r="Z81" i="2"/>
  <c r="BP81" i="2"/>
  <c r="F569" i="2"/>
  <c r="BP88" i="2"/>
  <c r="Z104" i="2"/>
  <c r="BP104" i="2"/>
  <c r="Z106" i="2"/>
  <c r="BP106" i="2"/>
  <c r="Z128" i="2"/>
  <c r="Z129" i="2" s="1"/>
  <c r="BP128" i="2"/>
  <c r="Y130" i="2"/>
  <c r="Z151" i="2"/>
  <c r="BN171" i="2"/>
  <c r="BP171" i="2"/>
  <c r="Z171" i="2"/>
  <c r="Y193" i="2"/>
  <c r="Y236" i="2"/>
  <c r="BN220" i="2"/>
  <c r="BP220" i="2"/>
  <c r="Z220" i="2"/>
  <c r="BN226" i="2"/>
  <c r="BP226" i="2"/>
  <c r="Z226" i="2"/>
  <c r="BN274" i="2"/>
  <c r="BP274" i="2"/>
  <c r="BN293" i="2"/>
  <c r="BP293" i="2"/>
  <c r="BN327" i="2"/>
  <c r="BP327" i="2"/>
  <c r="Z405" i="2"/>
  <c r="BN405" i="2"/>
  <c r="V569" i="2"/>
  <c r="BN423" i="2"/>
  <c r="Y427" i="2"/>
  <c r="BP423" i="2"/>
  <c r="Z423" i="2"/>
  <c r="BN436" i="2"/>
  <c r="BP436" i="2"/>
  <c r="Z436" i="2"/>
  <c r="BP151" i="2"/>
  <c r="BN183" i="2"/>
  <c r="BP183" i="2"/>
  <c r="Z183" i="2"/>
  <c r="BN380" i="2"/>
  <c r="BP380" i="2"/>
  <c r="Z380" i="2"/>
  <c r="Y452" i="2"/>
  <c r="BN448" i="2"/>
  <c r="Y451" i="2"/>
  <c r="BP448" i="2"/>
  <c r="Z448" i="2"/>
  <c r="J9" i="2"/>
  <c r="X563" i="2"/>
  <c r="Z27" i="2"/>
  <c r="BP27" i="2"/>
  <c r="C569" i="2"/>
  <c r="Z39" i="2"/>
  <c r="BN58" i="2"/>
  <c r="Z60" i="2"/>
  <c r="BN61" i="2"/>
  <c r="Z62" i="2"/>
  <c r="Y100" i="2"/>
  <c r="Z96" i="2"/>
  <c r="BN98" i="2"/>
  <c r="BP109" i="2"/>
  <c r="Y119" i="2"/>
  <c r="Z117" i="2"/>
  <c r="Y126" i="2"/>
  <c r="Z138" i="2"/>
  <c r="Y140" i="2"/>
  <c r="BN143" i="2"/>
  <c r="BP143" i="2"/>
  <c r="Y145" i="2"/>
  <c r="Y173" i="2"/>
  <c r="BN208" i="2"/>
  <c r="BP208" i="2"/>
  <c r="Z208" i="2"/>
  <c r="BN346" i="2"/>
  <c r="BP346" i="2"/>
  <c r="Z346" i="2"/>
  <c r="BN351" i="2"/>
  <c r="BP351" i="2"/>
  <c r="BN400" i="2"/>
  <c r="BP400" i="2"/>
  <c r="Z400" i="2"/>
  <c r="BP517" i="2"/>
  <c r="BN517" i="2"/>
  <c r="Z517" i="2"/>
  <c r="Z140" i="2"/>
  <c r="BN191" i="2"/>
  <c r="BP191" i="2"/>
  <c r="Z191" i="2"/>
  <c r="Q569" i="2"/>
  <c r="BN336" i="2"/>
  <c r="BP336" i="2"/>
  <c r="Z336" i="2"/>
  <c r="BN369" i="2"/>
  <c r="BP369" i="2"/>
  <c r="Z369" i="2"/>
  <c r="F10" i="2"/>
  <c r="X560" i="2"/>
  <c r="X559" i="2"/>
  <c r="Z37" i="2"/>
  <c r="BP37" i="2"/>
  <c r="BN47" i="2"/>
  <c r="Z49" i="2"/>
  <c r="BN68" i="2"/>
  <c r="Z70" i="2"/>
  <c r="BN71" i="2"/>
  <c r="BP76" i="2"/>
  <c r="Y83" i="2"/>
  <c r="Y84" i="2"/>
  <c r="BN88" i="2"/>
  <c r="Z95" i="2"/>
  <c r="BP95" i="2"/>
  <c r="Z116" i="2"/>
  <c r="Z124" i="2"/>
  <c r="BN128" i="2"/>
  <c r="BP150" i="2"/>
  <c r="Z150" i="2"/>
  <c r="BN231" i="2"/>
  <c r="BP231" i="2"/>
  <c r="BN288" i="2"/>
  <c r="BP288" i="2"/>
  <c r="Z288" i="2"/>
  <c r="Y311" i="2"/>
  <c r="BN303" i="2"/>
  <c r="BP303" i="2"/>
  <c r="Z303" i="2"/>
  <c r="BN305" i="2"/>
  <c r="BP305" i="2"/>
  <c r="BN364" i="2"/>
  <c r="Y372" i="2"/>
  <c r="BP364" i="2"/>
  <c r="BN509" i="2"/>
  <c r="BP509" i="2"/>
  <c r="Z509" i="2"/>
  <c r="Y167" i="2"/>
  <c r="Y213" i="2"/>
  <c r="Y258" i="2"/>
  <c r="Y280" i="2"/>
  <c r="P569" i="2"/>
  <c r="Y349" i="2"/>
  <c r="Y353" i="2"/>
  <c r="Y408" i="2"/>
  <c r="Y519" i="2"/>
  <c r="I569" i="2"/>
  <c r="Z182" i="2"/>
  <c r="Z207" i="2"/>
  <c r="BP207" i="2"/>
  <c r="BP210" i="2"/>
  <c r="L569" i="2"/>
  <c r="Y218" i="2"/>
  <c r="BP222" i="2"/>
  <c r="Z229" i="2"/>
  <c r="Z246" i="2"/>
  <c r="Y254" i="2"/>
  <c r="Z256" i="2"/>
  <c r="Z257" i="2" s="1"/>
  <c r="BP256" i="2"/>
  <c r="Y279" i="2"/>
  <c r="Z272" i="2"/>
  <c r="Z278" i="2"/>
  <c r="Y294" i="2"/>
  <c r="BP284" i="2"/>
  <c r="Z291" i="2"/>
  <c r="BP304" i="2"/>
  <c r="Z309" i="2"/>
  <c r="BN321" i="2"/>
  <c r="Z326" i="2"/>
  <c r="BP326" i="2"/>
  <c r="Y340" i="2"/>
  <c r="Z345" i="2"/>
  <c r="BN357" i="2"/>
  <c r="Z359" i="2"/>
  <c r="Z368" i="2"/>
  <c r="Z379" i="2"/>
  <c r="Z391" i="2"/>
  <c r="Y395" i="2"/>
  <c r="Z399" i="2"/>
  <c r="Z404" i="2"/>
  <c r="BP404" i="2"/>
  <c r="Y407" i="2"/>
  <c r="Y419" i="2"/>
  <c r="Y426" i="2"/>
  <c r="Z435" i="2"/>
  <c r="Z438" i="2"/>
  <c r="Z461" i="2"/>
  <c r="Z462" i="2" s="1"/>
  <c r="BP461" i="2"/>
  <c r="Z470" i="2"/>
  <c r="Y472" i="2"/>
  <c r="Z498" i="2"/>
  <c r="Z508" i="2"/>
  <c r="Z516" i="2"/>
  <c r="BP516" i="2"/>
  <c r="Z527" i="2"/>
  <c r="J569" i="2"/>
  <c r="K569" i="2"/>
  <c r="Y247" i="2"/>
  <c r="M569" i="2"/>
  <c r="Y295" i="2"/>
  <c r="Z313" i="2"/>
  <c r="Z314" i="2" s="1"/>
  <c r="BP313" i="2"/>
  <c r="Y323" i="2"/>
  <c r="S569" i="2"/>
  <c r="Z358" i="2"/>
  <c r="Z378" i="2"/>
  <c r="Z412" i="2"/>
  <c r="Z425" i="2"/>
  <c r="W569" i="2"/>
  <c r="BP431" i="2"/>
  <c r="Z450" i="2"/>
  <c r="X569" i="2"/>
  <c r="Z469" i="2"/>
  <c r="Z472" i="2" s="1"/>
  <c r="Z482" i="2"/>
  <c r="Z497" i="2"/>
  <c r="Z499" i="2" s="1"/>
  <c r="Z518" i="2"/>
  <c r="Z526" i="2"/>
  <c r="Y543" i="2"/>
  <c r="BN122" i="2"/>
  <c r="Y125" i="2"/>
  <c r="Z133" i="2"/>
  <c r="Y146" i="2"/>
  <c r="BP158" i="2"/>
  <c r="Y172" i="2"/>
  <c r="BN179" i="2"/>
  <c r="BN189" i="2"/>
  <c r="Y192" i="2"/>
  <c r="Z199" i="2"/>
  <c r="Z200" i="2" s="1"/>
  <c r="Z211" i="2"/>
  <c r="Y217" i="2"/>
  <c r="BN224" i="2"/>
  <c r="Z232" i="2"/>
  <c r="BP234" i="2"/>
  <c r="Z242" i="2"/>
  <c r="BP244" i="2"/>
  <c r="Z252" i="2"/>
  <c r="BP267" i="2"/>
  <c r="Z275" i="2"/>
  <c r="BP277" i="2"/>
  <c r="Z285" i="2"/>
  <c r="BP287" i="2"/>
  <c r="BP297" i="2"/>
  <c r="Z306" i="2"/>
  <c r="BP308" i="2"/>
  <c r="Y319" i="2"/>
  <c r="Z329" i="2"/>
  <c r="BP331" i="2"/>
  <c r="BN343" i="2"/>
  <c r="Y354" i="2"/>
  <c r="Z365" i="2"/>
  <c r="BP367" i="2"/>
  <c r="Z375" i="2"/>
  <c r="BP377" i="2"/>
  <c r="Z385" i="2"/>
  <c r="BP387" i="2"/>
  <c r="BN397" i="2"/>
  <c r="Z418" i="2"/>
  <c r="BN433" i="2"/>
  <c r="BN443" i="2"/>
  <c r="BP455" i="2"/>
  <c r="Y467" i="2"/>
  <c r="Z478" i="2"/>
  <c r="BP480" i="2"/>
  <c r="BP505" i="2"/>
  <c r="Y514" i="2"/>
  <c r="Z523" i="2"/>
  <c r="BP525" i="2"/>
  <c r="Y552" i="2"/>
  <c r="Z38" i="2"/>
  <c r="Z50" i="2"/>
  <c r="Z61" i="2"/>
  <c r="Z71" i="2"/>
  <c r="Z105" i="2"/>
  <c r="Z115" i="2"/>
  <c r="Y248" i="2"/>
  <c r="Y263" i="2"/>
  <c r="Y484" i="2"/>
  <c r="BN528" i="2"/>
  <c r="BN542" i="2"/>
  <c r="Z89" i="2"/>
  <c r="Z110" i="2"/>
  <c r="Y24" i="2"/>
  <c r="BN31" i="2"/>
  <c r="BP47" i="2"/>
  <c r="Z56" i="2"/>
  <c r="BP58" i="2"/>
  <c r="BP68" i="2"/>
  <c r="Z76" i="2"/>
  <c r="BN89" i="2"/>
  <c r="Y92" i="2"/>
  <c r="BN110" i="2"/>
  <c r="BP122" i="2"/>
  <c r="BN133" i="2"/>
  <c r="Z143" i="2"/>
  <c r="Z154" i="2"/>
  <c r="Y159" i="2"/>
  <c r="Y168" i="2"/>
  <c r="Z177" i="2"/>
  <c r="BP179" i="2"/>
  <c r="BP189" i="2"/>
  <c r="BN199" i="2"/>
  <c r="BN211" i="2"/>
  <c r="Z222" i="2"/>
  <c r="BP224" i="2"/>
  <c r="BN232" i="2"/>
  <c r="Y235" i="2"/>
  <c r="BN242" i="2"/>
  <c r="BN252" i="2"/>
  <c r="Y268" i="2"/>
  <c r="BN275" i="2"/>
  <c r="BN285" i="2"/>
  <c r="Z293" i="2"/>
  <c r="BN306" i="2"/>
  <c r="BN329" i="2"/>
  <c r="Y332" i="2"/>
  <c r="BP343" i="2"/>
  <c r="Z351" i="2"/>
  <c r="BN365" i="2"/>
  <c r="BN375" i="2"/>
  <c r="BN385" i="2"/>
  <c r="Y388" i="2"/>
  <c r="BP397" i="2"/>
  <c r="BN418" i="2"/>
  <c r="Z431" i="2"/>
  <c r="BP433" i="2"/>
  <c r="BP443" i="2"/>
  <c r="Y456" i="2"/>
  <c r="BN478" i="2"/>
  <c r="Y489" i="2"/>
  <c r="Z511" i="2"/>
  <c r="Y536" i="2"/>
  <c r="Y548" i="2"/>
  <c r="Y439" i="2"/>
  <c r="Y553" i="2"/>
  <c r="O569" i="2"/>
  <c r="BN38" i="2"/>
  <c r="BN50" i="2"/>
  <c r="Z29" i="2"/>
  <c r="BP31" i="2"/>
  <c r="Z41" i="2"/>
  <c r="Z87" i="2"/>
  <c r="Z97" i="2"/>
  <c r="Z108" i="2"/>
  <c r="BP133" i="2"/>
  <c r="Z165" i="2"/>
  <c r="Z185" i="2"/>
  <c r="BP199" i="2"/>
  <c r="Z209" i="2"/>
  <c r="Z230" i="2"/>
  <c r="Z240" i="2"/>
  <c r="Z250" i="2"/>
  <c r="Y264" i="2"/>
  <c r="Z273" i="2"/>
  <c r="Z283" i="2"/>
  <c r="Z304" i="2"/>
  <c r="Z327" i="2"/>
  <c r="Z338" i="2"/>
  <c r="Z393" i="2"/>
  <c r="BP418" i="2"/>
  <c r="Z486" i="2"/>
  <c r="Y25" i="2"/>
  <c r="BP38" i="2"/>
  <c r="Z48" i="2"/>
  <c r="Z59" i="2"/>
  <c r="Z69" i="2"/>
  <c r="Y93" i="2"/>
  <c r="Z103" i="2"/>
  <c r="BP115" i="2"/>
  <c r="Z123" i="2"/>
  <c r="Y160" i="2"/>
  <c r="Z170" i="2"/>
  <c r="Z172" i="2" s="1"/>
  <c r="Z180" i="2"/>
  <c r="Z190" i="2"/>
  <c r="Z225" i="2"/>
  <c r="Y269" i="2"/>
  <c r="Y333" i="2"/>
  <c r="Z344" i="2"/>
  <c r="Y371" i="2"/>
  <c r="Y381" i="2"/>
  <c r="Y389" i="2"/>
  <c r="Z398" i="2"/>
  <c r="Z401" i="2" s="1"/>
  <c r="Z434" i="2"/>
  <c r="Z444" i="2"/>
  <c r="Y457" i="2"/>
  <c r="Z492" i="2"/>
  <c r="Z493" i="2" s="1"/>
  <c r="Y529" i="2"/>
  <c r="Z538" i="2"/>
  <c r="Z539" i="2" s="1"/>
  <c r="Z550" i="2"/>
  <c r="BN115" i="2"/>
  <c r="Y32" i="2"/>
  <c r="BN97" i="2"/>
  <c r="BN165" i="2"/>
  <c r="BN185" i="2"/>
  <c r="Y200" i="2"/>
  <c r="Y212" i="2"/>
  <c r="BN240" i="2"/>
  <c r="BN250" i="2"/>
  <c r="Y253" i="2"/>
  <c r="BN273" i="2"/>
  <c r="BN283" i="2"/>
  <c r="BN338" i="2"/>
  <c r="BN393" i="2"/>
  <c r="Y440" i="2"/>
  <c r="BN486" i="2"/>
  <c r="Z556" i="2"/>
  <c r="Z557" i="2" s="1"/>
  <c r="R569" i="2"/>
  <c r="BP55" i="2"/>
  <c r="Y118" i="2"/>
  <c r="BN29" i="2"/>
  <c r="BN41" i="2"/>
  <c r="Y65" i="2"/>
  <c r="BN87" i="2"/>
  <c r="BN108" i="2"/>
  <c r="BN209" i="2"/>
  <c r="BN230" i="2"/>
  <c r="Z22" i="2"/>
  <c r="BN48" i="2"/>
  <c r="Y51" i="2"/>
  <c r="BN59" i="2"/>
  <c r="BN69" i="2"/>
  <c r="Y72" i="2"/>
  <c r="Z90" i="2"/>
  <c r="BN103" i="2"/>
  <c r="Z111" i="2"/>
  <c r="BN123" i="2"/>
  <c r="Z134" i="2"/>
  <c r="BN170" i="2"/>
  <c r="BN180" i="2"/>
  <c r="BN190" i="2"/>
  <c r="BN225" i="2"/>
  <c r="Z233" i="2"/>
  <c r="Z243" i="2"/>
  <c r="Z266" i="2"/>
  <c r="Z276" i="2"/>
  <c r="Z286" i="2"/>
  <c r="Z307" i="2"/>
  <c r="Z330" i="2"/>
  <c r="BN344" i="2"/>
  <c r="Z366" i="2"/>
  <c r="Z376" i="2"/>
  <c r="Z386" i="2"/>
  <c r="BN398" i="2"/>
  <c r="Y401" i="2"/>
  <c r="BN434" i="2"/>
  <c r="BN444" i="2"/>
  <c r="Z454" i="2"/>
  <c r="Z479" i="2"/>
  <c r="BN492" i="2"/>
  <c r="Z504" i="2"/>
  <c r="Z524" i="2"/>
  <c r="BN538" i="2"/>
  <c r="BN550" i="2"/>
  <c r="Y77" i="2"/>
  <c r="BP87" i="2"/>
  <c r="Y155" i="2"/>
  <c r="BN556" i="2"/>
  <c r="T569" i="2"/>
  <c r="BP250" i="2"/>
  <c r="BN22" i="2"/>
  <c r="Z57" i="2"/>
  <c r="Z67" i="2"/>
  <c r="BN90" i="2"/>
  <c r="BP103" i="2"/>
  <c r="BN111" i="2"/>
  <c r="Z121" i="2"/>
  <c r="Z125" i="2" s="1"/>
  <c r="BN134" i="2"/>
  <c r="Z144" i="2"/>
  <c r="Z178" i="2"/>
  <c r="Z223" i="2"/>
  <c r="BN233" i="2"/>
  <c r="BN243" i="2"/>
  <c r="BN266" i="2"/>
  <c r="BN276" i="2"/>
  <c r="BN286" i="2"/>
  <c r="Y299" i="2"/>
  <c r="BN307" i="2"/>
  <c r="Y310" i="2"/>
  <c r="Z317" i="2"/>
  <c r="Z318" i="2" s="1"/>
  <c r="BN330" i="2"/>
  <c r="Z352" i="2"/>
  <c r="BN366" i="2"/>
  <c r="BN376" i="2"/>
  <c r="BN386" i="2"/>
  <c r="Z406" i="2"/>
  <c r="Z407" i="2" s="1"/>
  <c r="Y420" i="2"/>
  <c r="Z432" i="2"/>
  <c r="Z442" i="2"/>
  <c r="BN454" i="2"/>
  <c r="Z465" i="2"/>
  <c r="Z466" i="2" s="1"/>
  <c r="BN479" i="2"/>
  <c r="BP492" i="2"/>
  <c r="BN504" i="2"/>
  <c r="Z512" i="2"/>
  <c r="BN524" i="2"/>
  <c r="BP538" i="2"/>
  <c r="B569" i="2"/>
  <c r="U569" i="2"/>
  <c r="Y64" i="2"/>
  <c r="BP97" i="2"/>
  <c r="Y339" i="2"/>
  <c r="Y394" i="2"/>
  <c r="Y402" i="2"/>
  <c r="BP556" i="2"/>
  <c r="BP165" i="2"/>
  <c r="Y42" i="2"/>
  <c r="Y52" i="2"/>
  <c r="Y73" i="2"/>
  <c r="Y186" i="2"/>
  <c r="Z30" i="2"/>
  <c r="BN57" i="2"/>
  <c r="BN67" i="2"/>
  <c r="Y78" i="2"/>
  <c r="BN121" i="2"/>
  <c r="BN144" i="2"/>
  <c r="Y156" i="2"/>
  <c r="Z166" i="2"/>
  <c r="BN178" i="2"/>
  <c r="Z210" i="2"/>
  <c r="BN223" i="2"/>
  <c r="Z231" i="2"/>
  <c r="Z241" i="2"/>
  <c r="Z251" i="2"/>
  <c r="Z274" i="2"/>
  <c r="Z284" i="2"/>
  <c r="Z305" i="2"/>
  <c r="BN317" i="2"/>
  <c r="Z328" i="2"/>
  <c r="BN352" i="2"/>
  <c r="Z364" i="2"/>
  <c r="Z374" i="2"/>
  <c r="Z384" i="2"/>
  <c r="BN406" i="2"/>
  <c r="Z417" i="2"/>
  <c r="Z419" i="2" s="1"/>
  <c r="BN432" i="2"/>
  <c r="BN442" i="2"/>
  <c r="Y445" i="2"/>
  <c r="BN465" i="2"/>
  <c r="Z477" i="2"/>
  <c r="Z487" i="2"/>
  <c r="Y493" i="2"/>
  <c r="BP504" i="2"/>
  <c r="BN512" i="2"/>
  <c r="Z522" i="2"/>
  <c r="Z534" i="2"/>
  <c r="Z535" i="2" s="1"/>
  <c r="Y539" i="2"/>
  <c r="Z546" i="2"/>
  <c r="Z547" i="2" s="1"/>
  <c r="D569" i="2"/>
  <c r="Y300" i="2"/>
  <c r="BP425" i="2"/>
  <c r="BP460" i="2"/>
  <c r="BN527" i="2"/>
  <c r="Z551" i="2"/>
  <c r="Y557" i="2"/>
  <c r="E569" i="2"/>
  <c r="Z55" i="2"/>
  <c r="Z75" i="2"/>
  <c r="Y112" i="2"/>
  <c r="Y135" i="2"/>
  <c r="BP144" i="2"/>
  <c r="Z153" i="2"/>
  <c r="Z176" i="2"/>
  <c r="Y187" i="2"/>
  <c r="Z221" i="2"/>
  <c r="Z262" i="2"/>
  <c r="Z263" i="2" s="1"/>
  <c r="Z292" i="2"/>
  <c r="BP317" i="2"/>
  <c r="BP352" i="2"/>
  <c r="BP406" i="2"/>
  <c r="BP442" i="2"/>
  <c r="BP465" i="2"/>
  <c r="BN477" i="2"/>
  <c r="BN487" i="2"/>
  <c r="BN522" i="2"/>
  <c r="BN534" i="2"/>
  <c r="BN546" i="2"/>
  <c r="Y569" i="2"/>
  <c r="Z23" i="2"/>
  <c r="Z80" i="2"/>
  <c r="Z91" i="2"/>
  <c r="Z158" i="2"/>
  <c r="Z159" i="2" s="1"/>
  <c r="Z234" i="2"/>
  <c r="Z244" i="2"/>
  <c r="Z267" i="2"/>
  <c r="Z277" i="2"/>
  <c r="Z287" i="2"/>
  <c r="Z297" i="2"/>
  <c r="Z308" i="2"/>
  <c r="Z331" i="2"/>
  <c r="Y348" i="2"/>
  <c r="Z367" i="2"/>
  <c r="Z377" i="2"/>
  <c r="Z387" i="2"/>
  <c r="Z455" i="2"/>
  <c r="Z480" i="2"/>
  <c r="Y494" i="2"/>
  <c r="Z505" i="2"/>
  <c r="Z525" i="2"/>
  <c r="BN551" i="2"/>
  <c r="G569" i="2"/>
  <c r="BN153" i="2"/>
  <c r="BN221" i="2"/>
  <c r="BN262" i="2"/>
  <c r="BN292" i="2"/>
  <c r="Y513" i="2"/>
  <c r="BP534" i="2"/>
  <c r="BP546" i="2"/>
  <c r="Y558" i="2"/>
  <c r="H569" i="2"/>
  <c r="BN75" i="2"/>
  <c r="BN176" i="2"/>
  <c r="BN80" i="2"/>
  <c r="Z343" i="2"/>
  <c r="AB569" i="2"/>
  <c r="Z299" i="2" l="1"/>
  <c r="Z83" i="2"/>
  <c r="Z426" i="2"/>
  <c r="Z192" i="2"/>
  <c r="Z339" i="2"/>
  <c r="Z360" i="2"/>
  <c r="Z519" i="2"/>
  <c r="X562" i="2"/>
  <c r="Z348" i="2"/>
  <c r="Z155" i="2"/>
  <c r="Z167" i="2"/>
  <c r="Z488" i="2"/>
  <c r="Z394" i="2"/>
  <c r="Z212" i="2"/>
  <c r="Z51" i="2"/>
  <c r="Z451" i="2"/>
  <c r="Z64" i="2"/>
  <c r="Z310" i="2"/>
  <c r="Y561" i="2"/>
  <c r="Z294" i="2"/>
  <c r="Z247" i="2"/>
  <c r="Z99" i="2"/>
  <c r="Z32" i="2"/>
  <c r="Z118" i="2"/>
  <c r="Z413" i="2"/>
  <c r="Z186" i="2"/>
  <c r="Z72" i="2"/>
  <c r="Z513" i="2"/>
  <c r="Z279" i="2"/>
  <c r="Z92" i="2"/>
  <c r="Z42" i="2"/>
  <c r="Z456" i="2"/>
  <c r="Z332" i="2"/>
  <c r="Z77" i="2"/>
  <c r="Y563" i="2"/>
  <c r="Z353" i="2"/>
  <c r="Z552" i="2"/>
  <c r="Z253" i="2"/>
  <c r="Z381" i="2"/>
  <c r="Z112" i="2"/>
  <c r="Z483" i="2"/>
  <c r="Z145" i="2"/>
  <c r="Z371" i="2"/>
  <c r="Z235" i="2"/>
  <c r="Z135" i="2"/>
  <c r="Z439" i="2"/>
  <c r="Y560" i="2"/>
  <c r="Y562" i="2" s="1"/>
  <c r="Z529" i="2"/>
  <c r="Z24" i="2"/>
  <c r="Z388" i="2"/>
  <c r="Z445" i="2"/>
  <c r="Z268" i="2"/>
  <c r="Y559" i="2"/>
  <c r="Z564" i="2" l="1"/>
</calcChain>
</file>

<file path=xl/sharedStrings.xml><?xml version="1.0" encoding="utf-8"?>
<sst xmlns="http://schemas.openxmlformats.org/spreadsheetml/2006/main" count="4310" uniqueCount="905">
  <si>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</si>
  <si>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</si>
  <si>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</si>
  <si>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</si>
  <si>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</si>
  <si>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</si>
  <si>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</si>
  <si>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</si>
  <si>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</si>
  <si>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</si>
  <si>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</si>
  <si>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</si>
  <si>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</si>
  <si>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</si>
  <si>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</si>
  <si>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</si>
  <si>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</si>
  <si>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</si>
  <si>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</si>
  <si>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</si>
  <si>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</si>
  <si>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</si>
  <si>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</si>
  <si>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</si>
  <si>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</si>
  <si>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</si>
  <si>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</si>
  <si>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</si>
  <si>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</si>
  <si>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</si>
  <si>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</si>
  <si>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</si>
  <si>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</si>
  <si>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</si>
  <si>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</si>
  <si>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</si>
  <si>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</si>
  <si>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</si>
  <si>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</si>
  <si>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</si>
  <si>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</si>
  <si>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</si>
  <si>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</si>
  <si>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</si>
  <si>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</si>
  <si>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</si>
  <si>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</si>
  <si>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</si>
  <si>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</si>
  <si>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</si>
  <si>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</si>
  <si>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</si>
  <si>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</si>
  <si>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</si>
  <si>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</si>
  <si>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</si>
  <si>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</si>
  <si>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</si>
  <si>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</si>
  <si>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</si>
  <si>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</si>
  <si>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</si>
  <si>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</si>
  <si>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</si>
  <si>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</si>
  <si>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</si>
  <si>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</si>
  <si>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</si>
  <si>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</si>
  <si>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24.09.2026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</si>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</sst>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topLeftCell="A17" zoomScaleNormal="100" zoomScaleSheetLayoutView="100" workbookViewId="0">
      <selection activeCell="AA565" sqref="AA56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7" t="s">
        <v>8</v>
      </c>
      <c r="B5" s="997"/>
      <c r="C5" s="997"/>
      <c r="D5" s="998"/>
      <c r="E5" s="998"/>
      <c r="F5" s="999" t="s">
        <v>14</v>
      </c>
      <c r="G5" s="999"/>
      <c r="H5" s="998"/>
      <c r="I5" s="998"/>
      <c r="J5" s="998"/>
      <c r="K5" s="998"/>
      <c r="L5" s="998"/>
      <c r="M5" s="998"/>
      <c r="N5" s="72"/>
      <c r="P5" s="27" t="s">
        <v>4</v>
      </c>
      <c r="Q5" s="1000">
        <v>46293</v>
      </c>
      <c r="R5" s="1000"/>
      <c r="T5" s="1001" t="s">
        <v>3</v>
      </c>
      <c r="U5" s="1002"/>
      <c r="V5" s="1003" t="s">
        <v>873</v>
      </c>
      <c r="W5" s="1004"/>
      <c r="AB5" s="59"/>
      <c r="AC5" s="59"/>
      <c r="AD5" s="59"/>
      <c r="AE5" s="59"/>
    </row>
    <row r="6" spans="1:32" s="17" customFormat="1" ht="24" customHeight="1" x14ac:dyDescent="0.2">
      <c r="A6" s="997" t="s">
        <v>1</v>
      </c>
      <c r="B6" s="997"/>
      <c r="C6" s="997"/>
      <c r="D6" s="1005" t="s">
        <v>880</v>
      </c>
      <c r="E6" s="1005"/>
      <c r="F6" s="1005"/>
      <c r="G6" s="1005"/>
      <c r="H6" s="1005"/>
      <c r="I6" s="1005"/>
      <c r="J6" s="1005"/>
      <c r="K6" s="1005"/>
      <c r="L6" s="1005"/>
      <c r="M6" s="1005"/>
      <c r="N6" s="73"/>
      <c r="P6" s="27" t="s">
        <v>27</v>
      </c>
      <c r="Q6" s="1006" t="str">
        <f>IF(Q5=0," ",CHOOSE(WEEKDAY(Q5,2),"Понедельник","Вторник","Среда","Четверг","Пятница","Суббота","Воскресенье"))</f>
        <v>Понедельник</v>
      </c>
      <c r="R6" s="1006"/>
      <c r="T6" s="1007" t="s">
        <v>5</v>
      </c>
      <c r="U6" s="1008"/>
      <c r="V6" s="1009" t="s">
        <v>70</v>
      </c>
      <c r="W6" s="101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5" t="str">
        <f>IFERROR(VLOOKUP(DeliveryAddress,Table,3,0),1)</f>
        <v>3</v>
      </c>
      <c r="E7" s="1016"/>
      <c r="F7" s="1016"/>
      <c r="G7" s="1016"/>
      <c r="H7" s="1016"/>
      <c r="I7" s="1016"/>
      <c r="J7" s="1016"/>
      <c r="K7" s="1016"/>
      <c r="L7" s="1016"/>
      <c r="M7" s="1017"/>
      <c r="N7" s="74"/>
      <c r="P7" s="29"/>
      <c r="Q7" s="48"/>
      <c r="R7" s="48"/>
      <c r="T7" s="1007"/>
      <c r="U7" s="1008"/>
      <c r="V7" s="1011"/>
      <c r="W7" s="1012"/>
      <c r="AB7" s="59"/>
      <c r="AC7" s="59"/>
      <c r="AD7" s="59"/>
      <c r="AE7" s="59"/>
    </row>
    <row r="8" spans="1:32" s="17" customFormat="1" ht="25.5" customHeight="1" x14ac:dyDescent="0.2">
      <c r="A8" s="1018" t="s">
        <v>58</v>
      </c>
      <c r="B8" s="1018"/>
      <c r="C8" s="1018"/>
      <c r="D8" s="1019"/>
      <c r="E8" s="1019"/>
      <c r="F8" s="1019"/>
      <c r="G8" s="1019"/>
      <c r="H8" s="1019"/>
      <c r="I8" s="1019"/>
      <c r="J8" s="1019"/>
      <c r="K8" s="1019"/>
      <c r="L8" s="1019"/>
      <c r="M8" s="1019"/>
      <c r="N8" s="75"/>
      <c r="P8" s="27" t="s">
        <v>11</v>
      </c>
      <c r="Q8" s="978">
        <v>0.41666666666666669</v>
      </c>
      <c r="R8" s="978"/>
      <c r="T8" s="1007"/>
      <c r="U8" s="1008"/>
      <c r="V8" s="1011"/>
      <c r="W8" s="1012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1020" t="str">
        <f>IF(AND($A$9="Тип доверенности/получателя при получении в адресе перегруза:",$D$9="Разовая доверенность"),"Введите ФИО","")</f>
        <v/>
      </c>
      <c r="I9" s="1020"/>
      <c r="J9" s="102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0"/>
      <c r="L9" s="1020"/>
      <c r="M9" s="1020"/>
      <c r="N9" s="70"/>
      <c r="P9" s="31" t="s">
        <v>15</v>
      </c>
      <c r="Q9" s="1021"/>
      <c r="R9" s="1021"/>
      <c r="T9" s="1007"/>
      <c r="U9" s="1008"/>
      <c r="V9" s="1013"/>
      <c r="W9" s="101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71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76" t="s">
        <v>55</v>
      </c>
      <c r="W11" s="9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77" t="s">
        <v>72</v>
      </c>
      <c r="B12" s="977"/>
      <c r="C12" s="977"/>
      <c r="D12" s="977"/>
      <c r="E12" s="977"/>
      <c r="F12" s="977"/>
      <c r="G12" s="977"/>
      <c r="H12" s="977"/>
      <c r="I12" s="977"/>
      <c r="J12" s="977"/>
      <c r="K12" s="977"/>
      <c r="L12" s="977"/>
      <c r="M12" s="977"/>
      <c r="N12" s="76"/>
      <c r="P12" s="27" t="s">
        <v>30</v>
      </c>
      <c r="Q12" s="978"/>
      <c r="R12" s="978"/>
      <c r="S12" s="28"/>
      <c r="T12"/>
      <c r="U12" s="29" t="s">
        <v>46</v>
      </c>
      <c r="V12" s="979"/>
      <c r="W12" s="979"/>
      <c r="X12"/>
      <c r="AB12" s="59"/>
      <c r="AC12" s="59"/>
      <c r="AD12" s="59"/>
      <c r="AE12" s="59"/>
    </row>
    <row r="13" spans="1:32" s="17" customFormat="1" ht="23.25" customHeight="1" x14ac:dyDescent="0.2">
      <c r="A13" s="977" t="s">
        <v>73</v>
      </c>
      <c r="B13" s="977"/>
      <c r="C13" s="977"/>
      <c r="D13" s="977"/>
      <c r="E13" s="977"/>
      <c r="F13" s="977"/>
      <c r="G13" s="977"/>
      <c r="H13" s="977"/>
      <c r="I13" s="977"/>
      <c r="J13" s="977"/>
      <c r="K13" s="977"/>
      <c r="L13" s="977"/>
      <c r="M13" s="977"/>
      <c r="N13" s="76"/>
      <c r="O13" s="31"/>
      <c r="P13" s="31" t="s">
        <v>31</v>
      </c>
      <c r="Q13" s="976"/>
      <c r="R13" s="9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77" t="s">
        <v>74</v>
      </c>
      <c r="B14" s="977"/>
      <c r="C14" s="977"/>
      <c r="D14" s="977"/>
      <c r="E14" s="977"/>
      <c r="F14" s="977"/>
      <c r="G14" s="977"/>
      <c r="H14" s="977"/>
      <c r="I14" s="977"/>
      <c r="J14" s="977"/>
      <c r="K14" s="977"/>
      <c r="L14" s="977"/>
      <c r="M14" s="9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0" t="s">
        <v>75</v>
      </c>
      <c r="B15" s="980"/>
      <c r="C15" s="980"/>
      <c r="D15" s="980"/>
      <c r="E15" s="980"/>
      <c r="F15" s="980"/>
      <c r="G15" s="980"/>
      <c r="H15" s="980"/>
      <c r="I15" s="980"/>
      <c r="J15" s="980"/>
      <c r="K15" s="980"/>
      <c r="L15" s="980"/>
      <c r="M15" s="980"/>
      <c r="N15" s="77"/>
      <c r="O15"/>
      <c r="P15" s="981" t="s">
        <v>61</v>
      </c>
      <c r="Q15" s="981"/>
      <c r="R15" s="981"/>
      <c r="S15" s="981"/>
      <c r="T15" s="98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2"/>
      <c r="Q16" s="982"/>
      <c r="R16" s="982"/>
      <c r="S16" s="982"/>
      <c r="T16" s="98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2" t="s">
        <v>59</v>
      </c>
      <c r="B17" s="952" t="s">
        <v>49</v>
      </c>
      <c r="C17" s="985" t="s">
        <v>48</v>
      </c>
      <c r="D17" s="987" t="s">
        <v>50</v>
      </c>
      <c r="E17" s="988"/>
      <c r="F17" s="952" t="s">
        <v>21</v>
      </c>
      <c r="G17" s="952" t="s">
        <v>24</v>
      </c>
      <c r="H17" s="952" t="s">
        <v>22</v>
      </c>
      <c r="I17" s="952" t="s">
        <v>23</v>
      </c>
      <c r="J17" s="952" t="s">
        <v>16</v>
      </c>
      <c r="K17" s="952" t="s">
        <v>66</v>
      </c>
      <c r="L17" s="952" t="s">
        <v>64</v>
      </c>
      <c r="M17" s="952" t="s">
        <v>2</v>
      </c>
      <c r="N17" s="952" t="s">
        <v>63</v>
      </c>
      <c r="O17" s="952" t="s">
        <v>25</v>
      </c>
      <c r="P17" s="987" t="s">
        <v>17</v>
      </c>
      <c r="Q17" s="991"/>
      <c r="R17" s="991"/>
      <c r="S17" s="991"/>
      <c r="T17" s="988"/>
      <c r="U17" s="983" t="s">
        <v>56</v>
      </c>
      <c r="V17" s="984"/>
      <c r="W17" s="952" t="s">
        <v>6</v>
      </c>
      <c r="X17" s="952" t="s">
        <v>41</v>
      </c>
      <c r="Y17" s="954" t="s">
        <v>54</v>
      </c>
      <c r="Z17" s="956" t="s">
        <v>18</v>
      </c>
      <c r="AA17" s="958" t="s">
        <v>60</v>
      </c>
      <c r="AB17" s="958" t="s">
        <v>19</v>
      </c>
      <c r="AC17" s="958" t="s">
        <v>65</v>
      </c>
      <c r="AD17" s="960" t="s">
        <v>57</v>
      </c>
      <c r="AE17" s="961"/>
      <c r="AF17" s="962"/>
      <c r="AG17" s="82"/>
      <c r="BD17" s="81" t="s">
        <v>62</v>
      </c>
    </row>
    <row r="18" spans="1:68" ht="14.25" customHeight="1" x14ac:dyDescent="0.2">
      <c r="A18" s="953"/>
      <c r="B18" s="953"/>
      <c r="C18" s="986"/>
      <c r="D18" s="989"/>
      <c r="E18" s="990"/>
      <c r="F18" s="953"/>
      <c r="G18" s="953"/>
      <c r="H18" s="953"/>
      <c r="I18" s="953"/>
      <c r="J18" s="953"/>
      <c r="K18" s="953"/>
      <c r="L18" s="953"/>
      <c r="M18" s="953"/>
      <c r="N18" s="953"/>
      <c r="O18" s="953"/>
      <c r="P18" s="989"/>
      <c r="Q18" s="992"/>
      <c r="R18" s="992"/>
      <c r="S18" s="992"/>
      <c r="T18" s="990"/>
      <c r="U18" s="83" t="s">
        <v>44</v>
      </c>
      <c r="V18" s="83" t="s">
        <v>43</v>
      </c>
      <c r="W18" s="953"/>
      <c r="X18" s="953"/>
      <c r="Y18" s="955"/>
      <c r="Z18" s="957"/>
      <c r="AA18" s="959"/>
      <c r="AB18" s="959"/>
      <c r="AC18" s="959"/>
      <c r="AD18" s="963"/>
      <c r="AE18" s="964"/>
      <c r="AF18" s="965"/>
      <c r="AG18" s="82"/>
      <c r="BD18" s="81"/>
    </row>
    <row r="19" spans="1:68" ht="27.75" hidden="1" customHeight="1" x14ac:dyDescent="0.2">
      <c r="A19" s="683" t="s">
        <v>76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54"/>
      <c r="AB19" s="54"/>
      <c r="AC19" s="54"/>
    </row>
    <row r="20" spans="1:68" ht="16.5" hidden="1" customHeight="1" x14ac:dyDescent="0.25">
      <c r="A20" s="672" t="s">
        <v>76</v>
      </c>
      <c r="B20" s="672"/>
      <c r="C20" s="672"/>
      <c r="D20" s="672"/>
      <c r="E20" s="672"/>
      <c r="F20" s="672"/>
      <c r="G20" s="672"/>
      <c r="H20" s="672"/>
      <c r="I20" s="672"/>
      <c r="J20" s="672"/>
      <c r="K20" s="672"/>
      <c r="L20" s="672"/>
      <c r="M20" s="672"/>
      <c r="N20" s="672"/>
      <c r="O20" s="672"/>
      <c r="P20" s="672"/>
      <c r="Q20" s="672"/>
      <c r="R20" s="672"/>
      <c r="S20" s="672"/>
      <c r="T20" s="672"/>
      <c r="U20" s="672"/>
      <c r="V20" s="672"/>
      <c r="W20" s="672"/>
      <c r="X20" s="672"/>
      <c r="Y20" s="672"/>
      <c r="Z20" s="672"/>
      <c r="AA20" s="65"/>
      <c r="AB20" s="65"/>
      <c r="AC20" s="79"/>
    </row>
    <row r="21" spans="1:68" ht="14.25" hidden="1" customHeight="1" x14ac:dyDescent="0.25">
      <c r="A21" s="665" t="s">
        <v>77</v>
      </c>
      <c r="B21" s="665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6">
        <v>4680115886643</v>
      </c>
      <c r="E22" s="666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8"/>
      <c r="R22" s="668"/>
      <c r="S22" s="668"/>
      <c r="T22" s="669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6">
        <v>4680115889071</v>
      </c>
      <c r="E23" s="666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6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8"/>
      <c r="R23" s="668"/>
      <c r="S23" s="668"/>
      <c r="T23" s="669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5" t="s">
        <v>86</v>
      </c>
      <c r="B26" s="665"/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6">
        <v>4680115885912</v>
      </c>
      <c r="E27" s="666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8"/>
      <c r="R27" s="668"/>
      <c r="S27" s="668"/>
      <c r="T27" s="669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6">
        <v>4607091388237</v>
      </c>
      <c r="E28" s="666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8"/>
      <c r="R28" s="668"/>
      <c r="S28" s="668"/>
      <c r="T28" s="669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6">
        <v>4680115887350</v>
      </c>
      <c r="E29" s="666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8"/>
      <c r="R29" s="668"/>
      <c r="S29" s="668"/>
      <c r="T29" s="669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6">
        <v>4680115885905</v>
      </c>
      <c r="E30" s="666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8"/>
      <c r="R30" s="668"/>
      <c r="S30" s="668"/>
      <c r="T30" s="669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6">
        <v>4680115887619</v>
      </c>
      <c r="E31" s="666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8"/>
      <c r="R31" s="668"/>
      <c r="S31" s="668"/>
      <c r="T31" s="669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3" t="s">
        <v>45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54"/>
      <c r="AB34" s="54"/>
      <c r="AC34" s="54"/>
    </row>
    <row r="35" spans="1:68" ht="16.5" hidden="1" customHeight="1" x14ac:dyDescent="0.25">
      <c r="A35" s="672" t="s">
        <v>104</v>
      </c>
      <c r="B35" s="672"/>
      <c r="C35" s="672"/>
      <c r="D35" s="672"/>
      <c r="E35" s="672"/>
      <c r="F35" s="672"/>
      <c r="G35" s="672"/>
      <c r="H35" s="672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Y35" s="672"/>
      <c r="Z35" s="672"/>
      <c r="AA35" s="65"/>
      <c r="AB35" s="65"/>
      <c r="AC35" s="79"/>
    </row>
    <row r="36" spans="1:68" ht="14.25" hidden="1" customHeight="1" x14ac:dyDescent="0.25">
      <c r="A36" s="665" t="s">
        <v>86</v>
      </c>
      <c r="B36" s="665"/>
      <c r="C36" s="665"/>
      <c r="D36" s="665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6">
        <v>4680115889354</v>
      </c>
      <c r="E37" s="666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8"/>
      <c r="R37" s="668"/>
      <c r="S37" s="668"/>
      <c r="T37" s="669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6">
        <v>4680115888463</v>
      </c>
      <c r="E38" s="666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8"/>
      <c r="R38" s="668"/>
      <c r="S38" s="668"/>
      <c r="T38" s="669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6">
        <v>4680115889590</v>
      </c>
      <c r="E39" s="666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8"/>
      <c r="R39" s="668"/>
      <c r="S39" s="668"/>
      <c r="T39" s="669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6">
        <v>4680115888272</v>
      </c>
      <c r="E40" s="666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8"/>
      <c r="R40" s="668"/>
      <c r="S40" s="668"/>
      <c r="T40" s="669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6">
        <v>4680115888364</v>
      </c>
      <c r="E41" s="666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8"/>
      <c r="R41" s="668"/>
      <c r="S41" s="668"/>
      <c r="T41" s="669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3" t="s">
        <v>120</v>
      </c>
      <c r="B44" s="683"/>
      <c r="C44" s="683"/>
      <c r="D44" s="683"/>
      <c r="E44" s="683"/>
      <c r="F44" s="683"/>
      <c r="G44" s="683"/>
      <c r="H44" s="683"/>
      <c r="I44" s="683"/>
      <c r="J44" s="683"/>
      <c r="K44" s="683"/>
      <c r="L44" s="683"/>
      <c r="M44" s="683"/>
      <c r="N44" s="683"/>
      <c r="O44" s="683"/>
      <c r="P44" s="683"/>
      <c r="Q44" s="683"/>
      <c r="R44" s="683"/>
      <c r="S44" s="683"/>
      <c r="T44" s="683"/>
      <c r="U44" s="683"/>
      <c r="V44" s="683"/>
      <c r="W44" s="683"/>
      <c r="X44" s="683"/>
      <c r="Y44" s="683"/>
      <c r="Z44" s="683"/>
      <c r="AA44" s="54"/>
      <c r="AB44" s="54"/>
      <c r="AC44" s="54"/>
    </row>
    <row r="45" spans="1:68" ht="16.5" hidden="1" customHeight="1" x14ac:dyDescent="0.25">
      <c r="A45" s="672" t="s">
        <v>121</v>
      </c>
      <c r="B45" s="672"/>
      <c r="C45" s="672"/>
      <c r="D45" s="672"/>
      <c r="E45" s="672"/>
      <c r="F45" s="672"/>
      <c r="G45" s="672"/>
      <c r="H45" s="67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Y45" s="672"/>
      <c r="Z45" s="672"/>
      <c r="AA45" s="65"/>
      <c r="AB45" s="65"/>
      <c r="AC45" s="79"/>
    </row>
    <row r="46" spans="1:68" ht="14.25" hidden="1" customHeight="1" x14ac:dyDescent="0.25">
      <c r="A46" s="665" t="s">
        <v>122</v>
      </c>
      <c r="B46" s="665"/>
      <c r="C46" s="665"/>
      <c r="D46" s="665"/>
      <c r="E46" s="66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66">
        <v>4607091385670</v>
      </c>
      <c r="E47" s="666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8"/>
      <c r="R47" s="668"/>
      <c r="S47" s="668"/>
      <c r="T47" s="669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6">
        <v>4680115887725</v>
      </c>
      <c r="E48" s="666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8"/>
      <c r="R48" s="668"/>
      <c r="S48" s="668"/>
      <c r="T48" s="669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66">
        <v>4607091385687</v>
      </c>
      <c r="E49" s="666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8"/>
      <c r="R49" s="668"/>
      <c r="S49" s="668"/>
      <c r="T49" s="669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6">
        <v>4680115882539</v>
      </c>
      <c r="E50" s="666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8"/>
      <c r="R50" s="668"/>
      <c r="S50" s="668"/>
      <c r="T50" s="669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72" t="s">
        <v>137</v>
      </c>
      <c r="B53" s="672"/>
      <c r="C53" s="672"/>
      <c r="D53" s="672"/>
      <c r="E53" s="672"/>
      <c r="F53" s="672"/>
      <c r="G53" s="672"/>
      <c r="H53" s="672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Y53" s="672"/>
      <c r="Z53" s="672"/>
      <c r="AA53" s="65"/>
      <c r="AB53" s="65"/>
      <c r="AC53" s="79"/>
    </row>
    <row r="54" spans="1:68" ht="14.25" hidden="1" customHeight="1" x14ac:dyDescent="0.25">
      <c r="A54" s="665" t="s">
        <v>122</v>
      </c>
      <c r="B54" s="665"/>
      <c r="C54" s="665"/>
      <c r="D54" s="665"/>
      <c r="E54" s="66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6">
        <v>4680115885882</v>
      </c>
      <c r="E55" s="666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8"/>
      <c r="R55" s="668"/>
      <c r="S55" s="668"/>
      <c r="T55" s="669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66">
        <v>4680115881426</v>
      </c>
      <c r="E56" s="666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8"/>
      <c r="R56" s="668"/>
      <c r="S56" s="668"/>
      <c r="T56" s="669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666">
        <v>4680115881426</v>
      </c>
      <c r="E57" s="666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40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8"/>
      <c r="R57" s="668"/>
      <c r="S57" s="668"/>
      <c r="T57" s="669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666">
        <v>4680115880283</v>
      </c>
      <c r="E58" s="666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8"/>
      <c r="R58" s="668"/>
      <c r="S58" s="668"/>
      <c r="T58" s="669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666">
        <v>4680115881525</v>
      </c>
      <c r="E59" s="666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8"/>
      <c r="R59" s="668"/>
      <c r="S59" s="668"/>
      <c r="T59" s="669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666">
        <v>4680115881525</v>
      </c>
      <c r="E60" s="666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8"/>
      <c r="R60" s="668"/>
      <c r="S60" s="668"/>
      <c r="T60" s="669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66">
        <v>4680115885899</v>
      </c>
      <c r="E61" s="666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3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8"/>
      <c r="R61" s="668"/>
      <c r="S61" s="668"/>
      <c r="T61" s="669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66">
        <v>4680115881419</v>
      </c>
      <c r="E62" s="666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8"/>
      <c r="R62" s="668"/>
      <c r="S62" s="668"/>
      <c r="T62" s="669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666">
        <v>4680115881419</v>
      </c>
      <c r="E63" s="666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933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8"/>
      <c r="R63" s="668"/>
      <c r="S63" s="668"/>
      <c r="T63" s="669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656"/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7"/>
      <c r="P64" s="653" t="s">
        <v>40</v>
      </c>
      <c r="Q64" s="654"/>
      <c r="R64" s="654"/>
      <c r="S64" s="654"/>
      <c r="T64" s="654"/>
      <c r="U64" s="654"/>
      <c r="V64" s="655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656"/>
      <c r="B65" s="656"/>
      <c r="C65" s="656"/>
      <c r="D65" s="656"/>
      <c r="E65" s="656"/>
      <c r="F65" s="656"/>
      <c r="G65" s="656"/>
      <c r="H65" s="656"/>
      <c r="I65" s="656"/>
      <c r="J65" s="656"/>
      <c r="K65" s="656"/>
      <c r="L65" s="656"/>
      <c r="M65" s="656"/>
      <c r="N65" s="656"/>
      <c r="O65" s="657"/>
      <c r="P65" s="653" t="s">
        <v>40</v>
      </c>
      <c r="Q65" s="654"/>
      <c r="R65" s="654"/>
      <c r="S65" s="654"/>
      <c r="T65" s="654"/>
      <c r="U65" s="654"/>
      <c r="V65" s="655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665" t="s">
        <v>159</v>
      </c>
      <c r="B66" s="665"/>
      <c r="C66" s="665"/>
      <c r="D66" s="665"/>
      <c r="E66" s="665"/>
      <c r="F66" s="665"/>
      <c r="G66" s="665"/>
      <c r="H66" s="665"/>
      <c r="I66" s="665"/>
      <c r="J66" s="665"/>
      <c r="K66" s="665"/>
      <c r="L66" s="665"/>
      <c r="M66" s="665"/>
      <c r="N66" s="665"/>
      <c r="O66" s="665"/>
      <c r="P66" s="665"/>
      <c r="Q66" s="665"/>
      <c r="R66" s="665"/>
      <c r="S66" s="665"/>
      <c r="T66" s="665"/>
      <c r="U66" s="665"/>
      <c r="V66" s="665"/>
      <c r="W66" s="665"/>
      <c r="X66" s="665"/>
      <c r="Y66" s="665"/>
      <c r="Z66" s="665"/>
      <c r="AA66" s="66"/>
      <c r="AB66" s="66"/>
      <c r="AC66" s="80"/>
    </row>
    <row r="67" spans="1:68" ht="16.5" hidden="1" customHeight="1" x14ac:dyDescent="0.25">
      <c r="A67" s="63" t="s">
        <v>160</v>
      </c>
      <c r="B67" s="63" t="s">
        <v>161</v>
      </c>
      <c r="C67" s="36">
        <v>4301020298</v>
      </c>
      <c r="D67" s="666">
        <v>4680115881440</v>
      </c>
      <c r="E67" s="666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8"/>
      <c r="R67" s="668"/>
      <c r="S67" s="668"/>
      <c r="T67" s="669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666">
        <v>4680115881440</v>
      </c>
      <c r="E68" s="666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92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8"/>
      <c r="R68" s="668"/>
      <c r="S68" s="668"/>
      <c r="T68" s="669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666">
        <v>4680115885950</v>
      </c>
      <c r="E69" s="666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92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8"/>
      <c r="R69" s="668"/>
      <c r="S69" s="668"/>
      <c r="T69" s="669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666">
        <v>4680115887688</v>
      </c>
      <c r="E70" s="666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92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8"/>
      <c r="R70" s="668"/>
      <c r="S70" s="668"/>
      <c r="T70" s="669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170</v>
      </c>
      <c r="B71" s="63" t="s">
        <v>171</v>
      </c>
      <c r="C71" s="36">
        <v>4301020389</v>
      </c>
      <c r="D71" s="666">
        <v>4680115881433</v>
      </c>
      <c r="E71" s="666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925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8"/>
      <c r="R71" s="668"/>
      <c r="S71" s="668"/>
      <c r="T71" s="669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idden="1" x14ac:dyDescent="0.2">
      <c r="A72" s="656"/>
      <c r="B72" s="656"/>
      <c r="C72" s="656"/>
      <c r="D72" s="656"/>
      <c r="E72" s="656"/>
      <c r="F72" s="656"/>
      <c r="G72" s="656"/>
      <c r="H72" s="656"/>
      <c r="I72" s="656"/>
      <c r="J72" s="656"/>
      <c r="K72" s="656"/>
      <c r="L72" s="656"/>
      <c r="M72" s="656"/>
      <c r="N72" s="656"/>
      <c r="O72" s="657"/>
      <c r="P72" s="653" t="s">
        <v>40</v>
      </c>
      <c r="Q72" s="654"/>
      <c r="R72" s="654"/>
      <c r="S72" s="654"/>
      <c r="T72" s="654"/>
      <c r="U72" s="654"/>
      <c r="V72" s="655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656"/>
      <c r="B73" s="656"/>
      <c r="C73" s="656"/>
      <c r="D73" s="656"/>
      <c r="E73" s="656"/>
      <c r="F73" s="656"/>
      <c r="G73" s="656"/>
      <c r="H73" s="656"/>
      <c r="I73" s="656"/>
      <c r="J73" s="656"/>
      <c r="K73" s="656"/>
      <c r="L73" s="656"/>
      <c r="M73" s="656"/>
      <c r="N73" s="656"/>
      <c r="O73" s="657"/>
      <c r="P73" s="653" t="s">
        <v>40</v>
      </c>
      <c r="Q73" s="654"/>
      <c r="R73" s="654"/>
      <c r="S73" s="654"/>
      <c r="T73" s="654"/>
      <c r="U73" s="654"/>
      <c r="V73" s="655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hidden="1" customHeight="1" x14ac:dyDescent="0.25">
      <c r="A74" s="665" t="s">
        <v>86</v>
      </c>
      <c r="B74" s="665"/>
      <c r="C74" s="665"/>
      <c r="D74" s="665"/>
      <c r="E74" s="665"/>
      <c r="F74" s="665"/>
      <c r="G74" s="665"/>
      <c r="H74" s="665"/>
      <c r="I74" s="665"/>
      <c r="J74" s="665"/>
      <c r="K74" s="665"/>
      <c r="L74" s="665"/>
      <c r="M74" s="665"/>
      <c r="N74" s="665"/>
      <c r="O74" s="665"/>
      <c r="P74" s="665"/>
      <c r="Q74" s="665"/>
      <c r="R74" s="665"/>
      <c r="S74" s="665"/>
      <c r="T74" s="665"/>
      <c r="U74" s="665"/>
      <c r="V74" s="665"/>
      <c r="W74" s="665"/>
      <c r="X74" s="665"/>
      <c r="Y74" s="665"/>
      <c r="Z74" s="665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666">
        <v>4680115884311</v>
      </c>
      <c r="E75" s="666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8"/>
      <c r="R75" s="668"/>
      <c r="S75" s="668"/>
      <c r="T75" s="669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666">
        <v>4680115884403</v>
      </c>
      <c r="E76" s="666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92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8"/>
      <c r="R76" s="668"/>
      <c r="S76" s="668"/>
      <c r="T76" s="669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56"/>
      <c r="B77" s="656"/>
      <c r="C77" s="656"/>
      <c r="D77" s="656"/>
      <c r="E77" s="656"/>
      <c r="F77" s="656"/>
      <c r="G77" s="656"/>
      <c r="H77" s="656"/>
      <c r="I77" s="656"/>
      <c r="J77" s="656"/>
      <c r="K77" s="656"/>
      <c r="L77" s="656"/>
      <c r="M77" s="656"/>
      <c r="N77" s="656"/>
      <c r="O77" s="657"/>
      <c r="P77" s="653" t="s">
        <v>40</v>
      </c>
      <c r="Q77" s="654"/>
      <c r="R77" s="654"/>
      <c r="S77" s="654"/>
      <c r="T77" s="654"/>
      <c r="U77" s="654"/>
      <c r="V77" s="655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656"/>
      <c r="B78" s="656"/>
      <c r="C78" s="656"/>
      <c r="D78" s="656"/>
      <c r="E78" s="656"/>
      <c r="F78" s="656"/>
      <c r="G78" s="656"/>
      <c r="H78" s="656"/>
      <c r="I78" s="656"/>
      <c r="J78" s="656"/>
      <c r="K78" s="656"/>
      <c r="L78" s="656"/>
      <c r="M78" s="656"/>
      <c r="N78" s="656"/>
      <c r="O78" s="657"/>
      <c r="P78" s="653" t="s">
        <v>40</v>
      </c>
      <c r="Q78" s="654"/>
      <c r="R78" s="654"/>
      <c r="S78" s="654"/>
      <c r="T78" s="654"/>
      <c r="U78" s="654"/>
      <c r="V78" s="655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665" t="s">
        <v>178</v>
      </c>
      <c r="B79" s="665"/>
      <c r="C79" s="665"/>
      <c r="D79" s="665"/>
      <c r="E79" s="665"/>
      <c r="F79" s="665"/>
      <c r="G79" s="665"/>
      <c r="H79" s="665"/>
      <c r="I79" s="665"/>
      <c r="J79" s="665"/>
      <c r="K79" s="665"/>
      <c r="L79" s="665"/>
      <c r="M79" s="665"/>
      <c r="N79" s="665"/>
      <c r="O79" s="665"/>
      <c r="P79" s="665"/>
      <c r="Q79" s="665"/>
      <c r="R79" s="665"/>
      <c r="S79" s="665"/>
      <c r="T79" s="665"/>
      <c r="U79" s="665"/>
      <c r="V79" s="665"/>
      <c r="W79" s="665"/>
      <c r="X79" s="665"/>
      <c r="Y79" s="665"/>
      <c r="Z79" s="665"/>
      <c r="AA79" s="66"/>
      <c r="AB79" s="66"/>
      <c r="AC79" s="80"/>
    </row>
    <row r="80" spans="1:68" ht="27" hidden="1" customHeight="1" x14ac:dyDescent="0.25">
      <c r="A80" s="63" t="s">
        <v>179</v>
      </c>
      <c r="B80" s="63" t="s">
        <v>180</v>
      </c>
      <c r="C80" s="36">
        <v>4301060455</v>
      </c>
      <c r="D80" s="666">
        <v>4680115881532</v>
      </c>
      <c r="E80" s="666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91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8"/>
      <c r="R80" s="668"/>
      <c r="S80" s="668"/>
      <c r="T80" s="669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666">
        <v>4680115881532</v>
      </c>
      <c r="E81" s="666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91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8"/>
      <c r="R81" s="668"/>
      <c r="S81" s="668"/>
      <c r="T81" s="669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666">
        <v>4680115881464</v>
      </c>
      <c r="E82" s="666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91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56"/>
      <c r="B83" s="656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7"/>
      <c r="P83" s="653" t="s">
        <v>40</v>
      </c>
      <c r="Q83" s="654"/>
      <c r="R83" s="654"/>
      <c r="S83" s="654"/>
      <c r="T83" s="654"/>
      <c r="U83" s="654"/>
      <c r="V83" s="655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656"/>
      <c r="B84" s="656"/>
      <c r="C84" s="656"/>
      <c r="D84" s="656"/>
      <c r="E84" s="656"/>
      <c r="F84" s="656"/>
      <c r="G84" s="656"/>
      <c r="H84" s="656"/>
      <c r="I84" s="656"/>
      <c r="J84" s="656"/>
      <c r="K84" s="656"/>
      <c r="L84" s="656"/>
      <c r="M84" s="656"/>
      <c r="N84" s="656"/>
      <c r="O84" s="657"/>
      <c r="P84" s="653" t="s">
        <v>40</v>
      </c>
      <c r="Q84" s="654"/>
      <c r="R84" s="654"/>
      <c r="S84" s="654"/>
      <c r="T84" s="654"/>
      <c r="U84" s="654"/>
      <c r="V84" s="655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672" t="s">
        <v>186</v>
      </c>
      <c r="B85" s="672"/>
      <c r="C85" s="672"/>
      <c r="D85" s="672"/>
      <c r="E85" s="672"/>
      <c r="F85" s="672"/>
      <c r="G85" s="672"/>
      <c r="H85" s="672"/>
      <c r="I85" s="672"/>
      <c r="J85" s="672"/>
      <c r="K85" s="672"/>
      <c r="L85" s="672"/>
      <c r="M85" s="672"/>
      <c r="N85" s="672"/>
      <c r="O85" s="672"/>
      <c r="P85" s="672"/>
      <c r="Q85" s="672"/>
      <c r="R85" s="672"/>
      <c r="S85" s="672"/>
      <c r="T85" s="672"/>
      <c r="U85" s="672"/>
      <c r="V85" s="672"/>
      <c r="W85" s="672"/>
      <c r="X85" s="672"/>
      <c r="Y85" s="672"/>
      <c r="Z85" s="672"/>
      <c r="AA85" s="65"/>
      <c r="AB85" s="65"/>
      <c r="AC85" s="79"/>
    </row>
    <row r="86" spans="1:68" ht="14.25" hidden="1" customHeight="1" x14ac:dyDescent="0.25">
      <c r="A86" s="665" t="s">
        <v>122</v>
      </c>
      <c r="B86" s="665"/>
      <c r="C86" s="665"/>
      <c r="D86" s="665"/>
      <c r="E86" s="665"/>
      <c r="F86" s="665"/>
      <c r="G86" s="665"/>
      <c r="H86" s="665"/>
      <c r="I86" s="665"/>
      <c r="J86" s="665"/>
      <c r="K86" s="665"/>
      <c r="L86" s="665"/>
      <c r="M86" s="665"/>
      <c r="N86" s="665"/>
      <c r="O86" s="665"/>
      <c r="P86" s="665"/>
      <c r="Q86" s="665"/>
      <c r="R86" s="665"/>
      <c r="S86" s="665"/>
      <c r="T86" s="665"/>
      <c r="U86" s="665"/>
      <c r="V86" s="665"/>
      <c r="W86" s="665"/>
      <c r="X86" s="665"/>
      <c r="Y86" s="665"/>
      <c r="Z86" s="665"/>
      <c r="AA86" s="66"/>
      <c r="AB86" s="66"/>
      <c r="AC86" s="80"/>
    </row>
    <row r="87" spans="1:68" ht="27" hidden="1" customHeight="1" x14ac:dyDescent="0.25">
      <c r="A87" s="63" t="s">
        <v>187</v>
      </c>
      <c r="B87" s="63" t="s">
        <v>188</v>
      </c>
      <c r="C87" s="36">
        <v>4301011468</v>
      </c>
      <c r="D87" s="666">
        <v>4680115881327</v>
      </c>
      <c r="E87" s="666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91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4301012392</v>
      </c>
      <c r="D88" s="666">
        <v>4680115887732</v>
      </c>
      <c r="E88" s="666"/>
      <c r="F88" s="62">
        <v>0.17</v>
      </c>
      <c r="G88" s="37">
        <v>8</v>
      </c>
      <c r="H88" s="62">
        <v>1.36</v>
      </c>
      <c r="I88" s="62">
        <v>1.54</v>
      </c>
      <c r="J88" s="37">
        <v>192</v>
      </c>
      <c r="K88" s="37" t="s">
        <v>131</v>
      </c>
      <c r="L88" s="37" t="s">
        <v>46</v>
      </c>
      <c r="M88" s="38" t="s">
        <v>81</v>
      </c>
      <c r="N88" s="38"/>
      <c r="O88" s="37">
        <v>30</v>
      </c>
      <c r="P88" s="92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68"/>
      <c r="R88" s="668"/>
      <c r="S88" s="668"/>
      <c r="T88" s="669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8" t="s">
        <v>192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4301011476</v>
      </c>
      <c r="D89" s="666">
        <v>4680115881518</v>
      </c>
      <c r="E89" s="666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134</v>
      </c>
      <c r="L89" s="37" t="s">
        <v>46</v>
      </c>
      <c r="M89" s="38" t="s">
        <v>90</v>
      </c>
      <c r="N89" s="38"/>
      <c r="O89" s="37">
        <v>50</v>
      </c>
      <c r="P89" s="92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68"/>
      <c r="R89" s="668"/>
      <c r="S89" s="668"/>
      <c r="T89" s="669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189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4301012252</v>
      </c>
      <c r="D90" s="666">
        <v>4680115881518</v>
      </c>
      <c r="E90" s="666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91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68"/>
      <c r="R90" s="668"/>
      <c r="S90" s="668"/>
      <c r="T90" s="669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4301012250</v>
      </c>
      <c r="D91" s="666">
        <v>4680115881303</v>
      </c>
      <c r="E91" s="666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9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68"/>
      <c r="R91" s="668"/>
      <c r="S91" s="668"/>
      <c r="T91" s="669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53" t="s">
        <v>40</v>
      </c>
      <c r="Q92" s="654"/>
      <c r="R92" s="654"/>
      <c r="S92" s="654"/>
      <c r="T92" s="654"/>
      <c r="U92" s="654"/>
      <c r="V92" s="655"/>
      <c r="W92" s="42" t="s">
        <v>39</v>
      </c>
      <c r="X92" s="43">
        <f>IFERROR(X87/H87,"0")+IFERROR(X88/H88,"0")+IFERROR(X89/H89,"0")+IFERROR(X90/H90,"0")+IFERROR(X91/H91,"0")</f>
        <v>0</v>
      </c>
      <c r="Y92" s="43">
        <f>IFERROR(Y87/H87,"0")+IFERROR(Y88/H88,"0")+IFERROR(Y89/H89,"0")+IFERROR(Y90/H90,"0")+IFERROR(Y91/H91,"0")</f>
        <v>0</v>
      </c>
      <c r="Z92" s="43">
        <f>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56"/>
      <c r="B93" s="656"/>
      <c r="C93" s="656"/>
      <c r="D93" s="656"/>
      <c r="E93" s="656"/>
      <c r="F93" s="656"/>
      <c r="G93" s="656"/>
      <c r="H93" s="656"/>
      <c r="I93" s="656"/>
      <c r="J93" s="656"/>
      <c r="K93" s="656"/>
      <c r="L93" s="656"/>
      <c r="M93" s="656"/>
      <c r="N93" s="656"/>
      <c r="O93" s="657"/>
      <c r="P93" s="653" t="s">
        <v>40</v>
      </c>
      <c r="Q93" s="654"/>
      <c r="R93" s="654"/>
      <c r="S93" s="654"/>
      <c r="T93" s="654"/>
      <c r="U93" s="654"/>
      <c r="V93" s="655"/>
      <c r="W93" s="42" t="s">
        <v>0</v>
      </c>
      <c r="X93" s="43">
        <f>IFERROR(SUM(X87:X91),"0")</f>
        <v>0</v>
      </c>
      <c r="Y93" s="43">
        <f>IFERROR(SUM(Y87:Y91),"0")</f>
        <v>0</v>
      </c>
      <c r="Z93" s="42"/>
      <c r="AA93" s="67"/>
      <c r="AB93" s="67"/>
      <c r="AC93" s="67"/>
    </row>
    <row r="94" spans="1:68" ht="14.25" hidden="1" customHeight="1" x14ac:dyDescent="0.25">
      <c r="A94" s="665" t="s">
        <v>86</v>
      </c>
      <c r="B94" s="665"/>
      <c r="C94" s="665"/>
      <c r="D94" s="665"/>
      <c r="E94" s="665"/>
      <c r="F94" s="665"/>
      <c r="G94" s="665"/>
      <c r="H94" s="665"/>
      <c r="I94" s="665"/>
      <c r="J94" s="665"/>
      <c r="K94" s="665"/>
      <c r="L94" s="665"/>
      <c r="M94" s="665"/>
      <c r="N94" s="665"/>
      <c r="O94" s="665"/>
      <c r="P94" s="665"/>
      <c r="Q94" s="665"/>
      <c r="R94" s="665"/>
      <c r="S94" s="665"/>
      <c r="T94" s="665"/>
      <c r="U94" s="665"/>
      <c r="V94" s="665"/>
      <c r="W94" s="665"/>
      <c r="X94" s="665"/>
      <c r="Y94" s="665"/>
      <c r="Z94" s="665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4301052101</v>
      </c>
      <c r="D95" s="666">
        <v>4607091386967</v>
      </c>
      <c r="E95" s="666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127</v>
      </c>
      <c r="L95" s="37" t="s">
        <v>46</v>
      </c>
      <c r="M95" s="38" t="s">
        <v>97</v>
      </c>
      <c r="N95" s="38"/>
      <c r="O95" s="37">
        <v>45</v>
      </c>
      <c r="P95" s="91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68"/>
      <c r="R95" s="668"/>
      <c r="S95" s="668"/>
      <c r="T95" s="669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6" t="s">
        <v>200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4301052090</v>
      </c>
      <c r="D96" s="666">
        <v>4680115884953</v>
      </c>
      <c r="E96" s="666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1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68"/>
      <c r="R96" s="668"/>
      <c r="S96" s="668"/>
      <c r="T96" s="669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4301052094</v>
      </c>
      <c r="D97" s="666">
        <v>4607091385731</v>
      </c>
      <c r="E97" s="666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1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68"/>
      <c r="R97" s="668"/>
      <c r="S97" s="668"/>
      <c r="T97" s="669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66">
        <v>4680115880894</v>
      </c>
      <c r="E98" s="666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9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8"/>
      <c r="R98" s="668"/>
      <c r="S98" s="668"/>
      <c r="T98" s="669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3" t="s">
        <v>40</v>
      </c>
      <c r="Q100" s="654"/>
      <c r="R100" s="654"/>
      <c r="S100" s="654"/>
      <c r="T100" s="654"/>
      <c r="U100" s="654"/>
      <c r="V100" s="655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72" t="s">
        <v>209</v>
      </c>
      <c r="B101" s="672"/>
      <c r="C101" s="672"/>
      <c r="D101" s="672"/>
      <c r="E101" s="672"/>
      <c r="F101" s="672"/>
      <c r="G101" s="672"/>
      <c r="H101" s="672"/>
      <c r="I101" s="672"/>
      <c r="J101" s="672"/>
      <c r="K101" s="672"/>
      <c r="L101" s="672"/>
      <c r="M101" s="672"/>
      <c r="N101" s="672"/>
      <c r="O101" s="672"/>
      <c r="P101" s="672"/>
      <c r="Q101" s="672"/>
      <c r="R101" s="672"/>
      <c r="S101" s="672"/>
      <c r="T101" s="672"/>
      <c r="U101" s="672"/>
      <c r="V101" s="672"/>
      <c r="W101" s="672"/>
      <c r="X101" s="672"/>
      <c r="Y101" s="672"/>
      <c r="Z101" s="672"/>
      <c r="AA101" s="65"/>
      <c r="AB101" s="65"/>
      <c r="AC101" s="79"/>
    </row>
    <row r="102" spans="1:68" ht="14.25" hidden="1" customHeight="1" x14ac:dyDescent="0.25">
      <c r="A102" s="665" t="s">
        <v>122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666">
        <v>4680115882133</v>
      </c>
      <c r="E103" s="666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8"/>
      <c r="R103" s="668"/>
      <c r="S103" s="668"/>
      <c r="T103" s="669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1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1" si="6">IFERROR(X103*I103/H103,"0")</f>
        <v>0</v>
      </c>
      <c r="BN103" s="78">
        <f t="shared" ref="BN103:BN111" si="7">IFERROR(Y103*I103/H103,"0")</f>
        <v>0</v>
      </c>
      <c r="BO103" s="78">
        <f t="shared" ref="BO103:BO111" si="8">IFERROR(1/J103*(X103/H103),"0")</f>
        <v>0</v>
      </c>
      <c r="BP103" s="78">
        <f t="shared" ref="BP103:BP111" si="9">IFERROR(1/J103*(Y103/H103),"0")</f>
        <v>0</v>
      </c>
    </row>
    <row r="104" spans="1:68" ht="27" hidden="1" customHeight="1" x14ac:dyDescent="0.25">
      <c r="A104" s="63" t="s">
        <v>210</v>
      </c>
      <c r="B104" s="63" t="s">
        <v>213</v>
      </c>
      <c r="C104" s="36">
        <v>4301012256</v>
      </c>
      <c r="D104" s="666">
        <v>4680115882133</v>
      </c>
      <c r="E104" s="666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0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68"/>
      <c r="R104" s="668"/>
      <c r="S104" s="668"/>
      <c r="T104" s="669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216</v>
      </c>
      <c r="C105" s="36">
        <v>4301012379</v>
      </c>
      <c r="D105" s="666">
        <v>4680115887718</v>
      </c>
      <c r="E105" s="666"/>
      <c r="F105" s="62">
        <v>0.11</v>
      </c>
      <c r="G105" s="37">
        <v>6</v>
      </c>
      <c r="H105" s="62">
        <v>0.66</v>
      </c>
      <c r="I105" s="62">
        <v>0.82599999999999996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0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8"/>
      <c r="R105" s="668"/>
      <c r="S105" s="668"/>
      <c r="T105" s="669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217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218</v>
      </c>
      <c r="B106" s="63" t="s">
        <v>219</v>
      </c>
      <c r="C106" s="36">
        <v>4301011417</v>
      </c>
      <c r="D106" s="666">
        <v>4680115880269</v>
      </c>
      <c r="E106" s="666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68"/>
      <c r="R106" s="668"/>
      <c r="S106" s="668"/>
      <c r="T106" s="669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212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218</v>
      </c>
      <c r="B107" s="63" t="s">
        <v>220</v>
      </c>
      <c r="C107" s="36">
        <v>4301012253</v>
      </c>
      <c r="D107" s="666">
        <v>4680115880269</v>
      </c>
      <c r="E107" s="666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90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68"/>
      <c r="R107" s="668"/>
      <c r="S107" s="668"/>
      <c r="T107" s="669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214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4301012254</v>
      </c>
      <c r="D108" s="666">
        <v>4680115880429</v>
      </c>
      <c r="E108" s="666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90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68"/>
      <c r="R108" s="668"/>
      <c r="S108" s="668"/>
      <c r="T108" s="669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4301011462</v>
      </c>
      <c r="D109" s="666">
        <v>4680115881457</v>
      </c>
      <c r="E109" s="666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212</v>
      </c>
      <c r="AG109" s="78"/>
      <c r="AJ109" s="84" t="s">
        <v>46</v>
      </c>
      <c r="AK109" s="84">
        <v>0</v>
      </c>
      <c r="BB109" s="187" t="s">
        <v>67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4301012255</v>
      </c>
      <c r="D110" s="666">
        <v>4680115881457</v>
      </c>
      <c r="E110" s="666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0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68"/>
      <c r="R110" s="668"/>
      <c r="S110" s="668"/>
      <c r="T110" s="669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214</v>
      </c>
      <c r="AG110" s="78"/>
      <c r="AJ110" s="84" t="s">
        <v>46</v>
      </c>
      <c r="AK110" s="84">
        <v>0</v>
      </c>
      <c r="BB110" s="189" t="s">
        <v>67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hidden="1" customHeight="1" x14ac:dyDescent="0.25">
      <c r="A111" s="63" t="s">
        <v>226</v>
      </c>
      <c r="B111" s="63" t="s">
        <v>227</v>
      </c>
      <c r="C111" s="36">
        <v>4301012366</v>
      </c>
      <c r="D111" s="666">
        <v>4680115889477</v>
      </c>
      <c r="E111" s="666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91</v>
      </c>
      <c r="L111" s="37" t="s">
        <v>46</v>
      </c>
      <c r="M111" s="38" t="s">
        <v>126</v>
      </c>
      <c r="N111" s="38"/>
      <c r="O111" s="37">
        <v>55</v>
      </c>
      <c r="P111" s="897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68"/>
      <c r="R111" s="668"/>
      <c r="S111" s="668"/>
      <c r="T111" s="669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46</v>
      </c>
      <c r="AB111" s="69" t="s">
        <v>46</v>
      </c>
      <c r="AC111" s="190" t="s">
        <v>228</v>
      </c>
      <c r="AG111" s="78"/>
      <c r="AJ111" s="84" t="s">
        <v>46</v>
      </c>
      <c r="AK111" s="84">
        <v>0</v>
      </c>
      <c r="BB111" s="191" t="s">
        <v>67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hidden="1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3" t="s">
        <v>40</v>
      </c>
      <c r="Q112" s="654"/>
      <c r="R112" s="654"/>
      <c r="S112" s="654"/>
      <c r="T112" s="654"/>
      <c r="U112" s="654"/>
      <c r="V112" s="655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0</v>
      </c>
      <c r="Y112" s="43">
        <f>IFERROR(Y103/H103,"0")+IFERROR(Y104/H104,"0")+IFERROR(Y105/H105,"0")+IFERROR(Y106/H106,"0")+IFERROR(Y107/H107,"0")+IFERROR(Y108/H108,"0")+IFERROR(Y109/H109,"0")+IFERROR(Y110/H110,"0")+IFERROR(Y111/H111,"0")</f>
        <v>0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656"/>
      <c r="B113" s="656"/>
      <c r="C113" s="656"/>
      <c r="D113" s="656"/>
      <c r="E113" s="656"/>
      <c r="F113" s="656"/>
      <c r="G113" s="656"/>
      <c r="H113" s="656"/>
      <c r="I113" s="656"/>
      <c r="J113" s="656"/>
      <c r="K113" s="656"/>
      <c r="L113" s="656"/>
      <c r="M113" s="656"/>
      <c r="N113" s="656"/>
      <c r="O113" s="657"/>
      <c r="P113" s="653" t="s">
        <v>40</v>
      </c>
      <c r="Q113" s="654"/>
      <c r="R113" s="654"/>
      <c r="S113" s="654"/>
      <c r="T113" s="654"/>
      <c r="U113" s="654"/>
      <c r="V113" s="655"/>
      <c r="W113" s="42" t="s">
        <v>0</v>
      </c>
      <c r="X113" s="43">
        <f>IFERROR(SUM(X103:X111),"0")</f>
        <v>0</v>
      </c>
      <c r="Y113" s="43">
        <f>IFERROR(SUM(Y103:Y111),"0")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665" t="s">
        <v>159</v>
      </c>
      <c r="B114" s="665"/>
      <c r="C114" s="665"/>
      <c r="D114" s="665"/>
      <c r="E114" s="665"/>
      <c r="F114" s="665"/>
      <c r="G114" s="665"/>
      <c r="H114" s="665"/>
      <c r="I114" s="665"/>
      <c r="J114" s="665"/>
      <c r="K114" s="665"/>
      <c r="L114" s="665"/>
      <c r="M114" s="665"/>
      <c r="N114" s="665"/>
      <c r="O114" s="665"/>
      <c r="P114" s="665"/>
      <c r="Q114" s="665"/>
      <c r="R114" s="665"/>
      <c r="S114" s="665"/>
      <c r="T114" s="665"/>
      <c r="U114" s="665"/>
      <c r="V114" s="665"/>
      <c r="W114" s="665"/>
      <c r="X114" s="665"/>
      <c r="Y114" s="665"/>
      <c r="Z114" s="665"/>
      <c r="AA114" s="66"/>
      <c r="AB114" s="66"/>
      <c r="AC114" s="80"/>
    </row>
    <row r="115" spans="1:68" ht="27" hidden="1" customHeight="1" x14ac:dyDescent="0.25">
      <c r="A115" s="63" t="s">
        <v>229</v>
      </c>
      <c r="B115" s="63" t="s">
        <v>230</v>
      </c>
      <c r="C115" s="36">
        <v>4301020391</v>
      </c>
      <c r="D115" s="666">
        <v>4680115881488</v>
      </c>
      <c r="E115" s="666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89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68"/>
      <c r="R115" s="668"/>
      <c r="S115" s="668"/>
      <c r="T115" s="669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4301020393</v>
      </c>
      <c r="D116" s="666">
        <v>4680115882775</v>
      </c>
      <c r="E116" s="666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126</v>
      </c>
      <c r="N116" s="38"/>
      <c r="O116" s="37">
        <v>55</v>
      </c>
      <c r="P116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68"/>
      <c r="R116" s="668"/>
      <c r="S116" s="668"/>
      <c r="T116" s="669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4301020392</v>
      </c>
      <c r="D117" s="666">
        <v>4680115880658</v>
      </c>
      <c r="E117" s="666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126</v>
      </c>
      <c r="N117" s="38"/>
      <c r="O117" s="37">
        <v>55</v>
      </c>
      <c r="P117" s="90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668"/>
      <c r="R117" s="668"/>
      <c r="S117" s="668"/>
      <c r="T117" s="669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6" t="s">
        <v>231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idden="1" x14ac:dyDescent="0.2">
      <c r="A118" s="656"/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7"/>
      <c r="P118" s="653" t="s">
        <v>40</v>
      </c>
      <c r="Q118" s="654"/>
      <c r="R118" s="654"/>
      <c r="S118" s="654"/>
      <c r="T118" s="654"/>
      <c r="U118" s="654"/>
      <c r="V118" s="655"/>
      <c r="W118" s="42" t="s">
        <v>39</v>
      </c>
      <c r="X118" s="43">
        <f>IFERROR(X115/H115,"0")+IFERROR(X116/H116,"0")+IFERROR(X117/H117,"0")</f>
        <v>0</v>
      </c>
      <c r="Y118" s="43">
        <f>IFERROR(Y115/H115,"0")+IFERROR(Y116/H116,"0")+IFERROR(Y117/H117,"0")</f>
        <v>0</v>
      </c>
      <c r="Z118" s="43">
        <f>IFERROR(IF(Z115="",0,Z115),"0")+IFERROR(IF(Z116="",0,Z116),"0")+IFERROR(IF(Z117="",0,Z117),"0")</f>
        <v>0</v>
      </c>
      <c r="AA118" s="67"/>
      <c r="AB118" s="67"/>
      <c r="AC118" s="67"/>
    </row>
    <row r="119" spans="1:68" hidden="1" x14ac:dyDescent="0.2">
      <c r="A119" s="656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3" t="s">
        <v>40</v>
      </c>
      <c r="Q119" s="654"/>
      <c r="R119" s="654"/>
      <c r="S119" s="654"/>
      <c r="T119" s="654"/>
      <c r="U119" s="654"/>
      <c r="V119" s="655"/>
      <c r="W119" s="42" t="s">
        <v>0</v>
      </c>
      <c r="X119" s="43">
        <f>IFERROR(SUM(X115:X117),"0")</f>
        <v>0</v>
      </c>
      <c r="Y119" s="43">
        <f>IFERROR(SUM(Y115:Y117),"0")</f>
        <v>0</v>
      </c>
      <c r="Z119" s="42"/>
      <c r="AA119" s="67"/>
      <c r="AB119" s="67"/>
      <c r="AC119" s="67"/>
    </row>
    <row r="120" spans="1:68" ht="14.25" hidden="1" customHeight="1" x14ac:dyDescent="0.25">
      <c r="A120" s="665" t="s">
        <v>86</v>
      </c>
      <c r="B120" s="665"/>
      <c r="C120" s="665"/>
      <c r="D120" s="665"/>
      <c r="E120" s="665"/>
      <c r="F120" s="665"/>
      <c r="G120" s="665"/>
      <c r="H120" s="665"/>
      <c r="I120" s="665"/>
      <c r="J120" s="665"/>
      <c r="K120" s="665"/>
      <c r="L120" s="665"/>
      <c r="M120" s="665"/>
      <c r="N120" s="665"/>
      <c r="O120" s="665"/>
      <c r="P120" s="665"/>
      <c r="Q120" s="665"/>
      <c r="R120" s="665"/>
      <c r="S120" s="665"/>
      <c r="T120" s="665"/>
      <c r="U120" s="665"/>
      <c r="V120" s="665"/>
      <c r="W120" s="665"/>
      <c r="X120" s="665"/>
      <c r="Y120" s="665"/>
      <c r="Z120" s="665"/>
      <c r="AA120" s="66"/>
      <c r="AB120" s="66"/>
      <c r="AC120" s="80"/>
    </row>
    <row r="121" spans="1:68" ht="27" customHeight="1" x14ac:dyDescent="0.25">
      <c r="A121" s="63" t="s">
        <v>236</v>
      </c>
      <c r="B121" s="63" t="s">
        <v>237</v>
      </c>
      <c r="C121" s="36">
        <v>4301052088</v>
      </c>
      <c r="D121" s="666">
        <v>4607091385168</v>
      </c>
      <c r="E121" s="666"/>
      <c r="F121" s="62">
        <v>1.35</v>
      </c>
      <c r="G121" s="37">
        <v>6</v>
      </c>
      <c r="H121" s="62">
        <v>8.1</v>
      </c>
      <c r="I121" s="62">
        <v>8.5879999999999992</v>
      </c>
      <c r="J121" s="37">
        <v>64</v>
      </c>
      <c r="K121" s="37" t="s">
        <v>127</v>
      </c>
      <c r="L121" s="37" t="s">
        <v>46</v>
      </c>
      <c r="M121" s="38" t="s">
        <v>90</v>
      </c>
      <c r="N121" s="38"/>
      <c r="O121" s="37">
        <v>45</v>
      </c>
      <c r="P121" s="9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668"/>
      <c r="R121" s="668"/>
      <c r="S121" s="668"/>
      <c r="T121" s="669"/>
      <c r="U121" s="39" t="s">
        <v>46</v>
      </c>
      <c r="V121" s="39" t="s">
        <v>46</v>
      </c>
      <c r="W121" s="40" t="s">
        <v>0</v>
      </c>
      <c r="X121" s="58">
        <v>400</v>
      </c>
      <c r="Y121" s="55">
        <f>IFERROR(IF(X121="",0,CEILING((X121/$H121),1)*$H121),"")</f>
        <v>405</v>
      </c>
      <c r="Z121" s="41">
        <f>IFERROR(IF(Y121=0,"",ROUNDUP(Y121/H121,0)*0.01898),"")</f>
        <v>0.94900000000000007</v>
      </c>
      <c r="AA121" s="68" t="s">
        <v>46</v>
      </c>
      <c r="AB121" s="69" t="s">
        <v>46</v>
      </c>
      <c r="AC121" s="198" t="s">
        <v>238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424.09876543209879</v>
      </c>
      <c r="BN121" s="78">
        <f>IFERROR(Y121*I121/H121,"0")</f>
        <v>429.4</v>
      </c>
      <c r="BO121" s="78">
        <f>IFERROR(1/J121*(X121/H121),"0")</f>
        <v>0.77160493827160492</v>
      </c>
      <c r="BP121" s="78">
        <f>IFERROR(1/J121*(Y121/H121),"0")</f>
        <v>0.78125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4301052087</v>
      </c>
      <c r="D122" s="666">
        <v>4607091383256</v>
      </c>
      <c r="E122" s="666"/>
      <c r="F122" s="62">
        <v>0.33</v>
      </c>
      <c r="G122" s="37">
        <v>6</v>
      </c>
      <c r="H122" s="62">
        <v>1.98</v>
      </c>
      <c r="I122" s="62">
        <v>2.226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668"/>
      <c r="R122" s="668"/>
      <c r="S122" s="668"/>
      <c r="T122" s="669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238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241</v>
      </c>
      <c r="B123" s="63" t="s">
        <v>242</v>
      </c>
      <c r="C123" s="36">
        <v>4301052086</v>
      </c>
      <c r="D123" s="666">
        <v>4607091385748</v>
      </c>
      <c r="E123" s="666"/>
      <c r="F123" s="62">
        <v>0.45</v>
      </c>
      <c r="G123" s="37">
        <v>6</v>
      </c>
      <c r="H123" s="62">
        <v>2.7</v>
      </c>
      <c r="I123" s="62">
        <v>2.952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668"/>
      <c r="R123" s="668"/>
      <c r="S123" s="668"/>
      <c r="T123" s="669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238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16.5" hidden="1" customHeight="1" x14ac:dyDescent="0.25">
      <c r="A124" s="63" t="s">
        <v>243</v>
      </c>
      <c r="B124" s="63" t="s">
        <v>244</v>
      </c>
      <c r="C124" s="36">
        <v>4301052085</v>
      </c>
      <c r="D124" s="666">
        <v>4680115884533</v>
      </c>
      <c r="E124" s="666"/>
      <c r="F124" s="62">
        <v>0.3</v>
      </c>
      <c r="G124" s="37">
        <v>6</v>
      </c>
      <c r="H124" s="62">
        <v>1.8</v>
      </c>
      <c r="I124" s="62">
        <v>1.98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89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668"/>
      <c r="R124" s="668"/>
      <c r="S124" s="668"/>
      <c r="T124" s="669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245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656"/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7"/>
      <c r="P125" s="653" t="s">
        <v>40</v>
      </c>
      <c r="Q125" s="654"/>
      <c r="R125" s="654"/>
      <c r="S125" s="654"/>
      <c r="T125" s="654"/>
      <c r="U125" s="654"/>
      <c r="V125" s="655"/>
      <c r="W125" s="42" t="s">
        <v>39</v>
      </c>
      <c r="X125" s="43">
        <f>IFERROR(X121/H121,"0")+IFERROR(X122/H122,"0")+IFERROR(X123/H123,"0")+IFERROR(X124/H124,"0")</f>
        <v>49.382716049382715</v>
      </c>
      <c r="Y125" s="43">
        <f>IFERROR(Y121/H121,"0")+IFERROR(Y122/H122,"0")+IFERROR(Y123/H123,"0")+IFERROR(Y124/H124,"0")</f>
        <v>50</v>
      </c>
      <c r="Z125" s="43">
        <f>IFERROR(IF(Z121="",0,Z121),"0")+IFERROR(IF(Z122="",0,Z122),"0")+IFERROR(IF(Z123="",0,Z123),"0")+IFERROR(IF(Z124="",0,Z124),"0")</f>
        <v>0.94900000000000007</v>
      </c>
      <c r="AA125" s="67"/>
      <c r="AB125" s="67"/>
      <c r="AC125" s="67"/>
    </row>
    <row r="126" spans="1:68" x14ac:dyDescent="0.2">
      <c r="A126" s="656"/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7"/>
      <c r="P126" s="653" t="s">
        <v>40</v>
      </c>
      <c r="Q126" s="654"/>
      <c r="R126" s="654"/>
      <c r="S126" s="654"/>
      <c r="T126" s="654"/>
      <c r="U126" s="654"/>
      <c r="V126" s="655"/>
      <c r="W126" s="42" t="s">
        <v>0</v>
      </c>
      <c r="X126" s="43">
        <f>IFERROR(SUM(X121:X124),"0")</f>
        <v>400</v>
      </c>
      <c r="Y126" s="43">
        <f>IFERROR(SUM(Y121:Y124),"0")</f>
        <v>405</v>
      </c>
      <c r="Z126" s="42"/>
      <c r="AA126" s="67"/>
      <c r="AB126" s="67"/>
      <c r="AC126" s="67"/>
    </row>
    <row r="127" spans="1:68" ht="14.25" hidden="1" customHeight="1" x14ac:dyDescent="0.25">
      <c r="A127" s="665" t="s">
        <v>178</v>
      </c>
      <c r="B127" s="665"/>
      <c r="C127" s="665"/>
      <c r="D127" s="665"/>
      <c r="E127" s="665"/>
      <c r="F127" s="665"/>
      <c r="G127" s="665"/>
      <c r="H127" s="665"/>
      <c r="I127" s="665"/>
      <c r="J127" s="665"/>
      <c r="K127" s="665"/>
      <c r="L127" s="665"/>
      <c r="M127" s="665"/>
      <c r="N127" s="665"/>
      <c r="O127" s="665"/>
      <c r="P127" s="665"/>
      <c r="Q127" s="665"/>
      <c r="R127" s="665"/>
      <c r="S127" s="665"/>
      <c r="T127" s="665"/>
      <c r="U127" s="665"/>
      <c r="V127" s="665"/>
      <c r="W127" s="665"/>
      <c r="X127" s="665"/>
      <c r="Y127" s="665"/>
      <c r="Z127" s="665"/>
      <c r="AA127" s="66"/>
      <c r="AB127" s="66"/>
      <c r="AC127" s="80"/>
    </row>
    <row r="128" spans="1:68" ht="16.5" hidden="1" customHeight="1" x14ac:dyDescent="0.25">
      <c r="A128" s="63" t="s">
        <v>246</v>
      </c>
      <c r="B128" s="63" t="s">
        <v>247</v>
      </c>
      <c r="C128" s="36">
        <v>4301060525</v>
      </c>
      <c r="D128" s="666">
        <v>4680115880238</v>
      </c>
      <c r="E128" s="666"/>
      <c r="F128" s="62">
        <v>0.33</v>
      </c>
      <c r="G128" s="37">
        <v>6</v>
      </c>
      <c r="H128" s="62">
        <v>1.98</v>
      </c>
      <c r="I128" s="62">
        <v>2.238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40</v>
      </c>
      <c r="P128" s="89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668"/>
      <c r="R128" s="668"/>
      <c r="S128" s="668"/>
      <c r="T128" s="669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06" t="s">
        <v>248</v>
      </c>
      <c r="AG128" s="78"/>
      <c r="AJ128" s="84" t="s">
        <v>46</v>
      </c>
      <c r="AK128" s="84">
        <v>0</v>
      </c>
      <c r="BB128" s="207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idden="1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2" t="s">
        <v>39</v>
      </c>
      <c r="X129" s="43">
        <f>IFERROR(X128/H128,"0")</f>
        <v>0</v>
      </c>
      <c r="Y129" s="43">
        <f>IFERROR(Y128/H128,"0")</f>
        <v>0</v>
      </c>
      <c r="Z129" s="43">
        <f>IFERROR(IF(Z128="",0,Z128),"0")</f>
        <v>0</v>
      </c>
      <c r="AA129" s="67"/>
      <c r="AB129" s="67"/>
      <c r="AC129" s="67"/>
    </row>
    <row r="130" spans="1:68" hidden="1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3" t="s">
        <v>40</v>
      </c>
      <c r="Q130" s="654"/>
      <c r="R130" s="654"/>
      <c r="S130" s="654"/>
      <c r="T130" s="654"/>
      <c r="U130" s="654"/>
      <c r="V130" s="655"/>
      <c r="W130" s="42" t="s">
        <v>0</v>
      </c>
      <c r="X130" s="43">
        <f>IFERROR(SUM(X128:X128),"0")</f>
        <v>0</v>
      </c>
      <c r="Y130" s="43">
        <f>IFERROR(SUM(Y128:Y128),"0")</f>
        <v>0</v>
      </c>
      <c r="Z130" s="42"/>
      <c r="AA130" s="67"/>
      <c r="AB130" s="67"/>
      <c r="AC130" s="67"/>
    </row>
    <row r="131" spans="1:68" ht="16.5" hidden="1" customHeight="1" x14ac:dyDescent="0.25">
      <c r="A131" s="672" t="s">
        <v>249</v>
      </c>
      <c r="B131" s="672"/>
      <c r="C131" s="672"/>
      <c r="D131" s="672"/>
      <c r="E131" s="672"/>
      <c r="F131" s="672"/>
      <c r="G131" s="672"/>
      <c r="H131" s="672"/>
      <c r="I131" s="672"/>
      <c r="J131" s="672"/>
      <c r="K131" s="672"/>
      <c r="L131" s="672"/>
      <c r="M131" s="672"/>
      <c r="N131" s="672"/>
      <c r="O131" s="672"/>
      <c r="P131" s="672"/>
      <c r="Q131" s="672"/>
      <c r="R131" s="672"/>
      <c r="S131" s="672"/>
      <c r="T131" s="672"/>
      <c r="U131" s="672"/>
      <c r="V131" s="672"/>
      <c r="W131" s="672"/>
      <c r="X131" s="672"/>
      <c r="Y131" s="672"/>
      <c r="Z131" s="672"/>
      <c r="AA131" s="65"/>
      <c r="AB131" s="65"/>
      <c r="AC131" s="79"/>
    </row>
    <row r="132" spans="1:68" ht="14.25" hidden="1" customHeight="1" x14ac:dyDescent="0.25">
      <c r="A132" s="665" t="s">
        <v>122</v>
      </c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6"/>
      <c r="AB132" s="66"/>
      <c r="AC132" s="80"/>
    </row>
    <row r="133" spans="1:68" ht="27" hidden="1" customHeight="1" x14ac:dyDescent="0.25">
      <c r="A133" s="63" t="s">
        <v>250</v>
      </c>
      <c r="B133" s="63" t="s">
        <v>251</v>
      </c>
      <c r="C133" s="36">
        <v>4301011562</v>
      </c>
      <c r="D133" s="666">
        <v>4680115882577</v>
      </c>
      <c r="E133" s="666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253</v>
      </c>
      <c r="N133" s="38"/>
      <c r="O133" s="37">
        <v>90</v>
      </c>
      <c r="P133" s="8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68"/>
      <c r="R133" s="668"/>
      <c r="S133" s="668"/>
      <c r="T133" s="669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252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250</v>
      </c>
      <c r="B134" s="63" t="s">
        <v>254</v>
      </c>
      <c r="C134" s="36">
        <v>4301011564</v>
      </c>
      <c r="D134" s="666">
        <v>4680115882577</v>
      </c>
      <c r="E134" s="666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253</v>
      </c>
      <c r="N134" s="38"/>
      <c r="O134" s="37">
        <v>90</v>
      </c>
      <c r="P134" s="8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68"/>
      <c r="R134" s="668"/>
      <c r="S134" s="668"/>
      <c r="T134" s="669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252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idden="1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hidden="1" x14ac:dyDescent="0.2">
      <c r="A136" s="656"/>
      <c r="B136" s="656"/>
      <c r="C136" s="656"/>
      <c r="D136" s="656"/>
      <c r="E136" s="656"/>
      <c r="F136" s="656"/>
      <c r="G136" s="656"/>
      <c r="H136" s="656"/>
      <c r="I136" s="656"/>
      <c r="J136" s="656"/>
      <c r="K136" s="656"/>
      <c r="L136" s="656"/>
      <c r="M136" s="656"/>
      <c r="N136" s="656"/>
      <c r="O136" s="657"/>
      <c r="P136" s="653" t="s">
        <v>40</v>
      </c>
      <c r="Q136" s="654"/>
      <c r="R136" s="654"/>
      <c r="S136" s="654"/>
      <c r="T136" s="654"/>
      <c r="U136" s="654"/>
      <c r="V136" s="655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hidden="1" customHeight="1" x14ac:dyDescent="0.25">
      <c r="A137" s="665" t="s">
        <v>77</v>
      </c>
      <c r="B137" s="665"/>
      <c r="C137" s="665"/>
      <c r="D137" s="665"/>
      <c r="E137" s="665"/>
      <c r="F137" s="665"/>
      <c r="G137" s="665"/>
      <c r="H137" s="665"/>
      <c r="I137" s="665"/>
      <c r="J137" s="665"/>
      <c r="K137" s="665"/>
      <c r="L137" s="665"/>
      <c r="M137" s="665"/>
      <c r="N137" s="665"/>
      <c r="O137" s="665"/>
      <c r="P137" s="665"/>
      <c r="Q137" s="665"/>
      <c r="R137" s="665"/>
      <c r="S137" s="665"/>
      <c r="T137" s="665"/>
      <c r="U137" s="665"/>
      <c r="V137" s="665"/>
      <c r="W137" s="665"/>
      <c r="X137" s="665"/>
      <c r="Y137" s="665"/>
      <c r="Z137" s="665"/>
      <c r="AA137" s="66"/>
      <c r="AB137" s="66"/>
      <c r="AC137" s="80"/>
    </row>
    <row r="138" spans="1:68" ht="27" hidden="1" customHeight="1" x14ac:dyDescent="0.25">
      <c r="A138" s="63" t="s">
        <v>255</v>
      </c>
      <c r="B138" s="63" t="s">
        <v>256</v>
      </c>
      <c r="C138" s="36">
        <v>4301031234</v>
      </c>
      <c r="D138" s="666">
        <v>4680115883444</v>
      </c>
      <c r="E138" s="666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253</v>
      </c>
      <c r="N138" s="38"/>
      <c r="O138" s="37">
        <v>90</v>
      </c>
      <c r="P138" s="8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68"/>
      <c r="R138" s="668"/>
      <c r="S138" s="668"/>
      <c r="T138" s="669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257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255</v>
      </c>
      <c r="B139" s="63" t="s">
        <v>258</v>
      </c>
      <c r="C139" s="36">
        <v>4301031235</v>
      </c>
      <c r="D139" s="666">
        <v>4680115883444</v>
      </c>
      <c r="E139" s="666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253</v>
      </c>
      <c r="N139" s="38"/>
      <c r="O139" s="37">
        <v>90</v>
      </c>
      <c r="P139" s="8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68"/>
      <c r="R139" s="668"/>
      <c r="S139" s="668"/>
      <c r="T139" s="669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257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3" t="s">
        <v>40</v>
      </c>
      <c r="Q141" s="654"/>
      <c r="R141" s="654"/>
      <c r="S141" s="654"/>
      <c r="T141" s="654"/>
      <c r="U141" s="654"/>
      <c r="V141" s="655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5" t="s">
        <v>86</v>
      </c>
      <c r="B142" s="665"/>
      <c r="C142" s="665"/>
      <c r="D142" s="665"/>
      <c r="E142" s="665"/>
      <c r="F142" s="665"/>
      <c r="G142" s="665"/>
      <c r="H142" s="665"/>
      <c r="I142" s="665"/>
      <c r="J142" s="665"/>
      <c r="K142" s="665"/>
      <c r="L142" s="665"/>
      <c r="M142" s="665"/>
      <c r="N142" s="665"/>
      <c r="O142" s="665"/>
      <c r="P142" s="665"/>
      <c r="Q142" s="665"/>
      <c r="R142" s="665"/>
      <c r="S142" s="665"/>
      <c r="T142" s="665"/>
      <c r="U142" s="665"/>
      <c r="V142" s="665"/>
      <c r="W142" s="665"/>
      <c r="X142" s="665"/>
      <c r="Y142" s="665"/>
      <c r="Z142" s="665"/>
      <c r="AA142" s="66"/>
      <c r="AB142" s="66"/>
      <c r="AC142" s="80"/>
    </row>
    <row r="143" spans="1:68" ht="16.5" hidden="1" customHeight="1" x14ac:dyDescent="0.25">
      <c r="A143" s="63" t="s">
        <v>259</v>
      </c>
      <c r="B143" s="63" t="s">
        <v>260</v>
      </c>
      <c r="C143" s="36">
        <v>4301051476</v>
      </c>
      <c r="D143" s="666">
        <v>4680115882584</v>
      </c>
      <c r="E143" s="666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253</v>
      </c>
      <c r="N143" s="38"/>
      <c r="O143" s="37">
        <v>60</v>
      </c>
      <c r="P143" s="8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68"/>
      <c r="R143" s="668"/>
      <c r="S143" s="668"/>
      <c r="T143" s="669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252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259</v>
      </c>
      <c r="B144" s="63" t="s">
        <v>261</v>
      </c>
      <c r="C144" s="36">
        <v>4301051477</v>
      </c>
      <c r="D144" s="666">
        <v>4680115882584</v>
      </c>
      <c r="E144" s="666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253</v>
      </c>
      <c r="N144" s="38"/>
      <c r="O144" s="37">
        <v>60</v>
      </c>
      <c r="P144" s="8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68"/>
      <c r="R144" s="668"/>
      <c r="S144" s="668"/>
      <c r="T144" s="669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252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3" t="s">
        <v>40</v>
      </c>
      <c r="Q146" s="654"/>
      <c r="R146" s="654"/>
      <c r="S146" s="654"/>
      <c r="T146" s="654"/>
      <c r="U146" s="654"/>
      <c r="V146" s="655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72" t="s">
        <v>262</v>
      </c>
      <c r="B147" s="672"/>
      <c r="C147" s="672"/>
      <c r="D147" s="672"/>
      <c r="E147" s="672"/>
      <c r="F147" s="672"/>
      <c r="G147" s="672"/>
      <c r="H147" s="672"/>
      <c r="I147" s="672"/>
      <c r="J147" s="672"/>
      <c r="K147" s="672"/>
      <c r="L147" s="672"/>
      <c r="M147" s="672"/>
      <c r="N147" s="672"/>
      <c r="O147" s="672"/>
      <c r="P147" s="672"/>
      <c r="Q147" s="672"/>
      <c r="R147" s="672"/>
      <c r="S147" s="672"/>
      <c r="T147" s="672"/>
      <c r="U147" s="672"/>
      <c r="V147" s="672"/>
      <c r="W147" s="672"/>
      <c r="X147" s="672"/>
      <c r="Y147" s="672"/>
      <c r="Z147" s="672"/>
      <c r="AA147" s="65"/>
      <c r="AB147" s="65"/>
      <c r="AC147" s="79"/>
    </row>
    <row r="148" spans="1:68" ht="14.25" hidden="1" customHeight="1" x14ac:dyDescent="0.25">
      <c r="A148" s="665" t="s">
        <v>86</v>
      </c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6"/>
      <c r="AB148" s="66"/>
      <c r="AC148" s="80"/>
    </row>
    <row r="149" spans="1:68" ht="27" hidden="1" customHeight="1" x14ac:dyDescent="0.25">
      <c r="A149" s="63" t="s">
        <v>263</v>
      </c>
      <c r="B149" s="63" t="s">
        <v>264</v>
      </c>
      <c r="C149" s="36">
        <v>4301052254</v>
      </c>
      <c r="D149" s="666">
        <v>4680115888203</v>
      </c>
      <c r="E149" s="666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8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68"/>
      <c r="R149" s="668"/>
      <c r="S149" s="668"/>
      <c r="T149" s="669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4" si="10">IFERROR(IF(X149="",0,CEILING((X149/$H149),1)*$H149),"")</f>
        <v>0</v>
      </c>
      <c r="Z149" s="41" t="str">
        <f t="shared" ref="Z149:Z154" si="11">IFERROR(IF(Y149=0,"",ROUNDUP(Y149/H149,0)*0.00651),"")</f>
        <v/>
      </c>
      <c r="AA149" s="68" t="s">
        <v>46</v>
      </c>
      <c r="AB149" s="69" t="s">
        <v>46</v>
      </c>
      <c r="AC149" s="220" t="s">
        <v>265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4" si="12">IFERROR(X149*I149/H149,"0")</f>
        <v>0</v>
      </c>
      <c r="BN149" s="78">
        <f t="shared" ref="BN149:BN154" si="13">IFERROR(Y149*I149/H149,"0")</f>
        <v>0</v>
      </c>
      <c r="BO149" s="78">
        <f t="shared" ref="BO149:BO154" si="14">IFERROR(1/J149*(X149/H149),"0")</f>
        <v>0</v>
      </c>
      <c r="BP149" s="78">
        <f t="shared" ref="BP149:BP154" si="15">IFERROR(1/J149*(Y149/H149),"0")</f>
        <v>0</v>
      </c>
    </row>
    <row r="150" spans="1:68" ht="27" hidden="1" customHeight="1" x14ac:dyDescent="0.25">
      <c r="A150" s="63" t="s">
        <v>266</v>
      </c>
      <c r="B150" s="63" t="s">
        <v>267</v>
      </c>
      <c r="C150" s="36">
        <v>4301052172</v>
      </c>
      <c r="D150" s="666">
        <v>4680115888180</v>
      </c>
      <c r="E150" s="666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8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68"/>
      <c r="R150" s="668"/>
      <c r="S150" s="668"/>
      <c r="T150" s="669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268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266</v>
      </c>
      <c r="B151" s="63" t="s">
        <v>269</v>
      </c>
      <c r="C151" s="36">
        <v>4301052252</v>
      </c>
      <c r="D151" s="666">
        <v>4680115888180</v>
      </c>
      <c r="E151" s="666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8"/>
      <c r="R151" s="668"/>
      <c r="S151" s="668"/>
      <c r="T151" s="669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268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270</v>
      </c>
      <c r="B152" s="63" t="s">
        <v>271</v>
      </c>
      <c r="C152" s="36">
        <v>4301052253</v>
      </c>
      <c r="D152" s="666">
        <v>4680115888197</v>
      </c>
      <c r="E152" s="666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68"/>
      <c r="R152" s="668"/>
      <c r="S152" s="668"/>
      <c r="T152" s="669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272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273</v>
      </c>
      <c r="B153" s="63" t="s">
        <v>274</v>
      </c>
      <c r="C153" s="36">
        <v>4301052175</v>
      </c>
      <c r="D153" s="666">
        <v>4680115888210</v>
      </c>
      <c r="E153" s="666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8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68"/>
      <c r="R153" s="668"/>
      <c r="S153" s="668"/>
      <c r="T153" s="669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275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273</v>
      </c>
      <c r="B154" s="63" t="s">
        <v>276</v>
      </c>
      <c r="C154" s="36">
        <v>4301052255</v>
      </c>
      <c r="D154" s="666">
        <v>4680115888210</v>
      </c>
      <c r="E154" s="666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8"/>
      <c r="R154" s="668"/>
      <c r="S154" s="668"/>
      <c r="T154" s="669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2" t="s">
        <v>39</v>
      </c>
      <c r="X155" s="43">
        <f>IFERROR(X149/H149,"0")+IFERROR(X150/H150,"0")+IFERROR(X151/H151,"0")+IFERROR(X152/H152,"0")+IFERROR(X153/H153,"0")+IFERROR(X154/H154,"0")</f>
        <v>0</v>
      </c>
      <c r="Y155" s="43">
        <f>IFERROR(Y149/H149,"0")+IFERROR(Y150/H150,"0")+IFERROR(Y151/H151,"0")+IFERROR(Y152/H152,"0")+IFERROR(Y153/H153,"0")+IFERROR(Y154/H154,"0")</f>
        <v>0</v>
      </c>
      <c r="Z155" s="43">
        <f>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56"/>
      <c r="B156" s="656"/>
      <c r="C156" s="656"/>
      <c r="D156" s="656"/>
      <c r="E156" s="656"/>
      <c r="F156" s="656"/>
      <c r="G156" s="656"/>
      <c r="H156" s="656"/>
      <c r="I156" s="656"/>
      <c r="J156" s="656"/>
      <c r="K156" s="656"/>
      <c r="L156" s="656"/>
      <c r="M156" s="656"/>
      <c r="N156" s="656"/>
      <c r="O156" s="657"/>
      <c r="P156" s="653" t="s">
        <v>40</v>
      </c>
      <c r="Q156" s="654"/>
      <c r="R156" s="654"/>
      <c r="S156" s="654"/>
      <c r="T156" s="654"/>
      <c r="U156" s="654"/>
      <c r="V156" s="655"/>
      <c r="W156" s="42" t="s">
        <v>0</v>
      </c>
      <c r="X156" s="43">
        <f>IFERROR(SUM(X149:X154),"0")</f>
        <v>0</v>
      </c>
      <c r="Y156" s="43">
        <f>IFERROR(SUM(Y149:Y154),"0")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65" t="s">
        <v>277</v>
      </c>
      <c r="B157" s="665"/>
      <c r="C157" s="665"/>
      <c r="D157" s="665"/>
      <c r="E157" s="665"/>
      <c r="F157" s="665"/>
      <c r="G157" s="665"/>
      <c r="H157" s="665"/>
      <c r="I157" s="665"/>
      <c r="J157" s="665"/>
      <c r="K157" s="665"/>
      <c r="L157" s="665"/>
      <c r="M157" s="665"/>
      <c r="N157" s="665"/>
      <c r="O157" s="665"/>
      <c r="P157" s="665"/>
      <c r="Q157" s="665"/>
      <c r="R157" s="665"/>
      <c r="S157" s="665"/>
      <c r="T157" s="665"/>
      <c r="U157" s="665"/>
      <c r="V157" s="665"/>
      <c r="W157" s="665"/>
      <c r="X157" s="665"/>
      <c r="Y157" s="665"/>
      <c r="Z157" s="665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4301032067</v>
      </c>
      <c r="D158" s="666">
        <v>4680115889132</v>
      </c>
      <c r="E158" s="666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283</v>
      </c>
      <c r="L158" s="37" t="s">
        <v>46</v>
      </c>
      <c r="M158" s="38" t="s">
        <v>282</v>
      </c>
      <c r="N158" s="38"/>
      <c r="O158" s="37">
        <v>120</v>
      </c>
      <c r="P158" s="87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68"/>
      <c r="R158" s="668"/>
      <c r="S158" s="668"/>
      <c r="T158" s="669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280</v>
      </c>
      <c r="AG158" s="78"/>
      <c r="AJ158" s="84" t="s">
        <v>46</v>
      </c>
      <c r="AK158" s="84">
        <v>0</v>
      </c>
      <c r="BB158" s="233" t="s">
        <v>281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56"/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7"/>
      <c r="P159" s="653" t="s">
        <v>40</v>
      </c>
      <c r="Q159" s="654"/>
      <c r="R159" s="654"/>
      <c r="S159" s="654"/>
      <c r="T159" s="654"/>
      <c r="U159" s="654"/>
      <c r="V159" s="655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56"/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7"/>
      <c r="P160" s="653" t="s">
        <v>40</v>
      </c>
      <c r="Q160" s="654"/>
      <c r="R160" s="654"/>
      <c r="S160" s="654"/>
      <c r="T160" s="654"/>
      <c r="U160" s="654"/>
      <c r="V160" s="655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72" t="s">
        <v>120</v>
      </c>
      <c r="B161" s="672"/>
      <c r="C161" s="672"/>
      <c r="D161" s="672"/>
      <c r="E161" s="672"/>
      <c r="F161" s="672"/>
      <c r="G161" s="672"/>
      <c r="H161" s="672"/>
      <c r="I161" s="672"/>
      <c r="J161" s="672"/>
      <c r="K161" s="672"/>
      <c r="L161" s="672"/>
      <c r="M161" s="672"/>
      <c r="N161" s="672"/>
      <c r="O161" s="672"/>
      <c r="P161" s="672"/>
      <c r="Q161" s="672"/>
      <c r="R161" s="672"/>
      <c r="S161" s="672"/>
      <c r="T161" s="672"/>
      <c r="U161" s="672"/>
      <c r="V161" s="672"/>
      <c r="W161" s="672"/>
      <c r="X161" s="672"/>
      <c r="Y161" s="672"/>
      <c r="Z161" s="672"/>
      <c r="AA161" s="65"/>
      <c r="AB161" s="65"/>
      <c r="AC161" s="79"/>
    </row>
    <row r="162" spans="1:68" ht="14.25" hidden="1" customHeight="1" x14ac:dyDescent="0.25">
      <c r="A162" s="665" t="s">
        <v>122</v>
      </c>
      <c r="B162" s="665"/>
      <c r="C162" s="665"/>
      <c r="D162" s="665"/>
      <c r="E162" s="665"/>
      <c r="F162" s="665"/>
      <c r="G162" s="665"/>
      <c r="H162" s="665"/>
      <c r="I162" s="665"/>
      <c r="J162" s="665"/>
      <c r="K162" s="665"/>
      <c r="L162" s="665"/>
      <c r="M162" s="665"/>
      <c r="N162" s="665"/>
      <c r="O162" s="665"/>
      <c r="P162" s="665"/>
      <c r="Q162" s="665"/>
      <c r="R162" s="665"/>
      <c r="S162" s="665"/>
      <c r="T162" s="665"/>
      <c r="U162" s="665"/>
      <c r="V162" s="665"/>
      <c r="W162" s="665"/>
      <c r="X162" s="665"/>
      <c r="Y162" s="665"/>
      <c r="Z162" s="665"/>
      <c r="AA162" s="66"/>
      <c r="AB162" s="66"/>
      <c r="AC162" s="80"/>
    </row>
    <row r="163" spans="1:68" ht="27" hidden="1" customHeight="1" x14ac:dyDescent="0.25">
      <c r="A163" s="63" t="s">
        <v>284</v>
      </c>
      <c r="B163" s="63" t="s">
        <v>285</v>
      </c>
      <c r="C163" s="36">
        <v>4301012338</v>
      </c>
      <c r="D163" s="666">
        <v>4680115887374</v>
      </c>
      <c r="E163" s="666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127</v>
      </c>
      <c r="L163" s="37" t="s">
        <v>46</v>
      </c>
      <c r="M163" s="38" t="s">
        <v>126</v>
      </c>
      <c r="N163" s="38"/>
      <c r="O163" s="37">
        <v>55</v>
      </c>
      <c r="P163" s="88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68"/>
      <c r="R163" s="668"/>
      <c r="S163" s="668"/>
      <c r="T163" s="669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286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287</v>
      </c>
      <c r="B164" s="63" t="s">
        <v>288</v>
      </c>
      <c r="C164" s="36">
        <v>4301011705</v>
      </c>
      <c r="D164" s="666">
        <v>4607091384604</v>
      </c>
      <c r="E164" s="666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134</v>
      </c>
      <c r="L164" s="37" t="s">
        <v>46</v>
      </c>
      <c r="M164" s="38" t="s">
        <v>126</v>
      </c>
      <c r="N164" s="38"/>
      <c r="O164" s="37">
        <v>50</v>
      </c>
      <c r="P164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68"/>
      <c r="R164" s="668"/>
      <c r="S164" s="668"/>
      <c r="T164" s="669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289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287</v>
      </c>
      <c r="B165" s="63" t="s">
        <v>290</v>
      </c>
      <c r="C165" s="36">
        <v>4301012258</v>
      </c>
      <c r="D165" s="666">
        <v>4607091384604</v>
      </c>
      <c r="E165" s="666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7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68"/>
      <c r="R165" s="668"/>
      <c r="S165" s="668"/>
      <c r="T165" s="669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289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291</v>
      </c>
      <c r="B166" s="63" t="s">
        <v>292</v>
      </c>
      <c r="C166" s="36">
        <v>4301012344</v>
      </c>
      <c r="D166" s="666">
        <v>4680115888876</v>
      </c>
      <c r="E166" s="666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68"/>
      <c r="R166" s="668"/>
      <c r="S166" s="668"/>
      <c r="T166" s="669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293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6"/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7"/>
      <c r="P167" s="653" t="s">
        <v>40</v>
      </c>
      <c r="Q167" s="654"/>
      <c r="R167" s="654"/>
      <c r="S167" s="654"/>
      <c r="T167" s="654"/>
      <c r="U167" s="654"/>
      <c r="V167" s="655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6"/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7"/>
      <c r="P168" s="653" t="s">
        <v>40</v>
      </c>
      <c r="Q168" s="654"/>
      <c r="R168" s="654"/>
      <c r="S168" s="654"/>
      <c r="T168" s="654"/>
      <c r="U168" s="654"/>
      <c r="V168" s="655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5" t="s">
        <v>159</v>
      </c>
      <c r="B169" s="665"/>
      <c r="C169" s="665"/>
      <c r="D169" s="665"/>
      <c r="E169" s="665"/>
      <c r="F169" s="665"/>
      <c r="G169" s="665"/>
      <c r="H169" s="665"/>
      <c r="I169" s="665"/>
      <c r="J169" s="665"/>
      <c r="K169" s="665"/>
      <c r="L169" s="665"/>
      <c r="M169" s="665"/>
      <c r="N169" s="665"/>
      <c r="O169" s="665"/>
      <c r="P169" s="665"/>
      <c r="Q169" s="665"/>
      <c r="R169" s="665"/>
      <c r="S169" s="665"/>
      <c r="T169" s="665"/>
      <c r="U169" s="665"/>
      <c r="V169" s="665"/>
      <c r="W169" s="665"/>
      <c r="X169" s="665"/>
      <c r="Y169" s="665"/>
      <c r="Z169" s="665"/>
      <c r="AA169" s="66"/>
      <c r="AB169" s="66"/>
      <c r="AC169" s="80"/>
    </row>
    <row r="170" spans="1:68" ht="16.5" hidden="1" customHeight="1" x14ac:dyDescent="0.25">
      <c r="A170" s="63" t="s">
        <v>294</v>
      </c>
      <c r="B170" s="63" t="s">
        <v>295</v>
      </c>
      <c r="C170" s="36">
        <v>4301020410</v>
      </c>
      <c r="D170" s="666">
        <v>4680115887695</v>
      </c>
      <c r="E170" s="666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7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68"/>
      <c r="R170" s="668"/>
      <c r="S170" s="668"/>
      <c r="T170" s="669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296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297</v>
      </c>
      <c r="B171" s="63" t="s">
        <v>298</v>
      </c>
      <c r="C171" s="36">
        <v>4301020439</v>
      </c>
      <c r="D171" s="666">
        <v>4680115889491</v>
      </c>
      <c r="E171" s="666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7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68"/>
      <c r="R171" s="668"/>
      <c r="S171" s="668"/>
      <c r="T171" s="669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299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6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3" t="s">
        <v>40</v>
      </c>
      <c r="Q172" s="654"/>
      <c r="R172" s="654"/>
      <c r="S172" s="654"/>
      <c r="T172" s="654"/>
      <c r="U172" s="654"/>
      <c r="V172" s="655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3" t="s">
        <v>40</v>
      </c>
      <c r="Q173" s="654"/>
      <c r="R173" s="654"/>
      <c r="S173" s="654"/>
      <c r="T173" s="654"/>
      <c r="U173" s="654"/>
      <c r="V173" s="655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5" t="s">
        <v>77</v>
      </c>
      <c r="B174" s="665"/>
      <c r="C174" s="665"/>
      <c r="D174" s="665"/>
      <c r="E174" s="665"/>
      <c r="F174" s="665"/>
      <c r="G174" s="665"/>
      <c r="H174" s="665"/>
      <c r="I174" s="665"/>
      <c r="J174" s="665"/>
      <c r="K174" s="665"/>
      <c r="L174" s="665"/>
      <c r="M174" s="665"/>
      <c r="N174" s="665"/>
      <c r="O174" s="665"/>
      <c r="P174" s="665"/>
      <c r="Q174" s="665"/>
      <c r="R174" s="665"/>
      <c r="S174" s="665"/>
      <c r="T174" s="665"/>
      <c r="U174" s="665"/>
      <c r="V174" s="665"/>
      <c r="W174" s="665"/>
      <c r="X174" s="665"/>
      <c r="Y174" s="665"/>
      <c r="Z174" s="665"/>
      <c r="AA174" s="66"/>
      <c r="AB174" s="66"/>
      <c r="AC174" s="80"/>
    </row>
    <row r="175" spans="1:68" ht="27" hidden="1" customHeight="1" x14ac:dyDescent="0.25">
      <c r="A175" s="63" t="s">
        <v>300</v>
      </c>
      <c r="B175" s="63" t="s">
        <v>301</v>
      </c>
      <c r="C175" s="36">
        <v>4301031496</v>
      </c>
      <c r="D175" s="666">
        <v>4680115887428</v>
      </c>
      <c r="E175" s="666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7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68"/>
      <c r="R175" s="668"/>
      <c r="S175" s="668"/>
      <c r="T175" s="669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302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303</v>
      </c>
      <c r="B176" s="63" t="s">
        <v>304</v>
      </c>
      <c r="C176" s="36">
        <v>4301031509</v>
      </c>
      <c r="D176" s="666">
        <v>4680115889170</v>
      </c>
      <c r="E176" s="666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68"/>
      <c r="R176" s="668"/>
      <c r="S176" s="668"/>
      <c r="T176" s="669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305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306</v>
      </c>
      <c r="B177" s="63" t="s">
        <v>307</v>
      </c>
      <c r="C177" s="36">
        <v>4301031522</v>
      </c>
      <c r="D177" s="666">
        <v>4680115887398</v>
      </c>
      <c r="E177" s="666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65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68"/>
      <c r="R177" s="668"/>
      <c r="S177" s="668"/>
      <c r="T177" s="669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308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309</v>
      </c>
      <c r="B178" s="63" t="s">
        <v>310</v>
      </c>
      <c r="C178" s="36">
        <v>4301031520</v>
      </c>
      <c r="D178" s="666">
        <v>4680115887336</v>
      </c>
      <c r="E178" s="666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6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68"/>
      <c r="R178" s="668"/>
      <c r="S178" s="668"/>
      <c r="T178" s="669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311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312</v>
      </c>
      <c r="B179" s="63" t="s">
        <v>313</v>
      </c>
      <c r="C179" s="36">
        <v>4301032049</v>
      </c>
      <c r="D179" s="666">
        <v>4680115887787</v>
      </c>
      <c r="E179" s="666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6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68"/>
      <c r="R179" s="668"/>
      <c r="S179" s="668"/>
      <c r="T179" s="669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314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16.5" hidden="1" customHeight="1" x14ac:dyDescent="0.25">
      <c r="A180" s="63" t="s">
        <v>312</v>
      </c>
      <c r="B180" s="63" t="s">
        <v>315</v>
      </c>
      <c r="C180" s="36">
        <v>4301031528</v>
      </c>
      <c r="D180" s="666">
        <v>4680115887787</v>
      </c>
      <c r="E180" s="666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192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6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8"/>
      <c r="R180" s="668"/>
      <c r="S180" s="668"/>
      <c r="T180" s="669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IFERROR(IF(Y180=0,"",ROUNDUP(Y180/H180,0)*0.00726),"")</f>
        <v/>
      </c>
      <c r="AA180" s="68" t="s">
        <v>46</v>
      </c>
      <c r="AB180" s="69" t="s">
        <v>46</v>
      </c>
      <c r="AC180" s="256" t="s">
        <v>314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316</v>
      </c>
      <c r="B181" s="63" t="s">
        <v>317</v>
      </c>
      <c r="C181" s="36">
        <v>4301031448</v>
      </c>
      <c r="D181" s="666">
        <v>4680115887503</v>
      </c>
      <c r="E181" s="666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40</v>
      </c>
      <c r="P181" s="86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668"/>
      <c r="R181" s="668"/>
      <c r="S181" s="668"/>
      <c r="T181" s="669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318</v>
      </c>
      <c r="B182" s="63" t="s">
        <v>319</v>
      </c>
      <c r="C182" s="36">
        <v>4301031389</v>
      </c>
      <c r="D182" s="666">
        <v>4680115887763</v>
      </c>
      <c r="E182" s="666"/>
      <c r="F182" s="62">
        <v>0.09</v>
      </c>
      <c r="G182" s="37">
        <v>10</v>
      </c>
      <c r="H182" s="62">
        <v>0.9</v>
      </c>
      <c r="I182" s="62">
        <v>1.1100000000000001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68"/>
      <c r="R182" s="668"/>
      <c r="S182" s="668"/>
      <c r="T182" s="669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4301031521</v>
      </c>
      <c r="D183" s="666">
        <v>4680115887480</v>
      </c>
      <c r="E183" s="666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7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68"/>
      <c r="R183" s="668"/>
      <c r="S183" s="668"/>
      <c r="T183" s="669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308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323</v>
      </c>
      <c r="B184" s="63" t="s">
        <v>324</v>
      </c>
      <c r="C184" s="36">
        <v>4301031434</v>
      </c>
      <c r="D184" s="666">
        <v>4680115888067</v>
      </c>
      <c r="E184" s="666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7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68"/>
      <c r="R184" s="668"/>
      <c r="S184" s="668"/>
      <c r="T184" s="669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326</v>
      </c>
      <c r="B185" s="63" t="s">
        <v>327</v>
      </c>
      <c r="C185" s="36">
        <v>4301031519</v>
      </c>
      <c r="D185" s="666">
        <v>4680115887435</v>
      </c>
      <c r="E185" s="666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45</v>
      </c>
      <c r="P185" s="85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68"/>
      <c r="R185" s="668"/>
      <c r="S185" s="668"/>
      <c r="T185" s="669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311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56"/>
      <c r="B187" s="656"/>
      <c r="C187" s="656"/>
      <c r="D187" s="656"/>
      <c r="E187" s="656"/>
      <c r="F187" s="656"/>
      <c r="G187" s="656"/>
      <c r="H187" s="656"/>
      <c r="I187" s="656"/>
      <c r="J187" s="656"/>
      <c r="K187" s="656"/>
      <c r="L187" s="656"/>
      <c r="M187" s="656"/>
      <c r="N187" s="656"/>
      <c r="O187" s="657"/>
      <c r="P187" s="653" t="s">
        <v>40</v>
      </c>
      <c r="Q187" s="654"/>
      <c r="R187" s="654"/>
      <c r="S187" s="654"/>
      <c r="T187" s="654"/>
      <c r="U187" s="654"/>
      <c r="V187" s="655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5" t="s">
        <v>86</v>
      </c>
      <c r="B188" s="665"/>
      <c r="C188" s="665"/>
      <c r="D188" s="665"/>
      <c r="E188" s="665"/>
      <c r="F188" s="665"/>
      <c r="G188" s="665"/>
      <c r="H188" s="665"/>
      <c r="I188" s="665"/>
      <c r="J188" s="665"/>
      <c r="K188" s="665"/>
      <c r="L188" s="665"/>
      <c r="M188" s="665"/>
      <c r="N188" s="665"/>
      <c r="O188" s="665"/>
      <c r="P188" s="665"/>
      <c r="Q188" s="665"/>
      <c r="R188" s="665"/>
      <c r="S188" s="665"/>
      <c r="T188" s="665"/>
      <c r="U188" s="665"/>
      <c r="V188" s="665"/>
      <c r="W188" s="665"/>
      <c r="X188" s="665"/>
      <c r="Y188" s="665"/>
      <c r="Z188" s="665"/>
      <c r="AA188" s="66"/>
      <c r="AB188" s="66"/>
      <c r="AC188" s="80"/>
    </row>
    <row r="189" spans="1:68" ht="16.5" hidden="1" customHeight="1" x14ac:dyDescent="0.25">
      <c r="A189" s="63" t="s">
        <v>328</v>
      </c>
      <c r="B189" s="63" t="s">
        <v>329</v>
      </c>
      <c r="C189" s="36">
        <v>4301052193</v>
      </c>
      <c r="D189" s="666">
        <v>4680115888395</v>
      </c>
      <c r="E189" s="666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6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68"/>
      <c r="R189" s="668"/>
      <c r="S189" s="668"/>
      <c r="T189" s="669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330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331</v>
      </c>
      <c r="B190" s="63" t="s">
        <v>332</v>
      </c>
      <c r="C190" s="36">
        <v>4301052191</v>
      </c>
      <c r="D190" s="666">
        <v>4680115888371</v>
      </c>
      <c r="E190" s="666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6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68"/>
      <c r="R190" s="668"/>
      <c r="S190" s="668"/>
      <c r="T190" s="669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333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334</v>
      </c>
      <c r="B191" s="63" t="s">
        <v>335</v>
      </c>
      <c r="C191" s="36">
        <v>4301052064</v>
      </c>
      <c r="D191" s="666">
        <v>4680115887459</v>
      </c>
      <c r="E191" s="666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6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68"/>
      <c r="R191" s="668"/>
      <c r="S191" s="668"/>
      <c r="T191" s="669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336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3" t="s">
        <v>40</v>
      </c>
      <c r="Q193" s="654"/>
      <c r="R193" s="654"/>
      <c r="S193" s="654"/>
      <c r="T193" s="654"/>
      <c r="U193" s="654"/>
      <c r="V193" s="655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5" t="s">
        <v>277</v>
      </c>
      <c r="B194" s="665"/>
      <c r="C194" s="665"/>
      <c r="D194" s="665"/>
      <c r="E194" s="665"/>
      <c r="F194" s="665"/>
      <c r="G194" s="665"/>
      <c r="H194" s="665"/>
      <c r="I194" s="665"/>
      <c r="J194" s="665"/>
      <c r="K194" s="665"/>
      <c r="L194" s="665"/>
      <c r="M194" s="665"/>
      <c r="N194" s="665"/>
      <c r="O194" s="665"/>
      <c r="P194" s="665"/>
      <c r="Q194" s="665"/>
      <c r="R194" s="665"/>
      <c r="S194" s="665"/>
      <c r="T194" s="665"/>
      <c r="U194" s="665"/>
      <c r="V194" s="665"/>
      <c r="W194" s="665"/>
      <c r="X194" s="665"/>
      <c r="Y194" s="665"/>
      <c r="Z194" s="665"/>
      <c r="AA194" s="66"/>
      <c r="AB194" s="66"/>
      <c r="AC194" s="80"/>
    </row>
    <row r="195" spans="1:68" ht="16.5" hidden="1" customHeight="1" x14ac:dyDescent="0.25">
      <c r="A195" s="63" t="s">
        <v>337</v>
      </c>
      <c r="B195" s="63" t="s">
        <v>338</v>
      </c>
      <c r="C195" s="36">
        <v>4301032058</v>
      </c>
      <c r="D195" s="666">
        <v>4680115889026</v>
      </c>
      <c r="E195" s="666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340</v>
      </c>
      <c r="L195" s="37" t="s">
        <v>46</v>
      </c>
      <c r="M195" s="38" t="s">
        <v>282</v>
      </c>
      <c r="N195" s="38"/>
      <c r="O195" s="37">
        <v>60</v>
      </c>
      <c r="P19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68"/>
      <c r="R195" s="668"/>
      <c r="S195" s="668"/>
      <c r="T195" s="669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339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656"/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7"/>
      <c r="P196" s="653" t="s">
        <v>40</v>
      </c>
      <c r="Q196" s="654"/>
      <c r="R196" s="654"/>
      <c r="S196" s="654"/>
      <c r="T196" s="654"/>
      <c r="U196" s="654"/>
      <c r="V196" s="655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656"/>
      <c r="B197" s="656"/>
      <c r="C197" s="656"/>
      <c r="D197" s="656"/>
      <c r="E197" s="656"/>
      <c r="F197" s="656"/>
      <c r="G197" s="656"/>
      <c r="H197" s="656"/>
      <c r="I197" s="656"/>
      <c r="J197" s="656"/>
      <c r="K197" s="656"/>
      <c r="L197" s="656"/>
      <c r="M197" s="656"/>
      <c r="N197" s="656"/>
      <c r="O197" s="657"/>
      <c r="P197" s="653" t="s">
        <v>40</v>
      </c>
      <c r="Q197" s="654"/>
      <c r="R197" s="654"/>
      <c r="S197" s="654"/>
      <c r="T197" s="654"/>
      <c r="U197" s="654"/>
      <c r="V197" s="655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65" t="s">
        <v>341</v>
      </c>
      <c r="B198" s="665"/>
      <c r="C198" s="665"/>
      <c r="D198" s="665"/>
      <c r="E198" s="665"/>
      <c r="F198" s="665"/>
      <c r="G198" s="665"/>
      <c r="H198" s="665"/>
      <c r="I198" s="665"/>
      <c r="J198" s="665"/>
      <c r="K198" s="665"/>
      <c r="L198" s="665"/>
      <c r="M198" s="665"/>
      <c r="N198" s="665"/>
      <c r="O198" s="665"/>
      <c r="P198" s="665"/>
      <c r="Q198" s="665"/>
      <c r="R198" s="665"/>
      <c r="S198" s="665"/>
      <c r="T198" s="665"/>
      <c r="U198" s="665"/>
      <c r="V198" s="665"/>
      <c r="W198" s="665"/>
      <c r="X198" s="665"/>
      <c r="Y198" s="665"/>
      <c r="Z198" s="665"/>
      <c r="AA198" s="66"/>
      <c r="AB198" s="66"/>
      <c r="AC198" s="80"/>
    </row>
    <row r="199" spans="1:68" ht="27" hidden="1" customHeight="1" x14ac:dyDescent="0.25">
      <c r="A199" s="63" t="s">
        <v>342</v>
      </c>
      <c r="B199" s="63" t="s">
        <v>343</v>
      </c>
      <c r="C199" s="36">
        <v>4301041009</v>
      </c>
      <c r="D199" s="666">
        <v>4680115889033</v>
      </c>
      <c r="E199" s="666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340</v>
      </c>
      <c r="L199" s="37" t="s">
        <v>46</v>
      </c>
      <c r="M199" s="38" t="s">
        <v>282</v>
      </c>
      <c r="N199" s="38"/>
      <c r="O199" s="37">
        <v>60</v>
      </c>
      <c r="P199" s="85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68"/>
      <c r="R199" s="668"/>
      <c r="S199" s="668"/>
      <c r="T199" s="669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6" t="s">
        <v>344</v>
      </c>
      <c r="AG199" s="78"/>
      <c r="AJ199" s="84" t="s">
        <v>46</v>
      </c>
      <c r="AK199" s="84">
        <v>0</v>
      </c>
      <c r="BB199" s="27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656"/>
      <c r="B200" s="656"/>
      <c r="C200" s="656"/>
      <c r="D200" s="656"/>
      <c r="E200" s="656"/>
      <c r="F200" s="656"/>
      <c r="G200" s="656"/>
      <c r="H200" s="656"/>
      <c r="I200" s="656"/>
      <c r="J200" s="656"/>
      <c r="K200" s="656"/>
      <c r="L200" s="656"/>
      <c r="M200" s="656"/>
      <c r="N200" s="656"/>
      <c r="O200" s="657"/>
      <c r="P200" s="653" t="s">
        <v>40</v>
      </c>
      <c r="Q200" s="654"/>
      <c r="R200" s="654"/>
      <c r="S200" s="654"/>
      <c r="T200" s="654"/>
      <c r="U200" s="654"/>
      <c r="V200" s="655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656"/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7"/>
      <c r="P201" s="653" t="s">
        <v>40</v>
      </c>
      <c r="Q201" s="654"/>
      <c r="R201" s="654"/>
      <c r="S201" s="654"/>
      <c r="T201" s="654"/>
      <c r="U201" s="654"/>
      <c r="V201" s="655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683" t="s">
        <v>345</v>
      </c>
      <c r="B202" s="683"/>
      <c r="C202" s="683"/>
      <c r="D202" s="683"/>
      <c r="E202" s="683"/>
      <c r="F202" s="683"/>
      <c r="G202" s="683"/>
      <c r="H202" s="683"/>
      <c r="I202" s="683"/>
      <c r="J202" s="683"/>
      <c r="K202" s="683"/>
      <c r="L202" s="683"/>
      <c r="M202" s="683"/>
      <c r="N202" s="683"/>
      <c r="O202" s="683"/>
      <c r="P202" s="683"/>
      <c r="Q202" s="683"/>
      <c r="R202" s="683"/>
      <c r="S202" s="683"/>
      <c r="T202" s="683"/>
      <c r="U202" s="683"/>
      <c r="V202" s="683"/>
      <c r="W202" s="683"/>
      <c r="X202" s="683"/>
      <c r="Y202" s="683"/>
      <c r="Z202" s="683"/>
      <c r="AA202" s="54"/>
      <c r="AB202" s="54"/>
      <c r="AC202" s="54"/>
    </row>
    <row r="203" spans="1:68" ht="16.5" hidden="1" customHeight="1" x14ac:dyDescent="0.25">
      <c r="A203" s="672" t="s">
        <v>346</v>
      </c>
      <c r="B203" s="672"/>
      <c r="C203" s="672"/>
      <c r="D203" s="672"/>
      <c r="E203" s="672"/>
      <c r="F203" s="672"/>
      <c r="G203" s="672"/>
      <c r="H203" s="672"/>
      <c r="I203" s="672"/>
      <c r="J203" s="672"/>
      <c r="K203" s="672"/>
      <c r="L203" s="672"/>
      <c r="M203" s="672"/>
      <c r="N203" s="672"/>
      <c r="O203" s="672"/>
      <c r="P203" s="672"/>
      <c r="Q203" s="672"/>
      <c r="R203" s="672"/>
      <c r="S203" s="672"/>
      <c r="T203" s="672"/>
      <c r="U203" s="672"/>
      <c r="V203" s="672"/>
      <c r="W203" s="672"/>
      <c r="X203" s="672"/>
      <c r="Y203" s="672"/>
      <c r="Z203" s="672"/>
      <c r="AA203" s="65"/>
      <c r="AB203" s="65"/>
      <c r="AC203" s="79"/>
    </row>
    <row r="204" spans="1:68" ht="14.25" hidden="1" customHeight="1" x14ac:dyDescent="0.25">
      <c r="A204" s="665" t="s">
        <v>122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6"/>
      <c r="AB204" s="66"/>
      <c r="AC204" s="80"/>
    </row>
    <row r="205" spans="1:68" ht="27" hidden="1" customHeight="1" x14ac:dyDescent="0.25">
      <c r="A205" s="63" t="s">
        <v>347</v>
      </c>
      <c r="B205" s="63" t="s">
        <v>348</v>
      </c>
      <c r="C205" s="36">
        <v>4301011223</v>
      </c>
      <c r="D205" s="666">
        <v>4607091383423</v>
      </c>
      <c r="E205" s="666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68"/>
      <c r="R205" s="668"/>
      <c r="S205" s="668"/>
      <c r="T205" s="669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1">IFERROR(IF(X205="",0,CEILING((X205/$H205),1)*$H205),"")</f>
        <v>0</v>
      </c>
      <c r="Z205" s="41" t="str">
        <f t="shared" ref="Z205:Z211" si="22">IFERROR(IF(Y205=0,"",ROUNDUP(Y205/H205,0)*0.01898),"")</f>
        <v/>
      </c>
      <c r="AA205" s="68" t="s">
        <v>46</v>
      </c>
      <c r="AB205" s="69" t="s">
        <v>46</v>
      </c>
      <c r="AC205" s="278" t="s">
        <v>125</v>
      </c>
      <c r="AG205" s="78"/>
      <c r="AJ205" s="84" t="s">
        <v>46</v>
      </c>
      <c r="AK205" s="84">
        <v>0</v>
      </c>
      <c r="BB205" s="279" t="s">
        <v>67</v>
      </c>
      <c r="BM205" s="78">
        <f t="shared" ref="BM205:BM211" si="23">IFERROR(X205*I205/H205,"0")</f>
        <v>0</v>
      </c>
      <c r="BN205" s="78">
        <f t="shared" ref="BN205:BN211" si="24">IFERROR(Y205*I205/H205,"0")</f>
        <v>0</v>
      </c>
      <c r="BO205" s="78">
        <f t="shared" ref="BO205:BO211" si="25">IFERROR(1/J205*(X205/H205),"0")</f>
        <v>0</v>
      </c>
      <c r="BP205" s="78">
        <f t="shared" ref="BP205:BP211" si="26">IFERROR(1/J205*(Y205/H205),"0")</f>
        <v>0</v>
      </c>
    </row>
    <row r="206" spans="1:68" ht="27" hidden="1" customHeight="1" x14ac:dyDescent="0.25">
      <c r="A206" s="63" t="s">
        <v>349</v>
      </c>
      <c r="B206" s="63" t="s">
        <v>350</v>
      </c>
      <c r="C206" s="36">
        <v>4301012340</v>
      </c>
      <c r="D206" s="666">
        <v>4680115888760</v>
      </c>
      <c r="E206" s="666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68"/>
      <c r="R206" s="668"/>
      <c r="S206" s="668"/>
      <c r="T206" s="669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0" t="s">
        <v>351</v>
      </c>
      <c r="AG206" s="78"/>
      <c r="AJ206" s="84" t="s">
        <v>46</v>
      </c>
      <c r="AK206" s="84">
        <v>0</v>
      </c>
      <c r="BB206" s="281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t="27" hidden="1" customHeight="1" x14ac:dyDescent="0.25">
      <c r="A207" s="63" t="s">
        <v>352</v>
      </c>
      <c r="B207" s="63" t="s">
        <v>353</v>
      </c>
      <c r="C207" s="36">
        <v>4301012341</v>
      </c>
      <c r="D207" s="666">
        <v>4680115888807</v>
      </c>
      <c r="E207" s="666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68"/>
      <c r="R207" s="668"/>
      <c r="S207" s="668"/>
      <c r="T207" s="669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354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355</v>
      </c>
      <c r="B208" s="63" t="s">
        <v>356</v>
      </c>
      <c r="C208" s="36">
        <v>4301012342</v>
      </c>
      <c r="D208" s="666">
        <v>4680115888852</v>
      </c>
      <c r="E208" s="666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68"/>
      <c r="R208" s="668"/>
      <c r="S208" s="668"/>
      <c r="T208" s="669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357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37.5" hidden="1" customHeight="1" x14ac:dyDescent="0.25">
      <c r="A209" s="63" t="s">
        <v>358</v>
      </c>
      <c r="B209" s="63" t="s">
        <v>359</v>
      </c>
      <c r="C209" s="36">
        <v>4301012370</v>
      </c>
      <c r="D209" s="666">
        <v>4680115886957</v>
      </c>
      <c r="E209" s="666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68"/>
      <c r="R209" s="668"/>
      <c r="S209" s="668"/>
      <c r="T209" s="669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360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27" hidden="1" customHeight="1" x14ac:dyDescent="0.25">
      <c r="A210" s="63" t="s">
        <v>361</v>
      </c>
      <c r="B210" s="63" t="s">
        <v>362</v>
      </c>
      <c r="C210" s="36">
        <v>4301012098</v>
      </c>
      <c r="D210" s="666">
        <v>4680115885660</v>
      </c>
      <c r="E210" s="666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5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68"/>
      <c r="R210" s="668"/>
      <c r="S210" s="668"/>
      <c r="T210" s="669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363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364</v>
      </c>
      <c r="B211" s="63" t="s">
        <v>365</v>
      </c>
      <c r="C211" s="36">
        <v>4301012369</v>
      </c>
      <c r="D211" s="666">
        <v>4680115886773</v>
      </c>
      <c r="E211" s="666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5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68"/>
      <c r="R211" s="668"/>
      <c r="S211" s="668"/>
      <c r="T211" s="669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366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656"/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7"/>
      <c r="P213" s="653" t="s">
        <v>40</v>
      </c>
      <c r="Q213" s="654"/>
      <c r="R213" s="654"/>
      <c r="S213" s="654"/>
      <c r="T213" s="654"/>
      <c r="U213" s="654"/>
      <c r="V213" s="655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672" t="s">
        <v>367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5"/>
      <c r="AB214" s="65"/>
      <c r="AC214" s="79"/>
    </row>
    <row r="215" spans="1:68" ht="14.25" hidden="1" customHeight="1" x14ac:dyDescent="0.25">
      <c r="A215" s="665" t="s">
        <v>159</v>
      </c>
      <c r="B215" s="665"/>
      <c r="C215" s="665"/>
      <c r="D215" s="665"/>
      <c r="E215" s="665"/>
      <c r="F215" s="665"/>
      <c r="G215" s="665"/>
      <c r="H215" s="665"/>
      <c r="I215" s="665"/>
      <c r="J215" s="665"/>
      <c r="K215" s="665"/>
      <c r="L215" s="665"/>
      <c r="M215" s="665"/>
      <c r="N215" s="665"/>
      <c r="O215" s="665"/>
      <c r="P215" s="665"/>
      <c r="Q215" s="665"/>
      <c r="R215" s="665"/>
      <c r="S215" s="665"/>
      <c r="T215" s="665"/>
      <c r="U215" s="665"/>
      <c r="V215" s="665"/>
      <c r="W215" s="665"/>
      <c r="X215" s="665"/>
      <c r="Y215" s="665"/>
      <c r="Z215" s="665"/>
      <c r="AA215" s="66"/>
      <c r="AB215" s="66"/>
      <c r="AC215" s="80"/>
    </row>
    <row r="216" spans="1:68" ht="27" hidden="1" customHeight="1" x14ac:dyDescent="0.25">
      <c r="A216" s="63" t="s">
        <v>368</v>
      </c>
      <c r="B216" s="63" t="s">
        <v>369</v>
      </c>
      <c r="C216" s="36">
        <v>4301020323</v>
      </c>
      <c r="D216" s="666">
        <v>4680115886223</v>
      </c>
      <c r="E216" s="666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5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68"/>
      <c r="R216" s="668"/>
      <c r="S216" s="668"/>
      <c r="T216" s="669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92" t="s">
        <v>370</v>
      </c>
      <c r="AG216" s="78"/>
      <c r="AJ216" s="84" t="s">
        <v>46</v>
      </c>
      <c r="AK216" s="84">
        <v>0</v>
      </c>
      <c r="BB216" s="293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656"/>
      <c r="B217" s="656"/>
      <c r="C217" s="656"/>
      <c r="D217" s="656"/>
      <c r="E217" s="656"/>
      <c r="F217" s="656"/>
      <c r="G217" s="656"/>
      <c r="H217" s="656"/>
      <c r="I217" s="656"/>
      <c r="J217" s="656"/>
      <c r="K217" s="656"/>
      <c r="L217" s="656"/>
      <c r="M217" s="656"/>
      <c r="N217" s="656"/>
      <c r="O217" s="657"/>
      <c r="P217" s="653" t="s">
        <v>40</v>
      </c>
      <c r="Q217" s="654"/>
      <c r="R217" s="654"/>
      <c r="S217" s="654"/>
      <c r="T217" s="654"/>
      <c r="U217" s="654"/>
      <c r="V217" s="655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656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3" t="s">
        <v>40</v>
      </c>
      <c r="Q218" s="654"/>
      <c r="R218" s="654"/>
      <c r="S218" s="654"/>
      <c r="T218" s="654"/>
      <c r="U218" s="654"/>
      <c r="V218" s="655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665" t="s">
        <v>77</v>
      </c>
      <c r="B219" s="665"/>
      <c r="C219" s="665"/>
      <c r="D219" s="665"/>
      <c r="E219" s="665"/>
      <c r="F219" s="665"/>
      <c r="G219" s="665"/>
      <c r="H219" s="665"/>
      <c r="I219" s="665"/>
      <c r="J219" s="665"/>
      <c r="K219" s="665"/>
      <c r="L219" s="665"/>
      <c r="M219" s="665"/>
      <c r="N219" s="665"/>
      <c r="O219" s="665"/>
      <c r="P219" s="665"/>
      <c r="Q219" s="665"/>
      <c r="R219" s="665"/>
      <c r="S219" s="665"/>
      <c r="T219" s="665"/>
      <c r="U219" s="665"/>
      <c r="V219" s="665"/>
      <c r="W219" s="665"/>
      <c r="X219" s="665"/>
      <c r="Y219" s="665"/>
      <c r="Z219" s="665"/>
      <c r="AA219" s="66"/>
      <c r="AB219" s="66"/>
      <c r="AC219" s="80"/>
    </row>
    <row r="220" spans="1:68" ht="27" hidden="1" customHeight="1" x14ac:dyDescent="0.25">
      <c r="A220" s="63" t="s">
        <v>371</v>
      </c>
      <c r="B220" s="63" t="s">
        <v>372</v>
      </c>
      <c r="C220" s="36">
        <v>4301031191</v>
      </c>
      <c r="D220" s="666">
        <v>4680115880993</v>
      </c>
      <c r="E220" s="666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68"/>
      <c r="R220" s="668"/>
      <c r="S220" s="668"/>
      <c r="T220" s="669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ref="Y220:Y234" si="27">IFERROR(IF(X220="",0,CEILING((X220/$H220),1)*$H220),"")</f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373</v>
      </c>
      <c r="AG220" s="78"/>
      <c r="AJ220" s="84" t="s">
        <v>46</v>
      </c>
      <c r="AK220" s="84">
        <v>0</v>
      </c>
      <c r="BB220" s="295" t="s">
        <v>67</v>
      </c>
      <c r="BM220" s="78">
        <f t="shared" ref="BM220:BM234" si="28">IFERROR(X220*I220/H220,"0")</f>
        <v>0</v>
      </c>
      <c r="BN220" s="78">
        <f t="shared" ref="BN220:BN234" si="29">IFERROR(Y220*I220/H220,"0")</f>
        <v>0</v>
      </c>
      <c r="BO220" s="78">
        <f t="shared" ref="BO220:BO234" si="30">IFERROR(1/J220*(X220/H220),"0")</f>
        <v>0</v>
      </c>
      <c r="BP220" s="78">
        <f t="shared" ref="BP220:BP234" si="31">IFERROR(1/J220*(Y220/H220),"0")</f>
        <v>0</v>
      </c>
    </row>
    <row r="221" spans="1:68" ht="27" hidden="1" customHeight="1" x14ac:dyDescent="0.25">
      <c r="A221" s="63" t="s">
        <v>374</v>
      </c>
      <c r="B221" s="63" t="s">
        <v>375</v>
      </c>
      <c r="C221" s="36">
        <v>4301031204</v>
      </c>
      <c r="D221" s="666">
        <v>4680115881761</v>
      </c>
      <c r="E221" s="666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68"/>
      <c r="R221" s="668"/>
      <c r="S221" s="668"/>
      <c r="T221" s="669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376</v>
      </c>
      <c r="AG221" s="78"/>
      <c r="AJ221" s="84" t="s">
        <v>46</v>
      </c>
      <c r="AK221" s="84">
        <v>0</v>
      </c>
      <c r="BB221" s="297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377</v>
      </c>
      <c r="B222" s="63" t="s">
        <v>378</v>
      </c>
      <c r="C222" s="36">
        <v>4301031201</v>
      </c>
      <c r="D222" s="666">
        <v>4680115881563</v>
      </c>
      <c r="E222" s="666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668"/>
      <c r="R222" s="668"/>
      <c r="S222" s="668"/>
      <c r="T222" s="669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379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37.5" hidden="1" customHeight="1" x14ac:dyDescent="0.25">
      <c r="A223" s="63" t="s">
        <v>380</v>
      </c>
      <c r="B223" s="63" t="s">
        <v>381</v>
      </c>
      <c r="C223" s="36">
        <v>4301031447</v>
      </c>
      <c r="D223" s="666">
        <v>4680115887565</v>
      </c>
      <c r="E223" s="666"/>
      <c r="F223" s="62">
        <v>0.08</v>
      </c>
      <c r="G223" s="37">
        <v>10</v>
      </c>
      <c r="H223" s="62">
        <v>0.8</v>
      </c>
      <c r="I223" s="62">
        <v>0.93</v>
      </c>
      <c r="J223" s="37">
        <v>252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68"/>
      <c r="R223" s="668"/>
      <c r="S223" s="668"/>
      <c r="T223" s="669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300" t="s">
        <v>382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383</v>
      </c>
      <c r="B224" s="63" t="s">
        <v>384</v>
      </c>
      <c r="C224" s="36">
        <v>4301031199</v>
      </c>
      <c r="D224" s="666">
        <v>4680115880986</v>
      </c>
      <c r="E224" s="666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68"/>
      <c r="R224" s="668"/>
      <c r="S224" s="668"/>
      <c r="T224" s="669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ref="Z224:Z229" si="32">IFERROR(IF(Y224=0,"",ROUNDUP(Y224/H224,0)*0.00502),"")</f>
        <v/>
      </c>
      <c r="AA224" s="68" t="s">
        <v>46</v>
      </c>
      <c r="AB224" s="69" t="s">
        <v>46</v>
      </c>
      <c r="AC224" s="302" t="s">
        <v>373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385</v>
      </c>
      <c r="B225" s="63" t="s">
        <v>386</v>
      </c>
      <c r="C225" s="36">
        <v>4301031443</v>
      </c>
      <c r="D225" s="666">
        <v>4680115887213</v>
      </c>
      <c r="E225" s="666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68"/>
      <c r="R225" s="668"/>
      <c r="S225" s="668"/>
      <c r="T225" s="669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si="32"/>
        <v/>
      </c>
      <c r="AA225" s="68" t="s">
        <v>46</v>
      </c>
      <c r="AB225" s="69" t="s">
        <v>46</v>
      </c>
      <c r="AC225" s="304" t="s">
        <v>387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388</v>
      </c>
      <c r="B226" s="63" t="s">
        <v>389</v>
      </c>
      <c r="C226" s="36">
        <v>4301031205</v>
      </c>
      <c r="D226" s="666">
        <v>4680115881785</v>
      </c>
      <c r="E226" s="666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68"/>
      <c r="R226" s="668"/>
      <c r="S226" s="668"/>
      <c r="T226" s="669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376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390</v>
      </c>
      <c r="B227" s="63" t="s">
        <v>391</v>
      </c>
      <c r="C227" s="36">
        <v>4301031499</v>
      </c>
      <c r="D227" s="666">
        <v>4680115888432</v>
      </c>
      <c r="E227" s="666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4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68"/>
      <c r="R227" s="668"/>
      <c r="S227" s="668"/>
      <c r="T227" s="669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392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393</v>
      </c>
      <c r="B228" s="63" t="s">
        <v>394</v>
      </c>
      <c r="C228" s="36">
        <v>4301031427</v>
      </c>
      <c r="D228" s="666">
        <v>4680115888104</v>
      </c>
      <c r="E228" s="666"/>
      <c r="F228" s="62">
        <v>0.35</v>
      </c>
      <c r="G228" s="37">
        <v>6</v>
      </c>
      <c r="H228" s="62">
        <v>2.1</v>
      </c>
      <c r="I228" s="62">
        <v>2.2000000000000002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668"/>
      <c r="R228" s="668"/>
      <c r="S228" s="668"/>
      <c r="T228" s="669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395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396</v>
      </c>
      <c r="B229" s="63" t="s">
        <v>397</v>
      </c>
      <c r="C229" s="36">
        <v>4301031503</v>
      </c>
      <c r="D229" s="666">
        <v>4680115886537</v>
      </c>
      <c r="E229" s="666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68"/>
      <c r="R229" s="668"/>
      <c r="S229" s="668"/>
      <c r="T229" s="669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398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399</v>
      </c>
      <c r="B230" s="63" t="s">
        <v>400</v>
      </c>
      <c r="C230" s="36">
        <v>4301031279</v>
      </c>
      <c r="D230" s="666">
        <v>4680115887596</v>
      </c>
      <c r="E230" s="666"/>
      <c r="F230" s="62">
        <v>0.08</v>
      </c>
      <c r="G230" s="37">
        <v>10</v>
      </c>
      <c r="H230" s="62">
        <v>0.8</v>
      </c>
      <c r="I230" s="62">
        <v>1.01</v>
      </c>
      <c r="J230" s="37">
        <v>336</v>
      </c>
      <c r="K230" s="37" t="s">
        <v>131</v>
      </c>
      <c r="L230" s="37" t="s">
        <v>46</v>
      </c>
      <c r="M230" s="38" t="s">
        <v>81</v>
      </c>
      <c r="N230" s="38"/>
      <c r="O230" s="37">
        <v>45</v>
      </c>
      <c r="P230" s="83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68"/>
      <c r="R230" s="668"/>
      <c r="S230" s="668"/>
      <c r="T230" s="669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>IFERROR(IF(Y230=0,"",ROUNDUP(Y230/H230,0)*0.00417),"")</f>
        <v/>
      </c>
      <c r="AA230" s="68" t="s">
        <v>46</v>
      </c>
      <c r="AB230" s="69" t="s">
        <v>46</v>
      </c>
      <c r="AC230" s="314" t="s">
        <v>401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37.5" hidden="1" customHeight="1" x14ac:dyDescent="0.25">
      <c r="A231" s="63" t="s">
        <v>402</v>
      </c>
      <c r="B231" s="63" t="s">
        <v>403</v>
      </c>
      <c r="C231" s="36">
        <v>4301031530</v>
      </c>
      <c r="D231" s="666">
        <v>4680115881679</v>
      </c>
      <c r="E231" s="666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68"/>
      <c r="R231" s="668"/>
      <c r="S231" s="668"/>
      <c r="T231" s="669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6" t="s">
        <v>379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hidden="1" customHeight="1" x14ac:dyDescent="0.25">
      <c r="A232" s="63" t="s">
        <v>404</v>
      </c>
      <c r="B232" s="63" t="s">
        <v>405</v>
      </c>
      <c r="C232" s="36">
        <v>4301031158</v>
      </c>
      <c r="D232" s="666">
        <v>4680115880191</v>
      </c>
      <c r="E232" s="666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91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68"/>
      <c r="R232" s="668"/>
      <c r="S232" s="668"/>
      <c r="T232" s="669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IFERROR(IF(Y232=0,"",ROUNDUP(Y232/H232,0)*0.00651),"")</f>
        <v/>
      </c>
      <c r="AA232" s="68" t="s">
        <v>46</v>
      </c>
      <c r="AB232" s="69" t="s">
        <v>46</v>
      </c>
      <c r="AC232" s="318" t="s">
        <v>379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404</v>
      </c>
      <c r="B233" s="63" t="s">
        <v>406</v>
      </c>
      <c r="C233" s="36">
        <v>4301031531</v>
      </c>
      <c r="D233" s="666">
        <v>4680115880191</v>
      </c>
      <c r="E233" s="666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45</v>
      </c>
      <c r="P233" s="840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68"/>
      <c r="R233" s="668"/>
      <c r="S233" s="668"/>
      <c r="T233" s="669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379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4301031245</v>
      </c>
      <c r="D234" s="666">
        <v>4680115883963</v>
      </c>
      <c r="E234" s="666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68"/>
      <c r="R234" s="668"/>
      <c r="S234" s="668"/>
      <c r="T234" s="669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56"/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7"/>
      <c r="P235" s="653" t="s">
        <v>40</v>
      </c>
      <c r="Q235" s="654"/>
      <c r="R235" s="654"/>
      <c r="S235" s="654"/>
      <c r="T235" s="654"/>
      <c r="U235" s="654"/>
      <c r="V235" s="655"/>
      <c r="W235" s="42" t="s">
        <v>39</v>
      </c>
      <c r="X235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6"/>
      <c r="B236" s="656"/>
      <c r="C236" s="656"/>
      <c r="D236" s="656"/>
      <c r="E236" s="656"/>
      <c r="F236" s="656"/>
      <c r="G236" s="656"/>
      <c r="H236" s="656"/>
      <c r="I236" s="656"/>
      <c r="J236" s="656"/>
      <c r="K236" s="656"/>
      <c r="L236" s="656"/>
      <c r="M236" s="656"/>
      <c r="N236" s="656"/>
      <c r="O236" s="657"/>
      <c r="P236" s="653" t="s">
        <v>40</v>
      </c>
      <c r="Q236" s="654"/>
      <c r="R236" s="654"/>
      <c r="S236" s="654"/>
      <c r="T236" s="654"/>
      <c r="U236" s="654"/>
      <c r="V236" s="655"/>
      <c r="W236" s="42" t="s">
        <v>0</v>
      </c>
      <c r="X236" s="43">
        <f>IFERROR(SUM(X220:X234),"0")</f>
        <v>0</v>
      </c>
      <c r="Y236" s="43">
        <f>IFERROR(SUM(Y220:Y234),"0")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5" t="s">
        <v>86</v>
      </c>
      <c r="B237" s="665"/>
      <c r="C237" s="665"/>
      <c r="D237" s="665"/>
      <c r="E237" s="665"/>
      <c r="F237" s="665"/>
      <c r="G237" s="665"/>
      <c r="H237" s="665"/>
      <c r="I237" s="665"/>
      <c r="J237" s="665"/>
      <c r="K237" s="665"/>
      <c r="L237" s="665"/>
      <c r="M237" s="665"/>
      <c r="N237" s="665"/>
      <c r="O237" s="665"/>
      <c r="P237" s="665"/>
      <c r="Q237" s="665"/>
      <c r="R237" s="665"/>
      <c r="S237" s="665"/>
      <c r="T237" s="665"/>
      <c r="U237" s="665"/>
      <c r="V237" s="665"/>
      <c r="W237" s="665"/>
      <c r="X237" s="665"/>
      <c r="Y237" s="665"/>
      <c r="Z237" s="665"/>
      <c r="AA237" s="66"/>
      <c r="AB237" s="66"/>
      <c r="AC237" s="80"/>
    </row>
    <row r="238" spans="1:68" ht="16.5" hidden="1" customHeight="1" x14ac:dyDescent="0.25">
      <c r="A238" s="63" t="s">
        <v>410</v>
      </c>
      <c r="B238" s="63" t="s">
        <v>411</v>
      </c>
      <c r="C238" s="36">
        <v>4301052209</v>
      </c>
      <c r="D238" s="666">
        <v>4680115888692</v>
      </c>
      <c r="E238" s="666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68"/>
      <c r="R238" s="668"/>
      <c r="S238" s="668"/>
      <c r="T238" s="669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ref="Y238:Y246" si="33"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412</v>
      </c>
      <c r="AG238" s="78"/>
      <c r="AJ238" s="84" t="s">
        <v>46</v>
      </c>
      <c r="AK238" s="84">
        <v>0</v>
      </c>
      <c r="BB238" s="325" t="s">
        <v>67</v>
      </c>
      <c r="BM238" s="78">
        <f t="shared" ref="BM238:BM246" si="34">IFERROR(X238*I238/H238,"0")</f>
        <v>0</v>
      </c>
      <c r="BN238" s="78">
        <f t="shared" ref="BN238:BN246" si="35">IFERROR(Y238*I238/H238,"0")</f>
        <v>0</v>
      </c>
      <c r="BO238" s="78">
        <f t="shared" ref="BO238:BO246" si="36">IFERROR(1/J238*(X238/H238),"0")</f>
        <v>0</v>
      </c>
      <c r="BP238" s="78">
        <f t="shared" ref="BP238:BP246" si="37">IFERROR(1/J238*(Y238/H238),"0")</f>
        <v>0</v>
      </c>
    </row>
    <row r="239" spans="1:68" ht="16.5" hidden="1" customHeight="1" x14ac:dyDescent="0.25">
      <c r="A239" s="63" t="s">
        <v>410</v>
      </c>
      <c r="B239" s="63" t="s">
        <v>413</v>
      </c>
      <c r="C239" s="36">
        <v>4301052279</v>
      </c>
      <c r="D239" s="666">
        <v>4680115888692</v>
      </c>
      <c r="E239" s="666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2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68"/>
      <c r="R239" s="668"/>
      <c r="S239" s="668"/>
      <c r="T239" s="669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414</v>
      </c>
      <c r="AG239" s="78"/>
      <c r="AJ239" s="84" t="s">
        <v>46</v>
      </c>
      <c r="AK239" s="84">
        <v>0</v>
      </c>
      <c r="BB239" s="327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415</v>
      </c>
      <c r="B240" s="63" t="s">
        <v>416</v>
      </c>
      <c r="C240" s="36">
        <v>4301052213</v>
      </c>
      <c r="D240" s="666">
        <v>4680115888722</v>
      </c>
      <c r="E240" s="666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35</v>
      </c>
      <c r="P240" s="82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68"/>
      <c r="R240" s="668"/>
      <c r="S240" s="668"/>
      <c r="T240" s="669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417</v>
      </c>
      <c r="AG240" s="78"/>
      <c r="AJ240" s="84" t="s">
        <v>46</v>
      </c>
      <c r="AK240" s="84">
        <v>0</v>
      </c>
      <c r="BB240" s="329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415</v>
      </c>
      <c r="B241" s="63" t="s">
        <v>418</v>
      </c>
      <c r="C241" s="36">
        <v>4301052280</v>
      </c>
      <c r="D241" s="666">
        <v>4680115888722</v>
      </c>
      <c r="E241" s="666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40</v>
      </c>
      <c r="P241" s="830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68"/>
      <c r="R241" s="668"/>
      <c r="S241" s="668"/>
      <c r="T241" s="669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419</v>
      </c>
      <c r="AG241" s="78"/>
      <c r="AJ241" s="84" t="s">
        <v>46</v>
      </c>
      <c r="AK241" s="84">
        <v>0</v>
      </c>
      <c r="BB241" s="331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t="27" hidden="1" customHeight="1" x14ac:dyDescent="0.25">
      <c r="A242" s="63" t="s">
        <v>420</v>
      </c>
      <c r="B242" s="63" t="s">
        <v>421</v>
      </c>
      <c r="C242" s="36">
        <v>4301052177</v>
      </c>
      <c r="D242" s="666">
        <v>4680115888951</v>
      </c>
      <c r="E242" s="666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68"/>
      <c r="R242" s="668"/>
      <c r="S242" s="668"/>
      <c r="T242" s="669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3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 t="shared" si="34"/>
        <v>0</v>
      </c>
      <c r="BN242" s="78">
        <f t="shared" si="35"/>
        <v>0</v>
      </c>
      <c r="BO242" s="78">
        <f t="shared" si="36"/>
        <v>0</v>
      </c>
      <c r="BP242" s="78">
        <f t="shared" si="37"/>
        <v>0</v>
      </c>
    </row>
    <row r="243" spans="1:68" ht="27" hidden="1" customHeight="1" x14ac:dyDescent="0.25">
      <c r="A243" s="63" t="s">
        <v>420</v>
      </c>
      <c r="B243" s="63" t="s">
        <v>423</v>
      </c>
      <c r="C243" s="36">
        <v>4301052276</v>
      </c>
      <c r="D243" s="666">
        <v>4680115888951</v>
      </c>
      <c r="E243" s="666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40</v>
      </c>
      <c r="P243" s="83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68"/>
      <c r="R243" s="668"/>
      <c r="S243" s="668"/>
      <c r="T243" s="669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3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414</v>
      </c>
      <c r="AG243" s="78"/>
      <c r="AJ243" s="84" t="s">
        <v>46</v>
      </c>
      <c r="AK243" s="84">
        <v>0</v>
      </c>
      <c r="BB243" s="335" t="s">
        <v>67</v>
      </c>
      <c r="BM243" s="78">
        <f t="shared" si="34"/>
        <v>0</v>
      </c>
      <c r="BN243" s="78">
        <f t="shared" si="35"/>
        <v>0</v>
      </c>
      <c r="BO243" s="78">
        <f t="shared" si="36"/>
        <v>0</v>
      </c>
      <c r="BP243" s="78">
        <f t="shared" si="37"/>
        <v>0</v>
      </c>
    </row>
    <row r="244" spans="1:68" ht="27" hidden="1" customHeight="1" x14ac:dyDescent="0.25">
      <c r="A244" s="63" t="s">
        <v>424</v>
      </c>
      <c r="B244" s="63" t="s">
        <v>425</v>
      </c>
      <c r="C244" s="36">
        <v>4301052178</v>
      </c>
      <c r="D244" s="666">
        <v>4680115888975</v>
      </c>
      <c r="E244" s="666"/>
      <c r="F244" s="62">
        <v>0.32</v>
      </c>
      <c r="G244" s="37">
        <v>6</v>
      </c>
      <c r="H244" s="62">
        <v>1.92</v>
      </c>
      <c r="I244" s="62">
        <v>2.1819999999999999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35</v>
      </c>
      <c r="P244" s="83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68"/>
      <c r="R244" s="668"/>
      <c r="S244" s="668"/>
      <c r="T244" s="669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3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426</v>
      </c>
      <c r="AG244" s="78"/>
      <c r="AJ244" s="84" t="s">
        <v>46</v>
      </c>
      <c r="AK244" s="84">
        <v>0</v>
      </c>
      <c r="BB244" s="337" t="s">
        <v>67</v>
      </c>
      <c r="BM244" s="78">
        <f t="shared" si="34"/>
        <v>0</v>
      </c>
      <c r="BN244" s="78">
        <f t="shared" si="35"/>
        <v>0</v>
      </c>
      <c r="BO244" s="78">
        <f t="shared" si="36"/>
        <v>0</v>
      </c>
      <c r="BP244" s="78">
        <f t="shared" si="37"/>
        <v>0</v>
      </c>
    </row>
    <row r="245" spans="1:68" ht="27" hidden="1" customHeight="1" x14ac:dyDescent="0.25">
      <c r="A245" s="63" t="s">
        <v>427</v>
      </c>
      <c r="B245" s="63" t="s">
        <v>428</v>
      </c>
      <c r="C245" s="36">
        <v>4301052176</v>
      </c>
      <c r="D245" s="666">
        <v>4680115888982</v>
      </c>
      <c r="E245" s="666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68"/>
      <c r="R245" s="668"/>
      <c r="S245" s="668"/>
      <c r="T245" s="669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3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417</v>
      </c>
      <c r="AG245" s="78"/>
      <c r="AJ245" s="84" t="s">
        <v>46</v>
      </c>
      <c r="AK245" s="84">
        <v>0</v>
      </c>
      <c r="BB245" s="339" t="s">
        <v>67</v>
      </c>
      <c r="BM245" s="78">
        <f t="shared" si="34"/>
        <v>0</v>
      </c>
      <c r="BN245" s="78">
        <f t="shared" si="35"/>
        <v>0</v>
      </c>
      <c r="BO245" s="78">
        <f t="shared" si="36"/>
        <v>0</v>
      </c>
      <c r="BP245" s="78">
        <f t="shared" si="37"/>
        <v>0</v>
      </c>
    </row>
    <row r="246" spans="1:68" ht="27" hidden="1" customHeight="1" x14ac:dyDescent="0.25">
      <c r="A246" s="63" t="s">
        <v>427</v>
      </c>
      <c r="B246" s="63" t="s">
        <v>429</v>
      </c>
      <c r="C246" s="36">
        <v>4301052277</v>
      </c>
      <c r="D246" s="666">
        <v>4680115888982</v>
      </c>
      <c r="E246" s="666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40</v>
      </c>
      <c r="P246" s="82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8"/>
      <c r="R246" s="668"/>
      <c r="S246" s="668"/>
      <c r="T246" s="669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3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419</v>
      </c>
      <c r="AG246" s="78"/>
      <c r="AJ246" s="84" t="s">
        <v>46</v>
      </c>
      <c r="AK246" s="84">
        <v>0</v>
      </c>
      <c r="BB246" s="341" t="s">
        <v>67</v>
      </c>
      <c r="BM246" s="78">
        <f t="shared" si="34"/>
        <v>0</v>
      </c>
      <c r="BN246" s="78">
        <f t="shared" si="35"/>
        <v>0</v>
      </c>
      <c r="BO246" s="78">
        <f t="shared" si="36"/>
        <v>0</v>
      </c>
      <c r="BP246" s="78">
        <f t="shared" si="37"/>
        <v>0</v>
      </c>
    </row>
    <row r="247" spans="1:68" hidden="1" x14ac:dyDescent="0.2">
      <c r="A247" s="656"/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7"/>
      <c r="P247" s="653" t="s">
        <v>40</v>
      </c>
      <c r="Q247" s="654"/>
      <c r="R247" s="654"/>
      <c r="S247" s="654"/>
      <c r="T247" s="654"/>
      <c r="U247" s="654"/>
      <c r="V247" s="655"/>
      <c r="W247" s="42" t="s">
        <v>39</v>
      </c>
      <c r="X247" s="43">
        <f>IFERROR(X238/H238,"0")+IFERROR(X239/H239,"0")+IFERROR(X240/H240,"0")+IFERROR(X241/H241,"0")+IFERROR(X242/H242,"0")+IFERROR(X243/H243,"0")+IFERROR(X244/H244,"0")+IFERROR(X245/H245,"0")+IFERROR(X246/H246,"0")</f>
        <v>0</v>
      </c>
      <c r="Y247" s="43">
        <f>IFERROR(Y238/H238,"0")+IFERROR(Y239/H239,"0")+IFERROR(Y240/H240,"0")+IFERROR(Y241/H241,"0")+IFERROR(Y242/H242,"0")+IFERROR(Y243/H243,"0")+IFERROR(Y244/H244,"0")+IFERROR(Y245/H245,"0")+IFERROR(Y246/H246,"0")</f>
        <v>0</v>
      </c>
      <c r="Z247" s="43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2" t="s">
        <v>0</v>
      </c>
      <c r="X248" s="43">
        <f>IFERROR(SUM(X238:X246),"0")</f>
        <v>0</v>
      </c>
      <c r="Y248" s="43">
        <f>IFERROR(SUM(Y238:Y246),"0")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65" t="s">
        <v>277</v>
      </c>
      <c r="B249" s="665"/>
      <c r="C249" s="665"/>
      <c r="D249" s="665"/>
      <c r="E249" s="665"/>
      <c r="F249" s="665"/>
      <c r="G249" s="665"/>
      <c r="H249" s="665"/>
      <c r="I249" s="665"/>
      <c r="J249" s="665"/>
      <c r="K249" s="665"/>
      <c r="L249" s="665"/>
      <c r="M249" s="665"/>
      <c r="N249" s="665"/>
      <c r="O249" s="665"/>
      <c r="P249" s="665"/>
      <c r="Q249" s="665"/>
      <c r="R249" s="665"/>
      <c r="S249" s="665"/>
      <c r="T249" s="665"/>
      <c r="U249" s="665"/>
      <c r="V249" s="665"/>
      <c r="W249" s="665"/>
      <c r="X249" s="665"/>
      <c r="Y249" s="665"/>
      <c r="Z249" s="665"/>
      <c r="AA249" s="66"/>
      <c r="AB249" s="66"/>
      <c r="AC249" s="80"/>
    </row>
    <row r="250" spans="1:68" ht="27" hidden="1" customHeight="1" x14ac:dyDescent="0.25">
      <c r="A250" s="63" t="s">
        <v>430</v>
      </c>
      <c r="B250" s="63" t="s">
        <v>431</v>
      </c>
      <c r="C250" s="36">
        <v>4301032053</v>
      </c>
      <c r="D250" s="666">
        <v>4680115886780</v>
      </c>
      <c r="E250" s="666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340</v>
      </c>
      <c r="L250" s="37" t="s">
        <v>46</v>
      </c>
      <c r="M250" s="38" t="s">
        <v>282</v>
      </c>
      <c r="N250" s="38"/>
      <c r="O250" s="37">
        <v>60</v>
      </c>
      <c r="P250" s="8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68"/>
      <c r="R250" s="668"/>
      <c r="S250" s="668"/>
      <c r="T250" s="669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432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433</v>
      </c>
      <c r="B251" s="63" t="s">
        <v>434</v>
      </c>
      <c r="C251" s="36">
        <v>4301032051</v>
      </c>
      <c r="D251" s="666">
        <v>4680115886742</v>
      </c>
      <c r="E251" s="666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340</v>
      </c>
      <c r="L251" s="37" t="s">
        <v>46</v>
      </c>
      <c r="M251" s="38" t="s">
        <v>282</v>
      </c>
      <c r="N251" s="38"/>
      <c r="O251" s="37">
        <v>90</v>
      </c>
      <c r="P251" s="82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68"/>
      <c r="R251" s="668"/>
      <c r="S251" s="668"/>
      <c r="T251" s="669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435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436</v>
      </c>
      <c r="B252" s="63" t="s">
        <v>437</v>
      </c>
      <c r="C252" s="36">
        <v>4301032052</v>
      </c>
      <c r="D252" s="666">
        <v>4680115886766</v>
      </c>
      <c r="E252" s="666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340</v>
      </c>
      <c r="L252" s="37" t="s">
        <v>46</v>
      </c>
      <c r="M252" s="38" t="s">
        <v>282</v>
      </c>
      <c r="N252" s="38"/>
      <c r="O252" s="37">
        <v>90</v>
      </c>
      <c r="P252" s="8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68"/>
      <c r="R252" s="668"/>
      <c r="S252" s="668"/>
      <c r="T252" s="669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435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2" t="s">
        <v>39</v>
      </c>
      <c r="X253" s="43">
        <f>IFERROR(X250/H250,"0")+IFERROR(X251/H251,"0")+IFERROR(X252/H252,"0")</f>
        <v>0</v>
      </c>
      <c r="Y253" s="43">
        <f>IFERROR(Y250/H250,"0")+IFERROR(Y251/H251,"0")+IFERROR(Y252/H252,"0")</f>
        <v>0</v>
      </c>
      <c r="Z253" s="43">
        <f>IFERROR(IF(Z250="",0,Z250),"0")+IFERROR(IF(Z251="",0,Z251),"0")+IFERROR(IF(Z252="",0,Z252),"0")</f>
        <v>0</v>
      </c>
      <c r="AA253" s="67"/>
      <c r="AB253" s="67"/>
      <c r="AC253" s="67"/>
    </row>
    <row r="254" spans="1:68" hidden="1" x14ac:dyDescent="0.2">
      <c r="A254" s="656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3" t="s">
        <v>40</v>
      </c>
      <c r="Q254" s="654"/>
      <c r="R254" s="654"/>
      <c r="S254" s="654"/>
      <c r="T254" s="654"/>
      <c r="U254" s="654"/>
      <c r="V254" s="655"/>
      <c r="W254" s="42" t="s">
        <v>0</v>
      </c>
      <c r="X254" s="43">
        <f>IFERROR(SUM(X250:X252),"0")</f>
        <v>0</v>
      </c>
      <c r="Y254" s="43">
        <f>IFERROR(SUM(Y250:Y252),"0")</f>
        <v>0</v>
      </c>
      <c r="Z254" s="42"/>
      <c r="AA254" s="67"/>
      <c r="AB254" s="67"/>
      <c r="AC254" s="67"/>
    </row>
    <row r="255" spans="1:68" ht="14.25" hidden="1" customHeight="1" x14ac:dyDescent="0.25">
      <c r="A255" s="665" t="s">
        <v>438</v>
      </c>
      <c r="B255" s="665"/>
      <c r="C255" s="665"/>
      <c r="D255" s="665"/>
      <c r="E255" s="665"/>
      <c r="F255" s="665"/>
      <c r="G255" s="665"/>
      <c r="H255" s="665"/>
      <c r="I255" s="665"/>
      <c r="J255" s="665"/>
      <c r="K255" s="665"/>
      <c r="L255" s="665"/>
      <c r="M255" s="665"/>
      <c r="N255" s="665"/>
      <c r="O255" s="665"/>
      <c r="P255" s="665"/>
      <c r="Q255" s="665"/>
      <c r="R255" s="665"/>
      <c r="S255" s="665"/>
      <c r="T255" s="665"/>
      <c r="U255" s="665"/>
      <c r="V255" s="665"/>
      <c r="W255" s="665"/>
      <c r="X255" s="665"/>
      <c r="Y255" s="665"/>
      <c r="Z255" s="665"/>
      <c r="AA255" s="66"/>
      <c r="AB255" s="66"/>
      <c r="AC255" s="80"/>
    </row>
    <row r="256" spans="1:68" ht="27" hidden="1" customHeight="1" x14ac:dyDescent="0.25">
      <c r="A256" s="63" t="s">
        <v>439</v>
      </c>
      <c r="B256" s="63" t="s">
        <v>440</v>
      </c>
      <c r="C256" s="36">
        <v>4301170013</v>
      </c>
      <c r="D256" s="666">
        <v>4680115886797</v>
      </c>
      <c r="E256" s="666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340</v>
      </c>
      <c r="L256" s="37" t="s">
        <v>46</v>
      </c>
      <c r="M256" s="38" t="s">
        <v>282</v>
      </c>
      <c r="N256" s="38"/>
      <c r="O256" s="37">
        <v>90</v>
      </c>
      <c r="P256" s="82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68"/>
      <c r="R256" s="668"/>
      <c r="S256" s="668"/>
      <c r="T256" s="669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48" t="s">
        <v>435</v>
      </c>
      <c r="AG256" s="78"/>
      <c r="AJ256" s="84" t="s">
        <v>46</v>
      </c>
      <c r="AK256" s="84">
        <v>0</v>
      </c>
      <c r="BB256" s="349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56"/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7"/>
      <c r="P257" s="653" t="s">
        <v>40</v>
      </c>
      <c r="Q257" s="654"/>
      <c r="R257" s="654"/>
      <c r="S257" s="654"/>
      <c r="T257" s="654"/>
      <c r="U257" s="654"/>
      <c r="V257" s="655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6.5" hidden="1" customHeight="1" x14ac:dyDescent="0.25">
      <c r="A259" s="672" t="s">
        <v>441</v>
      </c>
      <c r="B259" s="672"/>
      <c r="C259" s="672"/>
      <c r="D259" s="672"/>
      <c r="E259" s="672"/>
      <c r="F259" s="672"/>
      <c r="G259" s="672"/>
      <c r="H259" s="672"/>
      <c r="I259" s="672"/>
      <c r="J259" s="672"/>
      <c r="K259" s="672"/>
      <c r="L259" s="672"/>
      <c r="M259" s="672"/>
      <c r="N259" s="672"/>
      <c r="O259" s="672"/>
      <c r="P259" s="672"/>
      <c r="Q259" s="672"/>
      <c r="R259" s="672"/>
      <c r="S259" s="672"/>
      <c r="T259" s="672"/>
      <c r="U259" s="672"/>
      <c r="V259" s="672"/>
      <c r="W259" s="672"/>
      <c r="X259" s="672"/>
      <c r="Y259" s="672"/>
      <c r="Z259" s="672"/>
      <c r="AA259" s="65"/>
      <c r="AB259" s="65"/>
      <c r="AC259" s="79"/>
    </row>
    <row r="260" spans="1:68" ht="14.25" hidden="1" customHeight="1" x14ac:dyDescent="0.25">
      <c r="A260" s="665" t="s">
        <v>122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6"/>
      <c r="AB260" s="66"/>
      <c r="AC260" s="80"/>
    </row>
    <row r="261" spans="1:68" ht="27" hidden="1" customHeight="1" x14ac:dyDescent="0.25">
      <c r="A261" s="63" t="s">
        <v>442</v>
      </c>
      <c r="B261" s="63" t="s">
        <v>443</v>
      </c>
      <c r="C261" s="36">
        <v>4301011450</v>
      </c>
      <c r="D261" s="666">
        <v>4680115881402</v>
      </c>
      <c r="E261" s="666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55</v>
      </c>
      <c r="P261" s="81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68"/>
      <c r="R261" s="668"/>
      <c r="S261" s="668"/>
      <c r="T261" s="669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444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4301011768</v>
      </c>
      <c r="D262" s="666">
        <v>4680115881396</v>
      </c>
      <c r="E262" s="666"/>
      <c r="F262" s="62">
        <v>0.45</v>
      </c>
      <c r="G262" s="37">
        <v>6</v>
      </c>
      <c r="H262" s="62">
        <v>2.7</v>
      </c>
      <c r="I262" s="62">
        <v>2.88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55</v>
      </c>
      <c r="P262" s="81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68"/>
      <c r="R262" s="668"/>
      <c r="S262" s="668"/>
      <c r="T262" s="669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444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656"/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7"/>
      <c r="P263" s="653" t="s">
        <v>40</v>
      </c>
      <c r="Q263" s="654"/>
      <c r="R263" s="654"/>
      <c r="S263" s="654"/>
      <c r="T263" s="654"/>
      <c r="U263" s="654"/>
      <c r="V263" s="655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65" t="s">
        <v>159</v>
      </c>
      <c r="B265" s="665"/>
      <c r="C265" s="665"/>
      <c r="D265" s="665"/>
      <c r="E265" s="665"/>
      <c r="F265" s="665"/>
      <c r="G265" s="665"/>
      <c r="H265" s="665"/>
      <c r="I265" s="665"/>
      <c r="J265" s="665"/>
      <c r="K265" s="665"/>
      <c r="L265" s="665"/>
      <c r="M265" s="665"/>
      <c r="N265" s="665"/>
      <c r="O265" s="665"/>
      <c r="P265" s="665"/>
      <c r="Q265" s="665"/>
      <c r="R265" s="665"/>
      <c r="S265" s="665"/>
      <c r="T265" s="665"/>
      <c r="U265" s="665"/>
      <c r="V265" s="665"/>
      <c r="W265" s="665"/>
      <c r="X265" s="665"/>
      <c r="Y265" s="665"/>
      <c r="Z265" s="665"/>
      <c r="AA265" s="66"/>
      <c r="AB265" s="66"/>
      <c r="AC265" s="80"/>
    </row>
    <row r="266" spans="1:68" ht="16.5" hidden="1" customHeight="1" x14ac:dyDescent="0.25">
      <c r="A266" s="63" t="s">
        <v>447</v>
      </c>
      <c r="B266" s="63" t="s">
        <v>448</v>
      </c>
      <c r="C266" s="36">
        <v>4301020261</v>
      </c>
      <c r="D266" s="666">
        <v>4680115882935</v>
      </c>
      <c r="E266" s="666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50</v>
      </c>
      <c r="P266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68"/>
      <c r="R266" s="668"/>
      <c r="S266" s="668"/>
      <c r="T266" s="669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54" t="s">
        <v>449</v>
      </c>
      <c r="AG266" s="78"/>
      <c r="AJ266" s="84" t="s">
        <v>46</v>
      </c>
      <c r="AK266" s="84">
        <v>0</v>
      </c>
      <c r="BB266" s="355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16.5" hidden="1" customHeight="1" x14ac:dyDescent="0.25">
      <c r="A267" s="63" t="s">
        <v>450</v>
      </c>
      <c r="B267" s="63" t="s">
        <v>451</v>
      </c>
      <c r="C267" s="36">
        <v>4301020220</v>
      </c>
      <c r="D267" s="666">
        <v>4680115880764</v>
      </c>
      <c r="E267" s="666"/>
      <c r="F267" s="62">
        <v>0.35</v>
      </c>
      <c r="G267" s="37">
        <v>6</v>
      </c>
      <c r="H267" s="62">
        <v>2.1</v>
      </c>
      <c r="I267" s="62">
        <v>2.2799999999999998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50</v>
      </c>
      <c r="P267" s="82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68"/>
      <c r="R267" s="668"/>
      <c r="S267" s="668"/>
      <c r="T267" s="669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56" t="s">
        <v>449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56"/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7"/>
      <c r="P268" s="653" t="s">
        <v>40</v>
      </c>
      <c r="Q268" s="654"/>
      <c r="R268" s="654"/>
      <c r="S268" s="654"/>
      <c r="T268" s="654"/>
      <c r="U268" s="654"/>
      <c r="V268" s="655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65" t="s">
        <v>77</v>
      </c>
      <c r="B270" s="665"/>
      <c r="C270" s="665"/>
      <c r="D270" s="665"/>
      <c r="E270" s="665"/>
      <c r="F270" s="665"/>
      <c r="G270" s="665"/>
      <c r="H270" s="665"/>
      <c r="I270" s="665"/>
      <c r="J270" s="665"/>
      <c r="K270" s="665"/>
      <c r="L270" s="665"/>
      <c r="M270" s="665"/>
      <c r="N270" s="665"/>
      <c r="O270" s="665"/>
      <c r="P270" s="665"/>
      <c r="Q270" s="665"/>
      <c r="R270" s="665"/>
      <c r="S270" s="665"/>
      <c r="T270" s="665"/>
      <c r="U270" s="665"/>
      <c r="V270" s="665"/>
      <c r="W270" s="665"/>
      <c r="X270" s="665"/>
      <c r="Y270" s="665"/>
      <c r="Z270" s="665"/>
      <c r="AA270" s="66"/>
      <c r="AB270" s="66"/>
      <c r="AC270" s="80"/>
    </row>
    <row r="271" spans="1:68" ht="27" hidden="1" customHeight="1" x14ac:dyDescent="0.25">
      <c r="A271" s="63" t="s">
        <v>452</v>
      </c>
      <c r="B271" s="63" t="s">
        <v>453</v>
      </c>
      <c r="C271" s="36">
        <v>4301031224</v>
      </c>
      <c r="D271" s="666">
        <v>4680115882683</v>
      </c>
      <c r="E271" s="666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68"/>
      <c r="R271" s="668"/>
      <c r="S271" s="668"/>
      <c r="T271" s="669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ref="Y271:Y278" si="38">IFERROR(IF(X271="",0,CEILING((X271/$H271),1)*$H271),"")</f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8" t="s">
        <v>454</v>
      </c>
      <c r="AG271" s="78"/>
      <c r="AJ271" s="84" t="s">
        <v>46</v>
      </c>
      <c r="AK271" s="84">
        <v>0</v>
      </c>
      <c r="BB271" s="359" t="s">
        <v>67</v>
      </c>
      <c r="BM271" s="78">
        <f t="shared" ref="BM271:BM278" si="39">IFERROR(X271*I271/H271,"0")</f>
        <v>0</v>
      </c>
      <c r="BN271" s="78">
        <f t="shared" ref="BN271:BN278" si="40">IFERROR(Y271*I271/H271,"0")</f>
        <v>0</v>
      </c>
      <c r="BO271" s="78">
        <f t="shared" ref="BO271:BO278" si="41">IFERROR(1/J271*(X271/H271),"0")</f>
        <v>0</v>
      </c>
      <c r="BP271" s="78">
        <f t="shared" ref="BP271:BP278" si="42">IFERROR(1/J271*(Y271/H271),"0")</f>
        <v>0</v>
      </c>
    </row>
    <row r="272" spans="1:68" ht="27" hidden="1" customHeight="1" x14ac:dyDescent="0.25">
      <c r="A272" s="63" t="s">
        <v>455</v>
      </c>
      <c r="B272" s="63" t="s">
        <v>456</v>
      </c>
      <c r="C272" s="36">
        <v>4301031230</v>
      </c>
      <c r="D272" s="666">
        <v>4680115882690</v>
      </c>
      <c r="E272" s="666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68"/>
      <c r="R272" s="668"/>
      <c r="S272" s="668"/>
      <c r="T272" s="669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457</v>
      </c>
      <c r="AG272" s="78"/>
      <c r="AJ272" s="84" t="s">
        <v>46</v>
      </c>
      <c r="AK272" s="84">
        <v>0</v>
      </c>
      <c r="BB272" s="361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458</v>
      </c>
      <c r="B273" s="63" t="s">
        <v>459</v>
      </c>
      <c r="C273" s="36">
        <v>4301031220</v>
      </c>
      <c r="D273" s="666">
        <v>4680115882669</v>
      </c>
      <c r="E273" s="666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68"/>
      <c r="R273" s="668"/>
      <c r="S273" s="668"/>
      <c r="T273" s="669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ht="27" hidden="1" customHeight="1" x14ac:dyDescent="0.25">
      <c r="A274" s="63" t="s">
        <v>461</v>
      </c>
      <c r="B274" s="63" t="s">
        <v>462</v>
      </c>
      <c r="C274" s="36">
        <v>4301031221</v>
      </c>
      <c r="D274" s="666">
        <v>4680115882676</v>
      </c>
      <c r="E274" s="666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68"/>
      <c r="R274" s="668"/>
      <c r="S274" s="668"/>
      <c r="T274" s="669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8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67</v>
      </c>
      <c r="BM274" s="78">
        <f t="shared" si="39"/>
        <v>0</v>
      </c>
      <c r="BN274" s="78">
        <f t="shared" si="40"/>
        <v>0</v>
      </c>
      <c r="BO274" s="78">
        <f t="shared" si="41"/>
        <v>0</v>
      </c>
      <c r="BP274" s="78">
        <f t="shared" si="42"/>
        <v>0</v>
      </c>
    </row>
    <row r="275" spans="1:68" ht="27" hidden="1" customHeight="1" x14ac:dyDescent="0.25">
      <c r="A275" s="63" t="s">
        <v>464</v>
      </c>
      <c r="B275" s="63" t="s">
        <v>465</v>
      </c>
      <c r="C275" s="36">
        <v>4301031223</v>
      </c>
      <c r="D275" s="666">
        <v>4680115884014</v>
      </c>
      <c r="E275" s="666"/>
      <c r="F275" s="62">
        <v>0.3</v>
      </c>
      <c r="G275" s="37">
        <v>6</v>
      </c>
      <c r="H275" s="62">
        <v>1.8</v>
      </c>
      <c r="I275" s="62">
        <v>1.93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68"/>
      <c r="R275" s="668"/>
      <c r="S275" s="668"/>
      <c r="T275" s="669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8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454</v>
      </c>
      <c r="AG275" s="78"/>
      <c r="AJ275" s="84" t="s">
        <v>46</v>
      </c>
      <c r="AK275" s="84">
        <v>0</v>
      </c>
      <c r="BB275" s="367" t="s">
        <v>67</v>
      </c>
      <c r="BM275" s="78">
        <f t="shared" si="39"/>
        <v>0</v>
      </c>
      <c r="BN275" s="78">
        <f t="shared" si="40"/>
        <v>0</v>
      </c>
      <c r="BO275" s="78">
        <f t="shared" si="41"/>
        <v>0</v>
      </c>
      <c r="BP275" s="78">
        <f t="shared" si="42"/>
        <v>0</v>
      </c>
    </row>
    <row r="276" spans="1:68" ht="27" hidden="1" customHeight="1" x14ac:dyDescent="0.25">
      <c r="A276" s="63" t="s">
        <v>466</v>
      </c>
      <c r="B276" s="63" t="s">
        <v>467</v>
      </c>
      <c r="C276" s="36">
        <v>4301031222</v>
      </c>
      <c r="D276" s="666">
        <v>4680115884007</v>
      </c>
      <c r="E276" s="666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1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68"/>
      <c r="R276" s="668"/>
      <c r="S276" s="668"/>
      <c r="T276" s="669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8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457</v>
      </c>
      <c r="AG276" s="78"/>
      <c r="AJ276" s="84" t="s">
        <v>46</v>
      </c>
      <c r="AK276" s="84">
        <v>0</v>
      </c>
      <c r="BB276" s="369" t="s">
        <v>67</v>
      </c>
      <c r="BM276" s="78">
        <f t="shared" si="39"/>
        <v>0</v>
      </c>
      <c r="BN276" s="78">
        <f t="shared" si="40"/>
        <v>0</v>
      </c>
      <c r="BO276" s="78">
        <f t="shared" si="41"/>
        <v>0</v>
      </c>
      <c r="BP276" s="78">
        <f t="shared" si="42"/>
        <v>0</v>
      </c>
    </row>
    <row r="277" spans="1:68" ht="27" hidden="1" customHeight="1" x14ac:dyDescent="0.25">
      <c r="A277" s="63" t="s">
        <v>468</v>
      </c>
      <c r="B277" s="63" t="s">
        <v>469</v>
      </c>
      <c r="C277" s="36">
        <v>4301031229</v>
      </c>
      <c r="D277" s="666">
        <v>4680115884038</v>
      </c>
      <c r="E277" s="666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1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68"/>
      <c r="R277" s="668"/>
      <c r="S277" s="668"/>
      <c r="T277" s="669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8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460</v>
      </c>
      <c r="AG277" s="78"/>
      <c r="AJ277" s="84" t="s">
        <v>46</v>
      </c>
      <c r="AK277" s="84">
        <v>0</v>
      </c>
      <c r="BB277" s="371" t="s">
        <v>67</v>
      </c>
      <c r="BM277" s="78">
        <f t="shared" si="39"/>
        <v>0</v>
      </c>
      <c r="BN277" s="78">
        <f t="shared" si="40"/>
        <v>0</v>
      </c>
      <c r="BO277" s="78">
        <f t="shared" si="41"/>
        <v>0</v>
      </c>
      <c r="BP277" s="78">
        <f t="shared" si="42"/>
        <v>0</v>
      </c>
    </row>
    <row r="278" spans="1:68" ht="27" hidden="1" customHeight="1" x14ac:dyDescent="0.25">
      <c r="A278" s="63" t="s">
        <v>470</v>
      </c>
      <c r="B278" s="63" t="s">
        <v>471</v>
      </c>
      <c r="C278" s="36">
        <v>4301031225</v>
      </c>
      <c r="D278" s="666">
        <v>4680115884021</v>
      </c>
      <c r="E278" s="666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68"/>
      <c r="R278" s="668"/>
      <c r="S278" s="668"/>
      <c r="T278" s="669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8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463</v>
      </c>
      <c r="AG278" s="78"/>
      <c r="AJ278" s="84" t="s">
        <v>46</v>
      </c>
      <c r="AK278" s="84">
        <v>0</v>
      </c>
      <c r="BB278" s="373" t="s">
        <v>67</v>
      </c>
      <c r="BM278" s="78">
        <f t="shared" si="39"/>
        <v>0</v>
      </c>
      <c r="BN278" s="78">
        <f t="shared" si="40"/>
        <v>0</v>
      </c>
      <c r="BO278" s="78">
        <f t="shared" si="41"/>
        <v>0</v>
      </c>
      <c r="BP278" s="78">
        <f t="shared" si="42"/>
        <v>0</v>
      </c>
    </row>
    <row r="279" spans="1:68" hidden="1" x14ac:dyDescent="0.2">
      <c r="A279" s="656"/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7"/>
      <c r="P279" s="653" t="s">
        <v>40</v>
      </c>
      <c r="Q279" s="654"/>
      <c r="R279" s="654"/>
      <c r="S279" s="654"/>
      <c r="T279" s="654"/>
      <c r="U279" s="654"/>
      <c r="V279" s="655"/>
      <c r="W279" s="42" t="s">
        <v>39</v>
      </c>
      <c r="X279" s="43">
        <f>IFERROR(X271/H271,"0")+IFERROR(X272/H272,"0")+IFERROR(X273/H273,"0")+IFERROR(X274/H274,"0")+IFERROR(X275/H275,"0")+IFERROR(X276/H276,"0")+IFERROR(X277/H277,"0")+IFERROR(X278/H278,"0")</f>
        <v>0</v>
      </c>
      <c r="Y279" s="43">
        <f>IFERROR(Y271/H271,"0")+IFERROR(Y272/H272,"0")+IFERROR(Y273/H273,"0")+IFERROR(Y274/H274,"0")+IFERROR(Y275/H275,"0")+IFERROR(Y276/H276,"0")+IFERROR(Y277/H277,"0")+IFERROR(Y278/H278,"0")</f>
        <v>0</v>
      </c>
      <c r="Z279" s="43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</v>
      </c>
      <c r="AA279" s="67"/>
      <c r="AB279" s="67"/>
      <c r="AC279" s="67"/>
    </row>
    <row r="280" spans="1:68" hidden="1" x14ac:dyDescent="0.2">
      <c r="A280" s="656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3" t="s">
        <v>40</v>
      </c>
      <c r="Q280" s="654"/>
      <c r="R280" s="654"/>
      <c r="S280" s="654"/>
      <c r="T280" s="654"/>
      <c r="U280" s="654"/>
      <c r="V280" s="655"/>
      <c r="W280" s="42" t="s">
        <v>0</v>
      </c>
      <c r="X280" s="43">
        <f>IFERROR(SUM(X271:X278),"0")</f>
        <v>0</v>
      </c>
      <c r="Y280" s="43">
        <f>IFERROR(SUM(Y271:Y278),"0")</f>
        <v>0</v>
      </c>
      <c r="Z280" s="42"/>
      <c r="AA280" s="67"/>
      <c r="AB280" s="67"/>
      <c r="AC280" s="67"/>
    </row>
    <row r="281" spans="1:68" ht="14.25" hidden="1" customHeight="1" x14ac:dyDescent="0.25">
      <c r="A281" s="665" t="s">
        <v>86</v>
      </c>
      <c r="B281" s="665"/>
      <c r="C281" s="665"/>
      <c r="D281" s="665"/>
      <c r="E281" s="665"/>
      <c r="F281" s="665"/>
      <c r="G281" s="665"/>
      <c r="H281" s="665"/>
      <c r="I281" s="665"/>
      <c r="J281" s="665"/>
      <c r="K281" s="665"/>
      <c r="L281" s="665"/>
      <c r="M281" s="665"/>
      <c r="N281" s="665"/>
      <c r="O281" s="665"/>
      <c r="P281" s="665"/>
      <c r="Q281" s="665"/>
      <c r="R281" s="665"/>
      <c r="S281" s="665"/>
      <c r="T281" s="665"/>
      <c r="U281" s="665"/>
      <c r="V281" s="665"/>
      <c r="W281" s="665"/>
      <c r="X281" s="665"/>
      <c r="Y281" s="665"/>
      <c r="Z281" s="665"/>
      <c r="AA281" s="66"/>
      <c r="AB281" s="66"/>
      <c r="AC281" s="80"/>
    </row>
    <row r="282" spans="1:68" ht="27" hidden="1" customHeight="1" x14ac:dyDescent="0.25">
      <c r="A282" s="63" t="s">
        <v>472</v>
      </c>
      <c r="B282" s="63" t="s">
        <v>473</v>
      </c>
      <c r="C282" s="36">
        <v>4301051408</v>
      </c>
      <c r="D282" s="666">
        <v>4680115881594</v>
      </c>
      <c r="E282" s="666"/>
      <c r="F282" s="62">
        <v>1.35</v>
      </c>
      <c r="G282" s="37">
        <v>6</v>
      </c>
      <c r="H282" s="62">
        <v>8.1</v>
      </c>
      <c r="I282" s="62">
        <v>8.5939999999999994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40</v>
      </c>
      <c r="P282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68"/>
      <c r="R282" s="668"/>
      <c r="S282" s="668"/>
      <c r="T282" s="669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ref="Y282:Y293" si="43"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474</v>
      </c>
      <c r="AG282" s="78"/>
      <c r="AJ282" s="84" t="s">
        <v>46</v>
      </c>
      <c r="AK282" s="84">
        <v>0</v>
      </c>
      <c r="BB282" s="375" t="s">
        <v>67</v>
      </c>
      <c r="BM282" s="78">
        <f t="shared" ref="BM282:BM293" si="44">IFERROR(X282*I282/H282,"0")</f>
        <v>0</v>
      </c>
      <c r="BN282" s="78">
        <f t="shared" ref="BN282:BN293" si="45">IFERROR(Y282*I282/H282,"0")</f>
        <v>0</v>
      </c>
      <c r="BO282" s="78">
        <f t="shared" ref="BO282:BO293" si="46">IFERROR(1/J282*(X282/H282),"0")</f>
        <v>0</v>
      </c>
      <c r="BP282" s="78">
        <f t="shared" ref="BP282:BP293" si="47">IFERROR(1/J282*(Y282/H282),"0")</f>
        <v>0</v>
      </c>
    </row>
    <row r="283" spans="1:68" ht="27" hidden="1" customHeight="1" x14ac:dyDescent="0.25">
      <c r="A283" s="63" t="s">
        <v>475</v>
      </c>
      <c r="B283" s="63" t="s">
        <v>476</v>
      </c>
      <c r="C283" s="36">
        <v>4301051411</v>
      </c>
      <c r="D283" s="666">
        <v>4680115881617</v>
      </c>
      <c r="E283" s="666"/>
      <c r="F283" s="62">
        <v>1.35</v>
      </c>
      <c r="G283" s="37">
        <v>6</v>
      </c>
      <c r="H283" s="62">
        <v>8.1</v>
      </c>
      <c r="I283" s="62">
        <v>8.5760000000000005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68"/>
      <c r="R283" s="668"/>
      <c r="S283" s="668"/>
      <c r="T283" s="669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477</v>
      </c>
      <c r="AG283" s="78"/>
      <c r="AJ283" s="84" t="s">
        <v>46</v>
      </c>
      <c r="AK283" s="84">
        <v>0</v>
      </c>
      <c r="BB283" s="377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478</v>
      </c>
      <c r="B284" s="63" t="s">
        <v>479</v>
      </c>
      <c r="C284" s="36">
        <v>4301051656</v>
      </c>
      <c r="D284" s="666">
        <v>4680115880573</v>
      </c>
      <c r="E284" s="666"/>
      <c r="F284" s="62">
        <v>1.45</v>
      </c>
      <c r="G284" s="37">
        <v>6</v>
      </c>
      <c r="H284" s="62">
        <v>8.6999999999999993</v>
      </c>
      <c r="I284" s="62">
        <v>9.1940000000000008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68"/>
      <c r="R284" s="668"/>
      <c r="S284" s="668"/>
      <c r="T284" s="669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481</v>
      </c>
      <c r="B285" s="63" t="s">
        <v>482</v>
      </c>
      <c r="C285" s="36">
        <v>4301051407</v>
      </c>
      <c r="D285" s="666">
        <v>4680115882195</v>
      </c>
      <c r="E285" s="666"/>
      <c r="F285" s="62">
        <v>0.4</v>
      </c>
      <c r="G285" s="37">
        <v>6</v>
      </c>
      <c r="H285" s="62">
        <v>2.4</v>
      </c>
      <c r="I285" s="62">
        <v>2.67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40</v>
      </c>
      <c r="P285" s="8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68"/>
      <c r="R285" s="668"/>
      <c r="S285" s="668"/>
      <c r="T285" s="669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474</v>
      </c>
      <c r="AG285" s="78"/>
      <c r="AJ285" s="84" t="s">
        <v>46</v>
      </c>
      <c r="AK285" s="84">
        <v>0</v>
      </c>
      <c r="BB285" s="381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483</v>
      </c>
      <c r="B286" s="63" t="s">
        <v>484</v>
      </c>
      <c r="C286" s="36">
        <v>4301051752</v>
      </c>
      <c r="D286" s="666">
        <v>4680115882607</v>
      </c>
      <c r="E286" s="666"/>
      <c r="F286" s="62">
        <v>0.3</v>
      </c>
      <c r="G286" s="37">
        <v>6</v>
      </c>
      <c r="H286" s="62">
        <v>1.8</v>
      </c>
      <c r="I286" s="62">
        <v>2.052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45</v>
      </c>
      <c r="P286" s="80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68"/>
      <c r="R286" s="668"/>
      <c r="S286" s="668"/>
      <c r="T286" s="669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480</v>
      </c>
      <c r="AG286" s="78"/>
      <c r="AJ286" s="84" t="s">
        <v>46</v>
      </c>
      <c r="AK286" s="84">
        <v>0</v>
      </c>
      <c r="BB286" s="383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485</v>
      </c>
      <c r="B287" s="63" t="s">
        <v>486</v>
      </c>
      <c r="C287" s="36">
        <v>4301052143</v>
      </c>
      <c r="D287" s="666">
        <v>4680115882607</v>
      </c>
      <c r="E287" s="666"/>
      <c r="F287" s="62">
        <v>0.3</v>
      </c>
      <c r="G287" s="37">
        <v>6</v>
      </c>
      <c r="H287" s="62">
        <v>1.8</v>
      </c>
      <c r="I287" s="62">
        <v>2.0619999999999998</v>
      </c>
      <c r="J287" s="37">
        <v>132</v>
      </c>
      <c r="K287" s="37" t="s">
        <v>134</v>
      </c>
      <c r="L287" s="37" t="s">
        <v>46</v>
      </c>
      <c r="M287" s="38" t="s">
        <v>90</v>
      </c>
      <c r="N287" s="38"/>
      <c r="O287" s="37">
        <v>45</v>
      </c>
      <c r="P287" s="81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68"/>
      <c r="R287" s="668"/>
      <c r="S287" s="668"/>
      <c r="T287" s="669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IFERROR(IF(Y287=0,"",ROUNDUP(Y287/H287,0)*0.00902),"")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488</v>
      </c>
      <c r="B288" s="63" t="s">
        <v>489</v>
      </c>
      <c r="C288" s="36">
        <v>4301051666</v>
      </c>
      <c r="D288" s="666">
        <v>4680115880092</v>
      </c>
      <c r="E288" s="666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68"/>
      <c r="R288" s="668"/>
      <c r="S288" s="668"/>
      <c r="T288" s="669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480</v>
      </c>
      <c r="AG288" s="78"/>
      <c r="AJ288" s="84" t="s">
        <v>46</v>
      </c>
      <c r="AK288" s="84">
        <v>0</v>
      </c>
      <c r="BB288" s="387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t="27" hidden="1" customHeight="1" x14ac:dyDescent="0.25">
      <c r="A289" s="63" t="s">
        <v>490</v>
      </c>
      <c r="B289" s="63" t="s">
        <v>491</v>
      </c>
      <c r="C289" s="36">
        <v>4301052214</v>
      </c>
      <c r="D289" s="666">
        <v>4680115889064</v>
      </c>
      <c r="E289" s="666"/>
      <c r="F289" s="62">
        <v>0.7</v>
      </c>
      <c r="G289" s="37">
        <v>6</v>
      </c>
      <c r="H289" s="62">
        <v>4.2</v>
      </c>
      <c r="I289" s="62">
        <v>4.6159999999999997</v>
      </c>
      <c r="J289" s="37">
        <v>104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68"/>
      <c r="R289" s="668"/>
      <c r="S289" s="668"/>
      <c r="T289" s="669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3"/>
        <v>0</v>
      </c>
      <c r="Z289" s="41" t="str">
        <f>IFERROR(IF(Y289=0,"",ROUNDUP(Y289/H289,0)*0.01196),"")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67</v>
      </c>
      <c r="BM289" s="78">
        <f t="shared" si="44"/>
        <v>0</v>
      </c>
      <c r="BN289" s="78">
        <f t="shared" si="45"/>
        <v>0</v>
      </c>
      <c r="BO289" s="78">
        <f t="shared" si="46"/>
        <v>0</v>
      </c>
      <c r="BP289" s="78">
        <f t="shared" si="47"/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4301051668</v>
      </c>
      <c r="D290" s="666">
        <v>4680115880221</v>
      </c>
      <c r="E290" s="666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45</v>
      </c>
      <c r="P290" s="7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68"/>
      <c r="R290" s="668"/>
      <c r="S290" s="668"/>
      <c r="T290" s="669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3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480</v>
      </c>
      <c r="AG290" s="78"/>
      <c r="AJ290" s="84" t="s">
        <v>46</v>
      </c>
      <c r="AK290" s="84">
        <v>0</v>
      </c>
      <c r="BB290" s="391" t="s">
        <v>67</v>
      </c>
      <c r="BM290" s="78">
        <f t="shared" si="44"/>
        <v>0</v>
      </c>
      <c r="BN290" s="78">
        <f t="shared" si="45"/>
        <v>0</v>
      </c>
      <c r="BO290" s="78">
        <f t="shared" si="46"/>
        <v>0</v>
      </c>
      <c r="BP290" s="78">
        <f t="shared" si="47"/>
        <v>0</v>
      </c>
    </row>
    <row r="291" spans="1:68" ht="27" hidden="1" customHeight="1" x14ac:dyDescent="0.25">
      <c r="A291" s="63" t="s">
        <v>494</v>
      </c>
      <c r="B291" s="63" t="s">
        <v>495</v>
      </c>
      <c r="C291" s="36">
        <v>4301051945</v>
      </c>
      <c r="D291" s="666">
        <v>4680115880504</v>
      </c>
      <c r="E291" s="666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40</v>
      </c>
      <c r="P291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68"/>
      <c r="R291" s="668"/>
      <c r="S291" s="668"/>
      <c r="T291" s="669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3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496</v>
      </c>
      <c r="AG291" s="78"/>
      <c r="AJ291" s="84" t="s">
        <v>46</v>
      </c>
      <c r="AK291" s="84">
        <v>0</v>
      </c>
      <c r="BB291" s="393" t="s">
        <v>67</v>
      </c>
      <c r="BM291" s="78">
        <f t="shared" si="44"/>
        <v>0</v>
      </c>
      <c r="BN291" s="78">
        <f t="shared" si="45"/>
        <v>0</v>
      </c>
      <c r="BO291" s="78">
        <f t="shared" si="46"/>
        <v>0</v>
      </c>
      <c r="BP291" s="78">
        <f t="shared" si="47"/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4301051410</v>
      </c>
      <c r="D292" s="666">
        <v>4680115882164</v>
      </c>
      <c r="E292" s="666"/>
      <c r="F292" s="62">
        <v>0.4</v>
      </c>
      <c r="G292" s="37">
        <v>6</v>
      </c>
      <c r="H292" s="62">
        <v>2.4</v>
      </c>
      <c r="I292" s="62">
        <v>2.6579999999999999</v>
      </c>
      <c r="J292" s="37">
        <v>182</v>
      </c>
      <c r="K292" s="37" t="s">
        <v>91</v>
      </c>
      <c r="L292" s="37" t="s">
        <v>46</v>
      </c>
      <c r="M292" s="38" t="s">
        <v>90</v>
      </c>
      <c r="N292" s="38"/>
      <c r="O292" s="37">
        <v>40</v>
      </c>
      <c r="P292" s="8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68"/>
      <c r="R292" s="668"/>
      <c r="S292" s="668"/>
      <c r="T292" s="669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3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499</v>
      </c>
      <c r="AG292" s="78"/>
      <c r="AJ292" s="84" t="s">
        <v>46</v>
      </c>
      <c r="AK292" s="84">
        <v>0</v>
      </c>
      <c r="BB292" s="395" t="s">
        <v>67</v>
      </c>
      <c r="BM292" s="78">
        <f t="shared" si="44"/>
        <v>0</v>
      </c>
      <c r="BN292" s="78">
        <f t="shared" si="45"/>
        <v>0</v>
      </c>
      <c r="BO292" s="78">
        <f t="shared" si="46"/>
        <v>0</v>
      </c>
      <c r="BP292" s="78">
        <f t="shared" si="47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4301052180</v>
      </c>
      <c r="D293" s="666">
        <v>4680115888340</v>
      </c>
      <c r="E293" s="666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0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68"/>
      <c r="R293" s="668"/>
      <c r="S293" s="668"/>
      <c r="T293" s="669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3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502</v>
      </c>
      <c r="AG293" s="78"/>
      <c r="AJ293" s="84" t="s">
        <v>46</v>
      </c>
      <c r="AK293" s="84">
        <v>0</v>
      </c>
      <c r="BB293" s="397" t="s">
        <v>67</v>
      </c>
      <c r="BM293" s="78">
        <f t="shared" si="44"/>
        <v>0</v>
      </c>
      <c r="BN293" s="78">
        <f t="shared" si="45"/>
        <v>0</v>
      </c>
      <c r="BO293" s="78">
        <f t="shared" si="46"/>
        <v>0</v>
      </c>
      <c r="BP293" s="78">
        <f t="shared" si="47"/>
        <v>0</v>
      </c>
    </row>
    <row r="294" spans="1:68" hidden="1" x14ac:dyDescent="0.2">
      <c r="A294" s="656"/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7"/>
      <c r="P294" s="653" t="s">
        <v>40</v>
      </c>
      <c r="Q294" s="654"/>
      <c r="R294" s="654"/>
      <c r="S294" s="654"/>
      <c r="T294" s="654"/>
      <c r="U294" s="654"/>
      <c r="V294" s="655"/>
      <c r="W294" s="42" t="s">
        <v>39</v>
      </c>
      <c r="X294" s="43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0</v>
      </c>
      <c r="Y294" s="43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0</v>
      </c>
      <c r="Z294" s="43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hidden="1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2" t="s">
        <v>0</v>
      </c>
      <c r="X295" s="43">
        <f>IFERROR(SUM(X282:X293),"0")</f>
        <v>0</v>
      </c>
      <c r="Y295" s="43">
        <f>IFERROR(SUM(Y282:Y293),"0")</f>
        <v>0</v>
      </c>
      <c r="Z295" s="42"/>
      <c r="AA295" s="67"/>
      <c r="AB295" s="67"/>
      <c r="AC295" s="67"/>
    </row>
    <row r="296" spans="1:68" ht="14.25" hidden="1" customHeight="1" x14ac:dyDescent="0.25">
      <c r="A296" s="665" t="s">
        <v>178</v>
      </c>
      <c r="B296" s="665"/>
      <c r="C296" s="665"/>
      <c r="D296" s="665"/>
      <c r="E296" s="665"/>
      <c r="F296" s="665"/>
      <c r="G296" s="665"/>
      <c r="H296" s="665"/>
      <c r="I296" s="665"/>
      <c r="J296" s="665"/>
      <c r="K296" s="665"/>
      <c r="L296" s="665"/>
      <c r="M296" s="665"/>
      <c r="N296" s="665"/>
      <c r="O296" s="665"/>
      <c r="P296" s="665"/>
      <c r="Q296" s="665"/>
      <c r="R296" s="665"/>
      <c r="S296" s="665"/>
      <c r="T296" s="665"/>
      <c r="U296" s="665"/>
      <c r="V296" s="665"/>
      <c r="W296" s="665"/>
      <c r="X296" s="665"/>
      <c r="Y296" s="665"/>
      <c r="Z296" s="665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4301060463</v>
      </c>
      <c r="D297" s="666">
        <v>4680115880818</v>
      </c>
      <c r="E297" s="666"/>
      <c r="F297" s="62">
        <v>0.4</v>
      </c>
      <c r="G297" s="37">
        <v>6</v>
      </c>
      <c r="H297" s="62">
        <v>2.4</v>
      </c>
      <c r="I297" s="62">
        <v>2.6520000000000001</v>
      </c>
      <c r="J297" s="37">
        <v>182</v>
      </c>
      <c r="K297" s="37" t="s">
        <v>91</v>
      </c>
      <c r="L297" s="37" t="s">
        <v>46</v>
      </c>
      <c r="M297" s="38" t="s">
        <v>97</v>
      </c>
      <c r="N297" s="38"/>
      <c r="O297" s="37">
        <v>40</v>
      </c>
      <c r="P297" s="8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68"/>
      <c r="R297" s="668"/>
      <c r="S297" s="668"/>
      <c r="T297" s="669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8" t="s">
        <v>505</v>
      </c>
      <c r="AG297" s="78"/>
      <c r="AJ297" s="84" t="s">
        <v>46</v>
      </c>
      <c r="AK297" s="84">
        <v>0</v>
      </c>
      <c r="BB297" s="39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hidden="1" customHeight="1" x14ac:dyDescent="0.25">
      <c r="A298" s="63" t="s">
        <v>506</v>
      </c>
      <c r="B298" s="63" t="s">
        <v>507</v>
      </c>
      <c r="C298" s="36">
        <v>4301060389</v>
      </c>
      <c r="D298" s="666">
        <v>4680115880801</v>
      </c>
      <c r="E298" s="666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40</v>
      </c>
      <c r="P298" s="7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68"/>
      <c r="R298" s="668"/>
      <c r="S298" s="668"/>
      <c r="T298" s="669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508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idden="1" x14ac:dyDescent="0.2">
      <c r="A299" s="656"/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7"/>
      <c r="P299" s="653" t="s">
        <v>40</v>
      </c>
      <c r="Q299" s="654"/>
      <c r="R299" s="654"/>
      <c r="S299" s="654"/>
      <c r="T299" s="654"/>
      <c r="U299" s="654"/>
      <c r="V299" s="655"/>
      <c r="W299" s="42" t="s">
        <v>39</v>
      </c>
      <c r="X299" s="43">
        <f>IFERROR(X297/H297,"0")+IFERROR(X298/H298,"0")</f>
        <v>0</v>
      </c>
      <c r="Y299" s="43">
        <f>IFERROR(Y297/H297,"0")+IFERROR(Y298/H298,"0")</f>
        <v>0</v>
      </c>
      <c r="Z299" s="43">
        <f>IFERROR(IF(Z297="",0,Z297),"0")+IFERROR(IF(Z298="",0,Z298),"0")</f>
        <v>0</v>
      </c>
      <c r="AA299" s="67"/>
      <c r="AB299" s="67"/>
      <c r="AC299" s="67"/>
    </row>
    <row r="300" spans="1:68" hidden="1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2" t="s">
        <v>0</v>
      </c>
      <c r="X300" s="43">
        <f>IFERROR(SUM(X297:X298),"0")</f>
        <v>0</v>
      </c>
      <c r="Y300" s="43">
        <f>IFERROR(SUM(Y297:Y298),"0")</f>
        <v>0</v>
      </c>
      <c r="Z300" s="42"/>
      <c r="AA300" s="67"/>
      <c r="AB300" s="67"/>
      <c r="AC300" s="67"/>
    </row>
    <row r="301" spans="1:68" ht="16.5" hidden="1" customHeight="1" x14ac:dyDescent="0.25">
      <c r="A301" s="672" t="s">
        <v>509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5"/>
      <c r="AB301" s="65"/>
      <c r="AC301" s="79"/>
    </row>
    <row r="302" spans="1:68" ht="14.25" hidden="1" customHeight="1" x14ac:dyDescent="0.25">
      <c r="A302" s="665" t="s">
        <v>122</v>
      </c>
      <c r="B302" s="665"/>
      <c r="C302" s="665"/>
      <c r="D302" s="665"/>
      <c r="E302" s="665"/>
      <c r="F302" s="665"/>
      <c r="G302" s="665"/>
      <c r="H302" s="665"/>
      <c r="I302" s="665"/>
      <c r="J302" s="665"/>
      <c r="K302" s="665"/>
      <c r="L302" s="665"/>
      <c r="M302" s="665"/>
      <c r="N302" s="665"/>
      <c r="O302" s="665"/>
      <c r="P302" s="665"/>
      <c r="Q302" s="665"/>
      <c r="R302" s="665"/>
      <c r="S302" s="665"/>
      <c r="T302" s="665"/>
      <c r="U302" s="665"/>
      <c r="V302" s="665"/>
      <c r="W302" s="665"/>
      <c r="X302" s="665"/>
      <c r="Y302" s="665"/>
      <c r="Z302" s="665"/>
      <c r="AA302" s="66"/>
      <c r="AB302" s="66"/>
      <c r="AC302" s="80"/>
    </row>
    <row r="303" spans="1:68" ht="27" hidden="1" customHeight="1" x14ac:dyDescent="0.25">
      <c r="A303" s="63" t="s">
        <v>510</v>
      </c>
      <c r="B303" s="63" t="s">
        <v>511</v>
      </c>
      <c r="C303" s="36">
        <v>4301011826</v>
      </c>
      <c r="D303" s="666">
        <v>4680115884137</v>
      </c>
      <c r="E303" s="666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7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68"/>
      <c r="R303" s="668"/>
      <c r="S303" s="668"/>
      <c r="T303" s="669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ref="Y303:Y309" si="48">IFERROR(IF(X303="",0,CEILING((X303/$H303),1)*$H303),"")</f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512</v>
      </c>
      <c r="AG303" s="78"/>
      <c r="AJ303" s="84" t="s">
        <v>46</v>
      </c>
      <c r="AK303" s="84">
        <v>0</v>
      </c>
      <c r="BB303" s="403" t="s">
        <v>67</v>
      </c>
      <c r="BM303" s="78">
        <f t="shared" ref="BM303:BM309" si="49">IFERROR(X303*I303/H303,"0")</f>
        <v>0</v>
      </c>
      <c r="BN303" s="78">
        <f t="shared" ref="BN303:BN309" si="50">IFERROR(Y303*I303/H303,"0")</f>
        <v>0</v>
      </c>
      <c r="BO303" s="78">
        <f t="shared" ref="BO303:BO309" si="51">IFERROR(1/J303*(X303/H303),"0")</f>
        <v>0</v>
      </c>
      <c r="BP303" s="78">
        <f t="shared" ref="BP303:BP309" si="52">IFERROR(1/J303*(Y303/H303),"0")</f>
        <v>0</v>
      </c>
    </row>
    <row r="304" spans="1:68" ht="27" hidden="1" customHeight="1" x14ac:dyDescent="0.25">
      <c r="A304" s="63" t="s">
        <v>513</v>
      </c>
      <c r="B304" s="63" t="s">
        <v>514</v>
      </c>
      <c r="C304" s="36">
        <v>4301011724</v>
      </c>
      <c r="D304" s="666">
        <v>4680115884236</v>
      </c>
      <c r="E304" s="666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68"/>
      <c r="R304" s="668"/>
      <c r="S304" s="668"/>
      <c r="T304" s="669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515</v>
      </c>
      <c r="AG304" s="78"/>
      <c r="AJ304" s="84" t="s">
        <v>46</v>
      </c>
      <c r="AK304" s="84">
        <v>0</v>
      </c>
      <c r="BB304" s="405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t="27" hidden="1" customHeight="1" x14ac:dyDescent="0.25">
      <c r="A305" s="63" t="s">
        <v>516</v>
      </c>
      <c r="B305" s="63" t="s">
        <v>517</v>
      </c>
      <c r="C305" s="36">
        <v>4301011721</v>
      </c>
      <c r="D305" s="666">
        <v>4680115884175</v>
      </c>
      <c r="E305" s="666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68"/>
      <c r="R305" s="668"/>
      <c r="S305" s="668"/>
      <c r="T305" s="669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8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363</v>
      </c>
      <c r="AG305" s="78"/>
      <c r="AJ305" s="84" t="s">
        <v>46</v>
      </c>
      <c r="AK305" s="84">
        <v>0</v>
      </c>
      <c r="BB305" s="407" t="s">
        <v>67</v>
      </c>
      <c r="BM305" s="78">
        <f t="shared" si="49"/>
        <v>0</v>
      </c>
      <c r="BN305" s="78">
        <f t="shared" si="50"/>
        <v>0</v>
      </c>
      <c r="BO305" s="78">
        <f t="shared" si="51"/>
        <v>0</v>
      </c>
      <c r="BP305" s="78">
        <f t="shared" si="52"/>
        <v>0</v>
      </c>
    </row>
    <row r="306" spans="1:68" ht="27" hidden="1" customHeight="1" x14ac:dyDescent="0.25">
      <c r="A306" s="63" t="s">
        <v>518</v>
      </c>
      <c r="B306" s="63" t="s">
        <v>519</v>
      </c>
      <c r="C306" s="36">
        <v>4301011824</v>
      </c>
      <c r="D306" s="666">
        <v>4680115884144</v>
      </c>
      <c r="E306" s="666"/>
      <c r="F306" s="62">
        <v>0.4</v>
      </c>
      <c r="G306" s="37">
        <v>10</v>
      </c>
      <c r="H306" s="62">
        <v>4</v>
      </c>
      <c r="I306" s="62">
        <v>4.1900000000000004</v>
      </c>
      <c r="J306" s="37">
        <v>132</v>
      </c>
      <c r="K306" s="37" t="s">
        <v>134</v>
      </c>
      <c r="L306" s="37" t="s">
        <v>46</v>
      </c>
      <c r="M306" s="38" t="s">
        <v>126</v>
      </c>
      <c r="N306" s="38"/>
      <c r="O306" s="37">
        <v>55</v>
      </c>
      <c r="P306" s="7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68"/>
      <c r="R306" s="668"/>
      <c r="S306" s="668"/>
      <c r="T306" s="669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48"/>
        <v>0</v>
      </c>
      <c r="Z306" s="41" t="str">
        <f>IFERROR(IF(Y306=0,"",ROUNDUP(Y306/H306,0)*0.00902),"")</f>
        <v/>
      </c>
      <c r="AA306" s="68" t="s">
        <v>46</v>
      </c>
      <c r="AB306" s="69" t="s">
        <v>46</v>
      </c>
      <c r="AC306" s="408" t="s">
        <v>512</v>
      </c>
      <c r="AG306" s="78"/>
      <c r="AJ306" s="84" t="s">
        <v>46</v>
      </c>
      <c r="AK306" s="84">
        <v>0</v>
      </c>
      <c r="BB306" s="409" t="s">
        <v>67</v>
      </c>
      <c r="BM306" s="78">
        <f t="shared" si="49"/>
        <v>0</v>
      </c>
      <c r="BN306" s="78">
        <f t="shared" si="50"/>
        <v>0</v>
      </c>
      <c r="BO306" s="78">
        <f t="shared" si="51"/>
        <v>0</v>
      </c>
      <c r="BP306" s="78">
        <f t="shared" si="52"/>
        <v>0</v>
      </c>
    </row>
    <row r="307" spans="1:68" ht="27" hidden="1" customHeight="1" x14ac:dyDescent="0.25">
      <c r="A307" s="63" t="s">
        <v>520</v>
      </c>
      <c r="B307" s="63" t="s">
        <v>521</v>
      </c>
      <c r="C307" s="36">
        <v>4301012149</v>
      </c>
      <c r="D307" s="666">
        <v>4680115886551</v>
      </c>
      <c r="E307" s="666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68"/>
      <c r="R307" s="668"/>
      <c r="S307" s="668"/>
      <c r="T307" s="669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48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522</v>
      </c>
      <c r="AG307" s="78"/>
      <c r="AJ307" s="84" t="s">
        <v>46</v>
      </c>
      <c r="AK307" s="84">
        <v>0</v>
      </c>
      <c r="BB307" s="411" t="s">
        <v>67</v>
      </c>
      <c r="BM307" s="78">
        <f t="shared" si="49"/>
        <v>0</v>
      </c>
      <c r="BN307" s="78">
        <f t="shared" si="50"/>
        <v>0</v>
      </c>
      <c r="BO307" s="78">
        <f t="shared" si="51"/>
        <v>0</v>
      </c>
      <c r="BP307" s="78">
        <f t="shared" si="52"/>
        <v>0</v>
      </c>
    </row>
    <row r="308" spans="1:68" ht="27" hidden="1" customHeight="1" x14ac:dyDescent="0.25">
      <c r="A308" s="63" t="s">
        <v>523</v>
      </c>
      <c r="B308" s="63" t="s">
        <v>524</v>
      </c>
      <c r="C308" s="36">
        <v>4301012228</v>
      </c>
      <c r="D308" s="666">
        <v>4680115887282</v>
      </c>
      <c r="E308" s="666"/>
      <c r="F308" s="62">
        <v>0.4</v>
      </c>
      <c r="G308" s="37">
        <v>6</v>
      </c>
      <c r="H308" s="62">
        <v>2.4</v>
      </c>
      <c r="I308" s="62">
        <v>2.58</v>
      </c>
      <c r="J308" s="37">
        <v>182</v>
      </c>
      <c r="K308" s="37" t="s">
        <v>91</v>
      </c>
      <c r="L308" s="37" t="s">
        <v>46</v>
      </c>
      <c r="M308" s="38" t="s">
        <v>126</v>
      </c>
      <c r="N308" s="38"/>
      <c r="O308" s="37">
        <v>55</v>
      </c>
      <c r="P308" s="78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68"/>
      <c r="R308" s="668"/>
      <c r="S308" s="668"/>
      <c r="T308" s="669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48"/>
        <v>0</v>
      </c>
      <c r="Z308" s="41" t="str">
        <f>IFERROR(IF(Y308=0,"",ROUNDUP(Y308/H308,0)*0.00651),"")</f>
        <v/>
      </c>
      <c r="AA308" s="68" t="s">
        <v>46</v>
      </c>
      <c r="AB308" s="69" t="s">
        <v>46</v>
      </c>
      <c r="AC308" s="412" t="s">
        <v>525</v>
      </c>
      <c r="AG308" s="78"/>
      <c r="AJ308" s="84" t="s">
        <v>46</v>
      </c>
      <c r="AK308" s="84">
        <v>0</v>
      </c>
      <c r="BB308" s="413" t="s">
        <v>67</v>
      </c>
      <c r="BM308" s="78">
        <f t="shared" si="49"/>
        <v>0</v>
      </c>
      <c r="BN308" s="78">
        <f t="shared" si="50"/>
        <v>0</v>
      </c>
      <c r="BO308" s="78">
        <f t="shared" si="51"/>
        <v>0</v>
      </c>
      <c r="BP308" s="78">
        <f t="shared" si="52"/>
        <v>0</v>
      </c>
    </row>
    <row r="309" spans="1:68" ht="27" hidden="1" customHeight="1" x14ac:dyDescent="0.25">
      <c r="A309" s="63" t="s">
        <v>526</v>
      </c>
      <c r="B309" s="63" t="s">
        <v>527</v>
      </c>
      <c r="C309" s="36">
        <v>4301011722</v>
      </c>
      <c r="D309" s="666">
        <v>4680115884205</v>
      </c>
      <c r="E309" s="666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134</v>
      </c>
      <c r="L309" s="37" t="s">
        <v>46</v>
      </c>
      <c r="M309" s="38" t="s">
        <v>126</v>
      </c>
      <c r="N309" s="38"/>
      <c r="O309" s="37">
        <v>55</v>
      </c>
      <c r="P309" s="78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68"/>
      <c r="R309" s="668"/>
      <c r="S309" s="668"/>
      <c r="T309" s="669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48"/>
        <v>0</v>
      </c>
      <c r="Z309" s="41" t="str">
        <f>IFERROR(IF(Y309=0,"",ROUNDUP(Y309/H309,0)*0.00902),"")</f>
        <v/>
      </c>
      <c r="AA309" s="68" t="s">
        <v>46</v>
      </c>
      <c r="AB309" s="69" t="s">
        <v>46</v>
      </c>
      <c r="AC309" s="414" t="s">
        <v>363</v>
      </c>
      <c r="AG309" s="78"/>
      <c r="AJ309" s="84" t="s">
        <v>46</v>
      </c>
      <c r="AK309" s="84">
        <v>0</v>
      </c>
      <c r="BB309" s="415" t="s">
        <v>67</v>
      </c>
      <c r="BM309" s="78">
        <f t="shared" si="49"/>
        <v>0</v>
      </c>
      <c r="BN309" s="78">
        <f t="shared" si="50"/>
        <v>0</v>
      </c>
      <c r="BO309" s="78">
        <f t="shared" si="51"/>
        <v>0</v>
      </c>
      <c r="BP309" s="78">
        <f t="shared" si="52"/>
        <v>0</v>
      </c>
    </row>
    <row r="310" spans="1:68" hidden="1" x14ac:dyDescent="0.2">
      <c r="A310" s="656"/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7"/>
      <c r="P310" s="653" t="s">
        <v>40</v>
      </c>
      <c r="Q310" s="654"/>
      <c r="R310" s="654"/>
      <c r="S310" s="654"/>
      <c r="T310" s="654"/>
      <c r="U310" s="654"/>
      <c r="V310" s="655"/>
      <c r="W310" s="42" t="s">
        <v>39</v>
      </c>
      <c r="X310" s="43">
        <f>IFERROR(X303/H303,"0")+IFERROR(X304/H304,"0")+IFERROR(X305/H305,"0")+IFERROR(X306/H306,"0")+IFERROR(X307/H307,"0")+IFERROR(X308/H308,"0")+IFERROR(X309/H309,"0")</f>
        <v>0</v>
      </c>
      <c r="Y310" s="43">
        <f>IFERROR(Y303/H303,"0")+IFERROR(Y304/H304,"0")+IFERROR(Y305/H305,"0")+IFERROR(Y306/H306,"0")+IFERROR(Y307/H307,"0")+IFERROR(Y308/H308,"0")+IFERROR(Y309/H309,"0")</f>
        <v>0</v>
      </c>
      <c r="Z310" s="43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hidden="1" x14ac:dyDescent="0.2">
      <c r="A311" s="656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3" t="s">
        <v>40</v>
      </c>
      <c r="Q311" s="654"/>
      <c r="R311" s="654"/>
      <c r="S311" s="654"/>
      <c r="T311" s="654"/>
      <c r="U311" s="654"/>
      <c r="V311" s="655"/>
      <c r="W311" s="42" t="s">
        <v>0</v>
      </c>
      <c r="X311" s="43">
        <f>IFERROR(SUM(X303:X309),"0")</f>
        <v>0</v>
      </c>
      <c r="Y311" s="43">
        <f>IFERROR(SUM(Y303:Y309),"0")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5" t="s">
        <v>159</v>
      </c>
      <c r="B312" s="665"/>
      <c r="C312" s="665"/>
      <c r="D312" s="665"/>
      <c r="E312" s="665"/>
      <c r="F312" s="665"/>
      <c r="G312" s="665"/>
      <c r="H312" s="665"/>
      <c r="I312" s="665"/>
      <c r="J312" s="665"/>
      <c r="K312" s="665"/>
      <c r="L312" s="665"/>
      <c r="M312" s="665"/>
      <c r="N312" s="665"/>
      <c r="O312" s="665"/>
      <c r="P312" s="665"/>
      <c r="Q312" s="665"/>
      <c r="R312" s="665"/>
      <c r="S312" s="665"/>
      <c r="T312" s="665"/>
      <c r="U312" s="665"/>
      <c r="V312" s="665"/>
      <c r="W312" s="665"/>
      <c r="X312" s="665"/>
      <c r="Y312" s="665"/>
      <c r="Z312" s="665"/>
      <c r="AA312" s="66"/>
      <c r="AB312" s="66"/>
      <c r="AC312" s="80"/>
    </row>
    <row r="313" spans="1:68" ht="27" hidden="1" customHeight="1" x14ac:dyDescent="0.25">
      <c r="A313" s="63" t="s">
        <v>528</v>
      </c>
      <c r="B313" s="63" t="s">
        <v>529</v>
      </c>
      <c r="C313" s="36">
        <v>4301020377</v>
      </c>
      <c r="D313" s="666">
        <v>4680115885981</v>
      </c>
      <c r="E313" s="666"/>
      <c r="F313" s="62">
        <v>0.33</v>
      </c>
      <c r="G313" s="37">
        <v>6</v>
      </c>
      <c r="H313" s="62">
        <v>1.98</v>
      </c>
      <c r="I313" s="62">
        <v>2.08</v>
      </c>
      <c r="J313" s="37">
        <v>234</v>
      </c>
      <c r="K313" s="37" t="s">
        <v>82</v>
      </c>
      <c r="L313" s="37" t="s">
        <v>46</v>
      </c>
      <c r="M313" s="38" t="s">
        <v>90</v>
      </c>
      <c r="N313" s="38"/>
      <c r="O313" s="37">
        <v>50</v>
      </c>
      <c r="P313" s="78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68"/>
      <c r="R313" s="668"/>
      <c r="S313" s="668"/>
      <c r="T313" s="669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IFERROR(IF(Y313=0,"",ROUNDUP(Y313/H313,0)*0.00502),"")</f>
        <v/>
      </c>
      <c r="AA313" s="68" t="s">
        <v>46</v>
      </c>
      <c r="AB313" s="69" t="s">
        <v>46</v>
      </c>
      <c r="AC313" s="416" t="s">
        <v>530</v>
      </c>
      <c r="AG313" s="78"/>
      <c r="AJ313" s="84" t="s">
        <v>46</v>
      </c>
      <c r="AK313" s="84">
        <v>0</v>
      </c>
      <c r="BB313" s="41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5" t="s">
        <v>531</v>
      </c>
      <c r="B316" s="665"/>
      <c r="C316" s="665"/>
      <c r="D316" s="665"/>
      <c r="E316" s="665"/>
      <c r="F316" s="665"/>
      <c r="G316" s="665"/>
      <c r="H316" s="665"/>
      <c r="I316" s="665"/>
      <c r="J316" s="665"/>
      <c r="K316" s="665"/>
      <c r="L316" s="665"/>
      <c r="M316" s="665"/>
      <c r="N316" s="665"/>
      <c r="O316" s="665"/>
      <c r="P316" s="665"/>
      <c r="Q316" s="665"/>
      <c r="R316" s="665"/>
      <c r="S316" s="665"/>
      <c r="T316" s="665"/>
      <c r="U316" s="665"/>
      <c r="V316" s="665"/>
      <c r="W316" s="665"/>
      <c r="X316" s="665"/>
      <c r="Y316" s="665"/>
      <c r="Z316" s="665"/>
      <c r="AA316" s="66"/>
      <c r="AB316" s="66"/>
      <c r="AC316" s="80"/>
    </row>
    <row r="317" spans="1:68" ht="27" hidden="1" customHeight="1" x14ac:dyDescent="0.25">
      <c r="A317" s="63" t="s">
        <v>532</v>
      </c>
      <c r="B317" s="63" t="s">
        <v>533</v>
      </c>
      <c r="C317" s="36">
        <v>4301040362</v>
      </c>
      <c r="D317" s="666">
        <v>4680115886803</v>
      </c>
      <c r="E317" s="666"/>
      <c r="F317" s="62">
        <v>0.12</v>
      </c>
      <c r="G317" s="37">
        <v>15</v>
      </c>
      <c r="H317" s="62">
        <v>1.8</v>
      </c>
      <c r="I317" s="62">
        <v>1.9750000000000001</v>
      </c>
      <c r="J317" s="37">
        <v>216</v>
      </c>
      <c r="K317" s="37" t="s">
        <v>340</v>
      </c>
      <c r="L317" s="37" t="s">
        <v>46</v>
      </c>
      <c r="M317" s="38" t="s">
        <v>282</v>
      </c>
      <c r="N317" s="38"/>
      <c r="O317" s="37">
        <v>45</v>
      </c>
      <c r="P317" s="79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68"/>
      <c r="R317" s="668"/>
      <c r="S317" s="668"/>
      <c r="T317" s="669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8" t="s">
        <v>534</v>
      </c>
      <c r="AG317" s="78"/>
      <c r="AJ317" s="84" t="s">
        <v>46</v>
      </c>
      <c r="AK317" s="84">
        <v>0</v>
      </c>
      <c r="BB317" s="419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656"/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7"/>
      <c r="P318" s="653" t="s">
        <v>40</v>
      </c>
      <c r="Q318" s="654"/>
      <c r="R318" s="654"/>
      <c r="S318" s="654"/>
      <c r="T318" s="654"/>
      <c r="U318" s="654"/>
      <c r="V318" s="655"/>
      <c r="W318" s="42" t="s">
        <v>39</v>
      </c>
      <c r="X318" s="43">
        <f>IFERROR(X317/H317,"0")</f>
        <v>0</v>
      </c>
      <c r="Y318" s="43">
        <f>IFERROR(Y317/H317,"0")</f>
        <v>0</v>
      </c>
      <c r="Z318" s="43">
        <f>IFERROR(IF(Z317="",0,Z317),"0")</f>
        <v>0</v>
      </c>
      <c r="AA318" s="67"/>
      <c r="AB318" s="67"/>
      <c r="AC318" s="67"/>
    </row>
    <row r="319" spans="1:68" hidden="1" x14ac:dyDescent="0.2">
      <c r="A319" s="656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3" t="s">
        <v>40</v>
      </c>
      <c r="Q319" s="654"/>
      <c r="R319" s="654"/>
      <c r="S319" s="654"/>
      <c r="T319" s="654"/>
      <c r="U319" s="654"/>
      <c r="V319" s="655"/>
      <c r="W319" s="42" t="s">
        <v>0</v>
      </c>
      <c r="X319" s="43">
        <f>IFERROR(SUM(X317:X317),"0")</f>
        <v>0</v>
      </c>
      <c r="Y319" s="43">
        <f>IFERROR(SUM(Y317:Y317),"0")</f>
        <v>0</v>
      </c>
      <c r="Z319" s="42"/>
      <c r="AA319" s="67"/>
      <c r="AB319" s="67"/>
      <c r="AC319" s="67"/>
    </row>
    <row r="320" spans="1:68" ht="14.25" hidden="1" customHeight="1" x14ac:dyDescent="0.25">
      <c r="A320" s="665" t="s">
        <v>341</v>
      </c>
      <c r="B320" s="665"/>
      <c r="C320" s="665"/>
      <c r="D320" s="665"/>
      <c r="E320" s="665"/>
      <c r="F320" s="665"/>
      <c r="G320" s="665"/>
      <c r="H320" s="665"/>
      <c r="I320" s="665"/>
      <c r="J320" s="665"/>
      <c r="K320" s="665"/>
      <c r="L320" s="665"/>
      <c r="M320" s="665"/>
      <c r="N320" s="665"/>
      <c r="O320" s="665"/>
      <c r="P320" s="665"/>
      <c r="Q320" s="665"/>
      <c r="R320" s="665"/>
      <c r="S320" s="665"/>
      <c r="T320" s="665"/>
      <c r="U320" s="665"/>
      <c r="V320" s="665"/>
      <c r="W320" s="665"/>
      <c r="X320" s="665"/>
      <c r="Y320" s="665"/>
      <c r="Z320" s="665"/>
      <c r="AA320" s="66"/>
      <c r="AB320" s="66"/>
      <c r="AC320" s="80"/>
    </row>
    <row r="321" spans="1:68" ht="27" hidden="1" customHeight="1" x14ac:dyDescent="0.25">
      <c r="A321" s="63" t="s">
        <v>535</v>
      </c>
      <c r="B321" s="63" t="s">
        <v>536</v>
      </c>
      <c r="C321" s="36">
        <v>4301041008</v>
      </c>
      <c r="D321" s="666">
        <v>4680115886681</v>
      </c>
      <c r="E321" s="666"/>
      <c r="F321" s="62">
        <v>0.12</v>
      </c>
      <c r="G321" s="37">
        <v>15</v>
      </c>
      <c r="H321" s="62">
        <v>1.8</v>
      </c>
      <c r="I321" s="62">
        <v>1.9750000000000001</v>
      </c>
      <c r="J321" s="37">
        <v>216</v>
      </c>
      <c r="K321" s="37" t="s">
        <v>340</v>
      </c>
      <c r="L321" s="37" t="s">
        <v>46</v>
      </c>
      <c r="M321" s="38" t="s">
        <v>282</v>
      </c>
      <c r="N321" s="38"/>
      <c r="O321" s="37">
        <v>90</v>
      </c>
      <c r="P321" s="7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68"/>
      <c r="R321" s="668"/>
      <c r="S321" s="668"/>
      <c r="T321" s="669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537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56"/>
      <c r="B322" s="656"/>
      <c r="C322" s="656"/>
      <c r="D322" s="656"/>
      <c r="E322" s="656"/>
      <c r="F322" s="656"/>
      <c r="G322" s="656"/>
      <c r="H322" s="656"/>
      <c r="I322" s="656"/>
      <c r="J322" s="656"/>
      <c r="K322" s="656"/>
      <c r="L322" s="656"/>
      <c r="M322" s="656"/>
      <c r="N322" s="656"/>
      <c r="O322" s="657"/>
      <c r="P322" s="653" t="s">
        <v>40</v>
      </c>
      <c r="Q322" s="654"/>
      <c r="R322" s="654"/>
      <c r="S322" s="654"/>
      <c r="T322" s="654"/>
      <c r="U322" s="654"/>
      <c r="V322" s="655"/>
      <c r="W322" s="42" t="s">
        <v>39</v>
      </c>
      <c r="X322" s="43">
        <f>IFERROR(X321/H321,"0")</f>
        <v>0</v>
      </c>
      <c r="Y322" s="43">
        <f>IFERROR(Y321/H321,"0")</f>
        <v>0</v>
      </c>
      <c r="Z322" s="43">
        <f>IFERROR(IF(Z321="",0,Z321),"0")</f>
        <v>0</v>
      </c>
      <c r="AA322" s="67"/>
      <c r="AB322" s="67"/>
      <c r="AC322" s="67"/>
    </row>
    <row r="323" spans="1:68" hidden="1" x14ac:dyDescent="0.2">
      <c r="A323" s="656"/>
      <c r="B323" s="656"/>
      <c r="C323" s="656"/>
      <c r="D323" s="656"/>
      <c r="E323" s="656"/>
      <c r="F323" s="656"/>
      <c r="G323" s="656"/>
      <c r="H323" s="656"/>
      <c r="I323" s="656"/>
      <c r="J323" s="656"/>
      <c r="K323" s="656"/>
      <c r="L323" s="656"/>
      <c r="M323" s="656"/>
      <c r="N323" s="656"/>
      <c r="O323" s="657"/>
      <c r="P323" s="653" t="s">
        <v>40</v>
      </c>
      <c r="Q323" s="654"/>
      <c r="R323" s="654"/>
      <c r="S323" s="654"/>
      <c r="T323" s="654"/>
      <c r="U323" s="654"/>
      <c r="V323" s="655"/>
      <c r="W323" s="42" t="s">
        <v>0</v>
      </c>
      <c r="X323" s="43">
        <f>IFERROR(SUM(X321:X321),"0")</f>
        <v>0</v>
      </c>
      <c r="Y323" s="43">
        <f>IFERROR(SUM(Y321:Y321),"0")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72" t="s">
        <v>538</v>
      </c>
      <c r="B324" s="672"/>
      <c r="C324" s="672"/>
      <c r="D324" s="672"/>
      <c r="E324" s="672"/>
      <c r="F324" s="672"/>
      <c r="G324" s="672"/>
      <c r="H324" s="672"/>
      <c r="I324" s="672"/>
      <c r="J324" s="672"/>
      <c r="K324" s="672"/>
      <c r="L324" s="672"/>
      <c r="M324" s="672"/>
      <c r="N324" s="672"/>
      <c r="O324" s="672"/>
      <c r="P324" s="672"/>
      <c r="Q324" s="672"/>
      <c r="R324" s="672"/>
      <c r="S324" s="672"/>
      <c r="T324" s="672"/>
      <c r="U324" s="672"/>
      <c r="V324" s="672"/>
      <c r="W324" s="672"/>
      <c r="X324" s="672"/>
      <c r="Y324" s="672"/>
      <c r="Z324" s="672"/>
      <c r="AA324" s="65"/>
      <c r="AB324" s="65"/>
      <c r="AC324" s="79"/>
    </row>
    <row r="325" spans="1:68" ht="14.25" hidden="1" customHeight="1" x14ac:dyDescent="0.25">
      <c r="A325" s="665" t="s">
        <v>122</v>
      </c>
      <c r="B325" s="665"/>
      <c r="C325" s="665"/>
      <c r="D325" s="665"/>
      <c r="E325" s="665"/>
      <c r="F325" s="665"/>
      <c r="G325" s="665"/>
      <c r="H325" s="665"/>
      <c r="I325" s="665"/>
      <c r="J325" s="665"/>
      <c r="K325" s="665"/>
      <c r="L325" s="665"/>
      <c r="M325" s="665"/>
      <c r="N325" s="665"/>
      <c r="O325" s="665"/>
      <c r="P325" s="665"/>
      <c r="Q325" s="665"/>
      <c r="R325" s="665"/>
      <c r="S325" s="665"/>
      <c r="T325" s="665"/>
      <c r="U325" s="665"/>
      <c r="V325" s="665"/>
      <c r="W325" s="665"/>
      <c r="X325" s="665"/>
      <c r="Y325" s="665"/>
      <c r="Z325" s="665"/>
      <c r="AA325" s="66"/>
      <c r="AB325" s="66"/>
      <c r="AC325" s="80"/>
    </row>
    <row r="326" spans="1:68" ht="27" hidden="1" customHeight="1" x14ac:dyDescent="0.25">
      <c r="A326" s="63" t="s">
        <v>539</v>
      </c>
      <c r="B326" s="63" t="s">
        <v>540</v>
      </c>
      <c r="C326" s="36">
        <v>4301012390</v>
      </c>
      <c r="D326" s="666">
        <v>4680115889637</v>
      </c>
      <c r="E326" s="666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82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668"/>
      <c r="R326" s="668"/>
      <c r="S326" s="668"/>
      <c r="T326" s="669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ref="Y326:Y331" si="53"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542</v>
      </c>
      <c r="AC326" s="422" t="s">
        <v>541</v>
      </c>
      <c r="AG326" s="78"/>
      <c r="AJ326" s="84" t="s">
        <v>46</v>
      </c>
      <c r="AK326" s="84">
        <v>0</v>
      </c>
      <c r="BB326" s="423" t="s">
        <v>67</v>
      </c>
      <c r="BM326" s="78">
        <f t="shared" ref="BM326:BM331" si="54">IFERROR(X326*I326/H326,"0")</f>
        <v>0</v>
      </c>
      <c r="BN326" s="78">
        <f t="shared" ref="BN326:BN331" si="55">IFERROR(Y326*I326/H326,"0")</f>
        <v>0</v>
      </c>
      <c r="BO326" s="78">
        <f t="shared" ref="BO326:BO331" si="56">IFERROR(1/J326*(X326/H326),"0")</f>
        <v>0</v>
      </c>
      <c r="BP326" s="78">
        <f t="shared" ref="BP326:BP331" si="57">IFERROR(1/J326*(Y326/H326),"0")</f>
        <v>0</v>
      </c>
    </row>
    <row r="327" spans="1:68" ht="27" hidden="1" customHeight="1" x14ac:dyDescent="0.25">
      <c r="A327" s="63" t="s">
        <v>543</v>
      </c>
      <c r="B327" s="63" t="s">
        <v>544</v>
      </c>
      <c r="C327" s="36">
        <v>4301011855</v>
      </c>
      <c r="D327" s="666">
        <v>4680115885837</v>
      </c>
      <c r="E327" s="666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7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668"/>
      <c r="R327" s="668"/>
      <c r="S327" s="668"/>
      <c r="T327" s="669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53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545</v>
      </c>
      <c r="AG327" s="78"/>
      <c r="AJ327" s="84" t="s">
        <v>46</v>
      </c>
      <c r="AK327" s="84">
        <v>0</v>
      </c>
      <c r="BB327" s="425" t="s">
        <v>67</v>
      </c>
      <c r="BM327" s="78">
        <f t="shared" si="54"/>
        <v>0</v>
      </c>
      <c r="BN327" s="78">
        <f t="shared" si="55"/>
        <v>0</v>
      </c>
      <c r="BO327" s="78">
        <f t="shared" si="56"/>
        <v>0</v>
      </c>
      <c r="BP327" s="78">
        <f t="shared" si="57"/>
        <v>0</v>
      </c>
    </row>
    <row r="328" spans="1:68" ht="37.5" hidden="1" customHeight="1" x14ac:dyDescent="0.25">
      <c r="A328" s="63" t="s">
        <v>546</v>
      </c>
      <c r="B328" s="63" t="s">
        <v>547</v>
      </c>
      <c r="C328" s="36">
        <v>4301012234</v>
      </c>
      <c r="D328" s="666">
        <v>4680115887237</v>
      </c>
      <c r="E328" s="666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68"/>
      <c r="R328" s="668"/>
      <c r="S328" s="668"/>
      <c r="T328" s="669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3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548</v>
      </c>
      <c r="AG328" s="78"/>
      <c r="AJ328" s="84" t="s">
        <v>46</v>
      </c>
      <c r="AK328" s="84">
        <v>0</v>
      </c>
      <c r="BB328" s="427" t="s">
        <v>67</v>
      </c>
      <c r="BM328" s="78">
        <f t="shared" si="54"/>
        <v>0</v>
      </c>
      <c r="BN328" s="78">
        <f t="shared" si="55"/>
        <v>0</v>
      </c>
      <c r="BO328" s="78">
        <f t="shared" si="56"/>
        <v>0</v>
      </c>
      <c r="BP328" s="78">
        <f t="shared" si="57"/>
        <v>0</v>
      </c>
    </row>
    <row r="329" spans="1:68" ht="27" hidden="1" customHeight="1" x14ac:dyDescent="0.25">
      <c r="A329" s="63" t="s">
        <v>549</v>
      </c>
      <c r="B329" s="63" t="s">
        <v>550</v>
      </c>
      <c r="C329" s="36">
        <v>4301011850</v>
      </c>
      <c r="D329" s="666">
        <v>4680115885806</v>
      </c>
      <c r="E329" s="666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68"/>
      <c r="R329" s="668"/>
      <c r="S329" s="668"/>
      <c r="T329" s="669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3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551</v>
      </c>
      <c r="AG329" s="78"/>
      <c r="AJ329" s="84" t="s">
        <v>46</v>
      </c>
      <c r="AK329" s="84">
        <v>0</v>
      </c>
      <c r="BB329" s="429" t="s">
        <v>67</v>
      </c>
      <c r="BM329" s="78">
        <f t="shared" si="54"/>
        <v>0</v>
      </c>
      <c r="BN329" s="78">
        <f t="shared" si="55"/>
        <v>0</v>
      </c>
      <c r="BO329" s="78">
        <f t="shared" si="56"/>
        <v>0</v>
      </c>
      <c r="BP329" s="78">
        <f t="shared" si="57"/>
        <v>0</v>
      </c>
    </row>
    <row r="330" spans="1:68" ht="27" hidden="1" customHeight="1" x14ac:dyDescent="0.25">
      <c r="A330" s="63" t="s">
        <v>552</v>
      </c>
      <c r="B330" s="63" t="s">
        <v>553</v>
      </c>
      <c r="C330" s="36">
        <v>4301011852</v>
      </c>
      <c r="D330" s="666">
        <v>4680115885844</v>
      </c>
      <c r="E330" s="666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7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68"/>
      <c r="R330" s="668"/>
      <c r="S330" s="668"/>
      <c r="T330" s="669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3"/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554</v>
      </c>
      <c r="AG330" s="78"/>
      <c r="AJ330" s="84" t="s">
        <v>46</v>
      </c>
      <c r="AK330" s="84">
        <v>0</v>
      </c>
      <c r="BB330" s="431" t="s">
        <v>67</v>
      </c>
      <c r="BM330" s="78">
        <f t="shared" si="54"/>
        <v>0</v>
      </c>
      <c r="BN330" s="78">
        <f t="shared" si="55"/>
        <v>0</v>
      </c>
      <c r="BO330" s="78">
        <f t="shared" si="56"/>
        <v>0</v>
      </c>
      <c r="BP330" s="78">
        <f t="shared" si="57"/>
        <v>0</v>
      </c>
    </row>
    <row r="331" spans="1:68" ht="37.5" hidden="1" customHeight="1" x14ac:dyDescent="0.25">
      <c r="A331" s="63" t="s">
        <v>555</v>
      </c>
      <c r="B331" s="63" t="s">
        <v>556</v>
      </c>
      <c r="C331" s="36">
        <v>4301011851</v>
      </c>
      <c r="D331" s="666">
        <v>4680115885820</v>
      </c>
      <c r="E331" s="666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134</v>
      </c>
      <c r="L331" s="37" t="s">
        <v>46</v>
      </c>
      <c r="M331" s="38" t="s">
        <v>126</v>
      </c>
      <c r="N331" s="38"/>
      <c r="O331" s="37">
        <v>55</v>
      </c>
      <c r="P331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68"/>
      <c r="R331" s="668"/>
      <c r="S331" s="668"/>
      <c r="T331" s="669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3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557</v>
      </c>
      <c r="AG331" s="78"/>
      <c r="AJ331" s="84" t="s">
        <v>46</v>
      </c>
      <c r="AK331" s="84">
        <v>0</v>
      </c>
      <c r="BB331" s="433" t="s">
        <v>67</v>
      </c>
      <c r="BM331" s="78">
        <f t="shared" si="54"/>
        <v>0</v>
      </c>
      <c r="BN331" s="78">
        <f t="shared" si="55"/>
        <v>0</v>
      </c>
      <c r="BO331" s="78">
        <f t="shared" si="56"/>
        <v>0</v>
      </c>
      <c r="BP331" s="78">
        <f t="shared" si="57"/>
        <v>0</v>
      </c>
    </row>
    <row r="332" spans="1:68" hidden="1" x14ac:dyDescent="0.2">
      <c r="A332" s="656"/>
      <c r="B332" s="656"/>
      <c r="C332" s="656"/>
      <c r="D332" s="656"/>
      <c r="E332" s="656"/>
      <c r="F332" s="656"/>
      <c r="G332" s="656"/>
      <c r="H332" s="656"/>
      <c r="I332" s="656"/>
      <c r="J332" s="656"/>
      <c r="K332" s="656"/>
      <c r="L332" s="656"/>
      <c r="M332" s="656"/>
      <c r="N332" s="656"/>
      <c r="O332" s="657"/>
      <c r="P332" s="653" t="s">
        <v>40</v>
      </c>
      <c r="Q332" s="654"/>
      <c r="R332" s="654"/>
      <c r="S332" s="654"/>
      <c r="T332" s="654"/>
      <c r="U332" s="654"/>
      <c r="V332" s="655"/>
      <c r="W332" s="42" t="s">
        <v>39</v>
      </c>
      <c r="X332" s="43">
        <f>IFERROR(X326/H326,"0")+IFERROR(X327/H327,"0")+IFERROR(X328/H328,"0")+IFERROR(X329/H329,"0")+IFERROR(X330/H330,"0")+IFERROR(X331/H331,"0")</f>
        <v>0</v>
      </c>
      <c r="Y332" s="43">
        <f>IFERROR(Y326/H326,"0")+IFERROR(Y327/H327,"0")+IFERROR(Y328/H328,"0")+IFERROR(Y329/H329,"0")+IFERROR(Y330/H330,"0")+IFERROR(Y331/H331,"0")</f>
        <v>0</v>
      </c>
      <c r="Z332" s="43">
        <f>IFERROR(IF(Z326="",0,Z326),"0")+IFERROR(IF(Z327="",0,Z327),"0")+IFERROR(IF(Z328="",0,Z328),"0")+IFERROR(IF(Z329="",0,Z329),"0")+IFERROR(IF(Z330="",0,Z330),"0")+IFERROR(IF(Z331="",0,Z331),"0")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hidden="1" x14ac:dyDescent="0.2">
      <c r="A333" s="656"/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7"/>
      <c r="P333" s="653" t="s">
        <v>40</v>
      </c>
      <c r="Q333" s="654"/>
      <c r="R333" s="654"/>
      <c r="S333" s="654"/>
      <c r="T333" s="654"/>
      <c r="U333" s="654"/>
      <c r="V333" s="655"/>
      <c r="W333" s="42" t="s">
        <v>0</v>
      </c>
      <c r="X333" s="43">
        <f>IFERROR(SUM(X326:X331),"0")</f>
        <v>0</v>
      </c>
      <c r="Y333" s="43">
        <f>IFERROR(SUM(Y326:Y331),"0")</f>
        <v>0</v>
      </c>
      <c r="Z333" s="42"/>
      <c r="AA333" s="67"/>
      <c r="AB333" s="67"/>
      <c r="AC333" s="67"/>
    </row>
    <row r="334" spans="1:68" ht="16.5" hidden="1" customHeight="1" x14ac:dyDescent="0.25">
      <c r="A334" s="672" t="s">
        <v>558</v>
      </c>
      <c r="B334" s="672"/>
      <c r="C334" s="672"/>
      <c r="D334" s="672"/>
      <c r="E334" s="672"/>
      <c r="F334" s="672"/>
      <c r="G334" s="672"/>
      <c r="H334" s="672"/>
      <c r="I334" s="672"/>
      <c r="J334" s="672"/>
      <c r="K334" s="672"/>
      <c r="L334" s="672"/>
      <c r="M334" s="672"/>
      <c r="N334" s="672"/>
      <c r="O334" s="672"/>
      <c r="P334" s="672"/>
      <c r="Q334" s="672"/>
      <c r="R334" s="672"/>
      <c r="S334" s="672"/>
      <c r="T334" s="672"/>
      <c r="U334" s="672"/>
      <c r="V334" s="672"/>
      <c r="W334" s="672"/>
      <c r="X334" s="672"/>
      <c r="Y334" s="672"/>
      <c r="Z334" s="672"/>
      <c r="AA334" s="65"/>
      <c r="AB334" s="65"/>
      <c r="AC334" s="79"/>
    </row>
    <row r="335" spans="1:68" ht="14.25" hidden="1" customHeight="1" x14ac:dyDescent="0.25">
      <c r="A335" s="665" t="s">
        <v>86</v>
      </c>
      <c r="B335" s="665"/>
      <c r="C335" s="665"/>
      <c r="D335" s="665"/>
      <c r="E335" s="665"/>
      <c r="F335" s="665"/>
      <c r="G335" s="665"/>
      <c r="H335" s="665"/>
      <c r="I335" s="665"/>
      <c r="J335" s="665"/>
      <c r="K335" s="665"/>
      <c r="L335" s="665"/>
      <c r="M335" s="665"/>
      <c r="N335" s="665"/>
      <c r="O335" s="665"/>
      <c r="P335" s="665"/>
      <c r="Q335" s="665"/>
      <c r="R335" s="665"/>
      <c r="S335" s="665"/>
      <c r="T335" s="665"/>
      <c r="U335" s="665"/>
      <c r="V335" s="665"/>
      <c r="W335" s="665"/>
      <c r="X335" s="665"/>
      <c r="Y335" s="665"/>
      <c r="Z335" s="665"/>
      <c r="AA335" s="66"/>
      <c r="AB335" s="66"/>
      <c r="AC335" s="80"/>
    </row>
    <row r="336" spans="1:68" ht="27" hidden="1" customHeight="1" x14ac:dyDescent="0.25">
      <c r="A336" s="63" t="s">
        <v>559</v>
      </c>
      <c r="B336" s="63" t="s">
        <v>560</v>
      </c>
      <c r="C336" s="36">
        <v>4301051893</v>
      </c>
      <c r="D336" s="666">
        <v>4680115886186</v>
      </c>
      <c r="E336" s="666"/>
      <c r="F336" s="62">
        <v>0.3</v>
      </c>
      <c r="G336" s="37">
        <v>6</v>
      </c>
      <c r="H336" s="62">
        <v>1.8</v>
      </c>
      <c r="I336" s="62">
        <v>1.98</v>
      </c>
      <c r="J336" s="37">
        <v>182</v>
      </c>
      <c r="K336" s="37" t="s">
        <v>91</v>
      </c>
      <c r="L336" s="37" t="s">
        <v>46</v>
      </c>
      <c r="M336" s="38" t="s">
        <v>90</v>
      </c>
      <c r="N336" s="38"/>
      <c r="O336" s="37">
        <v>45</v>
      </c>
      <c r="P336" s="7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68"/>
      <c r="R336" s="668"/>
      <c r="S336" s="668"/>
      <c r="T336" s="669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561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562</v>
      </c>
      <c r="B337" s="63" t="s">
        <v>563</v>
      </c>
      <c r="C337" s="36">
        <v>4301051795</v>
      </c>
      <c r="D337" s="666">
        <v>4680115881228</v>
      </c>
      <c r="E337" s="666"/>
      <c r="F337" s="62">
        <v>0.4</v>
      </c>
      <c r="G337" s="37">
        <v>6</v>
      </c>
      <c r="H337" s="62">
        <v>2.4</v>
      </c>
      <c r="I337" s="62">
        <v>2.6520000000000001</v>
      </c>
      <c r="J337" s="37">
        <v>182</v>
      </c>
      <c r="K337" s="37" t="s">
        <v>91</v>
      </c>
      <c r="L337" s="37" t="s">
        <v>46</v>
      </c>
      <c r="M337" s="38" t="s">
        <v>97</v>
      </c>
      <c r="N337" s="38"/>
      <c r="O337" s="37">
        <v>40</v>
      </c>
      <c r="P337" s="77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68"/>
      <c r="R337" s="668"/>
      <c r="S337" s="668"/>
      <c r="T337" s="669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564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565</v>
      </c>
      <c r="B338" s="63" t="s">
        <v>566</v>
      </c>
      <c r="C338" s="36">
        <v>4301051388</v>
      </c>
      <c r="D338" s="666">
        <v>4680115881211</v>
      </c>
      <c r="E338" s="666"/>
      <c r="F338" s="62">
        <v>0.4</v>
      </c>
      <c r="G338" s="37">
        <v>6</v>
      </c>
      <c r="H338" s="62">
        <v>2.4</v>
      </c>
      <c r="I338" s="62">
        <v>2.58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68"/>
      <c r="R338" s="668"/>
      <c r="S338" s="668"/>
      <c r="T338" s="669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561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idden="1" x14ac:dyDescent="0.2">
      <c r="A339" s="656"/>
      <c r="B339" s="656"/>
      <c r="C339" s="656"/>
      <c r="D339" s="656"/>
      <c r="E339" s="656"/>
      <c r="F339" s="656"/>
      <c r="G339" s="656"/>
      <c r="H339" s="656"/>
      <c r="I339" s="656"/>
      <c r="J339" s="656"/>
      <c r="K339" s="656"/>
      <c r="L339" s="656"/>
      <c r="M339" s="656"/>
      <c r="N339" s="656"/>
      <c r="O339" s="657"/>
      <c r="P339" s="653" t="s">
        <v>40</v>
      </c>
      <c r="Q339" s="654"/>
      <c r="R339" s="654"/>
      <c r="S339" s="654"/>
      <c r="T339" s="654"/>
      <c r="U339" s="654"/>
      <c r="V339" s="655"/>
      <c r="W339" s="42" t="s">
        <v>39</v>
      </c>
      <c r="X339" s="43">
        <f>IFERROR(X336/H336,"0")+IFERROR(X337/H337,"0")+IFERROR(X338/H338,"0")</f>
        <v>0</v>
      </c>
      <c r="Y339" s="43">
        <f>IFERROR(Y336/H336,"0")+IFERROR(Y337/H337,"0")+IFERROR(Y338/H338,"0")</f>
        <v>0</v>
      </c>
      <c r="Z339" s="43">
        <f>IFERROR(IF(Z336="",0,Z336),"0")+IFERROR(IF(Z337="",0,Z337),"0")+IFERROR(IF(Z338="",0,Z338),"0")</f>
        <v>0</v>
      </c>
      <c r="AA339" s="67"/>
      <c r="AB339" s="67"/>
      <c r="AC339" s="67"/>
    </row>
    <row r="340" spans="1:68" hidden="1" x14ac:dyDescent="0.2">
      <c r="A340" s="656"/>
      <c r="B340" s="656"/>
      <c r="C340" s="656"/>
      <c r="D340" s="656"/>
      <c r="E340" s="656"/>
      <c r="F340" s="656"/>
      <c r="G340" s="656"/>
      <c r="H340" s="656"/>
      <c r="I340" s="656"/>
      <c r="J340" s="656"/>
      <c r="K340" s="656"/>
      <c r="L340" s="656"/>
      <c r="M340" s="656"/>
      <c r="N340" s="656"/>
      <c r="O340" s="657"/>
      <c r="P340" s="653" t="s">
        <v>40</v>
      </c>
      <c r="Q340" s="654"/>
      <c r="R340" s="654"/>
      <c r="S340" s="654"/>
      <c r="T340" s="654"/>
      <c r="U340" s="654"/>
      <c r="V340" s="655"/>
      <c r="W340" s="42" t="s">
        <v>0</v>
      </c>
      <c r="X340" s="43">
        <f>IFERROR(SUM(X336:X338),"0")</f>
        <v>0</v>
      </c>
      <c r="Y340" s="43">
        <f>IFERROR(SUM(Y336:Y338),"0")</f>
        <v>0</v>
      </c>
      <c r="Z340" s="42"/>
      <c r="AA340" s="67"/>
      <c r="AB340" s="67"/>
      <c r="AC340" s="67"/>
    </row>
    <row r="341" spans="1:68" ht="16.5" hidden="1" customHeight="1" x14ac:dyDescent="0.25">
      <c r="A341" s="672" t="s">
        <v>567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5"/>
      <c r="AB341" s="65"/>
      <c r="AC341" s="79"/>
    </row>
    <row r="342" spans="1:68" ht="14.25" hidden="1" customHeight="1" x14ac:dyDescent="0.25">
      <c r="A342" s="665" t="s">
        <v>77</v>
      </c>
      <c r="B342" s="665"/>
      <c r="C342" s="665"/>
      <c r="D342" s="665"/>
      <c r="E342" s="665"/>
      <c r="F342" s="665"/>
      <c r="G342" s="665"/>
      <c r="H342" s="665"/>
      <c r="I342" s="665"/>
      <c r="J342" s="665"/>
      <c r="K342" s="665"/>
      <c r="L342" s="665"/>
      <c r="M342" s="665"/>
      <c r="N342" s="665"/>
      <c r="O342" s="665"/>
      <c r="P342" s="665"/>
      <c r="Q342" s="665"/>
      <c r="R342" s="665"/>
      <c r="S342" s="665"/>
      <c r="T342" s="665"/>
      <c r="U342" s="665"/>
      <c r="V342" s="665"/>
      <c r="W342" s="665"/>
      <c r="X342" s="665"/>
      <c r="Y342" s="665"/>
      <c r="Z342" s="665"/>
      <c r="AA342" s="66"/>
      <c r="AB342" s="66"/>
      <c r="AC342" s="80"/>
    </row>
    <row r="343" spans="1:68" ht="27" hidden="1" customHeight="1" x14ac:dyDescent="0.25">
      <c r="A343" s="63" t="s">
        <v>568</v>
      </c>
      <c r="B343" s="63" t="s">
        <v>569</v>
      </c>
      <c r="C343" s="36">
        <v>4301031445</v>
      </c>
      <c r="D343" s="666">
        <v>4680115888319</v>
      </c>
      <c r="E343" s="666"/>
      <c r="F343" s="62">
        <v>0.35</v>
      </c>
      <c r="G343" s="37">
        <v>6</v>
      </c>
      <c r="H343" s="62">
        <v>2.1</v>
      </c>
      <c r="I343" s="62">
        <v>2.23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45</v>
      </c>
      <c r="P343" s="7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68"/>
      <c r="R343" s="668"/>
      <c r="S343" s="668"/>
      <c r="T343" s="669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395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570</v>
      </c>
      <c r="B344" s="63" t="s">
        <v>571</v>
      </c>
      <c r="C344" s="36">
        <v>4301031502</v>
      </c>
      <c r="D344" s="666">
        <v>4680115884700</v>
      </c>
      <c r="E344" s="666"/>
      <c r="F344" s="62">
        <v>0.57999999999999996</v>
      </c>
      <c r="G344" s="37">
        <v>4</v>
      </c>
      <c r="H344" s="62">
        <v>2.3199999999999998</v>
      </c>
      <c r="I344" s="62">
        <v>2.42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68"/>
      <c r="R344" s="668"/>
      <c r="S344" s="668"/>
      <c r="T344" s="669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573</v>
      </c>
      <c r="B345" s="63" t="s">
        <v>574</v>
      </c>
      <c r="C345" s="36">
        <v>4301031307</v>
      </c>
      <c r="D345" s="666">
        <v>4680115880344</v>
      </c>
      <c r="E345" s="666"/>
      <c r="F345" s="62">
        <v>0.28000000000000003</v>
      </c>
      <c r="G345" s="37">
        <v>6</v>
      </c>
      <c r="H345" s="62">
        <v>1.68</v>
      </c>
      <c r="I345" s="62">
        <v>1.78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40</v>
      </c>
      <c r="P345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68"/>
      <c r="R345" s="668"/>
      <c r="S345" s="668"/>
      <c r="T345" s="669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575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576</v>
      </c>
      <c r="B346" s="63" t="s">
        <v>577</v>
      </c>
      <c r="C346" s="36">
        <v>4301031501</v>
      </c>
      <c r="D346" s="666">
        <v>4680115886919</v>
      </c>
      <c r="E346" s="666"/>
      <c r="F346" s="62">
        <v>0.4</v>
      </c>
      <c r="G346" s="37">
        <v>6</v>
      </c>
      <c r="H346" s="62">
        <v>2.4</v>
      </c>
      <c r="I346" s="62">
        <v>2.58</v>
      </c>
      <c r="J346" s="37">
        <v>182</v>
      </c>
      <c r="K346" s="37" t="s">
        <v>91</v>
      </c>
      <c r="L346" s="37" t="s">
        <v>46</v>
      </c>
      <c r="M346" s="38" t="s">
        <v>81</v>
      </c>
      <c r="N346" s="38"/>
      <c r="O346" s="37">
        <v>40</v>
      </c>
      <c r="P346" s="7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68"/>
      <c r="R346" s="668"/>
      <c r="S346" s="668"/>
      <c r="T346" s="669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46" t="s">
        <v>578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579</v>
      </c>
      <c r="B347" s="63" t="s">
        <v>580</v>
      </c>
      <c r="C347" s="36">
        <v>4301031246</v>
      </c>
      <c r="D347" s="666">
        <v>4680115883970</v>
      </c>
      <c r="E347" s="666"/>
      <c r="F347" s="62">
        <v>0.28000000000000003</v>
      </c>
      <c r="G347" s="37">
        <v>6</v>
      </c>
      <c r="H347" s="62">
        <v>1.68</v>
      </c>
      <c r="I347" s="62">
        <v>2.5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668"/>
      <c r="R347" s="668"/>
      <c r="S347" s="668"/>
      <c r="T347" s="669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581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2" t="s">
        <v>39</v>
      </c>
      <c r="X348" s="43">
        <f>IFERROR(X343/H343,"0")+IFERROR(X344/H344,"0")+IFERROR(X345/H345,"0")+IFERROR(X346/H346,"0")+IFERROR(X347/H347,"0")</f>
        <v>0</v>
      </c>
      <c r="Y348" s="43">
        <f>IFERROR(Y343/H343,"0")+IFERROR(Y344/H344,"0")+IFERROR(Y345/H345,"0")+IFERROR(Y346/H346,"0")+IFERROR(Y347/H347,"0")</f>
        <v>0</v>
      </c>
      <c r="Z348" s="43">
        <f>IFERROR(IF(Z343="",0,Z343),"0")+IFERROR(IF(Z344="",0,Z344),"0")+IFERROR(IF(Z345="",0,Z345),"0")+IFERROR(IF(Z346="",0,Z346),"0")+IFERROR(IF(Z347="",0,Z347),"0")</f>
        <v>0</v>
      </c>
      <c r="AA348" s="67"/>
      <c r="AB348" s="67"/>
      <c r="AC348" s="67"/>
    </row>
    <row r="349" spans="1:68" hidden="1" x14ac:dyDescent="0.2">
      <c r="A349" s="656"/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7"/>
      <c r="P349" s="653" t="s">
        <v>40</v>
      </c>
      <c r="Q349" s="654"/>
      <c r="R349" s="654"/>
      <c r="S349" s="654"/>
      <c r="T349" s="654"/>
      <c r="U349" s="654"/>
      <c r="V349" s="655"/>
      <c r="W349" s="42" t="s">
        <v>0</v>
      </c>
      <c r="X349" s="43">
        <f>IFERROR(SUM(X343:X347),"0")</f>
        <v>0</v>
      </c>
      <c r="Y349" s="43">
        <f>IFERROR(SUM(Y343:Y347),"0")</f>
        <v>0</v>
      </c>
      <c r="Z349" s="42"/>
      <c r="AA349" s="67"/>
      <c r="AB349" s="67"/>
      <c r="AC349" s="67"/>
    </row>
    <row r="350" spans="1:68" ht="14.25" hidden="1" customHeight="1" x14ac:dyDescent="0.25">
      <c r="A350" s="665" t="s">
        <v>86</v>
      </c>
      <c r="B350" s="665"/>
      <c r="C350" s="665"/>
      <c r="D350" s="665"/>
      <c r="E350" s="665"/>
      <c r="F350" s="665"/>
      <c r="G350" s="665"/>
      <c r="H350" s="665"/>
      <c r="I350" s="665"/>
      <c r="J350" s="665"/>
      <c r="K350" s="665"/>
      <c r="L350" s="665"/>
      <c r="M350" s="665"/>
      <c r="N350" s="665"/>
      <c r="O350" s="665"/>
      <c r="P350" s="665"/>
      <c r="Q350" s="665"/>
      <c r="R350" s="665"/>
      <c r="S350" s="665"/>
      <c r="T350" s="665"/>
      <c r="U350" s="665"/>
      <c r="V350" s="665"/>
      <c r="W350" s="665"/>
      <c r="X350" s="665"/>
      <c r="Y350" s="665"/>
      <c r="Z350" s="665"/>
      <c r="AA350" s="66"/>
      <c r="AB350" s="66"/>
      <c r="AC350" s="80"/>
    </row>
    <row r="351" spans="1:68" ht="27" hidden="1" customHeight="1" x14ac:dyDescent="0.25">
      <c r="A351" s="63" t="s">
        <v>582</v>
      </c>
      <c r="B351" s="63" t="s">
        <v>583</v>
      </c>
      <c r="C351" s="36">
        <v>4301051782</v>
      </c>
      <c r="D351" s="666">
        <v>4680115884618</v>
      </c>
      <c r="E351" s="666"/>
      <c r="F351" s="62">
        <v>0.6</v>
      </c>
      <c r="G351" s="37">
        <v>6</v>
      </c>
      <c r="H351" s="62">
        <v>3.6</v>
      </c>
      <c r="I351" s="62">
        <v>3.79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7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668"/>
      <c r="R351" s="668"/>
      <c r="S351" s="668"/>
      <c r="T351" s="669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584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585</v>
      </c>
      <c r="B352" s="63" t="s">
        <v>586</v>
      </c>
      <c r="C352" s="36">
        <v>4301052057</v>
      </c>
      <c r="D352" s="666">
        <v>4680115887114</v>
      </c>
      <c r="E352" s="666"/>
      <c r="F352" s="62">
        <v>0.55000000000000004</v>
      </c>
      <c r="G352" s="37">
        <v>6</v>
      </c>
      <c r="H352" s="62">
        <v>3.3</v>
      </c>
      <c r="I352" s="62">
        <v>3.49</v>
      </c>
      <c r="J352" s="37">
        <v>132</v>
      </c>
      <c r="K352" s="37" t="s">
        <v>134</v>
      </c>
      <c r="L352" s="37" t="s">
        <v>46</v>
      </c>
      <c r="M352" s="38" t="s">
        <v>90</v>
      </c>
      <c r="N352" s="38"/>
      <c r="O352" s="37">
        <v>45</v>
      </c>
      <c r="P352" s="7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668"/>
      <c r="R352" s="668"/>
      <c r="S352" s="668"/>
      <c r="T352" s="669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52" t="s">
        <v>587</v>
      </c>
      <c r="AG352" s="78"/>
      <c r="AJ352" s="84" t="s">
        <v>46</v>
      </c>
      <c r="AK352" s="84">
        <v>0</v>
      </c>
      <c r="BB352" s="453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idden="1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53" t="s">
        <v>40</v>
      </c>
      <c r="Q353" s="654"/>
      <c r="R353" s="654"/>
      <c r="S353" s="654"/>
      <c r="T353" s="654"/>
      <c r="U353" s="654"/>
      <c r="V353" s="655"/>
      <c r="W353" s="42" t="s">
        <v>39</v>
      </c>
      <c r="X353" s="43">
        <f>IFERROR(X351/H351,"0")+IFERROR(X352/H352,"0")</f>
        <v>0</v>
      </c>
      <c r="Y353" s="43">
        <f>IFERROR(Y351/H351,"0")+IFERROR(Y352/H352,"0")</f>
        <v>0</v>
      </c>
      <c r="Z353" s="43">
        <f>IFERROR(IF(Z351="",0,Z351),"0")+IFERROR(IF(Z352="",0,Z352),"0")</f>
        <v>0</v>
      </c>
      <c r="AA353" s="67"/>
      <c r="AB353" s="67"/>
      <c r="AC353" s="67"/>
    </row>
    <row r="354" spans="1:68" hidden="1" x14ac:dyDescent="0.2">
      <c r="A354" s="656"/>
      <c r="B354" s="656"/>
      <c r="C354" s="656"/>
      <c r="D354" s="656"/>
      <c r="E354" s="656"/>
      <c r="F354" s="656"/>
      <c r="G354" s="656"/>
      <c r="H354" s="656"/>
      <c r="I354" s="656"/>
      <c r="J354" s="656"/>
      <c r="K354" s="656"/>
      <c r="L354" s="656"/>
      <c r="M354" s="656"/>
      <c r="N354" s="656"/>
      <c r="O354" s="657"/>
      <c r="P354" s="653" t="s">
        <v>40</v>
      </c>
      <c r="Q354" s="654"/>
      <c r="R354" s="654"/>
      <c r="S354" s="654"/>
      <c r="T354" s="654"/>
      <c r="U354" s="654"/>
      <c r="V354" s="655"/>
      <c r="W354" s="42" t="s">
        <v>0</v>
      </c>
      <c r="X354" s="43">
        <f>IFERROR(SUM(X351:X352),"0")</f>
        <v>0</v>
      </c>
      <c r="Y354" s="43">
        <f>IFERROR(SUM(Y351:Y352),"0")</f>
        <v>0</v>
      </c>
      <c r="Z354" s="42"/>
      <c r="AA354" s="67"/>
      <c r="AB354" s="67"/>
      <c r="AC354" s="67"/>
    </row>
    <row r="355" spans="1:68" ht="16.5" hidden="1" customHeight="1" x14ac:dyDescent="0.25">
      <c r="A355" s="672" t="s">
        <v>588</v>
      </c>
      <c r="B355" s="672"/>
      <c r="C355" s="672"/>
      <c r="D355" s="672"/>
      <c r="E355" s="672"/>
      <c r="F355" s="672"/>
      <c r="G355" s="672"/>
      <c r="H355" s="672"/>
      <c r="I355" s="672"/>
      <c r="J355" s="672"/>
      <c r="K355" s="672"/>
      <c r="L355" s="672"/>
      <c r="M355" s="672"/>
      <c r="N355" s="672"/>
      <c r="O355" s="672"/>
      <c r="P355" s="672"/>
      <c r="Q355" s="672"/>
      <c r="R355" s="672"/>
      <c r="S355" s="672"/>
      <c r="T355" s="672"/>
      <c r="U355" s="672"/>
      <c r="V355" s="672"/>
      <c r="W355" s="672"/>
      <c r="X355" s="672"/>
      <c r="Y355" s="672"/>
      <c r="Z355" s="672"/>
      <c r="AA355" s="65"/>
      <c r="AB355" s="65"/>
      <c r="AC355" s="79"/>
    </row>
    <row r="356" spans="1:68" ht="14.25" hidden="1" customHeight="1" x14ac:dyDescent="0.25">
      <c r="A356" s="665" t="s">
        <v>122</v>
      </c>
      <c r="B356" s="665"/>
      <c r="C356" s="665"/>
      <c r="D356" s="665"/>
      <c r="E356" s="665"/>
      <c r="F356" s="665"/>
      <c r="G356" s="665"/>
      <c r="H356" s="665"/>
      <c r="I356" s="665"/>
      <c r="J356" s="665"/>
      <c r="K356" s="665"/>
      <c r="L356" s="665"/>
      <c r="M356" s="665"/>
      <c r="N356" s="665"/>
      <c r="O356" s="665"/>
      <c r="P356" s="665"/>
      <c r="Q356" s="665"/>
      <c r="R356" s="665"/>
      <c r="S356" s="665"/>
      <c r="T356" s="665"/>
      <c r="U356" s="665"/>
      <c r="V356" s="665"/>
      <c r="W356" s="665"/>
      <c r="X356" s="665"/>
      <c r="Y356" s="665"/>
      <c r="Z356" s="665"/>
      <c r="AA356" s="66"/>
      <c r="AB356" s="66"/>
      <c r="AC356" s="80"/>
    </row>
    <row r="357" spans="1:68" ht="27" hidden="1" customHeight="1" x14ac:dyDescent="0.25">
      <c r="A357" s="63" t="s">
        <v>589</v>
      </c>
      <c r="B357" s="63" t="s">
        <v>590</v>
      </c>
      <c r="C357" s="36">
        <v>4301012324</v>
      </c>
      <c r="D357" s="666">
        <v>4680115887947</v>
      </c>
      <c r="E357" s="666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7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668"/>
      <c r="R357" s="668"/>
      <c r="S357" s="668"/>
      <c r="T357" s="669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354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591</v>
      </c>
      <c r="B358" s="63" t="s">
        <v>592</v>
      </c>
      <c r="C358" s="36">
        <v>4301012325</v>
      </c>
      <c r="D358" s="666">
        <v>4680115887978</v>
      </c>
      <c r="E358" s="666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76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668"/>
      <c r="R358" s="668"/>
      <c r="S358" s="668"/>
      <c r="T358" s="669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593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hidden="1" customHeight="1" x14ac:dyDescent="0.25">
      <c r="A359" s="63" t="s">
        <v>594</v>
      </c>
      <c r="B359" s="63" t="s">
        <v>595</v>
      </c>
      <c r="C359" s="36">
        <v>4301012327</v>
      </c>
      <c r="D359" s="666">
        <v>4680115887992</v>
      </c>
      <c r="E359" s="666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668"/>
      <c r="R359" s="668"/>
      <c r="S359" s="668"/>
      <c r="T359" s="669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596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656"/>
      <c r="B360" s="656"/>
      <c r="C360" s="656"/>
      <c r="D360" s="656"/>
      <c r="E360" s="656"/>
      <c r="F360" s="656"/>
      <c r="G360" s="656"/>
      <c r="H360" s="656"/>
      <c r="I360" s="656"/>
      <c r="J360" s="656"/>
      <c r="K360" s="656"/>
      <c r="L360" s="656"/>
      <c r="M360" s="656"/>
      <c r="N360" s="656"/>
      <c r="O360" s="657"/>
      <c r="P360" s="653" t="s">
        <v>40</v>
      </c>
      <c r="Q360" s="654"/>
      <c r="R360" s="654"/>
      <c r="S360" s="654"/>
      <c r="T360" s="654"/>
      <c r="U360" s="654"/>
      <c r="V360" s="655"/>
      <c r="W360" s="42" t="s">
        <v>39</v>
      </c>
      <c r="X360" s="43">
        <f>IFERROR(X357/H357,"0")+IFERROR(X358/H358,"0")+IFERROR(X359/H359,"0")</f>
        <v>0</v>
      </c>
      <c r="Y360" s="43">
        <f>IFERROR(Y357/H357,"0")+IFERROR(Y358/H358,"0")+IFERROR(Y359/H359,"0")</f>
        <v>0</v>
      </c>
      <c r="Z360" s="43">
        <f>IFERROR(IF(Z357="",0,Z357),"0")+IFERROR(IF(Z358="",0,Z358),"0")+IFERROR(IF(Z359="",0,Z359),"0")</f>
        <v>0</v>
      </c>
      <c r="AA360" s="67"/>
      <c r="AB360" s="67"/>
      <c r="AC360" s="67"/>
    </row>
    <row r="361" spans="1:68" hidden="1" x14ac:dyDescent="0.2">
      <c r="A361" s="656"/>
      <c r="B361" s="656"/>
      <c r="C361" s="656"/>
      <c r="D361" s="656"/>
      <c r="E361" s="656"/>
      <c r="F361" s="656"/>
      <c r="G361" s="656"/>
      <c r="H361" s="656"/>
      <c r="I361" s="656"/>
      <c r="J361" s="656"/>
      <c r="K361" s="656"/>
      <c r="L361" s="656"/>
      <c r="M361" s="656"/>
      <c r="N361" s="656"/>
      <c r="O361" s="657"/>
      <c r="P361" s="653" t="s">
        <v>40</v>
      </c>
      <c r="Q361" s="654"/>
      <c r="R361" s="654"/>
      <c r="S361" s="654"/>
      <c r="T361" s="654"/>
      <c r="U361" s="654"/>
      <c r="V361" s="655"/>
      <c r="W361" s="42" t="s">
        <v>0</v>
      </c>
      <c r="X361" s="43">
        <f>IFERROR(SUM(X357:X359),"0")</f>
        <v>0</v>
      </c>
      <c r="Y361" s="43">
        <f>IFERROR(SUM(Y357:Y359),"0")</f>
        <v>0</v>
      </c>
      <c r="Z361" s="42"/>
      <c r="AA361" s="67"/>
      <c r="AB361" s="67"/>
      <c r="AC361" s="67"/>
    </row>
    <row r="362" spans="1:68" ht="16.5" hidden="1" customHeight="1" x14ac:dyDescent="0.25">
      <c r="A362" s="672" t="s">
        <v>597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5"/>
      <c r="AB362" s="65"/>
      <c r="AC362" s="79"/>
    </row>
    <row r="363" spans="1:68" ht="14.25" hidden="1" customHeight="1" x14ac:dyDescent="0.25">
      <c r="A363" s="665" t="s">
        <v>122</v>
      </c>
      <c r="B363" s="665"/>
      <c r="C363" s="665"/>
      <c r="D363" s="665"/>
      <c r="E363" s="665"/>
      <c r="F363" s="665"/>
      <c r="G363" s="665"/>
      <c r="H363" s="665"/>
      <c r="I363" s="665"/>
      <c r="J363" s="665"/>
      <c r="K363" s="665"/>
      <c r="L363" s="665"/>
      <c r="M363" s="665"/>
      <c r="N363" s="665"/>
      <c r="O363" s="665"/>
      <c r="P363" s="665"/>
      <c r="Q363" s="665"/>
      <c r="R363" s="665"/>
      <c r="S363" s="665"/>
      <c r="T363" s="665"/>
      <c r="U363" s="665"/>
      <c r="V363" s="665"/>
      <c r="W363" s="665"/>
      <c r="X363" s="665"/>
      <c r="Y363" s="665"/>
      <c r="Z363" s="665"/>
      <c r="AA363" s="66"/>
      <c r="AB363" s="66"/>
      <c r="AC363" s="80"/>
    </row>
    <row r="364" spans="1:68" ht="27" hidden="1" customHeight="1" x14ac:dyDescent="0.25">
      <c r="A364" s="63" t="s">
        <v>598</v>
      </c>
      <c r="B364" s="63" t="s">
        <v>599</v>
      </c>
      <c r="C364" s="36">
        <v>4301012400</v>
      </c>
      <c r="D364" s="666">
        <v>4680115889880</v>
      </c>
      <c r="E364" s="666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760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668"/>
      <c r="R364" s="668"/>
      <c r="S364" s="668"/>
      <c r="T364" s="669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ref="Y364:Y370" si="58"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542</v>
      </c>
      <c r="AC364" s="460" t="s">
        <v>522</v>
      </c>
      <c r="AG364" s="78"/>
      <c r="AJ364" s="84" t="s">
        <v>46</v>
      </c>
      <c r="AK364" s="84">
        <v>0</v>
      </c>
      <c r="BB364" s="461" t="s">
        <v>67</v>
      </c>
      <c r="BM364" s="78">
        <f t="shared" ref="BM364:BM370" si="59">IFERROR(X364*I364/H364,"0")</f>
        <v>0</v>
      </c>
      <c r="BN364" s="78">
        <f t="shared" ref="BN364:BN370" si="60">IFERROR(Y364*I364/H364,"0")</f>
        <v>0</v>
      </c>
      <c r="BO364" s="78">
        <f t="shared" ref="BO364:BO370" si="61">IFERROR(1/J364*(X364/H364),"0")</f>
        <v>0</v>
      </c>
      <c r="BP364" s="78">
        <f t="shared" ref="BP364:BP370" si="62">IFERROR(1/J364*(Y364/H364),"0")</f>
        <v>0</v>
      </c>
    </row>
    <row r="365" spans="1:68" ht="27" hidden="1" customHeight="1" x14ac:dyDescent="0.25">
      <c r="A365" s="63" t="s">
        <v>600</v>
      </c>
      <c r="B365" s="63" t="s">
        <v>601</v>
      </c>
      <c r="C365" s="36">
        <v>4301012360</v>
      </c>
      <c r="D365" s="666">
        <v>4680115889293</v>
      </c>
      <c r="E365" s="666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76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668"/>
      <c r="R365" s="668"/>
      <c r="S365" s="668"/>
      <c r="T365" s="669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602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603</v>
      </c>
      <c r="B366" s="63" t="s">
        <v>604</v>
      </c>
      <c r="C366" s="36">
        <v>4301012235</v>
      </c>
      <c r="D366" s="666">
        <v>4680115887190</v>
      </c>
      <c r="E366" s="666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68"/>
      <c r="R366" s="668"/>
      <c r="S366" s="668"/>
      <c r="T366" s="669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605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37.5" hidden="1" customHeight="1" x14ac:dyDescent="0.25">
      <c r="A367" s="63" t="s">
        <v>606</v>
      </c>
      <c r="B367" s="63" t="s">
        <v>607</v>
      </c>
      <c r="C367" s="36">
        <v>4301012233</v>
      </c>
      <c r="D367" s="666">
        <v>4680115887138</v>
      </c>
      <c r="E367" s="666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68"/>
      <c r="R367" s="668"/>
      <c r="S367" s="668"/>
      <c r="T367" s="669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608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609</v>
      </c>
      <c r="B368" s="63" t="s">
        <v>610</v>
      </c>
      <c r="C368" s="36">
        <v>4301012016</v>
      </c>
      <c r="D368" s="666">
        <v>4680115885554</v>
      </c>
      <c r="E368" s="666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90</v>
      </c>
      <c r="N368" s="38"/>
      <c r="O368" s="37">
        <v>55</v>
      </c>
      <c r="P368" s="76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68"/>
      <c r="R368" s="668"/>
      <c r="S368" s="668"/>
      <c r="T368" s="669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611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612</v>
      </c>
      <c r="B369" s="63" t="s">
        <v>613</v>
      </c>
      <c r="C369" s="36">
        <v>4301012236</v>
      </c>
      <c r="D369" s="666">
        <v>4680115887220</v>
      </c>
      <c r="E369" s="666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134</v>
      </c>
      <c r="L369" s="37" t="s">
        <v>46</v>
      </c>
      <c r="M369" s="38" t="s">
        <v>126</v>
      </c>
      <c r="N369" s="38"/>
      <c r="O369" s="37">
        <v>55</v>
      </c>
      <c r="P369" s="76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68"/>
      <c r="R369" s="668"/>
      <c r="S369" s="668"/>
      <c r="T369" s="669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605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614</v>
      </c>
      <c r="B370" s="63" t="s">
        <v>615</v>
      </c>
      <c r="C370" s="36">
        <v>4301011859</v>
      </c>
      <c r="D370" s="666">
        <v>4680115885608</v>
      </c>
      <c r="E370" s="666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68"/>
      <c r="R370" s="668"/>
      <c r="S370" s="668"/>
      <c r="T370" s="669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616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idden="1" x14ac:dyDescent="0.2">
      <c r="A371" s="656"/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7"/>
      <c r="P371" s="653" t="s">
        <v>40</v>
      </c>
      <c r="Q371" s="654"/>
      <c r="R371" s="654"/>
      <c r="S371" s="654"/>
      <c r="T371" s="654"/>
      <c r="U371" s="654"/>
      <c r="V371" s="655"/>
      <c r="W371" s="42" t="s">
        <v>39</v>
      </c>
      <c r="X371" s="43">
        <f>IFERROR(X364/H364,"0")+IFERROR(X365/H365,"0")+IFERROR(X366/H366,"0")+IFERROR(X367/H367,"0")+IFERROR(X368/H368,"0")+IFERROR(X369/H369,"0")+IFERROR(X370/H370,"0")</f>
        <v>0</v>
      </c>
      <c r="Y371" s="43">
        <f>IFERROR(Y364/H364,"0")+IFERROR(Y365/H365,"0")+IFERROR(Y366/H366,"0")+IFERROR(Y367/H367,"0")+IFERROR(Y368/H368,"0")+IFERROR(Y369/H369,"0")+IFERROR(Y370/H370,"0")</f>
        <v>0</v>
      </c>
      <c r="Z371" s="43">
        <f>IFERROR(IF(Z364="",0,Z364),"0")+IFERROR(IF(Z365="",0,Z365),"0")+IFERROR(IF(Z366="",0,Z366),"0")+IFERROR(IF(Z367="",0,Z367),"0")+IFERROR(IF(Z368="",0,Z368),"0")+IFERROR(IF(Z369="",0,Z369),"0")+IFERROR(IF(Z370="",0,Z370),"0")</f>
        <v>0</v>
      </c>
      <c r="AA371" s="67"/>
      <c r="AB371" s="67"/>
      <c r="AC371" s="67"/>
    </row>
    <row r="372" spans="1:68" hidden="1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3" t="s">
        <v>40</v>
      </c>
      <c r="Q372" s="654"/>
      <c r="R372" s="654"/>
      <c r="S372" s="654"/>
      <c r="T372" s="654"/>
      <c r="U372" s="654"/>
      <c r="V372" s="655"/>
      <c r="W372" s="42" t="s">
        <v>0</v>
      </c>
      <c r="X372" s="43">
        <f>IFERROR(SUM(X364:X370),"0")</f>
        <v>0</v>
      </c>
      <c r="Y372" s="43">
        <f>IFERROR(SUM(Y364:Y370),"0")</f>
        <v>0</v>
      </c>
      <c r="Z372" s="42"/>
      <c r="AA372" s="67"/>
      <c r="AB372" s="67"/>
      <c r="AC372" s="67"/>
    </row>
    <row r="373" spans="1:68" ht="14.25" hidden="1" customHeight="1" x14ac:dyDescent="0.25">
      <c r="A373" s="665" t="s">
        <v>77</v>
      </c>
      <c r="B373" s="665"/>
      <c r="C373" s="665"/>
      <c r="D373" s="665"/>
      <c r="E373" s="665"/>
      <c r="F373" s="665"/>
      <c r="G373" s="665"/>
      <c r="H373" s="665"/>
      <c r="I373" s="665"/>
      <c r="J373" s="665"/>
      <c r="K373" s="665"/>
      <c r="L373" s="665"/>
      <c r="M373" s="665"/>
      <c r="N373" s="665"/>
      <c r="O373" s="665"/>
      <c r="P373" s="665"/>
      <c r="Q373" s="665"/>
      <c r="R373" s="665"/>
      <c r="S373" s="665"/>
      <c r="T373" s="665"/>
      <c r="U373" s="665"/>
      <c r="V373" s="665"/>
      <c r="W373" s="665"/>
      <c r="X373" s="665"/>
      <c r="Y373" s="665"/>
      <c r="Z373" s="665"/>
      <c r="AA373" s="66"/>
      <c r="AB373" s="66"/>
      <c r="AC373" s="80"/>
    </row>
    <row r="374" spans="1:68" ht="27" hidden="1" customHeight="1" x14ac:dyDescent="0.25">
      <c r="A374" s="63" t="s">
        <v>617</v>
      </c>
      <c r="B374" s="63" t="s">
        <v>618</v>
      </c>
      <c r="C374" s="36">
        <v>4301030878</v>
      </c>
      <c r="D374" s="666">
        <v>4607091387193</v>
      </c>
      <c r="E374" s="666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35</v>
      </c>
      <c r="P374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68"/>
      <c r="R374" s="668"/>
      <c r="S374" s="668"/>
      <c r="T374" s="669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ref="Y374:Y380" si="63"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619</v>
      </c>
      <c r="AG374" s="78"/>
      <c r="AJ374" s="84" t="s">
        <v>46</v>
      </c>
      <c r="AK374" s="84">
        <v>0</v>
      </c>
      <c r="BB374" s="475" t="s">
        <v>67</v>
      </c>
      <c r="BM374" s="78">
        <f t="shared" ref="BM374:BM380" si="64">IFERROR(X374*I374/H374,"0")</f>
        <v>0</v>
      </c>
      <c r="BN374" s="78">
        <f t="shared" ref="BN374:BN380" si="65">IFERROR(Y374*I374/H374,"0")</f>
        <v>0</v>
      </c>
      <c r="BO374" s="78">
        <f t="shared" ref="BO374:BO380" si="66">IFERROR(1/J374*(X374/H374),"0")</f>
        <v>0</v>
      </c>
      <c r="BP374" s="78">
        <f t="shared" ref="BP374:BP380" si="67">IFERROR(1/J374*(Y374/H374),"0")</f>
        <v>0</v>
      </c>
    </row>
    <row r="375" spans="1:68" ht="27" hidden="1" customHeight="1" x14ac:dyDescent="0.25">
      <c r="A375" s="63" t="s">
        <v>620</v>
      </c>
      <c r="B375" s="63" t="s">
        <v>621</v>
      </c>
      <c r="C375" s="36">
        <v>4301031153</v>
      </c>
      <c r="D375" s="666">
        <v>4607091387230</v>
      </c>
      <c r="E375" s="666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40</v>
      </c>
      <c r="P375" s="75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68"/>
      <c r="R375" s="668"/>
      <c r="S375" s="668"/>
      <c r="T375" s="669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622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hidden="1" customHeight="1" x14ac:dyDescent="0.25">
      <c r="A376" s="63" t="s">
        <v>623</v>
      </c>
      <c r="B376" s="63" t="s">
        <v>624</v>
      </c>
      <c r="C376" s="36">
        <v>4301031154</v>
      </c>
      <c r="D376" s="666">
        <v>4607091387292</v>
      </c>
      <c r="E376" s="666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45</v>
      </c>
      <c r="P376" s="75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68"/>
      <c r="R376" s="668"/>
      <c r="S376" s="668"/>
      <c r="T376" s="669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625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626</v>
      </c>
      <c r="B377" s="63" t="s">
        <v>627</v>
      </c>
      <c r="C377" s="36">
        <v>4301031152</v>
      </c>
      <c r="D377" s="666">
        <v>4607091387285</v>
      </c>
      <c r="E377" s="666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82</v>
      </c>
      <c r="L377" s="37" t="s">
        <v>46</v>
      </c>
      <c r="M377" s="38" t="s">
        <v>81</v>
      </c>
      <c r="N377" s="38"/>
      <c r="O377" s="37">
        <v>40</v>
      </c>
      <c r="P377" s="7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68"/>
      <c r="R377" s="668"/>
      <c r="S377" s="668"/>
      <c r="T377" s="669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IFERROR(IF(Y377=0,"",ROUNDUP(Y377/H377,0)*0.00502),"")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628</v>
      </c>
      <c r="B378" s="63" t="s">
        <v>629</v>
      </c>
      <c r="C378" s="36">
        <v>4301031305</v>
      </c>
      <c r="D378" s="666">
        <v>4607091389845</v>
      </c>
      <c r="E378" s="666"/>
      <c r="F378" s="62">
        <v>0.35</v>
      </c>
      <c r="G378" s="37">
        <v>6</v>
      </c>
      <c r="H378" s="62">
        <v>2.1</v>
      </c>
      <c r="I378" s="62">
        <v>2.2000000000000002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68"/>
      <c r="R378" s="668"/>
      <c r="S378" s="668"/>
      <c r="T378" s="669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630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631</v>
      </c>
      <c r="B379" s="63" t="s">
        <v>632</v>
      </c>
      <c r="C379" s="36">
        <v>4301031460</v>
      </c>
      <c r="D379" s="666">
        <v>4680115887442</v>
      </c>
      <c r="E379" s="666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45</v>
      </c>
      <c r="P379" s="7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68"/>
      <c r="R379" s="668"/>
      <c r="S379" s="668"/>
      <c r="T379" s="669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625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633</v>
      </c>
      <c r="B380" s="63" t="s">
        <v>634</v>
      </c>
      <c r="C380" s="36">
        <v>4301031066</v>
      </c>
      <c r="D380" s="666">
        <v>4607091383836</v>
      </c>
      <c r="E380" s="666"/>
      <c r="F380" s="62">
        <v>0.3</v>
      </c>
      <c r="G380" s="37">
        <v>6</v>
      </c>
      <c r="H380" s="62">
        <v>1.8</v>
      </c>
      <c r="I380" s="62">
        <v>2.028</v>
      </c>
      <c r="J380" s="37">
        <v>182</v>
      </c>
      <c r="K380" s="37" t="s">
        <v>91</v>
      </c>
      <c r="L380" s="37" t="s">
        <v>46</v>
      </c>
      <c r="M380" s="38" t="s">
        <v>81</v>
      </c>
      <c r="N380" s="38"/>
      <c r="O380" s="37">
        <v>40</v>
      </c>
      <c r="P380" s="75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68"/>
      <c r="R380" s="668"/>
      <c r="S380" s="668"/>
      <c r="T380" s="669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6" t="s">
        <v>635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idden="1" x14ac:dyDescent="0.2">
      <c r="A381" s="656"/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7"/>
      <c r="P381" s="653" t="s">
        <v>40</v>
      </c>
      <c r="Q381" s="654"/>
      <c r="R381" s="654"/>
      <c r="S381" s="654"/>
      <c r="T381" s="654"/>
      <c r="U381" s="654"/>
      <c r="V381" s="655"/>
      <c r="W381" s="42" t="s">
        <v>39</v>
      </c>
      <c r="X381" s="43">
        <f>IFERROR(X374/H374,"0")+IFERROR(X375/H375,"0")+IFERROR(X376/H376,"0")+IFERROR(X377/H377,"0")+IFERROR(X378/H378,"0")+IFERROR(X379/H379,"0")+IFERROR(X380/H380,"0")</f>
        <v>0</v>
      </c>
      <c r="Y381" s="43">
        <f>IFERROR(Y374/H374,"0")+IFERROR(Y375/H375,"0")+IFERROR(Y376/H376,"0")+IFERROR(Y377/H377,"0")+IFERROR(Y378/H378,"0")+IFERROR(Y379/H379,"0")+IFERROR(Y380/H380,"0")</f>
        <v>0</v>
      </c>
      <c r="Z381" s="43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7"/>
      <c r="AB381" s="67"/>
      <c r="AC381" s="67"/>
    </row>
    <row r="382" spans="1:68" hidden="1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3" t="s">
        <v>40</v>
      </c>
      <c r="Q382" s="654"/>
      <c r="R382" s="654"/>
      <c r="S382" s="654"/>
      <c r="T382" s="654"/>
      <c r="U382" s="654"/>
      <c r="V382" s="655"/>
      <c r="W382" s="42" t="s">
        <v>0</v>
      </c>
      <c r="X382" s="43">
        <f>IFERROR(SUM(X374:X380),"0")</f>
        <v>0</v>
      </c>
      <c r="Y382" s="43">
        <f>IFERROR(SUM(Y374:Y380),"0")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665" t="s">
        <v>86</v>
      </c>
      <c r="B383" s="665"/>
      <c r="C383" s="665"/>
      <c r="D383" s="665"/>
      <c r="E383" s="665"/>
      <c r="F383" s="665"/>
      <c r="G383" s="665"/>
      <c r="H383" s="665"/>
      <c r="I383" s="665"/>
      <c r="J383" s="665"/>
      <c r="K383" s="665"/>
      <c r="L383" s="665"/>
      <c r="M383" s="665"/>
      <c r="N383" s="665"/>
      <c r="O383" s="665"/>
      <c r="P383" s="665"/>
      <c r="Q383" s="665"/>
      <c r="R383" s="665"/>
      <c r="S383" s="665"/>
      <c r="T383" s="665"/>
      <c r="U383" s="665"/>
      <c r="V383" s="665"/>
      <c r="W383" s="665"/>
      <c r="X383" s="665"/>
      <c r="Y383" s="665"/>
      <c r="Z383" s="665"/>
      <c r="AA383" s="66"/>
      <c r="AB383" s="66"/>
      <c r="AC383" s="80"/>
    </row>
    <row r="384" spans="1:68" ht="27" hidden="1" customHeight="1" x14ac:dyDescent="0.25">
      <c r="A384" s="63" t="s">
        <v>636</v>
      </c>
      <c r="B384" s="63" t="s">
        <v>637</v>
      </c>
      <c r="C384" s="36">
        <v>4301051100</v>
      </c>
      <c r="D384" s="666">
        <v>4607091387766</v>
      </c>
      <c r="E384" s="666"/>
      <c r="F384" s="62">
        <v>1.3</v>
      </c>
      <c r="G384" s="37">
        <v>6</v>
      </c>
      <c r="H384" s="62">
        <v>7.8</v>
      </c>
      <c r="I384" s="62">
        <v>8.2880000000000003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7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68"/>
      <c r="R384" s="668"/>
      <c r="S384" s="668"/>
      <c r="T384" s="669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638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639</v>
      </c>
      <c r="B385" s="63" t="s">
        <v>640</v>
      </c>
      <c r="C385" s="36">
        <v>4301051818</v>
      </c>
      <c r="D385" s="666">
        <v>4607091387957</v>
      </c>
      <c r="E385" s="666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68"/>
      <c r="R385" s="668"/>
      <c r="S385" s="668"/>
      <c r="T385" s="669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641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642</v>
      </c>
      <c r="B386" s="63" t="s">
        <v>643</v>
      </c>
      <c r="C386" s="36">
        <v>4301051819</v>
      </c>
      <c r="D386" s="666">
        <v>4607091387964</v>
      </c>
      <c r="E386" s="666"/>
      <c r="F386" s="62">
        <v>1.35</v>
      </c>
      <c r="G386" s="37">
        <v>6</v>
      </c>
      <c r="H386" s="62">
        <v>8.1</v>
      </c>
      <c r="I386" s="62">
        <v>8.5760000000000005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68"/>
      <c r="R386" s="668"/>
      <c r="S386" s="668"/>
      <c r="T386" s="669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644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4301051734</v>
      </c>
      <c r="D387" s="666">
        <v>4680115884588</v>
      </c>
      <c r="E387" s="666"/>
      <c r="F387" s="62">
        <v>0.5</v>
      </c>
      <c r="G387" s="37">
        <v>6</v>
      </c>
      <c r="H387" s="62">
        <v>3</v>
      </c>
      <c r="I387" s="62">
        <v>3.246</v>
      </c>
      <c r="J387" s="37">
        <v>182</v>
      </c>
      <c r="K387" s="37" t="s">
        <v>91</v>
      </c>
      <c r="L387" s="37" t="s">
        <v>46</v>
      </c>
      <c r="M387" s="38" t="s">
        <v>90</v>
      </c>
      <c r="N387" s="38"/>
      <c r="O387" s="37">
        <v>40</v>
      </c>
      <c r="P387" s="7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68"/>
      <c r="R387" s="668"/>
      <c r="S387" s="668"/>
      <c r="T387" s="669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94" t="s">
        <v>638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656"/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7"/>
      <c r="P388" s="653" t="s">
        <v>40</v>
      </c>
      <c r="Q388" s="654"/>
      <c r="R388" s="654"/>
      <c r="S388" s="654"/>
      <c r="T388" s="654"/>
      <c r="U388" s="654"/>
      <c r="V388" s="655"/>
      <c r="W388" s="42" t="s">
        <v>39</v>
      </c>
      <c r="X388" s="43">
        <f>IFERROR(X384/H384,"0")+IFERROR(X385/H385,"0")+IFERROR(X386/H386,"0")+IFERROR(X387/H387,"0")</f>
        <v>0</v>
      </c>
      <c r="Y388" s="43">
        <f>IFERROR(Y384/H384,"0")+IFERROR(Y385/H385,"0")+IFERROR(Y386/H386,"0")+IFERROR(Y387/H387,"0")</f>
        <v>0</v>
      </c>
      <c r="Z388" s="43">
        <f>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2" t="s">
        <v>0</v>
      </c>
      <c r="X389" s="43">
        <f>IFERROR(SUM(X384:X387),"0")</f>
        <v>0</v>
      </c>
      <c r="Y389" s="43">
        <f>IFERROR(SUM(Y384:Y387),"0")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665" t="s">
        <v>178</v>
      </c>
      <c r="B390" s="665"/>
      <c r="C390" s="665"/>
      <c r="D390" s="665"/>
      <c r="E390" s="665"/>
      <c r="F390" s="665"/>
      <c r="G390" s="665"/>
      <c r="H390" s="665"/>
      <c r="I390" s="665"/>
      <c r="J390" s="665"/>
      <c r="K390" s="665"/>
      <c r="L390" s="665"/>
      <c r="M390" s="665"/>
      <c r="N390" s="665"/>
      <c r="O390" s="665"/>
      <c r="P390" s="665"/>
      <c r="Q390" s="665"/>
      <c r="R390" s="665"/>
      <c r="S390" s="665"/>
      <c r="T390" s="665"/>
      <c r="U390" s="665"/>
      <c r="V390" s="665"/>
      <c r="W390" s="665"/>
      <c r="X390" s="665"/>
      <c r="Y390" s="665"/>
      <c r="Z390" s="665"/>
      <c r="AA390" s="66"/>
      <c r="AB390" s="66"/>
      <c r="AC390" s="80"/>
    </row>
    <row r="391" spans="1:68" ht="27" hidden="1" customHeight="1" x14ac:dyDescent="0.25">
      <c r="A391" s="63" t="s">
        <v>647</v>
      </c>
      <c r="B391" s="63" t="s">
        <v>648</v>
      </c>
      <c r="C391" s="36">
        <v>4301060387</v>
      </c>
      <c r="D391" s="666">
        <v>4607091380880</v>
      </c>
      <c r="E391" s="666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30</v>
      </c>
      <c r="P391" s="7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68"/>
      <c r="R391" s="668"/>
      <c r="S391" s="668"/>
      <c r="T391" s="669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649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650</v>
      </c>
      <c r="B392" s="63" t="s">
        <v>651</v>
      </c>
      <c r="C392" s="36">
        <v>4301060406</v>
      </c>
      <c r="D392" s="666">
        <v>4607091384482</v>
      </c>
      <c r="E392" s="666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68"/>
      <c r="R392" s="668"/>
      <c r="S392" s="668"/>
      <c r="T392" s="669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652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653</v>
      </c>
      <c r="B393" s="63" t="s">
        <v>654</v>
      </c>
      <c r="C393" s="36">
        <v>4301060484</v>
      </c>
      <c r="D393" s="666">
        <v>4607091380897</v>
      </c>
      <c r="E393" s="666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97</v>
      </c>
      <c r="N393" s="38"/>
      <c r="O393" s="37">
        <v>30</v>
      </c>
      <c r="P393" s="7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68"/>
      <c r="R393" s="668"/>
      <c r="S393" s="668"/>
      <c r="T393" s="669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655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idden="1" x14ac:dyDescent="0.2">
      <c r="A394" s="656"/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7"/>
      <c r="P394" s="653" t="s">
        <v>40</v>
      </c>
      <c r="Q394" s="654"/>
      <c r="R394" s="654"/>
      <c r="S394" s="654"/>
      <c r="T394" s="654"/>
      <c r="U394" s="654"/>
      <c r="V394" s="655"/>
      <c r="W394" s="42" t="s">
        <v>39</v>
      </c>
      <c r="X394" s="43">
        <f>IFERROR(X391/H391,"0")+IFERROR(X392/H392,"0")+IFERROR(X393/H393,"0")</f>
        <v>0</v>
      </c>
      <c r="Y394" s="43">
        <f>IFERROR(Y391/H391,"0")+IFERROR(Y392/H392,"0")+IFERROR(Y393/H393,"0")</f>
        <v>0</v>
      </c>
      <c r="Z394" s="43">
        <f>IFERROR(IF(Z391="",0,Z391),"0")+IFERROR(IF(Z392="",0,Z392),"0")+IFERROR(IF(Z393="",0,Z393),"0")</f>
        <v>0</v>
      </c>
      <c r="AA394" s="67"/>
      <c r="AB394" s="67"/>
      <c r="AC394" s="67"/>
    </row>
    <row r="395" spans="1:68" hidden="1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3" t="s">
        <v>40</v>
      </c>
      <c r="Q395" s="654"/>
      <c r="R395" s="654"/>
      <c r="S395" s="654"/>
      <c r="T395" s="654"/>
      <c r="U395" s="654"/>
      <c r="V395" s="655"/>
      <c r="W395" s="42" t="s">
        <v>0</v>
      </c>
      <c r="X395" s="43">
        <f>IFERROR(SUM(X391:X393),"0")</f>
        <v>0</v>
      </c>
      <c r="Y395" s="43">
        <f>IFERROR(SUM(Y391:Y393),"0")</f>
        <v>0</v>
      </c>
      <c r="Z395" s="42"/>
      <c r="AA395" s="67"/>
      <c r="AB395" s="67"/>
      <c r="AC395" s="67"/>
    </row>
    <row r="396" spans="1:68" ht="14.25" hidden="1" customHeight="1" x14ac:dyDescent="0.25">
      <c r="A396" s="665" t="s">
        <v>277</v>
      </c>
      <c r="B396" s="665"/>
      <c r="C396" s="665"/>
      <c r="D396" s="665"/>
      <c r="E396" s="665"/>
      <c r="F396" s="665"/>
      <c r="G396" s="665"/>
      <c r="H396" s="665"/>
      <c r="I396" s="665"/>
      <c r="J396" s="665"/>
      <c r="K396" s="665"/>
      <c r="L396" s="665"/>
      <c r="M396" s="665"/>
      <c r="N396" s="665"/>
      <c r="O396" s="665"/>
      <c r="P396" s="665"/>
      <c r="Q396" s="665"/>
      <c r="R396" s="665"/>
      <c r="S396" s="665"/>
      <c r="T396" s="665"/>
      <c r="U396" s="665"/>
      <c r="V396" s="665"/>
      <c r="W396" s="665"/>
      <c r="X396" s="665"/>
      <c r="Y396" s="665"/>
      <c r="Z396" s="665"/>
      <c r="AA396" s="66"/>
      <c r="AB396" s="66"/>
      <c r="AC396" s="80"/>
    </row>
    <row r="397" spans="1:68" ht="27" hidden="1" customHeight="1" x14ac:dyDescent="0.25">
      <c r="A397" s="63" t="s">
        <v>656</v>
      </c>
      <c r="B397" s="63" t="s">
        <v>657</v>
      </c>
      <c r="C397" s="36">
        <v>4301030235</v>
      </c>
      <c r="D397" s="666">
        <v>4607091388381</v>
      </c>
      <c r="E397" s="666"/>
      <c r="F397" s="62">
        <v>0.38</v>
      </c>
      <c r="G397" s="37">
        <v>8</v>
      </c>
      <c r="H397" s="62">
        <v>3.04</v>
      </c>
      <c r="I397" s="62">
        <v>3.31</v>
      </c>
      <c r="J397" s="37">
        <v>132</v>
      </c>
      <c r="K397" s="37" t="s">
        <v>134</v>
      </c>
      <c r="L397" s="37" t="s">
        <v>46</v>
      </c>
      <c r="M397" s="38" t="s">
        <v>253</v>
      </c>
      <c r="N397" s="38"/>
      <c r="O397" s="37">
        <v>180</v>
      </c>
      <c r="P397" s="7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68"/>
      <c r="R397" s="668"/>
      <c r="S397" s="668"/>
      <c r="T397" s="669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658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659</v>
      </c>
      <c r="B398" s="63" t="s">
        <v>660</v>
      </c>
      <c r="C398" s="36">
        <v>4301030232</v>
      </c>
      <c r="D398" s="666">
        <v>4607091388374</v>
      </c>
      <c r="E398" s="666"/>
      <c r="F398" s="62">
        <v>0.38</v>
      </c>
      <c r="G398" s="37">
        <v>8</v>
      </c>
      <c r="H398" s="62">
        <v>3.04</v>
      </c>
      <c r="I398" s="62">
        <v>3.27</v>
      </c>
      <c r="J398" s="37">
        <v>132</v>
      </c>
      <c r="K398" s="37" t="s">
        <v>134</v>
      </c>
      <c r="L398" s="37" t="s">
        <v>46</v>
      </c>
      <c r="M398" s="38" t="s">
        <v>253</v>
      </c>
      <c r="N398" s="38"/>
      <c r="O398" s="37">
        <v>180</v>
      </c>
      <c r="P398" s="7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68"/>
      <c r="R398" s="668"/>
      <c r="S398" s="668"/>
      <c r="T398" s="669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658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661</v>
      </c>
      <c r="B399" s="63" t="s">
        <v>662</v>
      </c>
      <c r="C399" s="36">
        <v>4301032015</v>
      </c>
      <c r="D399" s="666">
        <v>4607091383102</v>
      </c>
      <c r="E399" s="666"/>
      <c r="F399" s="62">
        <v>0.17</v>
      </c>
      <c r="G399" s="37">
        <v>15</v>
      </c>
      <c r="H399" s="62">
        <v>2.5499999999999998</v>
      </c>
      <c r="I399" s="62">
        <v>2.9550000000000001</v>
      </c>
      <c r="J399" s="37">
        <v>182</v>
      </c>
      <c r="K399" s="37" t="s">
        <v>91</v>
      </c>
      <c r="L399" s="37" t="s">
        <v>46</v>
      </c>
      <c r="M399" s="38" t="s">
        <v>253</v>
      </c>
      <c r="N399" s="38"/>
      <c r="O399" s="37">
        <v>180</v>
      </c>
      <c r="P399" s="7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68"/>
      <c r="R399" s="668"/>
      <c r="S399" s="668"/>
      <c r="T399" s="669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506" t="s">
        <v>658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663</v>
      </c>
      <c r="B400" s="63" t="s">
        <v>664</v>
      </c>
      <c r="C400" s="36">
        <v>4301030233</v>
      </c>
      <c r="D400" s="666">
        <v>4607091388404</v>
      </c>
      <c r="E400" s="666"/>
      <c r="F400" s="62">
        <v>0.17</v>
      </c>
      <c r="G400" s="37">
        <v>15</v>
      </c>
      <c r="H400" s="62">
        <v>2.5499999999999998</v>
      </c>
      <c r="I400" s="62">
        <v>2.88</v>
      </c>
      <c r="J400" s="37">
        <v>182</v>
      </c>
      <c r="K400" s="37" t="s">
        <v>91</v>
      </c>
      <c r="L400" s="37" t="s">
        <v>46</v>
      </c>
      <c r="M400" s="38" t="s">
        <v>253</v>
      </c>
      <c r="N400" s="38"/>
      <c r="O400" s="37">
        <v>180</v>
      </c>
      <c r="P400" s="7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68"/>
      <c r="R400" s="668"/>
      <c r="S400" s="668"/>
      <c r="T400" s="669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658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56"/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7"/>
      <c r="P401" s="653" t="s">
        <v>40</v>
      </c>
      <c r="Q401" s="654"/>
      <c r="R401" s="654"/>
      <c r="S401" s="654"/>
      <c r="T401" s="654"/>
      <c r="U401" s="654"/>
      <c r="V401" s="655"/>
      <c r="W401" s="42" t="s">
        <v>39</v>
      </c>
      <c r="X401" s="43">
        <f>IFERROR(X397/H397,"0")+IFERROR(X398/H398,"0")+IFERROR(X399/H399,"0")+IFERROR(X400/H400,"0")</f>
        <v>0</v>
      </c>
      <c r="Y401" s="43">
        <f>IFERROR(Y397/H397,"0")+IFERROR(Y398/H398,"0")+IFERROR(Y399/H399,"0")+IFERROR(Y400/H400,"0")</f>
        <v>0</v>
      </c>
      <c r="Z401" s="43">
        <f>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2" t="s">
        <v>0</v>
      </c>
      <c r="X402" s="43">
        <f>IFERROR(SUM(X397:X400),"0")</f>
        <v>0</v>
      </c>
      <c r="Y402" s="43">
        <f>IFERROR(SUM(Y397:Y400),"0")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65" t="s">
        <v>665</v>
      </c>
      <c r="B403" s="665"/>
      <c r="C403" s="665"/>
      <c r="D403" s="665"/>
      <c r="E403" s="665"/>
      <c r="F403" s="665"/>
      <c r="G403" s="665"/>
      <c r="H403" s="665"/>
      <c r="I403" s="665"/>
      <c r="J403" s="665"/>
      <c r="K403" s="665"/>
      <c r="L403" s="665"/>
      <c r="M403" s="665"/>
      <c r="N403" s="665"/>
      <c r="O403" s="665"/>
      <c r="P403" s="665"/>
      <c r="Q403" s="665"/>
      <c r="R403" s="665"/>
      <c r="S403" s="665"/>
      <c r="T403" s="665"/>
      <c r="U403" s="665"/>
      <c r="V403" s="665"/>
      <c r="W403" s="665"/>
      <c r="X403" s="665"/>
      <c r="Y403" s="665"/>
      <c r="Z403" s="665"/>
      <c r="AA403" s="66"/>
      <c r="AB403" s="66"/>
      <c r="AC403" s="80"/>
    </row>
    <row r="404" spans="1:68" ht="16.5" hidden="1" customHeight="1" x14ac:dyDescent="0.25">
      <c r="A404" s="63" t="s">
        <v>666</v>
      </c>
      <c r="B404" s="63" t="s">
        <v>667</v>
      </c>
      <c r="C404" s="36">
        <v>4301180007</v>
      </c>
      <c r="D404" s="666">
        <v>4680115881808</v>
      </c>
      <c r="E404" s="666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669</v>
      </c>
      <c r="N404" s="38"/>
      <c r="O404" s="37">
        <v>731</v>
      </c>
      <c r="P404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68"/>
      <c r="R404" s="668"/>
      <c r="S404" s="668"/>
      <c r="T404" s="669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668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670</v>
      </c>
      <c r="B405" s="63" t="s">
        <v>671</v>
      </c>
      <c r="C405" s="36">
        <v>4301180006</v>
      </c>
      <c r="D405" s="666">
        <v>4680115881822</v>
      </c>
      <c r="E405" s="666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669</v>
      </c>
      <c r="N405" s="38"/>
      <c r="O405" s="37">
        <v>731</v>
      </c>
      <c r="P405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68"/>
      <c r="R405" s="668"/>
      <c r="S405" s="668"/>
      <c r="T405" s="669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668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672</v>
      </c>
      <c r="B406" s="63" t="s">
        <v>673</v>
      </c>
      <c r="C406" s="36">
        <v>4301180001</v>
      </c>
      <c r="D406" s="666">
        <v>4680115880016</v>
      </c>
      <c r="E406" s="666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669</v>
      </c>
      <c r="N406" s="38"/>
      <c r="O406" s="37">
        <v>731</v>
      </c>
      <c r="P406" s="7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68"/>
      <c r="R406" s="668"/>
      <c r="S406" s="668"/>
      <c r="T406" s="669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668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656"/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7"/>
      <c r="P407" s="653" t="s">
        <v>40</v>
      </c>
      <c r="Q407" s="654"/>
      <c r="R407" s="654"/>
      <c r="S407" s="654"/>
      <c r="T407" s="654"/>
      <c r="U407" s="654"/>
      <c r="V407" s="655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4.25" hidden="1" customHeight="1" x14ac:dyDescent="0.25">
      <c r="A409" s="665" t="s">
        <v>674</v>
      </c>
      <c r="B409" s="665"/>
      <c r="C409" s="665"/>
      <c r="D409" s="665"/>
      <c r="E409" s="665"/>
      <c r="F409" s="665"/>
      <c r="G409" s="665"/>
      <c r="H409" s="665"/>
      <c r="I409" s="665"/>
      <c r="J409" s="665"/>
      <c r="K409" s="665"/>
      <c r="L409" s="665"/>
      <c r="M409" s="665"/>
      <c r="N409" s="665"/>
      <c r="O409" s="665"/>
      <c r="P409" s="665"/>
      <c r="Q409" s="665"/>
      <c r="R409" s="665"/>
      <c r="S409" s="665"/>
      <c r="T409" s="665"/>
      <c r="U409" s="665"/>
      <c r="V409" s="665"/>
      <c r="W409" s="665"/>
      <c r="X409" s="665"/>
      <c r="Y409" s="665"/>
      <c r="Z409" s="665"/>
      <c r="AA409" s="66"/>
      <c r="AB409" s="66"/>
      <c r="AC409" s="80"/>
    </row>
    <row r="410" spans="1:68" ht="27" hidden="1" customHeight="1" x14ac:dyDescent="0.25">
      <c r="A410" s="63" t="s">
        <v>675</v>
      </c>
      <c r="B410" s="63" t="s">
        <v>676</v>
      </c>
      <c r="C410" s="36">
        <v>4301220003</v>
      </c>
      <c r="D410" s="666">
        <v>4680115888678</v>
      </c>
      <c r="E410" s="666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669</v>
      </c>
      <c r="N410" s="38"/>
      <c r="O410" s="37">
        <v>1096</v>
      </c>
      <c r="P410" s="73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68"/>
      <c r="R410" s="668"/>
      <c r="S410" s="668"/>
      <c r="T410" s="669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677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678</v>
      </c>
      <c r="B411" s="63" t="s">
        <v>679</v>
      </c>
      <c r="C411" s="36">
        <v>4301220001</v>
      </c>
      <c r="D411" s="666">
        <v>4680115888654</v>
      </c>
      <c r="E411" s="666"/>
      <c r="F411" s="62">
        <v>0.32500000000000001</v>
      </c>
      <c r="G411" s="37">
        <v>12</v>
      </c>
      <c r="H411" s="62">
        <v>3.9</v>
      </c>
      <c r="I411" s="62">
        <v>4.17</v>
      </c>
      <c r="J411" s="37">
        <v>144</v>
      </c>
      <c r="K411" s="37" t="s">
        <v>134</v>
      </c>
      <c r="L411" s="37" t="s">
        <v>46</v>
      </c>
      <c r="M411" s="38" t="s">
        <v>669</v>
      </c>
      <c r="N411" s="38"/>
      <c r="O411" s="37">
        <v>1096</v>
      </c>
      <c r="P411" s="74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68"/>
      <c r="R411" s="668"/>
      <c r="S411" s="668"/>
      <c r="T411" s="669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IFERROR(IF(Y411=0,"",ROUNDUP(Y411/H411,0)*0.006),"")</f>
        <v/>
      </c>
      <c r="AA411" s="68" t="s">
        <v>46</v>
      </c>
      <c r="AB411" s="69" t="s">
        <v>46</v>
      </c>
      <c r="AC411" s="518" t="s">
        <v>680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681</v>
      </c>
      <c r="B412" s="63" t="s">
        <v>682</v>
      </c>
      <c r="C412" s="36">
        <v>4301220002</v>
      </c>
      <c r="D412" s="666">
        <v>4680115888753</v>
      </c>
      <c r="E412" s="666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669</v>
      </c>
      <c r="N412" s="38"/>
      <c r="O412" s="37">
        <v>1096</v>
      </c>
      <c r="P412" s="74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68"/>
      <c r="R412" s="668"/>
      <c r="S412" s="668"/>
      <c r="T412" s="669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677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656"/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7"/>
      <c r="P413" s="653" t="s">
        <v>40</v>
      </c>
      <c r="Q413" s="654"/>
      <c r="R413" s="654"/>
      <c r="S413" s="654"/>
      <c r="T413" s="654"/>
      <c r="U413" s="654"/>
      <c r="V413" s="655"/>
      <c r="W413" s="42" t="s">
        <v>39</v>
      </c>
      <c r="X413" s="43">
        <f>IFERROR(X410/H410,"0")+IFERROR(X411/H411,"0")+IFERROR(X412/H412,"0")</f>
        <v>0</v>
      </c>
      <c r="Y413" s="43">
        <f>IFERROR(Y410/H410,"0")+IFERROR(Y411/H411,"0")+IFERROR(Y412/H412,"0")</f>
        <v>0</v>
      </c>
      <c r="Z413" s="43">
        <f>IFERROR(IF(Z410="",0,Z410),"0")+IFERROR(IF(Z411="",0,Z411),"0")+IFERROR(IF(Z412="",0,Z412),"0")</f>
        <v>0</v>
      </c>
      <c r="AA413" s="67"/>
      <c r="AB413" s="67"/>
      <c r="AC413" s="67"/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2" t="s">
        <v>0</v>
      </c>
      <c r="X414" s="43">
        <f>IFERROR(SUM(X410:X412),"0")</f>
        <v>0</v>
      </c>
      <c r="Y414" s="43">
        <f>IFERROR(SUM(Y410:Y412),"0")</f>
        <v>0</v>
      </c>
      <c r="Z414" s="42"/>
      <c r="AA414" s="67"/>
      <c r="AB414" s="67"/>
      <c r="AC414" s="67"/>
    </row>
    <row r="415" spans="1:68" ht="16.5" hidden="1" customHeight="1" x14ac:dyDescent="0.25">
      <c r="A415" s="672" t="s">
        <v>683</v>
      </c>
      <c r="B415" s="672"/>
      <c r="C415" s="672"/>
      <c r="D415" s="672"/>
      <c r="E415" s="672"/>
      <c r="F415" s="672"/>
      <c r="G415" s="672"/>
      <c r="H415" s="672"/>
      <c r="I415" s="672"/>
      <c r="J415" s="672"/>
      <c r="K415" s="672"/>
      <c r="L415" s="672"/>
      <c r="M415" s="672"/>
      <c r="N415" s="672"/>
      <c r="O415" s="672"/>
      <c r="P415" s="672"/>
      <c r="Q415" s="672"/>
      <c r="R415" s="672"/>
      <c r="S415" s="672"/>
      <c r="T415" s="672"/>
      <c r="U415" s="672"/>
      <c r="V415" s="672"/>
      <c r="W415" s="672"/>
      <c r="X415" s="672"/>
      <c r="Y415" s="672"/>
      <c r="Z415" s="672"/>
      <c r="AA415" s="65"/>
      <c r="AB415" s="65"/>
      <c r="AC415" s="79"/>
    </row>
    <row r="416" spans="1:68" ht="14.25" hidden="1" customHeight="1" x14ac:dyDescent="0.25">
      <c r="A416" s="665" t="s">
        <v>86</v>
      </c>
      <c r="B416" s="665"/>
      <c r="C416" s="665"/>
      <c r="D416" s="665"/>
      <c r="E416" s="665"/>
      <c r="F416" s="665"/>
      <c r="G416" s="665"/>
      <c r="H416" s="665"/>
      <c r="I416" s="665"/>
      <c r="J416" s="665"/>
      <c r="K416" s="665"/>
      <c r="L416" s="665"/>
      <c r="M416" s="665"/>
      <c r="N416" s="665"/>
      <c r="O416" s="665"/>
      <c r="P416" s="665"/>
      <c r="Q416" s="665"/>
      <c r="R416" s="665"/>
      <c r="S416" s="665"/>
      <c r="T416" s="665"/>
      <c r="U416" s="665"/>
      <c r="V416" s="665"/>
      <c r="W416" s="665"/>
      <c r="X416" s="665"/>
      <c r="Y416" s="665"/>
      <c r="Z416" s="665"/>
      <c r="AA416" s="66"/>
      <c r="AB416" s="66"/>
      <c r="AC416" s="80"/>
    </row>
    <row r="417" spans="1:68" ht="16.5" hidden="1" customHeight="1" x14ac:dyDescent="0.25">
      <c r="A417" s="63" t="s">
        <v>684</v>
      </c>
      <c r="B417" s="63" t="s">
        <v>685</v>
      </c>
      <c r="C417" s="36">
        <v>4301052235</v>
      </c>
      <c r="D417" s="666">
        <v>4680115889415</v>
      </c>
      <c r="E417" s="666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127</v>
      </c>
      <c r="L417" s="37" t="s">
        <v>46</v>
      </c>
      <c r="M417" s="38" t="s">
        <v>90</v>
      </c>
      <c r="N417" s="38"/>
      <c r="O417" s="37">
        <v>40</v>
      </c>
      <c r="P417" s="73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68"/>
      <c r="R417" s="668"/>
      <c r="S417" s="668"/>
      <c r="T417" s="669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686</v>
      </c>
      <c r="AG417" s="78"/>
      <c r="AJ417" s="84" t="s">
        <v>46</v>
      </c>
      <c r="AK417" s="84">
        <v>0</v>
      </c>
      <c r="BB417" s="52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6.5" hidden="1" customHeight="1" x14ac:dyDescent="0.25">
      <c r="A418" s="63" t="s">
        <v>687</v>
      </c>
      <c r="B418" s="63" t="s">
        <v>688</v>
      </c>
      <c r="C418" s="36">
        <v>4301052236</v>
      </c>
      <c r="D418" s="666">
        <v>4680115889422</v>
      </c>
      <c r="E418" s="666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68"/>
      <c r="R418" s="668"/>
      <c r="S418" s="668"/>
      <c r="T418" s="669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689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idden="1" x14ac:dyDescent="0.2">
      <c r="A419" s="656"/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7"/>
      <c r="P419" s="653" t="s">
        <v>40</v>
      </c>
      <c r="Q419" s="654"/>
      <c r="R419" s="654"/>
      <c r="S419" s="654"/>
      <c r="T419" s="654"/>
      <c r="U419" s="654"/>
      <c r="V419" s="655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hidden="1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3" t="s">
        <v>40</v>
      </c>
      <c r="Q420" s="654"/>
      <c r="R420" s="654"/>
      <c r="S420" s="654"/>
      <c r="T420" s="654"/>
      <c r="U420" s="654"/>
      <c r="V420" s="655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6.5" hidden="1" customHeight="1" x14ac:dyDescent="0.25">
      <c r="A421" s="672" t="s">
        <v>690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5"/>
      <c r="AB421" s="65"/>
      <c r="AC421" s="79"/>
    </row>
    <row r="422" spans="1:68" ht="14.25" hidden="1" customHeight="1" x14ac:dyDescent="0.25">
      <c r="A422" s="665" t="s">
        <v>86</v>
      </c>
      <c r="B422" s="665"/>
      <c r="C422" s="665"/>
      <c r="D422" s="665"/>
      <c r="E422" s="665"/>
      <c r="F422" s="665"/>
      <c r="G422" s="665"/>
      <c r="H422" s="665"/>
      <c r="I422" s="665"/>
      <c r="J422" s="665"/>
      <c r="K422" s="665"/>
      <c r="L422" s="665"/>
      <c r="M422" s="665"/>
      <c r="N422" s="665"/>
      <c r="O422" s="665"/>
      <c r="P422" s="665"/>
      <c r="Q422" s="665"/>
      <c r="R422" s="665"/>
      <c r="S422" s="665"/>
      <c r="T422" s="665"/>
      <c r="U422" s="665"/>
      <c r="V422" s="665"/>
      <c r="W422" s="665"/>
      <c r="X422" s="665"/>
      <c r="Y422" s="665"/>
      <c r="Z422" s="665"/>
      <c r="AA422" s="66"/>
      <c r="AB422" s="66"/>
      <c r="AC422" s="80"/>
    </row>
    <row r="423" spans="1:68" ht="27" hidden="1" customHeight="1" x14ac:dyDescent="0.25">
      <c r="A423" s="63" t="s">
        <v>691</v>
      </c>
      <c r="B423" s="63" t="s">
        <v>692</v>
      </c>
      <c r="C423" s="36">
        <v>4301051489</v>
      </c>
      <c r="D423" s="666">
        <v>4607091387919</v>
      </c>
      <c r="E423" s="666"/>
      <c r="F423" s="62">
        <v>1.35</v>
      </c>
      <c r="G423" s="37">
        <v>6</v>
      </c>
      <c r="H423" s="62">
        <v>8.1</v>
      </c>
      <c r="I423" s="62">
        <v>8.5939999999999994</v>
      </c>
      <c r="J423" s="37">
        <v>64</v>
      </c>
      <c r="K423" s="37" t="s">
        <v>127</v>
      </c>
      <c r="L423" s="37" t="s">
        <v>46</v>
      </c>
      <c r="M423" s="38" t="s">
        <v>97</v>
      </c>
      <c r="N423" s="38"/>
      <c r="O423" s="37">
        <v>45</v>
      </c>
      <c r="P423" s="7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68"/>
      <c r="R423" s="668"/>
      <c r="S423" s="668"/>
      <c r="T423" s="669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6" t="s">
        <v>693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hidden="1" customHeight="1" x14ac:dyDescent="0.25">
      <c r="A424" s="63" t="s">
        <v>694</v>
      </c>
      <c r="B424" s="63" t="s">
        <v>695</v>
      </c>
      <c r="C424" s="36">
        <v>4301051461</v>
      </c>
      <c r="D424" s="666">
        <v>4680115883604</v>
      </c>
      <c r="E424" s="666"/>
      <c r="F424" s="62">
        <v>0.35</v>
      </c>
      <c r="G424" s="37">
        <v>6</v>
      </c>
      <c r="H424" s="62">
        <v>2.1</v>
      </c>
      <c r="I424" s="62">
        <v>2.3519999999999999</v>
      </c>
      <c r="J424" s="37">
        <v>182</v>
      </c>
      <c r="K424" s="37" t="s">
        <v>91</v>
      </c>
      <c r="L424" s="37" t="s">
        <v>46</v>
      </c>
      <c r="M424" s="38" t="s">
        <v>90</v>
      </c>
      <c r="N424" s="38"/>
      <c r="O424" s="37">
        <v>45</v>
      </c>
      <c r="P424" s="7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68"/>
      <c r="R424" s="668"/>
      <c r="S424" s="668"/>
      <c r="T424" s="669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IFERROR(IF(Y424=0,"",ROUNDUP(Y424/H424,0)*0.00651),"")</f>
        <v/>
      </c>
      <c r="AA424" s="68" t="s">
        <v>46</v>
      </c>
      <c r="AB424" s="69" t="s">
        <v>46</v>
      </c>
      <c r="AC424" s="528" t="s">
        <v>696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697</v>
      </c>
      <c r="B425" s="63" t="s">
        <v>698</v>
      </c>
      <c r="C425" s="36">
        <v>4301051864</v>
      </c>
      <c r="D425" s="666">
        <v>4680115883567</v>
      </c>
      <c r="E425" s="666"/>
      <c r="F425" s="62">
        <v>0.35</v>
      </c>
      <c r="G425" s="37">
        <v>6</v>
      </c>
      <c r="H425" s="62">
        <v>2.1</v>
      </c>
      <c r="I425" s="62">
        <v>2.34</v>
      </c>
      <c r="J425" s="37">
        <v>182</v>
      </c>
      <c r="K425" s="37" t="s">
        <v>91</v>
      </c>
      <c r="L425" s="37" t="s">
        <v>46</v>
      </c>
      <c r="M425" s="38" t="s">
        <v>97</v>
      </c>
      <c r="N425" s="38"/>
      <c r="O425" s="37">
        <v>40</v>
      </c>
      <c r="P425" s="72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68"/>
      <c r="R425" s="668"/>
      <c r="S425" s="668"/>
      <c r="T425" s="669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699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56"/>
      <c r="B426" s="656"/>
      <c r="C426" s="656"/>
      <c r="D426" s="656"/>
      <c r="E426" s="656"/>
      <c r="F426" s="656"/>
      <c r="G426" s="656"/>
      <c r="H426" s="656"/>
      <c r="I426" s="656"/>
      <c r="J426" s="656"/>
      <c r="K426" s="656"/>
      <c r="L426" s="656"/>
      <c r="M426" s="656"/>
      <c r="N426" s="656"/>
      <c r="O426" s="657"/>
      <c r="P426" s="653" t="s">
        <v>40</v>
      </c>
      <c r="Q426" s="654"/>
      <c r="R426" s="654"/>
      <c r="S426" s="654"/>
      <c r="T426" s="654"/>
      <c r="U426" s="654"/>
      <c r="V426" s="655"/>
      <c r="W426" s="42" t="s">
        <v>39</v>
      </c>
      <c r="X426" s="43">
        <f>IFERROR(X423/H423,"0")+IFERROR(X424/H424,"0")+IFERROR(X425/H425,"0")</f>
        <v>0</v>
      </c>
      <c r="Y426" s="43">
        <f>IFERROR(Y423/H423,"0")+IFERROR(Y424/H424,"0")+IFERROR(Y425/H425,"0")</f>
        <v>0</v>
      </c>
      <c r="Z426" s="43">
        <f>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3" t="s">
        <v>40</v>
      </c>
      <c r="Q427" s="654"/>
      <c r="R427" s="654"/>
      <c r="S427" s="654"/>
      <c r="T427" s="654"/>
      <c r="U427" s="654"/>
      <c r="V427" s="655"/>
      <c r="W427" s="42" t="s">
        <v>0</v>
      </c>
      <c r="X427" s="43">
        <f>IFERROR(SUM(X423:X425),"0")</f>
        <v>0</v>
      </c>
      <c r="Y427" s="43">
        <f>IFERROR(SUM(Y423:Y425),"0")</f>
        <v>0</v>
      </c>
      <c r="Z427" s="42"/>
      <c r="AA427" s="67"/>
      <c r="AB427" s="67"/>
      <c r="AC427" s="67"/>
    </row>
    <row r="428" spans="1:68" ht="27.75" hidden="1" customHeight="1" x14ac:dyDescent="0.2">
      <c r="A428" s="683" t="s">
        <v>700</v>
      </c>
      <c r="B428" s="683"/>
      <c r="C428" s="683"/>
      <c r="D428" s="683"/>
      <c r="E428" s="683"/>
      <c r="F428" s="683"/>
      <c r="G428" s="683"/>
      <c r="H428" s="683"/>
      <c r="I428" s="683"/>
      <c r="J428" s="683"/>
      <c r="K428" s="683"/>
      <c r="L428" s="683"/>
      <c r="M428" s="683"/>
      <c r="N428" s="683"/>
      <c r="O428" s="683"/>
      <c r="P428" s="683"/>
      <c r="Q428" s="683"/>
      <c r="R428" s="683"/>
      <c r="S428" s="683"/>
      <c r="T428" s="683"/>
      <c r="U428" s="683"/>
      <c r="V428" s="683"/>
      <c r="W428" s="683"/>
      <c r="X428" s="683"/>
      <c r="Y428" s="683"/>
      <c r="Z428" s="683"/>
      <c r="AA428" s="54"/>
      <c r="AB428" s="54"/>
      <c r="AC428" s="54"/>
    </row>
    <row r="429" spans="1:68" ht="16.5" hidden="1" customHeight="1" x14ac:dyDescent="0.25">
      <c r="A429" s="672" t="s">
        <v>701</v>
      </c>
      <c r="B429" s="672"/>
      <c r="C429" s="672"/>
      <c r="D429" s="672"/>
      <c r="E429" s="672"/>
      <c r="F429" s="672"/>
      <c r="G429" s="672"/>
      <c r="H429" s="672"/>
      <c r="I429" s="672"/>
      <c r="J429" s="672"/>
      <c r="K429" s="672"/>
      <c r="L429" s="672"/>
      <c r="M429" s="672"/>
      <c r="N429" s="672"/>
      <c r="O429" s="672"/>
      <c r="P429" s="672"/>
      <c r="Q429" s="672"/>
      <c r="R429" s="672"/>
      <c r="S429" s="672"/>
      <c r="T429" s="672"/>
      <c r="U429" s="672"/>
      <c r="V429" s="672"/>
      <c r="W429" s="672"/>
      <c r="X429" s="672"/>
      <c r="Y429" s="672"/>
      <c r="Z429" s="672"/>
      <c r="AA429" s="65"/>
      <c r="AB429" s="65"/>
      <c r="AC429" s="79"/>
    </row>
    <row r="430" spans="1:68" ht="14.25" hidden="1" customHeight="1" x14ac:dyDescent="0.25">
      <c r="A430" s="665" t="s">
        <v>122</v>
      </c>
      <c r="B430" s="665"/>
      <c r="C430" s="665"/>
      <c r="D430" s="665"/>
      <c r="E430" s="665"/>
      <c r="F430" s="665"/>
      <c r="G430" s="665"/>
      <c r="H430" s="665"/>
      <c r="I430" s="665"/>
      <c r="J430" s="665"/>
      <c r="K430" s="665"/>
      <c r="L430" s="665"/>
      <c r="M430" s="665"/>
      <c r="N430" s="665"/>
      <c r="O430" s="665"/>
      <c r="P430" s="665"/>
      <c r="Q430" s="665"/>
      <c r="R430" s="665"/>
      <c r="S430" s="665"/>
      <c r="T430" s="665"/>
      <c r="U430" s="665"/>
      <c r="V430" s="665"/>
      <c r="W430" s="665"/>
      <c r="X430" s="665"/>
      <c r="Y430" s="665"/>
      <c r="Z430" s="665"/>
      <c r="AA430" s="66"/>
      <c r="AB430" s="66"/>
      <c r="AC430" s="80"/>
    </row>
    <row r="431" spans="1:68" ht="27" hidden="1" customHeight="1" x14ac:dyDescent="0.25">
      <c r="A431" s="63" t="s">
        <v>702</v>
      </c>
      <c r="B431" s="63" t="s">
        <v>703</v>
      </c>
      <c r="C431" s="36">
        <v>4301012332</v>
      </c>
      <c r="D431" s="666">
        <v>4680115888401</v>
      </c>
      <c r="E431" s="666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2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68"/>
      <c r="R431" s="668"/>
      <c r="S431" s="668"/>
      <c r="T431" s="669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ref="Y431:Y438" si="68"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704</v>
      </c>
      <c r="AG431" s="78"/>
      <c r="AJ431" s="84" t="s">
        <v>46</v>
      </c>
      <c r="AK431" s="84">
        <v>0</v>
      </c>
      <c r="BB431" s="533" t="s">
        <v>67</v>
      </c>
      <c r="BM431" s="78">
        <f t="shared" ref="BM431:BM438" si="69">IFERROR(X431*I431/H431,"0")</f>
        <v>0</v>
      </c>
      <c r="BN431" s="78">
        <f t="shared" ref="BN431:BN438" si="70">IFERROR(Y431*I431/H431,"0")</f>
        <v>0</v>
      </c>
      <c r="BO431" s="78">
        <f t="shared" ref="BO431:BO438" si="71">IFERROR(1/J431*(X431/H431),"0")</f>
        <v>0</v>
      </c>
      <c r="BP431" s="78">
        <f t="shared" ref="BP431:BP438" si="72">IFERROR(1/J431*(Y431/H431),"0")</f>
        <v>0</v>
      </c>
    </row>
    <row r="432" spans="1:68" ht="37.5" customHeight="1" x14ac:dyDescent="0.25">
      <c r="A432" s="63" t="s">
        <v>705</v>
      </c>
      <c r="B432" s="63" t="s">
        <v>706</v>
      </c>
      <c r="C432" s="36">
        <v>4301011869</v>
      </c>
      <c r="D432" s="666">
        <v>4680115884847</v>
      </c>
      <c r="E432" s="666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7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68"/>
      <c r="R432" s="668"/>
      <c r="S432" s="668"/>
      <c r="T432" s="669"/>
      <c r="U432" s="39" t="s">
        <v>46</v>
      </c>
      <c r="V432" s="39" t="s">
        <v>46</v>
      </c>
      <c r="W432" s="40" t="s">
        <v>0</v>
      </c>
      <c r="X432" s="58">
        <v>400</v>
      </c>
      <c r="Y432" s="55">
        <f t="shared" si="68"/>
        <v>405</v>
      </c>
      <c r="Z432" s="41">
        <f>IFERROR(IF(Y432=0,"",ROUNDUP(Y432/H432,0)*0.02175),"")</f>
        <v>0.58724999999999994</v>
      </c>
      <c r="AA432" s="68" t="s">
        <v>46</v>
      </c>
      <c r="AB432" s="69" t="s">
        <v>46</v>
      </c>
      <c r="AC432" s="534" t="s">
        <v>707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412.53333333333336</v>
      </c>
      <c r="BN432" s="78">
        <f t="shared" si="70"/>
        <v>417.69</v>
      </c>
      <c r="BO432" s="78">
        <f t="shared" si="71"/>
        <v>0.55555555555555558</v>
      </c>
      <c r="BP432" s="78">
        <f t="shared" si="72"/>
        <v>0.5625</v>
      </c>
    </row>
    <row r="433" spans="1:68" ht="27" hidden="1" customHeight="1" x14ac:dyDescent="0.25">
      <c r="A433" s="63" t="s">
        <v>708</v>
      </c>
      <c r="B433" s="63" t="s">
        <v>709</v>
      </c>
      <c r="C433" s="36">
        <v>4301012083</v>
      </c>
      <c r="D433" s="666">
        <v>4680115884854</v>
      </c>
      <c r="E433" s="666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126</v>
      </c>
      <c r="N433" s="38"/>
      <c r="O433" s="37">
        <v>60</v>
      </c>
      <c r="P433" s="7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68"/>
      <c r="R433" s="668"/>
      <c r="S433" s="668"/>
      <c r="T433" s="669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710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hidden="1" customHeight="1" x14ac:dyDescent="0.25">
      <c r="A434" s="63" t="s">
        <v>711</v>
      </c>
      <c r="B434" s="63" t="s">
        <v>712</v>
      </c>
      <c r="C434" s="36">
        <v>4301011867</v>
      </c>
      <c r="D434" s="666">
        <v>4680115884830</v>
      </c>
      <c r="E434" s="666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7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68"/>
      <c r="R434" s="668"/>
      <c r="S434" s="668"/>
      <c r="T434" s="669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713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714</v>
      </c>
      <c r="B435" s="63" t="s">
        <v>715</v>
      </c>
      <c r="C435" s="36">
        <v>4301012356</v>
      </c>
      <c r="D435" s="666">
        <v>4680115889231</v>
      </c>
      <c r="E435" s="666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73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68"/>
      <c r="R435" s="668"/>
      <c r="S435" s="668"/>
      <c r="T435" s="669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716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717</v>
      </c>
      <c r="B436" s="63" t="s">
        <v>718</v>
      </c>
      <c r="C436" s="36">
        <v>4301011433</v>
      </c>
      <c r="D436" s="666">
        <v>4680115882638</v>
      </c>
      <c r="E436" s="666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134</v>
      </c>
      <c r="L436" s="37" t="s">
        <v>46</v>
      </c>
      <c r="M436" s="38" t="s">
        <v>126</v>
      </c>
      <c r="N436" s="38"/>
      <c r="O436" s="37">
        <v>90</v>
      </c>
      <c r="P436" s="72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68"/>
      <c r="R436" s="668"/>
      <c r="S436" s="668"/>
      <c r="T436" s="669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719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720</v>
      </c>
      <c r="B437" s="63" t="s">
        <v>721</v>
      </c>
      <c r="C437" s="36">
        <v>4301011952</v>
      </c>
      <c r="D437" s="666">
        <v>4680115884922</v>
      </c>
      <c r="E437" s="666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134</v>
      </c>
      <c r="L437" s="37" t="s">
        <v>46</v>
      </c>
      <c r="M437" s="38" t="s">
        <v>81</v>
      </c>
      <c r="N437" s="38"/>
      <c r="O437" s="37">
        <v>60</v>
      </c>
      <c r="P437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68"/>
      <c r="R437" s="668"/>
      <c r="S437" s="668"/>
      <c r="T437" s="669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722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37.5" hidden="1" customHeight="1" x14ac:dyDescent="0.25">
      <c r="A438" s="63" t="s">
        <v>723</v>
      </c>
      <c r="B438" s="63" t="s">
        <v>724</v>
      </c>
      <c r="C438" s="36">
        <v>4301011868</v>
      </c>
      <c r="D438" s="666">
        <v>4680115884861</v>
      </c>
      <c r="E438" s="666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68"/>
      <c r="R438" s="668"/>
      <c r="S438" s="668"/>
      <c r="T438" s="669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725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x14ac:dyDescent="0.2">
      <c r="A439" s="656"/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7"/>
      <c r="P439" s="653" t="s">
        <v>40</v>
      </c>
      <c r="Q439" s="654"/>
      <c r="R439" s="654"/>
      <c r="S439" s="654"/>
      <c r="T439" s="654"/>
      <c r="U439" s="654"/>
      <c r="V439" s="655"/>
      <c r="W439" s="42" t="s">
        <v>39</v>
      </c>
      <c r="X439" s="43">
        <f>IFERROR(X431/H431,"0")+IFERROR(X432/H432,"0")+IFERROR(X433/H433,"0")+IFERROR(X434/H434,"0")+IFERROR(X435/H435,"0")+IFERROR(X436/H436,"0")+IFERROR(X437/H437,"0")+IFERROR(X438/H438,"0")</f>
        <v>26.666666666666668</v>
      </c>
      <c r="Y439" s="43">
        <f>IFERROR(Y431/H431,"0")+IFERROR(Y432/H432,"0")+IFERROR(Y433/H433,"0")+IFERROR(Y434/H434,"0")+IFERROR(Y435/H435,"0")+IFERROR(Y436/H436,"0")+IFERROR(Y437/H437,"0")+IFERROR(Y438/H438,"0")</f>
        <v>27</v>
      </c>
      <c r="Z439" s="43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0.58724999999999994</v>
      </c>
      <c r="AA439" s="67"/>
      <c r="AB439" s="67"/>
      <c r="AC439" s="67"/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2" t="s">
        <v>0</v>
      </c>
      <c r="X440" s="43">
        <f>IFERROR(SUM(X431:X438),"0")</f>
        <v>400</v>
      </c>
      <c r="Y440" s="43">
        <f>IFERROR(SUM(Y431:Y438),"0")</f>
        <v>405</v>
      </c>
      <c r="Z440" s="42"/>
      <c r="AA440" s="67"/>
      <c r="AB440" s="67"/>
      <c r="AC440" s="67"/>
    </row>
    <row r="441" spans="1:68" ht="14.25" hidden="1" customHeight="1" x14ac:dyDescent="0.25">
      <c r="A441" s="665" t="s">
        <v>159</v>
      </c>
      <c r="B441" s="665"/>
      <c r="C441" s="665"/>
      <c r="D441" s="665"/>
      <c r="E441" s="665"/>
      <c r="F441" s="665"/>
      <c r="G441" s="665"/>
      <c r="H441" s="665"/>
      <c r="I441" s="665"/>
      <c r="J441" s="665"/>
      <c r="K441" s="665"/>
      <c r="L441" s="665"/>
      <c r="M441" s="665"/>
      <c r="N441" s="665"/>
      <c r="O441" s="665"/>
      <c r="P441" s="665"/>
      <c r="Q441" s="665"/>
      <c r="R441" s="665"/>
      <c r="S441" s="665"/>
      <c r="T441" s="665"/>
      <c r="U441" s="665"/>
      <c r="V441" s="665"/>
      <c r="W441" s="665"/>
      <c r="X441" s="665"/>
      <c r="Y441" s="665"/>
      <c r="Z441" s="665"/>
      <c r="AA441" s="66"/>
      <c r="AB441" s="66"/>
      <c r="AC441" s="80"/>
    </row>
    <row r="442" spans="1:68" ht="27" customHeight="1" x14ac:dyDescent="0.25">
      <c r="A442" s="63" t="s">
        <v>726</v>
      </c>
      <c r="B442" s="63" t="s">
        <v>727</v>
      </c>
      <c r="C442" s="36">
        <v>4301020178</v>
      </c>
      <c r="D442" s="666">
        <v>4607091383980</v>
      </c>
      <c r="E442" s="666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127</v>
      </c>
      <c r="L442" s="37" t="s">
        <v>46</v>
      </c>
      <c r="M442" s="38" t="s">
        <v>126</v>
      </c>
      <c r="N442" s="38"/>
      <c r="O442" s="37">
        <v>50</v>
      </c>
      <c r="P442" s="72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68"/>
      <c r="R442" s="668"/>
      <c r="S442" s="668"/>
      <c r="T442" s="669"/>
      <c r="U442" s="39" t="s">
        <v>46</v>
      </c>
      <c r="V442" s="39" t="s">
        <v>46</v>
      </c>
      <c r="W442" s="40" t="s">
        <v>0</v>
      </c>
      <c r="X442" s="58">
        <v>400</v>
      </c>
      <c r="Y442" s="55">
        <f>IFERROR(IF(X442="",0,CEILING((X442/$H442),1)*$H442),"")</f>
        <v>405</v>
      </c>
      <c r="Z442" s="41">
        <f>IFERROR(IF(Y442=0,"",ROUNDUP(Y442/H442,0)*0.02175),"")</f>
        <v>0.58724999999999994</v>
      </c>
      <c r="AA442" s="68" t="s">
        <v>46</v>
      </c>
      <c r="AB442" s="69" t="s">
        <v>46</v>
      </c>
      <c r="AC442" s="548" t="s">
        <v>728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412.53333333333336</v>
      </c>
      <c r="BN442" s="78">
        <f>IFERROR(Y442*I442/H442,"0")</f>
        <v>417.69</v>
      </c>
      <c r="BO442" s="78">
        <f>IFERROR(1/J442*(X442/H442),"0")</f>
        <v>0.55555555555555558</v>
      </c>
      <c r="BP442" s="78">
        <f>IFERROR(1/J442*(Y442/H442),"0")</f>
        <v>0.5625</v>
      </c>
    </row>
    <row r="443" spans="1:68" ht="27" hidden="1" customHeight="1" x14ac:dyDescent="0.25">
      <c r="A443" s="63" t="s">
        <v>729</v>
      </c>
      <c r="B443" s="63" t="s">
        <v>730</v>
      </c>
      <c r="C443" s="36">
        <v>4301020355</v>
      </c>
      <c r="D443" s="666">
        <v>4680115888425</v>
      </c>
      <c r="E443" s="666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2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68"/>
      <c r="R443" s="668"/>
      <c r="S443" s="668"/>
      <c r="T443" s="669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731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732</v>
      </c>
      <c r="B444" s="63" t="s">
        <v>733</v>
      </c>
      <c r="C444" s="36">
        <v>4301020179</v>
      </c>
      <c r="D444" s="666">
        <v>4607091384178</v>
      </c>
      <c r="E444" s="666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134</v>
      </c>
      <c r="L444" s="37" t="s">
        <v>46</v>
      </c>
      <c r="M444" s="38" t="s">
        <v>126</v>
      </c>
      <c r="N444" s="38"/>
      <c r="O444" s="37">
        <v>50</v>
      </c>
      <c r="P444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68"/>
      <c r="R444" s="668"/>
      <c r="S444" s="668"/>
      <c r="T444" s="669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52" t="s">
        <v>734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56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3" t="s">
        <v>40</v>
      </c>
      <c r="Q445" s="654"/>
      <c r="R445" s="654"/>
      <c r="S445" s="654"/>
      <c r="T445" s="654"/>
      <c r="U445" s="654"/>
      <c r="V445" s="655"/>
      <c r="W445" s="42" t="s">
        <v>39</v>
      </c>
      <c r="X445" s="43">
        <f>IFERROR(X442/H442,"0")+IFERROR(X443/H443,"0")+IFERROR(X444/H444,"0")</f>
        <v>26.666666666666668</v>
      </c>
      <c r="Y445" s="43">
        <f>IFERROR(Y442/H442,"0")+IFERROR(Y443/H443,"0")+IFERROR(Y444/H444,"0")</f>
        <v>27</v>
      </c>
      <c r="Z445" s="43">
        <f>IFERROR(IF(Z442="",0,Z442),"0")+IFERROR(IF(Z443="",0,Z443),"0")+IFERROR(IF(Z444="",0,Z444),"0")</f>
        <v>0.58724999999999994</v>
      </c>
      <c r="AA445" s="67"/>
      <c r="AB445" s="67"/>
      <c r="AC445" s="67"/>
    </row>
    <row r="446" spans="1:68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2" t="s">
        <v>0</v>
      </c>
      <c r="X446" s="43">
        <f>IFERROR(SUM(X442:X444),"0")</f>
        <v>400</v>
      </c>
      <c r="Y446" s="43">
        <f>IFERROR(SUM(Y442:Y444),"0")</f>
        <v>405</v>
      </c>
      <c r="Z446" s="42"/>
      <c r="AA446" s="67"/>
      <c r="AB446" s="67"/>
      <c r="AC446" s="67"/>
    </row>
    <row r="447" spans="1:68" ht="14.25" hidden="1" customHeight="1" x14ac:dyDescent="0.25">
      <c r="A447" s="665" t="s">
        <v>86</v>
      </c>
      <c r="B447" s="665"/>
      <c r="C447" s="665"/>
      <c r="D447" s="665"/>
      <c r="E447" s="665"/>
      <c r="F447" s="665"/>
      <c r="G447" s="665"/>
      <c r="H447" s="665"/>
      <c r="I447" s="665"/>
      <c r="J447" s="665"/>
      <c r="K447" s="665"/>
      <c r="L447" s="665"/>
      <c r="M447" s="665"/>
      <c r="N447" s="665"/>
      <c r="O447" s="665"/>
      <c r="P447" s="665"/>
      <c r="Q447" s="665"/>
      <c r="R447" s="665"/>
      <c r="S447" s="665"/>
      <c r="T447" s="665"/>
      <c r="U447" s="665"/>
      <c r="V447" s="665"/>
      <c r="W447" s="665"/>
      <c r="X447" s="665"/>
      <c r="Y447" s="665"/>
      <c r="Z447" s="665"/>
      <c r="AA447" s="66"/>
      <c r="AB447" s="66"/>
      <c r="AC447" s="80"/>
    </row>
    <row r="448" spans="1:68" ht="27" hidden="1" customHeight="1" x14ac:dyDescent="0.25">
      <c r="A448" s="63" t="s">
        <v>735</v>
      </c>
      <c r="B448" s="63" t="s">
        <v>736</v>
      </c>
      <c r="C448" s="36">
        <v>4301051903</v>
      </c>
      <c r="D448" s="666">
        <v>4607091383928</v>
      </c>
      <c r="E448" s="666"/>
      <c r="F448" s="62">
        <v>1.5</v>
      </c>
      <c r="G448" s="37">
        <v>6</v>
      </c>
      <c r="H448" s="62">
        <v>9</v>
      </c>
      <c r="I448" s="62">
        <v>9.5</v>
      </c>
      <c r="J448" s="37">
        <v>64</v>
      </c>
      <c r="K448" s="37" t="s">
        <v>127</v>
      </c>
      <c r="L448" s="37" t="s">
        <v>46</v>
      </c>
      <c r="M448" s="38" t="s">
        <v>90</v>
      </c>
      <c r="N448" s="38"/>
      <c r="O448" s="37">
        <v>40</v>
      </c>
      <c r="P448" s="71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68"/>
      <c r="R448" s="668"/>
      <c r="S448" s="668"/>
      <c r="T448" s="669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54" t="s">
        <v>737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738</v>
      </c>
      <c r="B449" s="63" t="s">
        <v>739</v>
      </c>
      <c r="C449" s="36">
        <v>4301051897</v>
      </c>
      <c r="D449" s="666">
        <v>4607091384260</v>
      </c>
      <c r="E449" s="666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1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68"/>
      <c r="R449" s="668"/>
      <c r="S449" s="668"/>
      <c r="T449" s="669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740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741</v>
      </c>
      <c r="B450" s="63" t="s">
        <v>742</v>
      </c>
      <c r="C450" s="36">
        <v>4301052220</v>
      </c>
      <c r="D450" s="666">
        <v>4680115889538</v>
      </c>
      <c r="E450" s="666"/>
      <c r="F450" s="62">
        <v>0.8</v>
      </c>
      <c r="G450" s="37">
        <v>6</v>
      </c>
      <c r="H450" s="62">
        <v>4.8</v>
      </c>
      <c r="I450" s="62">
        <v>5.2160000000000002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45</v>
      </c>
      <c r="P450" s="71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68"/>
      <c r="R450" s="668"/>
      <c r="S450" s="668"/>
      <c r="T450" s="669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8" t="s">
        <v>743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2" t="s">
        <v>39</v>
      </c>
      <c r="X451" s="43">
        <f>IFERROR(X448/H448,"0")+IFERROR(X449/H449,"0")+IFERROR(X450/H450,"0")</f>
        <v>0</v>
      </c>
      <c r="Y451" s="43">
        <f>IFERROR(Y448/H448,"0")+IFERROR(Y449/H449,"0")+IFERROR(Y450/H450,"0")</f>
        <v>0</v>
      </c>
      <c r="Z451" s="43">
        <f>IFERROR(IF(Z448="",0,Z448),"0")+IFERROR(IF(Z449="",0,Z449),"0")+IFERROR(IF(Z450="",0,Z450),"0")</f>
        <v>0</v>
      </c>
      <c r="AA451" s="67"/>
      <c r="AB451" s="67"/>
      <c r="AC451" s="67"/>
    </row>
    <row r="452" spans="1:68" hidden="1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2" t="s">
        <v>0</v>
      </c>
      <c r="X452" s="43">
        <f>IFERROR(SUM(X448:X450),"0")</f>
        <v>0</v>
      </c>
      <c r="Y452" s="43">
        <f>IFERROR(SUM(Y448:Y450),"0")</f>
        <v>0</v>
      </c>
      <c r="Z452" s="42"/>
      <c r="AA452" s="67"/>
      <c r="AB452" s="67"/>
      <c r="AC452" s="67"/>
    </row>
    <row r="453" spans="1:68" ht="14.25" hidden="1" customHeight="1" x14ac:dyDescent="0.25">
      <c r="A453" s="665" t="s">
        <v>178</v>
      </c>
      <c r="B453" s="665"/>
      <c r="C453" s="665"/>
      <c r="D453" s="665"/>
      <c r="E453" s="665"/>
      <c r="F453" s="665"/>
      <c r="G453" s="665"/>
      <c r="H453" s="665"/>
      <c r="I453" s="665"/>
      <c r="J453" s="665"/>
      <c r="K453" s="665"/>
      <c r="L453" s="665"/>
      <c r="M453" s="665"/>
      <c r="N453" s="665"/>
      <c r="O453" s="665"/>
      <c r="P453" s="665"/>
      <c r="Q453" s="665"/>
      <c r="R453" s="665"/>
      <c r="S453" s="665"/>
      <c r="T453" s="665"/>
      <c r="U453" s="665"/>
      <c r="V453" s="665"/>
      <c r="W453" s="665"/>
      <c r="X453" s="665"/>
      <c r="Y453" s="665"/>
      <c r="Z453" s="665"/>
      <c r="AA453" s="66"/>
      <c r="AB453" s="66"/>
      <c r="AC453" s="80"/>
    </row>
    <row r="454" spans="1:68" ht="27" hidden="1" customHeight="1" x14ac:dyDescent="0.25">
      <c r="A454" s="63" t="s">
        <v>744</v>
      </c>
      <c r="B454" s="63" t="s">
        <v>745</v>
      </c>
      <c r="C454" s="36">
        <v>4301060537</v>
      </c>
      <c r="D454" s="666">
        <v>4680115889545</v>
      </c>
      <c r="E454" s="666"/>
      <c r="F454" s="62">
        <v>0.7</v>
      </c>
      <c r="G454" s="37">
        <v>6</v>
      </c>
      <c r="H454" s="62">
        <v>4.2</v>
      </c>
      <c r="I454" s="62">
        <v>4.6159999999999997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30</v>
      </c>
      <c r="P454" s="71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68"/>
      <c r="R454" s="668"/>
      <c r="S454" s="668"/>
      <c r="T454" s="669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0" t="s">
        <v>746</v>
      </c>
      <c r="AG454" s="78"/>
      <c r="AJ454" s="84" t="s">
        <v>46</v>
      </c>
      <c r="AK454" s="84">
        <v>0</v>
      </c>
      <c r="BB454" s="561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16.5" hidden="1" customHeight="1" x14ac:dyDescent="0.25">
      <c r="A455" s="63" t="s">
        <v>747</v>
      </c>
      <c r="B455" s="63" t="s">
        <v>748</v>
      </c>
      <c r="C455" s="36">
        <v>4301060524</v>
      </c>
      <c r="D455" s="666">
        <v>4607091384673</v>
      </c>
      <c r="E455" s="666"/>
      <c r="F455" s="62">
        <v>1.5</v>
      </c>
      <c r="G455" s="37">
        <v>6</v>
      </c>
      <c r="H455" s="62">
        <v>9</v>
      </c>
      <c r="I455" s="62">
        <v>9.4939999999999998</v>
      </c>
      <c r="J455" s="37">
        <v>64</v>
      </c>
      <c r="K455" s="37" t="s">
        <v>127</v>
      </c>
      <c r="L455" s="37" t="s">
        <v>46</v>
      </c>
      <c r="M455" s="38" t="s">
        <v>90</v>
      </c>
      <c r="N455" s="38"/>
      <c r="O455" s="37">
        <v>40</v>
      </c>
      <c r="P455" s="71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68"/>
      <c r="R455" s="668"/>
      <c r="S455" s="668"/>
      <c r="T455" s="669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2" t="s">
        <v>749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56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3" t="s">
        <v>40</v>
      </c>
      <c r="Q456" s="654"/>
      <c r="R456" s="654"/>
      <c r="S456" s="654"/>
      <c r="T456" s="654"/>
      <c r="U456" s="654"/>
      <c r="V456" s="655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6.5" hidden="1" customHeight="1" x14ac:dyDescent="0.25">
      <c r="A458" s="672" t="s">
        <v>750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5"/>
      <c r="AB458" s="65"/>
      <c r="AC458" s="79"/>
    </row>
    <row r="459" spans="1:68" ht="14.25" hidden="1" customHeight="1" x14ac:dyDescent="0.25">
      <c r="A459" s="665" t="s">
        <v>122</v>
      </c>
      <c r="B459" s="665"/>
      <c r="C459" s="665"/>
      <c r="D459" s="665"/>
      <c r="E459" s="665"/>
      <c r="F459" s="665"/>
      <c r="G459" s="665"/>
      <c r="H459" s="665"/>
      <c r="I459" s="665"/>
      <c r="J459" s="665"/>
      <c r="K459" s="665"/>
      <c r="L459" s="665"/>
      <c r="M459" s="665"/>
      <c r="N459" s="665"/>
      <c r="O459" s="665"/>
      <c r="P459" s="665"/>
      <c r="Q459" s="665"/>
      <c r="R459" s="665"/>
      <c r="S459" s="665"/>
      <c r="T459" s="665"/>
      <c r="U459" s="665"/>
      <c r="V459" s="665"/>
      <c r="W459" s="665"/>
      <c r="X459" s="665"/>
      <c r="Y459" s="665"/>
      <c r="Z459" s="665"/>
      <c r="AA459" s="66"/>
      <c r="AB459" s="66"/>
      <c r="AC459" s="80"/>
    </row>
    <row r="460" spans="1:68" ht="27" hidden="1" customHeight="1" x14ac:dyDescent="0.25">
      <c r="A460" s="63" t="s">
        <v>751</v>
      </c>
      <c r="B460" s="63" t="s">
        <v>752</v>
      </c>
      <c r="C460" s="36">
        <v>4301011875</v>
      </c>
      <c r="D460" s="666">
        <v>4680115884885</v>
      </c>
      <c r="E460" s="666"/>
      <c r="F460" s="62">
        <v>0.8</v>
      </c>
      <c r="G460" s="37">
        <v>15</v>
      </c>
      <c r="H460" s="62">
        <v>12</v>
      </c>
      <c r="I460" s="62">
        <v>12.41</v>
      </c>
      <c r="J460" s="37">
        <v>64</v>
      </c>
      <c r="K460" s="37" t="s">
        <v>127</v>
      </c>
      <c r="L460" s="37" t="s">
        <v>46</v>
      </c>
      <c r="M460" s="38" t="s">
        <v>81</v>
      </c>
      <c r="N460" s="38"/>
      <c r="O460" s="37">
        <v>60</v>
      </c>
      <c r="P460" s="71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68"/>
      <c r="R460" s="668"/>
      <c r="S460" s="668"/>
      <c r="T460" s="669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64" t="s">
        <v>753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37.5" hidden="1" customHeight="1" x14ac:dyDescent="0.25">
      <c r="A461" s="63" t="s">
        <v>754</v>
      </c>
      <c r="B461" s="63" t="s">
        <v>755</v>
      </c>
      <c r="C461" s="36">
        <v>4301011871</v>
      </c>
      <c r="D461" s="666">
        <v>4680115884908</v>
      </c>
      <c r="E461" s="666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60</v>
      </c>
      <c r="P461" s="7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68"/>
      <c r="R461" s="668"/>
      <c r="S461" s="668"/>
      <c r="T461" s="669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6" t="s">
        <v>753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3" t="s">
        <v>40</v>
      </c>
      <c r="Q463" s="654"/>
      <c r="R463" s="654"/>
      <c r="S463" s="654"/>
      <c r="T463" s="654"/>
      <c r="U463" s="654"/>
      <c r="V463" s="655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5" t="s">
        <v>77</v>
      </c>
      <c r="B464" s="665"/>
      <c r="C464" s="665"/>
      <c r="D464" s="665"/>
      <c r="E464" s="665"/>
      <c r="F464" s="665"/>
      <c r="G464" s="665"/>
      <c r="H464" s="665"/>
      <c r="I464" s="665"/>
      <c r="J464" s="665"/>
      <c r="K464" s="665"/>
      <c r="L464" s="665"/>
      <c r="M464" s="665"/>
      <c r="N464" s="665"/>
      <c r="O464" s="665"/>
      <c r="P464" s="665"/>
      <c r="Q464" s="665"/>
      <c r="R464" s="665"/>
      <c r="S464" s="665"/>
      <c r="T464" s="665"/>
      <c r="U464" s="665"/>
      <c r="V464" s="665"/>
      <c r="W464" s="665"/>
      <c r="X464" s="665"/>
      <c r="Y464" s="665"/>
      <c r="Z464" s="665"/>
      <c r="AA464" s="66"/>
      <c r="AB464" s="66"/>
      <c r="AC464" s="80"/>
    </row>
    <row r="465" spans="1:68" ht="27" hidden="1" customHeight="1" x14ac:dyDescent="0.25">
      <c r="A465" s="63" t="s">
        <v>756</v>
      </c>
      <c r="B465" s="63" t="s">
        <v>757</v>
      </c>
      <c r="C465" s="36">
        <v>4301031457</v>
      </c>
      <c r="D465" s="666">
        <v>4607091384802</v>
      </c>
      <c r="E465" s="666"/>
      <c r="F465" s="62">
        <v>0.7</v>
      </c>
      <c r="G465" s="37">
        <v>6</v>
      </c>
      <c r="H465" s="62">
        <v>4.2</v>
      </c>
      <c r="I465" s="62">
        <v>4.45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50</v>
      </c>
      <c r="P465" s="7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68"/>
      <c r="R465" s="668"/>
      <c r="S465" s="668"/>
      <c r="T465" s="669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68" t="s">
        <v>758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56"/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7"/>
      <c r="P466" s="653" t="s">
        <v>40</v>
      </c>
      <c r="Q466" s="654"/>
      <c r="R466" s="654"/>
      <c r="S466" s="654"/>
      <c r="T466" s="654"/>
      <c r="U466" s="654"/>
      <c r="V466" s="655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665" t="s">
        <v>86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66"/>
      <c r="AB468" s="66"/>
      <c r="AC468" s="80"/>
    </row>
    <row r="469" spans="1:68" ht="27" hidden="1" customHeight="1" x14ac:dyDescent="0.25">
      <c r="A469" s="63" t="s">
        <v>759</v>
      </c>
      <c r="B469" s="63" t="s">
        <v>760</v>
      </c>
      <c r="C469" s="36">
        <v>4301051899</v>
      </c>
      <c r="D469" s="666">
        <v>4607091384246</v>
      </c>
      <c r="E469" s="666"/>
      <c r="F469" s="62">
        <v>1.5</v>
      </c>
      <c r="G469" s="37">
        <v>6</v>
      </c>
      <c r="H469" s="62">
        <v>9</v>
      </c>
      <c r="I469" s="62">
        <v>9.4939999999999998</v>
      </c>
      <c r="J469" s="37">
        <v>64</v>
      </c>
      <c r="K469" s="37" t="s">
        <v>127</v>
      </c>
      <c r="L469" s="37" t="s">
        <v>46</v>
      </c>
      <c r="M469" s="38" t="s">
        <v>90</v>
      </c>
      <c r="N469" s="38"/>
      <c r="O469" s="37">
        <v>40</v>
      </c>
      <c r="P469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68"/>
      <c r="R469" s="668"/>
      <c r="S469" s="668"/>
      <c r="T469" s="669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46</v>
      </c>
      <c r="AB469" s="69" t="s">
        <v>46</v>
      </c>
      <c r="AC469" s="570" t="s">
        <v>761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hidden="1" customHeight="1" x14ac:dyDescent="0.25">
      <c r="A470" s="63" t="s">
        <v>762</v>
      </c>
      <c r="B470" s="63" t="s">
        <v>763</v>
      </c>
      <c r="C470" s="36">
        <v>4301051660</v>
      </c>
      <c r="D470" s="666">
        <v>4607091384253</v>
      </c>
      <c r="E470" s="666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91</v>
      </c>
      <c r="L470" s="37" t="s">
        <v>46</v>
      </c>
      <c r="M470" s="38" t="s">
        <v>90</v>
      </c>
      <c r="N470" s="38"/>
      <c r="O470" s="37">
        <v>40</v>
      </c>
      <c r="P470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68"/>
      <c r="R470" s="668"/>
      <c r="S470" s="668"/>
      <c r="T470" s="669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761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762</v>
      </c>
      <c r="B471" s="63" t="s">
        <v>764</v>
      </c>
      <c r="C471" s="36">
        <v>4301052069</v>
      </c>
      <c r="D471" s="666">
        <v>4607091384253</v>
      </c>
      <c r="E471" s="666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68"/>
      <c r="R471" s="668"/>
      <c r="S471" s="668"/>
      <c r="T471" s="669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656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3" t="s">
        <v>40</v>
      </c>
      <c r="Q472" s="654"/>
      <c r="R472" s="654"/>
      <c r="S472" s="654"/>
      <c r="T472" s="654"/>
      <c r="U472" s="654"/>
      <c r="V472" s="655"/>
      <c r="W472" s="42" t="s">
        <v>39</v>
      </c>
      <c r="X472" s="43">
        <f>IFERROR(X469/H469,"0")+IFERROR(X470/H470,"0")+IFERROR(X471/H471,"0")</f>
        <v>0</v>
      </c>
      <c r="Y472" s="43">
        <f>IFERROR(Y469/H469,"0")+IFERROR(Y470/H470,"0")+IFERROR(Y471/H471,"0")</f>
        <v>0</v>
      </c>
      <c r="Z472" s="43">
        <f>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3" t="s">
        <v>40</v>
      </c>
      <c r="Q473" s="654"/>
      <c r="R473" s="654"/>
      <c r="S473" s="654"/>
      <c r="T473" s="654"/>
      <c r="U473" s="654"/>
      <c r="V473" s="655"/>
      <c r="W473" s="42" t="s">
        <v>0</v>
      </c>
      <c r="X473" s="43">
        <f>IFERROR(SUM(X469:X471),"0")</f>
        <v>0</v>
      </c>
      <c r="Y473" s="43">
        <f>IFERROR(SUM(Y469:Y471),"0")</f>
        <v>0</v>
      </c>
      <c r="Z473" s="42"/>
      <c r="AA473" s="67"/>
      <c r="AB473" s="67"/>
      <c r="AC473" s="67"/>
    </row>
    <row r="474" spans="1:68" ht="27.75" hidden="1" customHeight="1" x14ac:dyDescent="0.2">
      <c r="A474" s="683" t="s">
        <v>766</v>
      </c>
      <c r="B474" s="683"/>
      <c r="C474" s="683"/>
      <c r="D474" s="683"/>
      <c r="E474" s="683"/>
      <c r="F474" s="683"/>
      <c r="G474" s="683"/>
      <c r="H474" s="683"/>
      <c r="I474" s="683"/>
      <c r="J474" s="683"/>
      <c r="K474" s="683"/>
      <c r="L474" s="683"/>
      <c r="M474" s="683"/>
      <c r="N474" s="683"/>
      <c r="O474" s="683"/>
      <c r="P474" s="683"/>
      <c r="Q474" s="683"/>
      <c r="R474" s="683"/>
      <c r="S474" s="683"/>
      <c r="T474" s="683"/>
      <c r="U474" s="683"/>
      <c r="V474" s="683"/>
      <c r="W474" s="683"/>
      <c r="X474" s="683"/>
      <c r="Y474" s="683"/>
      <c r="Z474" s="683"/>
      <c r="AA474" s="54"/>
      <c r="AB474" s="54"/>
      <c r="AC474" s="54"/>
    </row>
    <row r="475" spans="1:68" ht="16.5" hidden="1" customHeight="1" x14ac:dyDescent="0.25">
      <c r="A475" s="672" t="s">
        <v>767</v>
      </c>
      <c r="B475" s="672"/>
      <c r="C475" s="672"/>
      <c r="D475" s="672"/>
      <c r="E475" s="672"/>
      <c r="F475" s="672"/>
      <c r="G475" s="672"/>
      <c r="H475" s="672"/>
      <c r="I475" s="672"/>
      <c r="J475" s="672"/>
      <c r="K475" s="672"/>
      <c r="L475" s="672"/>
      <c r="M475" s="672"/>
      <c r="N475" s="672"/>
      <c r="O475" s="672"/>
      <c r="P475" s="672"/>
      <c r="Q475" s="672"/>
      <c r="R475" s="672"/>
      <c r="S475" s="672"/>
      <c r="T475" s="672"/>
      <c r="U475" s="672"/>
      <c r="V475" s="672"/>
      <c r="W475" s="672"/>
      <c r="X475" s="672"/>
      <c r="Y475" s="672"/>
      <c r="Z475" s="672"/>
      <c r="AA475" s="65"/>
      <c r="AB475" s="65"/>
      <c r="AC475" s="79"/>
    </row>
    <row r="476" spans="1:68" ht="14.25" hidden="1" customHeight="1" x14ac:dyDescent="0.25">
      <c r="A476" s="665" t="s">
        <v>77</v>
      </c>
      <c r="B476" s="665"/>
      <c r="C476" s="665"/>
      <c r="D476" s="665"/>
      <c r="E476" s="665"/>
      <c r="F476" s="665"/>
      <c r="G476" s="665"/>
      <c r="H476" s="665"/>
      <c r="I476" s="665"/>
      <c r="J476" s="665"/>
      <c r="K476" s="665"/>
      <c r="L476" s="665"/>
      <c r="M476" s="665"/>
      <c r="N476" s="665"/>
      <c r="O476" s="665"/>
      <c r="P476" s="665"/>
      <c r="Q476" s="665"/>
      <c r="R476" s="665"/>
      <c r="S476" s="665"/>
      <c r="T476" s="665"/>
      <c r="U476" s="665"/>
      <c r="V476" s="665"/>
      <c r="W476" s="665"/>
      <c r="X476" s="665"/>
      <c r="Y476" s="665"/>
      <c r="Z476" s="665"/>
      <c r="AA476" s="66"/>
      <c r="AB476" s="66"/>
      <c r="AC476" s="80"/>
    </row>
    <row r="477" spans="1:68" ht="27" hidden="1" customHeight="1" x14ac:dyDescent="0.25">
      <c r="A477" s="63" t="s">
        <v>768</v>
      </c>
      <c r="B477" s="63" t="s">
        <v>769</v>
      </c>
      <c r="C477" s="36">
        <v>4301031405</v>
      </c>
      <c r="D477" s="666">
        <v>4680115886100</v>
      </c>
      <c r="E477" s="666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134</v>
      </c>
      <c r="L477" s="37" t="s">
        <v>46</v>
      </c>
      <c r="M477" s="38" t="s">
        <v>81</v>
      </c>
      <c r="N477" s="38"/>
      <c r="O477" s="37">
        <v>50</v>
      </c>
      <c r="P477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68"/>
      <c r="R477" s="668"/>
      <c r="S477" s="668"/>
      <c r="T477" s="669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ref="Y477:Y482" si="73"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6" t="s">
        <v>770</v>
      </c>
      <c r="AG477" s="78"/>
      <c r="AJ477" s="84" t="s">
        <v>46</v>
      </c>
      <c r="AK477" s="84">
        <v>0</v>
      </c>
      <c r="BB477" s="577" t="s">
        <v>67</v>
      </c>
      <c r="BM477" s="78">
        <f t="shared" ref="BM477:BM482" si="74">IFERROR(X477*I477/H477,"0")</f>
        <v>0</v>
      </c>
      <c r="BN477" s="78">
        <f t="shared" ref="BN477:BN482" si="75">IFERROR(Y477*I477/H477,"0")</f>
        <v>0</v>
      </c>
      <c r="BO477" s="78">
        <f t="shared" ref="BO477:BO482" si="76">IFERROR(1/J477*(X477/H477),"0")</f>
        <v>0</v>
      </c>
      <c r="BP477" s="78">
        <f t="shared" ref="BP477:BP482" si="77">IFERROR(1/J477*(Y477/H477),"0")</f>
        <v>0</v>
      </c>
    </row>
    <row r="478" spans="1:68" ht="27" hidden="1" customHeight="1" x14ac:dyDescent="0.25">
      <c r="A478" s="63" t="s">
        <v>771</v>
      </c>
      <c r="B478" s="63" t="s">
        <v>772</v>
      </c>
      <c r="C478" s="36">
        <v>4301031402</v>
      </c>
      <c r="D478" s="666">
        <v>4680115886124</v>
      </c>
      <c r="E478" s="666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68"/>
      <c r="R478" s="668"/>
      <c r="S478" s="668"/>
      <c r="T478" s="669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773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hidden="1" customHeight="1" x14ac:dyDescent="0.25">
      <c r="A479" s="63" t="s">
        <v>774</v>
      </c>
      <c r="B479" s="63" t="s">
        <v>775</v>
      </c>
      <c r="C479" s="36">
        <v>4301031362</v>
      </c>
      <c r="D479" s="666">
        <v>4607091384338</v>
      </c>
      <c r="E479" s="666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7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68"/>
      <c r="R479" s="668"/>
      <c r="S479" s="668"/>
      <c r="T479" s="669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770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776</v>
      </c>
      <c r="B480" s="63" t="s">
        <v>777</v>
      </c>
      <c r="C480" s="36">
        <v>4301031364</v>
      </c>
      <c r="D480" s="666">
        <v>4680115883161</v>
      </c>
      <c r="E480" s="666"/>
      <c r="F480" s="62">
        <v>0.28000000000000003</v>
      </c>
      <c r="G480" s="37">
        <v>6</v>
      </c>
      <c r="H480" s="62">
        <v>1.68</v>
      </c>
      <c r="I480" s="62">
        <v>1.81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68"/>
      <c r="R480" s="668"/>
      <c r="S480" s="668"/>
      <c r="T480" s="669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778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779</v>
      </c>
      <c r="B481" s="63" t="s">
        <v>780</v>
      </c>
      <c r="C481" s="36">
        <v>4301031358</v>
      </c>
      <c r="D481" s="666">
        <v>4607091389531</v>
      </c>
      <c r="E481" s="666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68"/>
      <c r="R481" s="668"/>
      <c r="S481" s="668"/>
      <c r="T481" s="669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781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37.5" hidden="1" customHeight="1" x14ac:dyDescent="0.25">
      <c r="A482" s="63" t="s">
        <v>782</v>
      </c>
      <c r="B482" s="63" t="s">
        <v>783</v>
      </c>
      <c r="C482" s="36">
        <v>4301031360</v>
      </c>
      <c r="D482" s="666">
        <v>4607091384345</v>
      </c>
      <c r="E482" s="666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68"/>
      <c r="R482" s="668"/>
      <c r="S482" s="668"/>
      <c r="T482" s="669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778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idden="1" x14ac:dyDescent="0.2">
      <c r="A483" s="656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3" t="s">
        <v>40</v>
      </c>
      <c r="Q483" s="654"/>
      <c r="R483" s="654"/>
      <c r="S483" s="654"/>
      <c r="T483" s="654"/>
      <c r="U483" s="654"/>
      <c r="V483" s="655"/>
      <c r="W483" s="42" t="s">
        <v>39</v>
      </c>
      <c r="X483" s="43">
        <f>IFERROR(X477/H477,"0")+IFERROR(X478/H478,"0")+IFERROR(X479/H479,"0")+IFERROR(X480/H480,"0")+IFERROR(X481/H481,"0")+IFERROR(X482/H482,"0")</f>
        <v>0</v>
      </c>
      <c r="Y483" s="43">
        <f>IFERROR(Y477/H477,"0")+IFERROR(Y478/H478,"0")+IFERROR(Y479/H479,"0")+IFERROR(Y480/H480,"0")+IFERROR(Y481/H481,"0")+IFERROR(Y482/H482,"0")</f>
        <v>0</v>
      </c>
      <c r="Z483" s="43">
        <f>IFERROR(IF(Z477="",0,Z477),"0")+IFERROR(IF(Z478="",0,Z478),"0")+IFERROR(IF(Z479="",0,Z479),"0")+IFERROR(IF(Z480="",0,Z480),"0")+IFERROR(IF(Z481="",0,Z481),"0")+IFERROR(IF(Z482="",0,Z482),"0")</f>
        <v>0</v>
      </c>
      <c r="AA483" s="67"/>
      <c r="AB483" s="67"/>
      <c r="AC483" s="67"/>
    </row>
    <row r="484" spans="1:68" hidden="1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2" t="s">
        <v>0</v>
      </c>
      <c r="X484" s="43">
        <f>IFERROR(SUM(X477:X482),"0")</f>
        <v>0</v>
      </c>
      <c r="Y484" s="43">
        <f>IFERROR(SUM(Y477:Y482),"0")</f>
        <v>0</v>
      </c>
      <c r="Z484" s="42"/>
      <c r="AA484" s="67"/>
      <c r="AB484" s="67"/>
      <c r="AC484" s="67"/>
    </row>
    <row r="485" spans="1:68" ht="14.25" hidden="1" customHeight="1" x14ac:dyDescent="0.25">
      <c r="A485" s="665" t="s">
        <v>86</v>
      </c>
      <c r="B485" s="665"/>
      <c r="C485" s="665"/>
      <c r="D485" s="665"/>
      <c r="E485" s="665"/>
      <c r="F485" s="665"/>
      <c r="G485" s="665"/>
      <c r="H485" s="665"/>
      <c r="I485" s="665"/>
      <c r="J485" s="665"/>
      <c r="K485" s="665"/>
      <c r="L485" s="665"/>
      <c r="M485" s="665"/>
      <c r="N485" s="665"/>
      <c r="O485" s="665"/>
      <c r="P485" s="665"/>
      <c r="Q485" s="665"/>
      <c r="R485" s="665"/>
      <c r="S485" s="665"/>
      <c r="T485" s="665"/>
      <c r="U485" s="665"/>
      <c r="V485" s="665"/>
      <c r="W485" s="665"/>
      <c r="X485" s="665"/>
      <c r="Y485" s="665"/>
      <c r="Z485" s="665"/>
      <c r="AA485" s="66"/>
      <c r="AB485" s="66"/>
      <c r="AC485" s="80"/>
    </row>
    <row r="486" spans="1:68" ht="27" hidden="1" customHeight="1" x14ac:dyDescent="0.25">
      <c r="A486" s="63" t="s">
        <v>784</v>
      </c>
      <c r="B486" s="63" t="s">
        <v>785</v>
      </c>
      <c r="C486" s="36">
        <v>4301051284</v>
      </c>
      <c r="D486" s="666">
        <v>4607091384352</v>
      </c>
      <c r="E486" s="666"/>
      <c r="F486" s="62">
        <v>0.6</v>
      </c>
      <c r="G486" s="37">
        <v>4</v>
      </c>
      <c r="H486" s="62">
        <v>2.4</v>
      </c>
      <c r="I486" s="62">
        <v>2.6259999999999999</v>
      </c>
      <c r="J486" s="37">
        <v>132</v>
      </c>
      <c r="K486" s="37" t="s">
        <v>134</v>
      </c>
      <c r="L486" s="37" t="s">
        <v>46</v>
      </c>
      <c r="M486" s="38" t="s">
        <v>90</v>
      </c>
      <c r="N486" s="38"/>
      <c r="O486" s="37">
        <v>45</v>
      </c>
      <c r="P486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68"/>
      <c r="R486" s="668"/>
      <c r="S486" s="668"/>
      <c r="T486" s="669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88" t="s">
        <v>786</v>
      </c>
      <c r="AG486" s="78"/>
      <c r="AJ486" s="84" t="s">
        <v>46</v>
      </c>
      <c r="AK486" s="84">
        <v>0</v>
      </c>
      <c r="BB486" s="589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hidden="1" customHeight="1" x14ac:dyDescent="0.25">
      <c r="A487" s="63" t="s">
        <v>787</v>
      </c>
      <c r="B487" s="63" t="s">
        <v>788</v>
      </c>
      <c r="C487" s="36">
        <v>4301051431</v>
      </c>
      <c r="D487" s="666">
        <v>4607091389654</v>
      </c>
      <c r="E487" s="666"/>
      <c r="F487" s="62">
        <v>0.33</v>
      </c>
      <c r="G487" s="37">
        <v>6</v>
      </c>
      <c r="H487" s="62">
        <v>1.98</v>
      </c>
      <c r="I487" s="62">
        <v>2.238</v>
      </c>
      <c r="J487" s="37">
        <v>182</v>
      </c>
      <c r="K487" s="37" t="s">
        <v>91</v>
      </c>
      <c r="L487" s="37" t="s">
        <v>46</v>
      </c>
      <c r="M487" s="38" t="s">
        <v>90</v>
      </c>
      <c r="N487" s="38"/>
      <c r="O487" s="37">
        <v>45</v>
      </c>
      <c r="P487" s="7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68"/>
      <c r="R487" s="668"/>
      <c r="S487" s="668"/>
      <c r="T487" s="669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90" t="s">
        <v>789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hidden="1" customHeight="1" x14ac:dyDescent="0.25">
      <c r="A490" s="672" t="s">
        <v>790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5"/>
      <c r="AB490" s="65"/>
      <c r="AC490" s="79"/>
    </row>
    <row r="491" spans="1:68" ht="14.25" hidden="1" customHeight="1" x14ac:dyDescent="0.25">
      <c r="A491" s="665" t="s">
        <v>159</v>
      </c>
      <c r="B491" s="665"/>
      <c r="C491" s="665"/>
      <c r="D491" s="665"/>
      <c r="E491" s="665"/>
      <c r="F491" s="665"/>
      <c r="G491" s="665"/>
      <c r="H491" s="665"/>
      <c r="I491" s="665"/>
      <c r="J491" s="665"/>
      <c r="K491" s="665"/>
      <c r="L491" s="665"/>
      <c r="M491" s="665"/>
      <c r="N491" s="665"/>
      <c r="O491" s="665"/>
      <c r="P491" s="665"/>
      <c r="Q491" s="665"/>
      <c r="R491" s="665"/>
      <c r="S491" s="665"/>
      <c r="T491" s="665"/>
      <c r="U491" s="665"/>
      <c r="V491" s="665"/>
      <c r="W491" s="665"/>
      <c r="X491" s="665"/>
      <c r="Y491" s="665"/>
      <c r="Z491" s="665"/>
      <c r="AA491" s="66"/>
      <c r="AB491" s="66"/>
      <c r="AC491" s="80"/>
    </row>
    <row r="492" spans="1:68" ht="27" hidden="1" customHeight="1" x14ac:dyDescent="0.25">
      <c r="A492" s="63" t="s">
        <v>791</v>
      </c>
      <c r="B492" s="63" t="s">
        <v>792</v>
      </c>
      <c r="C492" s="36">
        <v>4301020416</v>
      </c>
      <c r="D492" s="666">
        <v>4680115885240</v>
      </c>
      <c r="E492" s="666"/>
      <c r="F492" s="62">
        <v>0.35</v>
      </c>
      <c r="G492" s="37">
        <v>6</v>
      </c>
      <c r="H492" s="62">
        <v>2.1</v>
      </c>
      <c r="I492" s="62">
        <v>2.31</v>
      </c>
      <c r="J492" s="37">
        <v>182</v>
      </c>
      <c r="K492" s="37" t="s">
        <v>91</v>
      </c>
      <c r="L492" s="37" t="s">
        <v>46</v>
      </c>
      <c r="M492" s="38" t="s">
        <v>81</v>
      </c>
      <c r="N492" s="38"/>
      <c r="O492" s="37">
        <v>40</v>
      </c>
      <c r="P492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68"/>
      <c r="R492" s="668"/>
      <c r="S492" s="668"/>
      <c r="T492" s="669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92" t="s">
        <v>793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56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3" t="s">
        <v>40</v>
      </c>
      <c r="Q493" s="654"/>
      <c r="R493" s="654"/>
      <c r="S493" s="654"/>
      <c r="T493" s="654"/>
      <c r="U493" s="654"/>
      <c r="V493" s="655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665" t="s">
        <v>77</v>
      </c>
      <c r="B495" s="665"/>
      <c r="C495" s="665"/>
      <c r="D495" s="665"/>
      <c r="E495" s="665"/>
      <c r="F495" s="665"/>
      <c r="G495" s="665"/>
      <c r="H495" s="665"/>
      <c r="I495" s="665"/>
      <c r="J495" s="665"/>
      <c r="K495" s="665"/>
      <c r="L495" s="665"/>
      <c r="M495" s="665"/>
      <c r="N495" s="665"/>
      <c r="O495" s="665"/>
      <c r="P495" s="665"/>
      <c r="Q495" s="665"/>
      <c r="R495" s="665"/>
      <c r="S495" s="665"/>
      <c r="T495" s="665"/>
      <c r="U495" s="665"/>
      <c r="V495" s="665"/>
      <c r="W495" s="665"/>
      <c r="X495" s="665"/>
      <c r="Y495" s="665"/>
      <c r="Z495" s="665"/>
      <c r="AA495" s="66"/>
      <c r="AB495" s="66"/>
      <c r="AC495" s="80"/>
    </row>
    <row r="496" spans="1:68" ht="27" hidden="1" customHeight="1" x14ac:dyDescent="0.25">
      <c r="A496" s="63" t="s">
        <v>794</v>
      </c>
      <c r="B496" s="63" t="s">
        <v>795</v>
      </c>
      <c r="C496" s="36">
        <v>4301031407</v>
      </c>
      <c r="D496" s="666">
        <v>4680115886094</v>
      </c>
      <c r="E496" s="666"/>
      <c r="F496" s="62">
        <v>0.9</v>
      </c>
      <c r="G496" s="37">
        <v>6</v>
      </c>
      <c r="H496" s="62">
        <v>5.4</v>
      </c>
      <c r="I496" s="62">
        <v>5.59</v>
      </c>
      <c r="J496" s="37">
        <v>132</v>
      </c>
      <c r="K496" s="37" t="s">
        <v>134</v>
      </c>
      <c r="L496" s="37" t="s">
        <v>46</v>
      </c>
      <c r="M496" s="38" t="s">
        <v>81</v>
      </c>
      <c r="N496" s="38"/>
      <c r="O496" s="37">
        <v>50</v>
      </c>
      <c r="P496" s="69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68"/>
      <c r="R496" s="668"/>
      <c r="S496" s="668"/>
      <c r="T496" s="669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t="27" hidden="1" customHeight="1" x14ac:dyDescent="0.25">
      <c r="A497" s="63" t="s">
        <v>797</v>
      </c>
      <c r="B497" s="63" t="s">
        <v>798</v>
      </c>
      <c r="C497" s="36">
        <v>4301031373</v>
      </c>
      <c r="D497" s="666">
        <v>4680115880771</v>
      </c>
      <c r="E497" s="666"/>
      <c r="F497" s="62">
        <v>0.28000000000000003</v>
      </c>
      <c r="G497" s="37">
        <v>6</v>
      </c>
      <c r="H497" s="62">
        <v>1.68</v>
      </c>
      <c r="I497" s="62">
        <v>1.81</v>
      </c>
      <c r="J497" s="37">
        <v>234</v>
      </c>
      <c r="K497" s="37" t="s">
        <v>82</v>
      </c>
      <c r="L497" s="37" t="s">
        <v>46</v>
      </c>
      <c r="M497" s="38" t="s">
        <v>81</v>
      </c>
      <c r="N497" s="38"/>
      <c r="O497" s="37">
        <v>50</v>
      </c>
      <c r="P497" s="6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68"/>
      <c r="R497" s="668"/>
      <c r="S497" s="668"/>
      <c r="T497" s="669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799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800</v>
      </c>
      <c r="B498" s="63" t="s">
        <v>801</v>
      </c>
      <c r="C498" s="36">
        <v>4301031359</v>
      </c>
      <c r="D498" s="666">
        <v>4607091389500</v>
      </c>
      <c r="E498" s="666"/>
      <c r="F498" s="62">
        <v>0.35</v>
      </c>
      <c r="G498" s="37">
        <v>6</v>
      </c>
      <c r="H498" s="62">
        <v>2.1</v>
      </c>
      <c r="I498" s="62">
        <v>2.23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70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68"/>
      <c r="R498" s="668"/>
      <c r="S498" s="668"/>
      <c r="T498" s="669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799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656"/>
      <c r="B499" s="656"/>
      <c r="C499" s="656"/>
      <c r="D499" s="656"/>
      <c r="E499" s="656"/>
      <c r="F499" s="656"/>
      <c r="G499" s="656"/>
      <c r="H499" s="656"/>
      <c r="I499" s="656"/>
      <c r="J499" s="656"/>
      <c r="K499" s="656"/>
      <c r="L499" s="656"/>
      <c r="M499" s="656"/>
      <c r="N499" s="656"/>
      <c r="O499" s="657"/>
      <c r="P499" s="653" t="s">
        <v>40</v>
      </c>
      <c r="Q499" s="654"/>
      <c r="R499" s="654"/>
      <c r="S499" s="654"/>
      <c r="T499" s="654"/>
      <c r="U499" s="654"/>
      <c r="V499" s="655"/>
      <c r="W499" s="42" t="s">
        <v>39</v>
      </c>
      <c r="X499" s="43">
        <f>IFERROR(X496/H496,"0")+IFERROR(X497/H497,"0")+IFERROR(X498/H498,"0")</f>
        <v>0</v>
      </c>
      <c r="Y499" s="43">
        <f>IFERROR(Y496/H496,"0")+IFERROR(Y497/H497,"0")+IFERROR(Y498/H498,"0")</f>
        <v>0</v>
      </c>
      <c r="Z499" s="43">
        <f>IFERROR(IF(Z496="",0,Z496),"0")+IFERROR(IF(Z497="",0,Z497),"0")+IFERROR(IF(Z498="",0,Z498),"0")</f>
        <v>0</v>
      </c>
      <c r="AA499" s="67"/>
      <c r="AB499" s="67"/>
      <c r="AC499" s="67"/>
    </row>
    <row r="500" spans="1:68" hidden="1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3" t="s">
        <v>40</v>
      </c>
      <c r="Q500" s="654"/>
      <c r="R500" s="654"/>
      <c r="S500" s="654"/>
      <c r="T500" s="654"/>
      <c r="U500" s="654"/>
      <c r="V500" s="655"/>
      <c r="W500" s="42" t="s">
        <v>0</v>
      </c>
      <c r="X500" s="43">
        <f>IFERROR(SUM(X496:X498),"0")</f>
        <v>0</v>
      </c>
      <c r="Y500" s="43">
        <f>IFERROR(SUM(Y496:Y498),"0")</f>
        <v>0</v>
      </c>
      <c r="Z500" s="42"/>
      <c r="AA500" s="67"/>
      <c r="AB500" s="67"/>
      <c r="AC500" s="67"/>
    </row>
    <row r="501" spans="1:68" ht="27.75" hidden="1" customHeight="1" x14ac:dyDescent="0.2">
      <c r="A501" s="683" t="s">
        <v>802</v>
      </c>
      <c r="B501" s="683"/>
      <c r="C501" s="683"/>
      <c r="D501" s="683"/>
      <c r="E501" s="683"/>
      <c r="F501" s="683"/>
      <c r="G501" s="683"/>
      <c r="H501" s="683"/>
      <c r="I501" s="683"/>
      <c r="J501" s="683"/>
      <c r="K501" s="683"/>
      <c r="L501" s="683"/>
      <c r="M501" s="683"/>
      <c r="N501" s="683"/>
      <c r="O501" s="683"/>
      <c r="P501" s="683"/>
      <c r="Q501" s="683"/>
      <c r="R501" s="683"/>
      <c r="S501" s="683"/>
      <c r="T501" s="683"/>
      <c r="U501" s="683"/>
      <c r="V501" s="683"/>
      <c r="W501" s="683"/>
      <c r="X501" s="683"/>
      <c r="Y501" s="683"/>
      <c r="Z501" s="683"/>
      <c r="AA501" s="54"/>
      <c r="AB501" s="54"/>
      <c r="AC501" s="54"/>
    </row>
    <row r="502" spans="1:68" ht="16.5" hidden="1" customHeight="1" x14ac:dyDescent="0.25">
      <c r="A502" s="672" t="s">
        <v>802</v>
      </c>
      <c r="B502" s="672"/>
      <c r="C502" s="672"/>
      <c r="D502" s="672"/>
      <c r="E502" s="672"/>
      <c r="F502" s="672"/>
      <c r="G502" s="672"/>
      <c r="H502" s="672"/>
      <c r="I502" s="672"/>
      <c r="J502" s="672"/>
      <c r="K502" s="672"/>
      <c r="L502" s="672"/>
      <c r="M502" s="672"/>
      <c r="N502" s="672"/>
      <c r="O502" s="672"/>
      <c r="P502" s="672"/>
      <c r="Q502" s="672"/>
      <c r="R502" s="672"/>
      <c r="S502" s="672"/>
      <c r="T502" s="672"/>
      <c r="U502" s="672"/>
      <c r="V502" s="672"/>
      <c r="W502" s="672"/>
      <c r="X502" s="672"/>
      <c r="Y502" s="672"/>
      <c r="Z502" s="672"/>
      <c r="AA502" s="65"/>
      <c r="AB502" s="65"/>
      <c r="AC502" s="79"/>
    </row>
    <row r="503" spans="1:68" ht="14.25" hidden="1" customHeight="1" x14ac:dyDescent="0.25">
      <c r="A503" s="665" t="s">
        <v>122</v>
      </c>
      <c r="B503" s="665"/>
      <c r="C503" s="665"/>
      <c r="D503" s="665"/>
      <c r="E503" s="665"/>
      <c r="F503" s="665"/>
      <c r="G503" s="665"/>
      <c r="H503" s="665"/>
      <c r="I503" s="665"/>
      <c r="J503" s="665"/>
      <c r="K503" s="665"/>
      <c r="L503" s="665"/>
      <c r="M503" s="665"/>
      <c r="N503" s="665"/>
      <c r="O503" s="665"/>
      <c r="P503" s="665"/>
      <c r="Q503" s="665"/>
      <c r="R503" s="665"/>
      <c r="S503" s="665"/>
      <c r="T503" s="665"/>
      <c r="U503" s="665"/>
      <c r="V503" s="665"/>
      <c r="W503" s="665"/>
      <c r="X503" s="665"/>
      <c r="Y503" s="665"/>
      <c r="Z503" s="665"/>
      <c r="AA503" s="66"/>
      <c r="AB503" s="66"/>
      <c r="AC503" s="80"/>
    </row>
    <row r="504" spans="1:68" ht="27" hidden="1" customHeight="1" x14ac:dyDescent="0.25">
      <c r="A504" s="63" t="s">
        <v>803</v>
      </c>
      <c r="B504" s="63" t="s">
        <v>804</v>
      </c>
      <c r="C504" s="36">
        <v>4301011769</v>
      </c>
      <c r="D504" s="666">
        <v>4607091389067</v>
      </c>
      <c r="E504" s="666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68"/>
      <c r="R504" s="668"/>
      <c r="S504" s="668"/>
      <c r="T504" s="669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2" si="78">IFERROR(IF(X504="",0,CEILING((X504/$H504),1)*$H504),"")</f>
        <v>0</v>
      </c>
      <c r="Z504" s="41" t="str">
        <f t="shared" ref="Z504:Z509" si="79">IFERROR(IF(Y504=0,"",ROUNDUP(Y504/H504,0)*0.01196),"")</f>
        <v/>
      </c>
      <c r="AA504" s="68" t="s">
        <v>46</v>
      </c>
      <c r="AB504" s="69" t="s">
        <v>46</v>
      </c>
      <c r="AC504" s="600" t="s">
        <v>125</v>
      </c>
      <c r="AG504" s="78"/>
      <c r="AJ504" s="84" t="s">
        <v>46</v>
      </c>
      <c r="AK504" s="84">
        <v>0</v>
      </c>
      <c r="BB504" s="601" t="s">
        <v>67</v>
      </c>
      <c r="BM504" s="78">
        <f t="shared" ref="BM504:BM512" si="80">IFERROR(X504*I504/H504,"0")</f>
        <v>0</v>
      </c>
      <c r="BN504" s="78">
        <f t="shared" ref="BN504:BN512" si="81">IFERROR(Y504*I504/H504,"0")</f>
        <v>0</v>
      </c>
      <c r="BO504" s="78">
        <f t="shared" ref="BO504:BO512" si="82">IFERROR(1/J504*(X504/H504),"0")</f>
        <v>0</v>
      </c>
      <c r="BP504" s="78">
        <f t="shared" ref="BP504:BP512" si="83">IFERROR(1/J504*(Y504/H504),"0")</f>
        <v>0</v>
      </c>
    </row>
    <row r="505" spans="1:68" ht="16.5" hidden="1" customHeight="1" x14ac:dyDescent="0.25">
      <c r="A505" s="63" t="s">
        <v>805</v>
      </c>
      <c r="B505" s="63" t="s">
        <v>806</v>
      </c>
      <c r="C505" s="36">
        <v>4301012380</v>
      </c>
      <c r="D505" s="666">
        <v>4680115889576</v>
      </c>
      <c r="E505" s="666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9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68"/>
      <c r="R505" s="668"/>
      <c r="S505" s="668"/>
      <c r="T505" s="669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807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808</v>
      </c>
      <c r="B506" s="63" t="s">
        <v>809</v>
      </c>
      <c r="C506" s="36">
        <v>4301011961</v>
      </c>
      <c r="D506" s="666">
        <v>4680115885271</v>
      </c>
      <c r="E506" s="666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68"/>
      <c r="R506" s="668"/>
      <c r="S506" s="668"/>
      <c r="T506" s="669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810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811</v>
      </c>
      <c r="B507" s="63" t="s">
        <v>812</v>
      </c>
      <c r="C507" s="36">
        <v>4301011369</v>
      </c>
      <c r="D507" s="666">
        <v>4680115885226</v>
      </c>
      <c r="E507" s="666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68"/>
      <c r="R507" s="668"/>
      <c r="S507" s="668"/>
      <c r="T507" s="669"/>
      <c r="U507" s="39" t="s">
        <v>46</v>
      </c>
      <c r="V507" s="39" t="s">
        <v>46</v>
      </c>
      <c r="W507" s="40" t="s">
        <v>0</v>
      </c>
      <c r="X507" s="58">
        <v>500</v>
      </c>
      <c r="Y507" s="55">
        <f t="shared" si="78"/>
        <v>501.6</v>
      </c>
      <c r="Z507" s="41">
        <f t="shared" si="79"/>
        <v>1.1362000000000001</v>
      </c>
      <c r="AA507" s="68" t="s">
        <v>46</v>
      </c>
      <c r="AB507" s="69" t="s">
        <v>46</v>
      </c>
      <c r="AC507" s="606" t="s">
        <v>813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533.14393939393938</v>
      </c>
      <c r="BN507" s="78">
        <f t="shared" si="81"/>
        <v>534.85</v>
      </c>
      <c r="BO507" s="78">
        <f t="shared" si="82"/>
        <v>0.91054778554778548</v>
      </c>
      <c r="BP507" s="78">
        <f t="shared" si="83"/>
        <v>0.91346153846153855</v>
      </c>
    </row>
    <row r="508" spans="1:68" ht="16.5" hidden="1" customHeight="1" x14ac:dyDescent="0.25">
      <c r="A508" s="63" t="s">
        <v>814</v>
      </c>
      <c r="B508" s="63" t="s">
        <v>815</v>
      </c>
      <c r="C508" s="36">
        <v>4301011797</v>
      </c>
      <c r="D508" s="666">
        <v>4680115884502</v>
      </c>
      <c r="E508" s="666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69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68"/>
      <c r="R508" s="668"/>
      <c r="S508" s="668"/>
      <c r="T508" s="669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816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817</v>
      </c>
      <c r="B509" s="63" t="s">
        <v>818</v>
      </c>
      <c r="C509" s="36">
        <v>4301011771</v>
      </c>
      <c r="D509" s="666">
        <v>4607091389104</v>
      </c>
      <c r="E509" s="666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6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68"/>
      <c r="R509" s="668"/>
      <c r="S509" s="668"/>
      <c r="T509" s="669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819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820</v>
      </c>
      <c r="B510" s="63" t="s">
        <v>821</v>
      </c>
      <c r="C510" s="36">
        <v>4301012125</v>
      </c>
      <c r="D510" s="666">
        <v>4680115886391</v>
      </c>
      <c r="E510" s="666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91</v>
      </c>
      <c r="L510" s="37" t="s">
        <v>46</v>
      </c>
      <c r="M510" s="38" t="s">
        <v>90</v>
      </c>
      <c r="N510" s="38"/>
      <c r="O510" s="37">
        <v>60</v>
      </c>
      <c r="P510" s="69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68"/>
      <c r="R510" s="668"/>
      <c r="S510" s="668"/>
      <c r="T510" s="669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12" t="s">
        <v>125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822</v>
      </c>
      <c r="B511" s="63" t="s">
        <v>823</v>
      </c>
      <c r="C511" s="36">
        <v>4301012048</v>
      </c>
      <c r="D511" s="666">
        <v>4680115880603</v>
      </c>
      <c r="E511" s="666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134</v>
      </c>
      <c r="L511" s="37" t="s">
        <v>46</v>
      </c>
      <c r="M511" s="38" t="s">
        <v>90</v>
      </c>
      <c r="N511" s="38"/>
      <c r="O511" s="37">
        <v>60</v>
      </c>
      <c r="P511" s="6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68"/>
      <c r="R511" s="668"/>
      <c r="S511" s="668"/>
      <c r="T511" s="669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824</v>
      </c>
      <c r="B512" s="63" t="s">
        <v>825</v>
      </c>
      <c r="C512" s="36">
        <v>4301012034</v>
      </c>
      <c r="D512" s="666">
        <v>4607091389982</v>
      </c>
      <c r="E512" s="666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126</v>
      </c>
      <c r="N512" s="38"/>
      <c r="O512" s="37">
        <v>60</v>
      </c>
      <c r="P512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68"/>
      <c r="R512" s="668"/>
      <c r="S512" s="668"/>
      <c r="T512" s="669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819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x14ac:dyDescent="0.2">
      <c r="A513" s="656"/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7"/>
      <c r="P513" s="653" t="s">
        <v>40</v>
      </c>
      <c r="Q513" s="654"/>
      <c r="R513" s="654"/>
      <c r="S513" s="654"/>
      <c r="T513" s="654"/>
      <c r="U513" s="654"/>
      <c r="V513" s="655"/>
      <c r="W513" s="42" t="s">
        <v>39</v>
      </c>
      <c r="X513" s="43">
        <f>IFERROR(X504/H504,"0")+IFERROR(X505/H505,"0")+IFERROR(X506/H506,"0")+IFERROR(X507/H507,"0")+IFERROR(X508/H508,"0")+IFERROR(X509/H509,"0")+IFERROR(X510/H510,"0")+IFERROR(X511/H511,"0")+IFERROR(X512/H512,"0")</f>
        <v>94.696969696969688</v>
      </c>
      <c r="Y513" s="43">
        <f>IFERROR(Y504/H504,"0")+IFERROR(Y505/H505,"0")+IFERROR(Y506/H506,"0")+IFERROR(Y507/H507,"0")+IFERROR(Y508/H508,"0")+IFERROR(Y509/H509,"0")+IFERROR(Y510/H510,"0")+IFERROR(Y511/H511,"0")+IFERROR(Y512/H512,"0")</f>
        <v>95</v>
      </c>
      <c r="Z513" s="43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1.1362000000000001</v>
      </c>
      <c r="AA513" s="67"/>
      <c r="AB513" s="67"/>
      <c r="AC513" s="67"/>
    </row>
    <row r="514" spans="1:68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2" t="s">
        <v>0</v>
      </c>
      <c r="X514" s="43">
        <f>IFERROR(SUM(X504:X512),"0")</f>
        <v>500</v>
      </c>
      <c r="Y514" s="43">
        <f>IFERROR(SUM(Y504:Y512),"0")</f>
        <v>501.6</v>
      </c>
      <c r="Z514" s="42"/>
      <c r="AA514" s="67"/>
      <c r="AB514" s="67"/>
      <c r="AC514" s="67"/>
    </row>
    <row r="515" spans="1:68" ht="14.25" hidden="1" customHeight="1" x14ac:dyDescent="0.25">
      <c r="A515" s="665" t="s">
        <v>159</v>
      </c>
      <c r="B515" s="665"/>
      <c r="C515" s="665"/>
      <c r="D515" s="665"/>
      <c r="E515" s="665"/>
      <c r="F515" s="665"/>
      <c r="G515" s="665"/>
      <c r="H515" s="665"/>
      <c r="I515" s="665"/>
      <c r="J515" s="665"/>
      <c r="K515" s="665"/>
      <c r="L515" s="665"/>
      <c r="M515" s="665"/>
      <c r="N515" s="665"/>
      <c r="O515" s="665"/>
      <c r="P515" s="665"/>
      <c r="Q515" s="665"/>
      <c r="R515" s="665"/>
      <c r="S515" s="665"/>
      <c r="T515" s="665"/>
      <c r="U515" s="665"/>
      <c r="V515" s="665"/>
      <c r="W515" s="665"/>
      <c r="X515" s="665"/>
      <c r="Y515" s="665"/>
      <c r="Z515" s="665"/>
      <c r="AA515" s="66"/>
      <c r="AB515" s="66"/>
      <c r="AC515" s="80"/>
    </row>
    <row r="516" spans="1:68" ht="16.5" customHeight="1" x14ac:dyDescent="0.25">
      <c r="A516" s="63" t="s">
        <v>826</v>
      </c>
      <c r="B516" s="63" t="s">
        <v>827</v>
      </c>
      <c r="C516" s="36">
        <v>4301020334</v>
      </c>
      <c r="D516" s="666">
        <v>4607091388930</v>
      </c>
      <c r="E516" s="666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127</v>
      </c>
      <c r="L516" s="37" t="s">
        <v>46</v>
      </c>
      <c r="M516" s="38" t="s">
        <v>90</v>
      </c>
      <c r="N516" s="38"/>
      <c r="O516" s="37">
        <v>70</v>
      </c>
      <c r="P516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68"/>
      <c r="R516" s="668"/>
      <c r="S516" s="668"/>
      <c r="T516" s="669"/>
      <c r="U516" s="39" t="s">
        <v>46</v>
      </c>
      <c r="V516" s="39" t="s">
        <v>46</v>
      </c>
      <c r="W516" s="40" t="s">
        <v>0</v>
      </c>
      <c r="X516" s="58">
        <v>500</v>
      </c>
      <c r="Y516" s="55">
        <f>IFERROR(IF(X516="",0,CEILING((X516/$H516),1)*$H516),"")</f>
        <v>501.6</v>
      </c>
      <c r="Z516" s="41">
        <f>IFERROR(IF(Y516=0,"",ROUNDUP(Y516/H516,0)*0.01196),"")</f>
        <v>1.1362000000000001</v>
      </c>
      <c r="AA516" s="68" t="s">
        <v>46</v>
      </c>
      <c r="AB516" s="69" t="s">
        <v>46</v>
      </c>
      <c r="AC516" s="618" t="s">
        <v>828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533.14393939393938</v>
      </c>
      <c r="BN516" s="78">
        <f>IFERROR(Y516*I516/H516,"0")</f>
        <v>534.85</v>
      </c>
      <c r="BO516" s="78">
        <f>IFERROR(1/J516*(X516/H516),"0")</f>
        <v>0.91054778554778548</v>
      </c>
      <c r="BP516" s="78">
        <f>IFERROR(1/J516*(Y516/H516),"0")</f>
        <v>0.91346153846153855</v>
      </c>
    </row>
    <row r="517" spans="1:68" ht="16.5" hidden="1" customHeight="1" x14ac:dyDescent="0.25">
      <c r="A517" s="63" t="s">
        <v>829</v>
      </c>
      <c r="B517" s="63" t="s">
        <v>830</v>
      </c>
      <c r="C517" s="36">
        <v>4301020374</v>
      </c>
      <c r="D517" s="666">
        <v>4680115886407</v>
      </c>
      <c r="E517" s="666"/>
      <c r="F517" s="62">
        <v>0.4</v>
      </c>
      <c r="G517" s="37">
        <v>6</v>
      </c>
      <c r="H517" s="62">
        <v>2.4</v>
      </c>
      <c r="I517" s="62">
        <v>2.58</v>
      </c>
      <c r="J517" s="37">
        <v>182</v>
      </c>
      <c r="K517" s="37" t="s">
        <v>91</v>
      </c>
      <c r="L517" s="37" t="s">
        <v>46</v>
      </c>
      <c r="M517" s="38" t="s">
        <v>126</v>
      </c>
      <c r="N517" s="38"/>
      <c r="O517" s="37">
        <v>70</v>
      </c>
      <c r="P517" s="6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68"/>
      <c r="R517" s="668"/>
      <c r="S517" s="668"/>
      <c r="T517" s="669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IFERROR(IF(Y517=0,"",ROUNDUP(Y517/H517,0)*0.00651),"")</f>
        <v/>
      </c>
      <c r="AA517" s="68" t="s">
        <v>46</v>
      </c>
      <c r="AB517" s="69" t="s">
        <v>46</v>
      </c>
      <c r="AC517" s="620" t="s">
        <v>828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831</v>
      </c>
      <c r="B518" s="63" t="s">
        <v>832</v>
      </c>
      <c r="C518" s="36">
        <v>4301020385</v>
      </c>
      <c r="D518" s="666">
        <v>4680115880054</v>
      </c>
      <c r="E518" s="666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134</v>
      </c>
      <c r="L518" s="37" t="s">
        <v>46</v>
      </c>
      <c r="M518" s="38" t="s">
        <v>126</v>
      </c>
      <c r="N518" s="38"/>
      <c r="O518" s="37">
        <v>70</v>
      </c>
      <c r="P518" s="6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68"/>
      <c r="R518" s="668"/>
      <c r="S518" s="668"/>
      <c r="T518" s="669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22" t="s">
        <v>828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x14ac:dyDescent="0.2">
      <c r="A519" s="656"/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7"/>
      <c r="P519" s="653" t="s">
        <v>40</v>
      </c>
      <c r="Q519" s="654"/>
      <c r="R519" s="654"/>
      <c r="S519" s="654"/>
      <c r="T519" s="654"/>
      <c r="U519" s="654"/>
      <c r="V519" s="655"/>
      <c r="W519" s="42" t="s">
        <v>39</v>
      </c>
      <c r="X519" s="43">
        <f>IFERROR(X516/H516,"0")+IFERROR(X517/H517,"0")+IFERROR(X518/H518,"0")</f>
        <v>94.696969696969688</v>
      </c>
      <c r="Y519" s="43">
        <f>IFERROR(Y516/H516,"0")+IFERROR(Y517/H517,"0")+IFERROR(Y518/H518,"0")</f>
        <v>95</v>
      </c>
      <c r="Z519" s="43">
        <f>IFERROR(IF(Z516="",0,Z516),"0")+IFERROR(IF(Z517="",0,Z517),"0")+IFERROR(IF(Z518="",0,Z518),"0")</f>
        <v>1.1362000000000001</v>
      </c>
      <c r="AA519" s="67"/>
      <c r="AB519" s="67"/>
      <c r="AC519" s="67"/>
    </row>
    <row r="520" spans="1:68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3" t="s">
        <v>40</v>
      </c>
      <c r="Q520" s="654"/>
      <c r="R520" s="654"/>
      <c r="S520" s="654"/>
      <c r="T520" s="654"/>
      <c r="U520" s="654"/>
      <c r="V520" s="655"/>
      <c r="W520" s="42" t="s">
        <v>0</v>
      </c>
      <c r="X520" s="43">
        <f>IFERROR(SUM(X516:X518),"0")</f>
        <v>500</v>
      </c>
      <c r="Y520" s="43">
        <f>IFERROR(SUM(Y516:Y518),"0")</f>
        <v>501.6</v>
      </c>
      <c r="Z520" s="42"/>
      <c r="AA520" s="67"/>
      <c r="AB520" s="67"/>
      <c r="AC520" s="67"/>
    </row>
    <row r="521" spans="1:68" ht="14.25" hidden="1" customHeight="1" x14ac:dyDescent="0.25">
      <c r="A521" s="665" t="s">
        <v>77</v>
      </c>
      <c r="B521" s="665"/>
      <c r="C521" s="665"/>
      <c r="D521" s="665"/>
      <c r="E521" s="665"/>
      <c r="F521" s="665"/>
      <c r="G521" s="665"/>
      <c r="H521" s="665"/>
      <c r="I521" s="665"/>
      <c r="J521" s="665"/>
      <c r="K521" s="665"/>
      <c r="L521" s="665"/>
      <c r="M521" s="665"/>
      <c r="N521" s="665"/>
      <c r="O521" s="665"/>
      <c r="P521" s="665"/>
      <c r="Q521" s="665"/>
      <c r="R521" s="665"/>
      <c r="S521" s="665"/>
      <c r="T521" s="665"/>
      <c r="U521" s="665"/>
      <c r="V521" s="665"/>
      <c r="W521" s="665"/>
      <c r="X521" s="665"/>
      <c r="Y521" s="665"/>
      <c r="Z521" s="665"/>
      <c r="AA521" s="66"/>
      <c r="AB521" s="66"/>
      <c r="AC521" s="80"/>
    </row>
    <row r="522" spans="1:68" ht="27" hidden="1" customHeight="1" x14ac:dyDescent="0.25">
      <c r="A522" s="63" t="s">
        <v>833</v>
      </c>
      <c r="B522" s="63" t="s">
        <v>834</v>
      </c>
      <c r="C522" s="36">
        <v>4301031349</v>
      </c>
      <c r="D522" s="666">
        <v>4680115883116</v>
      </c>
      <c r="E522" s="666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126</v>
      </c>
      <c r="N522" s="38"/>
      <c r="O522" s="37">
        <v>70</v>
      </c>
      <c r="P522" s="6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68"/>
      <c r="R522" s="668"/>
      <c r="S522" s="668"/>
      <c r="T522" s="669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ref="Y522:Y528" si="84"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835</v>
      </c>
      <c r="AG522" s="78"/>
      <c r="AJ522" s="84" t="s">
        <v>46</v>
      </c>
      <c r="AK522" s="84">
        <v>0</v>
      </c>
      <c r="BB522" s="625" t="s">
        <v>67</v>
      </c>
      <c r="BM522" s="78">
        <f t="shared" ref="BM522:BM528" si="85">IFERROR(X522*I522/H522,"0")</f>
        <v>0</v>
      </c>
      <c r="BN522" s="78">
        <f t="shared" ref="BN522:BN528" si="86">IFERROR(Y522*I522/H522,"0")</f>
        <v>0</v>
      </c>
      <c r="BO522" s="78">
        <f t="shared" ref="BO522:BO528" si="87">IFERROR(1/J522*(X522/H522),"0")</f>
        <v>0</v>
      </c>
      <c r="BP522" s="78">
        <f t="shared" ref="BP522:BP528" si="88">IFERROR(1/J522*(Y522/H522),"0")</f>
        <v>0</v>
      </c>
    </row>
    <row r="523" spans="1:68" ht="27" hidden="1" customHeight="1" x14ac:dyDescent="0.25">
      <c r="A523" s="63" t="s">
        <v>836</v>
      </c>
      <c r="B523" s="63" t="s">
        <v>837</v>
      </c>
      <c r="C523" s="36">
        <v>4301031350</v>
      </c>
      <c r="D523" s="666">
        <v>4680115883093</v>
      </c>
      <c r="E523" s="666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81</v>
      </c>
      <c r="N523" s="38"/>
      <c r="O523" s="37">
        <v>70</v>
      </c>
      <c r="P523" s="67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68"/>
      <c r="R523" s="668"/>
      <c r="S523" s="668"/>
      <c r="T523" s="669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838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hidden="1" customHeight="1" x14ac:dyDescent="0.25">
      <c r="A524" s="63" t="s">
        <v>839</v>
      </c>
      <c r="B524" s="63" t="s">
        <v>840</v>
      </c>
      <c r="C524" s="36">
        <v>4301031353</v>
      </c>
      <c r="D524" s="666">
        <v>4680115883109</v>
      </c>
      <c r="E524" s="666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7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68"/>
      <c r="R524" s="668"/>
      <c r="S524" s="668"/>
      <c r="T524" s="669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841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842</v>
      </c>
      <c r="B525" s="63" t="s">
        <v>843</v>
      </c>
      <c r="C525" s="36">
        <v>4301031419</v>
      </c>
      <c r="D525" s="666">
        <v>4680115882072</v>
      </c>
      <c r="E525" s="666"/>
      <c r="F525" s="62">
        <v>0.6</v>
      </c>
      <c r="G525" s="37">
        <v>8</v>
      </c>
      <c r="H525" s="62">
        <v>4.8</v>
      </c>
      <c r="I525" s="62">
        <v>6.91</v>
      </c>
      <c r="J525" s="37">
        <v>132</v>
      </c>
      <c r="K525" s="37" t="s">
        <v>134</v>
      </c>
      <c r="L525" s="37" t="s">
        <v>46</v>
      </c>
      <c r="M525" s="38" t="s">
        <v>126</v>
      </c>
      <c r="N525" s="38"/>
      <c r="O525" s="37">
        <v>70</v>
      </c>
      <c r="P525" s="6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68"/>
      <c r="R525" s="668"/>
      <c r="S525" s="668"/>
      <c r="T525" s="669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4301031352</v>
      </c>
      <c r="D526" s="666">
        <v>4680115882102</v>
      </c>
      <c r="E526" s="666"/>
      <c r="F526" s="62">
        <v>0.6</v>
      </c>
      <c r="G526" s="37">
        <v>6</v>
      </c>
      <c r="H526" s="62">
        <v>3.6</v>
      </c>
      <c r="I526" s="62">
        <v>3.79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68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68"/>
      <c r="R526" s="668"/>
      <c r="S526" s="668"/>
      <c r="T526" s="669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844</v>
      </c>
      <c r="B527" s="63" t="s">
        <v>846</v>
      </c>
      <c r="C527" s="36">
        <v>4301031418</v>
      </c>
      <c r="D527" s="666">
        <v>4680115882102</v>
      </c>
      <c r="E527" s="666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68"/>
      <c r="R527" s="668"/>
      <c r="S527" s="668"/>
      <c r="T527" s="669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838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847</v>
      </c>
      <c r="B528" s="63" t="s">
        <v>848</v>
      </c>
      <c r="C528" s="36">
        <v>4301031417</v>
      </c>
      <c r="D528" s="666">
        <v>4680115882096</v>
      </c>
      <c r="E528" s="666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68"/>
      <c r="R528" s="668"/>
      <c r="S528" s="668"/>
      <c r="T528" s="669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841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idden="1" x14ac:dyDescent="0.2">
      <c r="A529" s="656"/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7"/>
      <c r="P529" s="653" t="s">
        <v>40</v>
      </c>
      <c r="Q529" s="654"/>
      <c r="R529" s="654"/>
      <c r="S529" s="654"/>
      <c r="T529" s="654"/>
      <c r="U529" s="654"/>
      <c r="V529" s="655"/>
      <c r="W529" s="42" t="s">
        <v>39</v>
      </c>
      <c r="X529" s="43">
        <f>IFERROR(X522/H522,"0")+IFERROR(X523/H523,"0")+IFERROR(X524/H524,"0")+IFERROR(X525/H525,"0")+IFERROR(X526/H526,"0")+IFERROR(X527/H527,"0")+IFERROR(X528/H528,"0")</f>
        <v>0</v>
      </c>
      <c r="Y529" s="43">
        <f>IFERROR(Y522/H522,"0")+IFERROR(Y523/H523,"0")+IFERROR(Y524/H524,"0")+IFERROR(Y525/H525,"0")+IFERROR(Y526/H526,"0")+IFERROR(Y527/H527,"0")+IFERROR(Y528/H528,"0")</f>
        <v>0</v>
      </c>
      <c r="Z529" s="43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7"/>
      <c r="AB529" s="67"/>
      <c r="AC529" s="67"/>
    </row>
    <row r="530" spans="1:68" hidden="1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2" t="s">
        <v>0</v>
      </c>
      <c r="X530" s="43">
        <f>IFERROR(SUM(X522:X528),"0")</f>
        <v>0</v>
      </c>
      <c r="Y530" s="43">
        <f>IFERROR(SUM(Y522:Y528),"0")</f>
        <v>0</v>
      </c>
      <c r="Z530" s="42"/>
      <c r="AA530" s="67"/>
      <c r="AB530" s="67"/>
      <c r="AC530" s="67"/>
    </row>
    <row r="531" spans="1:68" ht="27.75" hidden="1" customHeight="1" x14ac:dyDescent="0.2">
      <c r="A531" s="683" t="s">
        <v>849</v>
      </c>
      <c r="B531" s="683"/>
      <c r="C531" s="683"/>
      <c r="D531" s="683"/>
      <c r="E531" s="683"/>
      <c r="F531" s="683"/>
      <c r="G531" s="683"/>
      <c r="H531" s="683"/>
      <c r="I531" s="683"/>
      <c r="J531" s="683"/>
      <c r="K531" s="683"/>
      <c r="L531" s="683"/>
      <c r="M531" s="683"/>
      <c r="N531" s="683"/>
      <c r="O531" s="683"/>
      <c r="P531" s="683"/>
      <c r="Q531" s="683"/>
      <c r="R531" s="683"/>
      <c r="S531" s="683"/>
      <c r="T531" s="683"/>
      <c r="U531" s="683"/>
      <c r="V531" s="683"/>
      <c r="W531" s="683"/>
      <c r="X531" s="683"/>
      <c r="Y531" s="683"/>
      <c r="Z531" s="683"/>
      <c r="AA531" s="54"/>
      <c r="AB531" s="54"/>
      <c r="AC531" s="54"/>
    </row>
    <row r="532" spans="1:68" ht="16.5" hidden="1" customHeight="1" x14ac:dyDescent="0.25">
      <c r="A532" s="672" t="s">
        <v>849</v>
      </c>
      <c r="B532" s="672"/>
      <c r="C532" s="672"/>
      <c r="D532" s="672"/>
      <c r="E532" s="672"/>
      <c r="F532" s="672"/>
      <c r="G532" s="672"/>
      <c r="H532" s="672"/>
      <c r="I532" s="672"/>
      <c r="J532" s="672"/>
      <c r="K532" s="672"/>
      <c r="L532" s="672"/>
      <c r="M532" s="672"/>
      <c r="N532" s="672"/>
      <c r="O532" s="672"/>
      <c r="P532" s="672"/>
      <c r="Q532" s="672"/>
      <c r="R532" s="672"/>
      <c r="S532" s="672"/>
      <c r="T532" s="672"/>
      <c r="U532" s="672"/>
      <c r="V532" s="672"/>
      <c r="W532" s="672"/>
      <c r="X532" s="672"/>
      <c r="Y532" s="672"/>
      <c r="Z532" s="672"/>
      <c r="AA532" s="65"/>
      <c r="AB532" s="65"/>
      <c r="AC532" s="79"/>
    </row>
    <row r="533" spans="1:68" ht="14.25" hidden="1" customHeight="1" x14ac:dyDescent="0.25">
      <c r="A533" s="665" t="s">
        <v>122</v>
      </c>
      <c r="B533" s="665"/>
      <c r="C533" s="665"/>
      <c r="D533" s="665"/>
      <c r="E533" s="665"/>
      <c r="F533" s="665"/>
      <c r="G533" s="665"/>
      <c r="H533" s="665"/>
      <c r="I533" s="665"/>
      <c r="J533" s="665"/>
      <c r="K533" s="665"/>
      <c r="L533" s="665"/>
      <c r="M533" s="665"/>
      <c r="N533" s="665"/>
      <c r="O533" s="665"/>
      <c r="P533" s="665"/>
      <c r="Q533" s="665"/>
      <c r="R533" s="665"/>
      <c r="S533" s="665"/>
      <c r="T533" s="665"/>
      <c r="U533" s="665"/>
      <c r="V533" s="665"/>
      <c r="W533" s="665"/>
      <c r="X533" s="665"/>
      <c r="Y533" s="665"/>
      <c r="Z533" s="665"/>
      <c r="AA533" s="66"/>
      <c r="AB533" s="66"/>
      <c r="AC533" s="80"/>
    </row>
    <row r="534" spans="1:68" ht="27" hidden="1" customHeight="1" x14ac:dyDescent="0.25">
      <c r="A534" s="63" t="s">
        <v>850</v>
      </c>
      <c r="B534" s="63" t="s">
        <v>851</v>
      </c>
      <c r="C534" s="36">
        <v>4301011584</v>
      </c>
      <c r="D534" s="666">
        <v>4640242180564</v>
      </c>
      <c r="E534" s="666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68"/>
      <c r="R534" s="668"/>
      <c r="S534" s="668"/>
      <c r="T534" s="669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8" t="s">
        <v>852</v>
      </c>
      <c r="AG534" s="78"/>
      <c r="AJ534" s="84" t="s">
        <v>46</v>
      </c>
      <c r="AK534" s="84">
        <v>0</v>
      </c>
      <c r="BB534" s="63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6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3" t="s">
        <v>40</v>
      </c>
      <c r="Q535" s="654"/>
      <c r="R535" s="654"/>
      <c r="S535" s="654"/>
      <c r="T535" s="654"/>
      <c r="U535" s="654"/>
      <c r="V535" s="655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3" t="s">
        <v>40</v>
      </c>
      <c r="Q536" s="654"/>
      <c r="R536" s="654"/>
      <c r="S536" s="654"/>
      <c r="T536" s="654"/>
      <c r="U536" s="654"/>
      <c r="V536" s="655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5" t="s">
        <v>159</v>
      </c>
      <c r="B537" s="665"/>
      <c r="C537" s="665"/>
      <c r="D537" s="665"/>
      <c r="E537" s="665"/>
      <c r="F537" s="665"/>
      <c r="G537" s="665"/>
      <c r="H537" s="665"/>
      <c r="I537" s="665"/>
      <c r="J537" s="665"/>
      <c r="K537" s="665"/>
      <c r="L537" s="665"/>
      <c r="M537" s="665"/>
      <c r="N537" s="665"/>
      <c r="O537" s="665"/>
      <c r="P537" s="665"/>
      <c r="Q537" s="665"/>
      <c r="R537" s="665"/>
      <c r="S537" s="665"/>
      <c r="T537" s="665"/>
      <c r="U537" s="665"/>
      <c r="V537" s="665"/>
      <c r="W537" s="665"/>
      <c r="X537" s="665"/>
      <c r="Y537" s="665"/>
      <c r="Z537" s="665"/>
      <c r="AA537" s="66"/>
      <c r="AB537" s="66"/>
      <c r="AC537" s="80"/>
    </row>
    <row r="538" spans="1:68" ht="27" hidden="1" customHeight="1" x14ac:dyDescent="0.25">
      <c r="A538" s="63" t="s">
        <v>853</v>
      </c>
      <c r="B538" s="63" t="s">
        <v>854</v>
      </c>
      <c r="C538" s="36">
        <v>4301020444</v>
      </c>
      <c r="D538" s="666">
        <v>4680115889781</v>
      </c>
      <c r="E538" s="666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90</v>
      </c>
      <c r="N538" s="38"/>
      <c r="O538" s="37">
        <v>50</v>
      </c>
      <c r="P538" s="675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668"/>
      <c r="R538" s="668"/>
      <c r="S538" s="668"/>
      <c r="T538" s="669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0" t="s">
        <v>728</v>
      </c>
      <c r="AG538" s="78"/>
      <c r="AJ538" s="84" t="s">
        <v>46</v>
      </c>
      <c r="AK538" s="84">
        <v>0</v>
      </c>
      <c r="BB538" s="64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3" t="s">
        <v>40</v>
      </c>
      <c r="Q540" s="654"/>
      <c r="R540" s="654"/>
      <c r="S540" s="654"/>
      <c r="T540" s="654"/>
      <c r="U540" s="654"/>
      <c r="V540" s="655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5" t="s">
        <v>77</v>
      </c>
      <c r="B541" s="665"/>
      <c r="C541" s="665"/>
      <c r="D541" s="665"/>
      <c r="E541" s="665"/>
      <c r="F541" s="665"/>
      <c r="G541" s="665"/>
      <c r="H541" s="665"/>
      <c r="I541" s="665"/>
      <c r="J541" s="665"/>
      <c r="K541" s="665"/>
      <c r="L541" s="665"/>
      <c r="M541" s="665"/>
      <c r="N541" s="665"/>
      <c r="O541" s="665"/>
      <c r="P541" s="665"/>
      <c r="Q541" s="665"/>
      <c r="R541" s="665"/>
      <c r="S541" s="665"/>
      <c r="T541" s="665"/>
      <c r="U541" s="665"/>
      <c r="V541" s="665"/>
      <c r="W541" s="665"/>
      <c r="X541" s="665"/>
      <c r="Y541" s="665"/>
      <c r="Z541" s="665"/>
      <c r="AA541" s="66"/>
      <c r="AB541" s="66"/>
      <c r="AC541" s="80"/>
    </row>
    <row r="542" spans="1:68" ht="27" hidden="1" customHeight="1" x14ac:dyDescent="0.25">
      <c r="A542" s="63" t="s">
        <v>855</v>
      </c>
      <c r="B542" s="63" t="s">
        <v>856</v>
      </c>
      <c r="C542" s="36">
        <v>4301031500</v>
      </c>
      <c r="D542" s="666">
        <v>4640242180595</v>
      </c>
      <c r="E542" s="666"/>
      <c r="F542" s="62">
        <v>0.7</v>
      </c>
      <c r="G542" s="37">
        <v>6</v>
      </c>
      <c r="H542" s="62">
        <v>4.2</v>
      </c>
      <c r="I542" s="62">
        <v>4.45</v>
      </c>
      <c r="J542" s="37">
        <v>132</v>
      </c>
      <c r="K542" s="37" t="s">
        <v>134</v>
      </c>
      <c r="L542" s="37" t="s">
        <v>46</v>
      </c>
      <c r="M542" s="38" t="s">
        <v>81</v>
      </c>
      <c r="N542" s="38"/>
      <c r="O542" s="37">
        <v>40</v>
      </c>
      <c r="P542" s="67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68"/>
      <c r="R542" s="668"/>
      <c r="S542" s="668"/>
      <c r="T542" s="669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IFERROR(IF(Y542=0,"",ROUNDUP(Y542/H542,0)*0.00902),"")</f>
        <v/>
      </c>
      <c r="AA542" s="68" t="s">
        <v>46</v>
      </c>
      <c r="AB542" s="69" t="s">
        <v>46</v>
      </c>
      <c r="AC542" s="642" t="s">
        <v>857</v>
      </c>
      <c r="AG542" s="78"/>
      <c r="AJ542" s="84" t="s">
        <v>46</v>
      </c>
      <c r="AK542" s="84">
        <v>0</v>
      </c>
      <c r="BB542" s="64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3" t="s">
        <v>40</v>
      </c>
      <c r="Q544" s="654"/>
      <c r="R544" s="654"/>
      <c r="S544" s="654"/>
      <c r="T544" s="654"/>
      <c r="U544" s="654"/>
      <c r="V544" s="655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5" t="s">
        <v>86</v>
      </c>
      <c r="B545" s="665"/>
      <c r="C545" s="665"/>
      <c r="D545" s="665"/>
      <c r="E545" s="665"/>
      <c r="F545" s="665"/>
      <c r="G545" s="665"/>
      <c r="H545" s="665"/>
      <c r="I545" s="665"/>
      <c r="J545" s="665"/>
      <c r="K545" s="665"/>
      <c r="L545" s="665"/>
      <c r="M545" s="665"/>
      <c r="N545" s="665"/>
      <c r="O545" s="665"/>
      <c r="P545" s="665"/>
      <c r="Q545" s="665"/>
      <c r="R545" s="665"/>
      <c r="S545" s="665"/>
      <c r="T545" s="665"/>
      <c r="U545" s="665"/>
      <c r="V545" s="665"/>
      <c r="W545" s="665"/>
      <c r="X545" s="665"/>
      <c r="Y545" s="665"/>
      <c r="Z545" s="665"/>
      <c r="AA545" s="66"/>
      <c r="AB545" s="66"/>
      <c r="AC545" s="80"/>
    </row>
    <row r="546" spans="1:68" ht="27" hidden="1" customHeight="1" x14ac:dyDescent="0.25">
      <c r="A546" s="63" t="s">
        <v>858</v>
      </c>
      <c r="B546" s="63" t="s">
        <v>859</v>
      </c>
      <c r="C546" s="36">
        <v>4301052043</v>
      </c>
      <c r="D546" s="666">
        <v>4640242180533</v>
      </c>
      <c r="E546" s="666"/>
      <c r="F546" s="62">
        <v>1.5</v>
      </c>
      <c r="G546" s="37">
        <v>6</v>
      </c>
      <c r="H546" s="62">
        <v>9</v>
      </c>
      <c r="I546" s="62">
        <v>9.4939999999999998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45</v>
      </c>
      <c r="P546" s="66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68"/>
      <c r="R546" s="668"/>
      <c r="S546" s="668"/>
      <c r="T546" s="669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860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hidden="1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hidden="1" customHeight="1" x14ac:dyDescent="0.25">
      <c r="A549" s="665" t="s">
        <v>178</v>
      </c>
      <c r="B549" s="665"/>
      <c r="C549" s="665"/>
      <c r="D549" s="665"/>
      <c r="E549" s="665"/>
      <c r="F549" s="665"/>
      <c r="G549" s="665"/>
      <c r="H549" s="665"/>
      <c r="I549" s="665"/>
      <c r="J549" s="665"/>
      <c r="K549" s="665"/>
      <c r="L549" s="665"/>
      <c r="M549" s="665"/>
      <c r="N549" s="665"/>
      <c r="O549" s="665"/>
      <c r="P549" s="665"/>
      <c r="Q549" s="665"/>
      <c r="R549" s="665"/>
      <c r="S549" s="665"/>
      <c r="T549" s="665"/>
      <c r="U549" s="665"/>
      <c r="V549" s="665"/>
      <c r="W549" s="665"/>
      <c r="X549" s="665"/>
      <c r="Y549" s="665"/>
      <c r="Z549" s="665"/>
      <c r="AA549" s="66"/>
      <c r="AB549" s="66"/>
      <c r="AC549" s="80"/>
    </row>
    <row r="550" spans="1:68" ht="27" hidden="1" customHeight="1" x14ac:dyDescent="0.25">
      <c r="A550" s="63" t="s">
        <v>861</v>
      </c>
      <c r="B550" s="63" t="s">
        <v>862</v>
      </c>
      <c r="C550" s="36">
        <v>4301060535</v>
      </c>
      <c r="D550" s="666">
        <v>4640242180120</v>
      </c>
      <c r="E550" s="666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40</v>
      </c>
      <c r="P550" s="6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68"/>
      <c r="R550" s="668"/>
      <c r="S550" s="668"/>
      <c r="T550" s="669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863</v>
      </c>
      <c r="AG550" s="78"/>
      <c r="AJ550" s="84" t="s">
        <v>46</v>
      </c>
      <c r="AK550" s="84">
        <v>0</v>
      </c>
      <c r="BB550" s="647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t="27" hidden="1" customHeight="1" x14ac:dyDescent="0.25">
      <c r="A551" s="63" t="s">
        <v>864</v>
      </c>
      <c r="B551" s="63" t="s">
        <v>865</v>
      </c>
      <c r="C551" s="36">
        <v>4301060536</v>
      </c>
      <c r="D551" s="666">
        <v>4640242180137</v>
      </c>
      <c r="E551" s="666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67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68"/>
      <c r="R551" s="668"/>
      <c r="S551" s="668"/>
      <c r="T551" s="669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866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56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3" t="s">
        <v>40</v>
      </c>
      <c r="Q552" s="654"/>
      <c r="R552" s="654"/>
      <c r="S552" s="654"/>
      <c r="T552" s="654"/>
      <c r="U552" s="654"/>
      <c r="V552" s="655"/>
      <c r="W552" s="42" t="s">
        <v>39</v>
      </c>
      <c r="X552" s="43">
        <f>IFERROR(X550/H550,"0")+IFERROR(X551/H551,"0")</f>
        <v>0</v>
      </c>
      <c r="Y552" s="43">
        <f>IFERROR(Y550/H550,"0")+IFERROR(Y551/H551,"0")</f>
        <v>0</v>
      </c>
      <c r="Z552" s="43">
        <f>IFERROR(IF(Z550="",0,Z550),"0")+IFERROR(IF(Z551="",0,Z551),"0")</f>
        <v>0</v>
      </c>
      <c r="AA552" s="67"/>
      <c r="AB552" s="67"/>
      <c r="AC552" s="67"/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2" t="s">
        <v>0</v>
      </c>
      <c r="X553" s="43">
        <f>IFERROR(SUM(X550:X551),"0")</f>
        <v>0</v>
      </c>
      <c r="Y553" s="43">
        <f>IFERROR(SUM(Y550:Y551),"0")</f>
        <v>0</v>
      </c>
      <c r="Z553" s="42"/>
      <c r="AA553" s="67"/>
      <c r="AB553" s="67"/>
      <c r="AC553" s="67"/>
    </row>
    <row r="554" spans="1:68" ht="16.5" hidden="1" customHeight="1" x14ac:dyDescent="0.25">
      <c r="A554" s="672" t="s">
        <v>867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5"/>
      <c r="AB554" s="65"/>
      <c r="AC554" s="79"/>
    </row>
    <row r="555" spans="1:68" ht="14.25" hidden="1" customHeight="1" x14ac:dyDescent="0.25">
      <c r="A555" s="665" t="s">
        <v>159</v>
      </c>
      <c r="B555" s="665"/>
      <c r="C555" s="665"/>
      <c r="D555" s="665"/>
      <c r="E555" s="665"/>
      <c r="F555" s="665"/>
      <c r="G555" s="665"/>
      <c r="H555" s="665"/>
      <c r="I555" s="665"/>
      <c r="J555" s="665"/>
      <c r="K555" s="665"/>
      <c r="L555" s="665"/>
      <c r="M555" s="665"/>
      <c r="N555" s="665"/>
      <c r="O555" s="665"/>
      <c r="P555" s="665"/>
      <c r="Q555" s="665"/>
      <c r="R555" s="665"/>
      <c r="S555" s="665"/>
      <c r="T555" s="665"/>
      <c r="U555" s="665"/>
      <c r="V555" s="665"/>
      <c r="W555" s="665"/>
      <c r="X555" s="665"/>
      <c r="Y555" s="665"/>
      <c r="Z555" s="665"/>
      <c r="AA555" s="66"/>
      <c r="AB555" s="66"/>
      <c r="AC555" s="80"/>
    </row>
    <row r="556" spans="1:68" ht="27" hidden="1" customHeight="1" x14ac:dyDescent="0.25">
      <c r="A556" s="63" t="s">
        <v>868</v>
      </c>
      <c r="B556" s="63" t="s">
        <v>869</v>
      </c>
      <c r="C556" s="36">
        <v>4301020441</v>
      </c>
      <c r="D556" s="666">
        <v>4680115889798</v>
      </c>
      <c r="E556" s="666"/>
      <c r="F556" s="62">
        <v>1.5</v>
      </c>
      <c r="G556" s="37">
        <v>8</v>
      </c>
      <c r="H556" s="62">
        <v>12</v>
      </c>
      <c r="I556" s="62">
        <v>12.41</v>
      </c>
      <c r="J556" s="37">
        <v>64</v>
      </c>
      <c r="K556" s="37" t="s">
        <v>127</v>
      </c>
      <c r="L556" s="37" t="s">
        <v>46</v>
      </c>
      <c r="M556" s="38" t="s">
        <v>126</v>
      </c>
      <c r="N556" s="38"/>
      <c r="O556" s="37">
        <v>50</v>
      </c>
      <c r="P556" s="67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668"/>
      <c r="R556" s="668"/>
      <c r="S556" s="668"/>
      <c r="T556" s="669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0" t="s">
        <v>870</v>
      </c>
      <c r="AG556" s="78"/>
      <c r="AJ556" s="84" t="s">
        <v>46</v>
      </c>
      <c r="AK556" s="84">
        <v>0</v>
      </c>
      <c r="BB556" s="651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53" t="s">
        <v>40</v>
      </c>
      <c r="Q557" s="654"/>
      <c r="R557" s="654"/>
      <c r="S557" s="654"/>
      <c r="T557" s="654"/>
      <c r="U557" s="654"/>
      <c r="V557" s="655"/>
      <c r="W557" s="42" t="s">
        <v>39</v>
      </c>
      <c r="X557" s="43">
        <f>IFERROR(X556/H556,"0")</f>
        <v>0</v>
      </c>
      <c r="Y557" s="43">
        <f>IFERROR(Y556/H556,"0")</f>
        <v>0</v>
      </c>
      <c r="Z557" s="43">
        <f>IFERROR(IF(Z556="",0,Z556),"0")</f>
        <v>0</v>
      </c>
      <c r="AA557" s="67"/>
      <c r="AB557" s="67"/>
      <c r="AC557" s="67"/>
    </row>
    <row r="558" spans="1:68" hidden="1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3" t="s">
        <v>40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IFERROR(SUM(X556:X556),"0")</f>
        <v>0</v>
      </c>
      <c r="Y558" s="43">
        <f>IFERROR(SUM(Y556:Y556),"0")</f>
        <v>0</v>
      </c>
      <c r="Z558" s="42"/>
      <c r="AA558" s="67"/>
      <c r="AB558" s="67"/>
      <c r="AC558" s="67"/>
    </row>
    <row r="559" spans="1:68" ht="15" customHeight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61"/>
      <c r="P559" s="658" t="s">
        <v>33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2200</v>
      </c>
      <c r="Y559" s="43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2218.1999999999998</v>
      </c>
      <c r="Z559" s="42"/>
      <c r="AA559" s="67"/>
      <c r="AB559" s="67"/>
      <c r="AC559" s="67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61"/>
      <c r="P560" s="658" t="s">
        <v>34</v>
      </c>
      <c r="Q560" s="659"/>
      <c r="R560" s="659"/>
      <c r="S560" s="659"/>
      <c r="T560" s="659"/>
      <c r="U560" s="659"/>
      <c r="V560" s="660"/>
      <c r="W560" s="42" t="s">
        <v>0</v>
      </c>
      <c r="X560" s="43">
        <f>IFERROR(SUM(BM22:BM556),"0")</f>
        <v>2315.4533108866444</v>
      </c>
      <c r="Y560" s="43">
        <f>IFERROR(SUM(BN22:BN556),"0")</f>
        <v>2334.48</v>
      </c>
      <c r="Z560" s="42"/>
      <c r="AA560" s="67"/>
      <c r="AB560" s="67"/>
      <c r="AC560" s="67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61"/>
      <c r="P561" s="658" t="s">
        <v>35</v>
      </c>
      <c r="Q561" s="659"/>
      <c r="R561" s="659"/>
      <c r="S561" s="659"/>
      <c r="T561" s="659"/>
      <c r="U561" s="659"/>
      <c r="V561" s="660"/>
      <c r="W561" s="42" t="s">
        <v>20</v>
      </c>
      <c r="X561" s="44">
        <f>ROUNDUP(SUM(BO22:BO556),0)</f>
        <v>4</v>
      </c>
      <c r="Y561" s="44">
        <f>ROUNDUP(SUM(BP22:BP556),0)</f>
        <v>4</v>
      </c>
      <c r="Z561" s="42"/>
      <c r="AA561" s="67"/>
      <c r="AB561" s="67"/>
      <c r="AC561" s="67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1"/>
      <c r="P562" s="658" t="s">
        <v>36</v>
      </c>
      <c r="Q562" s="659"/>
      <c r="R562" s="659"/>
      <c r="S562" s="659"/>
      <c r="T562" s="659"/>
      <c r="U562" s="659"/>
      <c r="V562" s="660"/>
      <c r="W562" s="42" t="s">
        <v>0</v>
      </c>
      <c r="X562" s="43">
        <f>GrossWeightTotal+PalletQtyTotal*25</f>
        <v>2415.4533108866444</v>
      </c>
      <c r="Y562" s="43">
        <f>GrossWeightTotalR+PalletQtyTotalR*25</f>
        <v>2434.48</v>
      </c>
      <c r="Z562" s="42"/>
      <c r="AA562" s="67"/>
      <c r="AB562" s="67"/>
      <c r="AC562" s="67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1"/>
      <c r="P563" s="658" t="s">
        <v>37</v>
      </c>
      <c r="Q563" s="659"/>
      <c r="R563" s="659"/>
      <c r="S563" s="659"/>
      <c r="T563" s="659"/>
      <c r="U563" s="659"/>
      <c r="V563" s="660"/>
      <c r="W563" s="42" t="s">
        <v>20</v>
      </c>
      <c r="X563" s="43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292.10998877665543</v>
      </c>
      <c r="Y563" s="43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294</v>
      </c>
      <c r="Z563" s="42"/>
      <c r="AA563" s="67"/>
      <c r="AB563" s="67"/>
      <c r="AC563" s="67"/>
    </row>
    <row r="564" spans="1:32" ht="14.25" hidden="1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1"/>
      <c r="P564" s="658" t="s">
        <v>38</v>
      </c>
      <c r="Q564" s="659"/>
      <c r="R564" s="659"/>
      <c r="S564" s="659"/>
      <c r="T564" s="659"/>
      <c r="U564" s="659"/>
      <c r="V564" s="660"/>
      <c r="W564" s="45" t="s">
        <v>52</v>
      </c>
      <c r="X564" s="42"/>
      <c r="Y564" s="42"/>
      <c r="Z564" s="42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4.3959000000000001</v>
      </c>
      <c r="AA564" s="67"/>
      <c r="AB564" s="67"/>
      <c r="AC564" s="67"/>
    </row>
    <row r="565" spans="1:32" ht="13.5" thickBot="1" x14ac:dyDescent="0.25"/>
    <row r="566" spans="1:32" ht="27" thickTop="1" thickBot="1" x14ac:dyDescent="0.25">
      <c r="A566" s="46" t="s">
        <v>9</v>
      </c>
      <c r="B566" s="85" t="s">
        <v>76</v>
      </c>
      <c r="C566" s="85" t="s">
        <v>45</v>
      </c>
      <c r="D566" s="652" t="s">
        <v>120</v>
      </c>
      <c r="E566" s="652" t="s">
        <v>120</v>
      </c>
      <c r="F566" s="652" t="s">
        <v>120</v>
      </c>
      <c r="G566" s="652" t="s">
        <v>120</v>
      </c>
      <c r="H566" s="652" t="s">
        <v>120</v>
      </c>
      <c r="I566" s="652" t="s">
        <v>120</v>
      </c>
      <c r="J566" s="652" t="s">
        <v>120</v>
      </c>
      <c r="K566" s="652" t="s">
        <v>345</v>
      </c>
      <c r="L566" s="652" t="s">
        <v>345</v>
      </c>
      <c r="M566" s="652" t="s">
        <v>345</v>
      </c>
      <c r="N566" s="662"/>
      <c r="O566" s="652" t="s">
        <v>345</v>
      </c>
      <c r="P566" s="652" t="s">
        <v>345</v>
      </c>
      <c r="Q566" s="652" t="s">
        <v>345</v>
      </c>
      <c r="R566" s="652" t="s">
        <v>345</v>
      </c>
      <c r="S566" s="652" t="s">
        <v>345</v>
      </c>
      <c r="T566" s="652" t="s">
        <v>345</v>
      </c>
      <c r="U566" s="652" t="s">
        <v>345</v>
      </c>
      <c r="V566" s="652" t="s">
        <v>345</v>
      </c>
      <c r="W566" s="652" t="s">
        <v>700</v>
      </c>
      <c r="X566" s="652" t="s">
        <v>700</v>
      </c>
      <c r="Y566" s="652" t="s">
        <v>766</v>
      </c>
      <c r="Z566" s="652" t="s">
        <v>766</v>
      </c>
      <c r="AA566" s="85" t="s">
        <v>802</v>
      </c>
      <c r="AB566" s="652" t="s">
        <v>849</v>
      </c>
      <c r="AC566" s="652" t="s">
        <v>849</v>
      </c>
      <c r="AF566" s="1"/>
    </row>
    <row r="567" spans="1:32" ht="14.25" customHeight="1" thickTop="1" x14ac:dyDescent="0.2">
      <c r="A567" s="663" t="s">
        <v>10</v>
      </c>
      <c r="B567" s="652" t="s">
        <v>76</v>
      </c>
      <c r="C567" s="652" t="s">
        <v>104</v>
      </c>
      <c r="D567" s="652" t="s">
        <v>121</v>
      </c>
      <c r="E567" s="652" t="s">
        <v>137</v>
      </c>
      <c r="F567" s="652" t="s">
        <v>186</v>
      </c>
      <c r="G567" s="652" t="s">
        <v>209</v>
      </c>
      <c r="H567" s="652" t="s">
        <v>249</v>
      </c>
      <c r="I567" s="652" t="s">
        <v>262</v>
      </c>
      <c r="J567" s="652" t="s">
        <v>120</v>
      </c>
      <c r="K567" s="652" t="s">
        <v>346</v>
      </c>
      <c r="L567" s="652" t="s">
        <v>367</v>
      </c>
      <c r="M567" s="652" t="s">
        <v>441</v>
      </c>
      <c r="N567" s="1"/>
      <c r="O567" s="652" t="s">
        <v>509</v>
      </c>
      <c r="P567" s="652" t="s">
        <v>538</v>
      </c>
      <c r="Q567" s="652" t="s">
        <v>558</v>
      </c>
      <c r="R567" s="652" t="s">
        <v>567</v>
      </c>
      <c r="S567" s="652" t="s">
        <v>588</v>
      </c>
      <c r="T567" s="652" t="s">
        <v>597</v>
      </c>
      <c r="U567" s="652" t="s">
        <v>683</v>
      </c>
      <c r="V567" s="652" t="s">
        <v>690</v>
      </c>
      <c r="W567" s="652" t="s">
        <v>701</v>
      </c>
      <c r="X567" s="652" t="s">
        <v>750</v>
      </c>
      <c r="Y567" s="652" t="s">
        <v>767</v>
      </c>
      <c r="Z567" s="652" t="s">
        <v>790</v>
      </c>
      <c r="AA567" s="652" t="s">
        <v>802</v>
      </c>
      <c r="AB567" s="652" t="s">
        <v>849</v>
      </c>
      <c r="AC567" s="652" t="s">
        <v>867</v>
      </c>
      <c r="AF567" s="1"/>
    </row>
    <row r="568" spans="1:32" ht="13.5" thickBot="1" x14ac:dyDescent="0.25">
      <c r="A568" s="664"/>
      <c r="B568" s="652"/>
      <c r="C568" s="652"/>
      <c r="D568" s="652"/>
      <c r="E568" s="652"/>
      <c r="F568" s="652"/>
      <c r="G568" s="652"/>
      <c r="H568" s="652"/>
      <c r="I568" s="652"/>
      <c r="J568" s="652"/>
      <c r="K568" s="652"/>
      <c r="L568" s="652"/>
      <c r="M568" s="652"/>
      <c r="N568" s="1"/>
      <c r="O568" s="652"/>
      <c r="P568" s="652"/>
      <c r="Q568" s="652"/>
      <c r="R568" s="652"/>
      <c r="S568" s="652"/>
      <c r="T568" s="652"/>
      <c r="U568" s="652"/>
      <c r="V568" s="652"/>
      <c r="W568" s="652"/>
      <c r="X568" s="652"/>
      <c r="Y568" s="652"/>
      <c r="Z568" s="652"/>
      <c r="AA568" s="652"/>
      <c r="AB568" s="652"/>
      <c r="AC568" s="652"/>
      <c r="AF568" s="1"/>
    </row>
    <row r="569" spans="1:32" ht="18" thickTop="1" thickBot="1" x14ac:dyDescent="0.25">
      <c r="A569" s="46" t="s">
        <v>13</v>
      </c>
      <c r="B569" s="52">
        <f>IFERROR(Y22*1,"0")+IFERROR(Y23*1,"0")+IFERROR(Y27*1,"0")+IFERROR(Y28*1,"0")+IFERROR(Y29*1,"0")+IFERROR(Y30*1,"0")+IFERROR(Y31*1,"0")</f>
        <v>0</v>
      </c>
      <c r="C569" s="52">
        <f>IFERROR(Y37*1,"0")+IFERROR(Y38*1,"0")+IFERROR(Y39*1,"0")+IFERROR(Y40*1,"0")+IFERROR(Y41*1,"0")</f>
        <v>0</v>
      </c>
      <c r="D569" s="52">
        <f>IFERROR(Y47*1,"0")+IFERROR(Y48*1,"0")+IFERROR(Y49*1,"0")+IFERROR(Y50*1,"0")</f>
        <v>0</v>
      </c>
      <c r="E569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69" s="52">
        <f>IFERROR(Y87*1,"0")+IFERROR(Y88*1,"0")+IFERROR(Y89*1,"0")+IFERROR(Y90*1,"0")+IFERROR(Y91*1,"0")+IFERROR(Y95*1,"0")+IFERROR(Y96*1,"0")+IFERROR(Y97*1,"0")+IFERROR(Y98*1,"0")</f>
        <v>0</v>
      </c>
      <c r="G569" s="52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405</v>
      </c>
      <c r="H569" s="52">
        <f>IFERROR(Y133*1,"0")+IFERROR(Y134*1,"0")+IFERROR(Y138*1,"0")+IFERROR(Y139*1,"0")+IFERROR(Y143*1,"0")+IFERROR(Y144*1,"0")</f>
        <v>0</v>
      </c>
      <c r="I569" s="52">
        <f>IFERROR(Y149*1,"0")+IFERROR(Y150*1,"0")+IFERROR(Y151*1,"0")+IFERROR(Y152*1,"0")+IFERROR(Y153*1,"0")+IFERROR(Y154*1,"0")+IFERROR(Y158*1,"0")</f>
        <v>0</v>
      </c>
      <c r="J569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0</v>
      </c>
      <c r="K569" s="52">
        <f>IFERROR(Y205*1,"0")+IFERROR(Y206*1,"0")+IFERROR(Y207*1,"0")+IFERROR(Y208*1,"0")+IFERROR(Y209*1,"0")+IFERROR(Y210*1,"0")+IFERROR(Y211*1,"0")</f>
        <v>0</v>
      </c>
      <c r="L569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0</v>
      </c>
      <c r="M569" s="52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0</v>
      </c>
      <c r="N569" s="1"/>
      <c r="O569" s="52">
        <f>IFERROR(Y303*1,"0")+IFERROR(Y304*1,"0")+IFERROR(Y305*1,"0")+IFERROR(Y306*1,"0")+IFERROR(Y307*1,"0")+IFERROR(Y308*1,"0")+IFERROR(Y309*1,"0")+IFERROR(Y313*1,"0")+IFERROR(Y317*1,"0")+IFERROR(Y321*1,"0")</f>
        <v>0</v>
      </c>
      <c r="P569" s="52">
        <f>IFERROR(Y326*1,"0")+IFERROR(Y327*1,"0")+IFERROR(Y328*1,"0")+IFERROR(Y329*1,"0")+IFERROR(Y330*1,"0")+IFERROR(Y331*1,"0")</f>
        <v>0</v>
      </c>
      <c r="Q569" s="52">
        <f>IFERROR(Y336*1,"0")+IFERROR(Y337*1,"0")+IFERROR(Y338*1,"0")</f>
        <v>0</v>
      </c>
      <c r="R569" s="52">
        <f>IFERROR(Y343*1,"0")+IFERROR(Y344*1,"0")+IFERROR(Y345*1,"0")+IFERROR(Y346*1,"0")+IFERROR(Y347*1,"0")+IFERROR(Y351*1,"0")+IFERROR(Y352*1,"0")</f>
        <v>0</v>
      </c>
      <c r="S569" s="52">
        <f>IFERROR(Y357*1,"0")+IFERROR(Y358*1,"0")+IFERROR(Y359*1,"0")</f>
        <v>0</v>
      </c>
      <c r="T569" s="52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2">
        <f>IFERROR(Y417*1,"0")+IFERROR(Y418*1,"0")</f>
        <v>0</v>
      </c>
      <c r="V569" s="52">
        <f>IFERROR(Y423*1,"0")+IFERROR(Y424*1,"0")+IFERROR(Y425*1,"0")</f>
        <v>0</v>
      </c>
      <c r="W569" s="52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810</v>
      </c>
      <c r="X569" s="52">
        <f>IFERROR(Y460*1,"0")+IFERROR(Y461*1,"0")+IFERROR(Y465*1,"0")+IFERROR(Y469*1,"0")+IFERROR(Y470*1,"0")+IFERROR(Y471*1,"0")</f>
        <v>0</v>
      </c>
      <c r="Y569" s="52">
        <f>IFERROR(Y477*1,"0")+IFERROR(Y478*1,"0")+IFERROR(Y479*1,"0")+IFERROR(Y480*1,"0")+IFERROR(Y481*1,"0")+IFERROR(Y482*1,"0")+IFERROR(Y486*1,"0")+IFERROR(Y487*1,"0")</f>
        <v>0</v>
      </c>
      <c r="Z569" s="52">
        <f>IFERROR(Y492*1,"0")+IFERROR(Y496*1,"0")+IFERROR(Y497*1,"0")+IFERROR(Y498*1,"0")</f>
        <v>0</v>
      </c>
      <c r="AA569" s="52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1003.2</v>
      </c>
      <c r="AB569" s="52">
        <f>IFERROR(Y534*1,"0")+IFERROR(Y538*1,"0")+IFERROR(Y542*1,"0")+IFERROR(Y546*1,"0")+IFERROR(Y550*1,"0")+IFERROR(Y551*1,"0")</f>
        <v>0</v>
      </c>
      <c r="AC569" s="52">
        <f>IFERROR(Y556*1,"0")</f>
        <v>0</v>
      </c>
      <c r="AF569" s="1"/>
    </row>
  </sheetData>
  <sheetProtection algorithmName="SHA-512" hashValue="Y7Sp2sZtXIPKZjg0M2hfCsYz06TaNkMR03qo9GR6eBOE1yTP6+EeD0t86nAC0K7PSvSnVOhKFFsV7oYyK4meOw==" saltValue="7AlZPN0R/D/PVp3rLiphKA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 200,00"/>
        <filter val="2 315,45"/>
        <filter val="2 415,45"/>
        <filter val="26,67"/>
        <filter val="292,11"/>
        <filter val="4"/>
        <filter val="400,00"/>
        <filter val="49,38"/>
        <filter val="500,00"/>
        <filter val="94,70"/>
      </filters>
    </filterColumn>
    <filterColumn colId="29" showButton="0"/>
    <filterColumn colId="30" showButton="0"/>
  </autoFilter>
  <dataConsolidate/>
  <mergeCells count="10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52:E352"/>
    <mergeCell ref="P352:T352"/>
    <mergeCell ref="P353:V353"/>
    <mergeCell ref="A353:O354"/>
    <mergeCell ref="P354:V354"/>
    <mergeCell ref="A355:Z355"/>
    <mergeCell ref="A356:Z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8" spans="2:8" x14ac:dyDescent="0.2">
      <c r="B8" s="53" t="s">
        <v>880</v>
      </c>
      <c r="C8" s="53" t="s">
        <v>881</v>
      </c>
      <c r="D8" s="53" t="s">
        <v>882</v>
      </c>
      <c r="E8" s="53" t="s">
        <v>46</v>
      </c>
    </row>
    <row r="9" spans="2:8" x14ac:dyDescent="0.2">
      <c r="B9" s="53" t="s">
        <v>883</v>
      </c>
      <c r="C9" s="53" t="s">
        <v>884</v>
      </c>
      <c r="D9" s="53" t="s">
        <v>885</v>
      </c>
      <c r="E9" s="53" t="s">
        <v>46</v>
      </c>
    </row>
    <row r="10" spans="2:8" x14ac:dyDescent="0.2">
      <c r="B10" s="53" t="s">
        <v>886</v>
      </c>
      <c r="C10" s="53" t="s">
        <v>887</v>
      </c>
      <c r="D10" s="53" t="s">
        <v>888</v>
      </c>
      <c r="E10" s="53" t="s">
        <v>46</v>
      </c>
    </row>
    <row r="12" spans="2:8" x14ac:dyDescent="0.2">
      <c r="B12" s="53" t="s">
        <v>889</v>
      </c>
      <c r="C12" s="53" t="s">
        <v>875</v>
      </c>
      <c r="D12" s="53" t="s">
        <v>46</v>
      </c>
      <c r="E12" s="53" t="s">
        <v>46</v>
      </c>
    </row>
    <row r="14" spans="2:8" x14ac:dyDescent="0.2">
      <c r="B14" s="53" t="s">
        <v>890</v>
      </c>
      <c r="C14" s="53" t="s">
        <v>878</v>
      </c>
      <c r="D14" s="53" t="s">
        <v>46</v>
      </c>
      <c r="E14" s="53" t="s">
        <v>46</v>
      </c>
    </row>
    <row r="16" spans="2:8" x14ac:dyDescent="0.2">
      <c r="B16" s="53" t="s">
        <v>891</v>
      </c>
      <c r="C16" s="53" t="s">
        <v>881</v>
      </c>
      <c r="D16" s="53" t="s">
        <v>46</v>
      </c>
      <c r="E16" s="53" t="s">
        <v>46</v>
      </c>
    </row>
    <row r="18" spans="2:5" x14ac:dyDescent="0.2">
      <c r="B18" s="53" t="s">
        <v>892</v>
      </c>
      <c r="C18" s="53" t="s">
        <v>884</v>
      </c>
      <c r="D18" s="53" t="s">
        <v>46</v>
      </c>
      <c r="E18" s="53" t="s">
        <v>46</v>
      </c>
    </row>
    <row r="20" spans="2:5" x14ac:dyDescent="0.2">
      <c r="B20" s="53" t="s">
        <v>893</v>
      </c>
      <c r="C20" s="53" t="s">
        <v>887</v>
      </c>
      <c r="D20" s="53" t="s">
        <v>46</v>
      </c>
      <c r="E20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899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900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901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902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903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904</v>
      </c>
      <c r="C32" s="53" t="s">
        <v>46</v>
      </c>
      <c r="D32" s="53" t="s">
        <v>46</v>
      </c>
      <c r="E32" s="53" t="s">
        <v>46</v>
      </c>
    </row>
  </sheetData>
  <sheetProtection algorithmName="SHA-512" hashValue="NvjLKuQIqsdN6psh5/TyqwsRHWHavDM+daRvlIHpQnfFeBRtsZlLpEPDlMt1jPFxa+IeKYs0rCPfwEfqd2FHSQ==" saltValue="dbx/mNqc1NlYnaQhiPo4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2026-09-28T07:28:39Z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