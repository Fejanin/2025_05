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553BDE1-403A-4F16-8CA7-2DF8C2C701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0" i="1" l="1"/>
  <c r="Y559" i="1"/>
  <c r="X559" i="1"/>
  <c r="BP558" i="1"/>
  <c r="BO558" i="1"/>
  <c r="BN558" i="1"/>
  <c r="BM558" i="1"/>
  <c r="Z558" i="1"/>
  <c r="Z559" i="1" s="1"/>
  <c r="Y558" i="1"/>
  <c r="AC571" i="1" s="1"/>
  <c r="P558" i="1"/>
  <c r="X555" i="1"/>
  <c r="Y554" i="1"/>
  <c r="X554" i="1"/>
  <c r="BP553" i="1"/>
  <c r="BO553" i="1"/>
  <c r="BN553" i="1"/>
  <c r="BM553" i="1"/>
  <c r="Z553" i="1"/>
  <c r="Y553" i="1"/>
  <c r="P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2" i="1"/>
  <c r="X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Y532" i="1" s="1"/>
  <c r="P524" i="1"/>
  <c r="X522" i="1"/>
  <c r="X521" i="1"/>
  <c r="BO520" i="1"/>
  <c r="BM520" i="1"/>
  <c r="Y520" i="1"/>
  <c r="P520" i="1"/>
  <c r="BP519" i="1"/>
  <c r="BO519" i="1"/>
  <c r="BN519" i="1"/>
  <c r="BM519" i="1"/>
  <c r="Z519" i="1"/>
  <c r="Y519" i="1"/>
  <c r="P519" i="1"/>
  <c r="BO518" i="1"/>
  <c r="BM518" i="1"/>
  <c r="Y518" i="1"/>
  <c r="P518" i="1"/>
  <c r="X516" i="1"/>
  <c r="X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X502" i="1"/>
  <c r="X501" i="1"/>
  <c r="BO500" i="1"/>
  <c r="BM500" i="1"/>
  <c r="Y500" i="1"/>
  <c r="P500" i="1"/>
  <c r="BO499" i="1"/>
  <c r="BM499" i="1"/>
  <c r="Y499" i="1"/>
  <c r="P499" i="1"/>
  <c r="BO498" i="1"/>
  <c r="BM498" i="1"/>
  <c r="Y498" i="1"/>
  <c r="Y502" i="1" s="1"/>
  <c r="P498" i="1"/>
  <c r="X496" i="1"/>
  <c r="X495" i="1"/>
  <c r="BO494" i="1"/>
  <c r="BM494" i="1"/>
  <c r="Y494" i="1"/>
  <c r="P494" i="1"/>
  <c r="X491" i="1"/>
  <c r="X490" i="1"/>
  <c r="BP489" i="1"/>
  <c r="BO489" i="1"/>
  <c r="BN489" i="1"/>
  <c r="BM489" i="1"/>
  <c r="Z489" i="1"/>
  <c r="Y489" i="1"/>
  <c r="P489" i="1"/>
  <c r="BO488" i="1"/>
  <c r="BM488" i="1"/>
  <c r="Y488" i="1"/>
  <c r="Y491" i="1" s="1"/>
  <c r="P488" i="1"/>
  <c r="X486" i="1"/>
  <c r="X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BO480" i="1"/>
  <c r="BM480" i="1"/>
  <c r="Y480" i="1"/>
  <c r="BP480" i="1" s="1"/>
  <c r="P480" i="1"/>
  <c r="BO479" i="1"/>
  <c r="BM479" i="1"/>
  <c r="Y479" i="1"/>
  <c r="P479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X459" i="1"/>
  <c r="X458" i="1"/>
  <c r="BO457" i="1"/>
  <c r="BM457" i="1"/>
  <c r="Y457" i="1"/>
  <c r="BP457" i="1" s="1"/>
  <c r="P457" i="1"/>
  <c r="BO456" i="1"/>
  <c r="BM456" i="1"/>
  <c r="Y456" i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BP445" i="1" s="1"/>
  <c r="P445" i="1"/>
  <c r="BO444" i="1"/>
  <c r="BM444" i="1"/>
  <c r="Y444" i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BP439" i="1" s="1"/>
  <c r="P439" i="1"/>
  <c r="BO438" i="1"/>
  <c r="BM438" i="1"/>
  <c r="Y438" i="1"/>
  <c r="P438" i="1"/>
  <c r="BO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P433" i="1"/>
  <c r="X429" i="1"/>
  <c r="X428" i="1"/>
  <c r="BO427" i="1"/>
  <c r="BM427" i="1"/>
  <c r="Y427" i="1"/>
  <c r="BP427" i="1" s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X422" i="1"/>
  <c r="X421" i="1"/>
  <c r="BO420" i="1"/>
  <c r="BM420" i="1"/>
  <c r="Y420" i="1"/>
  <c r="BP420" i="1" s="1"/>
  <c r="P420" i="1"/>
  <c r="BO419" i="1"/>
  <c r="BM419" i="1"/>
  <c r="Y419" i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BP413" i="1" s="1"/>
  <c r="P413" i="1"/>
  <c r="BO412" i="1"/>
  <c r="BM412" i="1"/>
  <c r="Y412" i="1"/>
  <c r="P412" i="1"/>
  <c r="X410" i="1"/>
  <c r="X409" i="1"/>
  <c r="BP408" i="1"/>
  <c r="BO408" i="1"/>
  <c r="BN408" i="1"/>
  <c r="BM408" i="1"/>
  <c r="Z408" i="1"/>
  <c r="Y408" i="1"/>
  <c r="P408" i="1"/>
  <c r="BO407" i="1"/>
  <c r="BM407" i="1"/>
  <c r="Y407" i="1"/>
  <c r="BP407" i="1" s="1"/>
  <c r="P407" i="1"/>
  <c r="BO406" i="1"/>
  <c r="BM406" i="1"/>
  <c r="Y406" i="1"/>
  <c r="P406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Y404" i="1" s="1"/>
  <c r="P399" i="1"/>
  <c r="X397" i="1"/>
  <c r="X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91" i="1"/>
  <c r="X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X384" i="1"/>
  <c r="X383" i="1"/>
  <c r="BO382" i="1"/>
  <c r="BM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O378" i="1"/>
  <c r="BM378" i="1"/>
  <c r="Y378" i="1"/>
  <c r="P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X374" i="1"/>
  <c r="X373" i="1"/>
  <c r="BO372" i="1"/>
  <c r="BM372" i="1"/>
  <c r="Y372" i="1"/>
  <c r="P372" i="1"/>
  <c r="BO371" i="1"/>
  <c r="BM371" i="1"/>
  <c r="Y371" i="1"/>
  <c r="BP371" i="1" s="1"/>
  <c r="P371" i="1"/>
  <c r="BP370" i="1"/>
  <c r="BO370" i="1"/>
  <c r="BN370" i="1"/>
  <c r="BM370" i="1"/>
  <c r="Z370" i="1"/>
  <c r="Y370" i="1"/>
  <c r="P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X363" i="1"/>
  <c r="X362" i="1"/>
  <c r="BO361" i="1"/>
  <c r="BM361" i="1"/>
  <c r="Y361" i="1"/>
  <c r="P361" i="1"/>
  <c r="BO360" i="1"/>
  <c r="BM360" i="1"/>
  <c r="Y360" i="1"/>
  <c r="BP360" i="1" s="1"/>
  <c r="P360" i="1"/>
  <c r="BP359" i="1"/>
  <c r="BO359" i="1"/>
  <c r="BN359" i="1"/>
  <c r="BM359" i="1"/>
  <c r="Z359" i="1"/>
  <c r="Y359" i="1"/>
  <c r="P359" i="1"/>
  <c r="X356" i="1"/>
  <c r="X355" i="1"/>
  <c r="BO354" i="1"/>
  <c r="BM354" i="1"/>
  <c r="Z354" i="1"/>
  <c r="Y354" i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O348" i="1"/>
  <c r="BM348" i="1"/>
  <c r="Y348" i="1"/>
  <c r="BP348" i="1" s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X342" i="1"/>
  <c r="X341" i="1"/>
  <c r="BO340" i="1"/>
  <c r="BM340" i="1"/>
  <c r="Y340" i="1"/>
  <c r="P340" i="1"/>
  <c r="BO339" i="1"/>
  <c r="BM339" i="1"/>
  <c r="Y339" i="1"/>
  <c r="BP339" i="1" s="1"/>
  <c r="P339" i="1"/>
  <c r="BO338" i="1"/>
  <c r="BM338" i="1"/>
  <c r="Y338" i="1"/>
  <c r="Y342" i="1" s="1"/>
  <c r="P338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BP331" i="1" s="1"/>
  <c r="P331" i="1"/>
  <c r="BO330" i="1"/>
  <c r="BM330" i="1"/>
  <c r="Y330" i="1"/>
  <c r="BP330" i="1" s="1"/>
  <c r="P330" i="1"/>
  <c r="BO329" i="1"/>
  <c r="BM329" i="1"/>
  <c r="Y329" i="1"/>
  <c r="Y335" i="1" s="1"/>
  <c r="P329" i="1"/>
  <c r="BP328" i="1"/>
  <c r="BO328" i="1"/>
  <c r="BN328" i="1"/>
  <c r="BM328" i="1"/>
  <c r="Z328" i="1"/>
  <c r="Y328" i="1"/>
  <c r="P328" i="1"/>
  <c r="X325" i="1"/>
  <c r="Y324" i="1"/>
  <c r="X324" i="1"/>
  <c r="BP323" i="1"/>
  <c r="BO323" i="1"/>
  <c r="BN323" i="1"/>
  <c r="BM323" i="1"/>
  <c r="Z323" i="1"/>
  <c r="Z324" i="1" s="1"/>
  <c r="Y323" i="1"/>
  <c r="Y325" i="1" s="1"/>
  <c r="P323" i="1"/>
  <c r="X321" i="1"/>
  <c r="Y320" i="1"/>
  <c r="X320" i="1"/>
  <c r="BP319" i="1"/>
  <c r="BO319" i="1"/>
  <c r="BN319" i="1"/>
  <c r="BM319" i="1"/>
  <c r="Z319" i="1"/>
  <c r="Z320" i="1" s="1"/>
  <c r="Y319" i="1"/>
  <c r="Y321" i="1" s="1"/>
  <c r="P319" i="1"/>
  <c r="X317" i="1"/>
  <c r="Y316" i="1"/>
  <c r="X316" i="1"/>
  <c r="BP315" i="1"/>
  <c r="BO315" i="1"/>
  <c r="BN315" i="1"/>
  <c r="BM315" i="1"/>
  <c r="Z315" i="1"/>
  <c r="Z316" i="1" s="1"/>
  <c r="Y315" i="1"/>
  <c r="Y317" i="1" s="1"/>
  <c r="P315" i="1"/>
  <c r="X313" i="1"/>
  <c r="X312" i="1"/>
  <c r="BO311" i="1"/>
  <c r="BM311" i="1"/>
  <c r="Y311" i="1"/>
  <c r="BP311" i="1" s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O307" i="1"/>
  <c r="BM307" i="1"/>
  <c r="Y307" i="1"/>
  <c r="BP307" i="1" s="1"/>
  <c r="P307" i="1"/>
  <c r="BO306" i="1"/>
  <c r="BM306" i="1"/>
  <c r="Y306" i="1"/>
  <c r="Y312" i="1" s="1"/>
  <c r="P306" i="1"/>
  <c r="BP305" i="1"/>
  <c r="BO305" i="1"/>
  <c r="BN305" i="1"/>
  <c r="BM305" i="1"/>
  <c r="Z305" i="1"/>
  <c r="Y305" i="1"/>
  <c r="P305" i="1"/>
  <c r="X302" i="1"/>
  <c r="X301" i="1"/>
  <c r="BO300" i="1"/>
  <c r="BM300" i="1"/>
  <c r="Y300" i="1"/>
  <c r="BP300" i="1" s="1"/>
  <c r="P300" i="1"/>
  <c r="BO299" i="1"/>
  <c r="BM299" i="1"/>
  <c r="Y299" i="1"/>
  <c r="Y301" i="1" s="1"/>
  <c r="P299" i="1"/>
  <c r="X297" i="1"/>
  <c r="X296" i="1"/>
  <c r="BO295" i="1"/>
  <c r="BM295" i="1"/>
  <c r="Y295" i="1"/>
  <c r="BP295" i="1" s="1"/>
  <c r="P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O288" i="1"/>
  <c r="BM288" i="1"/>
  <c r="Y288" i="1"/>
  <c r="BP288" i="1" s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BP285" i="1" s="1"/>
  <c r="P285" i="1"/>
  <c r="BO284" i="1"/>
  <c r="BM284" i="1"/>
  <c r="Y284" i="1"/>
  <c r="Y297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X271" i="1"/>
  <c r="X270" i="1"/>
  <c r="BO269" i="1"/>
  <c r="BM269" i="1"/>
  <c r="Y269" i="1"/>
  <c r="P269" i="1"/>
  <c r="BP268" i="1"/>
  <c r="BO268" i="1"/>
  <c r="BN268" i="1"/>
  <c r="BM268" i="1"/>
  <c r="Z268" i="1"/>
  <c r="Y268" i="1"/>
  <c r="P268" i="1"/>
  <c r="X266" i="1"/>
  <c r="Y265" i="1"/>
  <c r="X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X256" i="1"/>
  <c r="X255" i="1"/>
  <c r="BO254" i="1"/>
  <c r="BM254" i="1"/>
  <c r="Y254" i="1"/>
  <c r="Z254" i="1" s="1"/>
  <c r="P254" i="1"/>
  <c r="BO253" i="1"/>
  <c r="BM253" i="1"/>
  <c r="Y253" i="1"/>
  <c r="BP253" i="1" s="1"/>
  <c r="P253" i="1"/>
  <c r="BO252" i="1"/>
  <c r="BM252" i="1"/>
  <c r="Y252" i="1"/>
  <c r="Y255" i="1" s="1"/>
  <c r="P252" i="1"/>
  <c r="X250" i="1"/>
  <c r="X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Y250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X220" i="1"/>
  <c r="X219" i="1"/>
  <c r="BO218" i="1"/>
  <c r="BM218" i="1"/>
  <c r="Y218" i="1"/>
  <c r="P218" i="1"/>
  <c r="X215" i="1"/>
  <c r="X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K571" i="1" s="1"/>
  <c r="P207" i="1"/>
  <c r="X203" i="1"/>
  <c r="X202" i="1"/>
  <c r="BO201" i="1"/>
  <c r="BM201" i="1"/>
  <c r="Y201" i="1"/>
  <c r="Y203" i="1" s="1"/>
  <c r="P201" i="1"/>
  <c r="X199" i="1"/>
  <c r="X198" i="1"/>
  <c r="BO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Y189" i="1" s="1"/>
  <c r="P177" i="1"/>
  <c r="X175" i="1"/>
  <c r="X174" i="1"/>
  <c r="BO173" i="1"/>
  <c r="BM173" i="1"/>
  <c r="Y173" i="1"/>
  <c r="Y175" i="1" s="1"/>
  <c r="P173" i="1"/>
  <c r="BP172" i="1"/>
  <c r="BO172" i="1"/>
  <c r="BN172" i="1"/>
  <c r="BM172" i="1"/>
  <c r="Z172" i="1"/>
  <c r="Y172" i="1"/>
  <c r="P172" i="1"/>
  <c r="X170" i="1"/>
  <c r="X169" i="1"/>
  <c r="BO168" i="1"/>
  <c r="BM168" i="1"/>
  <c r="Y168" i="1"/>
  <c r="BP168" i="1" s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2" i="1"/>
  <c r="X161" i="1"/>
  <c r="BO160" i="1"/>
  <c r="BM160" i="1"/>
  <c r="Y160" i="1"/>
  <c r="Y162" i="1" s="1"/>
  <c r="P160" i="1"/>
  <c r="X158" i="1"/>
  <c r="X157" i="1"/>
  <c r="BO156" i="1"/>
  <c r="BM156" i="1"/>
  <c r="Y156" i="1"/>
  <c r="BP156" i="1" s="1"/>
  <c r="P156" i="1"/>
  <c r="BO155" i="1"/>
  <c r="BM155" i="1"/>
  <c r="Y155" i="1"/>
  <c r="BP155" i="1" s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7" i="1" s="1"/>
  <c r="P145" i="1"/>
  <c r="X143" i="1"/>
  <c r="X142" i="1"/>
  <c r="BO141" i="1"/>
  <c r="BM141" i="1"/>
  <c r="Y141" i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Y128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O115" i="1"/>
  <c r="BM115" i="1"/>
  <c r="Y115" i="1"/>
  <c r="Y121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Y100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Y77" i="1" s="1"/>
  <c r="P75" i="1"/>
  <c r="X73" i="1"/>
  <c r="X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3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71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Y33" i="1" s="1"/>
  <c r="P27" i="1"/>
  <c r="X25" i="1"/>
  <c r="X561" i="1" s="1"/>
  <c r="X24" i="1"/>
  <c r="BP23" i="1"/>
  <c r="BO23" i="1"/>
  <c r="BN23" i="1"/>
  <c r="BM23" i="1"/>
  <c r="Z23" i="1"/>
  <c r="Y23" i="1"/>
  <c r="P23" i="1"/>
  <c r="BO22" i="1"/>
  <c r="BM22" i="1"/>
  <c r="X562" i="1" s="1"/>
  <c r="Y22" i="1"/>
  <c r="P22" i="1"/>
  <c r="H10" i="1"/>
  <c r="A9" i="1"/>
  <c r="A10" i="1" s="1"/>
  <c r="D7" i="1"/>
  <c r="Q6" i="1"/>
  <c r="P2" i="1"/>
  <c r="BP368" i="1" l="1"/>
  <c r="BN368" i="1"/>
  <c r="Z368" i="1"/>
  <c r="BP378" i="1"/>
  <c r="BN378" i="1"/>
  <c r="Z378" i="1"/>
  <c r="BP388" i="1"/>
  <c r="BN388" i="1"/>
  <c r="Z388" i="1"/>
  <c r="Y410" i="1"/>
  <c r="BP406" i="1"/>
  <c r="BN406" i="1"/>
  <c r="Z406" i="1"/>
  <c r="BP419" i="1"/>
  <c r="BN419" i="1"/>
  <c r="Z419" i="1"/>
  <c r="BP438" i="1"/>
  <c r="BN438" i="1"/>
  <c r="Z438" i="1"/>
  <c r="Y454" i="1"/>
  <c r="BP450" i="1"/>
  <c r="BN450" i="1"/>
  <c r="Z450" i="1"/>
  <c r="Y469" i="1"/>
  <c r="Y468" i="1"/>
  <c r="BP467" i="1"/>
  <c r="BN467" i="1"/>
  <c r="Z467" i="1"/>
  <c r="Z468" i="1" s="1"/>
  <c r="Y475" i="1"/>
  <c r="BP471" i="1"/>
  <c r="BN471" i="1"/>
  <c r="Z471" i="1"/>
  <c r="BP483" i="1"/>
  <c r="BN483" i="1"/>
  <c r="Z483" i="1"/>
  <c r="BP509" i="1"/>
  <c r="BN509" i="1"/>
  <c r="Z509" i="1"/>
  <c r="BP525" i="1"/>
  <c r="BN525" i="1"/>
  <c r="Z525" i="1"/>
  <c r="B571" i="1"/>
  <c r="X563" i="1"/>
  <c r="X564" i="1" s="1"/>
  <c r="X565" i="1"/>
  <c r="Z27" i="1"/>
  <c r="BN27" i="1"/>
  <c r="BP27" i="1"/>
  <c r="Y32" i="1"/>
  <c r="Z31" i="1"/>
  <c r="BN31" i="1"/>
  <c r="Z39" i="1"/>
  <c r="BN39" i="1"/>
  <c r="Z47" i="1"/>
  <c r="BN47" i="1"/>
  <c r="Y52" i="1"/>
  <c r="Z56" i="1"/>
  <c r="BN56" i="1"/>
  <c r="Z60" i="1"/>
  <c r="BN60" i="1"/>
  <c r="Z68" i="1"/>
  <c r="BN68" i="1"/>
  <c r="Z76" i="1"/>
  <c r="BN76" i="1"/>
  <c r="Y83" i="1"/>
  <c r="Z82" i="1"/>
  <c r="BN82" i="1"/>
  <c r="Z89" i="1"/>
  <c r="BN89" i="1"/>
  <c r="Z95" i="1"/>
  <c r="BN95" i="1"/>
  <c r="BP95" i="1"/>
  <c r="Z109" i="1"/>
  <c r="BN109" i="1"/>
  <c r="Z115" i="1"/>
  <c r="BN115" i="1"/>
  <c r="BP115" i="1"/>
  <c r="Z119" i="1"/>
  <c r="BN119" i="1"/>
  <c r="Y127" i="1"/>
  <c r="Z125" i="1"/>
  <c r="BN125" i="1"/>
  <c r="Z140" i="1"/>
  <c r="BN140" i="1"/>
  <c r="BP140" i="1"/>
  <c r="Z151" i="1"/>
  <c r="BN151" i="1"/>
  <c r="Y158" i="1"/>
  <c r="Z155" i="1"/>
  <c r="BN155" i="1"/>
  <c r="J571" i="1"/>
  <c r="Z168" i="1"/>
  <c r="BN168" i="1"/>
  <c r="Y174" i="1"/>
  <c r="Z178" i="1"/>
  <c r="BN178" i="1"/>
  <c r="Z182" i="1"/>
  <c r="BN182" i="1"/>
  <c r="Z186" i="1"/>
  <c r="BN186" i="1"/>
  <c r="Y195" i="1"/>
  <c r="Z208" i="1"/>
  <c r="BN208" i="1"/>
  <c r="Z212" i="1"/>
  <c r="BN212" i="1"/>
  <c r="L571" i="1"/>
  <c r="Y238" i="1"/>
  <c r="Z225" i="1"/>
  <c r="BN225" i="1"/>
  <c r="Z229" i="1"/>
  <c r="BN229" i="1"/>
  <c r="Z233" i="1"/>
  <c r="BN233" i="1"/>
  <c r="Z241" i="1"/>
  <c r="BN241" i="1"/>
  <c r="Z245" i="1"/>
  <c r="BN245" i="1"/>
  <c r="Z253" i="1"/>
  <c r="BN253" i="1"/>
  <c r="Z274" i="1"/>
  <c r="BN274" i="1"/>
  <c r="Z278" i="1"/>
  <c r="BN278" i="1"/>
  <c r="Z284" i="1"/>
  <c r="BN284" i="1"/>
  <c r="BP284" i="1"/>
  <c r="Z288" i="1"/>
  <c r="BN288" i="1"/>
  <c r="Z292" i="1"/>
  <c r="BN292" i="1"/>
  <c r="Z300" i="1"/>
  <c r="BN300" i="1"/>
  <c r="Z307" i="1"/>
  <c r="BN307" i="1"/>
  <c r="Z311" i="1"/>
  <c r="BN311" i="1"/>
  <c r="Z330" i="1"/>
  <c r="BN330" i="1"/>
  <c r="Z339" i="1"/>
  <c r="BN339" i="1"/>
  <c r="Z348" i="1"/>
  <c r="BN348" i="1"/>
  <c r="BP354" i="1"/>
  <c r="BN354" i="1"/>
  <c r="BP361" i="1"/>
  <c r="BN361" i="1"/>
  <c r="Z361" i="1"/>
  <c r="BP372" i="1"/>
  <c r="BN372" i="1"/>
  <c r="Z372" i="1"/>
  <c r="BP382" i="1"/>
  <c r="BN382" i="1"/>
  <c r="Z382" i="1"/>
  <c r="BP400" i="1"/>
  <c r="BN400" i="1"/>
  <c r="Z400" i="1"/>
  <c r="Y416" i="1"/>
  <c r="BP412" i="1"/>
  <c r="BN412" i="1"/>
  <c r="Z412" i="1"/>
  <c r="W571" i="1"/>
  <c r="BP434" i="1"/>
  <c r="BN434" i="1"/>
  <c r="Z434" i="1"/>
  <c r="Y448" i="1"/>
  <c r="BP444" i="1"/>
  <c r="BN444" i="1"/>
  <c r="Z444" i="1"/>
  <c r="Y458" i="1"/>
  <c r="BP456" i="1"/>
  <c r="BN456" i="1"/>
  <c r="Z456" i="1"/>
  <c r="Y486" i="1"/>
  <c r="BP479" i="1"/>
  <c r="BN479" i="1"/>
  <c r="Z479" i="1"/>
  <c r="Y496" i="1"/>
  <c r="Y495" i="1"/>
  <c r="BP494" i="1"/>
  <c r="BN494" i="1"/>
  <c r="Z494" i="1"/>
  <c r="Z495" i="1" s="1"/>
  <c r="BP499" i="1"/>
  <c r="BN499" i="1"/>
  <c r="Z499" i="1"/>
  <c r="BP513" i="1"/>
  <c r="BN513" i="1"/>
  <c r="Z513" i="1"/>
  <c r="BP529" i="1"/>
  <c r="BN529" i="1"/>
  <c r="Z529" i="1"/>
  <c r="T571" i="1"/>
  <c r="Y384" i="1"/>
  <c r="Y390" i="1"/>
  <c r="Y396" i="1"/>
  <c r="Y428" i="1"/>
  <c r="X571" i="1"/>
  <c r="F9" i="1"/>
  <c r="J9" i="1"/>
  <c r="F10" i="1"/>
  <c r="Z22" i="1"/>
  <c r="Z24" i="1" s="1"/>
  <c r="BN22" i="1"/>
  <c r="BP22" i="1"/>
  <c r="Y25" i="1"/>
  <c r="Z28" i="1"/>
  <c r="Z32" i="1" s="1"/>
  <c r="BN28" i="1"/>
  <c r="BP28" i="1"/>
  <c r="Z30" i="1"/>
  <c r="BN30" i="1"/>
  <c r="C571" i="1"/>
  <c r="Z38" i="1"/>
  <c r="Z42" i="1" s="1"/>
  <c r="BN38" i="1"/>
  <c r="BP38" i="1"/>
  <c r="Z40" i="1"/>
  <c r="BN40" i="1"/>
  <c r="Y43" i="1"/>
  <c r="D571" i="1"/>
  <c r="Z48" i="1"/>
  <c r="BN48" i="1"/>
  <c r="BP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Y72" i="1"/>
  <c r="Z75" i="1"/>
  <c r="Z77" i="1" s="1"/>
  <c r="BN75" i="1"/>
  <c r="BP75" i="1"/>
  <c r="Y78" i="1"/>
  <c r="Z81" i="1"/>
  <c r="BN81" i="1"/>
  <c r="Y84" i="1"/>
  <c r="F571" i="1"/>
  <c r="Z88" i="1"/>
  <c r="BN88" i="1"/>
  <c r="Z90" i="1"/>
  <c r="BN90" i="1"/>
  <c r="Y93" i="1"/>
  <c r="Z96" i="1"/>
  <c r="BN96" i="1"/>
  <c r="Z98" i="1"/>
  <c r="BN98" i="1"/>
  <c r="Y99" i="1"/>
  <c r="Z103" i="1"/>
  <c r="BN103" i="1"/>
  <c r="Z105" i="1"/>
  <c r="BN105" i="1"/>
  <c r="Z107" i="1"/>
  <c r="BN107" i="1"/>
  <c r="BP108" i="1"/>
  <c r="BN108" i="1"/>
  <c r="BP110" i="1"/>
  <c r="BN110" i="1"/>
  <c r="Z110" i="1"/>
  <c r="BP118" i="1"/>
  <c r="BN118" i="1"/>
  <c r="Z118" i="1"/>
  <c r="BP126" i="1"/>
  <c r="BN126" i="1"/>
  <c r="Z126" i="1"/>
  <c r="Y131" i="1"/>
  <c r="BP130" i="1"/>
  <c r="BN130" i="1"/>
  <c r="Z130" i="1"/>
  <c r="Z131" i="1" s="1"/>
  <c r="Y132" i="1"/>
  <c r="H571" i="1"/>
  <c r="Y138" i="1"/>
  <c r="BP135" i="1"/>
  <c r="BN135" i="1"/>
  <c r="Z135" i="1"/>
  <c r="Z137" i="1" s="1"/>
  <c r="H9" i="1"/>
  <c r="Y24" i="1"/>
  <c r="Y65" i="1"/>
  <c r="Y92" i="1"/>
  <c r="G571" i="1"/>
  <c r="Y113" i="1"/>
  <c r="Z104" i="1"/>
  <c r="BN104" i="1"/>
  <c r="Z106" i="1"/>
  <c r="BN106" i="1"/>
  <c r="Z108" i="1"/>
  <c r="Y112" i="1"/>
  <c r="Z120" i="1"/>
  <c r="BP116" i="1"/>
  <c r="BN116" i="1"/>
  <c r="Z116" i="1"/>
  <c r="Y120" i="1"/>
  <c r="BP124" i="1"/>
  <c r="BN124" i="1"/>
  <c r="Z124" i="1"/>
  <c r="Z127" i="1" s="1"/>
  <c r="Y137" i="1"/>
  <c r="BP141" i="1"/>
  <c r="BN141" i="1"/>
  <c r="Z141" i="1"/>
  <c r="Z142" i="1" s="1"/>
  <c r="Y143" i="1"/>
  <c r="Y148" i="1"/>
  <c r="BP145" i="1"/>
  <c r="BN145" i="1"/>
  <c r="Z145" i="1"/>
  <c r="Z147" i="1" s="1"/>
  <c r="I571" i="1"/>
  <c r="Z152" i="1"/>
  <c r="Z157" i="1" s="1"/>
  <c r="BN152" i="1"/>
  <c r="BP152" i="1"/>
  <c r="Z154" i="1"/>
  <c r="BN154" i="1"/>
  <c r="Z156" i="1"/>
  <c r="BN156" i="1"/>
  <c r="Y157" i="1"/>
  <c r="Z160" i="1"/>
  <c r="Z161" i="1" s="1"/>
  <c r="BN160" i="1"/>
  <c r="BP160" i="1"/>
  <c r="Y161" i="1"/>
  <c r="Z165" i="1"/>
  <c r="Z169" i="1" s="1"/>
  <c r="BN165" i="1"/>
  <c r="BP165" i="1"/>
  <c r="Z167" i="1"/>
  <c r="BN167" i="1"/>
  <c r="Y170" i="1"/>
  <c r="Z173" i="1"/>
  <c r="Z174" i="1" s="1"/>
  <c r="BN173" i="1"/>
  <c r="BP173" i="1"/>
  <c r="Z177" i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Y188" i="1"/>
  <c r="Z191" i="1"/>
  <c r="BN191" i="1"/>
  <c r="BP191" i="1"/>
  <c r="Z193" i="1"/>
  <c r="BN193" i="1"/>
  <c r="Y194" i="1"/>
  <c r="Z197" i="1"/>
  <c r="Z198" i="1" s="1"/>
  <c r="BN197" i="1"/>
  <c r="BP197" i="1"/>
  <c r="Y198" i="1"/>
  <c r="Z201" i="1"/>
  <c r="Z202" i="1" s="1"/>
  <c r="BN201" i="1"/>
  <c r="BP201" i="1"/>
  <c r="Y202" i="1"/>
  <c r="Z207" i="1"/>
  <c r="BN207" i="1"/>
  <c r="BP207" i="1"/>
  <c r="Z209" i="1"/>
  <c r="BN209" i="1"/>
  <c r="Z211" i="1"/>
  <c r="BN211" i="1"/>
  <c r="Z213" i="1"/>
  <c r="BN213" i="1"/>
  <c r="Y214" i="1"/>
  <c r="Z218" i="1"/>
  <c r="Z219" i="1" s="1"/>
  <c r="BN218" i="1"/>
  <c r="BP218" i="1"/>
  <c r="Y219" i="1"/>
  <c r="Z222" i="1"/>
  <c r="BN222" i="1"/>
  <c r="BP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Y237" i="1"/>
  <c r="Z240" i="1"/>
  <c r="BN240" i="1"/>
  <c r="BP240" i="1"/>
  <c r="Z242" i="1"/>
  <c r="BN242" i="1"/>
  <c r="Z244" i="1"/>
  <c r="BN244" i="1"/>
  <c r="Z246" i="1"/>
  <c r="BN246" i="1"/>
  <c r="Z248" i="1"/>
  <c r="BN248" i="1"/>
  <c r="Y249" i="1"/>
  <c r="Z252" i="1"/>
  <c r="BN252" i="1"/>
  <c r="BP252" i="1"/>
  <c r="Y256" i="1"/>
  <c r="Y259" i="1"/>
  <c r="BP258" i="1"/>
  <c r="BN258" i="1"/>
  <c r="Z258" i="1"/>
  <c r="Z259" i="1" s="1"/>
  <c r="Y260" i="1"/>
  <c r="M571" i="1"/>
  <c r="Y266" i="1"/>
  <c r="BP263" i="1"/>
  <c r="BN263" i="1"/>
  <c r="Z263" i="1"/>
  <c r="Z265" i="1" s="1"/>
  <c r="Y270" i="1"/>
  <c r="BP275" i="1"/>
  <c r="BN275" i="1"/>
  <c r="Z275" i="1"/>
  <c r="Y169" i="1"/>
  <c r="Y215" i="1"/>
  <c r="Y220" i="1"/>
  <c r="BP254" i="1"/>
  <c r="BN254" i="1"/>
  <c r="BP269" i="1"/>
  <c r="BN269" i="1"/>
  <c r="Z269" i="1"/>
  <c r="Z270" i="1" s="1"/>
  <c r="Y271" i="1"/>
  <c r="Y281" i="1"/>
  <c r="Y282" i="1"/>
  <c r="BP273" i="1"/>
  <c r="BN273" i="1"/>
  <c r="Z273" i="1"/>
  <c r="BP277" i="1"/>
  <c r="BN277" i="1"/>
  <c r="Z277" i="1"/>
  <c r="Z279" i="1"/>
  <c r="BN279" i="1"/>
  <c r="Z285" i="1"/>
  <c r="BN285" i="1"/>
  <c r="Z287" i="1"/>
  <c r="BN287" i="1"/>
  <c r="Z289" i="1"/>
  <c r="BN289" i="1"/>
  <c r="Z291" i="1"/>
  <c r="BN291" i="1"/>
  <c r="Z293" i="1"/>
  <c r="BN293" i="1"/>
  <c r="Z295" i="1"/>
  <c r="BN295" i="1"/>
  <c r="Y296" i="1"/>
  <c r="Z299" i="1"/>
  <c r="Z301" i="1" s="1"/>
  <c r="BN299" i="1"/>
  <c r="BP299" i="1"/>
  <c r="Y302" i="1"/>
  <c r="O571" i="1"/>
  <c r="Z306" i="1"/>
  <c r="Z312" i="1" s="1"/>
  <c r="BN306" i="1"/>
  <c r="BP306" i="1"/>
  <c r="Z308" i="1"/>
  <c r="BN308" i="1"/>
  <c r="Z310" i="1"/>
  <c r="BN310" i="1"/>
  <c r="Y313" i="1"/>
  <c r="P571" i="1"/>
  <c r="Y334" i="1"/>
  <c r="Z329" i="1"/>
  <c r="BN329" i="1"/>
  <c r="BP329" i="1"/>
  <c r="Z331" i="1"/>
  <c r="BN331" i="1"/>
  <c r="BP340" i="1"/>
  <c r="BN340" i="1"/>
  <c r="Z340" i="1"/>
  <c r="Y350" i="1"/>
  <c r="BP345" i="1"/>
  <c r="BN345" i="1"/>
  <c r="Z345" i="1"/>
  <c r="R571" i="1"/>
  <c r="Y351" i="1"/>
  <c r="BP333" i="1"/>
  <c r="BN333" i="1"/>
  <c r="Z333" i="1"/>
  <c r="Q571" i="1"/>
  <c r="Y341" i="1"/>
  <c r="BP338" i="1"/>
  <c r="BN338" i="1"/>
  <c r="Z338" i="1"/>
  <c r="Z341" i="1" s="1"/>
  <c r="Y355" i="1"/>
  <c r="Y362" i="1"/>
  <c r="Y373" i="1"/>
  <c r="Y383" i="1"/>
  <c r="Y391" i="1"/>
  <c r="Y397" i="1"/>
  <c r="Y403" i="1"/>
  <c r="Y409" i="1"/>
  <c r="Y415" i="1"/>
  <c r="Y422" i="1"/>
  <c r="Y429" i="1"/>
  <c r="Y441" i="1"/>
  <c r="Y447" i="1"/>
  <c r="Y453" i="1"/>
  <c r="Y459" i="1"/>
  <c r="Y464" i="1"/>
  <c r="Y474" i="1"/>
  <c r="Y490" i="1"/>
  <c r="BP500" i="1"/>
  <c r="BN500" i="1"/>
  <c r="Z500" i="1"/>
  <c r="AA571" i="1"/>
  <c r="Y515" i="1"/>
  <c r="BP506" i="1"/>
  <c r="BN506" i="1"/>
  <c r="Z506" i="1"/>
  <c r="BP510" i="1"/>
  <c r="BN510" i="1"/>
  <c r="Z510" i="1"/>
  <c r="BP514" i="1"/>
  <c r="BN514" i="1"/>
  <c r="Z514" i="1"/>
  <c r="Y516" i="1"/>
  <c r="Y521" i="1"/>
  <c r="BP518" i="1"/>
  <c r="BN518" i="1"/>
  <c r="Z518" i="1"/>
  <c r="BP526" i="1"/>
  <c r="BN526" i="1"/>
  <c r="Z526" i="1"/>
  <c r="BP530" i="1"/>
  <c r="BN530" i="1"/>
  <c r="Z530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49" i="1"/>
  <c r="BP548" i="1"/>
  <c r="BN548" i="1"/>
  <c r="Z548" i="1"/>
  <c r="Z549" i="1" s="1"/>
  <c r="Y550" i="1"/>
  <c r="Y555" i="1"/>
  <c r="BP552" i="1"/>
  <c r="BN552" i="1"/>
  <c r="Z552" i="1"/>
  <c r="Z554" i="1" s="1"/>
  <c r="V571" i="1"/>
  <c r="Z571" i="1"/>
  <c r="Z347" i="1"/>
  <c r="BN347" i="1"/>
  <c r="Z349" i="1"/>
  <c r="BN349" i="1"/>
  <c r="Z353" i="1"/>
  <c r="Z355" i="1" s="1"/>
  <c r="BN353" i="1"/>
  <c r="BP353" i="1"/>
  <c r="S571" i="1"/>
  <c r="Z360" i="1"/>
  <c r="Z362" i="1" s="1"/>
  <c r="BN360" i="1"/>
  <c r="Y363" i="1"/>
  <c r="Z367" i="1"/>
  <c r="BN367" i="1"/>
  <c r="Z369" i="1"/>
  <c r="BN369" i="1"/>
  <c r="Z371" i="1"/>
  <c r="BN371" i="1"/>
  <c r="Y374" i="1"/>
  <c r="Z377" i="1"/>
  <c r="BN377" i="1"/>
  <c r="Z379" i="1"/>
  <c r="BN379" i="1"/>
  <c r="Z381" i="1"/>
  <c r="BN381" i="1"/>
  <c r="Z387" i="1"/>
  <c r="BN387" i="1"/>
  <c r="Z389" i="1"/>
  <c r="BN389" i="1"/>
  <c r="Z393" i="1"/>
  <c r="BN393" i="1"/>
  <c r="BP393" i="1"/>
  <c r="Z395" i="1"/>
  <c r="BN395" i="1"/>
  <c r="Z399" i="1"/>
  <c r="BN399" i="1"/>
  <c r="BP399" i="1"/>
  <c r="Z401" i="1"/>
  <c r="BN401" i="1"/>
  <c r="Z407" i="1"/>
  <c r="BN407" i="1"/>
  <c r="Z413" i="1"/>
  <c r="BN413" i="1"/>
  <c r="U571" i="1"/>
  <c r="Z420" i="1"/>
  <c r="Z421" i="1" s="1"/>
  <c r="BN420" i="1"/>
  <c r="Y421" i="1"/>
  <c r="Z425" i="1"/>
  <c r="BN425" i="1"/>
  <c r="BP425" i="1"/>
  <c r="Z427" i="1"/>
  <c r="BN427" i="1"/>
  <c r="Z433" i="1"/>
  <c r="BN433" i="1"/>
  <c r="BP433" i="1"/>
  <c r="Z435" i="1"/>
  <c r="BN435" i="1"/>
  <c r="Z437" i="1"/>
  <c r="BN437" i="1"/>
  <c r="Z439" i="1"/>
  <c r="BN439" i="1"/>
  <c r="Y442" i="1"/>
  <c r="Z445" i="1"/>
  <c r="Z447" i="1" s="1"/>
  <c r="BN445" i="1"/>
  <c r="Z451" i="1"/>
  <c r="Z453" i="1" s="1"/>
  <c r="BN451" i="1"/>
  <c r="Z457" i="1"/>
  <c r="Z458" i="1" s="1"/>
  <c r="BN457" i="1"/>
  <c r="Z462" i="1"/>
  <c r="Z464" i="1" s="1"/>
  <c r="BN462" i="1"/>
  <c r="BP462" i="1"/>
  <c r="Y465" i="1"/>
  <c r="Z472" i="1"/>
  <c r="Z474" i="1" s="1"/>
  <c r="BN472" i="1"/>
  <c r="Y571" i="1"/>
  <c r="Z480" i="1"/>
  <c r="BN480" i="1"/>
  <c r="Z482" i="1"/>
  <c r="BN482" i="1"/>
  <c r="Z484" i="1"/>
  <c r="BN484" i="1"/>
  <c r="Y485" i="1"/>
  <c r="Z488" i="1"/>
  <c r="Z490" i="1" s="1"/>
  <c r="BN488" i="1"/>
  <c r="BP488" i="1"/>
  <c r="Y501" i="1"/>
  <c r="BP498" i="1"/>
  <c r="BN498" i="1"/>
  <c r="Z498" i="1"/>
  <c r="Z501" i="1" s="1"/>
  <c r="BP508" i="1"/>
  <c r="BN508" i="1"/>
  <c r="Z508" i="1"/>
  <c r="BP512" i="1"/>
  <c r="BN512" i="1"/>
  <c r="Z512" i="1"/>
  <c r="BP520" i="1"/>
  <c r="BN520" i="1"/>
  <c r="Z520" i="1"/>
  <c r="Y522" i="1"/>
  <c r="Y531" i="1"/>
  <c r="BP524" i="1"/>
  <c r="BN524" i="1"/>
  <c r="Z524" i="1"/>
  <c r="BP528" i="1"/>
  <c r="BN528" i="1"/>
  <c r="Z528" i="1"/>
  <c r="AB571" i="1"/>
  <c r="Y560" i="1"/>
  <c r="Z373" i="1" l="1"/>
  <c r="Z296" i="1"/>
  <c r="Z99" i="1"/>
  <c r="Z485" i="1"/>
  <c r="Z428" i="1"/>
  <c r="Z415" i="1"/>
  <c r="Z409" i="1"/>
  <c r="Z396" i="1"/>
  <c r="Z390" i="1"/>
  <c r="Z383" i="1"/>
  <c r="Z334" i="1"/>
  <c r="Z255" i="1"/>
  <c r="Z92" i="1"/>
  <c r="Z83" i="1"/>
  <c r="Z51" i="1"/>
  <c r="Z531" i="1"/>
  <c r="Z441" i="1"/>
  <c r="Z403" i="1"/>
  <c r="Z521" i="1"/>
  <c r="Z281" i="1"/>
  <c r="Z249" i="1"/>
  <c r="Z237" i="1"/>
  <c r="Z214" i="1"/>
  <c r="Z194" i="1"/>
  <c r="Z188" i="1"/>
  <c r="Y565" i="1"/>
  <c r="Y563" i="1"/>
  <c r="Z515" i="1"/>
  <c r="Z350" i="1"/>
  <c r="Z112" i="1"/>
  <c r="Z72" i="1"/>
  <c r="Z64" i="1"/>
  <c r="Z566" i="1" s="1"/>
  <c r="Y561" i="1"/>
  <c r="Y562" i="1"/>
  <c r="Y564" i="1" s="1"/>
</calcChain>
</file>

<file path=xl/sharedStrings.xml><?xml version="1.0" encoding="utf-8"?>
<sst xmlns="http://schemas.openxmlformats.org/spreadsheetml/2006/main" count="2571" uniqueCount="921">
  <si>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</si>
  <si>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</si>
  <si>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</si>
  <si>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</si>
  <si>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</si>
  <si>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</si>
  <si>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</si>
  <si>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</si>
  <si>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</si>
  <si>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</si>
  <si>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</si>
  <si>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</si>
  <si>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</si>
  <si>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</si>
  <si>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</si>
  <si>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</si>
  <si>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</si>
  <si>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</si>
  <si>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</si>
  <si>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</si>
  <si>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</si>
  <si>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</si>
  <si>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</si>
  <si>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</si>
  <si>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</si>
  <si>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</si>
  <si>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</si>
  <si>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</si>
  <si>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</si>
  <si>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</si>
  <si>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</si>
  <si>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</si>
  <si>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</si>
  <si>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</si>
  <si>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</si>
  <si>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</si>
  <si>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</si>
  <si>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</si>
  <si>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</si>
  <si>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</si>
  <si>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</si>
  <si>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</si>
  <si>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</si>
  <si>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</si>
  <si>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</si>
  <si>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</si>
  <si>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</si>
  <si>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</si>
  <si>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</si>
  <si>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</si>
  <si>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</si>
  <si>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</si>
  <si>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</si>
  <si>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</si>
  <si>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</si>
  <si>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</si>
  <si>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</si>
  <si>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</si>
  <si>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</si>
  <si>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</si>
  <si>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</si>
  <si>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</si>
  <si>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</si>
  <si>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</si>
  <si>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</si>
  <si>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</si>
  <si>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</si>
  <si>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</si>
  <si>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</si>
  <si>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</si>
  <si>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</si>
  <si>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</si>
  <si>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</si>
  <si>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</si>
  <si>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</si>
  <si>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</si>
  <si>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</si>
  <si>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</si>
  <si>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</si>
  <si>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</si>
  <si>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</si>
  <si>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</si>
  <si>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</si>
  <si>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</si>
  <si>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</si>
  <si>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</si>
  <si>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</si>
  <si>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</si>
  <si>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</si>
  <si>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</si>
  <si>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</si>
  <si>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</si>
  <si>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</si>
  <si>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</si>
  <si>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</si>
  <si>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</si>
  <si>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</si>
  <si>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</si>
  <si>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</si>
  <si>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</si>
  <si>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</si>
  <si>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</si>
  <si>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</si>
  <si>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</si>
  <si>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</si>
  <si>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</si>
  <si>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</si>
  <si>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</si>
  <si>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</si>
  <si>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</si>
  <si>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</si>
  <si>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</si>
  <si>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</si>
  <si>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</si>
  <si>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</si>
  <si>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</si>
  <si>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</si>
  <si>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</si>
  <si>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</si>
  <si>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</si>
  <si>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</si>
  <si>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</si>
  <si>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</si>
  <si>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</si>
  <si>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</si>
  <si>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</si>
  <si>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</si>
  <si>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</si>
  <si>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</si>
  <si>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</si>
  <si>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</si>
  <si>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</si>
  <si>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</si>
  <si>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</si>
  <si>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</si>
  <si>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</si>
  <si>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</si>
  <si>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</si>
  <si>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</si>
  <si>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</si>
  <si>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</si>
  <si>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</si>
  <si>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</si>
  <si>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</si>
  <si>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</si>
  <si>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</si>
  <si>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</si>
  <si>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</si>
  <si>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</si>
  <si>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</si>
  <si>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</si>
  <si>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</si>
  <si>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</si>
  <si>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</si>
  <si>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</si>
  <si>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</si>
  <si>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</si>
  <si>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</si>
  <si>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</si>
  <si>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</si>
  <si>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</si>
  <si>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</si>
  <si>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</si>
  <si>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</si>
  <si>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</si>
  <si>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</si>
  <si>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</si>
  <si>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</si>
  <si>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</si>
  <si>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</si>
  <si>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</si>
  <si>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</si>
  <si>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</si>
  <si>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</si>
  <si>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</si>
  <si>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</si>
  <si>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</si>
  <si>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</si>
  <si>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</si>
  <si>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</si>
  <si>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</si>
  <si>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</si>
  <si>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</si>
  <si>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</si>
  <si>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</si>
  <si>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</si>
  <si>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</si>
  <si>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</si>
  <si>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</si>
  <si>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</si>
  <si>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</si>
  <si>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</si>
  <si>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</si>
  <si>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</si>
  <si>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</si>
  <si>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</si>
  <si>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</si>
  <si>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</si>
  <si>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</si>
  <si>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</si>
  <si>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</si>
  <si>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</si>
  <si>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</si>
  <si>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</si>
  <si>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</si>
  <si>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</si>
  <si>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</si>
  <si>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</si>
  <si>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</si>
  <si>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</si>
  <si>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</si>
  <si>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</si>
  <si>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</si>
  <si>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</si>
  <si>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</si>
  <si>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</si>
  <si>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</si>
  <si>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</si>
  <si>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</si>
  <si>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</si>
  <si>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</si>
  <si>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</si>
  <si>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</si>
  <si>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01.10.2026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</si>
  <si>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</si>
  <si>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</si>
  <si>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</si>
  <si>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</si>
  <si>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</si>
  <si>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</si>
  <si>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</si>
  <si>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</si>
  <si>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</si>
  <si>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</si>
  <si>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</si>
  <si>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</si>
  <si>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</si>
  <si>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</si>
  <si>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</si>
  <si>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</si>
  <si>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</si>
  <si>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</si>
  <si>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</si>
  <si>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</si>
  <si>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</si>
  <si>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</si>
  <si>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</si>
  <si>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</si>
  <si>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</si>
  <si>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</si>
  <si>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</si>
  <si>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</si>
  <si>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</si>
  <si>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</si>
  <si>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</si>
  <si>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</si>
  <si>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</si>
  <si>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</si>
  <si>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</si>
  <si>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</si>
  <si>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</si>
  <si>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</si>
  <si>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</si>
  <si>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</si>
  <si>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</si>
  <si>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</si>
  <si>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</si>
  <si>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</si>
  <si>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</si>
  <si>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</si>
  <si>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</si>
  <si>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</si>
  <si>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</si>
  <si>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</si>
  <si>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</si>
  <si>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</si>
  <si>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</si>
  <si>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</si>
  <si>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</si>
  <si>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</si>
  <si>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</si>
  <si>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</si>
  <si>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</si>
  <si>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</si>
  <si>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</si>
  <si>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</si>
  <si>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</si>
  <si>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</si>
  <si>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</si>
  <si>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</si>
  <si>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</si>
  <si>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</si>
  <si>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</si>
  <si>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</si>
  <si>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</si>
  <si>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</si>
  <si>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</si>
  <si>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</si>
  <si>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</si>
  <si>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</si>
  <si>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</si>
  <si>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</si>
  <si>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</si>
  <si>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</si>
  <si>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</si>
  <si>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</si>
  <si>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</si>
  <si>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</si>
  <si>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</si>
  <si>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</si>
  <si>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</si>
  <si>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</si>
  <si>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</si>
  <si>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</si>
  <si>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</si>
  <si>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</si>
  <si>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</si>
  <si>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</si>
  <si>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</si>
  <si>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</si>
  <si>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</si>
  <si>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</si>
  <si>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</si>
  <si>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</si>
  <si>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</si>
  <si>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</si>
  <si>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</si>
  <si>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</si>
  <si>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</si>
  <si>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</si>
  <si>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</si>
  <si>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</si>
  <si>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</si>
  <si>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</si>
  <si>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30.09.2026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</si>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</sst>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2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4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0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topLeftCell="A447" zoomScaleNormal="100" zoomScaleSheetLayoutView="100" workbookViewId="0">
      <selection activeCell="AA567" sqref="AA567"/>
    </sheetView>
  </sheetViews>
  <sheetFormatPr defaultColWidth="9.140625" defaultRowHeight="12.75" x14ac:dyDescent="0.2"/>
  <cols>
    <col min="1" max="1" width="9.140625" style="6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5" customWidth="1"/>
    <col min="19" max="19" width="6.140625" style="6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5" customWidth="1"/>
    <col min="25" max="25" width="11" style="645" customWidth="1"/>
    <col min="26" max="26" width="10" style="645" customWidth="1"/>
    <col min="27" max="27" width="11.5703125" style="645" customWidth="1"/>
    <col min="28" max="28" width="10.42578125" style="645" customWidth="1"/>
    <col min="29" max="29" width="30" style="6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5" customWidth="1"/>
    <col min="34" max="34" width="9.140625" style="645" customWidth="1"/>
    <col min="35" max="16384" width="9.140625" style="645"/>
  </cols>
  <sheetData>
    <row r="1" spans="1:32" s="641" customFormat="1" ht="45" customHeight="1" x14ac:dyDescent="0.2">
      <c r="A1" s="41"/>
      <c r="B1" s="41"/>
      <c r="C1" s="41"/>
      <c r="D1" s="731" t="s">
        <v>0</v>
      </c>
      <c r="E1" s="679"/>
      <c r="F1" s="679"/>
      <c r="G1" s="12" t="s">
        <v>1</v>
      </c>
      <c r="H1" s="731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1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0"/>
      <c r="R2" s="660"/>
      <c r="S2" s="660"/>
      <c r="T2" s="660"/>
      <c r="U2" s="660"/>
      <c r="V2" s="660"/>
      <c r="W2" s="660"/>
      <c r="X2" s="16"/>
      <c r="Y2" s="16"/>
      <c r="Z2" s="16"/>
      <c r="AA2" s="16"/>
      <c r="AB2" s="51"/>
      <c r="AC2" s="51"/>
      <c r="AD2" s="51"/>
      <c r="AE2" s="51"/>
    </row>
    <row r="3" spans="1:32" s="641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60"/>
      <c r="Q3" s="660"/>
      <c r="R3" s="660"/>
      <c r="S3" s="660"/>
      <c r="T3" s="660"/>
      <c r="U3" s="660"/>
      <c r="V3" s="660"/>
      <c r="W3" s="660"/>
      <c r="X3" s="16"/>
      <c r="Y3" s="16"/>
      <c r="Z3" s="16"/>
      <c r="AA3" s="16"/>
      <c r="AB3" s="51"/>
      <c r="AC3" s="51"/>
      <c r="AD3" s="51"/>
      <c r="AE3" s="51"/>
    </row>
    <row r="4" spans="1:32" s="6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1" customFormat="1" ht="23.45" customHeight="1" x14ac:dyDescent="0.2">
      <c r="A5" s="785" t="s">
        <v>7</v>
      </c>
      <c r="B5" s="702"/>
      <c r="C5" s="703"/>
      <c r="D5" s="736"/>
      <c r="E5" s="737"/>
      <c r="F5" s="971" t="s">
        <v>8</v>
      </c>
      <c r="G5" s="703"/>
      <c r="H5" s="736"/>
      <c r="I5" s="915"/>
      <c r="J5" s="915"/>
      <c r="K5" s="915"/>
      <c r="L5" s="915"/>
      <c r="M5" s="737"/>
      <c r="N5" s="58"/>
      <c r="P5" s="24" t="s">
        <v>9</v>
      </c>
      <c r="Q5" s="989">
        <v>46298</v>
      </c>
      <c r="R5" s="783"/>
      <c r="T5" s="832" t="s">
        <v>10</v>
      </c>
      <c r="U5" s="833"/>
      <c r="V5" s="835" t="s">
        <v>11</v>
      </c>
      <c r="W5" s="783"/>
      <c r="AB5" s="51"/>
      <c r="AC5" s="51"/>
      <c r="AD5" s="51"/>
      <c r="AE5" s="51"/>
    </row>
    <row r="6" spans="1:32" s="641" customFormat="1" ht="24" customHeight="1" x14ac:dyDescent="0.2">
      <c r="A6" s="785" t="s">
        <v>12</v>
      </c>
      <c r="B6" s="702"/>
      <c r="C6" s="703"/>
      <c r="D6" s="918"/>
      <c r="E6" s="919"/>
      <c r="F6" s="919"/>
      <c r="G6" s="919"/>
      <c r="H6" s="919"/>
      <c r="I6" s="919"/>
      <c r="J6" s="919"/>
      <c r="K6" s="919"/>
      <c r="L6" s="919"/>
      <c r="M6" s="783"/>
      <c r="N6" s="59"/>
      <c r="P6" s="24" t="s">
        <v>13</v>
      </c>
      <c r="Q6" s="1002" t="str">
        <f>IF(Q5=0," ",CHOOSE(WEEKDAY(Q5,2),"Понедельник","Вторник","Среда","Четверг","Пятница","Суббота","Воскресенье"))</f>
        <v>Суббота</v>
      </c>
      <c r="R6" s="652"/>
      <c r="T6" s="842" t="s">
        <v>14</v>
      </c>
      <c r="U6" s="833"/>
      <c r="V6" s="899" t="s">
        <v>15</v>
      </c>
      <c r="W6" s="699"/>
      <c r="AB6" s="51"/>
      <c r="AC6" s="51"/>
      <c r="AD6" s="51"/>
      <c r="AE6" s="51"/>
    </row>
    <row r="7" spans="1:32" s="641" customFormat="1" ht="21.75" hidden="1" customHeight="1" x14ac:dyDescent="0.2">
      <c r="A7" s="55"/>
      <c r="B7" s="55"/>
      <c r="C7" s="55"/>
      <c r="D7" s="714">
        <f>IFERROR(VLOOKUP(DeliveryAddress,Table,3,0),1)</f>
        <v>1</v>
      </c>
      <c r="E7" s="715"/>
      <c r="F7" s="715"/>
      <c r="G7" s="715"/>
      <c r="H7" s="715"/>
      <c r="I7" s="715"/>
      <c r="J7" s="715"/>
      <c r="K7" s="715"/>
      <c r="L7" s="715"/>
      <c r="M7" s="716"/>
      <c r="N7" s="60"/>
      <c r="P7" s="24"/>
      <c r="Q7" s="42"/>
      <c r="R7" s="42"/>
      <c r="T7" s="660"/>
      <c r="U7" s="833"/>
      <c r="V7" s="900"/>
      <c r="W7" s="901"/>
      <c r="AB7" s="51"/>
      <c r="AC7" s="51"/>
      <c r="AD7" s="51"/>
      <c r="AE7" s="51"/>
    </row>
    <row r="8" spans="1:32" s="641" customFormat="1" ht="25.5" customHeight="1" x14ac:dyDescent="0.2">
      <c r="A8" s="1015" t="s">
        <v>16</v>
      </c>
      <c r="B8" s="664"/>
      <c r="C8" s="665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17</v>
      </c>
      <c r="Q8" s="795">
        <v>0.41666666666666669</v>
      </c>
      <c r="R8" s="716"/>
      <c r="T8" s="660"/>
      <c r="U8" s="833"/>
      <c r="V8" s="900"/>
      <c r="W8" s="901"/>
      <c r="AB8" s="51"/>
      <c r="AC8" s="51"/>
      <c r="AD8" s="51"/>
      <c r="AE8" s="51"/>
    </row>
    <row r="9" spans="1:32" s="641" customFormat="1" ht="39.950000000000003" customHeight="1" x14ac:dyDescent="0.2">
      <c r="A9" s="8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0"/>
      <c r="C9" s="660"/>
      <c r="D9" s="805"/>
      <c r="E9" s="667"/>
      <c r="F9" s="8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0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9"/>
      <c r="P9" s="26" t="s">
        <v>18</v>
      </c>
      <c r="Q9" s="780"/>
      <c r="R9" s="781"/>
      <c r="T9" s="660"/>
      <c r="U9" s="833"/>
      <c r="V9" s="902"/>
      <c r="W9" s="903"/>
      <c r="X9" s="43"/>
      <c r="Y9" s="43"/>
      <c r="Z9" s="43"/>
      <c r="AA9" s="43"/>
      <c r="AB9" s="51"/>
      <c r="AC9" s="51"/>
      <c r="AD9" s="51"/>
      <c r="AE9" s="51"/>
    </row>
    <row r="10" spans="1:32" s="641" customFormat="1" ht="26.45" customHeight="1" x14ac:dyDescent="0.2">
      <c r="A10" s="8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0"/>
      <c r="C10" s="660"/>
      <c r="D10" s="805"/>
      <c r="E10" s="667"/>
      <c r="F10" s="8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0"/>
      <c r="H10" s="892" t="str">
        <f>IFERROR(VLOOKUP($D$10,Proxy,2,FALSE),"")</f>
        <v/>
      </c>
      <c r="I10" s="660"/>
      <c r="J10" s="660"/>
      <c r="K10" s="660"/>
      <c r="L10" s="660"/>
      <c r="M10" s="660"/>
      <c r="N10" s="640"/>
      <c r="P10" s="26" t="s">
        <v>19</v>
      </c>
      <c r="Q10" s="843"/>
      <c r="R10" s="844"/>
      <c r="U10" s="24" t="s">
        <v>20</v>
      </c>
      <c r="V10" s="698" t="s">
        <v>21</v>
      </c>
      <c r="W10" s="699"/>
      <c r="X10" s="44"/>
      <c r="Y10" s="44"/>
      <c r="Z10" s="44"/>
      <c r="AA10" s="44"/>
      <c r="AB10" s="51"/>
      <c r="AC10" s="51"/>
      <c r="AD10" s="51"/>
      <c r="AE10" s="51"/>
    </row>
    <row r="11" spans="1:32" s="641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82"/>
      <c r="R11" s="783"/>
      <c r="U11" s="24" t="s">
        <v>24</v>
      </c>
      <c r="V11" s="941" t="s">
        <v>25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41" customFormat="1" ht="18.600000000000001" customHeight="1" x14ac:dyDescent="0.2">
      <c r="A12" s="829" t="s">
        <v>26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3"/>
      <c r="N12" s="62"/>
      <c r="P12" s="24" t="s">
        <v>27</v>
      </c>
      <c r="Q12" s="795"/>
      <c r="R12" s="716"/>
      <c r="S12" s="23"/>
      <c r="U12" s="24"/>
      <c r="V12" s="679"/>
      <c r="W12" s="660"/>
      <c r="AB12" s="51"/>
      <c r="AC12" s="51"/>
      <c r="AD12" s="51"/>
      <c r="AE12" s="51"/>
    </row>
    <row r="13" spans="1:32" s="641" customFormat="1" ht="23.25" customHeight="1" x14ac:dyDescent="0.2">
      <c r="A13" s="829" t="s">
        <v>28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3"/>
      <c r="N13" s="62"/>
      <c r="O13" s="26"/>
      <c r="P13" s="26" t="s">
        <v>29</v>
      </c>
      <c r="Q13" s="941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1" customFormat="1" ht="18.600000000000001" customHeight="1" x14ac:dyDescent="0.2">
      <c r="A14" s="829" t="s">
        <v>30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1" customFormat="1" ht="22.5" customHeight="1" x14ac:dyDescent="0.2">
      <c r="A15" s="861" t="s">
        <v>31</v>
      </c>
      <c r="B15" s="702"/>
      <c r="C15" s="702"/>
      <c r="D15" s="702"/>
      <c r="E15" s="702"/>
      <c r="F15" s="702"/>
      <c r="G15" s="702"/>
      <c r="H15" s="702"/>
      <c r="I15" s="702"/>
      <c r="J15" s="702"/>
      <c r="K15" s="702"/>
      <c r="L15" s="702"/>
      <c r="M15" s="703"/>
      <c r="N15" s="63"/>
      <c r="P15" s="817" t="s">
        <v>32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8"/>
      <c r="Q16" s="818"/>
      <c r="R16" s="818"/>
      <c r="S16" s="818"/>
      <c r="T16" s="81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33</v>
      </c>
      <c r="B17" s="692" t="s">
        <v>34</v>
      </c>
      <c r="C17" s="803" t="s">
        <v>35</v>
      </c>
      <c r="D17" s="692" t="s">
        <v>36</v>
      </c>
      <c r="E17" s="762"/>
      <c r="F17" s="692" t="s">
        <v>37</v>
      </c>
      <c r="G17" s="692" t="s">
        <v>38</v>
      </c>
      <c r="H17" s="692" t="s">
        <v>39</v>
      </c>
      <c r="I17" s="692" t="s">
        <v>40</v>
      </c>
      <c r="J17" s="692" t="s">
        <v>41</v>
      </c>
      <c r="K17" s="692" t="s">
        <v>42</v>
      </c>
      <c r="L17" s="692" t="s">
        <v>43</v>
      </c>
      <c r="M17" s="692" t="s">
        <v>44</v>
      </c>
      <c r="N17" s="692" t="s">
        <v>45</v>
      </c>
      <c r="O17" s="692" t="s">
        <v>46</v>
      </c>
      <c r="P17" s="692" t="s">
        <v>47</v>
      </c>
      <c r="Q17" s="761"/>
      <c r="R17" s="761"/>
      <c r="S17" s="761"/>
      <c r="T17" s="762"/>
      <c r="U17" s="1012" t="s">
        <v>48</v>
      </c>
      <c r="V17" s="703"/>
      <c r="W17" s="692" t="s">
        <v>49</v>
      </c>
      <c r="X17" s="692" t="s">
        <v>50</v>
      </c>
      <c r="Y17" s="1013" t="s">
        <v>51</v>
      </c>
      <c r="Z17" s="913" t="s">
        <v>52</v>
      </c>
      <c r="AA17" s="890" t="s">
        <v>53</v>
      </c>
      <c r="AB17" s="890" t="s">
        <v>54</v>
      </c>
      <c r="AC17" s="890" t="s">
        <v>55</v>
      </c>
      <c r="AD17" s="890" t="s">
        <v>56</v>
      </c>
      <c r="AE17" s="966"/>
      <c r="AF17" s="967"/>
      <c r="AG17" s="66"/>
      <c r="BD17" s="65" t="s">
        <v>57</v>
      </c>
    </row>
    <row r="18" spans="1:68" ht="14.25" customHeight="1" x14ac:dyDescent="0.2">
      <c r="A18" s="693"/>
      <c r="B18" s="693"/>
      <c r="C18" s="693"/>
      <c r="D18" s="763"/>
      <c r="E18" s="76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63"/>
      <c r="Q18" s="764"/>
      <c r="R18" s="764"/>
      <c r="S18" s="764"/>
      <c r="T18" s="765"/>
      <c r="U18" s="67" t="s">
        <v>58</v>
      </c>
      <c r="V18" s="67" t="s">
        <v>59</v>
      </c>
      <c r="W18" s="693"/>
      <c r="X18" s="693"/>
      <c r="Y18" s="1014"/>
      <c r="Z18" s="914"/>
      <c r="AA18" s="891"/>
      <c r="AB18" s="891"/>
      <c r="AC18" s="891"/>
      <c r="AD18" s="968"/>
      <c r="AE18" s="969"/>
      <c r="AF18" s="970"/>
      <c r="AG18" s="66"/>
      <c r="BD18" s="65"/>
    </row>
    <row r="19" spans="1:68" ht="27.75" hidden="1" customHeight="1" x14ac:dyDescent="0.2">
      <c r="A19" s="661" t="s">
        <v>60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72" t="s">
        <v>60</v>
      </c>
      <c r="B20" s="660"/>
      <c r="C20" s="660"/>
      <c r="D20" s="660"/>
      <c r="E20" s="660"/>
      <c r="F20" s="660"/>
      <c r="G20" s="660"/>
      <c r="H20" s="660"/>
      <c r="I20" s="660"/>
      <c r="J20" s="660"/>
      <c r="K20" s="660"/>
      <c r="L20" s="660"/>
      <c r="M20" s="660"/>
      <c r="N20" s="660"/>
      <c r="O20" s="660"/>
      <c r="P20" s="660"/>
      <c r="Q20" s="660"/>
      <c r="R20" s="660"/>
      <c r="S20" s="660"/>
      <c r="T20" s="660"/>
      <c r="U20" s="660"/>
      <c r="V20" s="660"/>
      <c r="W20" s="660"/>
      <c r="X20" s="660"/>
      <c r="Y20" s="660"/>
      <c r="Z20" s="660"/>
      <c r="AA20" s="642"/>
      <c r="AB20" s="642"/>
      <c r="AC20" s="642"/>
    </row>
    <row r="21" spans="1:68" ht="14.25" hidden="1" customHeight="1" x14ac:dyDescent="0.25">
      <c r="A21" s="659" t="s">
        <v>61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43"/>
      <c r="AB21" s="643"/>
      <c r="AC21" s="64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51">
        <v>4680115886643</v>
      </c>
      <c r="E22" s="652"/>
      <c r="F22" s="646">
        <v>0.19</v>
      </c>
      <c r="G22" s="32">
        <v>10</v>
      </c>
      <c r="H22" s="646">
        <v>1.9</v>
      </c>
      <c r="I22" s="64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4"/>
      <c r="R22" s="654"/>
      <c r="S22" s="654"/>
      <c r="T22" s="655"/>
      <c r="U22" s="34"/>
      <c r="V22" s="34"/>
      <c r="W22" s="35" t="s">
        <v>66</v>
      </c>
      <c r="X22" s="647">
        <v>0</v>
      </c>
      <c r="Y22" s="64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51">
        <v>4680115889071</v>
      </c>
      <c r="E23" s="652"/>
      <c r="F23" s="646">
        <v>0.3</v>
      </c>
      <c r="G23" s="32">
        <v>6</v>
      </c>
      <c r="H23" s="646">
        <v>1.8</v>
      </c>
      <c r="I23" s="64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4"/>
      <c r="R23" s="654"/>
      <c r="S23" s="654"/>
      <c r="T23" s="655"/>
      <c r="U23" s="34"/>
      <c r="V23" s="34"/>
      <c r="W23" s="35" t="s">
        <v>66</v>
      </c>
      <c r="X23" s="647">
        <v>0</v>
      </c>
      <c r="Y23" s="6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8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9"/>
      <c r="P24" s="663" t="s">
        <v>71</v>
      </c>
      <c r="Q24" s="664"/>
      <c r="R24" s="664"/>
      <c r="S24" s="664"/>
      <c r="T24" s="664"/>
      <c r="U24" s="664"/>
      <c r="V24" s="665"/>
      <c r="W24" s="37" t="s">
        <v>72</v>
      </c>
      <c r="X24" s="649">
        <f>IFERROR(X22/H22,"0")+IFERROR(X23/H23,"0")</f>
        <v>0</v>
      </c>
      <c r="Y24" s="649">
        <f>IFERROR(Y22/H22,"0")+IFERROR(Y23/H23,"0")</f>
        <v>0</v>
      </c>
      <c r="Z24" s="649">
        <f>IFERROR(IF(Z22="",0,Z22),"0")+IFERROR(IF(Z23="",0,Z23),"0")</f>
        <v>0</v>
      </c>
      <c r="AA24" s="650"/>
      <c r="AB24" s="650"/>
      <c r="AC24" s="650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9"/>
      <c r="P25" s="663" t="s">
        <v>71</v>
      </c>
      <c r="Q25" s="664"/>
      <c r="R25" s="664"/>
      <c r="S25" s="664"/>
      <c r="T25" s="664"/>
      <c r="U25" s="664"/>
      <c r="V25" s="665"/>
      <c r="W25" s="37" t="s">
        <v>66</v>
      </c>
      <c r="X25" s="649">
        <f>IFERROR(SUM(X22:X23),"0")</f>
        <v>0</v>
      </c>
      <c r="Y25" s="649">
        <f>IFERROR(SUM(Y22:Y23),"0")</f>
        <v>0</v>
      </c>
      <c r="Z25" s="37"/>
      <c r="AA25" s="650"/>
      <c r="AB25" s="650"/>
      <c r="AC25" s="650"/>
    </row>
    <row r="26" spans="1:68" ht="14.25" hidden="1" customHeight="1" x14ac:dyDescent="0.25">
      <c r="A26" s="659" t="s">
        <v>73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43"/>
      <c r="AB26" s="643"/>
      <c r="AC26" s="64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51">
        <v>4680115885912</v>
      </c>
      <c r="E27" s="652"/>
      <c r="F27" s="646">
        <v>0.3</v>
      </c>
      <c r="G27" s="32">
        <v>6</v>
      </c>
      <c r="H27" s="646">
        <v>1.8</v>
      </c>
      <c r="I27" s="64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8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4"/>
      <c r="R27" s="654"/>
      <c r="S27" s="654"/>
      <c r="T27" s="655"/>
      <c r="U27" s="34"/>
      <c r="V27" s="34"/>
      <c r="W27" s="35" t="s">
        <v>66</v>
      </c>
      <c r="X27" s="647">
        <v>0</v>
      </c>
      <c r="Y27" s="6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51">
        <v>4607091388237</v>
      </c>
      <c r="E28" s="652"/>
      <c r="F28" s="646">
        <v>0.42</v>
      </c>
      <c r="G28" s="32">
        <v>6</v>
      </c>
      <c r="H28" s="646">
        <v>2.52</v>
      </c>
      <c r="I28" s="64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4"/>
      <c r="R28" s="654"/>
      <c r="S28" s="654"/>
      <c r="T28" s="655"/>
      <c r="U28" s="34"/>
      <c r="V28" s="34"/>
      <c r="W28" s="35" t="s">
        <v>66</v>
      </c>
      <c r="X28" s="647">
        <v>0</v>
      </c>
      <c r="Y28" s="6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51">
        <v>4680115887350</v>
      </c>
      <c r="E29" s="652"/>
      <c r="F29" s="646">
        <v>0.3</v>
      </c>
      <c r="G29" s="32">
        <v>6</v>
      </c>
      <c r="H29" s="646">
        <v>1.8</v>
      </c>
      <c r="I29" s="64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4"/>
      <c r="R29" s="654"/>
      <c r="S29" s="654"/>
      <c r="T29" s="655"/>
      <c r="U29" s="34"/>
      <c r="V29" s="34"/>
      <c r="W29" s="35" t="s">
        <v>66</v>
      </c>
      <c r="X29" s="647">
        <v>0</v>
      </c>
      <c r="Y29" s="6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51">
        <v>4680115885905</v>
      </c>
      <c r="E30" s="652"/>
      <c r="F30" s="646">
        <v>0.3</v>
      </c>
      <c r="G30" s="32">
        <v>6</v>
      </c>
      <c r="H30" s="646">
        <v>1.8</v>
      </c>
      <c r="I30" s="64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4"/>
      <c r="R30" s="654"/>
      <c r="S30" s="654"/>
      <c r="T30" s="655"/>
      <c r="U30" s="34"/>
      <c r="V30" s="34"/>
      <c r="W30" s="35" t="s">
        <v>66</v>
      </c>
      <c r="X30" s="647">
        <v>0</v>
      </c>
      <c r="Y30" s="6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51">
        <v>4680115887619</v>
      </c>
      <c r="E31" s="652"/>
      <c r="F31" s="646">
        <v>0.33</v>
      </c>
      <c r="G31" s="32">
        <v>6</v>
      </c>
      <c r="H31" s="646">
        <v>1.98</v>
      </c>
      <c r="I31" s="64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4"/>
      <c r="R31" s="654"/>
      <c r="S31" s="654"/>
      <c r="T31" s="655"/>
      <c r="U31" s="34"/>
      <c r="V31" s="34"/>
      <c r="W31" s="35" t="s">
        <v>66</v>
      </c>
      <c r="X31" s="647">
        <v>0</v>
      </c>
      <c r="Y31" s="6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8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9"/>
      <c r="P32" s="663" t="s">
        <v>71</v>
      </c>
      <c r="Q32" s="664"/>
      <c r="R32" s="664"/>
      <c r="S32" s="664"/>
      <c r="T32" s="664"/>
      <c r="U32" s="664"/>
      <c r="V32" s="665"/>
      <c r="W32" s="37" t="s">
        <v>72</v>
      </c>
      <c r="X32" s="649">
        <f>IFERROR(X27/H27,"0")+IFERROR(X28/H28,"0")+IFERROR(X29/H29,"0")+IFERROR(X30/H30,"0")+IFERROR(X31/H31,"0")</f>
        <v>0</v>
      </c>
      <c r="Y32" s="649">
        <f>IFERROR(Y27/H27,"0")+IFERROR(Y28/H28,"0")+IFERROR(Y29/H29,"0")+IFERROR(Y30/H30,"0")+IFERROR(Y31/H31,"0")</f>
        <v>0</v>
      </c>
      <c r="Z32" s="649">
        <f>IFERROR(IF(Z27="",0,Z27),"0")+IFERROR(IF(Z28="",0,Z28),"0")+IFERROR(IF(Z29="",0,Z29),"0")+IFERROR(IF(Z30="",0,Z30),"0")+IFERROR(IF(Z31="",0,Z31),"0")</f>
        <v>0</v>
      </c>
      <c r="AA32" s="650"/>
      <c r="AB32" s="650"/>
      <c r="AC32" s="650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9"/>
      <c r="P33" s="663" t="s">
        <v>71</v>
      </c>
      <c r="Q33" s="664"/>
      <c r="R33" s="664"/>
      <c r="S33" s="664"/>
      <c r="T33" s="664"/>
      <c r="U33" s="664"/>
      <c r="V33" s="665"/>
      <c r="W33" s="37" t="s">
        <v>66</v>
      </c>
      <c r="X33" s="649">
        <f>IFERROR(SUM(X27:X31),"0")</f>
        <v>0</v>
      </c>
      <c r="Y33" s="649">
        <f>IFERROR(SUM(Y27:Y31),"0")</f>
        <v>0</v>
      </c>
      <c r="Z33" s="37"/>
      <c r="AA33" s="650"/>
      <c r="AB33" s="650"/>
      <c r="AC33" s="650"/>
    </row>
    <row r="34" spans="1:68" ht="27.75" hidden="1" customHeight="1" x14ac:dyDescent="0.2">
      <c r="A34" s="661" t="s">
        <v>91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72" t="s">
        <v>92</v>
      </c>
      <c r="B35" s="660"/>
      <c r="C35" s="660"/>
      <c r="D35" s="660"/>
      <c r="E35" s="660"/>
      <c r="F35" s="660"/>
      <c r="G35" s="660"/>
      <c r="H35" s="660"/>
      <c r="I35" s="660"/>
      <c r="J35" s="660"/>
      <c r="K35" s="660"/>
      <c r="L35" s="660"/>
      <c r="M35" s="660"/>
      <c r="N35" s="660"/>
      <c r="O35" s="660"/>
      <c r="P35" s="660"/>
      <c r="Q35" s="660"/>
      <c r="R35" s="660"/>
      <c r="S35" s="660"/>
      <c r="T35" s="660"/>
      <c r="U35" s="660"/>
      <c r="V35" s="660"/>
      <c r="W35" s="660"/>
      <c r="X35" s="660"/>
      <c r="Y35" s="660"/>
      <c r="Z35" s="660"/>
      <c r="AA35" s="642"/>
      <c r="AB35" s="642"/>
      <c r="AC35" s="642"/>
    </row>
    <row r="36" spans="1:68" ht="14.25" hidden="1" customHeight="1" x14ac:dyDescent="0.25">
      <c r="A36" s="659" t="s">
        <v>73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43"/>
      <c r="AB36" s="643"/>
      <c r="AC36" s="643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51">
        <v>4680115889354</v>
      </c>
      <c r="E37" s="652"/>
      <c r="F37" s="646">
        <v>0.32</v>
      </c>
      <c r="G37" s="32">
        <v>6</v>
      </c>
      <c r="H37" s="646">
        <v>1.92</v>
      </c>
      <c r="I37" s="646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6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4"/>
      <c r="R37" s="654"/>
      <c r="S37" s="654"/>
      <c r="T37" s="655"/>
      <c r="U37" s="34"/>
      <c r="V37" s="34"/>
      <c r="W37" s="35" t="s">
        <v>66</v>
      </c>
      <c r="X37" s="647">
        <v>0</v>
      </c>
      <c r="Y37" s="64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51">
        <v>4680115888463</v>
      </c>
      <c r="E38" s="652"/>
      <c r="F38" s="646">
        <v>0.32</v>
      </c>
      <c r="G38" s="32">
        <v>6</v>
      </c>
      <c r="H38" s="646">
        <v>1.92</v>
      </c>
      <c r="I38" s="646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4"/>
      <c r="R38" s="654"/>
      <c r="S38" s="654"/>
      <c r="T38" s="655"/>
      <c r="U38" s="34"/>
      <c r="V38" s="34"/>
      <c r="W38" s="35" t="s">
        <v>66</v>
      </c>
      <c r="X38" s="647">
        <v>0</v>
      </c>
      <c r="Y38" s="64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51">
        <v>4680115889590</v>
      </c>
      <c r="E39" s="652"/>
      <c r="F39" s="646">
        <v>0.3</v>
      </c>
      <c r="G39" s="32">
        <v>4</v>
      </c>
      <c r="H39" s="646">
        <v>1.2</v>
      </c>
      <c r="I39" s="646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4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4"/>
      <c r="R39" s="654"/>
      <c r="S39" s="654"/>
      <c r="T39" s="655"/>
      <c r="U39" s="34"/>
      <c r="V39" s="34"/>
      <c r="W39" s="35" t="s">
        <v>66</v>
      </c>
      <c r="X39" s="647">
        <v>0</v>
      </c>
      <c r="Y39" s="64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51">
        <v>4680115888272</v>
      </c>
      <c r="E40" s="652"/>
      <c r="F40" s="646">
        <v>0.32</v>
      </c>
      <c r="G40" s="32">
        <v>6</v>
      </c>
      <c r="H40" s="646">
        <v>1.92</v>
      </c>
      <c r="I40" s="646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1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4"/>
      <c r="R40" s="654"/>
      <c r="S40" s="654"/>
      <c r="T40" s="655"/>
      <c r="U40" s="34"/>
      <c r="V40" s="34"/>
      <c r="W40" s="35" t="s">
        <v>66</v>
      </c>
      <c r="X40" s="647">
        <v>0</v>
      </c>
      <c r="Y40" s="64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51">
        <v>4680115888364</v>
      </c>
      <c r="E41" s="652"/>
      <c r="F41" s="646">
        <v>0.32</v>
      </c>
      <c r="G41" s="32">
        <v>6</v>
      </c>
      <c r="H41" s="646">
        <v>1.92</v>
      </c>
      <c r="I41" s="646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4"/>
      <c r="R41" s="654"/>
      <c r="S41" s="654"/>
      <c r="T41" s="655"/>
      <c r="U41" s="34"/>
      <c r="V41" s="34"/>
      <c r="W41" s="35" t="s">
        <v>66</v>
      </c>
      <c r="X41" s="647">
        <v>0</v>
      </c>
      <c r="Y41" s="64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8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9"/>
      <c r="P42" s="663" t="s">
        <v>71</v>
      </c>
      <c r="Q42" s="664"/>
      <c r="R42" s="664"/>
      <c r="S42" s="664"/>
      <c r="T42" s="664"/>
      <c r="U42" s="664"/>
      <c r="V42" s="665"/>
      <c r="W42" s="37" t="s">
        <v>72</v>
      </c>
      <c r="X42" s="649">
        <f>IFERROR(X37/H37,"0")+IFERROR(X38/H38,"0")+IFERROR(X39/H39,"0")+IFERROR(X40/H40,"0")+IFERROR(X41/H41,"0")</f>
        <v>0</v>
      </c>
      <c r="Y42" s="649">
        <f>IFERROR(Y37/H37,"0")+IFERROR(Y38/H38,"0")+IFERROR(Y39/H39,"0")+IFERROR(Y40/H40,"0")+IFERROR(Y41/H41,"0")</f>
        <v>0</v>
      </c>
      <c r="Z42" s="649">
        <f>IFERROR(IF(Z37="",0,Z37),"0")+IFERROR(IF(Z38="",0,Z38),"0")+IFERROR(IF(Z39="",0,Z39),"0")+IFERROR(IF(Z40="",0,Z40),"0")+IFERROR(IF(Z41="",0,Z41),"0")</f>
        <v>0</v>
      </c>
      <c r="AA42" s="650"/>
      <c r="AB42" s="650"/>
      <c r="AC42" s="650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9"/>
      <c r="P43" s="663" t="s">
        <v>71</v>
      </c>
      <c r="Q43" s="664"/>
      <c r="R43" s="664"/>
      <c r="S43" s="664"/>
      <c r="T43" s="664"/>
      <c r="U43" s="664"/>
      <c r="V43" s="665"/>
      <c r="W43" s="37" t="s">
        <v>66</v>
      </c>
      <c r="X43" s="649">
        <f>IFERROR(SUM(X37:X41),"0")</f>
        <v>0</v>
      </c>
      <c r="Y43" s="649">
        <f>IFERROR(SUM(Y37:Y41),"0")</f>
        <v>0</v>
      </c>
      <c r="Z43" s="37"/>
      <c r="AA43" s="650"/>
      <c r="AB43" s="650"/>
      <c r="AC43" s="650"/>
    </row>
    <row r="44" spans="1:68" ht="27.75" hidden="1" customHeight="1" x14ac:dyDescent="0.2">
      <c r="A44" s="661" t="s">
        <v>108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72" t="s">
        <v>109</v>
      </c>
      <c r="B45" s="660"/>
      <c r="C45" s="660"/>
      <c r="D45" s="660"/>
      <c r="E45" s="660"/>
      <c r="F45" s="660"/>
      <c r="G45" s="660"/>
      <c r="H45" s="660"/>
      <c r="I45" s="660"/>
      <c r="J45" s="660"/>
      <c r="K45" s="660"/>
      <c r="L45" s="660"/>
      <c r="M45" s="660"/>
      <c r="N45" s="660"/>
      <c r="O45" s="660"/>
      <c r="P45" s="660"/>
      <c r="Q45" s="660"/>
      <c r="R45" s="660"/>
      <c r="S45" s="660"/>
      <c r="T45" s="660"/>
      <c r="U45" s="660"/>
      <c r="V45" s="660"/>
      <c r="W45" s="660"/>
      <c r="X45" s="660"/>
      <c r="Y45" s="660"/>
      <c r="Z45" s="660"/>
      <c r="AA45" s="642"/>
      <c r="AB45" s="642"/>
      <c r="AC45" s="642"/>
    </row>
    <row r="46" spans="1:68" ht="14.25" hidden="1" customHeight="1" x14ac:dyDescent="0.25">
      <c r="A46" s="659" t="s">
        <v>110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43"/>
      <c r="AB46" s="643"/>
      <c r="AC46" s="643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51">
        <v>4607091385670</v>
      </c>
      <c r="E47" s="652"/>
      <c r="F47" s="646">
        <v>1.35</v>
      </c>
      <c r="G47" s="32">
        <v>8</v>
      </c>
      <c r="H47" s="646">
        <v>10.8</v>
      </c>
      <c r="I47" s="646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4"/>
      <c r="R47" s="654"/>
      <c r="S47" s="654"/>
      <c r="T47" s="655"/>
      <c r="U47" s="34"/>
      <c r="V47" s="34"/>
      <c r="W47" s="35" t="s">
        <v>66</v>
      </c>
      <c r="X47" s="647">
        <v>725</v>
      </c>
      <c r="Y47" s="648">
        <f>IFERROR(IF(X47="",0,CEILING((X47/$H47),1)*$H47),"")</f>
        <v>734.40000000000009</v>
      </c>
      <c r="Z47" s="36">
        <f>IFERROR(IF(Y47=0,"",ROUNDUP(Y47/H47,0)*0.01898),"")</f>
        <v>1.29064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752.52314814814815</v>
      </c>
      <c r="BN47" s="64">
        <f>IFERROR(Y47*I47/H47,"0")</f>
        <v>762.28000000000009</v>
      </c>
      <c r="BO47" s="64">
        <f>IFERROR(1/J47*(X47/H47),"0")</f>
        <v>1.0489004629629628</v>
      </c>
      <c r="BP47" s="64">
        <f>IFERROR(1/J47*(Y47/H47),"0")</f>
        <v>1.0625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51">
        <v>4680115887725</v>
      </c>
      <c r="E48" s="652"/>
      <c r="F48" s="646">
        <v>0.11</v>
      </c>
      <c r="G48" s="32">
        <v>10</v>
      </c>
      <c r="H48" s="646">
        <v>1.1000000000000001</v>
      </c>
      <c r="I48" s="646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4"/>
      <c r="R48" s="654"/>
      <c r="S48" s="654"/>
      <c r="T48" s="655"/>
      <c r="U48" s="34"/>
      <c r="V48" s="34"/>
      <c r="W48" s="35" t="s">
        <v>66</v>
      </c>
      <c r="X48" s="647">
        <v>0</v>
      </c>
      <c r="Y48" s="648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51">
        <v>4607091385687</v>
      </c>
      <c r="E49" s="652"/>
      <c r="F49" s="646">
        <v>0.4</v>
      </c>
      <c r="G49" s="32">
        <v>10</v>
      </c>
      <c r="H49" s="646">
        <v>4</v>
      </c>
      <c r="I49" s="646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5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4"/>
      <c r="R49" s="654"/>
      <c r="S49" s="654"/>
      <c r="T49" s="655"/>
      <c r="U49" s="34"/>
      <c r="V49" s="34"/>
      <c r="W49" s="35" t="s">
        <v>66</v>
      </c>
      <c r="X49" s="647">
        <v>0</v>
      </c>
      <c r="Y49" s="64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51">
        <v>4680115882539</v>
      </c>
      <c r="E50" s="652"/>
      <c r="F50" s="646">
        <v>0.37</v>
      </c>
      <c r="G50" s="32">
        <v>10</v>
      </c>
      <c r="H50" s="646">
        <v>3.7</v>
      </c>
      <c r="I50" s="646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6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4"/>
      <c r="R50" s="654"/>
      <c r="S50" s="654"/>
      <c r="T50" s="655"/>
      <c r="U50" s="34"/>
      <c r="V50" s="34"/>
      <c r="W50" s="35" t="s">
        <v>66</v>
      </c>
      <c r="X50" s="647">
        <v>0</v>
      </c>
      <c r="Y50" s="648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8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9"/>
      <c r="P51" s="663" t="s">
        <v>71</v>
      </c>
      <c r="Q51" s="664"/>
      <c r="R51" s="664"/>
      <c r="S51" s="664"/>
      <c r="T51" s="664"/>
      <c r="U51" s="664"/>
      <c r="V51" s="665"/>
      <c r="W51" s="37" t="s">
        <v>72</v>
      </c>
      <c r="X51" s="649">
        <f>IFERROR(X47/H47,"0")+IFERROR(X48/H48,"0")+IFERROR(X49/H49,"0")+IFERROR(X50/H50,"0")</f>
        <v>67.129629629629619</v>
      </c>
      <c r="Y51" s="649">
        <f>IFERROR(Y47/H47,"0")+IFERROR(Y48/H48,"0")+IFERROR(Y49/H49,"0")+IFERROR(Y50/H50,"0")</f>
        <v>68</v>
      </c>
      <c r="Z51" s="649">
        <f>IFERROR(IF(Z47="",0,Z47),"0")+IFERROR(IF(Z48="",0,Z48),"0")+IFERROR(IF(Z49="",0,Z49),"0")+IFERROR(IF(Z50="",0,Z50),"0")</f>
        <v>1.29064</v>
      </c>
      <c r="AA51" s="650"/>
      <c r="AB51" s="650"/>
      <c r="AC51" s="650"/>
    </row>
    <row r="52" spans="1:68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9"/>
      <c r="P52" s="663" t="s">
        <v>71</v>
      </c>
      <c r="Q52" s="664"/>
      <c r="R52" s="664"/>
      <c r="S52" s="664"/>
      <c r="T52" s="664"/>
      <c r="U52" s="664"/>
      <c r="V52" s="665"/>
      <c r="W52" s="37" t="s">
        <v>66</v>
      </c>
      <c r="X52" s="649">
        <f>IFERROR(SUM(X47:X50),"0")</f>
        <v>725</v>
      </c>
      <c r="Y52" s="649">
        <f>IFERROR(SUM(Y47:Y50),"0")</f>
        <v>734.40000000000009</v>
      </c>
      <c r="Z52" s="37"/>
      <c r="AA52" s="650"/>
      <c r="AB52" s="650"/>
      <c r="AC52" s="650"/>
    </row>
    <row r="53" spans="1:68" ht="16.5" hidden="1" customHeight="1" x14ac:dyDescent="0.25">
      <c r="A53" s="672" t="s">
        <v>125</v>
      </c>
      <c r="B53" s="660"/>
      <c r="C53" s="660"/>
      <c r="D53" s="660"/>
      <c r="E53" s="660"/>
      <c r="F53" s="660"/>
      <c r="G53" s="660"/>
      <c r="H53" s="660"/>
      <c r="I53" s="660"/>
      <c r="J53" s="660"/>
      <c r="K53" s="660"/>
      <c r="L53" s="660"/>
      <c r="M53" s="660"/>
      <c r="N53" s="660"/>
      <c r="O53" s="660"/>
      <c r="P53" s="660"/>
      <c r="Q53" s="660"/>
      <c r="R53" s="660"/>
      <c r="S53" s="660"/>
      <c r="T53" s="660"/>
      <c r="U53" s="660"/>
      <c r="V53" s="660"/>
      <c r="W53" s="660"/>
      <c r="X53" s="660"/>
      <c r="Y53" s="660"/>
      <c r="Z53" s="660"/>
      <c r="AA53" s="642"/>
      <c r="AB53" s="642"/>
      <c r="AC53" s="642"/>
    </row>
    <row r="54" spans="1:68" ht="14.25" hidden="1" customHeight="1" x14ac:dyDescent="0.25">
      <c r="A54" s="659" t="s">
        <v>110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43"/>
      <c r="AB54" s="643"/>
      <c r="AC54" s="643"/>
    </row>
    <row r="55" spans="1:68" ht="27" hidden="1" customHeight="1" x14ac:dyDescent="0.25">
      <c r="A55" s="54" t="s">
        <v>126</v>
      </c>
      <c r="B55" s="54" t="s">
        <v>127</v>
      </c>
      <c r="C55" s="31">
        <v>4301012161</v>
      </c>
      <c r="D55" s="651">
        <v>4680115885882</v>
      </c>
      <c r="E55" s="652"/>
      <c r="F55" s="646">
        <v>1.4</v>
      </c>
      <c r="G55" s="32">
        <v>8</v>
      </c>
      <c r="H55" s="646">
        <v>11.2</v>
      </c>
      <c r="I55" s="646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9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4"/>
      <c r="R55" s="654"/>
      <c r="S55" s="654"/>
      <c r="T55" s="655"/>
      <c r="U55" s="34"/>
      <c r="V55" s="34"/>
      <c r="W55" s="35" t="s">
        <v>66</v>
      </c>
      <c r="X55" s="647">
        <v>0</v>
      </c>
      <c r="Y55" s="648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51">
        <v>4680115881426</v>
      </c>
      <c r="E56" s="652"/>
      <c r="F56" s="646">
        <v>1.35</v>
      </c>
      <c r="G56" s="32">
        <v>8</v>
      </c>
      <c r="H56" s="646">
        <v>10.8</v>
      </c>
      <c r="I56" s="646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6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4"/>
      <c r="R56" s="654"/>
      <c r="S56" s="654"/>
      <c r="T56" s="655"/>
      <c r="U56" s="34"/>
      <c r="V56" s="34"/>
      <c r="W56" s="35" t="s">
        <v>66</v>
      </c>
      <c r="X56" s="647">
        <v>363</v>
      </c>
      <c r="Y56" s="648">
        <f t="shared" si="0"/>
        <v>367.20000000000005</v>
      </c>
      <c r="Z56" s="36">
        <f>IFERROR(IF(Y56=0,"",ROUNDUP(Y56/H56,0)*0.01898),"")</f>
        <v>0.64532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376.78055555555557</v>
      </c>
      <c r="BN56" s="64">
        <f t="shared" si="2"/>
        <v>381.14000000000004</v>
      </c>
      <c r="BO56" s="64">
        <f t="shared" si="3"/>
        <v>0.52517361111111105</v>
      </c>
      <c r="BP56" s="64">
        <f t="shared" si="4"/>
        <v>0.53125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51">
        <v>4680115881426</v>
      </c>
      <c r="E57" s="652"/>
      <c r="F57" s="646">
        <v>1.35</v>
      </c>
      <c r="G57" s="32">
        <v>8</v>
      </c>
      <c r="H57" s="646">
        <v>10.8</v>
      </c>
      <c r="I57" s="646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7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4"/>
      <c r="R57" s="654"/>
      <c r="S57" s="654"/>
      <c r="T57" s="655"/>
      <c r="U57" s="34"/>
      <c r="V57" s="34"/>
      <c r="W57" s="35" t="s">
        <v>66</v>
      </c>
      <c r="X57" s="647">
        <v>0</v>
      </c>
      <c r="Y57" s="648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51">
        <v>4680115880283</v>
      </c>
      <c r="E58" s="652"/>
      <c r="F58" s="646">
        <v>0.6</v>
      </c>
      <c r="G58" s="32">
        <v>8</v>
      </c>
      <c r="H58" s="646">
        <v>4.8</v>
      </c>
      <c r="I58" s="646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4"/>
      <c r="R58" s="654"/>
      <c r="S58" s="654"/>
      <c r="T58" s="655"/>
      <c r="U58" s="34"/>
      <c r="V58" s="34"/>
      <c r="W58" s="35" t="s">
        <v>66</v>
      </c>
      <c r="X58" s="647">
        <v>0</v>
      </c>
      <c r="Y58" s="64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51">
        <v>4680115881525</v>
      </c>
      <c r="E59" s="652"/>
      <c r="F59" s="646">
        <v>0.4</v>
      </c>
      <c r="G59" s="32">
        <v>10</v>
      </c>
      <c r="H59" s="646">
        <v>4</v>
      </c>
      <c r="I59" s="646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3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4"/>
      <c r="R59" s="654"/>
      <c r="S59" s="654"/>
      <c r="T59" s="655"/>
      <c r="U59" s="34"/>
      <c r="V59" s="34"/>
      <c r="W59" s="35" t="s">
        <v>66</v>
      </c>
      <c r="X59" s="647">
        <v>0</v>
      </c>
      <c r="Y59" s="64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51">
        <v>4680115881525</v>
      </c>
      <c r="E60" s="652"/>
      <c r="F60" s="646">
        <v>0.4</v>
      </c>
      <c r="G60" s="32">
        <v>10</v>
      </c>
      <c r="H60" s="646">
        <v>4</v>
      </c>
      <c r="I60" s="646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1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4"/>
      <c r="R60" s="654"/>
      <c r="S60" s="654"/>
      <c r="T60" s="655"/>
      <c r="U60" s="34"/>
      <c r="V60" s="34"/>
      <c r="W60" s="35" t="s">
        <v>66</v>
      </c>
      <c r="X60" s="647">
        <v>0</v>
      </c>
      <c r="Y60" s="648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51">
        <v>4680115885899</v>
      </c>
      <c r="E61" s="652"/>
      <c r="F61" s="646">
        <v>0.35</v>
      </c>
      <c r="G61" s="32">
        <v>6</v>
      </c>
      <c r="H61" s="646">
        <v>2.1</v>
      </c>
      <c r="I61" s="646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3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4"/>
      <c r="R61" s="654"/>
      <c r="S61" s="654"/>
      <c r="T61" s="655"/>
      <c r="U61" s="34"/>
      <c r="V61" s="34"/>
      <c r="W61" s="35" t="s">
        <v>66</v>
      </c>
      <c r="X61" s="647">
        <v>0</v>
      </c>
      <c r="Y61" s="648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143</v>
      </c>
      <c r="B62" s="54" t="s">
        <v>144</v>
      </c>
      <c r="C62" s="31">
        <v>4301011801</v>
      </c>
      <c r="D62" s="651">
        <v>4680115881419</v>
      </c>
      <c r="E62" s="652"/>
      <c r="F62" s="646">
        <v>0.45</v>
      </c>
      <c r="G62" s="32">
        <v>10</v>
      </c>
      <c r="H62" s="646">
        <v>4.5</v>
      </c>
      <c r="I62" s="646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5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4"/>
      <c r="R62" s="654"/>
      <c r="S62" s="654"/>
      <c r="T62" s="655"/>
      <c r="U62" s="34"/>
      <c r="V62" s="34"/>
      <c r="W62" s="35" t="s">
        <v>66</v>
      </c>
      <c r="X62" s="647">
        <v>32</v>
      </c>
      <c r="Y62" s="648">
        <f t="shared" si="0"/>
        <v>36</v>
      </c>
      <c r="Z62" s="36">
        <f>IFERROR(IF(Y62=0,"",ROUNDUP(Y62/H62,0)*0.00902),"")</f>
        <v>7.2160000000000002E-2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33.351111111111116</v>
      </c>
      <c r="BN62" s="64">
        <f t="shared" si="2"/>
        <v>37.520000000000003</v>
      </c>
      <c r="BO62" s="64">
        <f t="shared" si="3"/>
        <v>5.387205387205387E-2</v>
      </c>
      <c r="BP62" s="64">
        <f t="shared" si="4"/>
        <v>6.0606060606060608E-2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51">
        <v>4680115881419</v>
      </c>
      <c r="E63" s="652"/>
      <c r="F63" s="646">
        <v>0.45</v>
      </c>
      <c r="G63" s="32">
        <v>10</v>
      </c>
      <c r="H63" s="646">
        <v>4.5</v>
      </c>
      <c r="I63" s="646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6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4"/>
      <c r="R63" s="654"/>
      <c r="S63" s="654"/>
      <c r="T63" s="655"/>
      <c r="U63" s="34"/>
      <c r="V63" s="34"/>
      <c r="W63" s="35" t="s">
        <v>66</v>
      </c>
      <c r="X63" s="647">
        <v>0</v>
      </c>
      <c r="Y63" s="648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68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9"/>
      <c r="P64" s="663" t="s">
        <v>71</v>
      </c>
      <c r="Q64" s="664"/>
      <c r="R64" s="664"/>
      <c r="S64" s="664"/>
      <c r="T64" s="664"/>
      <c r="U64" s="664"/>
      <c r="V64" s="665"/>
      <c r="W64" s="37" t="s">
        <v>72</v>
      </c>
      <c r="X64" s="649">
        <f>IFERROR(X55/H55,"0")+IFERROR(X56/H56,"0")+IFERROR(X57/H57,"0")+IFERROR(X58/H58,"0")+IFERROR(X59/H59,"0")+IFERROR(X60/H60,"0")+IFERROR(X61/H61,"0")+IFERROR(X62/H62,"0")+IFERROR(X63/H63,"0")</f>
        <v>40.722222222222214</v>
      </c>
      <c r="Y64" s="649">
        <f>IFERROR(Y55/H55,"0")+IFERROR(Y56/H56,"0")+IFERROR(Y57/H57,"0")+IFERROR(Y58/H58,"0")+IFERROR(Y59/H59,"0")+IFERROR(Y60/H60,"0")+IFERROR(Y61/H61,"0")+IFERROR(Y62/H62,"0")+IFERROR(Y63/H63,"0")</f>
        <v>42</v>
      </c>
      <c r="Z64" s="649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0.71748000000000001</v>
      </c>
      <c r="AA64" s="650"/>
      <c r="AB64" s="650"/>
      <c r="AC64" s="650"/>
    </row>
    <row r="65" spans="1:68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9"/>
      <c r="P65" s="663" t="s">
        <v>71</v>
      </c>
      <c r="Q65" s="664"/>
      <c r="R65" s="664"/>
      <c r="S65" s="664"/>
      <c r="T65" s="664"/>
      <c r="U65" s="664"/>
      <c r="V65" s="665"/>
      <c r="W65" s="37" t="s">
        <v>66</v>
      </c>
      <c r="X65" s="649">
        <f>IFERROR(SUM(X55:X63),"0")</f>
        <v>395</v>
      </c>
      <c r="Y65" s="649">
        <f>IFERROR(SUM(Y55:Y63),"0")</f>
        <v>403.20000000000005</v>
      </c>
      <c r="Z65" s="37"/>
      <c r="AA65" s="650"/>
      <c r="AB65" s="650"/>
      <c r="AC65" s="650"/>
    </row>
    <row r="66" spans="1:68" ht="14.25" hidden="1" customHeight="1" x14ac:dyDescent="0.25">
      <c r="A66" s="659" t="s">
        <v>147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43"/>
      <c r="AB66" s="643"/>
      <c r="AC66" s="643"/>
    </row>
    <row r="67" spans="1:68" ht="16.5" customHeight="1" x14ac:dyDescent="0.25">
      <c r="A67" s="54" t="s">
        <v>148</v>
      </c>
      <c r="B67" s="54" t="s">
        <v>149</v>
      </c>
      <c r="C67" s="31">
        <v>4301020298</v>
      </c>
      <c r="D67" s="651">
        <v>4680115881440</v>
      </c>
      <c r="E67" s="652"/>
      <c r="F67" s="646">
        <v>1.35</v>
      </c>
      <c r="G67" s="32">
        <v>8</v>
      </c>
      <c r="H67" s="646">
        <v>10.8</v>
      </c>
      <c r="I67" s="646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4"/>
      <c r="R67" s="654"/>
      <c r="S67" s="654"/>
      <c r="T67" s="655"/>
      <c r="U67" s="34"/>
      <c r="V67" s="34"/>
      <c r="W67" s="35" t="s">
        <v>66</v>
      </c>
      <c r="X67" s="647">
        <v>114</v>
      </c>
      <c r="Y67" s="648">
        <f>IFERROR(IF(X67="",0,CEILING((X67/$H67),1)*$H67),"")</f>
        <v>118.80000000000001</v>
      </c>
      <c r="Z67" s="36">
        <f>IFERROR(IF(Y67=0,"",ROUNDUP(Y67/H67,0)*0.01898),"")</f>
        <v>0.20877999999999999</v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118.32777777777777</v>
      </c>
      <c r="BN67" s="64">
        <f>IFERROR(Y67*I67/H67,"0")</f>
        <v>123.31000000000002</v>
      </c>
      <c r="BO67" s="64">
        <f>IFERROR(1/J67*(X67/H67),"0")</f>
        <v>0.16493055555555555</v>
      </c>
      <c r="BP67" s="64">
        <f>IFERROR(1/J67*(Y67/H67),"0")</f>
        <v>0.171875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51">
        <v>4680115881440</v>
      </c>
      <c r="E68" s="652"/>
      <c r="F68" s="646">
        <v>1.35</v>
      </c>
      <c r="G68" s="32">
        <v>8</v>
      </c>
      <c r="H68" s="646">
        <v>10.8</v>
      </c>
      <c r="I68" s="646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81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4"/>
      <c r="R68" s="654"/>
      <c r="S68" s="654"/>
      <c r="T68" s="655"/>
      <c r="U68" s="34"/>
      <c r="V68" s="34"/>
      <c r="W68" s="35" t="s">
        <v>66</v>
      </c>
      <c r="X68" s="647">
        <v>0</v>
      </c>
      <c r="Y68" s="648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51">
        <v>4680115885950</v>
      </c>
      <c r="E69" s="652"/>
      <c r="F69" s="646">
        <v>0.37</v>
      </c>
      <c r="G69" s="32">
        <v>6</v>
      </c>
      <c r="H69" s="646">
        <v>2.2200000000000002</v>
      </c>
      <c r="I69" s="646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4"/>
      <c r="R69" s="654"/>
      <c r="S69" s="654"/>
      <c r="T69" s="655"/>
      <c r="U69" s="34"/>
      <c r="V69" s="34"/>
      <c r="W69" s="35" t="s">
        <v>66</v>
      </c>
      <c r="X69" s="647">
        <v>0</v>
      </c>
      <c r="Y69" s="648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51">
        <v>4680115887688</v>
      </c>
      <c r="E70" s="652"/>
      <c r="F70" s="646">
        <v>0.1</v>
      </c>
      <c r="G70" s="32">
        <v>10</v>
      </c>
      <c r="H70" s="646">
        <v>1</v>
      </c>
      <c r="I70" s="646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9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4"/>
      <c r="R70" s="654"/>
      <c r="S70" s="654"/>
      <c r="T70" s="655"/>
      <c r="U70" s="34"/>
      <c r="V70" s="34"/>
      <c r="W70" s="35" t="s">
        <v>66</v>
      </c>
      <c r="X70" s="647">
        <v>0</v>
      </c>
      <c r="Y70" s="648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51">
        <v>4680115881433</v>
      </c>
      <c r="E71" s="652"/>
      <c r="F71" s="646">
        <v>0.45</v>
      </c>
      <c r="G71" s="32">
        <v>6</v>
      </c>
      <c r="H71" s="646">
        <v>2.7</v>
      </c>
      <c r="I71" s="646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2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4"/>
      <c r="R71" s="654"/>
      <c r="S71" s="654"/>
      <c r="T71" s="655"/>
      <c r="U71" s="34"/>
      <c r="V71" s="34"/>
      <c r="W71" s="35" t="s">
        <v>66</v>
      </c>
      <c r="X71" s="647">
        <v>0</v>
      </c>
      <c r="Y71" s="64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x14ac:dyDescent="0.2">
      <c r="A72" s="668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9"/>
      <c r="P72" s="663" t="s">
        <v>71</v>
      </c>
      <c r="Q72" s="664"/>
      <c r="R72" s="664"/>
      <c r="S72" s="664"/>
      <c r="T72" s="664"/>
      <c r="U72" s="664"/>
      <c r="V72" s="665"/>
      <c r="W72" s="37" t="s">
        <v>72</v>
      </c>
      <c r="X72" s="649">
        <f>IFERROR(X67/H67,"0")+IFERROR(X68/H68,"0")+IFERROR(X69/H69,"0")+IFERROR(X70/H70,"0")+IFERROR(X71/H71,"0")</f>
        <v>10.555555555555555</v>
      </c>
      <c r="Y72" s="649">
        <f>IFERROR(Y67/H67,"0")+IFERROR(Y68/H68,"0")+IFERROR(Y69/H69,"0")+IFERROR(Y70/H70,"0")+IFERROR(Y71/H71,"0")</f>
        <v>11</v>
      </c>
      <c r="Z72" s="649">
        <f>IFERROR(IF(Z67="",0,Z67),"0")+IFERROR(IF(Z68="",0,Z68),"0")+IFERROR(IF(Z69="",0,Z69),"0")+IFERROR(IF(Z70="",0,Z70),"0")+IFERROR(IF(Z71="",0,Z71),"0")</f>
        <v>0.20877999999999999</v>
      </c>
      <c r="AA72" s="650"/>
      <c r="AB72" s="650"/>
      <c r="AC72" s="650"/>
    </row>
    <row r="73" spans="1:68" x14ac:dyDescent="0.2">
      <c r="A73" s="660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9"/>
      <c r="P73" s="663" t="s">
        <v>71</v>
      </c>
      <c r="Q73" s="664"/>
      <c r="R73" s="664"/>
      <c r="S73" s="664"/>
      <c r="T73" s="664"/>
      <c r="U73" s="664"/>
      <c r="V73" s="665"/>
      <c r="W73" s="37" t="s">
        <v>66</v>
      </c>
      <c r="X73" s="649">
        <f>IFERROR(SUM(X67:X71),"0")</f>
        <v>114</v>
      </c>
      <c r="Y73" s="649">
        <f>IFERROR(SUM(Y67:Y71),"0")</f>
        <v>118.80000000000001</v>
      </c>
      <c r="Z73" s="37"/>
      <c r="AA73" s="650"/>
      <c r="AB73" s="650"/>
      <c r="AC73" s="650"/>
    </row>
    <row r="74" spans="1:68" ht="14.25" hidden="1" customHeight="1" x14ac:dyDescent="0.25">
      <c r="A74" s="659" t="s">
        <v>73</v>
      </c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43"/>
      <c r="AB74" s="643"/>
      <c r="AC74" s="643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51">
        <v>4680115884311</v>
      </c>
      <c r="E75" s="652"/>
      <c r="F75" s="646">
        <v>0.3</v>
      </c>
      <c r="G75" s="32">
        <v>6</v>
      </c>
      <c r="H75" s="646">
        <v>1.8</v>
      </c>
      <c r="I75" s="646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8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4"/>
      <c r="R75" s="654"/>
      <c r="S75" s="654"/>
      <c r="T75" s="655"/>
      <c r="U75" s="34"/>
      <c r="V75" s="34"/>
      <c r="W75" s="35" t="s">
        <v>66</v>
      </c>
      <c r="X75" s="647">
        <v>0</v>
      </c>
      <c r="Y75" s="6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51">
        <v>4680115884403</v>
      </c>
      <c r="E76" s="652"/>
      <c r="F76" s="646">
        <v>0.3</v>
      </c>
      <c r="G76" s="32">
        <v>6</v>
      </c>
      <c r="H76" s="646">
        <v>1.8</v>
      </c>
      <c r="I76" s="646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3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4"/>
      <c r="R76" s="654"/>
      <c r="S76" s="654"/>
      <c r="T76" s="655"/>
      <c r="U76" s="34"/>
      <c r="V76" s="34"/>
      <c r="W76" s="35" t="s">
        <v>66</v>
      </c>
      <c r="X76" s="647">
        <v>0</v>
      </c>
      <c r="Y76" s="6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68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9"/>
      <c r="P77" s="663" t="s">
        <v>71</v>
      </c>
      <c r="Q77" s="664"/>
      <c r="R77" s="664"/>
      <c r="S77" s="664"/>
      <c r="T77" s="664"/>
      <c r="U77" s="664"/>
      <c r="V77" s="665"/>
      <c r="W77" s="37" t="s">
        <v>72</v>
      </c>
      <c r="X77" s="649">
        <f>IFERROR(X75/H75,"0")+IFERROR(X76/H76,"0")</f>
        <v>0</v>
      </c>
      <c r="Y77" s="649">
        <f>IFERROR(Y75/H75,"0")+IFERROR(Y76/H76,"0")</f>
        <v>0</v>
      </c>
      <c r="Z77" s="649">
        <f>IFERROR(IF(Z75="",0,Z75),"0")+IFERROR(IF(Z76="",0,Z76),"0")</f>
        <v>0</v>
      </c>
      <c r="AA77" s="650"/>
      <c r="AB77" s="650"/>
      <c r="AC77" s="650"/>
    </row>
    <row r="78" spans="1:68" hidden="1" x14ac:dyDescent="0.2">
      <c r="A78" s="660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9"/>
      <c r="P78" s="663" t="s">
        <v>71</v>
      </c>
      <c r="Q78" s="664"/>
      <c r="R78" s="664"/>
      <c r="S78" s="664"/>
      <c r="T78" s="664"/>
      <c r="U78" s="664"/>
      <c r="V78" s="665"/>
      <c r="W78" s="37" t="s">
        <v>66</v>
      </c>
      <c r="X78" s="649">
        <f>IFERROR(SUM(X75:X76),"0")</f>
        <v>0</v>
      </c>
      <c r="Y78" s="649">
        <f>IFERROR(SUM(Y75:Y76),"0")</f>
        <v>0</v>
      </c>
      <c r="Z78" s="37"/>
      <c r="AA78" s="650"/>
      <c r="AB78" s="650"/>
      <c r="AC78" s="650"/>
    </row>
    <row r="79" spans="1:68" ht="14.25" hidden="1" customHeight="1" x14ac:dyDescent="0.25">
      <c r="A79" s="659" t="s">
        <v>166</v>
      </c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43"/>
      <c r="AB79" s="643"/>
      <c r="AC79" s="643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651">
        <v>4680115881532</v>
      </c>
      <c r="E80" s="652"/>
      <c r="F80" s="646">
        <v>1.3</v>
      </c>
      <c r="G80" s="32">
        <v>6</v>
      </c>
      <c r="H80" s="646">
        <v>7.8</v>
      </c>
      <c r="I80" s="646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91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4"/>
      <c r="R80" s="654"/>
      <c r="S80" s="654"/>
      <c r="T80" s="655"/>
      <c r="U80" s="34"/>
      <c r="V80" s="34"/>
      <c r="W80" s="35" t="s">
        <v>66</v>
      </c>
      <c r="X80" s="647">
        <v>0</v>
      </c>
      <c r="Y80" s="6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51">
        <v>4680115881532</v>
      </c>
      <c r="E81" s="652"/>
      <c r="F81" s="646">
        <v>1.3</v>
      </c>
      <c r="G81" s="32">
        <v>6</v>
      </c>
      <c r="H81" s="646">
        <v>7.8</v>
      </c>
      <c r="I81" s="646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9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4"/>
      <c r="R81" s="654"/>
      <c r="S81" s="654"/>
      <c r="T81" s="655"/>
      <c r="U81" s="34"/>
      <c r="V81" s="34"/>
      <c r="W81" s="35" t="s">
        <v>66</v>
      </c>
      <c r="X81" s="647">
        <v>0</v>
      </c>
      <c r="Y81" s="64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51">
        <v>4680115881464</v>
      </c>
      <c r="E82" s="652"/>
      <c r="F82" s="646">
        <v>0.4</v>
      </c>
      <c r="G82" s="32">
        <v>6</v>
      </c>
      <c r="H82" s="646">
        <v>2.4</v>
      </c>
      <c r="I82" s="646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7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4"/>
      <c r="R82" s="654"/>
      <c r="S82" s="654"/>
      <c r="T82" s="655"/>
      <c r="U82" s="34"/>
      <c r="V82" s="34"/>
      <c r="W82" s="35" t="s">
        <v>66</v>
      </c>
      <c r="X82" s="647">
        <v>0</v>
      </c>
      <c r="Y82" s="64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68"/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9"/>
      <c r="P83" s="663" t="s">
        <v>71</v>
      </c>
      <c r="Q83" s="664"/>
      <c r="R83" s="664"/>
      <c r="S83" s="664"/>
      <c r="T83" s="664"/>
      <c r="U83" s="664"/>
      <c r="V83" s="665"/>
      <c r="W83" s="37" t="s">
        <v>72</v>
      </c>
      <c r="X83" s="649">
        <f>IFERROR(X80/H80,"0")+IFERROR(X81/H81,"0")+IFERROR(X82/H82,"0")</f>
        <v>0</v>
      </c>
      <c r="Y83" s="649">
        <f>IFERROR(Y80/H80,"0")+IFERROR(Y81/H81,"0")+IFERROR(Y82/H82,"0")</f>
        <v>0</v>
      </c>
      <c r="Z83" s="649">
        <f>IFERROR(IF(Z80="",0,Z80),"0")+IFERROR(IF(Z81="",0,Z81),"0")+IFERROR(IF(Z82="",0,Z82),"0")</f>
        <v>0</v>
      </c>
      <c r="AA83" s="650"/>
      <c r="AB83" s="650"/>
      <c r="AC83" s="650"/>
    </row>
    <row r="84" spans="1:68" hidden="1" x14ac:dyDescent="0.2">
      <c r="A84" s="660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9"/>
      <c r="P84" s="663" t="s">
        <v>71</v>
      </c>
      <c r="Q84" s="664"/>
      <c r="R84" s="664"/>
      <c r="S84" s="664"/>
      <c r="T84" s="664"/>
      <c r="U84" s="664"/>
      <c r="V84" s="665"/>
      <c r="W84" s="37" t="s">
        <v>66</v>
      </c>
      <c r="X84" s="649">
        <f>IFERROR(SUM(X80:X82),"0")</f>
        <v>0</v>
      </c>
      <c r="Y84" s="649">
        <f>IFERROR(SUM(Y80:Y82),"0")</f>
        <v>0</v>
      </c>
      <c r="Z84" s="37"/>
      <c r="AA84" s="650"/>
      <c r="AB84" s="650"/>
      <c r="AC84" s="650"/>
    </row>
    <row r="85" spans="1:68" ht="16.5" hidden="1" customHeight="1" x14ac:dyDescent="0.25">
      <c r="A85" s="672" t="s">
        <v>174</v>
      </c>
      <c r="B85" s="660"/>
      <c r="C85" s="660"/>
      <c r="D85" s="660"/>
      <c r="E85" s="660"/>
      <c r="F85" s="660"/>
      <c r="G85" s="660"/>
      <c r="H85" s="660"/>
      <c r="I85" s="660"/>
      <c r="J85" s="660"/>
      <c r="K85" s="660"/>
      <c r="L85" s="660"/>
      <c r="M85" s="660"/>
      <c r="N85" s="660"/>
      <c r="O85" s="660"/>
      <c r="P85" s="660"/>
      <c r="Q85" s="660"/>
      <c r="R85" s="660"/>
      <c r="S85" s="660"/>
      <c r="T85" s="660"/>
      <c r="U85" s="660"/>
      <c r="V85" s="660"/>
      <c r="W85" s="660"/>
      <c r="X85" s="660"/>
      <c r="Y85" s="660"/>
      <c r="Z85" s="660"/>
      <c r="AA85" s="642"/>
      <c r="AB85" s="642"/>
      <c r="AC85" s="642"/>
    </row>
    <row r="86" spans="1:68" ht="14.25" hidden="1" customHeight="1" x14ac:dyDescent="0.25">
      <c r="A86" s="659" t="s">
        <v>110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43"/>
      <c r="AB86" s="643"/>
      <c r="AC86" s="643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51">
        <v>4680115881327</v>
      </c>
      <c r="E87" s="652"/>
      <c r="F87" s="646">
        <v>1.35</v>
      </c>
      <c r="G87" s="32">
        <v>8</v>
      </c>
      <c r="H87" s="646">
        <v>10.8</v>
      </c>
      <c r="I87" s="646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4"/>
      <c r="R87" s="654"/>
      <c r="S87" s="654"/>
      <c r="T87" s="655"/>
      <c r="U87" s="34"/>
      <c r="V87" s="34"/>
      <c r="W87" s="35" t="s">
        <v>66</v>
      </c>
      <c r="X87" s="647">
        <v>363</v>
      </c>
      <c r="Y87" s="648">
        <f>IFERROR(IF(X87="",0,CEILING((X87/$H87),1)*$H87),"")</f>
        <v>367.20000000000005</v>
      </c>
      <c r="Z87" s="36">
        <f>IFERROR(IF(Y87=0,"",ROUNDUP(Y87/H87,0)*0.01898),"")</f>
        <v>0.64532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376.78055555555557</v>
      </c>
      <c r="BN87" s="64">
        <f>IFERROR(Y87*I87/H87,"0")</f>
        <v>381.14000000000004</v>
      </c>
      <c r="BO87" s="64">
        <f>IFERROR(1/J87*(X87/H87),"0")</f>
        <v>0.52517361111111105</v>
      </c>
      <c r="BP87" s="64">
        <f>IFERROR(1/J87*(Y87/H87),"0")</f>
        <v>0.53125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4301012392</v>
      </c>
      <c r="D88" s="651">
        <v>4680115887732</v>
      </c>
      <c r="E88" s="652"/>
      <c r="F88" s="646">
        <v>0.17</v>
      </c>
      <c r="G88" s="32">
        <v>8</v>
      </c>
      <c r="H88" s="646">
        <v>1.36</v>
      </c>
      <c r="I88" s="646">
        <v>1.54</v>
      </c>
      <c r="J88" s="32">
        <v>192</v>
      </c>
      <c r="K88" s="32" t="s">
        <v>118</v>
      </c>
      <c r="L88" s="32"/>
      <c r="M88" s="33" t="s">
        <v>65</v>
      </c>
      <c r="N88" s="33"/>
      <c r="O88" s="32">
        <v>30</v>
      </c>
      <c r="P88" s="85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4"/>
      <c r="R88" s="654"/>
      <c r="S88" s="654"/>
      <c r="T88" s="655"/>
      <c r="U88" s="34"/>
      <c r="V88" s="34"/>
      <c r="W88" s="35" t="s">
        <v>66</v>
      </c>
      <c r="X88" s="647">
        <v>0</v>
      </c>
      <c r="Y88" s="64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180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4301011476</v>
      </c>
      <c r="D89" s="651">
        <v>4680115881518</v>
      </c>
      <c r="E89" s="652"/>
      <c r="F89" s="646">
        <v>0.4</v>
      </c>
      <c r="G89" s="32">
        <v>10</v>
      </c>
      <c r="H89" s="646">
        <v>4</v>
      </c>
      <c r="I89" s="646">
        <v>4.1900000000000004</v>
      </c>
      <c r="J89" s="32">
        <v>132</v>
      </c>
      <c r="K89" s="32" t="s">
        <v>122</v>
      </c>
      <c r="L89" s="32"/>
      <c r="M89" s="33" t="s">
        <v>77</v>
      </c>
      <c r="N89" s="33"/>
      <c r="O89" s="32">
        <v>50</v>
      </c>
      <c r="P89" s="8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4"/>
      <c r="R89" s="654"/>
      <c r="S89" s="654"/>
      <c r="T89" s="655"/>
      <c r="U89" s="34"/>
      <c r="V89" s="34"/>
      <c r="W89" s="35" t="s">
        <v>66</v>
      </c>
      <c r="X89" s="647">
        <v>0</v>
      </c>
      <c r="Y89" s="6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177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181</v>
      </c>
      <c r="B90" s="54" t="s">
        <v>183</v>
      </c>
      <c r="C90" s="31">
        <v>4301012252</v>
      </c>
      <c r="D90" s="651">
        <v>4680115881518</v>
      </c>
      <c r="E90" s="652"/>
      <c r="F90" s="646">
        <v>0.4</v>
      </c>
      <c r="G90" s="32">
        <v>10</v>
      </c>
      <c r="H90" s="646">
        <v>4</v>
      </c>
      <c r="I90" s="646">
        <v>4.1900000000000004</v>
      </c>
      <c r="J90" s="32">
        <v>132</v>
      </c>
      <c r="K90" s="32" t="s">
        <v>122</v>
      </c>
      <c r="L90" s="32"/>
      <c r="M90" s="33" t="s">
        <v>114</v>
      </c>
      <c r="N90" s="33"/>
      <c r="O90" s="32">
        <v>50</v>
      </c>
      <c r="P90" s="88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54"/>
      <c r="R90" s="654"/>
      <c r="S90" s="654"/>
      <c r="T90" s="655"/>
      <c r="U90" s="34"/>
      <c r="V90" s="34"/>
      <c r="W90" s="35" t="s">
        <v>66</v>
      </c>
      <c r="X90" s="647">
        <v>0</v>
      </c>
      <c r="Y90" s="64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184</v>
      </c>
      <c r="B91" s="54" t="s">
        <v>185</v>
      </c>
      <c r="C91" s="31">
        <v>4301012250</v>
      </c>
      <c r="D91" s="651">
        <v>4680115881303</v>
      </c>
      <c r="E91" s="652"/>
      <c r="F91" s="646">
        <v>0.45</v>
      </c>
      <c r="G91" s="32">
        <v>10</v>
      </c>
      <c r="H91" s="646">
        <v>4.5</v>
      </c>
      <c r="I91" s="646">
        <v>4.6900000000000004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8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54"/>
      <c r="R91" s="654"/>
      <c r="S91" s="654"/>
      <c r="T91" s="655"/>
      <c r="U91" s="34"/>
      <c r="V91" s="34"/>
      <c r="W91" s="35" t="s">
        <v>66</v>
      </c>
      <c r="X91" s="647">
        <v>0</v>
      </c>
      <c r="Y91" s="64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68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9"/>
      <c r="P92" s="663" t="s">
        <v>71</v>
      </c>
      <c r="Q92" s="664"/>
      <c r="R92" s="664"/>
      <c r="S92" s="664"/>
      <c r="T92" s="664"/>
      <c r="U92" s="664"/>
      <c r="V92" s="665"/>
      <c r="W92" s="37" t="s">
        <v>72</v>
      </c>
      <c r="X92" s="649">
        <f>IFERROR(X87/H87,"0")+IFERROR(X88/H88,"0")+IFERROR(X89/H89,"0")+IFERROR(X90/H90,"0")+IFERROR(X91/H91,"0")</f>
        <v>33.611111111111107</v>
      </c>
      <c r="Y92" s="649">
        <f>IFERROR(Y87/H87,"0")+IFERROR(Y88/H88,"0")+IFERROR(Y89/H89,"0")+IFERROR(Y90/H90,"0")+IFERROR(Y91/H91,"0")</f>
        <v>34</v>
      </c>
      <c r="Z92" s="649">
        <f>IFERROR(IF(Z87="",0,Z87),"0")+IFERROR(IF(Z88="",0,Z88),"0")+IFERROR(IF(Z89="",0,Z89),"0")+IFERROR(IF(Z90="",0,Z90),"0")+IFERROR(IF(Z91="",0,Z91),"0")</f>
        <v>0.64532</v>
      </c>
      <c r="AA92" s="650"/>
      <c r="AB92" s="650"/>
      <c r="AC92" s="650"/>
    </row>
    <row r="93" spans="1:68" x14ac:dyDescent="0.2">
      <c r="A93" s="660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9"/>
      <c r="P93" s="663" t="s">
        <v>71</v>
      </c>
      <c r="Q93" s="664"/>
      <c r="R93" s="664"/>
      <c r="S93" s="664"/>
      <c r="T93" s="664"/>
      <c r="U93" s="664"/>
      <c r="V93" s="665"/>
      <c r="W93" s="37" t="s">
        <v>66</v>
      </c>
      <c r="X93" s="649">
        <f>IFERROR(SUM(X87:X91),"0")</f>
        <v>363</v>
      </c>
      <c r="Y93" s="649">
        <f>IFERROR(SUM(Y87:Y91),"0")</f>
        <v>367.20000000000005</v>
      </c>
      <c r="Z93" s="37"/>
      <c r="AA93" s="650"/>
      <c r="AB93" s="650"/>
      <c r="AC93" s="650"/>
    </row>
    <row r="94" spans="1:68" ht="14.25" hidden="1" customHeight="1" x14ac:dyDescent="0.25">
      <c r="A94" s="659" t="s">
        <v>73</v>
      </c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43"/>
      <c r="AB94" s="643"/>
      <c r="AC94" s="643"/>
    </row>
    <row r="95" spans="1:68" ht="27" hidden="1" customHeight="1" x14ac:dyDescent="0.25">
      <c r="A95" s="54" t="s">
        <v>186</v>
      </c>
      <c r="B95" s="54" t="s">
        <v>187</v>
      </c>
      <c r="C95" s="31">
        <v>4301052101</v>
      </c>
      <c r="D95" s="651">
        <v>4607091386967</v>
      </c>
      <c r="E95" s="652"/>
      <c r="F95" s="646">
        <v>1.35</v>
      </c>
      <c r="G95" s="32">
        <v>6</v>
      </c>
      <c r="H95" s="646">
        <v>8.1</v>
      </c>
      <c r="I95" s="646">
        <v>8.5939999999999994</v>
      </c>
      <c r="J95" s="32">
        <v>64</v>
      </c>
      <c r="K95" s="32" t="s">
        <v>113</v>
      </c>
      <c r="L95" s="32"/>
      <c r="M95" s="33" t="s">
        <v>83</v>
      </c>
      <c r="N95" s="33"/>
      <c r="O95" s="32">
        <v>45</v>
      </c>
      <c r="P95" s="72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54"/>
      <c r="R95" s="654"/>
      <c r="S95" s="654"/>
      <c r="T95" s="655"/>
      <c r="U95" s="34"/>
      <c r="V95" s="34"/>
      <c r="W95" s="35" t="s">
        <v>66</v>
      </c>
      <c r="X95" s="647">
        <v>0</v>
      </c>
      <c r="Y95" s="64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9" t="s">
        <v>188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189</v>
      </c>
      <c r="B96" s="54" t="s">
        <v>190</v>
      </c>
      <c r="C96" s="31">
        <v>4301052090</v>
      </c>
      <c r="D96" s="651">
        <v>4680115884953</v>
      </c>
      <c r="E96" s="652"/>
      <c r="F96" s="646">
        <v>0.37</v>
      </c>
      <c r="G96" s="32">
        <v>6</v>
      </c>
      <c r="H96" s="646">
        <v>2.2200000000000002</v>
      </c>
      <c r="I96" s="64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8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54"/>
      <c r="R96" s="654"/>
      <c r="S96" s="654"/>
      <c r="T96" s="655"/>
      <c r="U96" s="34"/>
      <c r="V96" s="34"/>
      <c r="W96" s="35" t="s">
        <v>66</v>
      </c>
      <c r="X96" s="647">
        <v>0</v>
      </c>
      <c r="Y96" s="6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4301052094</v>
      </c>
      <c r="D97" s="651">
        <v>4607091385731</v>
      </c>
      <c r="E97" s="652"/>
      <c r="F97" s="646">
        <v>0.45</v>
      </c>
      <c r="G97" s="32">
        <v>6</v>
      </c>
      <c r="H97" s="646">
        <v>2.7</v>
      </c>
      <c r="I97" s="64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5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54"/>
      <c r="R97" s="654"/>
      <c r="S97" s="654"/>
      <c r="T97" s="655"/>
      <c r="U97" s="34"/>
      <c r="V97" s="34"/>
      <c r="W97" s="35" t="s">
        <v>66</v>
      </c>
      <c r="X97" s="647">
        <v>0</v>
      </c>
      <c r="Y97" s="64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188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51">
        <v>4680115880894</v>
      </c>
      <c r="E98" s="652"/>
      <c r="F98" s="646">
        <v>0.33</v>
      </c>
      <c r="G98" s="32">
        <v>6</v>
      </c>
      <c r="H98" s="646">
        <v>1.98</v>
      </c>
      <c r="I98" s="64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4"/>
      <c r="R98" s="654"/>
      <c r="S98" s="654"/>
      <c r="T98" s="655"/>
      <c r="U98" s="34"/>
      <c r="V98" s="34"/>
      <c r="W98" s="35" t="s">
        <v>66</v>
      </c>
      <c r="X98" s="647">
        <v>0</v>
      </c>
      <c r="Y98" s="64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196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68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9"/>
      <c r="P99" s="663" t="s">
        <v>71</v>
      </c>
      <c r="Q99" s="664"/>
      <c r="R99" s="664"/>
      <c r="S99" s="664"/>
      <c r="T99" s="664"/>
      <c r="U99" s="664"/>
      <c r="V99" s="665"/>
      <c r="W99" s="37" t="s">
        <v>72</v>
      </c>
      <c r="X99" s="649">
        <f>IFERROR(X95/H95,"0")+IFERROR(X96/H96,"0")+IFERROR(X97/H97,"0")+IFERROR(X98/H98,"0")</f>
        <v>0</v>
      </c>
      <c r="Y99" s="649">
        <f>IFERROR(Y95/H95,"0")+IFERROR(Y96/H96,"0")+IFERROR(Y97/H97,"0")+IFERROR(Y98/H98,"0")</f>
        <v>0</v>
      </c>
      <c r="Z99" s="649">
        <f>IFERROR(IF(Z95="",0,Z95),"0")+IFERROR(IF(Z96="",0,Z96),"0")+IFERROR(IF(Z97="",0,Z97),"0")+IFERROR(IF(Z98="",0,Z98),"0")</f>
        <v>0</v>
      </c>
      <c r="AA99" s="650"/>
      <c r="AB99" s="650"/>
      <c r="AC99" s="650"/>
    </row>
    <row r="100" spans="1:68" hidden="1" x14ac:dyDescent="0.2">
      <c r="A100" s="660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9"/>
      <c r="P100" s="663" t="s">
        <v>71</v>
      </c>
      <c r="Q100" s="664"/>
      <c r="R100" s="664"/>
      <c r="S100" s="664"/>
      <c r="T100" s="664"/>
      <c r="U100" s="664"/>
      <c r="V100" s="665"/>
      <c r="W100" s="37" t="s">
        <v>66</v>
      </c>
      <c r="X100" s="649">
        <f>IFERROR(SUM(X95:X98),"0")</f>
        <v>0</v>
      </c>
      <c r="Y100" s="649">
        <f>IFERROR(SUM(Y95:Y98),"0")</f>
        <v>0</v>
      </c>
      <c r="Z100" s="37"/>
      <c r="AA100" s="650"/>
      <c r="AB100" s="650"/>
      <c r="AC100" s="650"/>
    </row>
    <row r="101" spans="1:68" ht="16.5" hidden="1" customHeight="1" x14ac:dyDescent="0.25">
      <c r="A101" s="672" t="s">
        <v>197</v>
      </c>
      <c r="B101" s="660"/>
      <c r="C101" s="660"/>
      <c r="D101" s="660"/>
      <c r="E101" s="660"/>
      <c r="F101" s="660"/>
      <c r="G101" s="660"/>
      <c r="H101" s="660"/>
      <c r="I101" s="660"/>
      <c r="J101" s="660"/>
      <c r="K101" s="660"/>
      <c r="L101" s="660"/>
      <c r="M101" s="660"/>
      <c r="N101" s="660"/>
      <c r="O101" s="660"/>
      <c r="P101" s="660"/>
      <c r="Q101" s="660"/>
      <c r="R101" s="660"/>
      <c r="S101" s="660"/>
      <c r="T101" s="660"/>
      <c r="U101" s="660"/>
      <c r="V101" s="660"/>
      <c r="W101" s="660"/>
      <c r="X101" s="660"/>
      <c r="Y101" s="660"/>
      <c r="Z101" s="660"/>
      <c r="AA101" s="642"/>
      <c r="AB101" s="642"/>
      <c r="AC101" s="642"/>
    </row>
    <row r="102" spans="1:68" ht="14.25" hidden="1" customHeight="1" x14ac:dyDescent="0.25">
      <c r="A102" s="659" t="s">
        <v>110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43"/>
      <c r="AB102" s="643"/>
      <c r="AC102" s="643"/>
    </row>
    <row r="103" spans="1:68" ht="37.5" customHeight="1" x14ac:dyDescent="0.25">
      <c r="A103" s="54" t="s">
        <v>198</v>
      </c>
      <c r="B103" s="54" t="s">
        <v>199</v>
      </c>
      <c r="C103" s="31">
        <v>4301011514</v>
      </c>
      <c r="D103" s="651">
        <v>4680115882133</v>
      </c>
      <c r="E103" s="652"/>
      <c r="F103" s="646">
        <v>1.35</v>
      </c>
      <c r="G103" s="32">
        <v>8</v>
      </c>
      <c r="H103" s="646">
        <v>10.8</v>
      </c>
      <c r="I103" s="646">
        <v>11.21</v>
      </c>
      <c r="J103" s="32">
        <v>64</v>
      </c>
      <c r="K103" s="32" t="s">
        <v>113</v>
      </c>
      <c r="L103" s="32"/>
      <c r="M103" s="33" t="s">
        <v>114</v>
      </c>
      <c r="N103" s="33"/>
      <c r="O103" s="32">
        <v>50</v>
      </c>
      <c r="P103" s="7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4"/>
      <c r="R103" s="654"/>
      <c r="S103" s="654"/>
      <c r="T103" s="655"/>
      <c r="U103" s="34"/>
      <c r="V103" s="34"/>
      <c r="W103" s="35" t="s">
        <v>66</v>
      </c>
      <c r="X103" s="647">
        <v>130</v>
      </c>
      <c r="Y103" s="648">
        <f t="shared" ref="Y103:Y111" si="5">IFERROR(IF(X103="",0,CEILING((X103/$H103),1)*$H103),"")</f>
        <v>140.4</v>
      </c>
      <c r="Z103" s="36">
        <f>IFERROR(IF(Y103=0,"",ROUNDUP(Y103/H103,0)*0.01898),"")</f>
        <v>0.24674000000000001</v>
      </c>
      <c r="AA103" s="56"/>
      <c r="AB103" s="57"/>
      <c r="AC103" s="157" t="s">
        <v>200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134.93518518518519</v>
      </c>
      <c r="BN103" s="64">
        <f t="shared" ref="BN103:BN111" si="7">IFERROR(Y103*I103/H103,"0")</f>
        <v>145.73000000000002</v>
      </c>
      <c r="BO103" s="64">
        <f t="shared" ref="BO103:BO111" si="8">IFERROR(1/J103*(X103/H103),"0")</f>
        <v>0.18807870370370369</v>
      </c>
      <c r="BP103" s="64">
        <f t="shared" ref="BP103:BP111" si="9">IFERROR(1/J103*(Y103/H103),"0")</f>
        <v>0.203125</v>
      </c>
    </row>
    <row r="104" spans="1:68" ht="27" hidden="1" customHeight="1" x14ac:dyDescent="0.25">
      <c r="A104" s="54" t="s">
        <v>198</v>
      </c>
      <c r="B104" s="54" t="s">
        <v>201</v>
      </c>
      <c r="C104" s="31">
        <v>4301012256</v>
      </c>
      <c r="D104" s="651">
        <v>4680115882133</v>
      </c>
      <c r="E104" s="652"/>
      <c r="F104" s="646">
        <v>1.35</v>
      </c>
      <c r="G104" s="32">
        <v>8</v>
      </c>
      <c r="H104" s="646">
        <v>10.8</v>
      </c>
      <c r="I104" s="646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54"/>
      <c r="R104" s="654"/>
      <c r="S104" s="654"/>
      <c r="T104" s="655"/>
      <c r="U104" s="34"/>
      <c r="V104" s="34"/>
      <c r="W104" s="35" t="s">
        <v>66</v>
      </c>
      <c r="X104" s="647">
        <v>0</v>
      </c>
      <c r="Y104" s="648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203</v>
      </c>
      <c r="B105" s="54" t="s">
        <v>204</v>
      </c>
      <c r="C105" s="31">
        <v>4301012379</v>
      </c>
      <c r="D105" s="651">
        <v>4680115887718</v>
      </c>
      <c r="E105" s="652"/>
      <c r="F105" s="646">
        <v>0.11</v>
      </c>
      <c r="G105" s="32">
        <v>6</v>
      </c>
      <c r="H105" s="646">
        <v>0.66</v>
      </c>
      <c r="I105" s="646">
        <v>0.82599999999999996</v>
      </c>
      <c r="J105" s="32">
        <v>192</v>
      </c>
      <c r="K105" s="32" t="s">
        <v>118</v>
      </c>
      <c r="L105" s="32"/>
      <c r="M105" s="33" t="s">
        <v>65</v>
      </c>
      <c r="N105" s="33"/>
      <c r="O105" s="32">
        <v>30</v>
      </c>
      <c r="P105" s="95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4"/>
      <c r="R105" s="654"/>
      <c r="S105" s="654"/>
      <c r="T105" s="655"/>
      <c r="U105" s="34"/>
      <c r="V105" s="34"/>
      <c r="W105" s="35" t="s">
        <v>66</v>
      </c>
      <c r="X105" s="647">
        <v>0</v>
      </c>
      <c r="Y105" s="648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51">
        <v>4680115880269</v>
      </c>
      <c r="E106" s="652"/>
      <c r="F106" s="646">
        <v>0.375</v>
      </c>
      <c r="G106" s="32">
        <v>10</v>
      </c>
      <c r="H106" s="646">
        <v>3.75</v>
      </c>
      <c r="I106" s="646">
        <v>3.94</v>
      </c>
      <c r="J106" s="32">
        <v>132</v>
      </c>
      <c r="K106" s="32" t="s">
        <v>122</v>
      </c>
      <c r="L106" s="32"/>
      <c r="M106" s="33" t="s">
        <v>77</v>
      </c>
      <c r="N106" s="33"/>
      <c r="O106" s="32">
        <v>50</v>
      </c>
      <c r="P106" s="9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4"/>
      <c r="R106" s="654"/>
      <c r="S106" s="654"/>
      <c r="T106" s="655"/>
      <c r="U106" s="34"/>
      <c r="V106" s="34"/>
      <c r="W106" s="35" t="s">
        <v>66</v>
      </c>
      <c r="X106" s="647">
        <v>0</v>
      </c>
      <c r="Y106" s="648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200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206</v>
      </c>
      <c r="B107" s="54" t="s">
        <v>208</v>
      </c>
      <c r="C107" s="31">
        <v>4301012253</v>
      </c>
      <c r="D107" s="651">
        <v>4680115880269</v>
      </c>
      <c r="E107" s="652"/>
      <c r="F107" s="646">
        <v>0.375</v>
      </c>
      <c r="G107" s="32">
        <v>10</v>
      </c>
      <c r="H107" s="646">
        <v>3.75</v>
      </c>
      <c r="I107" s="646">
        <v>3.94</v>
      </c>
      <c r="J107" s="32">
        <v>132</v>
      </c>
      <c r="K107" s="32" t="s">
        <v>122</v>
      </c>
      <c r="L107" s="32"/>
      <c r="M107" s="33" t="s">
        <v>114</v>
      </c>
      <c r="N107" s="33"/>
      <c r="O107" s="32">
        <v>50</v>
      </c>
      <c r="P107" s="95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54"/>
      <c r="R107" s="654"/>
      <c r="S107" s="654"/>
      <c r="T107" s="655"/>
      <c r="U107" s="34"/>
      <c r="V107" s="34"/>
      <c r="W107" s="35" t="s">
        <v>66</v>
      </c>
      <c r="X107" s="647">
        <v>0</v>
      </c>
      <c r="Y107" s="648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209</v>
      </c>
      <c r="B108" s="54" t="s">
        <v>210</v>
      </c>
      <c r="C108" s="31">
        <v>4301012254</v>
      </c>
      <c r="D108" s="651">
        <v>4680115880429</v>
      </c>
      <c r="E108" s="652"/>
      <c r="F108" s="646">
        <v>0.45</v>
      </c>
      <c r="G108" s="32">
        <v>10</v>
      </c>
      <c r="H108" s="646">
        <v>4.5</v>
      </c>
      <c r="I108" s="646">
        <v>4.6900000000000004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54"/>
      <c r="R108" s="654"/>
      <c r="S108" s="654"/>
      <c r="T108" s="655"/>
      <c r="U108" s="34"/>
      <c r="V108" s="34"/>
      <c r="W108" s="35" t="s">
        <v>66</v>
      </c>
      <c r="X108" s="647">
        <v>0</v>
      </c>
      <c r="Y108" s="648">
        <f t="shared" si="5"/>
        <v>0</v>
      </c>
      <c r="Z108" s="36" t="str">
        <f>IFERROR(IF(Y108=0,"",ROUNDUP(Y108/H108,0)*0.00902),"")</f>
        <v/>
      </c>
      <c r="AA108" s="56"/>
      <c r="AB108" s="57"/>
      <c r="AC108" s="167" t="s">
        <v>202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t="37.5" hidden="1" customHeight="1" x14ac:dyDescent="0.25">
      <c r="A109" s="54" t="s">
        <v>211</v>
      </c>
      <c r="B109" s="54" t="s">
        <v>212</v>
      </c>
      <c r="C109" s="31">
        <v>4301011462</v>
      </c>
      <c r="D109" s="651">
        <v>4680115881457</v>
      </c>
      <c r="E109" s="652"/>
      <c r="F109" s="646">
        <v>0.75</v>
      </c>
      <c r="G109" s="32">
        <v>6</v>
      </c>
      <c r="H109" s="646">
        <v>4.5</v>
      </c>
      <c r="I109" s="646">
        <v>4.6900000000000004</v>
      </c>
      <c r="J109" s="32">
        <v>132</v>
      </c>
      <c r="K109" s="32" t="s">
        <v>122</v>
      </c>
      <c r="L109" s="32"/>
      <c r="M109" s="33" t="s">
        <v>77</v>
      </c>
      <c r="N109" s="33"/>
      <c r="O109" s="32">
        <v>50</v>
      </c>
      <c r="P109" s="9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54"/>
      <c r="R109" s="654"/>
      <c r="S109" s="654"/>
      <c r="T109" s="655"/>
      <c r="U109" s="34"/>
      <c r="V109" s="34"/>
      <c r="W109" s="35" t="s">
        <v>66</v>
      </c>
      <c r="X109" s="647">
        <v>0</v>
      </c>
      <c r="Y109" s="648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200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211</v>
      </c>
      <c r="B110" s="54" t="s">
        <v>213</v>
      </c>
      <c r="C110" s="31">
        <v>4301012255</v>
      </c>
      <c r="D110" s="651">
        <v>4680115881457</v>
      </c>
      <c r="E110" s="652"/>
      <c r="F110" s="646">
        <v>0.75</v>
      </c>
      <c r="G110" s="32">
        <v>6</v>
      </c>
      <c r="H110" s="646">
        <v>4.5</v>
      </c>
      <c r="I110" s="646">
        <v>4.6900000000000004</v>
      </c>
      <c r="J110" s="32">
        <v>132</v>
      </c>
      <c r="K110" s="32" t="s">
        <v>122</v>
      </c>
      <c r="L110" s="32"/>
      <c r="M110" s="33" t="s">
        <v>114</v>
      </c>
      <c r="N110" s="33"/>
      <c r="O110" s="32">
        <v>50</v>
      </c>
      <c r="P110" s="9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54"/>
      <c r="R110" s="654"/>
      <c r="S110" s="654"/>
      <c r="T110" s="655"/>
      <c r="U110" s="34"/>
      <c r="V110" s="34"/>
      <c r="W110" s="35" t="s">
        <v>66</v>
      </c>
      <c r="X110" s="647">
        <v>0</v>
      </c>
      <c r="Y110" s="648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214</v>
      </c>
      <c r="B111" s="54" t="s">
        <v>215</v>
      </c>
      <c r="C111" s="31">
        <v>4301012366</v>
      </c>
      <c r="D111" s="651">
        <v>4680115889477</v>
      </c>
      <c r="E111" s="652"/>
      <c r="F111" s="646">
        <v>0.4</v>
      </c>
      <c r="G111" s="32">
        <v>6</v>
      </c>
      <c r="H111" s="646">
        <v>2.4</v>
      </c>
      <c r="I111" s="646">
        <v>2.58</v>
      </c>
      <c r="J111" s="32">
        <v>182</v>
      </c>
      <c r="K111" s="32" t="s">
        <v>76</v>
      </c>
      <c r="L111" s="32"/>
      <c r="M111" s="33" t="s">
        <v>114</v>
      </c>
      <c r="N111" s="33"/>
      <c r="O111" s="32">
        <v>55</v>
      </c>
      <c r="P111" s="93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54"/>
      <c r="R111" s="654"/>
      <c r="S111" s="654"/>
      <c r="T111" s="655"/>
      <c r="U111" s="34"/>
      <c r="V111" s="34"/>
      <c r="W111" s="35" t="s">
        <v>66</v>
      </c>
      <c r="X111" s="647">
        <v>0</v>
      </c>
      <c r="Y111" s="648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216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68"/>
      <c r="B112" s="660"/>
      <c r="C112" s="660"/>
      <c r="D112" s="660"/>
      <c r="E112" s="660"/>
      <c r="F112" s="660"/>
      <c r="G112" s="660"/>
      <c r="H112" s="660"/>
      <c r="I112" s="660"/>
      <c r="J112" s="660"/>
      <c r="K112" s="660"/>
      <c r="L112" s="660"/>
      <c r="M112" s="660"/>
      <c r="N112" s="660"/>
      <c r="O112" s="669"/>
      <c r="P112" s="663" t="s">
        <v>71</v>
      </c>
      <c r="Q112" s="664"/>
      <c r="R112" s="664"/>
      <c r="S112" s="664"/>
      <c r="T112" s="664"/>
      <c r="U112" s="664"/>
      <c r="V112" s="665"/>
      <c r="W112" s="37" t="s">
        <v>72</v>
      </c>
      <c r="X112" s="649">
        <f>IFERROR(X103/H103,"0")+IFERROR(X104/H104,"0")+IFERROR(X105/H105,"0")+IFERROR(X106/H106,"0")+IFERROR(X107/H107,"0")+IFERROR(X108/H108,"0")+IFERROR(X109/H109,"0")+IFERROR(X110/H110,"0")+IFERROR(X111/H111,"0")</f>
        <v>12.037037037037036</v>
      </c>
      <c r="Y112" s="649">
        <f>IFERROR(Y103/H103,"0")+IFERROR(Y104/H104,"0")+IFERROR(Y105/H105,"0")+IFERROR(Y106/H106,"0")+IFERROR(Y107/H107,"0")+IFERROR(Y108/H108,"0")+IFERROR(Y109/H109,"0")+IFERROR(Y110/H110,"0")+IFERROR(Y111/H111,"0")</f>
        <v>13</v>
      </c>
      <c r="Z112" s="649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0.24674000000000001</v>
      </c>
      <c r="AA112" s="650"/>
      <c r="AB112" s="650"/>
      <c r="AC112" s="650"/>
    </row>
    <row r="113" spans="1:68" x14ac:dyDescent="0.2">
      <c r="A113" s="660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9"/>
      <c r="P113" s="663" t="s">
        <v>71</v>
      </c>
      <c r="Q113" s="664"/>
      <c r="R113" s="664"/>
      <c r="S113" s="664"/>
      <c r="T113" s="664"/>
      <c r="U113" s="664"/>
      <c r="V113" s="665"/>
      <c r="W113" s="37" t="s">
        <v>66</v>
      </c>
      <c r="X113" s="649">
        <f>IFERROR(SUM(X103:X111),"0")</f>
        <v>130</v>
      </c>
      <c r="Y113" s="649">
        <f>IFERROR(SUM(Y103:Y111),"0")</f>
        <v>140.4</v>
      </c>
      <c r="Z113" s="37"/>
      <c r="AA113" s="650"/>
      <c r="AB113" s="650"/>
      <c r="AC113" s="650"/>
    </row>
    <row r="114" spans="1:68" ht="14.25" hidden="1" customHeight="1" x14ac:dyDescent="0.25">
      <c r="A114" s="659" t="s">
        <v>147</v>
      </c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0"/>
      <c r="P114" s="660"/>
      <c r="Q114" s="660"/>
      <c r="R114" s="660"/>
      <c r="S114" s="660"/>
      <c r="T114" s="660"/>
      <c r="U114" s="660"/>
      <c r="V114" s="660"/>
      <c r="W114" s="660"/>
      <c r="X114" s="660"/>
      <c r="Y114" s="660"/>
      <c r="Z114" s="660"/>
      <c r="AA114" s="643"/>
      <c r="AB114" s="643"/>
      <c r="AC114" s="643"/>
    </row>
    <row r="115" spans="1:68" ht="27" hidden="1" customHeight="1" x14ac:dyDescent="0.25">
      <c r="A115" s="54" t="s">
        <v>217</v>
      </c>
      <c r="B115" s="54" t="s">
        <v>218</v>
      </c>
      <c r="C115" s="31">
        <v>4301020391</v>
      </c>
      <c r="D115" s="651">
        <v>4680115881488</v>
      </c>
      <c r="E115" s="652"/>
      <c r="F115" s="646">
        <v>1.35</v>
      </c>
      <c r="G115" s="32">
        <v>8</v>
      </c>
      <c r="H115" s="646">
        <v>10.8</v>
      </c>
      <c r="I115" s="646">
        <v>11.21</v>
      </c>
      <c r="J115" s="32">
        <v>64</v>
      </c>
      <c r="K115" s="32" t="s">
        <v>113</v>
      </c>
      <c r="L115" s="32"/>
      <c r="M115" s="33" t="s">
        <v>114</v>
      </c>
      <c r="N115" s="33"/>
      <c r="O115" s="32">
        <v>55</v>
      </c>
      <c r="P115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4"/>
      <c r="R115" s="654"/>
      <c r="S115" s="654"/>
      <c r="T115" s="655"/>
      <c r="U115" s="34"/>
      <c r="V115" s="34"/>
      <c r="W115" s="35" t="s">
        <v>66</v>
      </c>
      <c r="X115" s="647">
        <v>0</v>
      </c>
      <c r="Y115" s="6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219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4301020186</v>
      </c>
      <c r="D116" s="651">
        <v>4680115887664</v>
      </c>
      <c r="E116" s="652"/>
      <c r="F116" s="646">
        <v>0.1</v>
      </c>
      <c r="G116" s="32">
        <v>10</v>
      </c>
      <c r="H116" s="646">
        <v>1</v>
      </c>
      <c r="I116" s="646">
        <v>1.21</v>
      </c>
      <c r="J116" s="32">
        <v>392</v>
      </c>
      <c r="K116" s="32" t="s">
        <v>222</v>
      </c>
      <c r="L116" s="32"/>
      <c r="M116" s="33" t="s">
        <v>65</v>
      </c>
      <c r="N116" s="33"/>
      <c r="O116" s="32">
        <v>30</v>
      </c>
      <c r="P116" s="74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4"/>
      <c r="R116" s="654"/>
      <c r="S116" s="654"/>
      <c r="T116" s="655"/>
      <c r="U116" s="34" t="s">
        <v>223</v>
      </c>
      <c r="V116" s="34"/>
      <c r="W116" s="35" t="s">
        <v>66</v>
      </c>
      <c r="X116" s="647">
        <v>0</v>
      </c>
      <c r="Y116" s="648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224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225</v>
      </c>
      <c r="C117" s="31">
        <v>4301020430</v>
      </c>
      <c r="D117" s="651">
        <v>4680115887664</v>
      </c>
      <c r="E117" s="652"/>
      <c r="F117" s="646">
        <v>0.1</v>
      </c>
      <c r="G117" s="32">
        <v>8</v>
      </c>
      <c r="H117" s="646">
        <v>0.8</v>
      </c>
      <c r="I117" s="646">
        <v>0.98799999999999999</v>
      </c>
      <c r="J117" s="32">
        <v>392</v>
      </c>
      <c r="K117" s="32" t="s">
        <v>222</v>
      </c>
      <c r="L117" s="32"/>
      <c r="M117" s="33" t="s">
        <v>65</v>
      </c>
      <c r="N117" s="33"/>
      <c r="O117" s="32">
        <v>30</v>
      </c>
      <c r="P117" s="7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4"/>
      <c r="R117" s="654"/>
      <c r="S117" s="654"/>
      <c r="T117" s="655"/>
      <c r="U117" s="34" t="s">
        <v>223</v>
      </c>
      <c r="V117" s="34"/>
      <c r="W117" s="35" t="s">
        <v>66</v>
      </c>
      <c r="X117" s="647">
        <v>0</v>
      </c>
      <c r="Y117" s="648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224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4301020393</v>
      </c>
      <c r="D118" s="651">
        <v>4680115882775</v>
      </c>
      <c r="E118" s="652"/>
      <c r="F118" s="646">
        <v>0.3</v>
      </c>
      <c r="G118" s="32">
        <v>8</v>
      </c>
      <c r="H118" s="646">
        <v>2.4</v>
      </c>
      <c r="I118" s="646">
        <v>2.5</v>
      </c>
      <c r="J118" s="32">
        <v>234</v>
      </c>
      <c r="K118" s="32" t="s">
        <v>64</v>
      </c>
      <c r="L118" s="32"/>
      <c r="M118" s="33" t="s">
        <v>114</v>
      </c>
      <c r="N118" s="33"/>
      <c r="O118" s="32">
        <v>55</v>
      </c>
      <c r="P118" s="78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4"/>
      <c r="R118" s="654"/>
      <c r="S118" s="654"/>
      <c r="T118" s="655"/>
      <c r="U118" s="34"/>
      <c r="V118" s="34"/>
      <c r="W118" s="35" t="s">
        <v>66</v>
      </c>
      <c r="X118" s="647">
        <v>0</v>
      </c>
      <c r="Y118" s="648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219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228</v>
      </c>
      <c r="B119" s="54" t="s">
        <v>229</v>
      </c>
      <c r="C119" s="31">
        <v>4301020392</v>
      </c>
      <c r="D119" s="651">
        <v>4680115880658</v>
      </c>
      <c r="E119" s="652"/>
      <c r="F119" s="646">
        <v>0.4</v>
      </c>
      <c r="G119" s="32">
        <v>6</v>
      </c>
      <c r="H119" s="646">
        <v>2.4</v>
      </c>
      <c r="I119" s="646">
        <v>2.58</v>
      </c>
      <c r="J119" s="32">
        <v>182</v>
      </c>
      <c r="K119" s="32" t="s">
        <v>76</v>
      </c>
      <c r="L119" s="32"/>
      <c r="M119" s="33" t="s">
        <v>114</v>
      </c>
      <c r="N119" s="33"/>
      <c r="O119" s="32">
        <v>55</v>
      </c>
      <c r="P119" s="7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4"/>
      <c r="R119" s="654"/>
      <c r="S119" s="654"/>
      <c r="T119" s="655"/>
      <c r="U119" s="34"/>
      <c r="V119" s="34"/>
      <c r="W119" s="35" t="s">
        <v>66</v>
      </c>
      <c r="X119" s="647">
        <v>0</v>
      </c>
      <c r="Y119" s="6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219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68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9"/>
      <c r="P120" s="663" t="s">
        <v>71</v>
      </c>
      <c r="Q120" s="664"/>
      <c r="R120" s="664"/>
      <c r="S120" s="664"/>
      <c r="T120" s="664"/>
      <c r="U120" s="664"/>
      <c r="V120" s="665"/>
      <c r="W120" s="37" t="s">
        <v>72</v>
      </c>
      <c r="X120" s="649">
        <f>IFERROR(X115/H115,"0")+IFERROR(X116/H116,"0")+IFERROR(X117/H117,"0")+IFERROR(X118/H118,"0")+IFERROR(X119/H119,"0")</f>
        <v>0</v>
      </c>
      <c r="Y120" s="649">
        <f>IFERROR(Y115/H115,"0")+IFERROR(Y116/H116,"0")+IFERROR(Y117/H117,"0")+IFERROR(Y118/H118,"0")+IFERROR(Y119/H119,"0")</f>
        <v>0</v>
      </c>
      <c r="Z120" s="649">
        <f>IFERROR(IF(Z115="",0,Z115),"0")+IFERROR(IF(Z116="",0,Z116),"0")+IFERROR(IF(Z117="",0,Z117),"0")+IFERROR(IF(Z118="",0,Z118),"0")+IFERROR(IF(Z119="",0,Z119),"0")</f>
        <v>0</v>
      </c>
      <c r="AA120" s="650"/>
      <c r="AB120" s="650"/>
      <c r="AC120" s="650"/>
    </row>
    <row r="121" spans="1:68" hidden="1" x14ac:dyDescent="0.2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9"/>
      <c r="P121" s="663" t="s">
        <v>71</v>
      </c>
      <c r="Q121" s="664"/>
      <c r="R121" s="664"/>
      <c r="S121" s="664"/>
      <c r="T121" s="664"/>
      <c r="U121" s="664"/>
      <c r="V121" s="665"/>
      <c r="W121" s="37" t="s">
        <v>66</v>
      </c>
      <c r="X121" s="649">
        <f>IFERROR(SUM(X115:X119),"0")</f>
        <v>0</v>
      </c>
      <c r="Y121" s="649">
        <f>IFERROR(SUM(Y115:Y119),"0")</f>
        <v>0</v>
      </c>
      <c r="Z121" s="37"/>
      <c r="AA121" s="650"/>
      <c r="AB121" s="650"/>
      <c r="AC121" s="650"/>
    </row>
    <row r="122" spans="1:68" ht="14.25" hidden="1" customHeight="1" x14ac:dyDescent="0.25">
      <c r="A122" s="659" t="s">
        <v>73</v>
      </c>
      <c r="B122" s="660"/>
      <c r="C122" s="660"/>
      <c r="D122" s="660"/>
      <c r="E122" s="660"/>
      <c r="F122" s="660"/>
      <c r="G122" s="660"/>
      <c r="H122" s="660"/>
      <c r="I122" s="660"/>
      <c r="J122" s="660"/>
      <c r="K122" s="660"/>
      <c r="L122" s="660"/>
      <c r="M122" s="660"/>
      <c r="N122" s="660"/>
      <c r="O122" s="660"/>
      <c r="P122" s="660"/>
      <c r="Q122" s="660"/>
      <c r="R122" s="660"/>
      <c r="S122" s="660"/>
      <c r="T122" s="660"/>
      <c r="U122" s="660"/>
      <c r="V122" s="660"/>
      <c r="W122" s="660"/>
      <c r="X122" s="660"/>
      <c r="Y122" s="660"/>
      <c r="Z122" s="660"/>
      <c r="AA122" s="643"/>
      <c r="AB122" s="643"/>
      <c r="AC122" s="643"/>
    </row>
    <row r="123" spans="1:68" ht="27" customHeight="1" x14ac:dyDescent="0.25">
      <c r="A123" s="54" t="s">
        <v>230</v>
      </c>
      <c r="B123" s="54" t="s">
        <v>231</v>
      </c>
      <c r="C123" s="31">
        <v>4301052088</v>
      </c>
      <c r="D123" s="651">
        <v>4607091385168</v>
      </c>
      <c r="E123" s="652"/>
      <c r="F123" s="646">
        <v>1.35</v>
      </c>
      <c r="G123" s="32">
        <v>6</v>
      </c>
      <c r="H123" s="646">
        <v>8.1</v>
      </c>
      <c r="I123" s="646">
        <v>8.5879999999999992</v>
      </c>
      <c r="J123" s="32">
        <v>64</v>
      </c>
      <c r="K123" s="32" t="s">
        <v>113</v>
      </c>
      <c r="L123" s="32"/>
      <c r="M123" s="33" t="s">
        <v>77</v>
      </c>
      <c r="N123" s="33"/>
      <c r="O123" s="32">
        <v>45</v>
      </c>
      <c r="P123" s="9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4"/>
      <c r="R123" s="654"/>
      <c r="S123" s="654"/>
      <c r="T123" s="655"/>
      <c r="U123" s="34"/>
      <c r="V123" s="34"/>
      <c r="W123" s="35" t="s">
        <v>66</v>
      </c>
      <c r="X123" s="647">
        <v>829</v>
      </c>
      <c r="Y123" s="648">
        <f>IFERROR(IF(X123="",0,CEILING((X123/$H123),1)*$H123),"")</f>
        <v>834.3</v>
      </c>
      <c r="Z123" s="36">
        <f>IFERROR(IF(Y123=0,"",ROUNDUP(Y123/H123,0)*0.01898),"")</f>
        <v>1.9549400000000001</v>
      </c>
      <c r="AA123" s="56"/>
      <c r="AB123" s="57"/>
      <c r="AC123" s="185" t="s">
        <v>232</v>
      </c>
      <c r="AG123" s="64"/>
      <c r="AJ123" s="68"/>
      <c r="AK123" s="68">
        <v>0</v>
      </c>
      <c r="BB123" s="186" t="s">
        <v>1</v>
      </c>
      <c r="BM123" s="64">
        <f>IFERROR(X123*I123/H123,"0")</f>
        <v>878.94469135802467</v>
      </c>
      <c r="BN123" s="64">
        <f>IFERROR(Y123*I123/H123,"0")</f>
        <v>884.56399999999985</v>
      </c>
      <c r="BO123" s="64">
        <f>IFERROR(1/J123*(X123/H123),"0")</f>
        <v>1.5991512345679013</v>
      </c>
      <c r="BP123" s="64">
        <f>IFERROR(1/J123*(Y123/H123),"0")</f>
        <v>1.609375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4301052087</v>
      </c>
      <c r="D124" s="651">
        <v>4607091383256</v>
      </c>
      <c r="E124" s="652"/>
      <c r="F124" s="646">
        <v>0.33</v>
      </c>
      <c r="G124" s="32">
        <v>6</v>
      </c>
      <c r="H124" s="646">
        <v>1.98</v>
      </c>
      <c r="I124" s="646">
        <v>2.226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1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4"/>
      <c r="R124" s="654"/>
      <c r="S124" s="654"/>
      <c r="T124" s="655"/>
      <c r="U124" s="34"/>
      <c r="V124" s="34"/>
      <c r="W124" s="35" t="s">
        <v>66</v>
      </c>
      <c r="X124" s="647">
        <v>0</v>
      </c>
      <c r="Y124" s="648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232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4301052086</v>
      </c>
      <c r="D125" s="651">
        <v>4607091385748</v>
      </c>
      <c r="E125" s="652"/>
      <c r="F125" s="646">
        <v>0.45</v>
      </c>
      <c r="G125" s="32">
        <v>6</v>
      </c>
      <c r="H125" s="646">
        <v>2.7</v>
      </c>
      <c r="I125" s="646">
        <v>2.952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3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4"/>
      <c r="R125" s="654"/>
      <c r="S125" s="654"/>
      <c r="T125" s="655"/>
      <c r="U125" s="34"/>
      <c r="V125" s="34"/>
      <c r="W125" s="35" t="s">
        <v>66</v>
      </c>
      <c r="X125" s="647">
        <v>0</v>
      </c>
      <c r="Y125" s="64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232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237</v>
      </c>
      <c r="B126" s="54" t="s">
        <v>238</v>
      </c>
      <c r="C126" s="31">
        <v>4301052085</v>
      </c>
      <c r="D126" s="651">
        <v>4680115884533</v>
      </c>
      <c r="E126" s="652"/>
      <c r="F126" s="646">
        <v>0.3</v>
      </c>
      <c r="G126" s="32">
        <v>6</v>
      </c>
      <c r="H126" s="646">
        <v>1.8</v>
      </c>
      <c r="I126" s="646">
        <v>1.98</v>
      </c>
      <c r="J126" s="32">
        <v>182</v>
      </c>
      <c r="K126" s="32" t="s">
        <v>76</v>
      </c>
      <c r="L126" s="32"/>
      <c r="M126" s="33" t="s">
        <v>77</v>
      </c>
      <c r="N126" s="33"/>
      <c r="O126" s="32">
        <v>45</v>
      </c>
      <c r="P126" s="101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4"/>
      <c r="R126" s="654"/>
      <c r="S126" s="654"/>
      <c r="T126" s="655"/>
      <c r="U126" s="34"/>
      <c r="V126" s="34"/>
      <c r="W126" s="35" t="s">
        <v>66</v>
      </c>
      <c r="X126" s="647">
        <v>0</v>
      </c>
      <c r="Y126" s="6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91" t="s">
        <v>239</v>
      </c>
      <c r="AG126" s="64"/>
      <c r="AJ126" s="68"/>
      <c r="AK126" s="68">
        <v>0</v>
      </c>
      <c r="BB126" s="192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68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9"/>
      <c r="P127" s="663" t="s">
        <v>71</v>
      </c>
      <c r="Q127" s="664"/>
      <c r="R127" s="664"/>
      <c r="S127" s="664"/>
      <c r="T127" s="664"/>
      <c r="U127" s="664"/>
      <c r="V127" s="665"/>
      <c r="W127" s="37" t="s">
        <v>72</v>
      </c>
      <c r="X127" s="649">
        <f>IFERROR(X123/H123,"0")+IFERROR(X124/H124,"0")+IFERROR(X125/H125,"0")+IFERROR(X126/H126,"0")</f>
        <v>102.34567901234568</v>
      </c>
      <c r="Y127" s="649">
        <f>IFERROR(Y123/H123,"0")+IFERROR(Y124/H124,"0")+IFERROR(Y125/H125,"0")+IFERROR(Y126/H126,"0")</f>
        <v>103</v>
      </c>
      <c r="Z127" s="649">
        <f>IFERROR(IF(Z123="",0,Z123),"0")+IFERROR(IF(Z124="",0,Z124),"0")+IFERROR(IF(Z125="",0,Z125),"0")+IFERROR(IF(Z126="",0,Z126),"0")</f>
        <v>1.9549400000000001</v>
      </c>
      <c r="AA127" s="650"/>
      <c r="AB127" s="650"/>
      <c r="AC127" s="650"/>
    </row>
    <row r="128" spans="1:68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9"/>
      <c r="P128" s="663" t="s">
        <v>71</v>
      </c>
      <c r="Q128" s="664"/>
      <c r="R128" s="664"/>
      <c r="S128" s="664"/>
      <c r="T128" s="664"/>
      <c r="U128" s="664"/>
      <c r="V128" s="665"/>
      <c r="W128" s="37" t="s">
        <v>66</v>
      </c>
      <c r="X128" s="649">
        <f>IFERROR(SUM(X123:X126),"0")</f>
        <v>829</v>
      </c>
      <c r="Y128" s="649">
        <f>IFERROR(SUM(Y123:Y126),"0")</f>
        <v>834.3</v>
      </c>
      <c r="Z128" s="37"/>
      <c r="AA128" s="650"/>
      <c r="AB128" s="650"/>
      <c r="AC128" s="650"/>
    </row>
    <row r="129" spans="1:68" ht="14.25" hidden="1" customHeight="1" x14ac:dyDescent="0.25">
      <c r="A129" s="659" t="s">
        <v>166</v>
      </c>
      <c r="B129" s="660"/>
      <c r="C129" s="660"/>
      <c r="D129" s="660"/>
      <c r="E129" s="660"/>
      <c r="F129" s="660"/>
      <c r="G129" s="660"/>
      <c r="H129" s="660"/>
      <c r="I129" s="660"/>
      <c r="J129" s="660"/>
      <c r="K129" s="660"/>
      <c r="L129" s="660"/>
      <c r="M129" s="660"/>
      <c r="N129" s="660"/>
      <c r="O129" s="660"/>
      <c r="P129" s="660"/>
      <c r="Q129" s="660"/>
      <c r="R129" s="660"/>
      <c r="S129" s="660"/>
      <c r="T129" s="660"/>
      <c r="U129" s="660"/>
      <c r="V129" s="660"/>
      <c r="W129" s="660"/>
      <c r="X129" s="660"/>
      <c r="Y129" s="660"/>
      <c r="Z129" s="660"/>
      <c r="AA129" s="643"/>
      <c r="AB129" s="643"/>
      <c r="AC129" s="643"/>
    </row>
    <row r="130" spans="1:68" ht="16.5" hidden="1" customHeight="1" x14ac:dyDescent="0.25">
      <c r="A130" s="54" t="s">
        <v>240</v>
      </c>
      <c r="B130" s="54" t="s">
        <v>241</v>
      </c>
      <c r="C130" s="31">
        <v>4301060525</v>
      </c>
      <c r="D130" s="651">
        <v>4680115880238</v>
      </c>
      <c r="E130" s="652"/>
      <c r="F130" s="646">
        <v>0.33</v>
      </c>
      <c r="G130" s="32">
        <v>6</v>
      </c>
      <c r="H130" s="646">
        <v>1.98</v>
      </c>
      <c r="I130" s="646">
        <v>2.238</v>
      </c>
      <c r="J130" s="32">
        <v>182</v>
      </c>
      <c r="K130" s="32" t="s">
        <v>76</v>
      </c>
      <c r="L130" s="32"/>
      <c r="M130" s="33" t="s">
        <v>77</v>
      </c>
      <c r="N130" s="33"/>
      <c r="O130" s="32">
        <v>40</v>
      </c>
      <c r="P130" s="93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4"/>
      <c r="R130" s="654"/>
      <c r="S130" s="654"/>
      <c r="T130" s="655"/>
      <c r="U130" s="34"/>
      <c r="V130" s="34"/>
      <c r="W130" s="35" t="s">
        <v>66</v>
      </c>
      <c r="X130" s="647">
        <v>0</v>
      </c>
      <c r="Y130" s="64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3" t="s">
        <v>242</v>
      </c>
      <c r="AG130" s="64"/>
      <c r="AJ130" s="68"/>
      <c r="AK130" s="68">
        <v>0</v>
      </c>
      <c r="BB130" s="194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68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9"/>
      <c r="P131" s="663" t="s">
        <v>71</v>
      </c>
      <c r="Q131" s="664"/>
      <c r="R131" s="664"/>
      <c r="S131" s="664"/>
      <c r="T131" s="664"/>
      <c r="U131" s="664"/>
      <c r="V131" s="665"/>
      <c r="W131" s="37" t="s">
        <v>72</v>
      </c>
      <c r="X131" s="649">
        <f>IFERROR(X130/H130,"0")</f>
        <v>0</v>
      </c>
      <c r="Y131" s="649">
        <f>IFERROR(Y130/H130,"0")</f>
        <v>0</v>
      </c>
      <c r="Z131" s="649">
        <f>IFERROR(IF(Z130="",0,Z130),"0")</f>
        <v>0</v>
      </c>
      <c r="AA131" s="650"/>
      <c r="AB131" s="650"/>
      <c r="AC131" s="650"/>
    </row>
    <row r="132" spans="1:68" hidden="1" x14ac:dyDescent="0.2">
      <c r="A132" s="660"/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9"/>
      <c r="P132" s="663" t="s">
        <v>71</v>
      </c>
      <c r="Q132" s="664"/>
      <c r="R132" s="664"/>
      <c r="S132" s="664"/>
      <c r="T132" s="664"/>
      <c r="U132" s="664"/>
      <c r="V132" s="665"/>
      <c r="W132" s="37" t="s">
        <v>66</v>
      </c>
      <c r="X132" s="649">
        <f>IFERROR(SUM(X130:X130),"0")</f>
        <v>0</v>
      </c>
      <c r="Y132" s="649">
        <f>IFERROR(SUM(Y130:Y130),"0")</f>
        <v>0</v>
      </c>
      <c r="Z132" s="37"/>
      <c r="AA132" s="650"/>
      <c r="AB132" s="650"/>
      <c r="AC132" s="650"/>
    </row>
    <row r="133" spans="1:68" ht="16.5" hidden="1" customHeight="1" x14ac:dyDescent="0.25">
      <c r="A133" s="672" t="s">
        <v>243</v>
      </c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0"/>
      <c r="P133" s="660"/>
      <c r="Q133" s="660"/>
      <c r="R133" s="660"/>
      <c r="S133" s="660"/>
      <c r="T133" s="660"/>
      <c r="U133" s="660"/>
      <c r="V133" s="660"/>
      <c r="W133" s="660"/>
      <c r="X133" s="660"/>
      <c r="Y133" s="660"/>
      <c r="Z133" s="660"/>
      <c r="AA133" s="642"/>
      <c r="AB133" s="642"/>
      <c r="AC133" s="642"/>
    </row>
    <row r="134" spans="1:68" ht="14.25" hidden="1" customHeight="1" x14ac:dyDescent="0.25">
      <c r="A134" s="659" t="s">
        <v>110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43"/>
      <c r="AB134" s="643"/>
      <c r="AC134" s="643"/>
    </row>
    <row r="135" spans="1:68" ht="27" hidden="1" customHeight="1" x14ac:dyDescent="0.25">
      <c r="A135" s="54" t="s">
        <v>244</v>
      </c>
      <c r="B135" s="54" t="s">
        <v>245</v>
      </c>
      <c r="C135" s="31">
        <v>4301011562</v>
      </c>
      <c r="D135" s="651">
        <v>4680115882577</v>
      </c>
      <c r="E135" s="652"/>
      <c r="F135" s="646">
        <v>0.4</v>
      </c>
      <c r="G135" s="32">
        <v>8</v>
      </c>
      <c r="H135" s="646">
        <v>3.2</v>
      </c>
      <c r="I135" s="646">
        <v>3.38</v>
      </c>
      <c r="J135" s="32">
        <v>182</v>
      </c>
      <c r="K135" s="32" t="s">
        <v>76</v>
      </c>
      <c r="L135" s="32"/>
      <c r="M135" s="33" t="s">
        <v>246</v>
      </c>
      <c r="N135" s="33"/>
      <c r="O135" s="32">
        <v>90</v>
      </c>
      <c r="P135" s="9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4"/>
      <c r="R135" s="654"/>
      <c r="S135" s="654"/>
      <c r="T135" s="655"/>
      <c r="U135" s="34"/>
      <c r="V135" s="34"/>
      <c r="W135" s="35" t="s">
        <v>66</v>
      </c>
      <c r="X135" s="647">
        <v>0</v>
      </c>
      <c r="Y135" s="64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247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248</v>
      </c>
      <c r="C136" s="31">
        <v>4301011564</v>
      </c>
      <c r="D136" s="651">
        <v>4680115882577</v>
      </c>
      <c r="E136" s="652"/>
      <c r="F136" s="646">
        <v>0.4</v>
      </c>
      <c r="G136" s="32">
        <v>8</v>
      </c>
      <c r="H136" s="646">
        <v>3.2</v>
      </c>
      <c r="I136" s="646">
        <v>3.38</v>
      </c>
      <c r="J136" s="32">
        <v>182</v>
      </c>
      <c r="K136" s="32" t="s">
        <v>76</v>
      </c>
      <c r="L136" s="32"/>
      <c r="M136" s="33" t="s">
        <v>246</v>
      </c>
      <c r="N136" s="33"/>
      <c r="O136" s="32">
        <v>90</v>
      </c>
      <c r="P136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4"/>
      <c r="R136" s="654"/>
      <c r="S136" s="654"/>
      <c r="T136" s="655"/>
      <c r="U136" s="34"/>
      <c r="V136" s="34"/>
      <c r="W136" s="35" t="s">
        <v>66</v>
      </c>
      <c r="X136" s="647">
        <v>0</v>
      </c>
      <c r="Y136" s="6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7" t="s">
        <v>247</v>
      </c>
      <c r="AG136" s="64"/>
      <c r="AJ136" s="68"/>
      <c r="AK136" s="68">
        <v>0</v>
      </c>
      <c r="BB136" s="19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68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9"/>
      <c r="P137" s="663" t="s">
        <v>71</v>
      </c>
      <c r="Q137" s="664"/>
      <c r="R137" s="664"/>
      <c r="S137" s="664"/>
      <c r="T137" s="664"/>
      <c r="U137" s="664"/>
      <c r="V137" s="665"/>
      <c r="W137" s="37" t="s">
        <v>72</v>
      </c>
      <c r="X137" s="649">
        <f>IFERROR(X135/H135,"0")+IFERROR(X136/H136,"0")</f>
        <v>0</v>
      </c>
      <c r="Y137" s="649">
        <f>IFERROR(Y135/H135,"0")+IFERROR(Y136/H136,"0")</f>
        <v>0</v>
      </c>
      <c r="Z137" s="649">
        <f>IFERROR(IF(Z135="",0,Z135),"0")+IFERROR(IF(Z136="",0,Z136),"0")</f>
        <v>0</v>
      </c>
      <c r="AA137" s="650"/>
      <c r="AB137" s="650"/>
      <c r="AC137" s="650"/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9"/>
      <c r="P138" s="663" t="s">
        <v>71</v>
      </c>
      <c r="Q138" s="664"/>
      <c r="R138" s="664"/>
      <c r="S138" s="664"/>
      <c r="T138" s="664"/>
      <c r="U138" s="664"/>
      <c r="V138" s="665"/>
      <c r="W138" s="37" t="s">
        <v>66</v>
      </c>
      <c r="X138" s="649">
        <f>IFERROR(SUM(X135:X136),"0")</f>
        <v>0</v>
      </c>
      <c r="Y138" s="649">
        <f>IFERROR(SUM(Y135:Y136),"0")</f>
        <v>0</v>
      </c>
      <c r="Z138" s="37"/>
      <c r="AA138" s="650"/>
      <c r="AB138" s="650"/>
      <c r="AC138" s="650"/>
    </row>
    <row r="139" spans="1:68" ht="14.25" hidden="1" customHeight="1" x14ac:dyDescent="0.25">
      <c r="A139" s="659" t="s">
        <v>61</v>
      </c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0"/>
      <c r="P139" s="660"/>
      <c r="Q139" s="660"/>
      <c r="R139" s="660"/>
      <c r="S139" s="660"/>
      <c r="T139" s="660"/>
      <c r="U139" s="660"/>
      <c r="V139" s="660"/>
      <c r="W139" s="660"/>
      <c r="X139" s="660"/>
      <c r="Y139" s="660"/>
      <c r="Z139" s="660"/>
      <c r="AA139" s="643"/>
      <c r="AB139" s="643"/>
      <c r="AC139" s="643"/>
    </row>
    <row r="140" spans="1:68" ht="27" hidden="1" customHeight="1" x14ac:dyDescent="0.25">
      <c r="A140" s="54" t="s">
        <v>249</v>
      </c>
      <c r="B140" s="54" t="s">
        <v>250</v>
      </c>
      <c r="C140" s="31">
        <v>4301031234</v>
      </c>
      <c r="D140" s="651">
        <v>4680115883444</v>
      </c>
      <c r="E140" s="652"/>
      <c r="F140" s="646">
        <v>0.35</v>
      </c>
      <c r="G140" s="32">
        <v>8</v>
      </c>
      <c r="H140" s="646">
        <v>2.8</v>
      </c>
      <c r="I140" s="646">
        <v>3.0680000000000001</v>
      </c>
      <c r="J140" s="32">
        <v>182</v>
      </c>
      <c r="K140" s="32" t="s">
        <v>76</v>
      </c>
      <c r="L140" s="32"/>
      <c r="M140" s="33" t="s">
        <v>246</v>
      </c>
      <c r="N140" s="33"/>
      <c r="O140" s="32">
        <v>90</v>
      </c>
      <c r="P140" s="83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4"/>
      <c r="R140" s="654"/>
      <c r="S140" s="654"/>
      <c r="T140" s="655"/>
      <c r="U140" s="34"/>
      <c r="V140" s="34"/>
      <c r="W140" s="35" t="s">
        <v>66</v>
      </c>
      <c r="X140" s="647">
        <v>0</v>
      </c>
      <c r="Y140" s="64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251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249</v>
      </c>
      <c r="B141" s="54" t="s">
        <v>252</v>
      </c>
      <c r="C141" s="31">
        <v>4301031235</v>
      </c>
      <c r="D141" s="651">
        <v>4680115883444</v>
      </c>
      <c r="E141" s="652"/>
      <c r="F141" s="646">
        <v>0.35</v>
      </c>
      <c r="G141" s="32">
        <v>8</v>
      </c>
      <c r="H141" s="646">
        <v>2.8</v>
      </c>
      <c r="I141" s="646">
        <v>3.0680000000000001</v>
      </c>
      <c r="J141" s="32">
        <v>182</v>
      </c>
      <c r="K141" s="32" t="s">
        <v>76</v>
      </c>
      <c r="L141" s="32"/>
      <c r="M141" s="33" t="s">
        <v>246</v>
      </c>
      <c r="N141" s="33"/>
      <c r="O141" s="32">
        <v>90</v>
      </c>
      <c r="P141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4"/>
      <c r="R141" s="654"/>
      <c r="S141" s="654"/>
      <c r="T141" s="655"/>
      <c r="U141" s="34"/>
      <c r="V141" s="34"/>
      <c r="W141" s="35" t="s">
        <v>66</v>
      </c>
      <c r="X141" s="647">
        <v>0</v>
      </c>
      <c r="Y141" s="64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1" t="s">
        <v>251</v>
      </c>
      <c r="AG141" s="64"/>
      <c r="AJ141" s="68"/>
      <c r="AK141" s="68">
        <v>0</v>
      </c>
      <c r="BB141" s="202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68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9"/>
      <c r="P142" s="663" t="s">
        <v>71</v>
      </c>
      <c r="Q142" s="664"/>
      <c r="R142" s="664"/>
      <c r="S142" s="664"/>
      <c r="T142" s="664"/>
      <c r="U142" s="664"/>
      <c r="V142" s="665"/>
      <c r="W142" s="37" t="s">
        <v>72</v>
      </c>
      <c r="X142" s="649">
        <f>IFERROR(X140/H140,"0")+IFERROR(X141/H141,"0")</f>
        <v>0</v>
      </c>
      <c r="Y142" s="649">
        <f>IFERROR(Y140/H140,"0")+IFERROR(Y141/H141,"0")</f>
        <v>0</v>
      </c>
      <c r="Z142" s="649">
        <f>IFERROR(IF(Z140="",0,Z140),"0")+IFERROR(IF(Z141="",0,Z141),"0")</f>
        <v>0</v>
      </c>
      <c r="AA142" s="650"/>
      <c r="AB142" s="650"/>
      <c r="AC142" s="650"/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9"/>
      <c r="P143" s="663" t="s">
        <v>71</v>
      </c>
      <c r="Q143" s="664"/>
      <c r="R143" s="664"/>
      <c r="S143" s="664"/>
      <c r="T143" s="664"/>
      <c r="U143" s="664"/>
      <c r="V143" s="665"/>
      <c r="W143" s="37" t="s">
        <v>66</v>
      </c>
      <c r="X143" s="649">
        <f>IFERROR(SUM(X140:X141),"0")</f>
        <v>0</v>
      </c>
      <c r="Y143" s="649">
        <f>IFERROR(SUM(Y140:Y141),"0")</f>
        <v>0</v>
      </c>
      <c r="Z143" s="37"/>
      <c r="AA143" s="650"/>
      <c r="AB143" s="650"/>
      <c r="AC143" s="650"/>
    </row>
    <row r="144" spans="1:68" ht="14.25" hidden="1" customHeight="1" x14ac:dyDescent="0.25">
      <c r="A144" s="659" t="s">
        <v>73</v>
      </c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0"/>
      <c r="P144" s="660"/>
      <c r="Q144" s="660"/>
      <c r="R144" s="660"/>
      <c r="S144" s="660"/>
      <c r="T144" s="660"/>
      <c r="U144" s="660"/>
      <c r="V144" s="660"/>
      <c r="W144" s="660"/>
      <c r="X144" s="660"/>
      <c r="Y144" s="660"/>
      <c r="Z144" s="660"/>
      <c r="AA144" s="643"/>
      <c r="AB144" s="643"/>
      <c r="AC144" s="643"/>
    </row>
    <row r="145" spans="1:68" ht="16.5" hidden="1" customHeight="1" x14ac:dyDescent="0.25">
      <c r="A145" s="54" t="s">
        <v>253</v>
      </c>
      <c r="B145" s="54" t="s">
        <v>254</v>
      </c>
      <c r="C145" s="31">
        <v>4301051476</v>
      </c>
      <c r="D145" s="651">
        <v>4680115882584</v>
      </c>
      <c r="E145" s="652"/>
      <c r="F145" s="646">
        <v>0.33</v>
      </c>
      <c r="G145" s="32">
        <v>8</v>
      </c>
      <c r="H145" s="646">
        <v>2.64</v>
      </c>
      <c r="I145" s="646">
        <v>2.9079999999999999</v>
      </c>
      <c r="J145" s="32">
        <v>182</v>
      </c>
      <c r="K145" s="32" t="s">
        <v>76</v>
      </c>
      <c r="L145" s="32"/>
      <c r="M145" s="33" t="s">
        <v>246</v>
      </c>
      <c r="N145" s="33"/>
      <c r="O145" s="32">
        <v>60</v>
      </c>
      <c r="P145" s="70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4"/>
      <c r="R145" s="654"/>
      <c r="S145" s="654"/>
      <c r="T145" s="655"/>
      <c r="U145" s="34"/>
      <c r="V145" s="34"/>
      <c r="W145" s="35" t="s">
        <v>66</v>
      </c>
      <c r="X145" s="647">
        <v>0</v>
      </c>
      <c r="Y145" s="64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247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253</v>
      </c>
      <c r="B146" s="54" t="s">
        <v>255</v>
      </c>
      <c r="C146" s="31">
        <v>4301051477</v>
      </c>
      <c r="D146" s="651">
        <v>4680115882584</v>
      </c>
      <c r="E146" s="652"/>
      <c r="F146" s="646">
        <v>0.33</v>
      </c>
      <c r="G146" s="32">
        <v>8</v>
      </c>
      <c r="H146" s="646">
        <v>2.64</v>
      </c>
      <c r="I146" s="646">
        <v>2.9079999999999999</v>
      </c>
      <c r="J146" s="32">
        <v>182</v>
      </c>
      <c r="K146" s="32" t="s">
        <v>76</v>
      </c>
      <c r="L146" s="32"/>
      <c r="M146" s="33" t="s">
        <v>246</v>
      </c>
      <c r="N146" s="33"/>
      <c r="O146" s="32">
        <v>60</v>
      </c>
      <c r="P146" s="9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4"/>
      <c r="R146" s="654"/>
      <c r="S146" s="654"/>
      <c r="T146" s="655"/>
      <c r="U146" s="34"/>
      <c r="V146" s="34"/>
      <c r="W146" s="35" t="s">
        <v>66</v>
      </c>
      <c r="X146" s="647">
        <v>0</v>
      </c>
      <c r="Y146" s="64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5" t="s">
        <v>247</v>
      </c>
      <c r="AG146" s="64"/>
      <c r="AJ146" s="68"/>
      <c r="AK146" s="68">
        <v>0</v>
      </c>
      <c r="BB146" s="206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68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9"/>
      <c r="P147" s="663" t="s">
        <v>71</v>
      </c>
      <c r="Q147" s="664"/>
      <c r="R147" s="664"/>
      <c r="S147" s="664"/>
      <c r="T147" s="664"/>
      <c r="U147" s="664"/>
      <c r="V147" s="665"/>
      <c r="W147" s="37" t="s">
        <v>72</v>
      </c>
      <c r="X147" s="649">
        <f>IFERROR(X145/H145,"0")+IFERROR(X146/H146,"0")</f>
        <v>0</v>
      </c>
      <c r="Y147" s="649">
        <f>IFERROR(Y145/H145,"0")+IFERROR(Y146/H146,"0")</f>
        <v>0</v>
      </c>
      <c r="Z147" s="649">
        <f>IFERROR(IF(Z145="",0,Z145),"0")+IFERROR(IF(Z146="",0,Z146),"0")</f>
        <v>0</v>
      </c>
      <c r="AA147" s="650"/>
      <c r="AB147" s="650"/>
      <c r="AC147" s="650"/>
    </row>
    <row r="148" spans="1:68" hidden="1" x14ac:dyDescent="0.2">
      <c r="A148" s="660"/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9"/>
      <c r="P148" s="663" t="s">
        <v>71</v>
      </c>
      <c r="Q148" s="664"/>
      <c r="R148" s="664"/>
      <c r="S148" s="664"/>
      <c r="T148" s="664"/>
      <c r="U148" s="664"/>
      <c r="V148" s="665"/>
      <c r="W148" s="37" t="s">
        <v>66</v>
      </c>
      <c r="X148" s="649">
        <f>IFERROR(SUM(X145:X146),"0")</f>
        <v>0</v>
      </c>
      <c r="Y148" s="649">
        <f>IFERROR(SUM(Y145:Y146),"0")</f>
        <v>0</v>
      </c>
      <c r="Z148" s="37"/>
      <c r="AA148" s="650"/>
      <c r="AB148" s="650"/>
      <c r="AC148" s="650"/>
    </row>
    <row r="149" spans="1:68" ht="16.5" hidden="1" customHeight="1" x14ac:dyDescent="0.25">
      <c r="A149" s="672" t="s">
        <v>256</v>
      </c>
      <c r="B149" s="660"/>
      <c r="C149" s="660"/>
      <c r="D149" s="660"/>
      <c r="E149" s="660"/>
      <c r="F149" s="660"/>
      <c r="G149" s="660"/>
      <c r="H149" s="660"/>
      <c r="I149" s="660"/>
      <c r="J149" s="660"/>
      <c r="K149" s="660"/>
      <c r="L149" s="660"/>
      <c r="M149" s="660"/>
      <c r="N149" s="660"/>
      <c r="O149" s="660"/>
      <c r="P149" s="660"/>
      <c r="Q149" s="660"/>
      <c r="R149" s="660"/>
      <c r="S149" s="660"/>
      <c r="T149" s="660"/>
      <c r="U149" s="660"/>
      <c r="V149" s="660"/>
      <c r="W149" s="660"/>
      <c r="X149" s="660"/>
      <c r="Y149" s="660"/>
      <c r="Z149" s="660"/>
      <c r="AA149" s="642"/>
      <c r="AB149" s="642"/>
      <c r="AC149" s="642"/>
    </row>
    <row r="150" spans="1:68" ht="14.25" hidden="1" customHeight="1" x14ac:dyDescent="0.25">
      <c r="A150" s="659" t="s">
        <v>73</v>
      </c>
      <c r="B150" s="660"/>
      <c r="C150" s="660"/>
      <c r="D150" s="660"/>
      <c r="E150" s="660"/>
      <c r="F150" s="660"/>
      <c r="G150" s="660"/>
      <c r="H150" s="660"/>
      <c r="I150" s="660"/>
      <c r="J150" s="660"/>
      <c r="K150" s="660"/>
      <c r="L150" s="660"/>
      <c r="M150" s="660"/>
      <c r="N150" s="660"/>
      <c r="O150" s="660"/>
      <c r="P150" s="660"/>
      <c r="Q150" s="660"/>
      <c r="R150" s="660"/>
      <c r="S150" s="660"/>
      <c r="T150" s="660"/>
      <c r="U150" s="660"/>
      <c r="V150" s="660"/>
      <c r="W150" s="660"/>
      <c r="X150" s="660"/>
      <c r="Y150" s="660"/>
      <c r="Z150" s="660"/>
      <c r="AA150" s="643"/>
      <c r="AB150" s="643"/>
      <c r="AC150" s="643"/>
    </row>
    <row r="151" spans="1:68" ht="27" hidden="1" customHeight="1" x14ac:dyDescent="0.25">
      <c r="A151" s="54" t="s">
        <v>257</v>
      </c>
      <c r="B151" s="54" t="s">
        <v>258</v>
      </c>
      <c r="C151" s="31">
        <v>4301052254</v>
      </c>
      <c r="D151" s="651">
        <v>4680115888203</v>
      </c>
      <c r="E151" s="652"/>
      <c r="F151" s="646">
        <v>0.22</v>
      </c>
      <c r="G151" s="32">
        <v>6</v>
      </c>
      <c r="H151" s="646">
        <v>1.32</v>
      </c>
      <c r="I151" s="646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1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4"/>
      <c r="R151" s="654"/>
      <c r="S151" s="654"/>
      <c r="T151" s="655"/>
      <c r="U151" s="34"/>
      <c r="V151" s="34"/>
      <c r="W151" s="35" t="s">
        <v>66</v>
      </c>
      <c r="X151" s="647">
        <v>0</v>
      </c>
      <c r="Y151" s="648">
        <f t="shared" ref="Y151:Y156" si="10">IFERROR(IF(X151="",0,CEILING((X151/$H151),1)*$H151),"")</f>
        <v>0</v>
      </c>
      <c r="Z151" s="36" t="str">
        <f t="shared" ref="Z151:Z156" si="11">IFERROR(IF(Y151=0,"",ROUNDUP(Y151/H151,0)*0.00651),"")</f>
        <v/>
      </c>
      <c r="AA151" s="56"/>
      <c r="AB151" s="57"/>
      <c r="AC151" s="207" t="s">
        <v>259</v>
      </c>
      <c r="AG151" s="64"/>
      <c r="AJ151" s="68"/>
      <c r="AK151" s="68">
        <v>0</v>
      </c>
      <c r="BB151" s="208" t="s">
        <v>1</v>
      </c>
      <c r="BM151" s="64">
        <f t="shared" ref="BM151:BM156" si="12">IFERROR(X151*I151/H151,"0")</f>
        <v>0</v>
      </c>
      <c r="BN151" s="64">
        <f t="shared" ref="BN151:BN156" si="13">IFERROR(Y151*I151/H151,"0")</f>
        <v>0</v>
      </c>
      <c r="BO151" s="64">
        <f t="shared" ref="BO151:BO156" si="14">IFERROR(1/J151*(X151/H151),"0")</f>
        <v>0</v>
      </c>
      <c r="BP151" s="64">
        <f t="shared" ref="BP151:BP156" si="15"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4301052172</v>
      </c>
      <c r="D152" s="651">
        <v>4680115888180</v>
      </c>
      <c r="E152" s="652"/>
      <c r="F152" s="646">
        <v>0.22</v>
      </c>
      <c r="G152" s="32">
        <v>9</v>
      </c>
      <c r="H152" s="646">
        <v>1.98</v>
      </c>
      <c r="I152" s="646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4"/>
      <c r="R152" s="654"/>
      <c r="S152" s="654"/>
      <c r="T152" s="655"/>
      <c r="U152" s="34"/>
      <c r="V152" s="34"/>
      <c r="W152" s="35" t="s">
        <v>66</v>
      </c>
      <c r="X152" s="647">
        <v>0</v>
      </c>
      <c r="Y152" s="648">
        <f t="shared" si="10"/>
        <v>0</v>
      </c>
      <c r="Z152" s="36" t="str">
        <f t="shared" si="11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260</v>
      </c>
      <c r="B153" s="54" t="s">
        <v>263</v>
      </c>
      <c r="C153" s="31">
        <v>4301052252</v>
      </c>
      <c r="D153" s="651">
        <v>4680115888180</v>
      </c>
      <c r="E153" s="652"/>
      <c r="F153" s="646">
        <v>0.22</v>
      </c>
      <c r="G153" s="32">
        <v>6</v>
      </c>
      <c r="H153" s="646">
        <v>1.32</v>
      </c>
      <c r="I153" s="646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5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4"/>
      <c r="R153" s="654"/>
      <c r="S153" s="654"/>
      <c r="T153" s="655"/>
      <c r="U153" s="34"/>
      <c r="V153" s="34"/>
      <c r="W153" s="35" t="s">
        <v>66</v>
      </c>
      <c r="X153" s="647">
        <v>0</v>
      </c>
      <c r="Y153" s="648">
        <f t="shared" si="10"/>
        <v>0</v>
      </c>
      <c r="Z153" s="36" t="str">
        <f t="shared" si="11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264</v>
      </c>
      <c r="B154" s="54" t="s">
        <v>265</v>
      </c>
      <c r="C154" s="31">
        <v>4301052253</v>
      </c>
      <c r="D154" s="651">
        <v>4680115888197</v>
      </c>
      <c r="E154" s="652"/>
      <c r="F154" s="646">
        <v>0.22</v>
      </c>
      <c r="G154" s="32">
        <v>6</v>
      </c>
      <c r="H154" s="646">
        <v>1.32</v>
      </c>
      <c r="I154" s="64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4"/>
      <c r="R154" s="654"/>
      <c r="S154" s="654"/>
      <c r="T154" s="655"/>
      <c r="U154" s="34"/>
      <c r="V154" s="34"/>
      <c r="W154" s="35" t="s">
        <v>66</v>
      </c>
      <c r="X154" s="647">
        <v>0</v>
      </c>
      <c r="Y154" s="648">
        <f t="shared" si="10"/>
        <v>0</v>
      </c>
      <c r="Z154" s="36" t="str">
        <f t="shared" si="11"/>
        <v/>
      </c>
      <c r="AA154" s="56"/>
      <c r="AB154" s="57"/>
      <c r="AC154" s="213" t="s">
        <v>266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268</v>
      </c>
      <c r="C155" s="31">
        <v>4301052175</v>
      </c>
      <c r="D155" s="651">
        <v>4680115888210</v>
      </c>
      <c r="E155" s="652"/>
      <c r="F155" s="646">
        <v>0.22</v>
      </c>
      <c r="G155" s="32">
        <v>9</v>
      </c>
      <c r="H155" s="646">
        <v>1.98</v>
      </c>
      <c r="I155" s="64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4"/>
      <c r="R155" s="654"/>
      <c r="S155" s="654"/>
      <c r="T155" s="655"/>
      <c r="U155" s="34"/>
      <c r="V155" s="34"/>
      <c r="W155" s="35" t="s">
        <v>66</v>
      </c>
      <c r="X155" s="647">
        <v>0</v>
      </c>
      <c r="Y155" s="648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t="27" hidden="1" customHeight="1" x14ac:dyDescent="0.25">
      <c r="A156" s="54" t="s">
        <v>267</v>
      </c>
      <c r="B156" s="54" t="s">
        <v>270</v>
      </c>
      <c r="C156" s="31">
        <v>4301052255</v>
      </c>
      <c r="D156" s="651">
        <v>4680115888210</v>
      </c>
      <c r="E156" s="652"/>
      <c r="F156" s="646">
        <v>0.22</v>
      </c>
      <c r="G156" s="32">
        <v>6</v>
      </c>
      <c r="H156" s="646">
        <v>1.32</v>
      </c>
      <c r="I156" s="646">
        <v>1.5660000000000001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88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54"/>
      <c r="R156" s="654"/>
      <c r="S156" s="654"/>
      <c r="T156" s="655"/>
      <c r="U156" s="34"/>
      <c r="V156" s="34"/>
      <c r="W156" s="35" t="s">
        <v>66</v>
      </c>
      <c r="X156" s="647">
        <v>0</v>
      </c>
      <c r="Y156" s="648">
        <f t="shared" si="10"/>
        <v>0</v>
      </c>
      <c r="Z156" s="36" t="str">
        <f t="shared" si="11"/>
        <v/>
      </c>
      <c r="AA156" s="56"/>
      <c r="AB156" s="57"/>
      <c r="AC156" s="217" t="s">
        <v>269</v>
      </c>
      <c r="AG156" s="64"/>
      <c r="AJ156" s="68"/>
      <c r="AK156" s="68">
        <v>0</v>
      </c>
      <c r="BB156" s="218" t="s">
        <v>1</v>
      </c>
      <c r="BM156" s="64">
        <f t="shared" si="12"/>
        <v>0</v>
      </c>
      <c r="BN156" s="64">
        <f t="shared" si="13"/>
        <v>0</v>
      </c>
      <c r="BO156" s="64">
        <f t="shared" si="14"/>
        <v>0</v>
      </c>
      <c r="BP156" s="64">
        <f t="shared" si="15"/>
        <v>0</v>
      </c>
    </row>
    <row r="157" spans="1:68" hidden="1" x14ac:dyDescent="0.2">
      <c r="A157" s="668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9"/>
      <c r="P157" s="663" t="s">
        <v>71</v>
      </c>
      <c r="Q157" s="664"/>
      <c r="R157" s="664"/>
      <c r="S157" s="664"/>
      <c r="T157" s="664"/>
      <c r="U157" s="664"/>
      <c r="V157" s="665"/>
      <c r="W157" s="37" t="s">
        <v>72</v>
      </c>
      <c r="X157" s="649">
        <f>IFERROR(X151/H151,"0")+IFERROR(X152/H152,"0")+IFERROR(X153/H153,"0")+IFERROR(X154/H154,"0")+IFERROR(X155/H155,"0")+IFERROR(X156/H156,"0")</f>
        <v>0</v>
      </c>
      <c r="Y157" s="649">
        <f>IFERROR(Y151/H151,"0")+IFERROR(Y152/H152,"0")+IFERROR(Y153/H153,"0")+IFERROR(Y154/H154,"0")+IFERROR(Y155/H155,"0")+IFERROR(Y156/H156,"0")</f>
        <v>0</v>
      </c>
      <c r="Z157" s="649">
        <f>IFERROR(IF(Z151="",0,Z151),"0")+IFERROR(IF(Z152="",0,Z152),"0")+IFERROR(IF(Z153="",0,Z153),"0")+IFERROR(IF(Z154="",0,Z154),"0")+IFERROR(IF(Z155="",0,Z155),"0")+IFERROR(IF(Z156="",0,Z156),"0")</f>
        <v>0</v>
      </c>
      <c r="AA157" s="650"/>
      <c r="AB157" s="650"/>
      <c r="AC157" s="650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9"/>
      <c r="P158" s="663" t="s">
        <v>71</v>
      </c>
      <c r="Q158" s="664"/>
      <c r="R158" s="664"/>
      <c r="S158" s="664"/>
      <c r="T158" s="664"/>
      <c r="U158" s="664"/>
      <c r="V158" s="665"/>
      <c r="W158" s="37" t="s">
        <v>66</v>
      </c>
      <c r="X158" s="649">
        <f>IFERROR(SUM(X151:X156),"0")</f>
        <v>0</v>
      </c>
      <c r="Y158" s="649">
        <f>IFERROR(SUM(Y151:Y156),"0")</f>
        <v>0</v>
      </c>
      <c r="Z158" s="37"/>
      <c r="AA158" s="650"/>
      <c r="AB158" s="650"/>
      <c r="AC158" s="650"/>
    </row>
    <row r="159" spans="1:68" ht="14.25" hidden="1" customHeight="1" x14ac:dyDescent="0.25">
      <c r="A159" s="659" t="s">
        <v>271</v>
      </c>
      <c r="B159" s="660"/>
      <c r="C159" s="660"/>
      <c r="D159" s="660"/>
      <c r="E159" s="660"/>
      <c r="F159" s="660"/>
      <c r="G159" s="660"/>
      <c r="H159" s="660"/>
      <c r="I159" s="660"/>
      <c r="J159" s="660"/>
      <c r="K159" s="660"/>
      <c r="L159" s="660"/>
      <c r="M159" s="660"/>
      <c r="N159" s="660"/>
      <c r="O159" s="660"/>
      <c r="P159" s="660"/>
      <c r="Q159" s="660"/>
      <c r="R159" s="660"/>
      <c r="S159" s="660"/>
      <c r="T159" s="660"/>
      <c r="U159" s="660"/>
      <c r="V159" s="660"/>
      <c r="W159" s="660"/>
      <c r="X159" s="660"/>
      <c r="Y159" s="660"/>
      <c r="Z159" s="660"/>
      <c r="AA159" s="643"/>
      <c r="AB159" s="643"/>
      <c r="AC159" s="643"/>
    </row>
    <row r="160" spans="1:68" ht="27" hidden="1" customHeight="1" x14ac:dyDescent="0.25">
      <c r="A160" s="54" t="s">
        <v>272</v>
      </c>
      <c r="B160" s="54" t="s">
        <v>273</v>
      </c>
      <c r="C160" s="31">
        <v>4301032067</v>
      </c>
      <c r="D160" s="651">
        <v>4680115889132</v>
      </c>
      <c r="E160" s="652"/>
      <c r="F160" s="646">
        <v>0.04</v>
      </c>
      <c r="G160" s="32">
        <v>8</v>
      </c>
      <c r="H160" s="646">
        <v>0.32</v>
      </c>
      <c r="I160" s="646">
        <v>0.5</v>
      </c>
      <c r="J160" s="32">
        <v>330</v>
      </c>
      <c r="K160" s="32" t="s">
        <v>274</v>
      </c>
      <c r="L160" s="32"/>
      <c r="M160" s="33" t="s">
        <v>275</v>
      </c>
      <c r="N160" s="33"/>
      <c r="O160" s="32">
        <v>120</v>
      </c>
      <c r="P160" s="7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54"/>
      <c r="R160" s="654"/>
      <c r="S160" s="654"/>
      <c r="T160" s="655"/>
      <c r="U160" s="34"/>
      <c r="V160" s="34"/>
      <c r="W160" s="35" t="s">
        <v>66</v>
      </c>
      <c r="X160" s="647">
        <v>0</v>
      </c>
      <c r="Y160" s="648">
        <f>IFERROR(IF(X160="",0,CEILING((X160/$H160),1)*$H160),"")</f>
        <v>0</v>
      </c>
      <c r="Z160" s="36" t="str">
        <f>IFERROR(IF(Y160=0,"",ROUNDUP(Y160/H160,0)*0.00337),"")</f>
        <v/>
      </c>
      <c r="AA160" s="56"/>
      <c r="AB160" s="57"/>
      <c r="AC160" s="219" t="s">
        <v>276</v>
      </c>
      <c r="AG160" s="64"/>
      <c r="AJ160" s="68"/>
      <c r="AK160" s="68">
        <v>0</v>
      </c>
      <c r="BB160" s="220" t="s">
        <v>277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68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9"/>
      <c r="P161" s="663" t="s">
        <v>71</v>
      </c>
      <c r="Q161" s="664"/>
      <c r="R161" s="664"/>
      <c r="S161" s="664"/>
      <c r="T161" s="664"/>
      <c r="U161" s="664"/>
      <c r="V161" s="665"/>
      <c r="W161" s="37" t="s">
        <v>72</v>
      </c>
      <c r="X161" s="649">
        <f>IFERROR(X160/H160,"0")</f>
        <v>0</v>
      </c>
      <c r="Y161" s="649">
        <f>IFERROR(Y160/H160,"0")</f>
        <v>0</v>
      </c>
      <c r="Z161" s="649">
        <f>IFERROR(IF(Z160="",0,Z160),"0")</f>
        <v>0</v>
      </c>
      <c r="AA161" s="650"/>
      <c r="AB161" s="650"/>
      <c r="AC161" s="650"/>
    </row>
    <row r="162" spans="1:68" hidden="1" x14ac:dyDescent="0.2">
      <c r="A162" s="660"/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9"/>
      <c r="P162" s="663" t="s">
        <v>71</v>
      </c>
      <c r="Q162" s="664"/>
      <c r="R162" s="664"/>
      <c r="S162" s="664"/>
      <c r="T162" s="664"/>
      <c r="U162" s="664"/>
      <c r="V162" s="665"/>
      <c r="W162" s="37" t="s">
        <v>66</v>
      </c>
      <c r="X162" s="649">
        <f>IFERROR(SUM(X160:X160),"0")</f>
        <v>0</v>
      </c>
      <c r="Y162" s="649">
        <f>IFERROR(SUM(Y160:Y160),"0")</f>
        <v>0</v>
      </c>
      <c r="Z162" s="37"/>
      <c r="AA162" s="650"/>
      <c r="AB162" s="650"/>
      <c r="AC162" s="650"/>
    </row>
    <row r="163" spans="1:68" ht="16.5" hidden="1" customHeight="1" x14ac:dyDescent="0.25">
      <c r="A163" s="672" t="s">
        <v>108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42"/>
      <c r="AB163" s="642"/>
      <c r="AC163" s="642"/>
    </row>
    <row r="164" spans="1:68" ht="14.25" hidden="1" customHeight="1" x14ac:dyDescent="0.25">
      <c r="A164" s="659" t="s">
        <v>110</v>
      </c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0"/>
      <c r="P164" s="660"/>
      <c r="Q164" s="660"/>
      <c r="R164" s="660"/>
      <c r="S164" s="660"/>
      <c r="T164" s="660"/>
      <c r="U164" s="660"/>
      <c r="V164" s="660"/>
      <c r="W164" s="660"/>
      <c r="X164" s="660"/>
      <c r="Y164" s="660"/>
      <c r="Z164" s="660"/>
      <c r="AA164" s="643"/>
      <c r="AB164" s="643"/>
      <c r="AC164" s="643"/>
    </row>
    <row r="165" spans="1:68" ht="27" hidden="1" customHeight="1" x14ac:dyDescent="0.25">
      <c r="A165" s="54" t="s">
        <v>278</v>
      </c>
      <c r="B165" s="54" t="s">
        <v>279</v>
      </c>
      <c r="C165" s="31">
        <v>4301012338</v>
      </c>
      <c r="D165" s="651">
        <v>4680115887374</v>
      </c>
      <c r="E165" s="652"/>
      <c r="F165" s="646">
        <v>1</v>
      </c>
      <c r="G165" s="32">
        <v>6</v>
      </c>
      <c r="H165" s="646">
        <v>6</v>
      </c>
      <c r="I165" s="646">
        <v>6.35</v>
      </c>
      <c r="J165" s="32">
        <v>104</v>
      </c>
      <c r="K165" s="32" t="s">
        <v>113</v>
      </c>
      <c r="L165" s="32"/>
      <c r="M165" s="33" t="s">
        <v>114</v>
      </c>
      <c r="N165" s="33"/>
      <c r="O165" s="32">
        <v>55</v>
      </c>
      <c r="P165" s="68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54"/>
      <c r="R165" s="654"/>
      <c r="S165" s="654"/>
      <c r="T165" s="655"/>
      <c r="U165" s="34"/>
      <c r="V165" s="34"/>
      <c r="W165" s="35" t="s">
        <v>66</v>
      </c>
      <c r="X165" s="647">
        <v>0</v>
      </c>
      <c r="Y165" s="648">
        <f>IFERROR(IF(X165="",0,CEILING((X165/$H165),1)*$H165),"")</f>
        <v>0</v>
      </c>
      <c r="Z165" s="36" t="str">
        <f>IFERROR(IF(Y165=0,"",ROUNDUP(Y165/H165,0)*0.01196),"")</f>
        <v/>
      </c>
      <c r="AA165" s="56"/>
      <c r="AB165" s="57"/>
      <c r="AC165" s="221" t="s">
        <v>280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4301011705</v>
      </c>
      <c r="D166" s="651">
        <v>4607091384604</v>
      </c>
      <c r="E166" s="652"/>
      <c r="F166" s="646">
        <v>0.4</v>
      </c>
      <c r="G166" s="32">
        <v>10</v>
      </c>
      <c r="H166" s="646">
        <v>4</v>
      </c>
      <c r="I166" s="646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54"/>
      <c r="R166" s="654"/>
      <c r="S166" s="654"/>
      <c r="T166" s="655"/>
      <c r="U166" s="34"/>
      <c r="V166" s="34"/>
      <c r="W166" s="35" t="s">
        <v>66</v>
      </c>
      <c r="X166" s="647">
        <v>0</v>
      </c>
      <c r="Y166" s="648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283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281</v>
      </c>
      <c r="B167" s="54" t="s">
        <v>284</v>
      </c>
      <c r="C167" s="31">
        <v>4301012258</v>
      </c>
      <c r="D167" s="651">
        <v>4607091384604</v>
      </c>
      <c r="E167" s="652"/>
      <c r="F167" s="646">
        <v>0.4</v>
      </c>
      <c r="G167" s="32">
        <v>10</v>
      </c>
      <c r="H167" s="646">
        <v>4</v>
      </c>
      <c r="I167" s="646">
        <v>4.1900000000000004</v>
      </c>
      <c r="J167" s="32">
        <v>132</v>
      </c>
      <c r="K167" s="32" t="s">
        <v>122</v>
      </c>
      <c r="L167" s="32"/>
      <c r="M167" s="33" t="s">
        <v>114</v>
      </c>
      <c r="N167" s="33"/>
      <c r="O167" s="32">
        <v>50</v>
      </c>
      <c r="P167" s="78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54"/>
      <c r="R167" s="654"/>
      <c r="S167" s="654"/>
      <c r="T167" s="655"/>
      <c r="U167" s="34"/>
      <c r="V167" s="34"/>
      <c r="W167" s="35" t="s">
        <v>66</v>
      </c>
      <c r="X167" s="647">
        <v>0</v>
      </c>
      <c r="Y167" s="648">
        <f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285</v>
      </c>
      <c r="B168" s="54" t="s">
        <v>286</v>
      </c>
      <c r="C168" s="31">
        <v>4301012344</v>
      </c>
      <c r="D168" s="651">
        <v>4680115888876</v>
      </c>
      <c r="E168" s="652"/>
      <c r="F168" s="646">
        <v>0.43</v>
      </c>
      <c r="G168" s="32">
        <v>6</v>
      </c>
      <c r="H168" s="646">
        <v>2.58</v>
      </c>
      <c r="I168" s="646">
        <v>2.76</v>
      </c>
      <c r="J168" s="32">
        <v>182</v>
      </c>
      <c r="K168" s="32" t="s">
        <v>76</v>
      </c>
      <c r="L168" s="32"/>
      <c r="M168" s="33" t="s">
        <v>77</v>
      </c>
      <c r="N168" s="33"/>
      <c r="O168" s="32">
        <v>55</v>
      </c>
      <c r="P168" s="75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54"/>
      <c r="R168" s="654"/>
      <c r="S168" s="654"/>
      <c r="T168" s="655"/>
      <c r="U168" s="34"/>
      <c r="V168" s="34"/>
      <c r="W168" s="35" t="s">
        <v>66</v>
      </c>
      <c r="X168" s="647">
        <v>0</v>
      </c>
      <c r="Y168" s="648">
        <f>IFERROR(IF(X168="",0,CEILING((X168/$H168),1)*$H168),"")</f>
        <v>0</v>
      </c>
      <c r="Z168" s="36" t="str">
        <f>IFERROR(IF(Y168=0,"",ROUNDUP(Y168/H168,0)*0.00651),"")</f>
        <v/>
      </c>
      <c r="AA168" s="56"/>
      <c r="AB168" s="57"/>
      <c r="AC168" s="227" t="s">
        <v>287</v>
      </c>
      <c r="AG168" s="64"/>
      <c r="AJ168" s="68"/>
      <c r="AK168" s="68">
        <v>0</v>
      </c>
      <c r="BB168" s="228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68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9"/>
      <c r="P169" s="663" t="s">
        <v>71</v>
      </c>
      <c r="Q169" s="664"/>
      <c r="R169" s="664"/>
      <c r="S169" s="664"/>
      <c r="T169" s="664"/>
      <c r="U169" s="664"/>
      <c r="V169" s="665"/>
      <c r="W169" s="37" t="s">
        <v>72</v>
      </c>
      <c r="X169" s="649">
        <f>IFERROR(X165/H165,"0")+IFERROR(X166/H166,"0")+IFERROR(X167/H167,"0")+IFERROR(X168/H168,"0")</f>
        <v>0</v>
      </c>
      <c r="Y169" s="649">
        <f>IFERROR(Y165/H165,"0")+IFERROR(Y166/H166,"0")+IFERROR(Y167/H167,"0")+IFERROR(Y168/H168,"0")</f>
        <v>0</v>
      </c>
      <c r="Z169" s="649">
        <f>IFERROR(IF(Z165="",0,Z165),"0")+IFERROR(IF(Z166="",0,Z166),"0")+IFERROR(IF(Z167="",0,Z167),"0")+IFERROR(IF(Z168="",0,Z168),"0")</f>
        <v>0</v>
      </c>
      <c r="AA169" s="650"/>
      <c r="AB169" s="650"/>
      <c r="AC169" s="650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9"/>
      <c r="P170" s="663" t="s">
        <v>71</v>
      </c>
      <c r="Q170" s="664"/>
      <c r="R170" s="664"/>
      <c r="S170" s="664"/>
      <c r="T170" s="664"/>
      <c r="U170" s="664"/>
      <c r="V170" s="665"/>
      <c r="W170" s="37" t="s">
        <v>66</v>
      </c>
      <c r="X170" s="649">
        <f>IFERROR(SUM(X165:X168),"0")</f>
        <v>0</v>
      </c>
      <c r="Y170" s="649">
        <f>IFERROR(SUM(Y165:Y168),"0")</f>
        <v>0</v>
      </c>
      <c r="Z170" s="37"/>
      <c r="AA170" s="650"/>
      <c r="AB170" s="650"/>
      <c r="AC170" s="650"/>
    </row>
    <row r="171" spans="1:68" ht="14.25" hidden="1" customHeight="1" x14ac:dyDescent="0.25">
      <c r="A171" s="659" t="s">
        <v>147</v>
      </c>
      <c r="B171" s="660"/>
      <c r="C171" s="660"/>
      <c r="D171" s="660"/>
      <c r="E171" s="660"/>
      <c r="F171" s="660"/>
      <c r="G171" s="660"/>
      <c r="H171" s="660"/>
      <c r="I171" s="660"/>
      <c r="J171" s="660"/>
      <c r="K171" s="660"/>
      <c r="L171" s="660"/>
      <c r="M171" s="660"/>
      <c r="N171" s="660"/>
      <c r="O171" s="660"/>
      <c r="P171" s="660"/>
      <c r="Q171" s="660"/>
      <c r="R171" s="660"/>
      <c r="S171" s="660"/>
      <c r="T171" s="660"/>
      <c r="U171" s="660"/>
      <c r="V171" s="660"/>
      <c r="W171" s="660"/>
      <c r="X171" s="660"/>
      <c r="Y171" s="660"/>
      <c r="Z171" s="660"/>
      <c r="AA171" s="643"/>
      <c r="AB171" s="643"/>
      <c r="AC171" s="643"/>
    </row>
    <row r="172" spans="1:68" ht="16.5" hidden="1" customHeight="1" x14ac:dyDescent="0.25">
      <c r="A172" s="54" t="s">
        <v>288</v>
      </c>
      <c r="B172" s="54" t="s">
        <v>289</v>
      </c>
      <c r="C172" s="31">
        <v>4301020410</v>
      </c>
      <c r="D172" s="651">
        <v>4680115887695</v>
      </c>
      <c r="E172" s="652"/>
      <c r="F172" s="646">
        <v>0.12</v>
      </c>
      <c r="G172" s="32">
        <v>6</v>
      </c>
      <c r="H172" s="646">
        <v>0.72</v>
      </c>
      <c r="I172" s="646">
        <v>0.85</v>
      </c>
      <c r="J172" s="32">
        <v>252</v>
      </c>
      <c r="K172" s="32" t="s">
        <v>64</v>
      </c>
      <c r="L172" s="32"/>
      <c r="M172" s="33" t="s">
        <v>65</v>
      </c>
      <c r="N172" s="33"/>
      <c r="O172" s="32">
        <v>30</v>
      </c>
      <c r="P172" s="67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54"/>
      <c r="R172" s="654"/>
      <c r="S172" s="654"/>
      <c r="T172" s="655"/>
      <c r="U172" s="34"/>
      <c r="V172" s="34"/>
      <c r="W172" s="35" t="s">
        <v>66</v>
      </c>
      <c r="X172" s="647">
        <v>0</v>
      </c>
      <c r="Y172" s="648">
        <f>IFERROR(IF(X172="",0,CEILING((X172/$H172),1)*$H172),"")</f>
        <v>0</v>
      </c>
      <c r="Z172" s="36" t="str">
        <f>IFERROR(IF(Y172=0,"",ROUNDUP(Y172/H172,0)*0.00556),"")</f>
        <v/>
      </c>
      <c r="AA172" s="56"/>
      <c r="AB172" s="57"/>
      <c r="AC172" s="229" t="s">
        <v>290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291</v>
      </c>
      <c r="B173" s="54" t="s">
        <v>292</v>
      </c>
      <c r="C173" s="31">
        <v>4301020439</v>
      </c>
      <c r="D173" s="651">
        <v>4680115889491</v>
      </c>
      <c r="E173" s="652"/>
      <c r="F173" s="646">
        <v>0.3</v>
      </c>
      <c r="G173" s="32">
        <v>8</v>
      </c>
      <c r="H173" s="646">
        <v>2.4</v>
      </c>
      <c r="I173" s="646">
        <v>2.5</v>
      </c>
      <c r="J173" s="32">
        <v>234</v>
      </c>
      <c r="K173" s="32" t="s">
        <v>64</v>
      </c>
      <c r="L173" s="32"/>
      <c r="M173" s="33" t="s">
        <v>114</v>
      </c>
      <c r="N173" s="33"/>
      <c r="O173" s="32">
        <v>55</v>
      </c>
      <c r="P173" s="71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54"/>
      <c r="R173" s="654"/>
      <c r="S173" s="654"/>
      <c r="T173" s="655"/>
      <c r="U173" s="34"/>
      <c r="V173" s="34"/>
      <c r="W173" s="35" t="s">
        <v>66</v>
      </c>
      <c r="X173" s="647">
        <v>0</v>
      </c>
      <c r="Y173" s="648">
        <f>IFERROR(IF(X173="",0,CEILING((X173/$H173),1)*$H173),"")</f>
        <v>0</v>
      </c>
      <c r="Z173" s="36" t="str">
        <f>IFERROR(IF(Y173=0,"",ROUNDUP(Y173/H173,0)*0.00502),"")</f>
        <v/>
      </c>
      <c r="AA173" s="56"/>
      <c r="AB173" s="57"/>
      <c r="AC173" s="231" t="s">
        <v>293</v>
      </c>
      <c r="AG173" s="64"/>
      <c r="AJ173" s="68"/>
      <c r="AK173" s="68">
        <v>0</v>
      </c>
      <c r="BB173" s="232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68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9"/>
      <c r="P174" s="663" t="s">
        <v>71</v>
      </c>
      <c r="Q174" s="664"/>
      <c r="R174" s="664"/>
      <c r="S174" s="664"/>
      <c r="T174" s="664"/>
      <c r="U174" s="664"/>
      <c r="V174" s="665"/>
      <c r="W174" s="37" t="s">
        <v>72</v>
      </c>
      <c r="X174" s="649">
        <f>IFERROR(X172/H172,"0")+IFERROR(X173/H173,"0")</f>
        <v>0</v>
      </c>
      <c r="Y174" s="649">
        <f>IFERROR(Y172/H172,"0")+IFERROR(Y173/H173,"0")</f>
        <v>0</v>
      </c>
      <c r="Z174" s="649">
        <f>IFERROR(IF(Z172="",0,Z172),"0")+IFERROR(IF(Z173="",0,Z173),"0")</f>
        <v>0</v>
      </c>
      <c r="AA174" s="650"/>
      <c r="AB174" s="650"/>
      <c r="AC174" s="650"/>
    </row>
    <row r="175" spans="1:68" hidden="1" x14ac:dyDescent="0.2">
      <c r="A175" s="660"/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9"/>
      <c r="P175" s="663" t="s">
        <v>71</v>
      </c>
      <c r="Q175" s="664"/>
      <c r="R175" s="664"/>
      <c r="S175" s="664"/>
      <c r="T175" s="664"/>
      <c r="U175" s="664"/>
      <c r="V175" s="665"/>
      <c r="W175" s="37" t="s">
        <v>66</v>
      </c>
      <c r="X175" s="649">
        <f>IFERROR(SUM(X172:X173),"0")</f>
        <v>0</v>
      </c>
      <c r="Y175" s="649">
        <f>IFERROR(SUM(Y172:Y173),"0")</f>
        <v>0</v>
      </c>
      <c r="Z175" s="37"/>
      <c r="AA175" s="650"/>
      <c r="AB175" s="650"/>
      <c r="AC175" s="650"/>
    </row>
    <row r="176" spans="1:68" ht="14.25" hidden="1" customHeight="1" x14ac:dyDescent="0.25">
      <c r="A176" s="659" t="s">
        <v>61</v>
      </c>
      <c r="B176" s="660"/>
      <c r="C176" s="660"/>
      <c r="D176" s="660"/>
      <c r="E176" s="660"/>
      <c r="F176" s="660"/>
      <c r="G176" s="660"/>
      <c r="H176" s="660"/>
      <c r="I176" s="660"/>
      <c r="J176" s="660"/>
      <c r="K176" s="660"/>
      <c r="L176" s="660"/>
      <c r="M176" s="660"/>
      <c r="N176" s="660"/>
      <c r="O176" s="660"/>
      <c r="P176" s="660"/>
      <c r="Q176" s="660"/>
      <c r="R176" s="660"/>
      <c r="S176" s="660"/>
      <c r="T176" s="660"/>
      <c r="U176" s="660"/>
      <c r="V176" s="660"/>
      <c r="W176" s="660"/>
      <c r="X176" s="660"/>
      <c r="Y176" s="660"/>
      <c r="Z176" s="660"/>
      <c r="AA176" s="643"/>
      <c r="AB176" s="643"/>
      <c r="AC176" s="643"/>
    </row>
    <row r="177" spans="1:68" ht="27" hidden="1" customHeight="1" x14ac:dyDescent="0.25">
      <c r="A177" s="54" t="s">
        <v>294</v>
      </c>
      <c r="B177" s="54" t="s">
        <v>295</v>
      </c>
      <c r="C177" s="31">
        <v>4301031496</v>
      </c>
      <c r="D177" s="651">
        <v>4680115887428</v>
      </c>
      <c r="E177" s="652"/>
      <c r="F177" s="646">
        <v>0.7</v>
      </c>
      <c r="G177" s="32">
        <v>5</v>
      </c>
      <c r="H177" s="646">
        <v>3.5</v>
      </c>
      <c r="I177" s="646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92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4"/>
      <c r="R177" s="654"/>
      <c r="S177" s="654"/>
      <c r="T177" s="655"/>
      <c r="U177" s="34"/>
      <c r="V177" s="34"/>
      <c r="W177" s="35" t="s">
        <v>66</v>
      </c>
      <c r="X177" s="647">
        <v>0</v>
      </c>
      <c r="Y177" s="648">
        <f t="shared" ref="Y177:Y187" si="16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33" t="s">
        <v>296</v>
      </c>
      <c r="AG177" s="64"/>
      <c r="AJ177" s="68"/>
      <c r="AK177" s="68">
        <v>0</v>
      </c>
      <c r="BB177" s="234" t="s">
        <v>1</v>
      </c>
      <c r="BM177" s="64">
        <f t="shared" ref="BM177:BM187" si="17">IFERROR(X177*I177/H177,"0")</f>
        <v>0</v>
      </c>
      <c r="BN177" s="64">
        <f t="shared" ref="BN177:BN187" si="18">IFERROR(Y177*I177/H177,"0")</f>
        <v>0</v>
      </c>
      <c r="BO177" s="64">
        <f t="shared" ref="BO177:BO187" si="19">IFERROR(1/J177*(X177/H177),"0")</f>
        <v>0</v>
      </c>
      <c r="BP177" s="64">
        <f t="shared" ref="BP177:BP187" si="20">IFERROR(1/J177*(Y177/H177),"0")</f>
        <v>0</v>
      </c>
    </row>
    <row r="178" spans="1:68" ht="27" hidden="1" customHeight="1" x14ac:dyDescent="0.25">
      <c r="A178" s="54" t="s">
        <v>297</v>
      </c>
      <c r="B178" s="54" t="s">
        <v>298</v>
      </c>
      <c r="C178" s="31">
        <v>4301031509</v>
      </c>
      <c r="D178" s="651">
        <v>4680115889170</v>
      </c>
      <c r="E178" s="652"/>
      <c r="F178" s="646">
        <v>0.7</v>
      </c>
      <c r="G178" s="32">
        <v>5</v>
      </c>
      <c r="H178" s="646">
        <v>3.5</v>
      </c>
      <c r="I178" s="646">
        <v>3.7650000000000001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4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4"/>
      <c r="R178" s="654"/>
      <c r="S178" s="654"/>
      <c r="T178" s="655"/>
      <c r="U178" s="34"/>
      <c r="V178" s="34"/>
      <c r="W178" s="35" t="s">
        <v>66</v>
      </c>
      <c r="X178" s="647">
        <v>0</v>
      </c>
      <c r="Y178" s="648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299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27" customHeight="1" x14ac:dyDescent="0.25">
      <c r="A179" s="54" t="s">
        <v>300</v>
      </c>
      <c r="B179" s="54" t="s">
        <v>301</v>
      </c>
      <c r="C179" s="31">
        <v>4301031522</v>
      </c>
      <c r="D179" s="651">
        <v>4680115887398</v>
      </c>
      <c r="E179" s="652"/>
      <c r="F179" s="646">
        <v>0.7</v>
      </c>
      <c r="G179" s="32">
        <v>5</v>
      </c>
      <c r="H179" s="646">
        <v>3.5</v>
      </c>
      <c r="I179" s="646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4"/>
      <c r="R179" s="654"/>
      <c r="S179" s="654"/>
      <c r="T179" s="655"/>
      <c r="U179" s="34"/>
      <c r="V179" s="34"/>
      <c r="W179" s="35" t="s">
        <v>66</v>
      </c>
      <c r="X179" s="647">
        <v>104</v>
      </c>
      <c r="Y179" s="648">
        <f t="shared" si="16"/>
        <v>105</v>
      </c>
      <c r="Z179" s="36">
        <f>IFERROR(IF(Y179=0,"",ROUNDUP(Y179/H179,0)*0.00902),"")</f>
        <v>0.27060000000000001</v>
      </c>
      <c r="AA179" s="56"/>
      <c r="AB179" s="57"/>
      <c r="AC179" s="237" t="s">
        <v>302</v>
      </c>
      <c r="AG179" s="64"/>
      <c r="AJ179" s="68"/>
      <c r="AK179" s="68">
        <v>0</v>
      </c>
      <c r="BB179" s="238" t="s">
        <v>1</v>
      </c>
      <c r="BM179" s="64">
        <f t="shared" si="17"/>
        <v>109.64571428571428</v>
      </c>
      <c r="BN179" s="64">
        <f t="shared" si="18"/>
        <v>110.7</v>
      </c>
      <c r="BO179" s="64">
        <f t="shared" si="19"/>
        <v>0.22510822510822512</v>
      </c>
      <c r="BP179" s="64">
        <f t="shared" si="20"/>
        <v>0.22727272727272729</v>
      </c>
    </row>
    <row r="180" spans="1:68" ht="27" customHeight="1" x14ac:dyDescent="0.25">
      <c r="A180" s="54" t="s">
        <v>303</v>
      </c>
      <c r="B180" s="54" t="s">
        <v>304</v>
      </c>
      <c r="C180" s="31">
        <v>4301031520</v>
      </c>
      <c r="D180" s="651">
        <v>4680115887336</v>
      </c>
      <c r="E180" s="652"/>
      <c r="F180" s="646">
        <v>0.7</v>
      </c>
      <c r="G180" s="32">
        <v>5</v>
      </c>
      <c r="H180" s="646">
        <v>3.5</v>
      </c>
      <c r="I180" s="646">
        <v>3.69</v>
      </c>
      <c r="J180" s="32">
        <v>132</v>
      </c>
      <c r="K180" s="32" t="s">
        <v>122</v>
      </c>
      <c r="L180" s="32"/>
      <c r="M180" s="33" t="s">
        <v>65</v>
      </c>
      <c r="N180" s="33"/>
      <c r="O180" s="32">
        <v>45</v>
      </c>
      <c r="P180" s="78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4"/>
      <c r="R180" s="654"/>
      <c r="S180" s="654"/>
      <c r="T180" s="655"/>
      <c r="U180" s="34"/>
      <c r="V180" s="34"/>
      <c r="W180" s="35" t="s">
        <v>66</v>
      </c>
      <c r="X180" s="647">
        <v>130</v>
      </c>
      <c r="Y180" s="648">
        <f t="shared" si="16"/>
        <v>133</v>
      </c>
      <c r="Z180" s="36">
        <f>IFERROR(IF(Y180=0,"",ROUNDUP(Y180/H180,0)*0.00902),"")</f>
        <v>0.34276000000000001</v>
      </c>
      <c r="AA180" s="56"/>
      <c r="AB180" s="57"/>
      <c r="AC180" s="239" t="s">
        <v>305</v>
      </c>
      <c r="AG180" s="64"/>
      <c r="AJ180" s="68"/>
      <c r="AK180" s="68">
        <v>0</v>
      </c>
      <c r="BB180" s="240" t="s">
        <v>1</v>
      </c>
      <c r="BM180" s="64">
        <f t="shared" si="17"/>
        <v>137.05714285714285</v>
      </c>
      <c r="BN180" s="64">
        <f t="shared" si="18"/>
        <v>140.22</v>
      </c>
      <c r="BO180" s="64">
        <f t="shared" si="19"/>
        <v>0.2813852813852814</v>
      </c>
      <c r="BP180" s="64">
        <f t="shared" si="20"/>
        <v>0.2878787878787879</v>
      </c>
    </row>
    <row r="181" spans="1:68" ht="16.5" hidden="1" customHeight="1" x14ac:dyDescent="0.25">
      <c r="A181" s="54" t="s">
        <v>306</v>
      </c>
      <c r="B181" s="54" t="s">
        <v>307</v>
      </c>
      <c r="C181" s="31">
        <v>4301032049</v>
      </c>
      <c r="D181" s="651">
        <v>4680115887787</v>
      </c>
      <c r="E181" s="652"/>
      <c r="F181" s="646">
        <v>0.09</v>
      </c>
      <c r="G181" s="32">
        <v>10</v>
      </c>
      <c r="H181" s="646">
        <v>0.9</v>
      </c>
      <c r="I181" s="646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8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4"/>
      <c r="R181" s="654"/>
      <c r="S181" s="654"/>
      <c r="T181" s="655"/>
      <c r="U181" s="34"/>
      <c r="V181" s="34"/>
      <c r="W181" s="35" t="s">
        <v>66</v>
      </c>
      <c r="X181" s="647">
        <v>0</v>
      </c>
      <c r="Y181" s="648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308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16.5" hidden="1" customHeight="1" x14ac:dyDescent="0.25">
      <c r="A182" s="54" t="s">
        <v>306</v>
      </c>
      <c r="B182" s="54" t="s">
        <v>309</v>
      </c>
      <c r="C182" s="31">
        <v>4301031528</v>
      </c>
      <c r="D182" s="651">
        <v>4680115887787</v>
      </c>
      <c r="E182" s="652"/>
      <c r="F182" s="646">
        <v>0.09</v>
      </c>
      <c r="G182" s="32">
        <v>10</v>
      </c>
      <c r="H182" s="646">
        <v>0.9</v>
      </c>
      <c r="I182" s="646">
        <v>1.1100000000000001</v>
      </c>
      <c r="J182" s="32">
        <v>192</v>
      </c>
      <c r="K182" s="32" t="s">
        <v>118</v>
      </c>
      <c r="L182" s="32"/>
      <c r="M182" s="33" t="s">
        <v>65</v>
      </c>
      <c r="N182" s="33"/>
      <c r="O182" s="32">
        <v>45</v>
      </c>
      <c r="P182" s="79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54"/>
      <c r="R182" s="654"/>
      <c r="S182" s="654"/>
      <c r="T182" s="655"/>
      <c r="U182" s="34"/>
      <c r="V182" s="34"/>
      <c r="W182" s="35" t="s">
        <v>66</v>
      </c>
      <c r="X182" s="647">
        <v>0</v>
      </c>
      <c r="Y182" s="648">
        <f t="shared" si="16"/>
        <v>0</v>
      </c>
      <c r="Z182" s="36" t="str">
        <f>IFERROR(IF(Y182=0,"",ROUNDUP(Y182/H182,0)*0.00726),"")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4301031448</v>
      </c>
      <c r="D183" s="651">
        <v>4680115887503</v>
      </c>
      <c r="E183" s="652"/>
      <c r="F183" s="646">
        <v>0.28000000000000003</v>
      </c>
      <c r="G183" s="32">
        <v>6</v>
      </c>
      <c r="H183" s="646">
        <v>1.68</v>
      </c>
      <c r="I183" s="646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9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54"/>
      <c r="R183" s="654"/>
      <c r="S183" s="654"/>
      <c r="T183" s="655"/>
      <c r="U183" s="34"/>
      <c r="V183" s="34"/>
      <c r="W183" s="35" t="s">
        <v>66</v>
      </c>
      <c r="X183" s="647">
        <v>58</v>
      </c>
      <c r="Y183" s="648">
        <f t="shared" si="16"/>
        <v>58.8</v>
      </c>
      <c r="Z183" s="36">
        <f>IFERROR(IF(Y183=0,"",ROUNDUP(Y183/H183,0)*0.00502),"")</f>
        <v>0.1757</v>
      </c>
      <c r="AA183" s="56"/>
      <c r="AB183" s="57"/>
      <c r="AC183" s="245" t="s">
        <v>296</v>
      </c>
      <c r="AG183" s="64"/>
      <c r="AJ183" s="68"/>
      <c r="AK183" s="68">
        <v>0</v>
      </c>
      <c r="BB183" s="246" t="s">
        <v>1</v>
      </c>
      <c r="BM183" s="64">
        <f t="shared" si="17"/>
        <v>61.452380952380949</v>
      </c>
      <c r="BN183" s="64">
        <f t="shared" si="18"/>
        <v>62.300000000000004</v>
      </c>
      <c r="BO183" s="64">
        <f t="shared" si="19"/>
        <v>0.14753764753764756</v>
      </c>
      <c r="BP183" s="64">
        <f t="shared" si="20"/>
        <v>0.1495726495726496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4301031389</v>
      </c>
      <c r="D184" s="651">
        <v>4680115887763</v>
      </c>
      <c r="E184" s="652"/>
      <c r="F184" s="646">
        <v>0.09</v>
      </c>
      <c r="G184" s="32">
        <v>10</v>
      </c>
      <c r="H184" s="646">
        <v>0.9</v>
      </c>
      <c r="I184" s="646">
        <v>1.1100000000000001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7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4"/>
      <c r="R184" s="654"/>
      <c r="S184" s="654"/>
      <c r="T184" s="655"/>
      <c r="U184" s="34"/>
      <c r="V184" s="34"/>
      <c r="W184" s="35" t="s">
        <v>66</v>
      </c>
      <c r="X184" s="647">
        <v>0</v>
      </c>
      <c r="Y184" s="648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315</v>
      </c>
      <c r="B185" s="54" t="s">
        <v>316</v>
      </c>
      <c r="C185" s="31">
        <v>4301031521</v>
      </c>
      <c r="D185" s="651">
        <v>4680115887480</v>
      </c>
      <c r="E185" s="652"/>
      <c r="F185" s="646">
        <v>0.28000000000000003</v>
      </c>
      <c r="G185" s="32">
        <v>6</v>
      </c>
      <c r="H185" s="646">
        <v>1.68</v>
      </c>
      <c r="I185" s="64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45</v>
      </c>
      <c r="P185" s="8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4"/>
      <c r="R185" s="654"/>
      <c r="S185" s="654"/>
      <c r="T185" s="655"/>
      <c r="U185" s="34"/>
      <c r="V185" s="34"/>
      <c r="W185" s="35" t="s">
        <v>66</v>
      </c>
      <c r="X185" s="647">
        <v>44</v>
      </c>
      <c r="Y185" s="648">
        <f t="shared" si="16"/>
        <v>45.36</v>
      </c>
      <c r="Z185" s="36">
        <f>IFERROR(IF(Y185=0,"",ROUNDUP(Y185/H185,0)*0.00502),"")</f>
        <v>0.13553999999999999</v>
      </c>
      <c r="AA185" s="56"/>
      <c r="AB185" s="57"/>
      <c r="AC185" s="249" t="s">
        <v>302</v>
      </c>
      <c r="AG185" s="64"/>
      <c r="AJ185" s="68"/>
      <c r="AK185" s="68">
        <v>0</v>
      </c>
      <c r="BB185" s="250" t="s">
        <v>1</v>
      </c>
      <c r="BM185" s="64">
        <f t="shared" si="17"/>
        <v>46.619047619047628</v>
      </c>
      <c r="BN185" s="64">
        <f t="shared" si="18"/>
        <v>48.060000000000009</v>
      </c>
      <c r="BO185" s="64">
        <f t="shared" si="19"/>
        <v>0.11192511192511194</v>
      </c>
      <c r="BP185" s="64">
        <f t="shared" si="20"/>
        <v>0.11538461538461539</v>
      </c>
    </row>
    <row r="186" spans="1:68" ht="27" hidden="1" customHeight="1" x14ac:dyDescent="0.25">
      <c r="A186" s="54" t="s">
        <v>317</v>
      </c>
      <c r="B186" s="54" t="s">
        <v>318</v>
      </c>
      <c r="C186" s="31">
        <v>4301031434</v>
      </c>
      <c r="D186" s="651">
        <v>4680115888067</v>
      </c>
      <c r="E186" s="652"/>
      <c r="F186" s="646">
        <v>0.09</v>
      </c>
      <c r="G186" s="32">
        <v>10</v>
      </c>
      <c r="H186" s="646">
        <v>0.9</v>
      </c>
      <c r="I186" s="646">
        <v>1</v>
      </c>
      <c r="J186" s="32">
        <v>336</v>
      </c>
      <c r="K186" s="32" t="s">
        <v>118</v>
      </c>
      <c r="L186" s="32"/>
      <c r="M186" s="33" t="s">
        <v>65</v>
      </c>
      <c r="N186" s="33"/>
      <c r="O186" s="32">
        <v>45</v>
      </c>
      <c r="P186" s="97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4"/>
      <c r="R186" s="654"/>
      <c r="S186" s="654"/>
      <c r="T186" s="655"/>
      <c r="U186" s="34"/>
      <c r="V186" s="34"/>
      <c r="W186" s="35" t="s">
        <v>66</v>
      </c>
      <c r="X186" s="647">
        <v>0</v>
      </c>
      <c r="Y186" s="648">
        <f t="shared" si="16"/>
        <v>0</v>
      </c>
      <c r="Z186" s="36" t="str">
        <f>IFERROR(IF(Y186=0,"",ROUNDUP(Y186/H186,0)*0.00417),"")</f>
        <v/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17"/>
        <v>0</v>
      </c>
      <c r="BN186" s="64">
        <f t="shared" si="18"/>
        <v>0</v>
      </c>
      <c r="BO186" s="64">
        <f t="shared" si="19"/>
        <v>0</v>
      </c>
      <c r="BP186" s="64">
        <f t="shared" si="2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4301031519</v>
      </c>
      <c r="D187" s="651">
        <v>4680115887435</v>
      </c>
      <c r="E187" s="652"/>
      <c r="F187" s="646">
        <v>0.28000000000000003</v>
      </c>
      <c r="G187" s="32">
        <v>6</v>
      </c>
      <c r="H187" s="646">
        <v>1.68</v>
      </c>
      <c r="I187" s="64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45</v>
      </c>
      <c r="P187" s="77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4"/>
      <c r="R187" s="654"/>
      <c r="S187" s="654"/>
      <c r="T187" s="655"/>
      <c r="U187" s="34"/>
      <c r="V187" s="34"/>
      <c r="W187" s="35" t="s">
        <v>66</v>
      </c>
      <c r="X187" s="647">
        <v>44</v>
      </c>
      <c r="Y187" s="648">
        <f t="shared" si="16"/>
        <v>45.36</v>
      </c>
      <c r="Z187" s="36">
        <f>IFERROR(IF(Y187=0,"",ROUNDUP(Y187/H187,0)*0.00502),"")</f>
        <v>0.13553999999999999</v>
      </c>
      <c r="AA187" s="56"/>
      <c r="AB187" s="57"/>
      <c r="AC187" s="253" t="s">
        <v>305</v>
      </c>
      <c r="AG187" s="64"/>
      <c r="AJ187" s="68"/>
      <c r="AK187" s="68">
        <v>0</v>
      </c>
      <c r="BB187" s="254" t="s">
        <v>1</v>
      </c>
      <c r="BM187" s="64">
        <f t="shared" si="17"/>
        <v>46.619047619047628</v>
      </c>
      <c r="BN187" s="64">
        <f t="shared" si="18"/>
        <v>48.060000000000009</v>
      </c>
      <c r="BO187" s="64">
        <f t="shared" si="19"/>
        <v>0.11192511192511194</v>
      </c>
      <c r="BP187" s="64">
        <f t="shared" si="20"/>
        <v>0.11538461538461539</v>
      </c>
    </row>
    <row r="188" spans="1:68" x14ac:dyDescent="0.2">
      <c r="A188" s="668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9"/>
      <c r="P188" s="663" t="s">
        <v>71</v>
      </c>
      <c r="Q188" s="664"/>
      <c r="R188" s="664"/>
      <c r="S188" s="664"/>
      <c r="T188" s="664"/>
      <c r="U188" s="664"/>
      <c r="V188" s="665"/>
      <c r="W188" s="37" t="s">
        <v>72</v>
      </c>
      <c r="X188" s="64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153.76190476190476</v>
      </c>
      <c r="Y188" s="64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157</v>
      </c>
      <c r="Z188" s="64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1.0601400000000001</v>
      </c>
      <c r="AA188" s="650"/>
      <c r="AB188" s="650"/>
      <c r="AC188" s="650"/>
    </row>
    <row r="189" spans="1:68" x14ac:dyDescent="0.2">
      <c r="A189" s="660"/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9"/>
      <c r="P189" s="663" t="s">
        <v>71</v>
      </c>
      <c r="Q189" s="664"/>
      <c r="R189" s="664"/>
      <c r="S189" s="664"/>
      <c r="T189" s="664"/>
      <c r="U189" s="664"/>
      <c r="V189" s="665"/>
      <c r="W189" s="37" t="s">
        <v>66</v>
      </c>
      <c r="X189" s="649">
        <f>IFERROR(SUM(X177:X187),"0")</f>
        <v>380</v>
      </c>
      <c r="Y189" s="649">
        <f>IFERROR(SUM(Y177:Y187),"0")</f>
        <v>387.52000000000004</v>
      </c>
      <c r="Z189" s="37"/>
      <c r="AA189" s="650"/>
      <c r="AB189" s="650"/>
      <c r="AC189" s="650"/>
    </row>
    <row r="190" spans="1:68" ht="14.25" hidden="1" customHeight="1" x14ac:dyDescent="0.25">
      <c r="A190" s="659" t="s">
        <v>73</v>
      </c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0"/>
      <c r="P190" s="660"/>
      <c r="Q190" s="660"/>
      <c r="R190" s="660"/>
      <c r="S190" s="660"/>
      <c r="T190" s="660"/>
      <c r="U190" s="660"/>
      <c r="V190" s="660"/>
      <c r="W190" s="660"/>
      <c r="X190" s="660"/>
      <c r="Y190" s="660"/>
      <c r="Z190" s="660"/>
      <c r="AA190" s="643"/>
      <c r="AB190" s="643"/>
      <c r="AC190" s="643"/>
    </row>
    <row r="191" spans="1:68" ht="16.5" hidden="1" customHeight="1" x14ac:dyDescent="0.25">
      <c r="A191" s="54" t="s">
        <v>322</v>
      </c>
      <c r="B191" s="54" t="s">
        <v>323</v>
      </c>
      <c r="C191" s="31">
        <v>4301052193</v>
      </c>
      <c r="D191" s="651">
        <v>4680115888395</v>
      </c>
      <c r="E191" s="652"/>
      <c r="F191" s="646">
        <v>0.42</v>
      </c>
      <c r="G191" s="32">
        <v>6</v>
      </c>
      <c r="H191" s="646">
        <v>2.52</v>
      </c>
      <c r="I191" s="64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6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4"/>
      <c r="R191" s="654"/>
      <c r="S191" s="654"/>
      <c r="T191" s="655"/>
      <c r="U191" s="34"/>
      <c r="V191" s="34"/>
      <c r="W191" s="35" t="s">
        <v>66</v>
      </c>
      <c r="X191" s="647">
        <v>0</v>
      </c>
      <c r="Y191" s="64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324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325</v>
      </c>
      <c r="B192" s="54" t="s">
        <v>326</v>
      </c>
      <c r="C192" s="31">
        <v>4301052191</v>
      </c>
      <c r="D192" s="651">
        <v>4680115888371</v>
      </c>
      <c r="E192" s="652"/>
      <c r="F192" s="646">
        <v>0.42</v>
      </c>
      <c r="G192" s="32">
        <v>6</v>
      </c>
      <c r="H192" s="646">
        <v>2.52</v>
      </c>
      <c r="I192" s="64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4"/>
      <c r="R192" s="654"/>
      <c r="S192" s="654"/>
      <c r="T192" s="655"/>
      <c r="U192" s="34"/>
      <c r="V192" s="34"/>
      <c r="W192" s="35" t="s">
        <v>66</v>
      </c>
      <c r="X192" s="647">
        <v>0</v>
      </c>
      <c r="Y192" s="6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327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328</v>
      </c>
      <c r="B193" s="54" t="s">
        <v>329</v>
      </c>
      <c r="C193" s="31">
        <v>4301052064</v>
      </c>
      <c r="D193" s="651">
        <v>4680115887459</v>
      </c>
      <c r="E193" s="652"/>
      <c r="F193" s="646">
        <v>0.3</v>
      </c>
      <c r="G193" s="32">
        <v>6</v>
      </c>
      <c r="H193" s="646">
        <v>1.8</v>
      </c>
      <c r="I193" s="64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9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4"/>
      <c r="R193" s="654"/>
      <c r="S193" s="654"/>
      <c r="T193" s="655"/>
      <c r="U193" s="34"/>
      <c r="V193" s="34"/>
      <c r="W193" s="35" t="s">
        <v>66</v>
      </c>
      <c r="X193" s="647">
        <v>0</v>
      </c>
      <c r="Y193" s="64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9" t="s">
        <v>330</v>
      </c>
      <c r="AG193" s="64"/>
      <c r="AJ193" s="68"/>
      <c r="AK193" s="68">
        <v>0</v>
      </c>
      <c r="BB193" s="260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68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9"/>
      <c r="P194" s="663" t="s">
        <v>71</v>
      </c>
      <c r="Q194" s="664"/>
      <c r="R194" s="664"/>
      <c r="S194" s="664"/>
      <c r="T194" s="664"/>
      <c r="U194" s="664"/>
      <c r="V194" s="665"/>
      <c r="W194" s="37" t="s">
        <v>72</v>
      </c>
      <c r="X194" s="649">
        <f>IFERROR(X191/H191,"0")+IFERROR(X192/H192,"0")+IFERROR(X193/H193,"0")</f>
        <v>0</v>
      </c>
      <c r="Y194" s="649">
        <f>IFERROR(Y191/H191,"0")+IFERROR(Y192/H192,"0")+IFERROR(Y193/H193,"0")</f>
        <v>0</v>
      </c>
      <c r="Z194" s="649">
        <f>IFERROR(IF(Z191="",0,Z191),"0")+IFERROR(IF(Z192="",0,Z192),"0")+IFERROR(IF(Z193="",0,Z193),"0")</f>
        <v>0</v>
      </c>
      <c r="AA194" s="650"/>
      <c r="AB194" s="650"/>
      <c r="AC194" s="650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9"/>
      <c r="P195" s="663" t="s">
        <v>71</v>
      </c>
      <c r="Q195" s="664"/>
      <c r="R195" s="664"/>
      <c r="S195" s="664"/>
      <c r="T195" s="664"/>
      <c r="U195" s="664"/>
      <c r="V195" s="665"/>
      <c r="W195" s="37" t="s">
        <v>66</v>
      </c>
      <c r="X195" s="649">
        <f>IFERROR(SUM(X191:X193),"0")</f>
        <v>0</v>
      </c>
      <c r="Y195" s="649">
        <f>IFERROR(SUM(Y191:Y193),"0")</f>
        <v>0</v>
      </c>
      <c r="Z195" s="37"/>
      <c r="AA195" s="650"/>
      <c r="AB195" s="650"/>
      <c r="AC195" s="650"/>
    </row>
    <row r="196" spans="1:68" ht="14.25" hidden="1" customHeight="1" x14ac:dyDescent="0.25">
      <c r="A196" s="659" t="s">
        <v>271</v>
      </c>
      <c r="B196" s="660"/>
      <c r="C196" s="660"/>
      <c r="D196" s="660"/>
      <c r="E196" s="660"/>
      <c r="F196" s="660"/>
      <c r="G196" s="660"/>
      <c r="H196" s="660"/>
      <c r="I196" s="660"/>
      <c r="J196" s="660"/>
      <c r="K196" s="660"/>
      <c r="L196" s="660"/>
      <c r="M196" s="660"/>
      <c r="N196" s="660"/>
      <c r="O196" s="660"/>
      <c r="P196" s="660"/>
      <c r="Q196" s="660"/>
      <c r="R196" s="660"/>
      <c r="S196" s="660"/>
      <c r="T196" s="660"/>
      <c r="U196" s="660"/>
      <c r="V196" s="660"/>
      <c r="W196" s="660"/>
      <c r="X196" s="660"/>
      <c r="Y196" s="660"/>
      <c r="Z196" s="660"/>
      <c r="AA196" s="643"/>
      <c r="AB196" s="643"/>
      <c r="AC196" s="643"/>
    </row>
    <row r="197" spans="1:68" ht="16.5" hidden="1" customHeight="1" x14ac:dyDescent="0.25">
      <c r="A197" s="54" t="s">
        <v>331</v>
      </c>
      <c r="B197" s="54" t="s">
        <v>332</v>
      </c>
      <c r="C197" s="31">
        <v>4301032058</v>
      </c>
      <c r="D197" s="651">
        <v>4680115889026</v>
      </c>
      <c r="E197" s="652"/>
      <c r="F197" s="646">
        <v>0.06</v>
      </c>
      <c r="G197" s="32">
        <v>18</v>
      </c>
      <c r="H197" s="646">
        <v>1.08</v>
      </c>
      <c r="I197" s="646">
        <v>1.36</v>
      </c>
      <c r="J197" s="32">
        <v>216</v>
      </c>
      <c r="K197" s="32" t="s">
        <v>333</v>
      </c>
      <c r="L197" s="32"/>
      <c r="M197" s="33" t="s">
        <v>275</v>
      </c>
      <c r="N197" s="33"/>
      <c r="O197" s="32">
        <v>60</v>
      </c>
      <c r="P197" s="80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4"/>
      <c r="R197" s="654"/>
      <c r="S197" s="654"/>
      <c r="T197" s="655"/>
      <c r="U197" s="34" t="s">
        <v>334</v>
      </c>
      <c r="V197" s="34"/>
      <c r="W197" s="35" t="s">
        <v>66</v>
      </c>
      <c r="X197" s="647">
        <v>0</v>
      </c>
      <c r="Y197" s="64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61" t="s">
        <v>335</v>
      </c>
      <c r="AG197" s="64"/>
      <c r="AJ197" s="68"/>
      <c r="AK197" s="68">
        <v>0</v>
      </c>
      <c r="BB197" s="262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68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9"/>
      <c r="P198" s="663" t="s">
        <v>71</v>
      </c>
      <c r="Q198" s="664"/>
      <c r="R198" s="664"/>
      <c r="S198" s="664"/>
      <c r="T198" s="664"/>
      <c r="U198" s="664"/>
      <c r="V198" s="665"/>
      <c r="W198" s="37" t="s">
        <v>72</v>
      </c>
      <c r="X198" s="649">
        <f>IFERROR(X197/H197,"0")</f>
        <v>0</v>
      </c>
      <c r="Y198" s="649">
        <f>IFERROR(Y197/H197,"0")</f>
        <v>0</v>
      </c>
      <c r="Z198" s="649">
        <f>IFERROR(IF(Z197="",0,Z197),"0")</f>
        <v>0</v>
      </c>
      <c r="AA198" s="650"/>
      <c r="AB198" s="650"/>
      <c r="AC198" s="650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9"/>
      <c r="P199" s="663" t="s">
        <v>71</v>
      </c>
      <c r="Q199" s="664"/>
      <c r="R199" s="664"/>
      <c r="S199" s="664"/>
      <c r="T199" s="664"/>
      <c r="U199" s="664"/>
      <c r="V199" s="665"/>
      <c r="W199" s="37" t="s">
        <v>66</v>
      </c>
      <c r="X199" s="649">
        <f>IFERROR(SUM(X197:X197),"0")</f>
        <v>0</v>
      </c>
      <c r="Y199" s="649">
        <f>IFERROR(SUM(Y197:Y197),"0")</f>
        <v>0</v>
      </c>
      <c r="Z199" s="37"/>
      <c r="AA199" s="650"/>
      <c r="AB199" s="650"/>
      <c r="AC199" s="650"/>
    </row>
    <row r="200" spans="1:68" ht="14.25" hidden="1" customHeight="1" x14ac:dyDescent="0.25">
      <c r="A200" s="659" t="s">
        <v>336</v>
      </c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660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43"/>
      <c r="AB200" s="643"/>
      <c r="AC200" s="643"/>
    </row>
    <row r="201" spans="1:68" ht="27" hidden="1" customHeight="1" x14ac:dyDescent="0.25">
      <c r="A201" s="54" t="s">
        <v>337</v>
      </c>
      <c r="B201" s="54" t="s">
        <v>338</v>
      </c>
      <c r="C201" s="31">
        <v>4301041009</v>
      </c>
      <c r="D201" s="651">
        <v>4680115889033</v>
      </c>
      <c r="E201" s="652"/>
      <c r="F201" s="646">
        <v>0.11</v>
      </c>
      <c r="G201" s="32">
        <v>15</v>
      </c>
      <c r="H201" s="646">
        <v>1.65</v>
      </c>
      <c r="I201" s="646">
        <v>1.9</v>
      </c>
      <c r="J201" s="32">
        <v>216</v>
      </c>
      <c r="K201" s="32" t="s">
        <v>333</v>
      </c>
      <c r="L201" s="32"/>
      <c r="M201" s="33" t="s">
        <v>275</v>
      </c>
      <c r="N201" s="33"/>
      <c r="O201" s="32">
        <v>60</v>
      </c>
      <c r="P201" s="9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54"/>
      <c r="R201" s="654"/>
      <c r="S201" s="654"/>
      <c r="T201" s="655"/>
      <c r="U201" s="34" t="s">
        <v>334</v>
      </c>
      <c r="V201" s="34"/>
      <c r="W201" s="35" t="s">
        <v>66</v>
      </c>
      <c r="X201" s="647">
        <v>0</v>
      </c>
      <c r="Y201" s="648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3" t="s">
        <v>339</v>
      </c>
      <c r="AG201" s="64"/>
      <c r="AJ201" s="68"/>
      <c r="AK201" s="68">
        <v>0</v>
      </c>
      <c r="BB201" s="26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68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9"/>
      <c r="P202" s="663" t="s">
        <v>71</v>
      </c>
      <c r="Q202" s="664"/>
      <c r="R202" s="664"/>
      <c r="S202" s="664"/>
      <c r="T202" s="664"/>
      <c r="U202" s="664"/>
      <c r="V202" s="665"/>
      <c r="W202" s="37" t="s">
        <v>72</v>
      </c>
      <c r="X202" s="649">
        <f>IFERROR(X201/H201,"0")</f>
        <v>0</v>
      </c>
      <c r="Y202" s="649">
        <f>IFERROR(Y201/H201,"0")</f>
        <v>0</v>
      </c>
      <c r="Z202" s="649">
        <f>IFERROR(IF(Z201="",0,Z201),"0")</f>
        <v>0</v>
      </c>
      <c r="AA202" s="650"/>
      <c r="AB202" s="650"/>
      <c r="AC202" s="650"/>
    </row>
    <row r="203" spans="1:68" hidden="1" x14ac:dyDescent="0.2">
      <c r="A203" s="660"/>
      <c r="B203" s="660"/>
      <c r="C203" s="660"/>
      <c r="D203" s="660"/>
      <c r="E203" s="660"/>
      <c r="F203" s="660"/>
      <c r="G203" s="660"/>
      <c r="H203" s="660"/>
      <c r="I203" s="660"/>
      <c r="J203" s="660"/>
      <c r="K203" s="660"/>
      <c r="L203" s="660"/>
      <c r="M203" s="660"/>
      <c r="N203" s="660"/>
      <c r="O203" s="669"/>
      <c r="P203" s="663" t="s">
        <v>71</v>
      </c>
      <c r="Q203" s="664"/>
      <c r="R203" s="664"/>
      <c r="S203" s="664"/>
      <c r="T203" s="664"/>
      <c r="U203" s="664"/>
      <c r="V203" s="665"/>
      <c r="W203" s="37" t="s">
        <v>66</v>
      </c>
      <c r="X203" s="649">
        <f>IFERROR(SUM(X201:X201),"0")</f>
        <v>0</v>
      </c>
      <c r="Y203" s="649">
        <f>IFERROR(SUM(Y201:Y201),"0")</f>
        <v>0</v>
      </c>
      <c r="Z203" s="37"/>
      <c r="AA203" s="650"/>
      <c r="AB203" s="650"/>
      <c r="AC203" s="650"/>
    </row>
    <row r="204" spans="1:68" ht="27.75" hidden="1" customHeight="1" x14ac:dyDescent="0.2">
      <c r="A204" s="661" t="s">
        <v>340</v>
      </c>
      <c r="B204" s="662"/>
      <c r="C204" s="662"/>
      <c r="D204" s="662"/>
      <c r="E204" s="662"/>
      <c r="F204" s="662"/>
      <c r="G204" s="662"/>
      <c r="H204" s="662"/>
      <c r="I204" s="662"/>
      <c r="J204" s="662"/>
      <c r="K204" s="662"/>
      <c r="L204" s="662"/>
      <c r="M204" s="662"/>
      <c r="N204" s="662"/>
      <c r="O204" s="662"/>
      <c r="P204" s="662"/>
      <c r="Q204" s="662"/>
      <c r="R204" s="662"/>
      <c r="S204" s="662"/>
      <c r="T204" s="662"/>
      <c r="U204" s="662"/>
      <c r="V204" s="662"/>
      <c r="W204" s="662"/>
      <c r="X204" s="662"/>
      <c r="Y204" s="662"/>
      <c r="Z204" s="662"/>
      <c r="AA204" s="48"/>
      <c r="AB204" s="48"/>
      <c r="AC204" s="48"/>
    </row>
    <row r="205" spans="1:68" ht="16.5" hidden="1" customHeight="1" x14ac:dyDescent="0.25">
      <c r="A205" s="672" t="s">
        <v>341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42"/>
      <c r="AB205" s="642"/>
      <c r="AC205" s="642"/>
    </row>
    <row r="206" spans="1:68" ht="14.25" hidden="1" customHeight="1" x14ac:dyDescent="0.25">
      <c r="A206" s="659" t="s">
        <v>110</v>
      </c>
      <c r="B206" s="660"/>
      <c r="C206" s="660"/>
      <c r="D206" s="660"/>
      <c r="E206" s="660"/>
      <c r="F206" s="660"/>
      <c r="G206" s="660"/>
      <c r="H206" s="660"/>
      <c r="I206" s="660"/>
      <c r="J206" s="660"/>
      <c r="K206" s="660"/>
      <c r="L206" s="660"/>
      <c r="M206" s="660"/>
      <c r="N206" s="660"/>
      <c r="O206" s="660"/>
      <c r="P206" s="660"/>
      <c r="Q206" s="660"/>
      <c r="R206" s="660"/>
      <c r="S206" s="660"/>
      <c r="T206" s="660"/>
      <c r="U206" s="660"/>
      <c r="V206" s="660"/>
      <c r="W206" s="660"/>
      <c r="X206" s="660"/>
      <c r="Y206" s="660"/>
      <c r="Z206" s="660"/>
      <c r="AA206" s="643"/>
      <c r="AB206" s="643"/>
      <c r="AC206" s="643"/>
    </row>
    <row r="207" spans="1:68" ht="27" hidden="1" customHeight="1" x14ac:dyDescent="0.25">
      <c r="A207" s="54" t="s">
        <v>342</v>
      </c>
      <c r="B207" s="54" t="s">
        <v>343</v>
      </c>
      <c r="C207" s="31">
        <v>4301011223</v>
      </c>
      <c r="D207" s="651">
        <v>4607091383423</v>
      </c>
      <c r="E207" s="652"/>
      <c r="F207" s="646">
        <v>1.35</v>
      </c>
      <c r="G207" s="32">
        <v>8</v>
      </c>
      <c r="H207" s="646">
        <v>10.8</v>
      </c>
      <c r="I207" s="646">
        <v>11.305999999999999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54"/>
      <c r="R207" s="654"/>
      <c r="S207" s="654"/>
      <c r="T207" s="655"/>
      <c r="U207" s="34"/>
      <c r="V207" s="34"/>
      <c r="W207" s="35" t="s">
        <v>66</v>
      </c>
      <c r="X207" s="647">
        <v>0</v>
      </c>
      <c r="Y207" s="648">
        <f t="shared" ref="Y207:Y213" si="21">IFERROR(IF(X207="",0,CEILING((X207/$H207),1)*$H207),"")</f>
        <v>0</v>
      </c>
      <c r="Z207" s="36" t="str">
        <f t="shared" ref="Z207:Z213" si="22">IFERROR(IF(Y207=0,"",ROUNDUP(Y207/H207,0)*0.01898),"")</f>
        <v/>
      </c>
      <c r="AA207" s="56"/>
      <c r="AB207" s="57"/>
      <c r="AC207" s="265" t="s">
        <v>115</v>
      </c>
      <c r="AG207" s="64"/>
      <c r="AJ207" s="68"/>
      <c r="AK207" s="68">
        <v>0</v>
      </c>
      <c r="BB207" s="266" t="s">
        <v>1</v>
      </c>
      <c r="BM207" s="64">
        <f t="shared" ref="BM207:BM213" si="23">IFERROR(X207*I207/H207,"0")</f>
        <v>0</v>
      </c>
      <c r="BN207" s="64">
        <f t="shared" ref="BN207:BN213" si="24">IFERROR(Y207*I207/H207,"0")</f>
        <v>0</v>
      </c>
      <c r="BO207" s="64">
        <f t="shared" ref="BO207:BO213" si="25">IFERROR(1/J207*(X207/H207),"0")</f>
        <v>0</v>
      </c>
      <c r="BP207" s="64">
        <f t="shared" ref="BP207:BP213" si="26">IFERROR(1/J207*(Y207/H207),"0")</f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4301012340</v>
      </c>
      <c r="D208" s="651">
        <v>4680115888760</v>
      </c>
      <c r="E208" s="652"/>
      <c r="F208" s="646">
        <v>1.4</v>
      </c>
      <c r="G208" s="32">
        <v>6</v>
      </c>
      <c r="H208" s="646">
        <v>8.4</v>
      </c>
      <c r="I208" s="646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54"/>
      <c r="R208" s="654"/>
      <c r="S208" s="654"/>
      <c r="T208" s="655"/>
      <c r="U208" s="34"/>
      <c r="V208" s="34"/>
      <c r="W208" s="35" t="s">
        <v>66</v>
      </c>
      <c r="X208" s="647">
        <v>0</v>
      </c>
      <c r="Y208" s="648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4301012341</v>
      </c>
      <c r="D209" s="651">
        <v>4680115888807</v>
      </c>
      <c r="E209" s="652"/>
      <c r="F209" s="646">
        <v>1.4</v>
      </c>
      <c r="G209" s="32">
        <v>6</v>
      </c>
      <c r="H209" s="646">
        <v>8.4</v>
      </c>
      <c r="I209" s="646">
        <v>8.81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54"/>
      <c r="R209" s="654"/>
      <c r="S209" s="654"/>
      <c r="T209" s="655"/>
      <c r="U209" s="34"/>
      <c r="V209" s="34"/>
      <c r="W209" s="35" t="s">
        <v>66</v>
      </c>
      <c r="X209" s="647">
        <v>0</v>
      </c>
      <c r="Y209" s="648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4301012342</v>
      </c>
      <c r="D210" s="651">
        <v>4680115888852</v>
      </c>
      <c r="E210" s="652"/>
      <c r="F210" s="646">
        <v>0.9</v>
      </c>
      <c r="G210" s="32">
        <v>6</v>
      </c>
      <c r="H210" s="646">
        <v>5.4</v>
      </c>
      <c r="I210" s="646">
        <v>5.81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54"/>
      <c r="R210" s="654"/>
      <c r="S210" s="654"/>
      <c r="T210" s="655"/>
      <c r="U210" s="34"/>
      <c r="V210" s="34"/>
      <c r="W210" s="35" t="s">
        <v>66</v>
      </c>
      <c r="X210" s="647">
        <v>0</v>
      </c>
      <c r="Y210" s="648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37.5" hidden="1" customHeight="1" x14ac:dyDescent="0.25">
      <c r="A211" s="54" t="s">
        <v>353</v>
      </c>
      <c r="B211" s="54" t="s">
        <v>354</v>
      </c>
      <c r="C211" s="31">
        <v>4301012370</v>
      </c>
      <c r="D211" s="651">
        <v>4680115886957</v>
      </c>
      <c r="E211" s="652"/>
      <c r="F211" s="646">
        <v>1.35</v>
      </c>
      <c r="G211" s="32">
        <v>8</v>
      </c>
      <c r="H211" s="646">
        <v>10.8</v>
      </c>
      <c r="I211" s="646">
        <v>11.29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54"/>
      <c r="R211" s="654"/>
      <c r="S211" s="654"/>
      <c r="T211" s="655"/>
      <c r="U211" s="34"/>
      <c r="V211" s="34"/>
      <c r="W211" s="35" t="s">
        <v>66</v>
      </c>
      <c r="X211" s="647">
        <v>0</v>
      </c>
      <c r="Y211" s="648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4301012098</v>
      </c>
      <c r="D212" s="651">
        <v>4680115885660</v>
      </c>
      <c r="E212" s="652"/>
      <c r="F212" s="646">
        <v>1.35</v>
      </c>
      <c r="G212" s="32">
        <v>8</v>
      </c>
      <c r="H212" s="646">
        <v>10.8</v>
      </c>
      <c r="I212" s="646">
        <v>11.21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54"/>
      <c r="R212" s="654"/>
      <c r="S212" s="654"/>
      <c r="T212" s="655"/>
      <c r="U212" s="34"/>
      <c r="V212" s="34"/>
      <c r="W212" s="35" t="s">
        <v>66</v>
      </c>
      <c r="X212" s="647">
        <v>0</v>
      </c>
      <c r="Y212" s="648">
        <f t="shared" si="21"/>
        <v>0</v>
      </c>
      <c r="Z212" s="36" t="str">
        <f t="shared" si="22"/>
        <v/>
      </c>
      <c r="AA212" s="56"/>
      <c r="AB212" s="57"/>
      <c r="AC212" s="275" t="s">
        <v>358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t="27" hidden="1" customHeight="1" x14ac:dyDescent="0.25">
      <c r="A213" s="54" t="s">
        <v>359</v>
      </c>
      <c r="B213" s="54" t="s">
        <v>360</v>
      </c>
      <c r="C213" s="31">
        <v>4301012369</v>
      </c>
      <c r="D213" s="651">
        <v>4680115886773</v>
      </c>
      <c r="E213" s="652"/>
      <c r="F213" s="646">
        <v>0.9</v>
      </c>
      <c r="G213" s="32">
        <v>10</v>
      </c>
      <c r="H213" s="646">
        <v>9</v>
      </c>
      <c r="I213" s="646">
        <v>9.51</v>
      </c>
      <c r="J213" s="32">
        <v>64</v>
      </c>
      <c r="K213" s="32" t="s">
        <v>113</v>
      </c>
      <c r="L213" s="32"/>
      <c r="M213" s="33" t="s">
        <v>77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54"/>
      <c r="R213" s="654"/>
      <c r="S213" s="654"/>
      <c r="T213" s="655"/>
      <c r="U213" s="34"/>
      <c r="V213" s="34"/>
      <c r="W213" s="35" t="s">
        <v>66</v>
      </c>
      <c r="X213" s="647">
        <v>0</v>
      </c>
      <c r="Y213" s="648">
        <f t="shared" si="21"/>
        <v>0</v>
      </c>
      <c r="Z213" s="36" t="str">
        <f t="shared" si="22"/>
        <v/>
      </c>
      <c r="AA213" s="56"/>
      <c r="AB213" s="57"/>
      <c r="AC213" s="277" t="s">
        <v>361</v>
      </c>
      <c r="AG213" s="64"/>
      <c r="AJ213" s="68"/>
      <c r="AK213" s="68">
        <v>0</v>
      </c>
      <c r="BB213" s="278" t="s">
        <v>1</v>
      </c>
      <c r="BM213" s="64">
        <f t="shared" si="23"/>
        <v>0</v>
      </c>
      <c r="BN213" s="64">
        <f t="shared" si="24"/>
        <v>0</v>
      </c>
      <c r="BO213" s="64">
        <f t="shared" si="25"/>
        <v>0</v>
      </c>
      <c r="BP213" s="64">
        <f t="shared" si="26"/>
        <v>0</v>
      </c>
    </row>
    <row r="214" spans="1:68" hidden="1" x14ac:dyDescent="0.2">
      <c r="A214" s="668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9"/>
      <c r="P214" s="663" t="s">
        <v>71</v>
      </c>
      <c r="Q214" s="664"/>
      <c r="R214" s="664"/>
      <c r="S214" s="664"/>
      <c r="T214" s="664"/>
      <c r="U214" s="664"/>
      <c r="V214" s="665"/>
      <c r="W214" s="37" t="s">
        <v>72</v>
      </c>
      <c r="X214" s="649">
        <f>IFERROR(X207/H207,"0")+IFERROR(X208/H208,"0")+IFERROR(X209/H209,"0")+IFERROR(X210/H210,"0")+IFERROR(X211/H211,"0")+IFERROR(X212/H212,"0")+IFERROR(X213/H213,"0")</f>
        <v>0</v>
      </c>
      <c r="Y214" s="649">
        <f>IFERROR(Y207/H207,"0")+IFERROR(Y208/H208,"0")+IFERROR(Y209/H209,"0")+IFERROR(Y210/H210,"0")+IFERROR(Y211/H211,"0")+IFERROR(Y212/H212,"0")+IFERROR(Y213/H213,"0")</f>
        <v>0</v>
      </c>
      <c r="Z214" s="649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50"/>
      <c r="AB214" s="650"/>
      <c r="AC214" s="650"/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9"/>
      <c r="P215" s="663" t="s">
        <v>71</v>
      </c>
      <c r="Q215" s="664"/>
      <c r="R215" s="664"/>
      <c r="S215" s="664"/>
      <c r="T215" s="664"/>
      <c r="U215" s="664"/>
      <c r="V215" s="665"/>
      <c r="W215" s="37" t="s">
        <v>66</v>
      </c>
      <c r="X215" s="649">
        <f>IFERROR(SUM(X207:X213),"0")</f>
        <v>0</v>
      </c>
      <c r="Y215" s="649">
        <f>IFERROR(SUM(Y207:Y213),"0")</f>
        <v>0</v>
      </c>
      <c r="Z215" s="37"/>
      <c r="AA215" s="650"/>
      <c r="AB215" s="650"/>
      <c r="AC215" s="650"/>
    </row>
    <row r="216" spans="1:68" ht="16.5" hidden="1" customHeight="1" x14ac:dyDescent="0.25">
      <c r="A216" s="672" t="s">
        <v>362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42"/>
      <c r="AB216" s="642"/>
      <c r="AC216" s="642"/>
    </row>
    <row r="217" spans="1:68" ht="14.25" hidden="1" customHeight="1" x14ac:dyDescent="0.25">
      <c r="A217" s="659" t="s">
        <v>147</v>
      </c>
      <c r="B217" s="660"/>
      <c r="C217" s="660"/>
      <c r="D217" s="660"/>
      <c r="E217" s="660"/>
      <c r="F217" s="660"/>
      <c r="G217" s="660"/>
      <c r="H217" s="660"/>
      <c r="I217" s="660"/>
      <c r="J217" s="660"/>
      <c r="K217" s="660"/>
      <c r="L217" s="660"/>
      <c r="M217" s="660"/>
      <c r="N217" s="660"/>
      <c r="O217" s="660"/>
      <c r="P217" s="660"/>
      <c r="Q217" s="660"/>
      <c r="R217" s="660"/>
      <c r="S217" s="660"/>
      <c r="T217" s="660"/>
      <c r="U217" s="660"/>
      <c r="V217" s="660"/>
      <c r="W217" s="660"/>
      <c r="X217" s="660"/>
      <c r="Y217" s="660"/>
      <c r="Z217" s="660"/>
      <c r="AA217" s="643"/>
      <c r="AB217" s="643"/>
      <c r="AC217" s="643"/>
    </row>
    <row r="218" spans="1:68" ht="27" hidden="1" customHeight="1" x14ac:dyDescent="0.25">
      <c r="A218" s="54" t="s">
        <v>363</v>
      </c>
      <c r="B218" s="54" t="s">
        <v>364</v>
      </c>
      <c r="C218" s="31">
        <v>4301020323</v>
      </c>
      <c r="D218" s="651">
        <v>4680115886223</v>
      </c>
      <c r="E218" s="652"/>
      <c r="F218" s="646">
        <v>0.33</v>
      </c>
      <c r="G218" s="32">
        <v>6</v>
      </c>
      <c r="H218" s="646">
        <v>1.98</v>
      </c>
      <c r="I218" s="646">
        <v>2.08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40</v>
      </c>
      <c r="P218" s="10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54"/>
      <c r="R218" s="654"/>
      <c r="S218" s="654"/>
      <c r="T218" s="655"/>
      <c r="U218" s="34"/>
      <c r="V218" s="34"/>
      <c r="W218" s="35" t="s">
        <v>66</v>
      </c>
      <c r="X218" s="647">
        <v>0</v>
      </c>
      <c r="Y218" s="648">
        <f>IFERROR(IF(X218="",0,CEILING((X218/$H218),1)*$H218),"")</f>
        <v>0</v>
      </c>
      <c r="Z218" s="36" t="str">
        <f>IFERROR(IF(Y218=0,"",ROUNDUP(Y218/H218,0)*0.00502),"")</f>
        <v/>
      </c>
      <c r="AA218" s="56"/>
      <c r="AB218" s="57"/>
      <c r="AC218" s="279" t="s">
        <v>365</v>
      </c>
      <c r="AG218" s="64"/>
      <c r="AJ218" s="68"/>
      <c r="AK218" s="68">
        <v>0</v>
      </c>
      <c r="BB218" s="280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idden="1" x14ac:dyDescent="0.2">
      <c r="A219" s="668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9"/>
      <c r="P219" s="663" t="s">
        <v>71</v>
      </c>
      <c r="Q219" s="664"/>
      <c r="R219" s="664"/>
      <c r="S219" s="664"/>
      <c r="T219" s="664"/>
      <c r="U219" s="664"/>
      <c r="V219" s="665"/>
      <c r="W219" s="37" t="s">
        <v>72</v>
      </c>
      <c r="X219" s="649">
        <f>IFERROR(X218/H218,"0")</f>
        <v>0</v>
      </c>
      <c r="Y219" s="649">
        <f>IFERROR(Y218/H218,"0")</f>
        <v>0</v>
      </c>
      <c r="Z219" s="649">
        <f>IFERROR(IF(Z218="",0,Z218),"0")</f>
        <v>0</v>
      </c>
      <c r="AA219" s="650"/>
      <c r="AB219" s="650"/>
      <c r="AC219" s="650"/>
    </row>
    <row r="220" spans="1:68" hidden="1" x14ac:dyDescent="0.2">
      <c r="A220" s="660"/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9"/>
      <c r="P220" s="663" t="s">
        <v>71</v>
      </c>
      <c r="Q220" s="664"/>
      <c r="R220" s="664"/>
      <c r="S220" s="664"/>
      <c r="T220" s="664"/>
      <c r="U220" s="664"/>
      <c r="V220" s="665"/>
      <c r="W220" s="37" t="s">
        <v>66</v>
      </c>
      <c r="X220" s="649">
        <f>IFERROR(SUM(X218:X218),"0")</f>
        <v>0</v>
      </c>
      <c r="Y220" s="649">
        <f>IFERROR(SUM(Y218:Y218),"0")</f>
        <v>0</v>
      </c>
      <c r="Z220" s="37"/>
      <c r="AA220" s="650"/>
      <c r="AB220" s="650"/>
      <c r="AC220" s="650"/>
    </row>
    <row r="221" spans="1:68" ht="14.25" hidden="1" customHeight="1" x14ac:dyDescent="0.25">
      <c r="A221" s="659" t="s">
        <v>61</v>
      </c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60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43"/>
      <c r="AB221" s="643"/>
      <c r="AC221" s="643"/>
    </row>
    <row r="222" spans="1:68" ht="27" hidden="1" customHeight="1" x14ac:dyDescent="0.25">
      <c r="A222" s="54" t="s">
        <v>366</v>
      </c>
      <c r="B222" s="54" t="s">
        <v>367</v>
      </c>
      <c r="C222" s="31">
        <v>4301031191</v>
      </c>
      <c r="D222" s="651">
        <v>4680115880993</v>
      </c>
      <c r="E222" s="652"/>
      <c r="F222" s="646">
        <v>0.7</v>
      </c>
      <c r="G222" s="32">
        <v>6</v>
      </c>
      <c r="H222" s="646">
        <v>4.2</v>
      </c>
      <c r="I222" s="646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54"/>
      <c r="R222" s="654"/>
      <c r="S222" s="654"/>
      <c r="T222" s="655"/>
      <c r="U222" s="34"/>
      <c r="V222" s="34"/>
      <c r="W222" s="35" t="s">
        <v>66</v>
      </c>
      <c r="X222" s="647">
        <v>0</v>
      </c>
      <c r="Y222" s="648">
        <f t="shared" ref="Y222:Y236" si="27">IFERROR(IF(X222="",0,CEILING((X222/$H222),1)*$H222),"")</f>
        <v>0</v>
      </c>
      <c r="Z222" s="36" t="str">
        <f>IFERROR(IF(Y222=0,"",ROUNDUP(Y222/H222,0)*0.00902),"")</f>
        <v/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ref="BM222:BM236" si="28">IFERROR(X222*I222/H222,"0")</f>
        <v>0</v>
      </c>
      <c r="BN222" s="64">
        <f t="shared" ref="BN222:BN236" si="29">IFERROR(Y222*I222/H222,"0")</f>
        <v>0</v>
      </c>
      <c r="BO222" s="64">
        <f t="shared" ref="BO222:BO236" si="30">IFERROR(1/J222*(X222/H222),"0")</f>
        <v>0</v>
      </c>
      <c r="BP222" s="64">
        <f t="shared" ref="BP222:BP236" si="31">IFERROR(1/J222*(Y222/H222),"0")</f>
        <v>0</v>
      </c>
    </row>
    <row r="223" spans="1:68" ht="27" hidden="1" customHeight="1" x14ac:dyDescent="0.25">
      <c r="A223" s="54" t="s">
        <v>369</v>
      </c>
      <c r="B223" s="54" t="s">
        <v>370</v>
      </c>
      <c r="C223" s="31">
        <v>4301031204</v>
      </c>
      <c r="D223" s="651">
        <v>4680115881761</v>
      </c>
      <c r="E223" s="652"/>
      <c r="F223" s="646">
        <v>0.7</v>
      </c>
      <c r="G223" s="32">
        <v>6</v>
      </c>
      <c r="H223" s="646">
        <v>4.2</v>
      </c>
      <c r="I223" s="646">
        <v>4.45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54"/>
      <c r="R223" s="654"/>
      <c r="S223" s="654"/>
      <c r="T223" s="655"/>
      <c r="U223" s="34"/>
      <c r="V223" s="34"/>
      <c r="W223" s="35" t="s">
        <v>66</v>
      </c>
      <c r="X223" s="647">
        <v>0</v>
      </c>
      <c r="Y223" s="648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372</v>
      </c>
      <c r="B224" s="54" t="s">
        <v>373</v>
      </c>
      <c r="C224" s="31">
        <v>4301031201</v>
      </c>
      <c r="D224" s="651">
        <v>4680115881563</v>
      </c>
      <c r="E224" s="652"/>
      <c r="F224" s="646">
        <v>0.7</v>
      </c>
      <c r="G224" s="32">
        <v>6</v>
      </c>
      <c r="H224" s="646">
        <v>4.2</v>
      </c>
      <c r="I224" s="646">
        <v>4.3899999999999997</v>
      </c>
      <c r="J224" s="32">
        <v>132</v>
      </c>
      <c r="K224" s="32" t="s">
        <v>122</v>
      </c>
      <c r="L224" s="32"/>
      <c r="M224" s="33" t="s">
        <v>65</v>
      </c>
      <c r="N224" s="33"/>
      <c r="O224" s="32">
        <v>40</v>
      </c>
      <c r="P224" s="8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54"/>
      <c r="R224" s="654"/>
      <c r="S224" s="654"/>
      <c r="T224" s="655"/>
      <c r="U224" s="34"/>
      <c r="V224" s="34"/>
      <c r="W224" s="35" t="s">
        <v>66</v>
      </c>
      <c r="X224" s="647">
        <v>104</v>
      </c>
      <c r="Y224" s="648">
        <f t="shared" si="27"/>
        <v>105</v>
      </c>
      <c r="Z224" s="36">
        <f>IFERROR(IF(Y224=0,"",ROUNDUP(Y224/H224,0)*0.00902),"")</f>
        <v>0.22550000000000001</v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 t="shared" si="28"/>
        <v>108.70476190476188</v>
      </c>
      <c r="BN224" s="64">
        <f t="shared" si="29"/>
        <v>109.74999999999999</v>
      </c>
      <c r="BO224" s="64">
        <f t="shared" si="30"/>
        <v>0.18759018759018758</v>
      </c>
      <c r="BP224" s="64">
        <f t="shared" si="31"/>
        <v>0.18939393939393939</v>
      </c>
    </row>
    <row r="225" spans="1:68" ht="37.5" hidden="1" customHeight="1" x14ac:dyDescent="0.25">
      <c r="A225" s="54" t="s">
        <v>375</v>
      </c>
      <c r="B225" s="54" t="s">
        <v>376</v>
      </c>
      <c r="C225" s="31">
        <v>4301031447</v>
      </c>
      <c r="D225" s="651">
        <v>4680115887565</v>
      </c>
      <c r="E225" s="652"/>
      <c r="F225" s="646">
        <v>0.08</v>
      </c>
      <c r="G225" s="32">
        <v>10</v>
      </c>
      <c r="H225" s="646">
        <v>0.8</v>
      </c>
      <c r="I225" s="646">
        <v>0.93</v>
      </c>
      <c r="J225" s="32">
        <v>252</v>
      </c>
      <c r="K225" s="32" t="s">
        <v>64</v>
      </c>
      <c r="L225" s="32"/>
      <c r="M225" s="33" t="s">
        <v>65</v>
      </c>
      <c r="N225" s="33"/>
      <c r="O225" s="32">
        <v>45</v>
      </c>
      <c r="P225" s="91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54"/>
      <c r="R225" s="654"/>
      <c r="S225" s="654"/>
      <c r="T225" s="655"/>
      <c r="U225" s="34"/>
      <c r="V225" s="34"/>
      <c r="W225" s="35" t="s">
        <v>66</v>
      </c>
      <c r="X225" s="647">
        <v>0</v>
      </c>
      <c r="Y225" s="648">
        <f t="shared" si="27"/>
        <v>0</v>
      </c>
      <c r="Z225" s="36" t="str">
        <f>IFERROR(IF(Y225=0,"",ROUNDUP(Y225/H225,0)*0.00556),"")</f>
        <v/>
      </c>
      <c r="AA225" s="56"/>
      <c r="AB225" s="57"/>
      <c r="AC225" s="287" t="s">
        <v>377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4301031199</v>
      </c>
      <c r="D226" s="651">
        <v>4680115880986</v>
      </c>
      <c r="E226" s="652"/>
      <c r="F226" s="646">
        <v>0.35</v>
      </c>
      <c r="G226" s="32">
        <v>6</v>
      </c>
      <c r="H226" s="646">
        <v>2.1</v>
      </c>
      <c r="I226" s="646">
        <v>2.23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9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54"/>
      <c r="R226" s="654"/>
      <c r="S226" s="654"/>
      <c r="T226" s="655"/>
      <c r="U226" s="34"/>
      <c r="V226" s="34"/>
      <c r="W226" s="35" t="s">
        <v>66</v>
      </c>
      <c r="X226" s="647">
        <v>0</v>
      </c>
      <c r="Y226" s="648">
        <f t="shared" si="27"/>
        <v>0</v>
      </c>
      <c r="Z226" s="36" t="str">
        <f t="shared" ref="Z226:Z231" si="32">IFERROR(IF(Y226=0,"",ROUNDUP(Y226/H226,0)*0.00502),"")</f>
        <v/>
      </c>
      <c r="AA226" s="56"/>
      <c r="AB226" s="57"/>
      <c r="AC226" s="289" t="s">
        <v>368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380</v>
      </c>
      <c r="B227" s="54" t="s">
        <v>381</v>
      </c>
      <c r="C227" s="31">
        <v>4301031443</v>
      </c>
      <c r="D227" s="651">
        <v>4680115887213</v>
      </c>
      <c r="E227" s="652"/>
      <c r="F227" s="646">
        <v>0.3</v>
      </c>
      <c r="G227" s="32">
        <v>6</v>
      </c>
      <c r="H227" s="646">
        <v>1.8</v>
      </c>
      <c r="I227" s="646">
        <v>1.9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54"/>
      <c r="R227" s="654"/>
      <c r="S227" s="654"/>
      <c r="T227" s="655"/>
      <c r="U227" s="34"/>
      <c r="V227" s="34"/>
      <c r="W227" s="35" t="s">
        <v>66</v>
      </c>
      <c r="X227" s="647">
        <v>0</v>
      </c>
      <c r="Y227" s="648">
        <f t="shared" si="27"/>
        <v>0</v>
      </c>
      <c r="Z227" s="36" t="str">
        <f t="shared" si="32"/>
        <v/>
      </c>
      <c r="AA227" s="56"/>
      <c r="AB227" s="57"/>
      <c r="AC227" s="291" t="s">
        <v>382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383</v>
      </c>
      <c r="B228" s="54" t="s">
        <v>384</v>
      </c>
      <c r="C228" s="31">
        <v>4301031205</v>
      </c>
      <c r="D228" s="651">
        <v>4680115881785</v>
      </c>
      <c r="E228" s="652"/>
      <c r="F228" s="646">
        <v>0.35</v>
      </c>
      <c r="G228" s="32">
        <v>6</v>
      </c>
      <c r="H228" s="646">
        <v>2.1</v>
      </c>
      <c r="I228" s="646">
        <v>2.23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54"/>
      <c r="R228" s="654"/>
      <c r="S228" s="654"/>
      <c r="T228" s="655"/>
      <c r="U228" s="34"/>
      <c r="V228" s="34"/>
      <c r="W228" s="35" t="s">
        <v>66</v>
      </c>
      <c r="X228" s="647">
        <v>0</v>
      </c>
      <c r="Y228" s="648">
        <f t="shared" si="27"/>
        <v>0</v>
      </c>
      <c r="Z228" s="36" t="str">
        <f t="shared" si="32"/>
        <v/>
      </c>
      <c r="AA228" s="56"/>
      <c r="AB228" s="57"/>
      <c r="AC228" s="293" t="s">
        <v>371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385</v>
      </c>
      <c r="B229" s="54" t="s">
        <v>386</v>
      </c>
      <c r="C229" s="31">
        <v>4301031499</v>
      </c>
      <c r="D229" s="651">
        <v>4680115888432</v>
      </c>
      <c r="E229" s="652"/>
      <c r="F229" s="646">
        <v>0.3</v>
      </c>
      <c r="G229" s="32">
        <v>6</v>
      </c>
      <c r="H229" s="646">
        <v>1.8</v>
      </c>
      <c r="I229" s="646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54"/>
      <c r="R229" s="654"/>
      <c r="S229" s="654"/>
      <c r="T229" s="655"/>
      <c r="U229" s="34"/>
      <c r="V229" s="34"/>
      <c r="W229" s="35" t="s">
        <v>66</v>
      </c>
      <c r="X229" s="647">
        <v>0</v>
      </c>
      <c r="Y229" s="648">
        <f t="shared" si="27"/>
        <v>0</v>
      </c>
      <c r="Z229" s="36" t="str">
        <f t="shared" si="32"/>
        <v/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388</v>
      </c>
      <c r="B230" s="54" t="s">
        <v>389</v>
      </c>
      <c r="C230" s="31">
        <v>4301031427</v>
      </c>
      <c r="D230" s="651">
        <v>4680115888104</v>
      </c>
      <c r="E230" s="652"/>
      <c r="F230" s="646">
        <v>0.35</v>
      </c>
      <c r="G230" s="32">
        <v>6</v>
      </c>
      <c r="H230" s="646">
        <v>2.1</v>
      </c>
      <c r="I230" s="646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54"/>
      <c r="R230" s="654"/>
      <c r="S230" s="654"/>
      <c r="T230" s="655"/>
      <c r="U230" s="34"/>
      <c r="V230" s="34"/>
      <c r="W230" s="35" t="s">
        <v>66</v>
      </c>
      <c r="X230" s="647">
        <v>0</v>
      </c>
      <c r="Y230" s="648">
        <f t="shared" si="27"/>
        <v>0</v>
      </c>
      <c r="Z230" s="36" t="str">
        <f t="shared" si="32"/>
        <v/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4301031503</v>
      </c>
      <c r="D231" s="651">
        <v>4680115886537</v>
      </c>
      <c r="E231" s="652"/>
      <c r="F231" s="646">
        <v>0.3</v>
      </c>
      <c r="G231" s="32">
        <v>6</v>
      </c>
      <c r="H231" s="646">
        <v>1.8</v>
      </c>
      <c r="I231" s="646">
        <v>1.93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54"/>
      <c r="R231" s="654"/>
      <c r="S231" s="654"/>
      <c r="T231" s="655"/>
      <c r="U231" s="34"/>
      <c r="V231" s="34"/>
      <c r="W231" s="35" t="s">
        <v>66</v>
      </c>
      <c r="X231" s="647">
        <v>0</v>
      </c>
      <c r="Y231" s="648">
        <f t="shared" si="27"/>
        <v>0</v>
      </c>
      <c r="Z231" s="36" t="str">
        <f t="shared" si="32"/>
        <v/>
      </c>
      <c r="AA231" s="56"/>
      <c r="AB231" s="57"/>
      <c r="AC231" s="299" t="s">
        <v>393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4301031279</v>
      </c>
      <c r="D232" s="651">
        <v>4680115887596</v>
      </c>
      <c r="E232" s="652"/>
      <c r="F232" s="646">
        <v>0.08</v>
      </c>
      <c r="G232" s="32">
        <v>10</v>
      </c>
      <c r="H232" s="646">
        <v>0.8</v>
      </c>
      <c r="I232" s="646">
        <v>1.01</v>
      </c>
      <c r="J232" s="32">
        <v>336</v>
      </c>
      <c r="K232" s="32" t="s">
        <v>118</v>
      </c>
      <c r="L232" s="32"/>
      <c r="M232" s="33" t="s">
        <v>65</v>
      </c>
      <c r="N232" s="33"/>
      <c r="O232" s="32">
        <v>45</v>
      </c>
      <c r="P232" s="8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54"/>
      <c r="R232" s="654"/>
      <c r="S232" s="654"/>
      <c r="T232" s="655"/>
      <c r="U232" s="34"/>
      <c r="V232" s="34"/>
      <c r="W232" s="35" t="s">
        <v>66</v>
      </c>
      <c r="X232" s="647">
        <v>0</v>
      </c>
      <c r="Y232" s="648">
        <f t="shared" si="27"/>
        <v>0</v>
      </c>
      <c r="Z232" s="36" t="str">
        <f>IFERROR(IF(Y232=0,"",ROUNDUP(Y232/H232,0)*0.00417),"")</f>
        <v/>
      </c>
      <c r="AA232" s="56"/>
      <c r="AB232" s="57"/>
      <c r="AC232" s="301" t="s">
        <v>396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37.5" customHeight="1" x14ac:dyDescent="0.25">
      <c r="A233" s="54" t="s">
        <v>397</v>
      </c>
      <c r="B233" s="54" t="s">
        <v>398</v>
      </c>
      <c r="C233" s="31">
        <v>4301031530</v>
      </c>
      <c r="D233" s="651">
        <v>4680115881679</v>
      </c>
      <c r="E233" s="652"/>
      <c r="F233" s="646">
        <v>0.35</v>
      </c>
      <c r="G233" s="32">
        <v>6</v>
      </c>
      <c r="H233" s="646">
        <v>2.1</v>
      </c>
      <c r="I233" s="646">
        <v>2.2000000000000002</v>
      </c>
      <c r="J233" s="32">
        <v>234</v>
      </c>
      <c r="K233" s="32" t="s">
        <v>64</v>
      </c>
      <c r="L233" s="32"/>
      <c r="M233" s="33" t="s">
        <v>65</v>
      </c>
      <c r="N233" s="33"/>
      <c r="O233" s="32">
        <v>45</v>
      </c>
      <c r="P233" s="86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54"/>
      <c r="R233" s="654"/>
      <c r="S233" s="654"/>
      <c r="T233" s="655"/>
      <c r="U233" s="34"/>
      <c r="V233" s="34"/>
      <c r="W233" s="35" t="s">
        <v>66</v>
      </c>
      <c r="X233" s="647">
        <v>22</v>
      </c>
      <c r="Y233" s="648">
        <f t="shared" si="27"/>
        <v>23.1</v>
      </c>
      <c r="Z233" s="36">
        <f>IFERROR(IF(Y233=0,"",ROUNDUP(Y233/H233,0)*0.00502),"")</f>
        <v>5.5220000000000005E-2</v>
      </c>
      <c r="AA233" s="56"/>
      <c r="AB233" s="57"/>
      <c r="AC233" s="303" t="s">
        <v>374</v>
      </c>
      <c r="AG233" s="64"/>
      <c r="AJ233" s="68"/>
      <c r="AK233" s="68">
        <v>0</v>
      </c>
      <c r="BB233" s="304" t="s">
        <v>1</v>
      </c>
      <c r="BM233" s="64">
        <f t="shared" si="28"/>
        <v>23.047619047619051</v>
      </c>
      <c r="BN233" s="64">
        <f t="shared" si="29"/>
        <v>24.200000000000003</v>
      </c>
      <c r="BO233" s="64">
        <f t="shared" si="30"/>
        <v>4.4770044770044773E-2</v>
      </c>
      <c r="BP233" s="64">
        <f t="shared" si="31"/>
        <v>4.7008547008547015E-2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4301031158</v>
      </c>
      <c r="D234" s="651">
        <v>4680115880191</v>
      </c>
      <c r="E234" s="652"/>
      <c r="F234" s="646">
        <v>0.4</v>
      </c>
      <c r="G234" s="32">
        <v>6</v>
      </c>
      <c r="H234" s="646">
        <v>2.4</v>
      </c>
      <c r="I234" s="646">
        <v>2.58</v>
      </c>
      <c r="J234" s="32">
        <v>182</v>
      </c>
      <c r="K234" s="32" t="s">
        <v>76</v>
      </c>
      <c r="L234" s="32"/>
      <c r="M234" s="33" t="s">
        <v>65</v>
      </c>
      <c r="N234" s="33"/>
      <c r="O234" s="32">
        <v>40</v>
      </c>
      <c r="P234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54"/>
      <c r="R234" s="654"/>
      <c r="S234" s="654"/>
      <c r="T234" s="655"/>
      <c r="U234" s="34"/>
      <c r="V234" s="34"/>
      <c r="W234" s="35" t="s">
        <v>66</v>
      </c>
      <c r="X234" s="647">
        <v>0</v>
      </c>
      <c r="Y234" s="648">
        <f t="shared" si="27"/>
        <v>0</v>
      </c>
      <c r="Z234" s="36" t="str">
        <f>IFERROR(IF(Y234=0,"",ROUNDUP(Y234/H234,0)*0.00651),"")</f>
        <v/>
      </c>
      <c r="AA234" s="56"/>
      <c r="AB234" s="57"/>
      <c r="AC234" s="305" t="s">
        <v>374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t="27" hidden="1" customHeight="1" x14ac:dyDescent="0.25">
      <c r="A235" s="54" t="s">
        <v>399</v>
      </c>
      <c r="B235" s="54" t="s">
        <v>401</v>
      </c>
      <c r="C235" s="31">
        <v>4301031531</v>
      </c>
      <c r="D235" s="651">
        <v>4680115880191</v>
      </c>
      <c r="E235" s="652"/>
      <c r="F235" s="646">
        <v>0.4</v>
      </c>
      <c r="G235" s="32">
        <v>6</v>
      </c>
      <c r="H235" s="646">
        <v>2.4</v>
      </c>
      <c r="I235" s="64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45</v>
      </c>
      <c r="P235" s="87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54"/>
      <c r="R235" s="654"/>
      <c r="S235" s="654"/>
      <c r="T235" s="655"/>
      <c r="U235" s="34"/>
      <c r="V235" s="34"/>
      <c r="W235" s="35" t="s">
        <v>66</v>
      </c>
      <c r="X235" s="647">
        <v>0</v>
      </c>
      <c r="Y235" s="648">
        <f t="shared" si="27"/>
        <v>0</v>
      </c>
      <c r="Z235" s="36" t="str">
        <f>IFERROR(IF(Y235=0,"",ROUNDUP(Y235/H235,0)*0.00651),"")</f>
        <v/>
      </c>
      <c r="AA235" s="56"/>
      <c r="AB235" s="57"/>
      <c r="AC235" s="307" t="s">
        <v>374</v>
      </c>
      <c r="AG235" s="64"/>
      <c r="AJ235" s="68"/>
      <c r="AK235" s="68">
        <v>0</v>
      </c>
      <c r="BB235" s="308" t="s">
        <v>1</v>
      </c>
      <c r="BM235" s="64">
        <f t="shared" si="28"/>
        <v>0</v>
      </c>
      <c r="BN235" s="64">
        <f t="shared" si="29"/>
        <v>0</v>
      </c>
      <c r="BO235" s="64">
        <f t="shared" si="30"/>
        <v>0</v>
      </c>
      <c r="BP235" s="64">
        <f t="shared" si="31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4301031245</v>
      </c>
      <c r="D236" s="651">
        <v>4680115883963</v>
      </c>
      <c r="E236" s="652"/>
      <c r="F236" s="646">
        <v>0.28000000000000003</v>
      </c>
      <c r="G236" s="32">
        <v>6</v>
      </c>
      <c r="H236" s="646">
        <v>1.68</v>
      </c>
      <c r="I236" s="64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71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4"/>
      <c r="R236" s="654"/>
      <c r="S236" s="654"/>
      <c r="T236" s="655"/>
      <c r="U236" s="34"/>
      <c r="V236" s="34"/>
      <c r="W236" s="35" t="s">
        <v>66</v>
      </c>
      <c r="X236" s="647">
        <v>0</v>
      </c>
      <c r="Y236" s="648">
        <f t="shared" si="27"/>
        <v>0</v>
      </c>
      <c r="Z236" s="36" t="str">
        <f>IFERROR(IF(Y236=0,"",ROUNDUP(Y236/H236,0)*0.00502),"")</f>
        <v/>
      </c>
      <c r="AA236" s="56"/>
      <c r="AB236" s="57"/>
      <c r="AC236" s="309" t="s">
        <v>404</v>
      </c>
      <c r="AG236" s="64"/>
      <c r="AJ236" s="68"/>
      <c r="AK236" s="68">
        <v>0</v>
      </c>
      <c r="BB236" s="310" t="s">
        <v>1</v>
      </c>
      <c r="BM236" s="64">
        <f t="shared" si="28"/>
        <v>0</v>
      </c>
      <c r="BN236" s="64">
        <f t="shared" si="29"/>
        <v>0</v>
      </c>
      <c r="BO236" s="64">
        <f t="shared" si="30"/>
        <v>0</v>
      </c>
      <c r="BP236" s="64">
        <f t="shared" si="31"/>
        <v>0</v>
      </c>
    </row>
    <row r="237" spans="1:68" x14ac:dyDescent="0.2">
      <c r="A237" s="668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9"/>
      <c r="P237" s="663" t="s">
        <v>71</v>
      </c>
      <c r="Q237" s="664"/>
      <c r="R237" s="664"/>
      <c r="S237" s="664"/>
      <c r="T237" s="664"/>
      <c r="U237" s="664"/>
      <c r="V237" s="665"/>
      <c r="W237" s="37" t="s">
        <v>72</v>
      </c>
      <c r="X237" s="649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35.238095238095234</v>
      </c>
      <c r="Y237" s="649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36</v>
      </c>
      <c r="Z237" s="649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0.28072000000000003</v>
      </c>
      <c r="AA237" s="650"/>
      <c r="AB237" s="650"/>
      <c r="AC237" s="650"/>
    </row>
    <row r="238" spans="1:68" x14ac:dyDescent="0.2">
      <c r="A238" s="660"/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9"/>
      <c r="P238" s="663" t="s">
        <v>71</v>
      </c>
      <c r="Q238" s="664"/>
      <c r="R238" s="664"/>
      <c r="S238" s="664"/>
      <c r="T238" s="664"/>
      <c r="U238" s="664"/>
      <c r="V238" s="665"/>
      <c r="W238" s="37" t="s">
        <v>66</v>
      </c>
      <c r="X238" s="649">
        <f>IFERROR(SUM(X222:X236),"0")</f>
        <v>126</v>
      </c>
      <c r="Y238" s="649">
        <f>IFERROR(SUM(Y222:Y236),"0")</f>
        <v>128.1</v>
      </c>
      <c r="Z238" s="37"/>
      <c r="AA238" s="650"/>
      <c r="AB238" s="650"/>
      <c r="AC238" s="650"/>
    </row>
    <row r="239" spans="1:68" ht="14.25" hidden="1" customHeight="1" x14ac:dyDescent="0.25">
      <c r="A239" s="659" t="s">
        <v>73</v>
      </c>
      <c r="B239" s="660"/>
      <c r="C239" s="660"/>
      <c r="D239" s="660"/>
      <c r="E239" s="660"/>
      <c r="F239" s="660"/>
      <c r="G239" s="660"/>
      <c r="H239" s="660"/>
      <c r="I239" s="660"/>
      <c r="J239" s="660"/>
      <c r="K239" s="660"/>
      <c r="L239" s="660"/>
      <c r="M239" s="660"/>
      <c r="N239" s="660"/>
      <c r="O239" s="660"/>
      <c r="P239" s="660"/>
      <c r="Q239" s="660"/>
      <c r="R239" s="660"/>
      <c r="S239" s="660"/>
      <c r="T239" s="660"/>
      <c r="U239" s="660"/>
      <c r="V239" s="660"/>
      <c r="W239" s="660"/>
      <c r="X239" s="660"/>
      <c r="Y239" s="660"/>
      <c r="Z239" s="660"/>
      <c r="AA239" s="643"/>
      <c r="AB239" s="643"/>
      <c r="AC239" s="643"/>
    </row>
    <row r="240" spans="1:68" ht="16.5" hidden="1" customHeight="1" x14ac:dyDescent="0.25">
      <c r="A240" s="54" t="s">
        <v>405</v>
      </c>
      <c r="B240" s="54" t="s">
        <v>406</v>
      </c>
      <c r="C240" s="31">
        <v>4301052209</v>
      </c>
      <c r="D240" s="651">
        <v>4680115888692</v>
      </c>
      <c r="E240" s="652"/>
      <c r="F240" s="646">
        <v>0.8</v>
      </c>
      <c r="G240" s="32">
        <v>6</v>
      </c>
      <c r="H240" s="646">
        <v>4.8</v>
      </c>
      <c r="I240" s="646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4"/>
      <c r="R240" s="654"/>
      <c r="S240" s="654"/>
      <c r="T240" s="655"/>
      <c r="U240" s="34"/>
      <c r="V240" s="34"/>
      <c r="W240" s="35" t="s">
        <v>66</v>
      </c>
      <c r="X240" s="647">
        <v>0</v>
      </c>
      <c r="Y240" s="648">
        <f t="shared" ref="Y240:Y248" si="33"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 t="shared" ref="BM240:BM248" si="34">IFERROR(X240*I240/H240,"0")</f>
        <v>0</v>
      </c>
      <c r="BN240" s="64">
        <f t="shared" ref="BN240:BN248" si="35">IFERROR(Y240*I240/H240,"0")</f>
        <v>0</v>
      </c>
      <c r="BO240" s="64">
        <f t="shared" ref="BO240:BO248" si="36">IFERROR(1/J240*(X240/H240),"0")</f>
        <v>0</v>
      </c>
      <c r="BP240" s="64">
        <f t="shared" ref="BP240:BP248" si="37">IFERROR(1/J240*(Y240/H240),"0")</f>
        <v>0</v>
      </c>
    </row>
    <row r="241" spans="1:68" ht="16.5" hidden="1" customHeight="1" x14ac:dyDescent="0.25">
      <c r="A241" s="54" t="s">
        <v>405</v>
      </c>
      <c r="B241" s="54" t="s">
        <v>408</v>
      </c>
      <c r="C241" s="31">
        <v>4301052279</v>
      </c>
      <c r="D241" s="651">
        <v>4680115888692</v>
      </c>
      <c r="E241" s="652"/>
      <c r="F241" s="646">
        <v>0.8</v>
      </c>
      <c r="G241" s="32">
        <v>6</v>
      </c>
      <c r="H241" s="646">
        <v>4.8</v>
      </c>
      <c r="I241" s="646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4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54"/>
      <c r="R241" s="654"/>
      <c r="S241" s="654"/>
      <c r="T241" s="655"/>
      <c r="U241" s="34"/>
      <c r="V241" s="34"/>
      <c r="W241" s="35" t="s">
        <v>66</v>
      </c>
      <c r="X241" s="647">
        <v>0</v>
      </c>
      <c r="Y241" s="648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409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410</v>
      </c>
      <c r="B242" s="54" t="s">
        <v>411</v>
      </c>
      <c r="C242" s="31">
        <v>4301052213</v>
      </c>
      <c r="D242" s="651">
        <v>4680115888722</v>
      </c>
      <c r="E242" s="652"/>
      <c r="F242" s="646">
        <v>0.8</v>
      </c>
      <c r="G242" s="32">
        <v>6</v>
      </c>
      <c r="H242" s="646">
        <v>4.8</v>
      </c>
      <c r="I242" s="646">
        <v>5.2220000000000004</v>
      </c>
      <c r="J242" s="32">
        <v>104</v>
      </c>
      <c r="K242" s="32" t="s">
        <v>113</v>
      </c>
      <c r="L242" s="32"/>
      <c r="M242" s="33" t="s">
        <v>83</v>
      </c>
      <c r="N242" s="33"/>
      <c r="O242" s="32">
        <v>35</v>
      </c>
      <c r="P242" s="7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54"/>
      <c r="R242" s="654"/>
      <c r="S242" s="654"/>
      <c r="T242" s="655"/>
      <c r="U242" s="34"/>
      <c r="V242" s="34"/>
      <c r="W242" s="35" t="s">
        <v>66</v>
      </c>
      <c r="X242" s="647">
        <v>0</v>
      </c>
      <c r="Y242" s="648">
        <f t="shared" si="33"/>
        <v>0</v>
      </c>
      <c r="Z242" s="36" t="str">
        <f>IFERROR(IF(Y242=0,"",ROUNDUP(Y242/H242,0)*0.01196),"")</f>
        <v/>
      </c>
      <c r="AA242" s="56"/>
      <c r="AB242" s="57"/>
      <c r="AC242" s="315" t="s">
        <v>412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410</v>
      </c>
      <c r="B243" s="54" t="s">
        <v>413</v>
      </c>
      <c r="C243" s="31">
        <v>4301052280</v>
      </c>
      <c r="D243" s="651">
        <v>4680115888722</v>
      </c>
      <c r="E243" s="652"/>
      <c r="F243" s="646">
        <v>0.8</v>
      </c>
      <c r="G243" s="32">
        <v>6</v>
      </c>
      <c r="H243" s="646">
        <v>4.8</v>
      </c>
      <c r="I243" s="646">
        <v>5.2220000000000004</v>
      </c>
      <c r="J243" s="32">
        <v>104</v>
      </c>
      <c r="K243" s="32" t="s">
        <v>113</v>
      </c>
      <c r="L243" s="32"/>
      <c r="M243" s="33" t="s">
        <v>83</v>
      </c>
      <c r="N243" s="33"/>
      <c r="O243" s="32">
        <v>40</v>
      </c>
      <c r="P243" s="100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54"/>
      <c r="R243" s="654"/>
      <c r="S243" s="654"/>
      <c r="T243" s="655"/>
      <c r="U243" s="34"/>
      <c r="V243" s="34"/>
      <c r="W243" s="35" t="s">
        <v>66</v>
      </c>
      <c r="X243" s="647">
        <v>0</v>
      </c>
      <c r="Y243" s="648">
        <f t="shared" si="33"/>
        <v>0</v>
      </c>
      <c r="Z243" s="36" t="str">
        <f>IFERROR(IF(Y243=0,"",ROUNDUP(Y243/H243,0)*0.01196),"")</f>
        <v/>
      </c>
      <c r="AA243" s="56"/>
      <c r="AB243" s="57"/>
      <c r="AC243" s="317" t="s">
        <v>414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415</v>
      </c>
      <c r="B244" s="54" t="s">
        <v>416</v>
      </c>
      <c r="C244" s="31">
        <v>4301052177</v>
      </c>
      <c r="D244" s="651">
        <v>4680115888951</v>
      </c>
      <c r="E244" s="652"/>
      <c r="F244" s="646">
        <v>0.36</v>
      </c>
      <c r="G244" s="32">
        <v>6</v>
      </c>
      <c r="H244" s="646">
        <v>2.16</v>
      </c>
      <c r="I244" s="646">
        <v>2.4220000000000002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5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54"/>
      <c r="R244" s="654"/>
      <c r="S244" s="654"/>
      <c r="T244" s="655"/>
      <c r="U244" s="34"/>
      <c r="V244" s="34"/>
      <c r="W244" s="35" t="s">
        <v>66</v>
      </c>
      <c r="X244" s="647">
        <v>0</v>
      </c>
      <c r="Y244" s="648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417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415</v>
      </c>
      <c r="B245" s="54" t="s">
        <v>418</v>
      </c>
      <c r="C245" s="31">
        <v>4301052276</v>
      </c>
      <c r="D245" s="651">
        <v>4680115888951</v>
      </c>
      <c r="E245" s="652"/>
      <c r="F245" s="646">
        <v>0.36</v>
      </c>
      <c r="G245" s="32">
        <v>6</v>
      </c>
      <c r="H245" s="646">
        <v>2.16</v>
      </c>
      <c r="I245" s="646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40</v>
      </c>
      <c r="P245" s="85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54"/>
      <c r="R245" s="654"/>
      <c r="S245" s="654"/>
      <c r="T245" s="655"/>
      <c r="U245" s="34"/>
      <c r="V245" s="34"/>
      <c r="W245" s="35" t="s">
        <v>66</v>
      </c>
      <c r="X245" s="647">
        <v>0</v>
      </c>
      <c r="Y245" s="648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409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419</v>
      </c>
      <c r="B246" s="54" t="s">
        <v>420</v>
      </c>
      <c r="C246" s="31">
        <v>4301052178</v>
      </c>
      <c r="D246" s="651">
        <v>4680115888975</v>
      </c>
      <c r="E246" s="652"/>
      <c r="F246" s="646">
        <v>0.32</v>
      </c>
      <c r="G246" s="32">
        <v>6</v>
      </c>
      <c r="H246" s="646">
        <v>1.92</v>
      </c>
      <c r="I246" s="646">
        <v>2.1819999999999999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35</v>
      </c>
      <c r="P246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54"/>
      <c r="R246" s="654"/>
      <c r="S246" s="654"/>
      <c r="T246" s="655"/>
      <c r="U246" s="34"/>
      <c r="V246" s="34"/>
      <c r="W246" s="35" t="s">
        <v>66</v>
      </c>
      <c r="X246" s="647">
        <v>0</v>
      </c>
      <c r="Y246" s="648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421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4301052176</v>
      </c>
      <c r="D247" s="651">
        <v>4680115888982</v>
      </c>
      <c r="E247" s="652"/>
      <c r="F247" s="646">
        <v>0.36</v>
      </c>
      <c r="G247" s="32">
        <v>6</v>
      </c>
      <c r="H247" s="646">
        <v>2.16</v>
      </c>
      <c r="I247" s="646">
        <v>2.4220000000000002</v>
      </c>
      <c r="J247" s="32">
        <v>132</v>
      </c>
      <c r="K247" s="32" t="s">
        <v>122</v>
      </c>
      <c r="L247" s="32"/>
      <c r="M247" s="33" t="s">
        <v>83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4"/>
      <c r="R247" s="654"/>
      <c r="S247" s="654"/>
      <c r="T247" s="655"/>
      <c r="U247" s="34"/>
      <c r="V247" s="34"/>
      <c r="W247" s="35" t="s">
        <v>66</v>
      </c>
      <c r="X247" s="647">
        <v>0</v>
      </c>
      <c r="Y247" s="648">
        <f t="shared" si="33"/>
        <v>0</v>
      </c>
      <c r="Z247" s="36" t="str">
        <f>IFERROR(IF(Y247=0,"",ROUNDUP(Y247/H247,0)*0.00902),"")</f>
        <v/>
      </c>
      <c r="AA247" s="56"/>
      <c r="AB247" s="57"/>
      <c r="AC247" s="325" t="s">
        <v>412</v>
      </c>
      <c r="AG247" s="64"/>
      <c r="AJ247" s="68"/>
      <c r="AK247" s="68">
        <v>0</v>
      </c>
      <c r="BB247" s="326" t="s">
        <v>1</v>
      </c>
      <c r="BM247" s="64">
        <f t="shared" si="34"/>
        <v>0</v>
      </c>
      <c r="BN247" s="64">
        <f t="shared" si="35"/>
        <v>0</v>
      </c>
      <c r="BO247" s="64">
        <f t="shared" si="36"/>
        <v>0</v>
      </c>
      <c r="BP247" s="64">
        <f t="shared" si="37"/>
        <v>0</v>
      </c>
    </row>
    <row r="248" spans="1:68" ht="27" hidden="1" customHeight="1" x14ac:dyDescent="0.25">
      <c r="A248" s="54" t="s">
        <v>422</v>
      </c>
      <c r="B248" s="54" t="s">
        <v>424</v>
      </c>
      <c r="C248" s="31">
        <v>4301052277</v>
      </c>
      <c r="D248" s="651">
        <v>4680115888982</v>
      </c>
      <c r="E248" s="652"/>
      <c r="F248" s="646">
        <v>0.36</v>
      </c>
      <c r="G248" s="32">
        <v>6</v>
      </c>
      <c r="H248" s="646">
        <v>2.16</v>
      </c>
      <c r="I248" s="646">
        <v>2.4220000000000002</v>
      </c>
      <c r="J248" s="32">
        <v>132</v>
      </c>
      <c r="K248" s="32" t="s">
        <v>122</v>
      </c>
      <c r="L248" s="32"/>
      <c r="M248" s="33" t="s">
        <v>83</v>
      </c>
      <c r="N248" s="33"/>
      <c r="O248" s="32">
        <v>40</v>
      </c>
      <c r="P248" s="87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54"/>
      <c r="R248" s="654"/>
      <c r="S248" s="654"/>
      <c r="T248" s="655"/>
      <c r="U248" s="34"/>
      <c r="V248" s="34"/>
      <c r="W248" s="35" t="s">
        <v>66</v>
      </c>
      <c r="X248" s="647">
        <v>0</v>
      </c>
      <c r="Y248" s="648">
        <f t="shared" si="33"/>
        <v>0</v>
      </c>
      <c r="Z248" s="36" t="str">
        <f>IFERROR(IF(Y248=0,"",ROUNDUP(Y248/H248,0)*0.00902),"")</f>
        <v/>
      </c>
      <c r="AA248" s="56"/>
      <c r="AB248" s="57"/>
      <c r="AC248" s="327" t="s">
        <v>414</v>
      </c>
      <c r="AG248" s="64"/>
      <c r="AJ248" s="68"/>
      <c r="AK248" s="68">
        <v>0</v>
      </c>
      <c r="BB248" s="328" t="s">
        <v>1</v>
      </c>
      <c r="BM248" s="64">
        <f t="shared" si="34"/>
        <v>0</v>
      </c>
      <c r="BN248" s="64">
        <f t="shared" si="35"/>
        <v>0</v>
      </c>
      <c r="BO248" s="64">
        <f t="shared" si="36"/>
        <v>0</v>
      </c>
      <c r="BP248" s="64">
        <f t="shared" si="37"/>
        <v>0</v>
      </c>
    </row>
    <row r="249" spans="1:68" hidden="1" x14ac:dyDescent="0.2">
      <c r="A249" s="668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9"/>
      <c r="P249" s="663" t="s">
        <v>71</v>
      </c>
      <c r="Q249" s="664"/>
      <c r="R249" s="664"/>
      <c r="S249" s="664"/>
      <c r="T249" s="664"/>
      <c r="U249" s="664"/>
      <c r="V249" s="665"/>
      <c r="W249" s="37" t="s">
        <v>72</v>
      </c>
      <c r="X249" s="649">
        <f>IFERROR(X240/H240,"0")+IFERROR(X241/H241,"0")+IFERROR(X242/H242,"0")+IFERROR(X243/H243,"0")+IFERROR(X244/H244,"0")+IFERROR(X245/H245,"0")+IFERROR(X246/H246,"0")+IFERROR(X247/H247,"0")+IFERROR(X248/H248,"0")</f>
        <v>0</v>
      </c>
      <c r="Y249" s="649">
        <f>IFERROR(Y240/H240,"0")+IFERROR(Y241/H241,"0")+IFERROR(Y242/H242,"0")+IFERROR(Y243/H243,"0")+IFERROR(Y244/H244,"0")+IFERROR(Y245/H245,"0")+IFERROR(Y246/H246,"0")+IFERROR(Y247/H247,"0")+IFERROR(Y248/H248,"0")</f>
        <v>0</v>
      </c>
      <c r="Z249" s="649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50"/>
      <c r="AB249" s="650"/>
      <c r="AC249" s="650"/>
    </row>
    <row r="250" spans="1:68" hidden="1" x14ac:dyDescent="0.2">
      <c r="A250" s="660"/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9"/>
      <c r="P250" s="663" t="s">
        <v>71</v>
      </c>
      <c r="Q250" s="664"/>
      <c r="R250" s="664"/>
      <c r="S250" s="664"/>
      <c r="T250" s="664"/>
      <c r="U250" s="664"/>
      <c r="V250" s="665"/>
      <c r="W250" s="37" t="s">
        <v>66</v>
      </c>
      <c r="X250" s="649">
        <f>IFERROR(SUM(X240:X248),"0")</f>
        <v>0</v>
      </c>
      <c r="Y250" s="649">
        <f>IFERROR(SUM(Y240:Y248),"0")</f>
        <v>0</v>
      </c>
      <c r="Z250" s="37"/>
      <c r="AA250" s="650"/>
      <c r="AB250" s="650"/>
      <c r="AC250" s="650"/>
    </row>
    <row r="251" spans="1:68" ht="14.25" hidden="1" customHeight="1" x14ac:dyDescent="0.25">
      <c r="A251" s="659" t="s">
        <v>271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43"/>
      <c r="AB251" s="643"/>
      <c r="AC251" s="643"/>
    </row>
    <row r="252" spans="1:68" ht="27" hidden="1" customHeight="1" x14ac:dyDescent="0.25">
      <c r="A252" s="54" t="s">
        <v>425</v>
      </c>
      <c r="B252" s="54" t="s">
        <v>426</v>
      </c>
      <c r="C252" s="31">
        <v>4301032053</v>
      </c>
      <c r="D252" s="651">
        <v>4680115886780</v>
      </c>
      <c r="E252" s="652"/>
      <c r="F252" s="646">
        <v>7.0000000000000007E-2</v>
      </c>
      <c r="G252" s="32">
        <v>18</v>
      </c>
      <c r="H252" s="646">
        <v>1.26</v>
      </c>
      <c r="I252" s="646">
        <v>1.45</v>
      </c>
      <c r="J252" s="32">
        <v>216</v>
      </c>
      <c r="K252" s="32" t="s">
        <v>333</v>
      </c>
      <c r="L252" s="32"/>
      <c r="M252" s="33" t="s">
        <v>275</v>
      </c>
      <c r="N252" s="33"/>
      <c r="O252" s="32">
        <v>60</v>
      </c>
      <c r="P252" s="69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54"/>
      <c r="R252" s="654"/>
      <c r="S252" s="654"/>
      <c r="T252" s="655"/>
      <c r="U252" s="34"/>
      <c r="V252" s="34"/>
      <c r="W252" s="35" t="s">
        <v>66</v>
      </c>
      <c r="X252" s="647">
        <v>0</v>
      </c>
      <c r="Y252" s="6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427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428</v>
      </c>
      <c r="B253" s="54" t="s">
        <v>429</v>
      </c>
      <c r="C253" s="31">
        <v>4301032051</v>
      </c>
      <c r="D253" s="651">
        <v>4680115886742</v>
      </c>
      <c r="E253" s="652"/>
      <c r="F253" s="646">
        <v>7.0000000000000007E-2</v>
      </c>
      <c r="G253" s="32">
        <v>18</v>
      </c>
      <c r="H253" s="646">
        <v>1.26</v>
      </c>
      <c r="I253" s="646">
        <v>1.45</v>
      </c>
      <c r="J253" s="32">
        <v>216</v>
      </c>
      <c r="K253" s="32" t="s">
        <v>333</v>
      </c>
      <c r="L253" s="32"/>
      <c r="M253" s="33" t="s">
        <v>275</v>
      </c>
      <c r="N253" s="33"/>
      <c r="O253" s="32">
        <v>90</v>
      </c>
      <c r="P253" s="9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54"/>
      <c r="R253" s="654"/>
      <c r="S253" s="654"/>
      <c r="T253" s="655"/>
      <c r="U253" s="34"/>
      <c r="V253" s="34"/>
      <c r="W253" s="35" t="s">
        <v>66</v>
      </c>
      <c r="X253" s="647">
        <v>0</v>
      </c>
      <c r="Y253" s="6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430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431</v>
      </c>
      <c r="B254" s="54" t="s">
        <v>432</v>
      </c>
      <c r="C254" s="31">
        <v>4301032052</v>
      </c>
      <c r="D254" s="651">
        <v>4680115886766</v>
      </c>
      <c r="E254" s="652"/>
      <c r="F254" s="646">
        <v>7.0000000000000007E-2</v>
      </c>
      <c r="G254" s="32">
        <v>18</v>
      </c>
      <c r="H254" s="646">
        <v>1.26</v>
      </c>
      <c r="I254" s="646">
        <v>1.45</v>
      </c>
      <c r="J254" s="32">
        <v>216</v>
      </c>
      <c r="K254" s="32" t="s">
        <v>333</v>
      </c>
      <c r="L254" s="32"/>
      <c r="M254" s="33" t="s">
        <v>275</v>
      </c>
      <c r="N254" s="33"/>
      <c r="O254" s="32">
        <v>90</v>
      </c>
      <c r="P254" s="8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54"/>
      <c r="R254" s="654"/>
      <c r="S254" s="654"/>
      <c r="T254" s="655"/>
      <c r="U254" s="34"/>
      <c r="V254" s="34"/>
      <c r="W254" s="35" t="s">
        <v>66</v>
      </c>
      <c r="X254" s="647">
        <v>0</v>
      </c>
      <c r="Y254" s="6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33" t="s">
        <v>430</v>
      </c>
      <c r="AG254" s="64"/>
      <c r="AJ254" s="68"/>
      <c r="AK254" s="68">
        <v>0</v>
      </c>
      <c r="BB254" s="33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68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9"/>
      <c r="P255" s="663" t="s">
        <v>71</v>
      </c>
      <c r="Q255" s="664"/>
      <c r="R255" s="664"/>
      <c r="S255" s="664"/>
      <c r="T255" s="664"/>
      <c r="U255" s="664"/>
      <c r="V255" s="665"/>
      <c r="W255" s="37" t="s">
        <v>72</v>
      </c>
      <c r="X255" s="649">
        <f>IFERROR(X252/H252,"0")+IFERROR(X253/H253,"0")+IFERROR(X254/H254,"0")</f>
        <v>0</v>
      </c>
      <c r="Y255" s="649">
        <f>IFERROR(Y252/H252,"0")+IFERROR(Y253/H253,"0")+IFERROR(Y254/H254,"0")</f>
        <v>0</v>
      </c>
      <c r="Z255" s="649">
        <f>IFERROR(IF(Z252="",0,Z252),"0")+IFERROR(IF(Z253="",0,Z253),"0")+IFERROR(IF(Z254="",0,Z254),"0")</f>
        <v>0</v>
      </c>
      <c r="AA255" s="650"/>
      <c r="AB255" s="650"/>
      <c r="AC255" s="650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9"/>
      <c r="P256" s="663" t="s">
        <v>71</v>
      </c>
      <c r="Q256" s="664"/>
      <c r="R256" s="664"/>
      <c r="S256" s="664"/>
      <c r="T256" s="664"/>
      <c r="U256" s="664"/>
      <c r="V256" s="665"/>
      <c r="W256" s="37" t="s">
        <v>66</v>
      </c>
      <c r="X256" s="649">
        <f>IFERROR(SUM(X252:X254),"0")</f>
        <v>0</v>
      </c>
      <c r="Y256" s="649">
        <f>IFERROR(SUM(Y252:Y254),"0")</f>
        <v>0</v>
      </c>
      <c r="Z256" s="37"/>
      <c r="AA256" s="650"/>
      <c r="AB256" s="650"/>
      <c r="AC256" s="650"/>
    </row>
    <row r="257" spans="1:68" ht="14.25" hidden="1" customHeight="1" x14ac:dyDescent="0.25">
      <c r="A257" s="659" t="s">
        <v>433</v>
      </c>
      <c r="B257" s="660"/>
      <c r="C257" s="660"/>
      <c r="D257" s="660"/>
      <c r="E257" s="660"/>
      <c r="F257" s="660"/>
      <c r="G257" s="660"/>
      <c r="H257" s="660"/>
      <c r="I257" s="660"/>
      <c r="J257" s="660"/>
      <c r="K257" s="660"/>
      <c r="L257" s="660"/>
      <c r="M257" s="660"/>
      <c r="N257" s="660"/>
      <c r="O257" s="660"/>
      <c r="P257" s="660"/>
      <c r="Q257" s="660"/>
      <c r="R257" s="660"/>
      <c r="S257" s="660"/>
      <c r="T257" s="660"/>
      <c r="U257" s="660"/>
      <c r="V257" s="660"/>
      <c r="W257" s="660"/>
      <c r="X257" s="660"/>
      <c r="Y257" s="660"/>
      <c r="Z257" s="660"/>
      <c r="AA257" s="643"/>
      <c r="AB257" s="643"/>
      <c r="AC257" s="643"/>
    </row>
    <row r="258" spans="1:68" ht="27" hidden="1" customHeight="1" x14ac:dyDescent="0.25">
      <c r="A258" s="54" t="s">
        <v>434</v>
      </c>
      <c r="B258" s="54" t="s">
        <v>435</v>
      </c>
      <c r="C258" s="31">
        <v>4301170013</v>
      </c>
      <c r="D258" s="651">
        <v>4680115886797</v>
      </c>
      <c r="E258" s="652"/>
      <c r="F258" s="646">
        <v>7.0000000000000007E-2</v>
      </c>
      <c r="G258" s="32">
        <v>18</v>
      </c>
      <c r="H258" s="646">
        <v>1.26</v>
      </c>
      <c r="I258" s="646">
        <v>1.45</v>
      </c>
      <c r="J258" s="32">
        <v>216</v>
      </c>
      <c r="K258" s="32" t="s">
        <v>333</v>
      </c>
      <c r="L258" s="32"/>
      <c r="M258" s="33" t="s">
        <v>275</v>
      </c>
      <c r="N258" s="33"/>
      <c r="O258" s="32">
        <v>90</v>
      </c>
      <c r="P258" s="77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54"/>
      <c r="R258" s="654"/>
      <c r="S258" s="654"/>
      <c r="T258" s="655"/>
      <c r="U258" s="34"/>
      <c r="V258" s="34"/>
      <c r="W258" s="35" t="s">
        <v>66</v>
      </c>
      <c r="X258" s="647">
        <v>0</v>
      </c>
      <c r="Y258" s="648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35" t="s">
        <v>430</v>
      </c>
      <c r="AG258" s="64"/>
      <c r="AJ258" s="68"/>
      <c r="AK258" s="68">
        <v>0</v>
      </c>
      <c r="BB258" s="33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8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9"/>
      <c r="P259" s="663" t="s">
        <v>71</v>
      </c>
      <c r="Q259" s="664"/>
      <c r="R259" s="664"/>
      <c r="S259" s="664"/>
      <c r="T259" s="664"/>
      <c r="U259" s="664"/>
      <c r="V259" s="665"/>
      <c r="W259" s="37" t="s">
        <v>72</v>
      </c>
      <c r="X259" s="649">
        <f>IFERROR(X258/H258,"0")</f>
        <v>0</v>
      </c>
      <c r="Y259" s="649">
        <f>IFERROR(Y258/H258,"0")</f>
        <v>0</v>
      </c>
      <c r="Z259" s="649">
        <f>IFERROR(IF(Z258="",0,Z258),"0")</f>
        <v>0</v>
      </c>
      <c r="AA259" s="650"/>
      <c r="AB259" s="650"/>
      <c r="AC259" s="650"/>
    </row>
    <row r="260" spans="1:68" hidden="1" x14ac:dyDescent="0.2">
      <c r="A260" s="660"/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9"/>
      <c r="P260" s="663" t="s">
        <v>71</v>
      </c>
      <c r="Q260" s="664"/>
      <c r="R260" s="664"/>
      <c r="S260" s="664"/>
      <c r="T260" s="664"/>
      <c r="U260" s="664"/>
      <c r="V260" s="665"/>
      <c r="W260" s="37" t="s">
        <v>66</v>
      </c>
      <c r="X260" s="649">
        <f>IFERROR(SUM(X258:X258),"0")</f>
        <v>0</v>
      </c>
      <c r="Y260" s="649">
        <f>IFERROR(SUM(Y258:Y258),"0")</f>
        <v>0</v>
      </c>
      <c r="Z260" s="37"/>
      <c r="AA260" s="650"/>
      <c r="AB260" s="650"/>
      <c r="AC260" s="650"/>
    </row>
    <row r="261" spans="1:68" ht="16.5" hidden="1" customHeight="1" x14ac:dyDescent="0.25">
      <c r="A261" s="672" t="s">
        <v>436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42"/>
      <c r="AB261" s="642"/>
      <c r="AC261" s="642"/>
    </row>
    <row r="262" spans="1:68" ht="14.25" hidden="1" customHeight="1" x14ac:dyDescent="0.25">
      <c r="A262" s="659" t="s">
        <v>110</v>
      </c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0"/>
      <c r="P262" s="660"/>
      <c r="Q262" s="660"/>
      <c r="R262" s="660"/>
      <c r="S262" s="660"/>
      <c r="T262" s="660"/>
      <c r="U262" s="660"/>
      <c r="V262" s="660"/>
      <c r="W262" s="660"/>
      <c r="X262" s="660"/>
      <c r="Y262" s="660"/>
      <c r="Z262" s="660"/>
      <c r="AA262" s="643"/>
      <c r="AB262" s="643"/>
      <c r="AC262" s="643"/>
    </row>
    <row r="263" spans="1:68" ht="27" hidden="1" customHeight="1" x14ac:dyDescent="0.25">
      <c r="A263" s="54" t="s">
        <v>437</v>
      </c>
      <c r="B263" s="54" t="s">
        <v>438</v>
      </c>
      <c r="C263" s="31">
        <v>4301011450</v>
      </c>
      <c r="D263" s="651">
        <v>4680115881402</v>
      </c>
      <c r="E263" s="652"/>
      <c r="F263" s="646">
        <v>1.35</v>
      </c>
      <c r="G263" s="32">
        <v>8</v>
      </c>
      <c r="H263" s="646">
        <v>10.8</v>
      </c>
      <c r="I263" s="646">
        <v>11.21</v>
      </c>
      <c r="J263" s="32">
        <v>64</v>
      </c>
      <c r="K263" s="32" t="s">
        <v>113</v>
      </c>
      <c r="L263" s="32"/>
      <c r="M263" s="33" t="s">
        <v>114</v>
      </c>
      <c r="N263" s="33"/>
      <c r="O263" s="32">
        <v>55</v>
      </c>
      <c r="P263" s="9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54"/>
      <c r="R263" s="654"/>
      <c r="S263" s="654"/>
      <c r="T263" s="655"/>
      <c r="U263" s="34"/>
      <c r="V263" s="34"/>
      <c r="W263" s="35" t="s">
        <v>66</v>
      </c>
      <c r="X263" s="647">
        <v>0</v>
      </c>
      <c r="Y263" s="6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37" t="s">
        <v>439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4301011768</v>
      </c>
      <c r="D264" s="651">
        <v>4680115881396</v>
      </c>
      <c r="E264" s="652"/>
      <c r="F264" s="646">
        <v>0.45</v>
      </c>
      <c r="G264" s="32">
        <v>6</v>
      </c>
      <c r="H264" s="646">
        <v>2.7</v>
      </c>
      <c r="I264" s="646">
        <v>2.88</v>
      </c>
      <c r="J264" s="32">
        <v>182</v>
      </c>
      <c r="K264" s="32" t="s">
        <v>76</v>
      </c>
      <c r="L264" s="32"/>
      <c r="M264" s="33" t="s">
        <v>114</v>
      </c>
      <c r="N264" s="33"/>
      <c r="O264" s="32">
        <v>55</v>
      </c>
      <c r="P264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54"/>
      <c r="R264" s="654"/>
      <c r="S264" s="654"/>
      <c r="T264" s="655"/>
      <c r="U264" s="34"/>
      <c r="V264" s="34"/>
      <c r="W264" s="35" t="s">
        <v>66</v>
      </c>
      <c r="X264" s="647">
        <v>0</v>
      </c>
      <c r="Y264" s="648">
        <f>IFERROR(IF(X264="",0,CEILING((X264/$H264),1)*$H264),"")</f>
        <v>0</v>
      </c>
      <c r="Z264" s="36" t="str">
        <f>IFERROR(IF(Y264=0,"",ROUNDUP(Y264/H264,0)*0.00651),"")</f>
        <v/>
      </c>
      <c r="AA264" s="56"/>
      <c r="AB264" s="57"/>
      <c r="AC264" s="339" t="s">
        <v>439</v>
      </c>
      <c r="AG264" s="64"/>
      <c r="AJ264" s="68"/>
      <c r="AK264" s="68">
        <v>0</v>
      </c>
      <c r="BB264" s="34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idden="1" x14ac:dyDescent="0.2">
      <c r="A265" s="668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9"/>
      <c r="P265" s="663" t="s">
        <v>71</v>
      </c>
      <c r="Q265" s="664"/>
      <c r="R265" s="664"/>
      <c r="S265" s="664"/>
      <c r="T265" s="664"/>
      <c r="U265" s="664"/>
      <c r="V265" s="665"/>
      <c r="W265" s="37" t="s">
        <v>72</v>
      </c>
      <c r="X265" s="649">
        <f>IFERROR(X263/H263,"0")+IFERROR(X264/H264,"0")</f>
        <v>0</v>
      </c>
      <c r="Y265" s="649">
        <f>IFERROR(Y263/H263,"0")+IFERROR(Y264/H264,"0")</f>
        <v>0</v>
      </c>
      <c r="Z265" s="649">
        <f>IFERROR(IF(Z263="",0,Z263),"0")+IFERROR(IF(Z264="",0,Z264),"0")</f>
        <v>0</v>
      </c>
      <c r="AA265" s="650"/>
      <c r="AB265" s="650"/>
      <c r="AC265" s="650"/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9"/>
      <c r="P266" s="663" t="s">
        <v>71</v>
      </c>
      <c r="Q266" s="664"/>
      <c r="R266" s="664"/>
      <c r="S266" s="664"/>
      <c r="T266" s="664"/>
      <c r="U266" s="664"/>
      <c r="V266" s="665"/>
      <c r="W266" s="37" t="s">
        <v>66</v>
      </c>
      <c r="X266" s="649">
        <f>IFERROR(SUM(X263:X264),"0")</f>
        <v>0</v>
      </c>
      <c r="Y266" s="649">
        <f>IFERROR(SUM(Y263:Y264),"0")</f>
        <v>0</v>
      </c>
      <c r="Z266" s="37"/>
      <c r="AA266" s="650"/>
      <c r="AB266" s="650"/>
      <c r="AC266" s="650"/>
    </row>
    <row r="267" spans="1:68" ht="14.25" hidden="1" customHeight="1" x14ac:dyDescent="0.25">
      <c r="A267" s="659" t="s">
        <v>147</v>
      </c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0"/>
      <c r="P267" s="660"/>
      <c r="Q267" s="660"/>
      <c r="R267" s="660"/>
      <c r="S267" s="660"/>
      <c r="T267" s="660"/>
      <c r="U267" s="660"/>
      <c r="V267" s="660"/>
      <c r="W267" s="660"/>
      <c r="X267" s="660"/>
      <c r="Y267" s="660"/>
      <c r="Z267" s="660"/>
      <c r="AA267" s="643"/>
      <c r="AB267" s="643"/>
      <c r="AC267" s="643"/>
    </row>
    <row r="268" spans="1:68" ht="16.5" hidden="1" customHeight="1" x14ac:dyDescent="0.25">
      <c r="A268" s="54" t="s">
        <v>442</v>
      </c>
      <c r="B268" s="54" t="s">
        <v>443</v>
      </c>
      <c r="C268" s="31">
        <v>4301020261</v>
      </c>
      <c r="D268" s="651">
        <v>4680115882935</v>
      </c>
      <c r="E268" s="652"/>
      <c r="F268" s="646">
        <v>1.35</v>
      </c>
      <c r="G268" s="32">
        <v>8</v>
      </c>
      <c r="H268" s="646">
        <v>10.8</v>
      </c>
      <c r="I268" s="646">
        <v>11.21</v>
      </c>
      <c r="J268" s="32">
        <v>64</v>
      </c>
      <c r="K268" s="32" t="s">
        <v>113</v>
      </c>
      <c r="L268" s="32"/>
      <c r="M268" s="33" t="s">
        <v>114</v>
      </c>
      <c r="N268" s="33"/>
      <c r="O268" s="32">
        <v>50</v>
      </c>
      <c r="P268" s="7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54"/>
      <c r="R268" s="654"/>
      <c r="S268" s="654"/>
      <c r="T268" s="655"/>
      <c r="U268" s="34"/>
      <c r="V268" s="34"/>
      <c r="W268" s="35" t="s">
        <v>66</v>
      </c>
      <c r="X268" s="647">
        <v>0</v>
      </c>
      <c r="Y268" s="6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41" t="s">
        <v>444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16.5" hidden="1" customHeight="1" x14ac:dyDescent="0.25">
      <c r="A269" s="54" t="s">
        <v>445</v>
      </c>
      <c r="B269" s="54" t="s">
        <v>446</v>
      </c>
      <c r="C269" s="31">
        <v>4301020220</v>
      </c>
      <c r="D269" s="651">
        <v>4680115880764</v>
      </c>
      <c r="E269" s="652"/>
      <c r="F269" s="646">
        <v>0.35</v>
      </c>
      <c r="G269" s="32">
        <v>6</v>
      </c>
      <c r="H269" s="646">
        <v>2.1</v>
      </c>
      <c r="I269" s="646">
        <v>2.2799999999999998</v>
      </c>
      <c r="J269" s="32">
        <v>182</v>
      </c>
      <c r="K269" s="32" t="s">
        <v>76</v>
      </c>
      <c r="L269" s="32"/>
      <c r="M269" s="33" t="s">
        <v>114</v>
      </c>
      <c r="N269" s="33"/>
      <c r="O269" s="32">
        <v>50</v>
      </c>
      <c r="P269" s="9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54"/>
      <c r="R269" s="654"/>
      <c r="S269" s="654"/>
      <c r="T269" s="655"/>
      <c r="U269" s="34"/>
      <c r="V269" s="34"/>
      <c r="W269" s="35" t="s">
        <v>66</v>
      </c>
      <c r="X269" s="647">
        <v>0</v>
      </c>
      <c r="Y269" s="648">
        <f>IFERROR(IF(X269="",0,CEILING((X269/$H269),1)*$H269),"")</f>
        <v>0</v>
      </c>
      <c r="Z269" s="36" t="str">
        <f>IFERROR(IF(Y269=0,"",ROUNDUP(Y269/H269,0)*0.00651),"")</f>
        <v/>
      </c>
      <c r="AA269" s="56"/>
      <c r="AB269" s="57"/>
      <c r="AC269" s="343" t="s">
        <v>444</v>
      </c>
      <c r="AG269" s="64"/>
      <c r="AJ269" s="68"/>
      <c r="AK269" s="68">
        <v>0</v>
      </c>
      <c r="BB269" s="344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idden="1" x14ac:dyDescent="0.2">
      <c r="A270" s="668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9"/>
      <c r="P270" s="663" t="s">
        <v>71</v>
      </c>
      <c r="Q270" s="664"/>
      <c r="R270" s="664"/>
      <c r="S270" s="664"/>
      <c r="T270" s="664"/>
      <c r="U270" s="664"/>
      <c r="V270" s="665"/>
      <c r="W270" s="37" t="s">
        <v>72</v>
      </c>
      <c r="X270" s="649">
        <f>IFERROR(X268/H268,"0")+IFERROR(X269/H269,"0")</f>
        <v>0</v>
      </c>
      <c r="Y270" s="649">
        <f>IFERROR(Y268/H268,"0")+IFERROR(Y269/H269,"0")</f>
        <v>0</v>
      </c>
      <c r="Z270" s="649">
        <f>IFERROR(IF(Z268="",0,Z268),"0")+IFERROR(IF(Z269="",0,Z269),"0")</f>
        <v>0</v>
      </c>
      <c r="AA270" s="650"/>
      <c r="AB270" s="650"/>
      <c r="AC270" s="650"/>
    </row>
    <row r="271" spans="1:68" hidden="1" x14ac:dyDescent="0.2">
      <c r="A271" s="660"/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9"/>
      <c r="P271" s="663" t="s">
        <v>71</v>
      </c>
      <c r="Q271" s="664"/>
      <c r="R271" s="664"/>
      <c r="S271" s="664"/>
      <c r="T271" s="664"/>
      <c r="U271" s="664"/>
      <c r="V271" s="665"/>
      <c r="W271" s="37" t="s">
        <v>66</v>
      </c>
      <c r="X271" s="649">
        <f>IFERROR(SUM(X268:X269),"0")</f>
        <v>0</v>
      </c>
      <c r="Y271" s="649">
        <f>IFERROR(SUM(Y268:Y269),"0")</f>
        <v>0</v>
      </c>
      <c r="Z271" s="37"/>
      <c r="AA271" s="650"/>
      <c r="AB271" s="650"/>
      <c r="AC271" s="650"/>
    </row>
    <row r="272" spans="1:68" ht="14.25" hidden="1" customHeight="1" x14ac:dyDescent="0.25">
      <c r="A272" s="659" t="s">
        <v>61</v>
      </c>
      <c r="B272" s="660"/>
      <c r="C272" s="660"/>
      <c r="D272" s="660"/>
      <c r="E272" s="660"/>
      <c r="F272" s="660"/>
      <c r="G272" s="660"/>
      <c r="H272" s="660"/>
      <c r="I272" s="660"/>
      <c r="J272" s="660"/>
      <c r="K272" s="660"/>
      <c r="L272" s="660"/>
      <c r="M272" s="660"/>
      <c r="N272" s="660"/>
      <c r="O272" s="660"/>
      <c r="P272" s="660"/>
      <c r="Q272" s="660"/>
      <c r="R272" s="660"/>
      <c r="S272" s="660"/>
      <c r="T272" s="660"/>
      <c r="U272" s="660"/>
      <c r="V272" s="660"/>
      <c r="W272" s="660"/>
      <c r="X272" s="660"/>
      <c r="Y272" s="660"/>
      <c r="Z272" s="660"/>
      <c r="AA272" s="643"/>
      <c r="AB272" s="643"/>
      <c r="AC272" s="643"/>
    </row>
    <row r="273" spans="1:68" ht="27" hidden="1" customHeight="1" x14ac:dyDescent="0.25">
      <c r="A273" s="54" t="s">
        <v>447</v>
      </c>
      <c r="B273" s="54" t="s">
        <v>448</v>
      </c>
      <c r="C273" s="31">
        <v>4301031224</v>
      </c>
      <c r="D273" s="651">
        <v>4680115882683</v>
      </c>
      <c r="E273" s="652"/>
      <c r="F273" s="646">
        <v>0.9</v>
      </c>
      <c r="G273" s="32">
        <v>6</v>
      </c>
      <c r="H273" s="646">
        <v>5.4</v>
      </c>
      <c r="I273" s="646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54"/>
      <c r="R273" s="654"/>
      <c r="S273" s="654"/>
      <c r="T273" s="655"/>
      <c r="U273" s="34"/>
      <c r="V273" s="34"/>
      <c r="W273" s="35" t="s">
        <v>66</v>
      </c>
      <c r="X273" s="647">
        <v>0</v>
      </c>
      <c r="Y273" s="648">
        <f t="shared" ref="Y273:Y280" si="38">IFERROR(IF(X273="",0,CEILING((X273/$H273),1)*$H273),"")</f>
        <v>0</v>
      </c>
      <c r="Z273" s="36" t="str">
        <f>IFERROR(IF(Y273=0,"",ROUNDUP(Y273/H273,0)*0.00902),"")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ref="BM273:BM280" si="39">IFERROR(X273*I273/H273,"0")</f>
        <v>0</v>
      </c>
      <c r="BN273" s="64">
        <f t="shared" ref="BN273:BN280" si="40">IFERROR(Y273*I273/H273,"0")</f>
        <v>0</v>
      </c>
      <c r="BO273" s="64">
        <f t="shared" ref="BO273:BO280" si="41">IFERROR(1/J273*(X273/H273),"0")</f>
        <v>0</v>
      </c>
      <c r="BP273" s="64">
        <f t="shared" ref="BP273:BP280" si="42"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4301031230</v>
      </c>
      <c r="D274" s="651">
        <v>4680115882690</v>
      </c>
      <c r="E274" s="652"/>
      <c r="F274" s="646">
        <v>0.9</v>
      </c>
      <c r="G274" s="32">
        <v>6</v>
      </c>
      <c r="H274" s="646">
        <v>5.4</v>
      </c>
      <c r="I274" s="646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9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54"/>
      <c r="R274" s="654"/>
      <c r="S274" s="654"/>
      <c r="T274" s="655"/>
      <c r="U274" s="34"/>
      <c r="V274" s="34"/>
      <c r="W274" s="35" t="s">
        <v>66</v>
      </c>
      <c r="X274" s="647">
        <v>93</v>
      </c>
      <c r="Y274" s="648">
        <f t="shared" si="38"/>
        <v>97.2</v>
      </c>
      <c r="Z274" s="36">
        <f>IFERROR(IF(Y274=0,"",ROUNDUP(Y274/H274,0)*0.00902),"")</f>
        <v>0.16236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96.272222222222211</v>
      </c>
      <c r="BN274" s="64">
        <f t="shared" si="40"/>
        <v>100.61999999999999</v>
      </c>
      <c r="BO274" s="64">
        <f t="shared" si="41"/>
        <v>0.13047138047138046</v>
      </c>
      <c r="BP274" s="64">
        <f t="shared" si="42"/>
        <v>0.13636363636363635</v>
      </c>
    </row>
    <row r="275" spans="1:68" ht="27" customHeight="1" x14ac:dyDescent="0.25">
      <c r="A275" s="54" t="s">
        <v>453</v>
      </c>
      <c r="B275" s="54" t="s">
        <v>454</v>
      </c>
      <c r="C275" s="31">
        <v>4301031220</v>
      </c>
      <c r="D275" s="651">
        <v>4680115882669</v>
      </c>
      <c r="E275" s="652"/>
      <c r="F275" s="646">
        <v>0.9</v>
      </c>
      <c r="G275" s="32">
        <v>6</v>
      </c>
      <c r="H275" s="646">
        <v>5.4</v>
      </c>
      <c r="I275" s="646">
        <v>5.59</v>
      </c>
      <c r="J275" s="32">
        <v>132</v>
      </c>
      <c r="K275" s="32" t="s">
        <v>122</v>
      </c>
      <c r="L275" s="32"/>
      <c r="M275" s="33" t="s">
        <v>65</v>
      </c>
      <c r="N275" s="33"/>
      <c r="O275" s="32">
        <v>40</v>
      </c>
      <c r="P275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54"/>
      <c r="R275" s="654"/>
      <c r="S275" s="654"/>
      <c r="T275" s="655"/>
      <c r="U275" s="34"/>
      <c r="V275" s="34"/>
      <c r="W275" s="35" t="s">
        <v>66</v>
      </c>
      <c r="X275" s="647">
        <v>130</v>
      </c>
      <c r="Y275" s="648">
        <f t="shared" si="38"/>
        <v>135</v>
      </c>
      <c r="Z275" s="36">
        <f>IFERROR(IF(Y275=0,"",ROUNDUP(Y275/H275,0)*0.00902),"")</f>
        <v>0.22550000000000001</v>
      </c>
      <c r="AA275" s="56"/>
      <c r="AB275" s="57"/>
      <c r="AC275" s="349" t="s">
        <v>455</v>
      </c>
      <c r="AG275" s="64"/>
      <c r="AJ275" s="68"/>
      <c r="AK275" s="68">
        <v>0</v>
      </c>
      <c r="BB275" s="350" t="s">
        <v>1</v>
      </c>
      <c r="BM275" s="64">
        <f t="shared" si="39"/>
        <v>134.57407407407405</v>
      </c>
      <c r="BN275" s="64">
        <f t="shared" si="40"/>
        <v>139.75</v>
      </c>
      <c r="BO275" s="64">
        <f t="shared" si="41"/>
        <v>0.18237934904601572</v>
      </c>
      <c r="BP275" s="64">
        <f t="shared" si="42"/>
        <v>0.18939393939393939</v>
      </c>
    </row>
    <row r="276" spans="1:68" ht="27" hidden="1" customHeight="1" x14ac:dyDescent="0.25">
      <c r="A276" s="54" t="s">
        <v>456</v>
      </c>
      <c r="B276" s="54" t="s">
        <v>457</v>
      </c>
      <c r="C276" s="31">
        <v>4301031221</v>
      </c>
      <c r="D276" s="651">
        <v>4680115882676</v>
      </c>
      <c r="E276" s="652"/>
      <c r="F276" s="646">
        <v>0.9</v>
      </c>
      <c r="G276" s="32">
        <v>6</v>
      </c>
      <c r="H276" s="646">
        <v>5.4</v>
      </c>
      <c r="I276" s="646">
        <v>5.59</v>
      </c>
      <c r="J276" s="32">
        <v>132</v>
      </c>
      <c r="K276" s="32" t="s">
        <v>122</v>
      </c>
      <c r="L276" s="32"/>
      <c r="M276" s="33" t="s">
        <v>65</v>
      </c>
      <c r="N276" s="33"/>
      <c r="O276" s="32">
        <v>40</v>
      </c>
      <c r="P276" s="9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54"/>
      <c r="R276" s="654"/>
      <c r="S276" s="654"/>
      <c r="T276" s="655"/>
      <c r="U276" s="34"/>
      <c r="V276" s="34"/>
      <c r="W276" s="35" t="s">
        <v>66</v>
      </c>
      <c r="X276" s="647">
        <v>0</v>
      </c>
      <c r="Y276" s="648">
        <f t="shared" si="38"/>
        <v>0</v>
      </c>
      <c r="Z276" s="36" t="str">
        <f>IFERROR(IF(Y276=0,"",ROUNDUP(Y276/H276,0)*0.00902),"")</f>
        <v/>
      </c>
      <c r="AA276" s="56"/>
      <c r="AB276" s="57"/>
      <c r="AC276" s="351" t="s">
        <v>458</v>
      </c>
      <c r="AG276" s="64"/>
      <c r="AJ276" s="68"/>
      <c r="AK276" s="68">
        <v>0</v>
      </c>
      <c r="BB276" s="352" t="s">
        <v>1</v>
      </c>
      <c r="BM276" s="64">
        <f t="shared" si="39"/>
        <v>0</v>
      </c>
      <c r="BN276" s="64">
        <f t="shared" si="40"/>
        <v>0</v>
      </c>
      <c r="BO276" s="64">
        <f t="shared" si="41"/>
        <v>0</v>
      </c>
      <c r="BP276" s="64">
        <f t="shared" si="42"/>
        <v>0</v>
      </c>
    </row>
    <row r="277" spans="1:68" ht="27" hidden="1" customHeight="1" x14ac:dyDescent="0.25">
      <c r="A277" s="54" t="s">
        <v>459</v>
      </c>
      <c r="B277" s="54" t="s">
        <v>460</v>
      </c>
      <c r="C277" s="31">
        <v>4301031223</v>
      </c>
      <c r="D277" s="651">
        <v>4680115884014</v>
      </c>
      <c r="E277" s="652"/>
      <c r="F277" s="646">
        <v>0.3</v>
      </c>
      <c r="G277" s="32">
        <v>6</v>
      </c>
      <c r="H277" s="646">
        <v>1.8</v>
      </c>
      <c r="I277" s="646">
        <v>1.93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54"/>
      <c r="R277" s="654"/>
      <c r="S277" s="654"/>
      <c r="T277" s="655"/>
      <c r="U277" s="34"/>
      <c r="V277" s="34"/>
      <c r="W277" s="35" t="s">
        <v>66</v>
      </c>
      <c r="X277" s="647">
        <v>0</v>
      </c>
      <c r="Y277" s="648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hidden="1" customHeight="1" x14ac:dyDescent="0.25">
      <c r="A278" s="54" t="s">
        <v>461</v>
      </c>
      <c r="B278" s="54" t="s">
        <v>462</v>
      </c>
      <c r="C278" s="31">
        <v>4301031222</v>
      </c>
      <c r="D278" s="651">
        <v>4680115884007</v>
      </c>
      <c r="E278" s="652"/>
      <c r="F278" s="646">
        <v>0.3</v>
      </c>
      <c r="G278" s="32">
        <v>6</v>
      </c>
      <c r="H278" s="646">
        <v>1.8</v>
      </c>
      <c r="I278" s="646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54"/>
      <c r="R278" s="654"/>
      <c r="S278" s="654"/>
      <c r="T278" s="655"/>
      <c r="U278" s="34"/>
      <c r="V278" s="34"/>
      <c r="W278" s="35" t="s">
        <v>66</v>
      </c>
      <c r="X278" s="647">
        <v>0</v>
      </c>
      <c r="Y278" s="648">
        <f t="shared" si="38"/>
        <v>0</v>
      </c>
      <c r="Z278" s="36" t="str">
        <f>IFERROR(IF(Y278=0,"",ROUNDUP(Y278/H278,0)*0.00502),"")</f>
        <v/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0</v>
      </c>
      <c r="BN278" s="64">
        <f t="shared" si="40"/>
        <v>0</v>
      </c>
      <c r="BO278" s="64">
        <f t="shared" si="41"/>
        <v>0</v>
      </c>
      <c r="BP278" s="64">
        <f t="shared" si="42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4301031229</v>
      </c>
      <c r="D279" s="651">
        <v>4680115884038</v>
      </c>
      <c r="E279" s="652"/>
      <c r="F279" s="646">
        <v>0.3</v>
      </c>
      <c r="G279" s="32">
        <v>6</v>
      </c>
      <c r="H279" s="646">
        <v>1.8</v>
      </c>
      <c r="I279" s="646">
        <v>1.9</v>
      </c>
      <c r="J279" s="32">
        <v>234</v>
      </c>
      <c r="K279" s="32" t="s">
        <v>64</v>
      </c>
      <c r="L279" s="32"/>
      <c r="M279" s="33" t="s">
        <v>65</v>
      </c>
      <c r="N279" s="33"/>
      <c r="O279" s="32">
        <v>40</v>
      </c>
      <c r="P279" s="8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54"/>
      <c r="R279" s="654"/>
      <c r="S279" s="654"/>
      <c r="T279" s="655"/>
      <c r="U279" s="34"/>
      <c r="V279" s="34"/>
      <c r="W279" s="35" t="s">
        <v>66</v>
      </c>
      <c r="X279" s="647">
        <v>0</v>
      </c>
      <c r="Y279" s="648">
        <f t="shared" si="38"/>
        <v>0</v>
      </c>
      <c r="Z279" s="36" t="str">
        <f>IFERROR(IF(Y279=0,"",ROUNDUP(Y279/H279,0)*0.00502),"")</f>
        <v/>
      </c>
      <c r="AA279" s="56"/>
      <c r="AB279" s="57"/>
      <c r="AC279" s="357" t="s">
        <v>455</v>
      </c>
      <c r="AG279" s="64"/>
      <c r="AJ279" s="68"/>
      <c r="AK279" s="68">
        <v>0</v>
      </c>
      <c r="BB279" s="358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465</v>
      </c>
      <c r="B280" s="54" t="s">
        <v>466</v>
      </c>
      <c r="C280" s="31">
        <v>4301031225</v>
      </c>
      <c r="D280" s="651">
        <v>4680115884021</v>
      </c>
      <c r="E280" s="652"/>
      <c r="F280" s="646">
        <v>0.3</v>
      </c>
      <c r="G280" s="32">
        <v>6</v>
      </c>
      <c r="H280" s="646">
        <v>1.8</v>
      </c>
      <c r="I280" s="646">
        <v>1.9</v>
      </c>
      <c r="J280" s="32">
        <v>234</v>
      </c>
      <c r="K280" s="32" t="s">
        <v>64</v>
      </c>
      <c r="L280" s="32"/>
      <c r="M280" s="33" t="s">
        <v>65</v>
      </c>
      <c r="N280" s="33"/>
      <c r="O280" s="32">
        <v>40</v>
      </c>
      <c r="P280" s="7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54"/>
      <c r="R280" s="654"/>
      <c r="S280" s="654"/>
      <c r="T280" s="655"/>
      <c r="U280" s="34"/>
      <c r="V280" s="34"/>
      <c r="W280" s="35" t="s">
        <v>66</v>
      </c>
      <c r="X280" s="647">
        <v>0</v>
      </c>
      <c r="Y280" s="648">
        <f t="shared" si="38"/>
        <v>0</v>
      </c>
      <c r="Z280" s="36" t="str">
        <f>IFERROR(IF(Y280=0,"",ROUNDUP(Y280/H280,0)*0.00502),"")</f>
        <v/>
      </c>
      <c r="AA280" s="56"/>
      <c r="AB280" s="57"/>
      <c r="AC280" s="359" t="s">
        <v>458</v>
      </c>
      <c r="AG280" s="64"/>
      <c r="AJ280" s="68"/>
      <c r="AK280" s="68">
        <v>0</v>
      </c>
      <c r="BB280" s="360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x14ac:dyDescent="0.2">
      <c r="A281" s="668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9"/>
      <c r="P281" s="663" t="s">
        <v>71</v>
      </c>
      <c r="Q281" s="664"/>
      <c r="R281" s="664"/>
      <c r="S281" s="664"/>
      <c r="T281" s="664"/>
      <c r="U281" s="664"/>
      <c r="V281" s="665"/>
      <c r="W281" s="37" t="s">
        <v>72</v>
      </c>
      <c r="X281" s="649">
        <f>IFERROR(X273/H273,"0")+IFERROR(X274/H274,"0")+IFERROR(X275/H275,"0")+IFERROR(X276/H276,"0")+IFERROR(X277/H277,"0")+IFERROR(X278/H278,"0")+IFERROR(X279/H279,"0")+IFERROR(X280/H280,"0")</f>
        <v>41.296296296296291</v>
      </c>
      <c r="Y281" s="649">
        <f>IFERROR(Y273/H273,"0")+IFERROR(Y274/H274,"0")+IFERROR(Y275/H275,"0")+IFERROR(Y276/H276,"0")+IFERROR(Y277/H277,"0")+IFERROR(Y278/H278,"0")+IFERROR(Y279/H279,"0")+IFERROR(Y280/H280,"0")</f>
        <v>43</v>
      </c>
      <c r="Z281" s="649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0.38785999999999998</v>
      </c>
      <c r="AA281" s="650"/>
      <c r="AB281" s="650"/>
      <c r="AC281" s="650"/>
    </row>
    <row r="282" spans="1:68" x14ac:dyDescent="0.2">
      <c r="A282" s="660"/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9"/>
      <c r="P282" s="663" t="s">
        <v>71</v>
      </c>
      <c r="Q282" s="664"/>
      <c r="R282" s="664"/>
      <c r="S282" s="664"/>
      <c r="T282" s="664"/>
      <c r="U282" s="664"/>
      <c r="V282" s="665"/>
      <c r="W282" s="37" t="s">
        <v>66</v>
      </c>
      <c r="X282" s="649">
        <f>IFERROR(SUM(X273:X280),"0")</f>
        <v>223</v>
      </c>
      <c r="Y282" s="649">
        <f>IFERROR(SUM(Y273:Y280),"0")</f>
        <v>232.2</v>
      </c>
      <c r="Z282" s="37"/>
      <c r="AA282" s="650"/>
      <c r="AB282" s="650"/>
      <c r="AC282" s="650"/>
    </row>
    <row r="283" spans="1:68" ht="14.25" hidden="1" customHeight="1" x14ac:dyDescent="0.25">
      <c r="A283" s="659" t="s">
        <v>73</v>
      </c>
      <c r="B283" s="660"/>
      <c r="C283" s="660"/>
      <c r="D283" s="660"/>
      <c r="E283" s="660"/>
      <c r="F283" s="660"/>
      <c r="G283" s="660"/>
      <c r="H283" s="660"/>
      <c r="I283" s="660"/>
      <c r="J283" s="660"/>
      <c r="K283" s="660"/>
      <c r="L283" s="660"/>
      <c r="M283" s="660"/>
      <c r="N283" s="660"/>
      <c r="O283" s="660"/>
      <c r="P283" s="660"/>
      <c r="Q283" s="660"/>
      <c r="R283" s="660"/>
      <c r="S283" s="660"/>
      <c r="T283" s="660"/>
      <c r="U283" s="660"/>
      <c r="V283" s="660"/>
      <c r="W283" s="660"/>
      <c r="X283" s="660"/>
      <c r="Y283" s="660"/>
      <c r="Z283" s="660"/>
      <c r="AA283" s="643"/>
      <c r="AB283" s="643"/>
      <c r="AC283" s="643"/>
    </row>
    <row r="284" spans="1:68" ht="27" customHeight="1" x14ac:dyDescent="0.25">
      <c r="A284" s="54" t="s">
        <v>467</v>
      </c>
      <c r="B284" s="54" t="s">
        <v>468</v>
      </c>
      <c r="C284" s="31">
        <v>4301051408</v>
      </c>
      <c r="D284" s="651">
        <v>4680115881594</v>
      </c>
      <c r="E284" s="652"/>
      <c r="F284" s="646">
        <v>1.35</v>
      </c>
      <c r="G284" s="32">
        <v>6</v>
      </c>
      <c r="H284" s="646">
        <v>8.1</v>
      </c>
      <c r="I284" s="646">
        <v>8.5939999999999994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40</v>
      </c>
      <c r="P284" s="76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54"/>
      <c r="R284" s="654"/>
      <c r="S284" s="654"/>
      <c r="T284" s="655"/>
      <c r="U284" s="34"/>
      <c r="V284" s="34"/>
      <c r="W284" s="35" t="s">
        <v>66</v>
      </c>
      <c r="X284" s="647">
        <v>155</v>
      </c>
      <c r="Y284" s="648">
        <f t="shared" ref="Y284:Y295" si="43">IFERROR(IF(X284="",0,CEILING((X284/$H284),1)*$H284),"")</f>
        <v>162</v>
      </c>
      <c r="Z284" s="36">
        <f>IFERROR(IF(Y284=0,"",ROUNDUP(Y284/H284,0)*0.01898),"")</f>
        <v>0.37959999999999999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ref="BM284:BM295" si="44">IFERROR(X284*I284/H284,"0")</f>
        <v>164.45308641975308</v>
      </c>
      <c r="BN284" s="64">
        <f t="shared" ref="BN284:BN295" si="45">IFERROR(Y284*I284/H284,"0")</f>
        <v>171.88</v>
      </c>
      <c r="BO284" s="64">
        <f t="shared" ref="BO284:BO295" si="46">IFERROR(1/J284*(X284/H284),"0")</f>
        <v>0.29899691358024694</v>
      </c>
      <c r="BP284" s="64">
        <f t="shared" ref="BP284:BP295" si="47">IFERROR(1/J284*(Y284/H284),"0")</f>
        <v>0.3125</v>
      </c>
    </row>
    <row r="285" spans="1:68" ht="27" customHeight="1" x14ac:dyDescent="0.25">
      <c r="A285" s="54" t="s">
        <v>470</v>
      </c>
      <c r="B285" s="54" t="s">
        <v>471</v>
      </c>
      <c r="C285" s="31">
        <v>4301051411</v>
      </c>
      <c r="D285" s="651">
        <v>4680115881617</v>
      </c>
      <c r="E285" s="652"/>
      <c r="F285" s="646">
        <v>1.35</v>
      </c>
      <c r="G285" s="32">
        <v>6</v>
      </c>
      <c r="H285" s="646">
        <v>8.1</v>
      </c>
      <c r="I285" s="646">
        <v>8.5760000000000005</v>
      </c>
      <c r="J285" s="32">
        <v>64</v>
      </c>
      <c r="K285" s="32" t="s">
        <v>113</v>
      </c>
      <c r="L285" s="32"/>
      <c r="M285" s="33" t="s">
        <v>77</v>
      </c>
      <c r="N285" s="33"/>
      <c r="O285" s="32">
        <v>40</v>
      </c>
      <c r="P285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54"/>
      <c r="R285" s="654"/>
      <c r="S285" s="654"/>
      <c r="T285" s="655"/>
      <c r="U285" s="34"/>
      <c r="V285" s="34"/>
      <c r="W285" s="35" t="s">
        <v>66</v>
      </c>
      <c r="X285" s="647">
        <v>78</v>
      </c>
      <c r="Y285" s="648">
        <f t="shared" si="43"/>
        <v>81</v>
      </c>
      <c r="Z285" s="36">
        <f>IFERROR(IF(Y285=0,"",ROUNDUP(Y285/H285,0)*0.01898),"")</f>
        <v>0.1898</v>
      </c>
      <c r="AA285" s="56"/>
      <c r="AB285" s="57"/>
      <c r="AC285" s="363" t="s">
        <v>472</v>
      </c>
      <c r="AG285" s="64"/>
      <c r="AJ285" s="68"/>
      <c r="AK285" s="68">
        <v>0</v>
      </c>
      <c r="BB285" s="364" t="s">
        <v>1</v>
      </c>
      <c r="BM285" s="64">
        <f t="shared" si="44"/>
        <v>82.583703703703705</v>
      </c>
      <c r="BN285" s="64">
        <f t="shared" si="45"/>
        <v>85.76</v>
      </c>
      <c r="BO285" s="64">
        <f t="shared" si="46"/>
        <v>0.15046296296296297</v>
      </c>
      <c r="BP285" s="64">
        <f t="shared" si="47"/>
        <v>0.15625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4301051656</v>
      </c>
      <c r="D286" s="651">
        <v>4680115880573</v>
      </c>
      <c r="E286" s="652"/>
      <c r="F286" s="646">
        <v>1.45</v>
      </c>
      <c r="G286" s="32">
        <v>6</v>
      </c>
      <c r="H286" s="646">
        <v>8.6999999999999993</v>
      </c>
      <c r="I286" s="646">
        <v>9.1940000000000008</v>
      </c>
      <c r="J286" s="32">
        <v>64</v>
      </c>
      <c r="K286" s="32" t="s">
        <v>113</v>
      </c>
      <c r="L286" s="32"/>
      <c r="M286" s="33" t="s">
        <v>77</v>
      </c>
      <c r="N286" s="33"/>
      <c r="O286" s="32">
        <v>45</v>
      </c>
      <c r="P286" s="7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54"/>
      <c r="R286" s="654"/>
      <c r="S286" s="654"/>
      <c r="T286" s="655"/>
      <c r="U286" s="34"/>
      <c r="V286" s="34"/>
      <c r="W286" s="35" t="s">
        <v>66</v>
      </c>
      <c r="X286" s="647">
        <v>0</v>
      </c>
      <c r="Y286" s="648">
        <f t="shared" si="43"/>
        <v>0</v>
      </c>
      <c r="Z286" s="36" t="str">
        <f>IFERROR(IF(Y286=0,"",ROUNDUP(Y286/H286,0)*0.01898),"")</f>
        <v/>
      </c>
      <c r="AA286" s="56"/>
      <c r="AB286" s="57"/>
      <c r="AC286" s="365" t="s">
        <v>475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4301051407</v>
      </c>
      <c r="D287" s="651">
        <v>4680115882195</v>
      </c>
      <c r="E287" s="652"/>
      <c r="F287" s="646">
        <v>0.4</v>
      </c>
      <c r="G287" s="32">
        <v>6</v>
      </c>
      <c r="H287" s="646">
        <v>2.4</v>
      </c>
      <c r="I287" s="646">
        <v>2.67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40</v>
      </c>
      <c r="P287" s="7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54"/>
      <c r="R287" s="654"/>
      <c r="S287" s="654"/>
      <c r="T287" s="655"/>
      <c r="U287" s="34"/>
      <c r="V287" s="34"/>
      <c r="W287" s="35" t="s">
        <v>66</v>
      </c>
      <c r="X287" s="647">
        <v>135</v>
      </c>
      <c r="Y287" s="648">
        <f t="shared" si="43"/>
        <v>136.79999999999998</v>
      </c>
      <c r="Z287" s="36">
        <f>IFERROR(IF(Y287=0,"",ROUNDUP(Y287/H287,0)*0.00651),"")</f>
        <v>0.37107000000000001</v>
      </c>
      <c r="AA287" s="56"/>
      <c r="AB287" s="57"/>
      <c r="AC287" s="367" t="s">
        <v>469</v>
      </c>
      <c r="AG287" s="64"/>
      <c r="AJ287" s="68"/>
      <c r="AK287" s="68">
        <v>0</v>
      </c>
      <c r="BB287" s="368" t="s">
        <v>1</v>
      </c>
      <c r="BM287" s="64">
        <f t="shared" si="44"/>
        <v>150.1875</v>
      </c>
      <c r="BN287" s="64">
        <f t="shared" si="45"/>
        <v>152.19</v>
      </c>
      <c r="BO287" s="64">
        <f t="shared" si="46"/>
        <v>0.30906593406593408</v>
      </c>
      <c r="BP287" s="64">
        <f t="shared" si="47"/>
        <v>0.31318681318681318</v>
      </c>
    </row>
    <row r="288" spans="1:68" ht="27" hidden="1" customHeight="1" x14ac:dyDescent="0.25">
      <c r="A288" s="54" t="s">
        <v>478</v>
      </c>
      <c r="B288" s="54" t="s">
        <v>479</v>
      </c>
      <c r="C288" s="31">
        <v>4301051752</v>
      </c>
      <c r="D288" s="651">
        <v>4680115882607</v>
      </c>
      <c r="E288" s="652"/>
      <c r="F288" s="646">
        <v>0.3</v>
      </c>
      <c r="G288" s="32">
        <v>6</v>
      </c>
      <c r="H288" s="646">
        <v>1.8</v>
      </c>
      <c r="I288" s="646">
        <v>2.052</v>
      </c>
      <c r="J288" s="32">
        <v>182</v>
      </c>
      <c r="K288" s="32" t="s">
        <v>76</v>
      </c>
      <c r="L288" s="32"/>
      <c r="M288" s="33" t="s">
        <v>83</v>
      </c>
      <c r="N288" s="33"/>
      <c r="O288" s="32">
        <v>45</v>
      </c>
      <c r="P288" s="9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54"/>
      <c r="R288" s="654"/>
      <c r="S288" s="654"/>
      <c r="T288" s="655"/>
      <c r="U288" s="34"/>
      <c r="V288" s="34"/>
      <c r="W288" s="35" t="s">
        <v>66</v>
      </c>
      <c r="X288" s="647">
        <v>0</v>
      </c>
      <c r="Y288" s="648">
        <f t="shared" si="43"/>
        <v>0</v>
      </c>
      <c r="Z288" s="36" t="str">
        <f>IFERROR(IF(Y288=0,"",ROUNDUP(Y288/H288,0)*0.00651),"")</f>
        <v/>
      </c>
      <c r="AA288" s="56"/>
      <c r="AB288" s="57"/>
      <c r="AC288" s="369" t="s">
        <v>475</v>
      </c>
      <c r="AG288" s="64"/>
      <c r="AJ288" s="68"/>
      <c r="AK288" s="68">
        <v>0</v>
      </c>
      <c r="BB288" s="370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ht="27" hidden="1" customHeight="1" x14ac:dyDescent="0.25">
      <c r="A289" s="54" t="s">
        <v>480</v>
      </c>
      <c r="B289" s="54" t="s">
        <v>481</v>
      </c>
      <c r="C289" s="31">
        <v>4301052143</v>
      </c>
      <c r="D289" s="651">
        <v>4680115882607</v>
      </c>
      <c r="E289" s="652"/>
      <c r="F289" s="646">
        <v>0.3</v>
      </c>
      <c r="G289" s="32">
        <v>6</v>
      </c>
      <c r="H289" s="646">
        <v>1.8</v>
      </c>
      <c r="I289" s="646">
        <v>2.0619999999999998</v>
      </c>
      <c r="J289" s="32">
        <v>132</v>
      </c>
      <c r="K289" s="32" t="s">
        <v>122</v>
      </c>
      <c r="L289" s="32"/>
      <c r="M289" s="33" t="s">
        <v>77</v>
      </c>
      <c r="N289" s="33"/>
      <c r="O289" s="32">
        <v>45</v>
      </c>
      <c r="P289" s="80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54"/>
      <c r="R289" s="654"/>
      <c r="S289" s="654"/>
      <c r="T289" s="655"/>
      <c r="U289" s="34"/>
      <c r="V289" s="34"/>
      <c r="W289" s="35" t="s">
        <v>66</v>
      </c>
      <c r="X289" s="647">
        <v>0</v>
      </c>
      <c r="Y289" s="648">
        <f t="shared" si="43"/>
        <v>0</v>
      </c>
      <c r="Z289" s="36" t="str">
        <f>IFERROR(IF(Y289=0,"",ROUNDUP(Y289/H289,0)*0.00902),"")</f>
        <v/>
      </c>
      <c r="AA289" s="56"/>
      <c r="AB289" s="57"/>
      <c r="AC289" s="371" t="s">
        <v>482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483</v>
      </c>
      <c r="B290" s="54" t="s">
        <v>484</v>
      </c>
      <c r="C290" s="31">
        <v>4301051666</v>
      </c>
      <c r="D290" s="651">
        <v>4680115880092</v>
      </c>
      <c r="E290" s="652"/>
      <c r="F290" s="646">
        <v>0.4</v>
      </c>
      <c r="G290" s="32">
        <v>6</v>
      </c>
      <c r="H290" s="646">
        <v>2.4</v>
      </c>
      <c r="I290" s="646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8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54"/>
      <c r="R290" s="654"/>
      <c r="S290" s="654"/>
      <c r="T290" s="655"/>
      <c r="U290" s="34"/>
      <c r="V290" s="34"/>
      <c r="W290" s="35" t="s">
        <v>66</v>
      </c>
      <c r="X290" s="647">
        <v>104</v>
      </c>
      <c r="Y290" s="648">
        <f t="shared" si="43"/>
        <v>105.6</v>
      </c>
      <c r="Z290" s="36">
        <f>IFERROR(IF(Y290=0,"",ROUNDUP(Y290/H290,0)*0.00651),"")</f>
        <v>0.28644000000000003</v>
      </c>
      <c r="AA290" s="56"/>
      <c r="AB290" s="57"/>
      <c r="AC290" s="373" t="s">
        <v>475</v>
      </c>
      <c r="AG290" s="64"/>
      <c r="AJ290" s="68"/>
      <c r="AK290" s="68">
        <v>0</v>
      </c>
      <c r="BB290" s="374" t="s">
        <v>1</v>
      </c>
      <c r="BM290" s="64">
        <f t="shared" si="44"/>
        <v>114.92</v>
      </c>
      <c r="BN290" s="64">
        <f t="shared" si="45"/>
        <v>116.688</v>
      </c>
      <c r="BO290" s="64">
        <f t="shared" si="46"/>
        <v>0.23809523809523814</v>
      </c>
      <c r="BP290" s="64">
        <f t="shared" si="47"/>
        <v>0.24175824175824179</v>
      </c>
    </row>
    <row r="291" spans="1:68" ht="27" hidden="1" customHeight="1" x14ac:dyDescent="0.25">
      <c r="A291" s="54" t="s">
        <v>485</v>
      </c>
      <c r="B291" s="54" t="s">
        <v>486</v>
      </c>
      <c r="C291" s="31">
        <v>4301052214</v>
      </c>
      <c r="D291" s="651">
        <v>4680115889064</v>
      </c>
      <c r="E291" s="652"/>
      <c r="F291" s="646">
        <v>0.7</v>
      </c>
      <c r="G291" s="32">
        <v>6</v>
      </c>
      <c r="H291" s="646">
        <v>4.2</v>
      </c>
      <c r="I291" s="646">
        <v>4.6159999999999997</v>
      </c>
      <c r="J291" s="32">
        <v>104</v>
      </c>
      <c r="K291" s="32" t="s">
        <v>113</v>
      </c>
      <c r="L291" s="32"/>
      <c r="M291" s="33" t="s">
        <v>77</v>
      </c>
      <c r="N291" s="33"/>
      <c r="O291" s="32">
        <v>45</v>
      </c>
      <c r="P291" s="9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54"/>
      <c r="R291" s="654"/>
      <c r="S291" s="654"/>
      <c r="T291" s="655"/>
      <c r="U291" s="34"/>
      <c r="V291" s="34"/>
      <c r="W291" s="35" t="s">
        <v>66</v>
      </c>
      <c r="X291" s="647">
        <v>0</v>
      </c>
      <c r="Y291" s="648">
        <f t="shared" si="43"/>
        <v>0</v>
      </c>
      <c r="Z291" s="36" t="str">
        <f>IFERROR(IF(Y291=0,"",ROUNDUP(Y291/H291,0)*0.01196),"")</f>
        <v/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4"/>
        <v>0</v>
      </c>
      <c r="BN291" s="64">
        <f t="shared" si="45"/>
        <v>0</v>
      </c>
      <c r="BO291" s="64">
        <f t="shared" si="46"/>
        <v>0</v>
      </c>
      <c r="BP291" s="64">
        <f t="shared" si="47"/>
        <v>0</v>
      </c>
    </row>
    <row r="292" spans="1:68" ht="27" customHeight="1" x14ac:dyDescent="0.25">
      <c r="A292" s="54" t="s">
        <v>487</v>
      </c>
      <c r="B292" s="54" t="s">
        <v>488</v>
      </c>
      <c r="C292" s="31">
        <v>4301051668</v>
      </c>
      <c r="D292" s="651">
        <v>4680115880221</v>
      </c>
      <c r="E292" s="652"/>
      <c r="F292" s="646">
        <v>0.4</v>
      </c>
      <c r="G292" s="32">
        <v>6</v>
      </c>
      <c r="H292" s="646">
        <v>2.4</v>
      </c>
      <c r="I292" s="646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45</v>
      </c>
      <c r="P292" s="10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54"/>
      <c r="R292" s="654"/>
      <c r="S292" s="654"/>
      <c r="T292" s="655"/>
      <c r="U292" s="34"/>
      <c r="V292" s="34"/>
      <c r="W292" s="35" t="s">
        <v>66</v>
      </c>
      <c r="X292" s="647">
        <v>52</v>
      </c>
      <c r="Y292" s="648">
        <f t="shared" si="43"/>
        <v>52.8</v>
      </c>
      <c r="Z292" s="36">
        <f>IFERROR(IF(Y292=0,"",ROUNDUP(Y292/H292,0)*0.00651),"")</f>
        <v>0.14322000000000001</v>
      </c>
      <c r="AA292" s="56"/>
      <c r="AB292" s="57"/>
      <c r="AC292" s="377" t="s">
        <v>475</v>
      </c>
      <c r="AG292" s="64"/>
      <c r="AJ292" s="68"/>
      <c r="AK292" s="68">
        <v>0</v>
      </c>
      <c r="BB292" s="378" t="s">
        <v>1</v>
      </c>
      <c r="BM292" s="64">
        <f t="shared" si="44"/>
        <v>57.46</v>
      </c>
      <c r="BN292" s="64">
        <f t="shared" si="45"/>
        <v>58.344000000000001</v>
      </c>
      <c r="BO292" s="64">
        <f t="shared" si="46"/>
        <v>0.11904761904761907</v>
      </c>
      <c r="BP292" s="64">
        <f t="shared" si="47"/>
        <v>0.12087912087912089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4301051945</v>
      </c>
      <c r="D293" s="651">
        <v>4680115880504</v>
      </c>
      <c r="E293" s="652"/>
      <c r="F293" s="646">
        <v>0.4</v>
      </c>
      <c r="G293" s="32">
        <v>6</v>
      </c>
      <c r="H293" s="646">
        <v>2.4</v>
      </c>
      <c r="I293" s="646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10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54"/>
      <c r="R293" s="654"/>
      <c r="S293" s="654"/>
      <c r="T293" s="655"/>
      <c r="U293" s="34"/>
      <c r="V293" s="34"/>
      <c r="W293" s="35" t="s">
        <v>66</v>
      </c>
      <c r="X293" s="647">
        <v>0</v>
      </c>
      <c r="Y293" s="648">
        <f t="shared" si="43"/>
        <v>0</v>
      </c>
      <c r="Z293" s="36" t="str">
        <f>IFERROR(IF(Y293=0,"",ROUNDUP(Y293/H293,0)*0.00651),"")</f>
        <v/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0</v>
      </c>
      <c r="BN293" s="64">
        <f t="shared" si="45"/>
        <v>0</v>
      </c>
      <c r="BO293" s="64">
        <f t="shared" si="46"/>
        <v>0</v>
      </c>
      <c r="BP293" s="64">
        <f t="shared" si="47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4301051410</v>
      </c>
      <c r="D294" s="651">
        <v>4680115882164</v>
      </c>
      <c r="E294" s="652"/>
      <c r="F294" s="646">
        <v>0.4</v>
      </c>
      <c r="G294" s="32">
        <v>6</v>
      </c>
      <c r="H294" s="646">
        <v>2.4</v>
      </c>
      <c r="I294" s="646">
        <v>2.6579999999999999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10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54"/>
      <c r="R294" s="654"/>
      <c r="S294" s="654"/>
      <c r="T294" s="655"/>
      <c r="U294" s="34"/>
      <c r="V294" s="34"/>
      <c r="W294" s="35" t="s">
        <v>66</v>
      </c>
      <c r="X294" s="647">
        <v>0</v>
      </c>
      <c r="Y294" s="648">
        <f t="shared" si="43"/>
        <v>0</v>
      </c>
      <c r="Z294" s="36" t="str">
        <f>IFERROR(IF(Y294=0,"",ROUNDUP(Y294/H294,0)*0.00651),"")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44"/>
        <v>0</v>
      </c>
      <c r="BN294" s="64">
        <f t="shared" si="45"/>
        <v>0</v>
      </c>
      <c r="BO294" s="64">
        <f t="shared" si="46"/>
        <v>0</v>
      </c>
      <c r="BP294" s="64">
        <f t="shared" si="47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4301052180</v>
      </c>
      <c r="D295" s="651">
        <v>4680115888340</v>
      </c>
      <c r="E295" s="652"/>
      <c r="F295" s="646">
        <v>0.4</v>
      </c>
      <c r="G295" s="32">
        <v>6</v>
      </c>
      <c r="H295" s="646">
        <v>2.4</v>
      </c>
      <c r="I295" s="646">
        <v>2.6520000000000001</v>
      </c>
      <c r="J295" s="32">
        <v>182</v>
      </c>
      <c r="K295" s="32" t="s">
        <v>76</v>
      </c>
      <c r="L295" s="32"/>
      <c r="M295" s="33" t="s">
        <v>77</v>
      </c>
      <c r="N295" s="33"/>
      <c r="O295" s="32">
        <v>45</v>
      </c>
      <c r="P295" s="94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54"/>
      <c r="R295" s="654"/>
      <c r="S295" s="654"/>
      <c r="T295" s="655"/>
      <c r="U295" s="34"/>
      <c r="V295" s="34"/>
      <c r="W295" s="35" t="s">
        <v>66</v>
      </c>
      <c r="X295" s="647">
        <v>0</v>
      </c>
      <c r="Y295" s="648">
        <f t="shared" si="43"/>
        <v>0</v>
      </c>
      <c r="Z295" s="36" t="str">
        <f>IFERROR(IF(Y295=0,"",ROUNDUP(Y295/H295,0)*0.00651),"")</f>
        <v/>
      </c>
      <c r="AA295" s="56"/>
      <c r="AB295" s="57"/>
      <c r="AC295" s="383" t="s">
        <v>497</v>
      </c>
      <c r="AG295" s="64"/>
      <c r="AJ295" s="68"/>
      <c r="AK295" s="68">
        <v>0</v>
      </c>
      <c r="BB295" s="384" t="s">
        <v>1</v>
      </c>
      <c r="BM295" s="64">
        <f t="shared" si="44"/>
        <v>0</v>
      </c>
      <c r="BN295" s="64">
        <f t="shared" si="45"/>
        <v>0</v>
      </c>
      <c r="BO295" s="64">
        <f t="shared" si="46"/>
        <v>0</v>
      </c>
      <c r="BP295" s="64">
        <f t="shared" si="47"/>
        <v>0</v>
      </c>
    </row>
    <row r="296" spans="1:68" x14ac:dyDescent="0.2">
      <c r="A296" s="668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9"/>
      <c r="P296" s="663" t="s">
        <v>71</v>
      </c>
      <c r="Q296" s="664"/>
      <c r="R296" s="664"/>
      <c r="S296" s="664"/>
      <c r="T296" s="664"/>
      <c r="U296" s="664"/>
      <c r="V296" s="665"/>
      <c r="W296" s="37" t="s">
        <v>72</v>
      </c>
      <c r="X296" s="649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150.01543209876542</v>
      </c>
      <c r="Y296" s="649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153</v>
      </c>
      <c r="Z296" s="649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1.3701300000000001</v>
      </c>
      <c r="AA296" s="650"/>
      <c r="AB296" s="650"/>
      <c r="AC296" s="650"/>
    </row>
    <row r="297" spans="1:68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9"/>
      <c r="P297" s="663" t="s">
        <v>71</v>
      </c>
      <c r="Q297" s="664"/>
      <c r="R297" s="664"/>
      <c r="S297" s="664"/>
      <c r="T297" s="664"/>
      <c r="U297" s="664"/>
      <c r="V297" s="665"/>
      <c r="W297" s="37" t="s">
        <v>66</v>
      </c>
      <c r="X297" s="649">
        <f>IFERROR(SUM(X284:X295),"0")</f>
        <v>524</v>
      </c>
      <c r="Y297" s="649">
        <f>IFERROR(SUM(Y284:Y295),"0")</f>
        <v>538.19999999999993</v>
      </c>
      <c r="Z297" s="37"/>
      <c r="AA297" s="650"/>
      <c r="AB297" s="650"/>
      <c r="AC297" s="650"/>
    </row>
    <row r="298" spans="1:68" ht="14.25" hidden="1" customHeight="1" x14ac:dyDescent="0.25">
      <c r="A298" s="659" t="s">
        <v>166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43"/>
      <c r="AB298" s="643"/>
      <c r="AC298" s="643"/>
    </row>
    <row r="299" spans="1:68" ht="27" hidden="1" customHeight="1" x14ac:dyDescent="0.25">
      <c r="A299" s="54" t="s">
        <v>498</v>
      </c>
      <c r="B299" s="54" t="s">
        <v>499</v>
      </c>
      <c r="C299" s="31">
        <v>4301060463</v>
      </c>
      <c r="D299" s="651">
        <v>4680115880818</v>
      </c>
      <c r="E299" s="652"/>
      <c r="F299" s="646">
        <v>0.4</v>
      </c>
      <c r="G299" s="32">
        <v>6</v>
      </c>
      <c r="H299" s="646">
        <v>2.4</v>
      </c>
      <c r="I299" s="646">
        <v>2.6520000000000001</v>
      </c>
      <c r="J299" s="32">
        <v>182</v>
      </c>
      <c r="K299" s="32" t="s">
        <v>76</v>
      </c>
      <c r="L299" s="32"/>
      <c r="M299" s="33" t="s">
        <v>83</v>
      </c>
      <c r="N299" s="33"/>
      <c r="O299" s="32">
        <v>40</v>
      </c>
      <c r="P299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54"/>
      <c r="R299" s="654"/>
      <c r="S299" s="654"/>
      <c r="T299" s="655"/>
      <c r="U299" s="34"/>
      <c r="V299" s="34"/>
      <c r="W299" s="35" t="s">
        <v>66</v>
      </c>
      <c r="X299" s="647">
        <v>0</v>
      </c>
      <c r="Y299" s="648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500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501</v>
      </c>
      <c r="B300" s="54" t="s">
        <v>502</v>
      </c>
      <c r="C300" s="31">
        <v>4301060389</v>
      </c>
      <c r="D300" s="651">
        <v>4680115880801</v>
      </c>
      <c r="E300" s="652"/>
      <c r="F300" s="646">
        <v>0.4</v>
      </c>
      <c r="G300" s="32">
        <v>6</v>
      </c>
      <c r="H300" s="646">
        <v>2.4</v>
      </c>
      <c r="I300" s="646">
        <v>2.6520000000000001</v>
      </c>
      <c r="J300" s="32">
        <v>182</v>
      </c>
      <c r="K300" s="32" t="s">
        <v>76</v>
      </c>
      <c r="L300" s="32"/>
      <c r="M300" s="33" t="s">
        <v>77</v>
      </c>
      <c r="N300" s="33"/>
      <c r="O300" s="32">
        <v>40</v>
      </c>
      <c r="P300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54"/>
      <c r="R300" s="654"/>
      <c r="S300" s="654"/>
      <c r="T300" s="655"/>
      <c r="U300" s="34"/>
      <c r="V300" s="34"/>
      <c r="W300" s="35" t="s">
        <v>66</v>
      </c>
      <c r="X300" s="647">
        <v>0</v>
      </c>
      <c r="Y300" s="648">
        <f>IFERROR(IF(X300="",0,CEILING((X300/$H300),1)*$H300),"")</f>
        <v>0</v>
      </c>
      <c r="Z300" s="36" t="str">
        <f>IFERROR(IF(Y300=0,"",ROUNDUP(Y300/H300,0)*0.00651),"")</f>
        <v/>
      </c>
      <c r="AA300" s="56"/>
      <c r="AB300" s="57"/>
      <c r="AC300" s="387" t="s">
        <v>503</v>
      </c>
      <c r="AG300" s="64"/>
      <c r="AJ300" s="68"/>
      <c r="AK300" s="68">
        <v>0</v>
      </c>
      <c r="BB300" s="388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668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9"/>
      <c r="P301" s="663" t="s">
        <v>71</v>
      </c>
      <c r="Q301" s="664"/>
      <c r="R301" s="664"/>
      <c r="S301" s="664"/>
      <c r="T301" s="664"/>
      <c r="U301" s="664"/>
      <c r="V301" s="665"/>
      <c r="W301" s="37" t="s">
        <v>72</v>
      </c>
      <c r="X301" s="649">
        <f>IFERROR(X299/H299,"0")+IFERROR(X300/H300,"0")</f>
        <v>0</v>
      </c>
      <c r="Y301" s="649">
        <f>IFERROR(Y299/H299,"0")+IFERROR(Y300/H300,"0")</f>
        <v>0</v>
      </c>
      <c r="Z301" s="649">
        <f>IFERROR(IF(Z299="",0,Z299),"0")+IFERROR(IF(Z300="",0,Z300),"0")</f>
        <v>0</v>
      </c>
      <c r="AA301" s="650"/>
      <c r="AB301" s="650"/>
      <c r="AC301" s="650"/>
    </row>
    <row r="302" spans="1:68" hidden="1" x14ac:dyDescent="0.2">
      <c r="A302" s="660"/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9"/>
      <c r="P302" s="663" t="s">
        <v>71</v>
      </c>
      <c r="Q302" s="664"/>
      <c r="R302" s="664"/>
      <c r="S302" s="664"/>
      <c r="T302" s="664"/>
      <c r="U302" s="664"/>
      <c r="V302" s="665"/>
      <c r="W302" s="37" t="s">
        <v>66</v>
      </c>
      <c r="X302" s="649">
        <f>IFERROR(SUM(X299:X300),"0")</f>
        <v>0</v>
      </c>
      <c r="Y302" s="649">
        <f>IFERROR(SUM(Y299:Y300),"0")</f>
        <v>0</v>
      </c>
      <c r="Z302" s="37"/>
      <c r="AA302" s="650"/>
      <c r="AB302" s="650"/>
      <c r="AC302" s="650"/>
    </row>
    <row r="303" spans="1:68" ht="16.5" hidden="1" customHeight="1" x14ac:dyDescent="0.25">
      <c r="A303" s="672" t="s">
        <v>504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42"/>
      <c r="AB303" s="642"/>
      <c r="AC303" s="642"/>
    </row>
    <row r="304" spans="1:68" ht="14.25" hidden="1" customHeight="1" x14ac:dyDescent="0.25">
      <c r="A304" s="659" t="s">
        <v>110</v>
      </c>
      <c r="B304" s="660"/>
      <c r="C304" s="660"/>
      <c r="D304" s="660"/>
      <c r="E304" s="660"/>
      <c r="F304" s="660"/>
      <c r="G304" s="660"/>
      <c r="H304" s="660"/>
      <c r="I304" s="660"/>
      <c r="J304" s="660"/>
      <c r="K304" s="660"/>
      <c r="L304" s="660"/>
      <c r="M304" s="660"/>
      <c r="N304" s="660"/>
      <c r="O304" s="660"/>
      <c r="P304" s="660"/>
      <c r="Q304" s="660"/>
      <c r="R304" s="660"/>
      <c r="S304" s="660"/>
      <c r="T304" s="660"/>
      <c r="U304" s="660"/>
      <c r="V304" s="660"/>
      <c r="W304" s="660"/>
      <c r="X304" s="660"/>
      <c r="Y304" s="660"/>
      <c r="Z304" s="660"/>
      <c r="AA304" s="643"/>
      <c r="AB304" s="643"/>
      <c r="AC304" s="643"/>
    </row>
    <row r="305" spans="1:68" ht="27" hidden="1" customHeight="1" x14ac:dyDescent="0.25">
      <c r="A305" s="54" t="s">
        <v>505</v>
      </c>
      <c r="B305" s="54" t="s">
        <v>506</v>
      </c>
      <c r="C305" s="31">
        <v>4301011826</v>
      </c>
      <c r="D305" s="651">
        <v>4680115884137</v>
      </c>
      <c r="E305" s="652"/>
      <c r="F305" s="646">
        <v>1.45</v>
      </c>
      <c r="G305" s="32">
        <v>8</v>
      </c>
      <c r="H305" s="646">
        <v>11.6</v>
      </c>
      <c r="I305" s="646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54"/>
      <c r="R305" s="654"/>
      <c r="S305" s="654"/>
      <c r="T305" s="655"/>
      <c r="U305" s="34"/>
      <c r="V305" s="34"/>
      <c r="W305" s="35" t="s">
        <v>66</v>
      </c>
      <c r="X305" s="647">
        <v>0</v>
      </c>
      <c r="Y305" s="648">
        <f t="shared" ref="Y305:Y311" si="48">IFERROR(IF(X305="",0,CEILING((X305/$H305),1)*$H305),"")</f>
        <v>0</v>
      </c>
      <c r="Z305" s="36" t="str">
        <f>IFERROR(IF(Y305=0,"",ROUNDUP(Y305/H305,0)*0.01898),"")</f>
        <v/>
      </c>
      <c r="AA305" s="56"/>
      <c r="AB305" s="57"/>
      <c r="AC305" s="389" t="s">
        <v>507</v>
      </c>
      <c r="AG305" s="64"/>
      <c r="AJ305" s="68"/>
      <c r="AK305" s="68">
        <v>0</v>
      </c>
      <c r="BB305" s="390" t="s">
        <v>1</v>
      </c>
      <c r="BM305" s="64">
        <f t="shared" ref="BM305:BM311" si="49">IFERROR(X305*I305/H305,"0")</f>
        <v>0</v>
      </c>
      <c r="BN305" s="64">
        <f t="shared" ref="BN305:BN311" si="50">IFERROR(Y305*I305/H305,"0")</f>
        <v>0</v>
      </c>
      <c r="BO305" s="64">
        <f t="shared" ref="BO305:BO311" si="51">IFERROR(1/J305*(X305/H305),"0")</f>
        <v>0</v>
      </c>
      <c r="BP305" s="64">
        <f t="shared" ref="BP305:BP311" si="52">IFERROR(1/J305*(Y305/H305),"0")</f>
        <v>0</v>
      </c>
    </row>
    <row r="306" spans="1:68" ht="27" hidden="1" customHeight="1" x14ac:dyDescent="0.25">
      <c r="A306" s="54" t="s">
        <v>508</v>
      </c>
      <c r="B306" s="54" t="s">
        <v>509</v>
      </c>
      <c r="C306" s="31">
        <v>4301011724</v>
      </c>
      <c r="D306" s="651">
        <v>4680115884236</v>
      </c>
      <c r="E306" s="652"/>
      <c r="F306" s="646">
        <v>1.45</v>
      </c>
      <c r="G306" s="32">
        <v>8</v>
      </c>
      <c r="H306" s="646">
        <v>11.6</v>
      </c>
      <c r="I306" s="646">
        <v>12.01</v>
      </c>
      <c r="J306" s="32">
        <v>64</v>
      </c>
      <c r="K306" s="32" t="s">
        <v>113</v>
      </c>
      <c r="L306" s="32"/>
      <c r="M306" s="33" t="s">
        <v>114</v>
      </c>
      <c r="N306" s="33"/>
      <c r="O306" s="32">
        <v>55</v>
      </c>
      <c r="P306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54"/>
      <c r="R306" s="654"/>
      <c r="S306" s="654"/>
      <c r="T306" s="655"/>
      <c r="U306" s="34"/>
      <c r="V306" s="34"/>
      <c r="W306" s="35" t="s">
        <v>66</v>
      </c>
      <c r="X306" s="647">
        <v>0</v>
      </c>
      <c r="Y306" s="648">
        <f t="shared" si="48"/>
        <v>0</v>
      </c>
      <c r="Z306" s="36" t="str">
        <f>IFERROR(IF(Y306=0,"",ROUNDUP(Y306/H306,0)*0.01898),"")</f>
        <v/>
      </c>
      <c r="AA306" s="56"/>
      <c r="AB306" s="57"/>
      <c r="AC306" s="391" t="s">
        <v>510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511</v>
      </c>
      <c r="B307" s="54" t="s">
        <v>512</v>
      </c>
      <c r="C307" s="31">
        <v>4301011721</v>
      </c>
      <c r="D307" s="651">
        <v>4680115884175</v>
      </c>
      <c r="E307" s="652"/>
      <c r="F307" s="646">
        <v>1.45</v>
      </c>
      <c r="G307" s="32">
        <v>8</v>
      </c>
      <c r="H307" s="646">
        <v>11.6</v>
      </c>
      <c r="I307" s="646">
        <v>12.01</v>
      </c>
      <c r="J307" s="32">
        <v>64</v>
      </c>
      <c r="K307" s="32" t="s">
        <v>113</v>
      </c>
      <c r="L307" s="32"/>
      <c r="M307" s="33" t="s">
        <v>114</v>
      </c>
      <c r="N307" s="33"/>
      <c r="O307" s="32">
        <v>55</v>
      </c>
      <c r="P307" s="102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54"/>
      <c r="R307" s="654"/>
      <c r="S307" s="654"/>
      <c r="T307" s="655"/>
      <c r="U307" s="34"/>
      <c r="V307" s="34"/>
      <c r="W307" s="35" t="s">
        <v>66</v>
      </c>
      <c r="X307" s="647">
        <v>0</v>
      </c>
      <c r="Y307" s="648">
        <f t="shared" si="48"/>
        <v>0</v>
      </c>
      <c r="Z307" s="36" t="str">
        <f>IFERROR(IF(Y307=0,"",ROUNDUP(Y307/H307,0)*0.01898),"")</f>
        <v/>
      </c>
      <c r="AA307" s="56"/>
      <c r="AB307" s="57"/>
      <c r="AC307" s="393" t="s">
        <v>358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513</v>
      </c>
      <c r="B308" s="54" t="s">
        <v>514</v>
      </c>
      <c r="C308" s="31">
        <v>4301011824</v>
      </c>
      <c r="D308" s="651">
        <v>4680115884144</v>
      </c>
      <c r="E308" s="652"/>
      <c r="F308" s="646">
        <v>0.4</v>
      </c>
      <c r="G308" s="32">
        <v>10</v>
      </c>
      <c r="H308" s="646">
        <v>4</v>
      </c>
      <c r="I308" s="646">
        <v>4.1900000000000004</v>
      </c>
      <c r="J308" s="32">
        <v>132</v>
      </c>
      <c r="K308" s="32" t="s">
        <v>122</v>
      </c>
      <c r="L308" s="32"/>
      <c r="M308" s="33" t="s">
        <v>114</v>
      </c>
      <c r="N308" s="33"/>
      <c r="O308" s="32">
        <v>55</v>
      </c>
      <c r="P308" s="82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54"/>
      <c r="R308" s="654"/>
      <c r="S308" s="654"/>
      <c r="T308" s="655"/>
      <c r="U308" s="34"/>
      <c r="V308" s="34"/>
      <c r="W308" s="35" t="s">
        <v>66</v>
      </c>
      <c r="X308" s="647">
        <v>0</v>
      </c>
      <c r="Y308" s="648">
        <f t="shared" si="48"/>
        <v>0</v>
      </c>
      <c r="Z308" s="36" t="str">
        <f>IFERROR(IF(Y308=0,"",ROUNDUP(Y308/H308,0)*0.00902),"")</f>
        <v/>
      </c>
      <c r="AA308" s="56"/>
      <c r="AB308" s="57"/>
      <c r="AC308" s="395" t="s">
        <v>507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4301012149</v>
      </c>
      <c r="D309" s="651">
        <v>4680115886551</v>
      </c>
      <c r="E309" s="652"/>
      <c r="F309" s="646">
        <v>0.4</v>
      </c>
      <c r="G309" s="32">
        <v>10</v>
      </c>
      <c r="H309" s="646">
        <v>4</v>
      </c>
      <c r="I309" s="646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54"/>
      <c r="R309" s="654"/>
      <c r="S309" s="654"/>
      <c r="T309" s="655"/>
      <c r="U309" s="34"/>
      <c r="V309" s="34"/>
      <c r="W309" s="35" t="s">
        <v>66</v>
      </c>
      <c r="X309" s="647">
        <v>0</v>
      </c>
      <c r="Y309" s="648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517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ht="27" hidden="1" customHeight="1" x14ac:dyDescent="0.25">
      <c r="A310" s="54" t="s">
        <v>518</v>
      </c>
      <c r="B310" s="54" t="s">
        <v>519</v>
      </c>
      <c r="C310" s="31">
        <v>4301012228</v>
      </c>
      <c r="D310" s="651">
        <v>4680115887282</v>
      </c>
      <c r="E310" s="652"/>
      <c r="F310" s="646">
        <v>0.4</v>
      </c>
      <c r="G310" s="32">
        <v>6</v>
      </c>
      <c r="H310" s="646">
        <v>2.4</v>
      </c>
      <c r="I310" s="646">
        <v>2.58</v>
      </c>
      <c r="J310" s="32">
        <v>182</v>
      </c>
      <c r="K310" s="32" t="s">
        <v>76</v>
      </c>
      <c r="L310" s="32"/>
      <c r="M310" s="33" t="s">
        <v>114</v>
      </c>
      <c r="N310" s="33"/>
      <c r="O310" s="32">
        <v>55</v>
      </c>
      <c r="P310" s="8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54"/>
      <c r="R310" s="654"/>
      <c r="S310" s="654"/>
      <c r="T310" s="655"/>
      <c r="U310" s="34"/>
      <c r="V310" s="34"/>
      <c r="W310" s="35" t="s">
        <v>66</v>
      </c>
      <c r="X310" s="647">
        <v>0</v>
      </c>
      <c r="Y310" s="648">
        <f t="shared" si="48"/>
        <v>0</v>
      </c>
      <c r="Z310" s="36" t="str">
        <f>IFERROR(IF(Y310=0,"",ROUNDUP(Y310/H310,0)*0.00651),"")</f>
        <v/>
      </c>
      <c r="AA310" s="56"/>
      <c r="AB310" s="57"/>
      <c r="AC310" s="399" t="s">
        <v>520</v>
      </c>
      <c r="AG310" s="64"/>
      <c r="AJ310" s="68"/>
      <c r="AK310" s="68">
        <v>0</v>
      </c>
      <c r="BB310" s="400" t="s">
        <v>1</v>
      </c>
      <c r="BM310" s="64">
        <f t="shared" si="49"/>
        <v>0</v>
      </c>
      <c r="BN310" s="64">
        <f t="shared" si="50"/>
        <v>0</v>
      </c>
      <c r="BO310" s="64">
        <f t="shared" si="51"/>
        <v>0</v>
      </c>
      <c r="BP310" s="64">
        <f t="shared" si="52"/>
        <v>0</v>
      </c>
    </row>
    <row r="311" spans="1:68" ht="27" hidden="1" customHeight="1" x14ac:dyDescent="0.25">
      <c r="A311" s="54" t="s">
        <v>521</v>
      </c>
      <c r="B311" s="54" t="s">
        <v>522</v>
      </c>
      <c r="C311" s="31">
        <v>4301011722</v>
      </c>
      <c r="D311" s="651">
        <v>4680115884205</v>
      </c>
      <c r="E311" s="652"/>
      <c r="F311" s="646">
        <v>0.4</v>
      </c>
      <c r="G311" s="32">
        <v>10</v>
      </c>
      <c r="H311" s="646">
        <v>4</v>
      </c>
      <c r="I311" s="646">
        <v>4.1900000000000004</v>
      </c>
      <c r="J311" s="32">
        <v>132</v>
      </c>
      <c r="K311" s="32" t="s">
        <v>122</v>
      </c>
      <c r="L311" s="32"/>
      <c r="M311" s="33" t="s">
        <v>114</v>
      </c>
      <c r="N311" s="33"/>
      <c r="O311" s="32">
        <v>55</v>
      </c>
      <c r="P311" s="8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54"/>
      <c r="R311" s="654"/>
      <c r="S311" s="654"/>
      <c r="T311" s="655"/>
      <c r="U311" s="34"/>
      <c r="V311" s="34"/>
      <c r="W311" s="35" t="s">
        <v>66</v>
      </c>
      <c r="X311" s="647">
        <v>0</v>
      </c>
      <c r="Y311" s="648">
        <f t="shared" si="48"/>
        <v>0</v>
      </c>
      <c r="Z311" s="36" t="str">
        <f>IFERROR(IF(Y311=0,"",ROUNDUP(Y311/H311,0)*0.00902),"")</f>
        <v/>
      </c>
      <c r="AA311" s="56"/>
      <c r="AB311" s="57"/>
      <c r="AC311" s="401" t="s">
        <v>358</v>
      </c>
      <c r="AG311" s="64"/>
      <c r="AJ311" s="68"/>
      <c r="AK311" s="68">
        <v>0</v>
      </c>
      <c r="BB311" s="402" t="s">
        <v>1</v>
      </c>
      <c r="BM311" s="64">
        <f t="shared" si="49"/>
        <v>0</v>
      </c>
      <c r="BN311" s="64">
        <f t="shared" si="50"/>
        <v>0</v>
      </c>
      <c r="BO311" s="64">
        <f t="shared" si="51"/>
        <v>0</v>
      </c>
      <c r="BP311" s="64">
        <f t="shared" si="52"/>
        <v>0</v>
      </c>
    </row>
    <row r="312" spans="1:68" hidden="1" x14ac:dyDescent="0.2">
      <c r="A312" s="668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9"/>
      <c r="P312" s="663" t="s">
        <v>71</v>
      </c>
      <c r="Q312" s="664"/>
      <c r="R312" s="664"/>
      <c r="S312" s="664"/>
      <c r="T312" s="664"/>
      <c r="U312" s="664"/>
      <c r="V312" s="665"/>
      <c r="W312" s="37" t="s">
        <v>72</v>
      </c>
      <c r="X312" s="649">
        <f>IFERROR(X305/H305,"0")+IFERROR(X306/H306,"0")+IFERROR(X307/H307,"0")+IFERROR(X308/H308,"0")+IFERROR(X309/H309,"0")+IFERROR(X310/H310,"0")+IFERROR(X311/H311,"0")</f>
        <v>0</v>
      </c>
      <c r="Y312" s="649">
        <f>IFERROR(Y305/H305,"0")+IFERROR(Y306/H306,"0")+IFERROR(Y307/H307,"0")+IFERROR(Y308/H308,"0")+IFERROR(Y309/H309,"0")+IFERROR(Y310/H310,"0")+IFERROR(Y311/H311,"0")</f>
        <v>0</v>
      </c>
      <c r="Z312" s="649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50"/>
      <c r="AB312" s="650"/>
      <c r="AC312" s="650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9"/>
      <c r="P313" s="663" t="s">
        <v>71</v>
      </c>
      <c r="Q313" s="664"/>
      <c r="R313" s="664"/>
      <c r="S313" s="664"/>
      <c r="T313" s="664"/>
      <c r="U313" s="664"/>
      <c r="V313" s="665"/>
      <c r="W313" s="37" t="s">
        <v>66</v>
      </c>
      <c r="X313" s="649">
        <f>IFERROR(SUM(X305:X311),"0")</f>
        <v>0</v>
      </c>
      <c r="Y313" s="649">
        <f>IFERROR(SUM(Y305:Y311),"0")</f>
        <v>0</v>
      </c>
      <c r="Z313" s="37"/>
      <c r="AA313" s="650"/>
      <c r="AB313" s="650"/>
      <c r="AC313" s="650"/>
    </row>
    <row r="314" spans="1:68" ht="14.25" hidden="1" customHeight="1" x14ac:dyDescent="0.25">
      <c r="A314" s="659" t="s">
        <v>147</v>
      </c>
      <c r="B314" s="660"/>
      <c r="C314" s="660"/>
      <c r="D314" s="660"/>
      <c r="E314" s="660"/>
      <c r="F314" s="660"/>
      <c r="G314" s="660"/>
      <c r="H314" s="660"/>
      <c r="I314" s="660"/>
      <c r="J314" s="660"/>
      <c r="K314" s="660"/>
      <c r="L314" s="660"/>
      <c r="M314" s="660"/>
      <c r="N314" s="660"/>
      <c r="O314" s="660"/>
      <c r="P314" s="660"/>
      <c r="Q314" s="660"/>
      <c r="R314" s="660"/>
      <c r="S314" s="660"/>
      <c r="T314" s="660"/>
      <c r="U314" s="660"/>
      <c r="V314" s="660"/>
      <c r="W314" s="660"/>
      <c r="X314" s="660"/>
      <c r="Y314" s="660"/>
      <c r="Z314" s="660"/>
      <c r="AA314" s="643"/>
      <c r="AB314" s="643"/>
      <c r="AC314" s="643"/>
    </row>
    <row r="315" spans="1:68" ht="27" hidden="1" customHeight="1" x14ac:dyDescent="0.25">
      <c r="A315" s="54" t="s">
        <v>523</v>
      </c>
      <c r="B315" s="54" t="s">
        <v>524</v>
      </c>
      <c r="C315" s="31">
        <v>4301020377</v>
      </c>
      <c r="D315" s="651">
        <v>4680115885981</v>
      </c>
      <c r="E315" s="652"/>
      <c r="F315" s="646">
        <v>0.33</v>
      </c>
      <c r="G315" s="32">
        <v>6</v>
      </c>
      <c r="H315" s="646">
        <v>1.98</v>
      </c>
      <c r="I315" s="646">
        <v>2.08</v>
      </c>
      <c r="J315" s="32">
        <v>234</v>
      </c>
      <c r="K315" s="32" t="s">
        <v>64</v>
      </c>
      <c r="L315" s="32"/>
      <c r="M315" s="33" t="s">
        <v>77</v>
      </c>
      <c r="N315" s="33"/>
      <c r="O315" s="32">
        <v>50</v>
      </c>
      <c r="P315" s="65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54"/>
      <c r="R315" s="654"/>
      <c r="S315" s="654"/>
      <c r="T315" s="655"/>
      <c r="U315" s="34"/>
      <c r="V315" s="34"/>
      <c r="W315" s="35" t="s">
        <v>66</v>
      </c>
      <c r="X315" s="647">
        <v>0</v>
      </c>
      <c r="Y315" s="648">
        <f>IFERROR(IF(X315="",0,CEILING((X315/$H315),1)*$H315),"")</f>
        <v>0</v>
      </c>
      <c r="Z315" s="36" t="str">
        <f>IFERROR(IF(Y315=0,"",ROUNDUP(Y315/H315,0)*0.00502),"")</f>
        <v/>
      </c>
      <c r="AA315" s="56"/>
      <c r="AB315" s="57"/>
      <c r="AC315" s="403" t="s">
        <v>525</v>
      </c>
      <c r="AG315" s="64"/>
      <c r="AJ315" s="68"/>
      <c r="AK315" s="68">
        <v>0</v>
      </c>
      <c r="BB315" s="40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68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9"/>
      <c r="P316" s="663" t="s">
        <v>71</v>
      </c>
      <c r="Q316" s="664"/>
      <c r="R316" s="664"/>
      <c r="S316" s="664"/>
      <c r="T316" s="664"/>
      <c r="U316" s="664"/>
      <c r="V316" s="665"/>
      <c r="W316" s="37" t="s">
        <v>72</v>
      </c>
      <c r="X316" s="649">
        <f>IFERROR(X315/H315,"0")</f>
        <v>0</v>
      </c>
      <c r="Y316" s="649">
        <f>IFERROR(Y315/H315,"0")</f>
        <v>0</v>
      </c>
      <c r="Z316" s="649">
        <f>IFERROR(IF(Z315="",0,Z315),"0")</f>
        <v>0</v>
      </c>
      <c r="AA316" s="650"/>
      <c r="AB316" s="650"/>
      <c r="AC316" s="650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9"/>
      <c r="P317" s="663" t="s">
        <v>71</v>
      </c>
      <c r="Q317" s="664"/>
      <c r="R317" s="664"/>
      <c r="S317" s="664"/>
      <c r="T317" s="664"/>
      <c r="U317" s="664"/>
      <c r="V317" s="665"/>
      <c r="W317" s="37" t="s">
        <v>66</v>
      </c>
      <c r="X317" s="649">
        <f>IFERROR(SUM(X315:X315),"0")</f>
        <v>0</v>
      </c>
      <c r="Y317" s="649">
        <f>IFERROR(SUM(Y315:Y315),"0")</f>
        <v>0</v>
      </c>
      <c r="Z317" s="37"/>
      <c r="AA317" s="650"/>
      <c r="AB317" s="650"/>
      <c r="AC317" s="650"/>
    </row>
    <row r="318" spans="1:68" ht="14.25" hidden="1" customHeight="1" x14ac:dyDescent="0.25">
      <c r="A318" s="659" t="s">
        <v>526</v>
      </c>
      <c r="B318" s="660"/>
      <c r="C318" s="660"/>
      <c r="D318" s="660"/>
      <c r="E318" s="660"/>
      <c r="F318" s="660"/>
      <c r="G318" s="660"/>
      <c r="H318" s="660"/>
      <c r="I318" s="660"/>
      <c r="J318" s="660"/>
      <c r="K318" s="660"/>
      <c r="L318" s="660"/>
      <c r="M318" s="660"/>
      <c r="N318" s="660"/>
      <c r="O318" s="660"/>
      <c r="P318" s="660"/>
      <c r="Q318" s="660"/>
      <c r="R318" s="660"/>
      <c r="S318" s="660"/>
      <c r="T318" s="660"/>
      <c r="U318" s="660"/>
      <c r="V318" s="660"/>
      <c r="W318" s="660"/>
      <c r="X318" s="660"/>
      <c r="Y318" s="660"/>
      <c r="Z318" s="660"/>
      <c r="AA318" s="643"/>
      <c r="AB318" s="643"/>
      <c r="AC318" s="643"/>
    </row>
    <row r="319" spans="1:68" ht="27" hidden="1" customHeight="1" x14ac:dyDescent="0.25">
      <c r="A319" s="54" t="s">
        <v>527</v>
      </c>
      <c r="B319" s="54" t="s">
        <v>528</v>
      </c>
      <c r="C319" s="31">
        <v>4301040362</v>
      </c>
      <c r="D319" s="651">
        <v>4680115886803</v>
      </c>
      <c r="E319" s="652"/>
      <c r="F319" s="646">
        <v>0.12</v>
      </c>
      <c r="G319" s="32">
        <v>15</v>
      </c>
      <c r="H319" s="646">
        <v>1.8</v>
      </c>
      <c r="I319" s="646">
        <v>1.9750000000000001</v>
      </c>
      <c r="J319" s="32">
        <v>216</v>
      </c>
      <c r="K319" s="32" t="s">
        <v>333</v>
      </c>
      <c r="L319" s="32"/>
      <c r="M319" s="33" t="s">
        <v>275</v>
      </c>
      <c r="N319" s="33"/>
      <c r="O319" s="32">
        <v>45</v>
      </c>
      <c r="P319" s="10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54"/>
      <c r="R319" s="654"/>
      <c r="S319" s="654"/>
      <c r="T319" s="655"/>
      <c r="U319" s="34"/>
      <c r="V319" s="34"/>
      <c r="W319" s="35" t="s">
        <v>66</v>
      </c>
      <c r="X319" s="647">
        <v>0</v>
      </c>
      <c r="Y319" s="64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405" t="s">
        <v>529</v>
      </c>
      <c r="AG319" s="64"/>
      <c r="AJ319" s="68"/>
      <c r="AK319" s="68">
        <v>0</v>
      </c>
      <c r="BB319" s="406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8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9"/>
      <c r="P320" s="663" t="s">
        <v>71</v>
      </c>
      <c r="Q320" s="664"/>
      <c r="R320" s="664"/>
      <c r="S320" s="664"/>
      <c r="T320" s="664"/>
      <c r="U320" s="664"/>
      <c r="V320" s="665"/>
      <c r="W320" s="37" t="s">
        <v>72</v>
      </c>
      <c r="X320" s="649">
        <f>IFERROR(X319/H319,"0")</f>
        <v>0</v>
      </c>
      <c r="Y320" s="649">
        <f>IFERROR(Y319/H319,"0")</f>
        <v>0</v>
      </c>
      <c r="Z320" s="649">
        <f>IFERROR(IF(Z319="",0,Z319),"0")</f>
        <v>0</v>
      </c>
      <c r="AA320" s="650"/>
      <c r="AB320" s="650"/>
      <c r="AC320" s="650"/>
    </row>
    <row r="321" spans="1:68" hidden="1" x14ac:dyDescent="0.2">
      <c r="A321" s="660"/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9"/>
      <c r="P321" s="663" t="s">
        <v>71</v>
      </c>
      <c r="Q321" s="664"/>
      <c r="R321" s="664"/>
      <c r="S321" s="664"/>
      <c r="T321" s="664"/>
      <c r="U321" s="664"/>
      <c r="V321" s="665"/>
      <c r="W321" s="37" t="s">
        <v>66</v>
      </c>
      <c r="X321" s="649">
        <f>IFERROR(SUM(X319:X319),"0")</f>
        <v>0</v>
      </c>
      <c r="Y321" s="649">
        <f>IFERROR(SUM(Y319:Y319),"0")</f>
        <v>0</v>
      </c>
      <c r="Z321" s="37"/>
      <c r="AA321" s="650"/>
      <c r="AB321" s="650"/>
      <c r="AC321" s="650"/>
    </row>
    <row r="322" spans="1:68" ht="14.25" hidden="1" customHeight="1" x14ac:dyDescent="0.25">
      <c r="A322" s="659" t="s">
        <v>336</v>
      </c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0"/>
      <c r="P322" s="660"/>
      <c r="Q322" s="660"/>
      <c r="R322" s="660"/>
      <c r="S322" s="660"/>
      <c r="T322" s="660"/>
      <c r="U322" s="660"/>
      <c r="V322" s="660"/>
      <c r="W322" s="660"/>
      <c r="X322" s="660"/>
      <c r="Y322" s="660"/>
      <c r="Z322" s="660"/>
      <c r="AA322" s="643"/>
      <c r="AB322" s="643"/>
      <c r="AC322" s="643"/>
    </row>
    <row r="323" spans="1:68" ht="27" hidden="1" customHeight="1" x14ac:dyDescent="0.25">
      <c r="A323" s="54" t="s">
        <v>530</v>
      </c>
      <c r="B323" s="54" t="s">
        <v>531</v>
      </c>
      <c r="C323" s="31">
        <v>4301041008</v>
      </c>
      <c r="D323" s="651">
        <v>4680115886681</v>
      </c>
      <c r="E323" s="652"/>
      <c r="F323" s="646">
        <v>0.12</v>
      </c>
      <c r="G323" s="32">
        <v>15</v>
      </c>
      <c r="H323" s="646">
        <v>1.8</v>
      </c>
      <c r="I323" s="646">
        <v>1.9750000000000001</v>
      </c>
      <c r="J323" s="32">
        <v>216</v>
      </c>
      <c r="K323" s="32" t="s">
        <v>333</v>
      </c>
      <c r="L323" s="32"/>
      <c r="M323" s="33" t="s">
        <v>275</v>
      </c>
      <c r="N323" s="33"/>
      <c r="O323" s="32">
        <v>90</v>
      </c>
      <c r="P323" s="9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54"/>
      <c r="R323" s="654"/>
      <c r="S323" s="654"/>
      <c r="T323" s="655"/>
      <c r="U323" s="34"/>
      <c r="V323" s="34"/>
      <c r="W323" s="35" t="s">
        <v>66</v>
      </c>
      <c r="X323" s="647">
        <v>0</v>
      </c>
      <c r="Y323" s="648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532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668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9"/>
      <c r="P324" s="663" t="s">
        <v>71</v>
      </c>
      <c r="Q324" s="664"/>
      <c r="R324" s="664"/>
      <c r="S324" s="664"/>
      <c r="T324" s="664"/>
      <c r="U324" s="664"/>
      <c r="V324" s="665"/>
      <c r="W324" s="37" t="s">
        <v>72</v>
      </c>
      <c r="X324" s="649">
        <f>IFERROR(X323/H323,"0")</f>
        <v>0</v>
      </c>
      <c r="Y324" s="649">
        <f>IFERROR(Y323/H323,"0")</f>
        <v>0</v>
      </c>
      <c r="Z324" s="649">
        <f>IFERROR(IF(Z323="",0,Z323),"0")</f>
        <v>0</v>
      </c>
      <c r="AA324" s="650"/>
      <c r="AB324" s="650"/>
      <c r="AC324" s="650"/>
    </row>
    <row r="325" spans="1:68" hidden="1" x14ac:dyDescent="0.2">
      <c r="A325" s="660"/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9"/>
      <c r="P325" s="663" t="s">
        <v>71</v>
      </c>
      <c r="Q325" s="664"/>
      <c r="R325" s="664"/>
      <c r="S325" s="664"/>
      <c r="T325" s="664"/>
      <c r="U325" s="664"/>
      <c r="V325" s="665"/>
      <c r="W325" s="37" t="s">
        <v>66</v>
      </c>
      <c r="X325" s="649">
        <f>IFERROR(SUM(X323:X323),"0")</f>
        <v>0</v>
      </c>
      <c r="Y325" s="649">
        <f>IFERROR(SUM(Y323:Y323),"0")</f>
        <v>0</v>
      </c>
      <c r="Z325" s="37"/>
      <c r="AA325" s="650"/>
      <c r="AB325" s="650"/>
      <c r="AC325" s="650"/>
    </row>
    <row r="326" spans="1:68" ht="16.5" hidden="1" customHeight="1" x14ac:dyDescent="0.25">
      <c r="A326" s="672" t="s">
        <v>533</v>
      </c>
      <c r="B326" s="660"/>
      <c r="C326" s="660"/>
      <c r="D326" s="660"/>
      <c r="E326" s="660"/>
      <c r="F326" s="660"/>
      <c r="G326" s="660"/>
      <c r="H326" s="660"/>
      <c r="I326" s="660"/>
      <c r="J326" s="660"/>
      <c r="K326" s="660"/>
      <c r="L326" s="660"/>
      <c r="M326" s="660"/>
      <c r="N326" s="660"/>
      <c r="O326" s="660"/>
      <c r="P326" s="660"/>
      <c r="Q326" s="660"/>
      <c r="R326" s="660"/>
      <c r="S326" s="660"/>
      <c r="T326" s="660"/>
      <c r="U326" s="660"/>
      <c r="V326" s="660"/>
      <c r="W326" s="660"/>
      <c r="X326" s="660"/>
      <c r="Y326" s="660"/>
      <c r="Z326" s="660"/>
      <c r="AA326" s="642"/>
      <c r="AB326" s="642"/>
      <c r="AC326" s="642"/>
    </row>
    <row r="327" spans="1:68" ht="14.25" hidden="1" customHeight="1" x14ac:dyDescent="0.25">
      <c r="A327" s="659" t="s">
        <v>110</v>
      </c>
      <c r="B327" s="660"/>
      <c r="C327" s="660"/>
      <c r="D327" s="660"/>
      <c r="E327" s="660"/>
      <c r="F327" s="660"/>
      <c r="G327" s="660"/>
      <c r="H327" s="660"/>
      <c r="I327" s="660"/>
      <c r="J327" s="660"/>
      <c r="K327" s="660"/>
      <c r="L327" s="660"/>
      <c r="M327" s="660"/>
      <c r="N327" s="660"/>
      <c r="O327" s="660"/>
      <c r="P327" s="660"/>
      <c r="Q327" s="660"/>
      <c r="R327" s="660"/>
      <c r="S327" s="660"/>
      <c r="T327" s="660"/>
      <c r="U327" s="660"/>
      <c r="V327" s="660"/>
      <c r="W327" s="660"/>
      <c r="X327" s="660"/>
      <c r="Y327" s="660"/>
      <c r="Z327" s="660"/>
      <c r="AA327" s="643"/>
      <c r="AB327" s="643"/>
      <c r="AC327" s="643"/>
    </row>
    <row r="328" spans="1:68" ht="27" hidden="1" customHeight="1" x14ac:dyDescent="0.25">
      <c r="A328" s="54" t="s">
        <v>534</v>
      </c>
      <c r="B328" s="54" t="s">
        <v>535</v>
      </c>
      <c r="C328" s="31">
        <v>4301012390</v>
      </c>
      <c r="D328" s="651">
        <v>4680115889637</v>
      </c>
      <c r="E328" s="652"/>
      <c r="F328" s="646">
        <v>1.35</v>
      </c>
      <c r="G328" s="32">
        <v>8</v>
      </c>
      <c r="H328" s="646">
        <v>10.8</v>
      </c>
      <c r="I328" s="646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54"/>
      <c r="R328" s="654"/>
      <c r="S328" s="654"/>
      <c r="T328" s="655"/>
      <c r="U328" s="34"/>
      <c r="V328" s="34"/>
      <c r="W328" s="35" t="s">
        <v>66</v>
      </c>
      <c r="X328" s="647">
        <v>0</v>
      </c>
      <c r="Y328" s="648">
        <f t="shared" ref="Y328:Y333" si="53">IFERROR(IF(X328="",0,CEILING((X328/$H328),1)*$H328),"")</f>
        <v>0</v>
      </c>
      <c r="Z328" s="36" t="str">
        <f>IFERROR(IF(Y328=0,"",ROUNDUP(Y328/H328,0)*0.01898),"")</f>
        <v/>
      </c>
      <c r="AA328" s="56"/>
      <c r="AB328" s="57" t="s">
        <v>536</v>
      </c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ref="BM328:BM333" si="54">IFERROR(X328*I328/H328,"0")</f>
        <v>0</v>
      </c>
      <c r="BN328" s="64">
        <f t="shared" ref="BN328:BN333" si="55">IFERROR(Y328*I328/H328,"0")</f>
        <v>0</v>
      </c>
      <c r="BO328" s="64">
        <f t="shared" ref="BO328:BO333" si="56">IFERROR(1/J328*(X328/H328),"0")</f>
        <v>0</v>
      </c>
      <c r="BP328" s="64">
        <f t="shared" ref="BP328:BP333" si="57">IFERROR(1/J328*(Y328/H328),"0")</f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4301011855</v>
      </c>
      <c r="D329" s="651">
        <v>4680115885837</v>
      </c>
      <c r="E329" s="652"/>
      <c r="F329" s="646">
        <v>1.35</v>
      </c>
      <c r="G329" s="32">
        <v>8</v>
      </c>
      <c r="H329" s="646">
        <v>10.8</v>
      </c>
      <c r="I329" s="646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54"/>
      <c r="R329" s="654"/>
      <c r="S329" s="654"/>
      <c r="T329" s="655"/>
      <c r="U329" s="34"/>
      <c r="V329" s="34"/>
      <c r="W329" s="35" t="s">
        <v>66</v>
      </c>
      <c r="X329" s="647">
        <v>0</v>
      </c>
      <c r="Y329" s="648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37.5" hidden="1" customHeight="1" x14ac:dyDescent="0.25">
      <c r="A330" s="54" t="s">
        <v>541</v>
      </c>
      <c r="B330" s="54" t="s">
        <v>542</v>
      </c>
      <c r="C330" s="31">
        <v>4301012234</v>
      </c>
      <c r="D330" s="651">
        <v>4680115887237</v>
      </c>
      <c r="E330" s="652"/>
      <c r="F330" s="646">
        <v>1.35</v>
      </c>
      <c r="G330" s="32">
        <v>8</v>
      </c>
      <c r="H330" s="646">
        <v>10.8</v>
      </c>
      <c r="I330" s="646">
        <v>11.21</v>
      </c>
      <c r="J330" s="32">
        <v>64</v>
      </c>
      <c r="K330" s="32" t="s">
        <v>113</v>
      </c>
      <c r="L330" s="32"/>
      <c r="M330" s="33" t="s">
        <v>114</v>
      </c>
      <c r="N330" s="33"/>
      <c r="O330" s="32">
        <v>55</v>
      </c>
      <c r="P330" s="8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54"/>
      <c r="R330" s="654"/>
      <c r="S330" s="654"/>
      <c r="T330" s="655"/>
      <c r="U330" s="34"/>
      <c r="V330" s="34"/>
      <c r="W330" s="35" t="s">
        <v>66</v>
      </c>
      <c r="X330" s="647">
        <v>0</v>
      </c>
      <c r="Y330" s="648">
        <f t="shared" si="53"/>
        <v>0</v>
      </c>
      <c r="Z330" s="36" t="str">
        <f>IFERROR(IF(Y330=0,"",ROUNDUP(Y330/H330,0)*0.01898),"")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27" hidden="1" customHeight="1" x14ac:dyDescent="0.25">
      <c r="A331" s="54" t="s">
        <v>544</v>
      </c>
      <c r="B331" s="54" t="s">
        <v>545</v>
      </c>
      <c r="C331" s="31">
        <v>4301011850</v>
      </c>
      <c r="D331" s="651">
        <v>4680115885806</v>
      </c>
      <c r="E331" s="652"/>
      <c r="F331" s="646">
        <v>1.35</v>
      </c>
      <c r="G331" s="32">
        <v>8</v>
      </c>
      <c r="H331" s="646">
        <v>10.8</v>
      </c>
      <c r="I331" s="646">
        <v>11.21</v>
      </c>
      <c r="J331" s="32">
        <v>64</v>
      </c>
      <c r="K331" s="32" t="s">
        <v>113</v>
      </c>
      <c r="L331" s="32"/>
      <c r="M331" s="33" t="s">
        <v>114</v>
      </c>
      <c r="N331" s="33"/>
      <c r="O331" s="32">
        <v>55</v>
      </c>
      <c r="P331" s="73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54"/>
      <c r="R331" s="654"/>
      <c r="S331" s="654"/>
      <c r="T331" s="655"/>
      <c r="U331" s="34"/>
      <c r="V331" s="34"/>
      <c r="W331" s="35" t="s">
        <v>66</v>
      </c>
      <c r="X331" s="647">
        <v>0</v>
      </c>
      <c r="Y331" s="648">
        <f t="shared" si="53"/>
        <v>0</v>
      </c>
      <c r="Z331" s="36" t="str">
        <f>IFERROR(IF(Y331=0,"",ROUNDUP(Y331/H331,0)*0.01898),"")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t="27" hidden="1" customHeight="1" x14ac:dyDescent="0.25">
      <c r="A332" s="54" t="s">
        <v>547</v>
      </c>
      <c r="B332" s="54" t="s">
        <v>548</v>
      </c>
      <c r="C332" s="31">
        <v>4301011852</v>
      </c>
      <c r="D332" s="651">
        <v>4680115885844</v>
      </c>
      <c r="E332" s="652"/>
      <c r="F332" s="646">
        <v>0.4</v>
      </c>
      <c r="G332" s="32">
        <v>10</v>
      </c>
      <c r="H332" s="646">
        <v>4</v>
      </c>
      <c r="I332" s="646">
        <v>4.1900000000000004</v>
      </c>
      <c r="J332" s="32">
        <v>132</v>
      </c>
      <c r="K332" s="32" t="s">
        <v>122</v>
      </c>
      <c r="L332" s="32"/>
      <c r="M332" s="33" t="s">
        <v>114</v>
      </c>
      <c r="N332" s="33"/>
      <c r="O332" s="32">
        <v>55</v>
      </c>
      <c r="P332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54"/>
      <c r="R332" s="654"/>
      <c r="S332" s="654"/>
      <c r="T332" s="655"/>
      <c r="U332" s="34"/>
      <c r="V332" s="34"/>
      <c r="W332" s="35" t="s">
        <v>66</v>
      </c>
      <c r="X332" s="647">
        <v>0</v>
      </c>
      <c r="Y332" s="648">
        <f t="shared" si="53"/>
        <v>0</v>
      </c>
      <c r="Z332" s="36" t="str">
        <f>IFERROR(IF(Y332=0,"",ROUNDUP(Y332/H332,0)*0.00902),"")</f>
        <v/>
      </c>
      <c r="AA332" s="56"/>
      <c r="AB332" s="57"/>
      <c r="AC332" s="417" t="s">
        <v>549</v>
      </c>
      <c r="AG332" s="64"/>
      <c r="AJ332" s="68"/>
      <c r="AK332" s="68">
        <v>0</v>
      </c>
      <c r="BB332" s="418" t="s">
        <v>1</v>
      </c>
      <c r="BM332" s="64">
        <f t="shared" si="54"/>
        <v>0</v>
      </c>
      <c r="BN332" s="64">
        <f t="shared" si="55"/>
        <v>0</v>
      </c>
      <c r="BO332" s="64">
        <f t="shared" si="56"/>
        <v>0</v>
      </c>
      <c r="BP332" s="64">
        <f t="shared" si="57"/>
        <v>0</v>
      </c>
    </row>
    <row r="333" spans="1:68" ht="37.5" hidden="1" customHeight="1" x14ac:dyDescent="0.25">
      <c r="A333" s="54" t="s">
        <v>550</v>
      </c>
      <c r="B333" s="54" t="s">
        <v>551</v>
      </c>
      <c r="C333" s="31">
        <v>4301011851</v>
      </c>
      <c r="D333" s="651">
        <v>4680115885820</v>
      </c>
      <c r="E333" s="652"/>
      <c r="F333" s="646">
        <v>0.4</v>
      </c>
      <c r="G333" s="32">
        <v>10</v>
      </c>
      <c r="H333" s="646">
        <v>4</v>
      </c>
      <c r="I333" s="646">
        <v>4.1900000000000004</v>
      </c>
      <c r="J333" s="32">
        <v>132</v>
      </c>
      <c r="K333" s="32" t="s">
        <v>122</v>
      </c>
      <c r="L333" s="32"/>
      <c r="M333" s="33" t="s">
        <v>114</v>
      </c>
      <c r="N333" s="33"/>
      <c r="O333" s="32">
        <v>55</v>
      </c>
      <c r="P333" s="92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54"/>
      <c r="R333" s="654"/>
      <c r="S333" s="654"/>
      <c r="T333" s="655"/>
      <c r="U333" s="34"/>
      <c r="V333" s="34"/>
      <c r="W333" s="35" t="s">
        <v>66</v>
      </c>
      <c r="X333" s="647">
        <v>0</v>
      </c>
      <c r="Y333" s="648">
        <f t="shared" si="53"/>
        <v>0</v>
      </c>
      <c r="Z333" s="36" t="str">
        <f>IFERROR(IF(Y333=0,"",ROUNDUP(Y333/H333,0)*0.00902),"")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 t="shared" si="54"/>
        <v>0</v>
      </c>
      <c r="BN333" s="64">
        <f t="shared" si="55"/>
        <v>0</v>
      </c>
      <c r="BO333" s="64">
        <f t="shared" si="56"/>
        <v>0</v>
      </c>
      <c r="BP333" s="64">
        <f t="shared" si="57"/>
        <v>0</v>
      </c>
    </row>
    <row r="334" spans="1:68" hidden="1" x14ac:dyDescent="0.2">
      <c r="A334" s="668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9"/>
      <c r="P334" s="663" t="s">
        <v>71</v>
      </c>
      <c r="Q334" s="664"/>
      <c r="R334" s="664"/>
      <c r="S334" s="664"/>
      <c r="T334" s="664"/>
      <c r="U334" s="664"/>
      <c r="V334" s="665"/>
      <c r="W334" s="37" t="s">
        <v>72</v>
      </c>
      <c r="X334" s="649">
        <f>IFERROR(X328/H328,"0")+IFERROR(X329/H329,"0")+IFERROR(X330/H330,"0")+IFERROR(X331/H331,"0")+IFERROR(X332/H332,"0")+IFERROR(X333/H333,"0")</f>
        <v>0</v>
      </c>
      <c r="Y334" s="649">
        <f>IFERROR(Y328/H328,"0")+IFERROR(Y329/H329,"0")+IFERROR(Y330/H330,"0")+IFERROR(Y331/H331,"0")+IFERROR(Y332/H332,"0")+IFERROR(Y333/H333,"0")</f>
        <v>0</v>
      </c>
      <c r="Z334" s="649">
        <f>IFERROR(IF(Z328="",0,Z328),"0")+IFERROR(IF(Z329="",0,Z329),"0")+IFERROR(IF(Z330="",0,Z330),"0")+IFERROR(IF(Z331="",0,Z331),"0")+IFERROR(IF(Z332="",0,Z332),"0")+IFERROR(IF(Z333="",0,Z333),"0")</f>
        <v>0</v>
      </c>
      <c r="AA334" s="650"/>
      <c r="AB334" s="650"/>
      <c r="AC334" s="650"/>
    </row>
    <row r="335" spans="1:68" hidden="1" x14ac:dyDescent="0.2">
      <c r="A335" s="660"/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9"/>
      <c r="P335" s="663" t="s">
        <v>71</v>
      </c>
      <c r="Q335" s="664"/>
      <c r="R335" s="664"/>
      <c r="S335" s="664"/>
      <c r="T335" s="664"/>
      <c r="U335" s="664"/>
      <c r="V335" s="665"/>
      <c r="W335" s="37" t="s">
        <v>66</v>
      </c>
      <c r="X335" s="649">
        <f>IFERROR(SUM(X328:X333),"0")</f>
        <v>0</v>
      </c>
      <c r="Y335" s="649">
        <f>IFERROR(SUM(Y328:Y333),"0")</f>
        <v>0</v>
      </c>
      <c r="Z335" s="37"/>
      <c r="AA335" s="650"/>
      <c r="AB335" s="650"/>
      <c r="AC335" s="650"/>
    </row>
    <row r="336" spans="1:68" ht="16.5" hidden="1" customHeight="1" x14ac:dyDescent="0.25">
      <c r="A336" s="672" t="s">
        <v>553</v>
      </c>
      <c r="B336" s="660"/>
      <c r="C336" s="660"/>
      <c r="D336" s="660"/>
      <c r="E336" s="660"/>
      <c r="F336" s="660"/>
      <c r="G336" s="660"/>
      <c r="H336" s="660"/>
      <c r="I336" s="660"/>
      <c r="J336" s="660"/>
      <c r="K336" s="660"/>
      <c r="L336" s="660"/>
      <c r="M336" s="660"/>
      <c r="N336" s="660"/>
      <c r="O336" s="660"/>
      <c r="P336" s="660"/>
      <c r="Q336" s="660"/>
      <c r="R336" s="660"/>
      <c r="S336" s="660"/>
      <c r="T336" s="660"/>
      <c r="U336" s="660"/>
      <c r="V336" s="660"/>
      <c r="W336" s="660"/>
      <c r="X336" s="660"/>
      <c r="Y336" s="660"/>
      <c r="Z336" s="660"/>
      <c r="AA336" s="642"/>
      <c r="AB336" s="642"/>
      <c r="AC336" s="642"/>
    </row>
    <row r="337" spans="1:68" ht="14.25" hidden="1" customHeight="1" x14ac:dyDescent="0.25">
      <c r="A337" s="659" t="s">
        <v>73</v>
      </c>
      <c r="B337" s="660"/>
      <c r="C337" s="660"/>
      <c r="D337" s="660"/>
      <c r="E337" s="660"/>
      <c r="F337" s="660"/>
      <c r="G337" s="660"/>
      <c r="H337" s="660"/>
      <c r="I337" s="660"/>
      <c r="J337" s="660"/>
      <c r="K337" s="660"/>
      <c r="L337" s="660"/>
      <c r="M337" s="660"/>
      <c r="N337" s="660"/>
      <c r="O337" s="660"/>
      <c r="P337" s="660"/>
      <c r="Q337" s="660"/>
      <c r="R337" s="660"/>
      <c r="S337" s="660"/>
      <c r="T337" s="660"/>
      <c r="U337" s="660"/>
      <c r="V337" s="660"/>
      <c r="W337" s="660"/>
      <c r="X337" s="660"/>
      <c r="Y337" s="660"/>
      <c r="Z337" s="660"/>
      <c r="AA337" s="643"/>
      <c r="AB337" s="643"/>
      <c r="AC337" s="643"/>
    </row>
    <row r="338" spans="1:68" ht="27" hidden="1" customHeight="1" x14ac:dyDescent="0.25">
      <c r="A338" s="54" t="s">
        <v>554</v>
      </c>
      <c r="B338" s="54" t="s">
        <v>555</v>
      </c>
      <c r="C338" s="31">
        <v>4301051893</v>
      </c>
      <c r="D338" s="651">
        <v>4680115886186</v>
      </c>
      <c r="E338" s="652"/>
      <c r="F338" s="646">
        <v>0.3</v>
      </c>
      <c r="G338" s="32">
        <v>6</v>
      </c>
      <c r="H338" s="646">
        <v>1.8</v>
      </c>
      <c r="I338" s="646">
        <v>1.98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54"/>
      <c r="R338" s="654"/>
      <c r="S338" s="654"/>
      <c r="T338" s="655"/>
      <c r="U338" s="34"/>
      <c r="V338" s="34"/>
      <c r="W338" s="35" t="s">
        <v>66</v>
      </c>
      <c r="X338" s="647">
        <v>0</v>
      </c>
      <c r="Y338" s="648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556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557</v>
      </c>
      <c r="B339" s="54" t="s">
        <v>558</v>
      </c>
      <c r="C339" s="31">
        <v>4301051795</v>
      </c>
      <c r="D339" s="651">
        <v>4680115881228</v>
      </c>
      <c r="E339" s="652"/>
      <c r="F339" s="646">
        <v>0.4</v>
      </c>
      <c r="G339" s="32">
        <v>6</v>
      </c>
      <c r="H339" s="646">
        <v>2.4</v>
      </c>
      <c r="I339" s="646">
        <v>2.6520000000000001</v>
      </c>
      <c r="J339" s="32">
        <v>182</v>
      </c>
      <c r="K339" s="32" t="s">
        <v>76</v>
      </c>
      <c r="L339" s="32"/>
      <c r="M339" s="33" t="s">
        <v>83</v>
      </c>
      <c r="N339" s="33"/>
      <c r="O339" s="32">
        <v>40</v>
      </c>
      <c r="P339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54"/>
      <c r="R339" s="654"/>
      <c r="S339" s="654"/>
      <c r="T339" s="655"/>
      <c r="U339" s="34"/>
      <c r="V339" s="34"/>
      <c r="W339" s="35" t="s">
        <v>66</v>
      </c>
      <c r="X339" s="647">
        <v>37</v>
      </c>
      <c r="Y339" s="648">
        <f>IFERROR(IF(X339="",0,CEILING((X339/$H339),1)*$H339),"")</f>
        <v>38.4</v>
      </c>
      <c r="Z339" s="36">
        <f>IFERROR(IF(Y339=0,"",ROUNDUP(Y339/H339,0)*0.00651),"")</f>
        <v>0.10416</v>
      </c>
      <c r="AA339" s="56"/>
      <c r="AB339" s="57"/>
      <c r="AC339" s="423" t="s">
        <v>559</v>
      </c>
      <c r="AG339" s="64"/>
      <c r="AJ339" s="68"/>
      <c r="AK339" s="68">
        <v>0</v>
      </c>
      <c r="BB339" s="424" t="s">
        <v>1</v>
      </c>
      <c r="BM339" s="64">
        <f>IFERROR(X339*I339/H339,"0")</f>
        <v>40.885000000000005</v>
      </c>
      <c r="BN339" s="64">
        <f>IFERROR(Y339*I339/H339,"0")</f>
        <v>42.432000000000002</v>
      </c>
      <c r="BO339" s="64">
        <f>IFERROR(1/J339*(X339/H339),"0")</f>
        <v>8.4706959706959725E-2</v>
      </c>
      <c r="BP339" s="64">
        <f>IFERROR(1/J339*(Y339/H339),"0")</f>
        <v>8.7912087912087919E-2</v>
      </c>
    </row>
    <row r="340" spans="1:68" ht="27" customHeight="1" x14ac:dyDescent="0.25">
      <c r="A340" s="54" t="s">
        <v>560</v>
      </c>
      <c r="B340" s="54" t="s">
        <v>561</v>
      </c>
      <c r="C340" s="31">
        <v>4301051388</v>
      </c>
      <c r="D340" s="651">
        <v>4680115881211</v>
      </c>
      <c r="E340" s="652"/>
      <c r="F340" s="646">
        <v>0.4</v>
      </c>
      <c r="G340" s="32">
        <v>6</v>
      </c>
      <c r="H340" s="646">
        <v>2.4</v>
      </c>
      <c r="I340" s="646">
        <v>2.58</v>
      </c>
      <c r="J340" s="32">
        <v>182</v>
      </c>
      <c r="K340" s="32" t="s">
        <v>76</v>
      </c>
      <c r="L340" s="32"/>
      <c r="M340" s="33" t="s">
        <v>77</v>
      </c>
      <c r="N340" s="33"/>
      <c r="O340" s="32">
        <v>45</v>
      </c>
      <c r="P340" s="80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54"/>
      <c r="R340" s="654"/>
      <c r="S340" s="654"/>
      <c r="T340" s="655"/>
      <c r="U340" s="34"/>
      <c r="V340" s="34"/>
      <c r="W340" s="35" t="s">
        <v>66</v>
      </c>
      <c r="X340" s="647">
        <v>83</v>
      </c>
      <c r="Y340" s="648">
        <f>IFERROR(IF(X340="",0,CEILING((X340/$H340),1)*$H340),"")</f>
        <v>84</v>
      </c>
      <c r="Z340" s="36">
        <f>IFERROR(IF(Y340=0,"",ROUNDUP(Y340/H340,0)*0.00651),"")</f>
        <v>0.22785</v>
      </c>
      <c r="AA340" s="56"/>
      <c r="AB340" s="57"/>
      <c r="AC340" s="425" t="s">
        <v>556</v>
      </c>
      <c r="AG340" s="64"/>
      <c r="AJ340" s="68"/>
      <c r="AK340" s="68">
        <v>0</v>
      </c>
      <c r="BB340" s="426" t="s">
        <v>1</v>
      </c>
      <c r="BM340" s="64">
        <f>IFERROR(X340*I340/H340,"0")</f>
        <v>89.225000000000009</v>
      </c>
      <c r="BN340" s="64">
        <f>IFERROR(Y340*I340/H340,"0")</f>
        <v>90.3</v>
      </c>
      <c r="BO340" s="64">
        <f>IFERROR(1/J340*(X340/H340),"0")</f>
        <v>0.19001831501831504</v>
      </c>
      <c r="BP340" s="64">
        <f>IFERROR(1/J340*(Y340/H340),"0")</f>
        <v>0.19230769230769232</v>
      </c>
    </row>
    <row r="341" spans="1:68" x14ac:dyDescent="0.2">
      <c r="A341" s="668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9"/>
      <c r="P341" s="663" t="s">
        <v>71</v>
      </c>
      <c r="Q341" s="664"/>
      <c r="R341" s="664"/>
      <c r="S341" s="664"/>
      <c r="T341" s="664"/>
      <c r="U341" s="664"/>
      <c r="V341" s="665"/>
      <c r="W341" s="37" t="s">
        <v>72</v>
      </c>
      <c r="X341" s="649">
        <f>IFERROR(X338/H338,"0")+IFERROR(X339/H339,"0")+IFERROR(X340/H340,"0")</f>
        <v>50</v>
      </c>
      <c r="Y341" s="649">
        <f>IFERROR(Y338/H338,"0")+IFERROR(Y339/H339,"0")+IFERROR(Y340/H340,"0")</f>
        <v>51</v>
      </c>
      <c r="Z341" s="649">
        <f>IFERROR(IF(Z338="",0,Z338),"0")+IFERROR(IF(Z339="",0,Z339),"0")+IFERROR(IF(Z340="",0,Z340),"0")</f>
        <v>0.33201000000000003</v>
      </c>
      <c r="AA341" s="650"/>
      <c r="AB341" s="650"/>
      <c r="AC341" s="650"/>
    </row>
    <row r="342" spans="1:68" x14ac:dyDescent="0.2">
      <c r="A342" s="660"/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9"/>
      <c r="P342" s="663" t="s">
        <v>71</v>
      </c>
      <c r="Q342" s="664"/>
      <c r="R342" s="664"/>
      <c r="S342" s="664"/>
      <c r="T342" s="664"/>
      <c r="U342" s="664"/>
      <c r="V342" s="665"/>
      <c r="W342" s="37" t="s">
        <v>66</v>
      </c>
      <c r="X342" s="649">
        <f>IFERROR(SUM(X338:X340),"0")</f>
        <v>120</v>
      </c>
      <c r="Y342" s="649">
        <f>IFERROR(SUM(Y338:Y340),"0")</f>
        <v>122.4</v>
      </c>
      <c r="Z342" s="37"/>
      <c r="AA342" s="650"/>
      <c r="AB342" s="650"/>
      <c r="AC342" s="650"/>
    </row>
    <row r="343" spans="1:68" ht="16.5" hidden="1" customHeight="1" x14ac:dyDescent="0.25">
      <c r="A343" s="672" t="s">
        <v>562</v>
      </c>
      <c r="B343" s="660"/>
      <c r="C343" s="660"/>
      <c r="D343" s="660"/>
      <c r="E343" s="660"/>
      <c r="F343" s="660"/>
      <c r="G343" s="660"/>
      <c r="H343" s="660"/>
      <c r="I343" s="660"/>
      <c r="J343" s="660"/>
      <c r="K343" s="660"/>
      <c r="L343" s="660"/>
      <c r="M343" s="660"/>
      <c r="N343" s="660"/>
      <c r="O343" s="660"/>
      <c r="P343" s="660"/>
      <c r="Q343" s="660"/>
      <c r="R343" s="660"/>
      <c r="S343" s="660"/>
      <c r="T343" s="660"/>
      <c r="U343" s="660"/>
      <c r="V343" s="660"/>
      <c r="W343" s="660"/>
      <c r="X343" s="660"/>
      <c r="Y343" s="660"/>
      <c r="Z343" s="660"/>
      <c r="AA343" s="642"/>
      <c r="AB343" s="642"/>
      <c r="AC343" s="642"/>
    </row>
    <row r="344" spans="1:68" ht="14.25" hidden="1" customHeight="1" x14ac:dyDescent="0.25">
      <c r="A344" s="659" t="s">
        <v>61</v>
      </c>
      <c r="B344" s="660"/>
      <c r="C344" s="660"/>
      <c r="D344" s="660"/>
      <c r="E344" s="660"/>
      <c r="F344" s="660"/>
      <c r="G344" s="660"/>
      <c r="H344" s="660"/>
      <c r="I344" s="660"/>
      <c r="J344" s="660"/>
      <c r="K344" s="660"/>
      <c r="L344" s="660"/>
      <c r="M344" s="660"/>
      <c r="N344" s="660"/>
      <c r="O344" s="660"/>
      <c r="P344" s="660"/>
      <c r="Q344" s="660"/>
      <c r="R344" s="660"/>
      <c r="S344" s="660"/>
      <c r="T344" s="660"/>
      <c r="U344" s="660"/>
      <c r="V344" s="660"/>
      <c r="W344" s="660"/>
      <c r="X344" s="660"/>
      <c r="Y344" s="660"/>
      <c r="Z344" s="660"/>
      <c r="AA344" s="643"/>
      <c r="AB344" s="643"/>
      <c r="AC344" s="643"/>
    </row>
    <row r="345" spans="1:68" ht="27" hidden="1" customHeight="1" x14ac:dyDescent="0.25">
      <c r="A345" s="54" t="s">
        <v>563</v>
      </c>
      <c r="B345" s="54" t="s">
        <v>564</v>
      </c>
      <c r="C345" s="31">
        <v>4301031445</v>
      </c>
      <c r="D345" s="651">
        <v>4680115888319</v>
      </c>
      <c r="E345" s="652"/>
      <c r="F345" s="646">
        <v>0.35</v>
      </c>
      <c r="G345" s="32">
        <v>6</v>
      </c>
      <c r="H345" s="646">
        <v>2.1</v>
      </c>
      <c r="I345" s="646">
        <v>2.23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45</v>
      </c>
      <c r="P345" s="90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54"/>
      <c r="R345" s="654"/>
      <c r="S345" s="654"/>
      <c r="T345" s="655"/>
      <c r="U345" s="34"/>
      <c r="V345" s="34"/>
      <c r="W345" s="35" t="s">
        <v>66</v>
      </c>
      <c r="X345" s="647">
        <v>0</v>
      </c>
      <c r="Y345" s="648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390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4301031502</v>
      </c>
      <c r="D346" s="651">
        <v>4680115884700</v>
      </c>
      <c r="E346" s="652"/>
      <c r="F346" s="646">
        <v>0.57999999999999996</v>
      </c>
      <c r="G346" s="32">
        <v>4</v>
      </c>
      <c r="H346" s="646">
        <v>2.3199999999999998</v>
      </c>
      <c r="I346" s="646">
        <v>2.42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3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54"/>
      <c r="R346" s="654"/>
      <c r="S346" s="654"/>
      <c r="T346" s="655"/>
      <c r="U346" s="34"/>
      <c r="V346" s="34"/>
      <c r="W346" s="35" t="s">
        <v>66</v>
      </c>
      <c r="X346" s="647">
        <v>0</v>
      </c>
      <c r="Y346" s="64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4301031307</v>
      </c>
      <c r="D347" s="651">
        <v>4680115880344</v>
      </c>
      <c r="E347" s="652"/>
      <c r="F347" s="646">
        <v>0.28000000000000003</v>
      </c>
      <c r="G347" s="32">
        <v>6</v>
      </c>
      <c r="H347" s="646">
        <v>1.68</v>
      </c>
      <c r="I347" s="646">
        <v>1.78</v>
      </c>
      <c r="J347" s="32">
        <v>234</v>
      </c>
      <c r="K347" s="32" t="s">
        <v>64</v>
      </c>
      <c r="L347" s="32"/>
      <c r="M347" s="33" t="s">
        <v>65</v>
      </c>
      <c r="N347" s="33"/>
      <c r="O347" s="32">
        <v>40</v>
      </c>
      <c r="P347" s="9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54"/>
      <c r="R347" s="654"/>
      <c r="S347" s="654"/>
      <c r="T347" s="655"/>
      <c r="U347" s="34"/>
      <c r="V347" s="34"/>
      <c r="W347" s="35" t="s">
        <v>66</v>
      </c>
      <c r="X347" s="647">
        <v>0</v>
      </c>
      <c r="Y347" s="648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571</v>
      </c>
      <c r="B348" s="54" t="s">
        <v>572</v>
      </c>
      <c r="C348" s="31">
        <v>4301031501</v>
      </c>
      <c r="D348" s="651">
        <v>4680115886919</v>
      </c>
      <c r="E348" s="652"/>
      <c r="F348" s="646">
        <v>0.4</v>
      </c>
      <c r="G348" s="32">
        <v>6</v>
      </c>
      <c r="H348" s="646">
        <v>2.4</v>
      </c>
      <c r="I348" s="646">
        <v>2.58</v>
      </c>
      <c r="J348" s="32">
        <v>182</v>
      </c>
      <c r="K348" s="32" t="s">
        <v>76</v>
      </c>
      <c r="L348" s="32"/>
      <c r="M348" s="33" t="s">
        <v>65</v>
      </c>
      <c r="N348" s="33"/>
      <c r="O348" s="32">
        <v>40</v>
      </c>
      <c r="P348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54"/>
      <c r="R348" s="654"/>
      <c r="S348" s="654"/>
      <c r="T348" s="655"/>
      <c r="U348" s="34"/>
      <c r="V348" s="34"/>
      <c r="W348" s="35" t="s">
        <v>66</v>
      </c>
      <c r="X348" s="647">
        <v>0</v>
      </c>
      <c r="Y348" s="648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573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4301031246</v>
      </c>
      <c r="D349" s="651">
        <v>4680115883970</v>
      </c>
      <c r="E349" s="652"/>
      <c r="F349" s="646">
        <v>0.28000000000000003</v>
      </c>
      <c r="G349" s="32">
        <v>6</v>
      </c>
      <c r="H349" s="646">
        <v>1.68</v>
      </c>
      <c r="I349" s="646">
        <v>2.5</v>
      </c>
      <c r="J349" s="32">
        <v>234</v>
      </c>
      <c r="K349" s="32" t="s">
        <v>64</v>
      </c>
      <c r="L349" s="32"/>
      <c r="M349" s="33" t="s">
        <v>65</v>
      </c>
      <c r="N349" s="33"/>
      <c r="O349" s="32">
        <v>40</v>
      </c>
      <c r="P349" s="96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54"/>
      <c r="R349" s="654"/>
      <c r="S349" s="654"/>
      <c r="T349" s="655"/>
      <c r="U349" s="34"/>
      <c r="V349" s="34"/>
      <c r="W349" s="35" t="s">
        <v>66</v>
      </c>
      <c r="X349" s="647">
        <v>0</v>
      </c>
      <c r="Y349" s="648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576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8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9"/>
      <c r="P350" s="663" t="s">
        <v>71</v>
      </c>
      <c r="Q350" s="664"/>
      <c r="R350" s="664"/>
      <c r="S350" s="664"/>
      <c r="T350" s="664"/>
      <c r="U350" s="664"/>
      <c r="V350" s="665"/>
      <c r="W350" s="37" t="s">
        <v>72</v>
      </c>
      <c r="X350" s="649">
        <f>IFERROR(X345/H345,"0")+IFERROR(X346/H346,"0")+IFERROR(X347/H347,"0")+IFERROR(X348/H348,"0")+IFERROR(X349/H349,"0")</f>
        <v>0</v>
      </c>
      <c r="Y350" s="649">
        <f>IFERROR(Y345/H345,"0")+IFERROR(Y346/H346,"0")+IFERROR(Y347/H347,"0")+IFERROR(Y348/H348,"0")+IFERROR(Y349/H349,"0")</f>
        <v>0</v>
      </c>
      <c r="Z350" s="649">
        <f>IFERROR(IF(Z345="",0,Z345),"0")+IFERROR(IF(Z346="",0,Z346),"0")+IFERROR(IF(Z347="",0,Z347),"0")+IFERROR(IF(Z348="",0,Z348),"0")+IFERROR(IF(Z349="",0,Z349),"0")</f>
        <v>0</v>
      </c>
      <c r="AA350" s="650"/>
      <c r="AB350" s="650"/>
      <c r="AC350" s="650"/>
    </row>
    <row r="351" spans="1:68" hidden="1" x14ac:dyDescent="0.2">
      <c r="A351" s="660"/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9"/>
      <c r="P351" s="663" t="s">
        <v>71</v>
      </c>
      <c r="Q351" s="664"/>
      <c r="R351" s="664"/>
      <c r="S351" s="664"/>
      <c r="T351" s="664"/>
      <c r="U351" s="664"/>
      <c r="V351" s="665"/>
      <c r="W351" s="37" t="s">
        <v>66</v>
      </c>
      <c r="X351" s="649">
        <f>IFERROR(SUM(X345:X349),"0")</f>
        <v>0</v>
      </c>
      <c r="Y351" s="649">
        <f>IFERROR(SUM(Y345:Y349),"0")</f>
        <v>0</v>
      </c>
      <c r="Z351" s="37"/>
      <c r="AA351" s="650"/>
      <c r="AB351" s="650"/>
      <c r="AC351" s="650"/>
    </row>
    <row r="352" spans="1:68" ht="14.25" hidden="1" customHeight="1" x14ac:dyDescent="0.25">
      <c r="A352" s="659" t="s">
        <v>73</v>
      </c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0"/>
      <c r="P352" s="660"/>
      <c r="Q352" s="660"/>
      <c r="R352" s="660"/>
      <c r="S352" s="660"/>
      <c r="T352" s="660"/>
      <c r="U352" s="660"/>
      <c r="V352" s="660"/>
      <c r="W352" s="660"/>
      <c r="X352" s="660"/>
      <c r="Y352" s="660"/>
      <c r="Z352" s="660"/>
      <c r="AA352" s="643"/>
      <c r="AB352" s="643"/>
      <c r="AC352" s="643"/>
    </row>
    <row r="353" spans="1:68" ht="27" hidden="1" customHeight="1" x14ac:dyDescent="0.25">
      <c r="A353" s="54" t="s">
        <v>577</v>
      </c>
      <c r="B353" s="54" t="s">
        <v>578</v>
      </c>
      <c r="C353" s="31">
        <v>4301051782</v>
      </c>
      <c r="D353" s="651">
        <v>4680115884618</v>
      </c>
      <c r="E353" s="652"/>
      <c r="F353" s="646">
        <v>0.6</v>
      </c>
      <c r="G353" s="32">
        <v>6</v>
      </c>
      <c r="H353" s="646">
        <v>3.6</v>
      </c>
      <c r="I353" s="646">
        <v>3.79</v>
      </c>
      <c r="J353" s="32">
        <v>132</v>
      </c>
      <c r="K353" s="32" t="s">
        <v>122</v>
      </c>
      <c r="L353" s="32"/>
      <c r="M353" s="33" t="s">
        <v>77</v>
      </c>
      <c r="N353" s="33"/>
      <c r="O353" s="32">
        <v>45</v>
      </c>
      <c r="P353" s="81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54"/>
      <c r="R353" s="654"/>
      <c r="S353" s="654"/>
      <c r="T353" s="655"/>
      <c r="U353" s="34"/>
      <c r="V353" s="34"/>
      <c r="W353" s="35" t="s">
        <v>66</v>
      </c>
      <c r="X353" s="647">
        <v>0</v>
      </c>
      <c r="Y353" s="64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579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4301052057</v>
      </c>
      <c r="D354" s="651">
        <v>4680115887114</v>
      </c>
      <c r="E354" s="652"/>
      <c r="F354" s="646">
        <v>0.55000000000000004</v>
      </c>
      <c r="G354" s="32">
        <v>6</v>
      </c>
      <c r="H354" s="646">
        <v>3.3</v>
      </c>
      <c r="I354" s="646">
        <v>3.49</v>
      </c>
      <c r="J354" s="32">
        <v>132</v>
      </c>
      <c r="K354" s="32" t="s">
        <v>122</v>
      </c>
      <c r="L354" s="32"/>
      <c r="M354" s="33" t="s">
        <v>77</v>
      </c>
      <c r="N354" s="33"/>
      <c r="O354" s="32">
        <v>45</v>
      </c>
      <c r="P354" s="9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54"/>
      <c r="R354" s="654"/>
      <c r="S354" s="654"/>
      <c r="T354" s="655"/>
      <c r="U354" s="34"/>
      <c r="V354" s="34"/>
      <c r="W354" s="35" t="s">
        <v>66</v>
      </c>
      <c r="X354" s="647">
        <v>0</v>
      </c>
      <c r="Y354" s="648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582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68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9"/>
      <c r="P355" s="663" t="s">
        <v>71</v>
      </c>
      <c r="Q355" s="664"/>
      <c r="R355" s="664"/>
      <c r="S355" s="664"/>
      <c r="T355" s="664"/>
      <c r="U355" s="664"/>
      <c r="V355" s="665"/>
      <c r="W355" s="37" t="s">
        <v>72</v>
      </c>
      <c r="X355" s="649">
        <f>IFERROR(X353/H353,"0")+IFERROR(X354/H354,"0")</f>
        <v>0</v>
      </c>
      <c r="Y355" s="649">
        <f>IFERROR(Y353/H353,"0")+IFERROR(Y354/H354,"0")</f>
        <v>0</v>
      </c>
      <c r="Z355" s="649">
        <f>IFERROR(IF(Z353="",0,Z353),"0")+IFERROR(IF(Z354="",0,Z354),"0")</f>
        <v>0</v>
      </c>
      <c r="AA355" s="650"/>
      <c r="AB355" s="650"/>
      <c r="AC355" s="650"/>
    </row>
    <row r="356" spans="1:68" hidden="1" x14ac:dyDescent="0.2">
      <c r="A356" s="660"/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9"/>
      <c r="P356" s="663" t="s">
        <v>71</v>
      </c>
      <c r="Q356" s="664"/>
      <c r="R356" s="664"/>
      <c r="S356" s="664"/>
      <c r="T356" s="664"/>
      <c r="U356" s="664"/>
      <c r="V356" s="665"/>
      <c r="W356" s="37" t="s">
        <v>66</v>
      </c>
      <c r="X356" s="649">
        <f>IFERROR(SUM(X353:X354),"0")</f>
        <v>0</v>
      </c>
      <c r="Y356" s="649">
        <f>IFERROR(SUM(Y353:Y354),"0")</f>
        <v>0</v>
      </c>
      <c r="Z356" s="37"/>
      <c r="AA356" s="650"/>
      <c r="AB356" s="650"/>
      <c r="AC356" s="650"/>
    </row>
    <row r="357" spans="1:68" ht="16.5" hidden="1" customHeight="1" x14ac:dyDescent="0.25">
      <c r="A357" s="672" t="s">
        <v>583</v>
      </c>
      <c r="B357" s="660"/>
      <c r="C357" s="660"/>
      <c r="D357" s="660"/>
      <c r="E357" s="660"/>
      <c r="F357" s="660"/>
      <c r="G357" s="660"/>
      <c r="H357" s="660"/>
      <c r="I357" s="660"/>
      <c r="J357" s="660"/>
      <c r="K357" s="660"/>
      <c r="L357" s="660"/>
      <c r="M357" s="660"/>
      <c r="N357" s="660"/>
      <c r="O357" s="660"/>
      <c r="P357" s="660"/>
      <c r="Q357" s="660"/>
      <c r="R357" s="660"/>
      <c r="S357" s="660"/>
      <c r="T357" s="660"/>
      <c r="U357" s="660"/>
      <c r="V357" s="660"/>
      <c r="W357" s="660"/>
      <c r="X357" s="660"/>
      <c r="Y357" s="660"/>
      <c r="Z357" s="660"/>
      <c r="AA357" s="642"/>
      <c r="AB357" s="642"/>
      <c r="AC357" s="642"/>
    </row>
    <row r="358" spans="1:68" ht="14.25" hidden="1" customHeight="1" x14ac:dyDescent="0.25">
      <c r="A358" s="659" t="s">
        <v>110</v>
      </c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0"/>
      <c r="T358" s="660"/>
      <c r="U358" s="660"/>
      <c r="V358" s="660"/>
      <c r="W358" s="660"/>
      <c r="X358" s="660"/>
      <c r="Y358" s="660"/>
      <c r="Z358" s="660"/>
      <c r="AA358" s="643"/>
      <c r="AB358" s="643"/>
      <c r="AC358" s="643"/>
    </row>
    <row r="359" spans="1:68" ht="27" customHeight="1" x14ac:dyDescent="0.25">
      <c r="A359" s="54" t="s">
        <v>584</v>
      </c>
      <c r="B359" s="54" t="s">
        <v>585</v>
      </c>
      <c r="C359" s="31">
        <v>4301012324</v>
      </c>
      <c r="D359" s="651">
        <v>4680115887947</v>
      </c>
      <c r="E359" s="652"/>
      <c r="F359" s="646">
        <v>1.3</v>
      </c>
      <c r="G359" s="32">
        <v>6</v>
      </c>
      <c r="H359" s="646">
        <v>7.8</v>
      </c>
      <c r="I359" s="646">
        <v>8.2100000000000009</v>
      </c>
      <c r="J359" s="32">
        <v>64</v>
      </c>
      <c r="K359" s="32" t="s">
        <v>113</v>
      </c>
      <c r="L359" s="32"/>
      <c r="M359" s="33" t="s">
        <v>77</v>
      </c>
      <c r="N359" s="33"/>
      <c r="O359" s="32">
        <v>60</v>
      </c>
      <c r="P359" s="9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54"/>
      <c r="R359" s="654"/>
      <c r="S359" s="654"/>
      <c r="T359" s="655"/>
      <c r="U359" s="34"/>
      <c r="V359" s="34"/>
      <c r="W359" s="35" t="s">
        <v>66</v>
      </c>
      <c r="X359" s="647">
        <v>104</v>
      </c>
      <c r="Y359" s="648">
        <f>IFERROR(IF(X359="",0,CEILING((X359/$H359),1)*$H359),"")</f>
        <v>109.2</v>
      </c>
      <c r="Z359" s="36">
        <f>IFERROR(IF(Y359=0,"",ROUNDUP(Y359/H359,0)*0.01898),"")</f>
        <v>0.26572000000000001</v>
      </c>
      <c r="AA359" s="56"/>
      <c r="AB359" s="57"/>
      <c r="AC359" s="441" t="s">
        <v>349</v>
      </c>
      <c r="AG359" s="64"/>
      <c r="AJ359" s="68"/>
      <c r="AK359" s="68">
        <v>0</v>
      </c>
      <c r="BB359" s="442" t="s">
        <v>1</v>
      </c>
      <c r="BM359" s="64">
        <f>IFERROR(X359*I359/H359,"0")</f>
        <v>109.46666666666668</v>
      </c>
      <c r="BN359" s="64">
        <f>IFERROR(Y359*I359/H359,"0")</f>
        <v>114.94000000000003</v>
      </c>
      <c r="BO359" s="64">
        <f>IFERROR(1/J359*(X359/H359),"0")</f>
        <v>0.20833333333333334</v>
      </c>
      <c r="BP359" s="64">
        <f>IFERROR(1/J359*(Y359/H359),"0")</f>
        <v>0.21875</v>
      </c>
    </row>
    <row r="360" spans="1:68" ht="27" customHeight="1" x14ac:dyDescent="0.25">
      <c r="A360" s="54" t="s">
        <v>586</v>
      </c>
      <c r="B360" s="54" t="s">
        <v>587</v>
      </c>
      <c r="C360" s="31">
        <v>4301012325</v>
      </c>
      <c r="D360" s="651">
        <v>4680115887978</v>
      </c>
      <c r="E360" s="652"/>
      <c r="F360" s="646">
        <v>1.3</v>
      </c>
      <c r="G360" s="32">
        <v>6</v>
      </c>
      <c r="H360" s="646">
        <v>7.8</v>
      </c>
      <c r="I360" s="646">
        <v>8.2100000000000009</v>
      </c>
      <c r="J360" s="32">
        <v>64</v>
      </c>
      <c r="K360" s="32" t="s">
        <v>113</v>
      </c>
      <c r="L360" s="32"/>
      <c r="M360" s="33" t="s">
        <v>77</v>
      </c>
      <c r="N360" s="33"/>
      <c r="O360" s="32">
        <v>60</v>
      </c>
      <c r="P360" s="10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54"/>
      <c r="R360" s="654"/>
      <c r="S360" s="654"/>
      <c r="T360" s="655"/>
      <c r="U360" s="34"/>
      <c r="V360" s="34"/>
      <c r="W360" s="35" t="s">
        <v>66</v>
      </c>
      <c r="X360" s="647">
        <v>155</v>
      </c>
      <c r="Y360" s="648">
        <f>IFERROR(IF(X360="",0,CEILING((X360/$H360),1)*$H360),"")</f>
        <v>156</v>
      </c>
      <c r="Z360" s="36">
        <f>IFERROR(IF(Y360=0,"",ROUNDUP(Y360/H360,0)*0.01898),"")</f>
        <v>0.37959999999999999</v>
      </c>
      <c r="AA360" s="56"/>
      <c r="AB360" s="57"/>
      <c r="AC360" s="443" t="s">
        <v>588</v>
      </c>
      <c r="AG360" s="64"/>
      <c r="AJ360" s="68"/>
      <c r="AK360" s="68">
        <v>0</v>
      </c>
      <c r="BB360" s="444" t="s">
        <v>1</v>
      </c>
      <c r="BM360" s="64">
        <f>IFERROR(X360*I360/H360,"0")</f>
        <v>163.14743589743591</v>
      </c>
      <c r="BN360" s="64">
        <f>IFERROR(Y360*I360/H360,"0")</f>
        <v>164.20000000000005</v>
      </c>
      <c r="BO360" s="64">
        <f>IFERROR(1/J360*(X360/H360),"0")</f>
        <v>0.31049679487179488</v>
      </c>
      <c r="BP360" s="64">
        <f>IFERROR(1/J360*(Y360/H360),"0")</f>
        <v>0.3125</v>
      </c>
    </row>
    <row r="361" spans="1:68" ht="27" hidden="1" customHeight="1" x14ac:dyDescent="0.25">
      <c r="A361" s="54" t="s">
        <v>589</v>
      </c>
      <c r="B361" s="54" t="s">
        <v>590</v>
      </c>
      <c r="C361" s="31">
        <v>4301012327</v>
      </c>
      <c r="D361" s="651">
        <v>4680115887992</v>
      </c>
      <c r="E361" s="652"/>
      <c r="F361" s="646">
        <v>1.3</v>
      </c>
      <c r="G361" s="32">
        <v>6</v>
      </c>
      <c r="H361" s="646">
        <v>7.8</v>
      </c>
      <c r="I361" s="646">
        <v>8.2100000000000009</v>
      </c>
      <c r="J361" s="32">
        <v>64</v>
      </c>
      <c r="K361" s="32" t="s">
        <v>113</v>
      </c>
      <c r="L361" s="32"/>
      <c r="M361" s="33" t="s">
        <v>77</v>
      </c>
      <c r="N361" s="33"/>
      <c r="O361" s="32">
        <v>60</v>
      </c>
      <c r="P361" s="8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54"/>
      <c r="R361" s="654"/>
      <c r="S361" s="654"/>
      <c r="T361" s="655"/>
      <c r="U361" s="34"/>
      <c r="V361" s="34"/>
      <c r="W361" s="35" t="s">
        <v>66</v>
      </c>
      <c r="X361" s="647">
        <v>0</v>
      </c>
      <c r="Y361" s="648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591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68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9"/>
      <c r="P362" s="663" t="s">
        <v>71</v>
      </c>
      <c r="Q362" s="664"/>
      <c r="R362" s="664"/>
      <c r="S362" s="664"/>
      <c r="T362" s="664"/>
      <c r="U362" s="664"/>
      <c r="V362" s="665"/>
      <c r="W362" s="37" t="s">
        <v>72</v>
      </c>
      <c r="X362" s="649">
        <f>IFERROR(X359/H359,"0")+IFERROR(X360/H360,"0")+IFERROR(X361/H361,"0")</f>
        <v>33.205128205128204</v>
      </c>
      <c r="Y362" s="649">
        <f>IFERROR(Y359/H359,"0")+IFERROR(Y360/H360,"0")+IFERROR(Y361/H361,"0")</f>
        <v>34</v>
      </c>
      <c r="Z362" s="649">
        <f>IFERROR(IF(Z359="",0,Z359),"0")+IFERROR(IF(Z360="",0,Z360),"0")+IFERROR(IF(Z361="",0,Z361),"0")</f>
        <v>0.64532</v>
      </c>
      <c r="AA362" s="650"/>
      <c r="AB362" s="650"/>
      <c r="AC362" s="650"/>
    </row>
    <row r="363" spans="1:68" x14ac:dyDescent="0.2">
      <c r="A363" s="660"/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9"/>
      <c r="P363" s="663" t="s">
        <v>71</v>
      </c>
      <c r="Q363" s="664"/>
      <c r="R363" s="664"/>
      <c r="S363" s="664"/>
      <c r="T363" s="664"/>
      <c r="U363" s="664"/>
      <c r="V363" s="665"/>
      <c r="W363" s="37" t="s">
        <v>66</v>
      </c>
      <c r="X363" s="649">
        <f>IFERROR(SUM(X359:X361),"0")</f>
        <v>259</v>
      </c>
      <c r="Y363" s="649">
        <f>IFERROR(SUM(Y359:Y361),"0")</f>
        <v>265.2</v>
      </c>
      <c r="Z363" s="37"/>
      <c r="AA363" s="650"/>
      <c r="AB363" s="650"/>
      <c r="AC363" s="650"/>
    </row>
    <row r="364" spans="1:68" ht="16.5" hidden="1" customHeight="1" x14ac:dyDescent="0.25">
      <c r="A364" s="672" t="s">
        <v>592</v>
      </c>
      <c r="B364" s="660"/>
      <c r="C364" s="660"/>
      <c r="D364" s="660"/>
      <c r="E364" s="660"/>
      <c r="F364" s="660"/>
      <c r="G364" s="660"/>
      <c r="H364" s="660"/>
      <c r="I364" s="660"/>
      <c r="J364" s="660"/>
      <c r="K364" s="660"/>
      <c r="L364" s="660"/>
      <c r="M364" s="660"/>
      <c r="N364" s="660"/>
      <c r="O364" s="660"/>
      <c r="P364" s="660"/>
      <c r="Q364" s="660"/>
      <c r="R364" s="660"/>
      <c r="S364" s="660"/>
      <c r="T364" s="660"/>
      <c r="U364" s="660"/>
      <c r="V364" s="660"/>
      <c r="W364" s="660"/>
      <c r="X364" s="660"/>
      <c r="Y364" s="660"/>
      <c r="Z364" s="660"/>
      <c r="AA364" s="642"/>
      <c r="AB364" s="642"/>
      <c r="AC364" s="642"/>
    </row>
    <row r="365" spans="1:68" ht="14.25" hidden="1" customHeight="1" x14ac:dyDescent="0.25">
      <c r="A365" s="659" t="s">
        <v>110</v>
      </c>
      <c r="B365" s="660"/>
      <c r="C365" s="660"/>
      <c r="D365" s="660"/>
      <c r="E365" s="660"/>
      <c r="F365" s="660"/>
      <c r="G365" s="660"/>
      <c r="H365" s="660"/>
      <c r="I365" s="660"/>
      <c r="J365" s="660"/>
      <c r="K365" s="660"/>
      <c r="L365" s="660"/>
      <c r="M365" s="660"/>
      <c r="N365" s="660"/>
      <c r="O365" s="660"/>
      <c r="P365" s="660"/>
      <c r="Q365" s="660"/>
      <c r="R365" s="660"/>
      <c r="S365" s="660"/>
      <c r="T365" s="660"/>
      <c r="U365" s="660"/>
      <c r="V365" s="660"/>
      <c r="W365" s="660"/>
      <c r="X365" s="660"/>
      <c r="Y365" s="660"/>
      <c r="Z365" s="660"/>
      <c r="AA365" s="643"/>
      <c r="AB365" s="643"/>
      <c r="AC365" s="643"/>
    </row>
    <row r="366" spans="1:68" ht="27" hidden="1" customHeight="1" x14ac:dyDescent="0.25">
      <c r="A366" s="54" t="s">
        <v>593</v>
      </c>
      <c r="B366" s="54" t="s">
        <v>594</v>
      </c>
      <c r="C366" s="31">
        <v>4301012400</v>
      </c>
      <c r="D366" s="651">
        <v>4680115889880</v>
      </c>
      <c r="E366" s="652"/>
      <c r="F366" s="646">
        <v>1.35</v>
      </c>
      <c r="G366" s="32">
        <v>8</v>
      </c>
      <c r="H366" s="646">
        <v>10.8</v>
      </c>
      <c r="I366" s="646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0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54"/>
      <c r="R366" s="654"/>
      <c r="S366" s="654"/>
      <c r="T366" s="655"/>
      <c r="U366" s="34"/>
      <c r="V366" s="34"/>
      <c r="W366" s="35" t="s">
        <v>66</v>
      </c>
      <c r="X366" s="647">
        <v>0</v>
      </c>
      <c r="Y366" s="648">
        <f t="shared" ref="Y366:Y372" si="58">IFERROR(IF(X366="",0,CEILING((X366/$H366),1)*$H366),"")</f>
        <v>0</v>
      </c>
      <c r="Z366" s="36" t="str">
        <f>IFERROR(IF(Y366=0,"",ROUNDUP(Y366/H366,0)*0.01898),"")</f>
        <v/>
      </c>
      <c r="AA366" s="56"/>
      <c r="AB366" s="57" t="s">
        <v>536</v>
      </c>
      <c r="AC366" s="447" t="s">
        <v>517</v>
      </c>
      <c r="AG366" s="64"/>
      <c r="AJ366" s="68"/>
      <c r="AK366" s="68">
        <v>0</v>
      </c>
      <c r="BB366" s="448" t="s">
        <v>1</v>
      </c>
      <c r="BM366" s="64">
        <f t="shared" ref="BM366:BM372" si="59">IFERROR(X366*I366/H366,"0")</f>
        <v>0</v>
      </c>
      <c r="BN366" s="64">
        <f t="shared" ref="BN366:BN372" si="60">IFERROR(Y366*I366/H366,"0")</f>
        <v>0</v>
      </c>
      <c r="BO366" s="64">
        <f t="shared" ref="BO366:BO372" si="61">IFERROR(1/J366*(X366/H366),"0")</f>
        <v>0</v>
      </c>
      <c r="BP366" s="64">
        <f t="shared" ref="BP366:BP372" si="62">IFERROR(1/J366*(Y366/H366),"0")</f>
        <v>0</v>
      </c>
    </row>
    <row r="367" spans="1:68" ht="27" hidden="1" customHeight="1" x14ac:dyDescent="0.25">
      <c r="A367" s="54" t="s">
        <v>595</v>
      </c>
      <c r="B367" s="54" t="s">
        <v>596</v>
      </c>
      <c r="C367" s="31">
        <v>4301012360</v>
      </c>
      <c r="D367" s="651">
        <v>4680115889293</v>
      </c>
      <c r="E367" s="652"/>
      <c r="F367" s="646">
        <v>1.35</v>
      </c>
      <c r="G367" s="32">
        <v>8</v>
      </c>
      <c r="H367" s="646">
        <v>10.8</v>
      </c>
      <c r="I367" s="646">
        <v>11.21</v>
      </c>
      <c r="J367" s="32">
        <v>64</v>
      </c>
      <c r="K367" s="32" t="s">
        <v>113</v>
      </c>
      <c r="L367" s="32"/>
      <c r="M367" s="33" t="s">
        <v>114</v>
      </c>
      <c r="N367" s="33"/>
      <c r="O367" s="32">
        <v>55</v>
      </c>
      <c r="P367" s="97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4"/>
      <c r="R367" s="654"/>
      <c r="S367" s="654"/>
      <c r="T367" s="655"/>
      <c r="U367" s="34"/>
      <c r="V367" s="34"/>
      <c r="W367" s="35" t="s">
        <v>66</v>
      </c>
      <c r="X367" s="647">
        <v>0</v>
      </c>
      <c r="Y367" s="648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4301012235</v>
      </c>
      <c r="D368" s="651">
        <v>4680115887190</v>
      </c>
      <c r="E368" s="652"/>
      <c r="F368" s="646">
        <v>1.35</v>
      </c>
      <c r="G368" s="32">
        <v>8</v>
      </c>
      <c r="H368" s="646">
        <v>10.8</v>
      </c>
      <c r="I368" s="646">
        <v>11.21</v>
      </c>
      <c r="J368" s="32">
        <v>64</v>
      </c>
      <c r="K368" s="32" t="s">
        <v>113</v>
      </c>
      <c r="L368" s="32"/>
      <c r="M368" s="33" t="s">
        <v>114</v>
      </c>
      <c r="N368" s="33"/>
      <c r="O368" s="32">
        <v>55</v>
      </c>
      <c r="P368" s="101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4"/>
      <c r="R368" s="654"/>
      <c r="S368" s="654"/>
      <c r="T368" s="655"/>
      <c r="U368" s="34"/>
      <c r="V368" s="34"/>
      <c r="W368" s="35" t="s">
        <v>66</v>
      </c>
      <c r="X368" s="647">
        <v>0</v>
      </c>
      <c r="Y368" s="648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37.5" hidden="1" customHeight="1" x14ac:dyDescent="0.25">
      <c r="A369" s="54" t="s">
        <v>601</v>
      </c>
      <c r="B369" s="54" t="s">
        <v>602</v>
      </c>
      <c r="C369" s="31">
        <v>4301012233</v>
      </c>
      <c r="D369" s="651">
        <v>4680115887138</v>
      </c>
      <c r="E369" s="652"/>
      <c r="F369" s="646">
        <v>1.35</v>
      </c>
      <c r="G369" s="32">
        <v>8</v>
      </c>
      <c r="H369" s="646">
        <v>10.8</v>
      </c>
      <c r="I369" s="646">
        <v>11.21</v>
      </c>
      <c r="J369" s="32">
        <v>64</v>
      </c>
      <c r="K369" s="32" t="s">
        <v>113</v>
      </c>
      <c r="L369" s="32"/>
      <c r="M369" s="33" t="s">
        <v>114</v>
      </c>
      <c r="N369" s="33"/>
      <c r="O369" s="32">
        <v>55</v>
      </c>
      <c r="P369" s="9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54"/>
      <c r="R369" s="654"/>
      <c r="S369" s="654"/>
      <c r="T369" s="655"/>
      <c r="U369" s="34"/>
      <c r="V369" s="34"/>
      <c r="W369" s="35" t="s">
        <v>66</v>
      </c>
      <c r="X369" s="647">
        <v>0</v>
      </c>
      <c r="Y369" s="648">
        <f t="shared" si="58"/>
        <v>0</v>
      </c>
      <c r="Z369" s="36" t="str">
        <f>IFERROR(IF(Y369=0,"",ROUNDUP(Y369/H369,0)*0.01898),"")</f>
        <v/>
      </c>
      <c r="AA369" s="56"/>
      <c r="AB369" s="57"/>
      <c r="AC369" s="453" t="s">
        <v>603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4301012016</v>
      </c>
      <c r="D370" s="651">
        <v>4680115885554</v>
      </c>
      <c r="E370" s="652"/>
      <c r="F370" s="646">
        <v>1.35</v>
      </c>
      <c r="G370" s="32">
        <v>8</v>
      </c>
      <c r="H370" s="646">
        <v>10.8</v>
      </c>
      <c r="I370" s="646">
        <v>11.21</v>
      </c>
      <c r="J370" s="32">
        <v>64</v>
      </c>
      <c r="K370" s="32" t="s">
        <v>113</v>
      </c>
      <c r="L370" s="32"/>
      <c r="M370" s="33" t="s">
        <v>77</v>
      </c>
      <c r="N370" s="33"/>
      <c r="O370" s="32">
        <v>55</v>
      </c>
      <c r="P370" s="99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54"/>
      <c r="R370" s="654"/>
      <c r="S370" s="654"/>
      <c r="T370" s="655"/>
      <c r="U370" s="34"/>
      <c r="V370" s="34"/>
      <c r="W370" s="35" t="s">
        <v>66</v>
      </c>
      <c r="X370" s="647">
        <v>0</v>
      </c>
      <c r="Y370" s="648">
        <f t="shared" si="58"/>
        <v>0</v>
      </c>
      <c r="Z370" s="36" t="str">
        <f>IFERROR(IF(Y370=0,"",ROUNDUP(Y370/H370,0)*0.01898),"")</f>
        <v/>
      </c>
      <c r="AA370" s="56"/>
      <c r="AB370" s="57"/>
      <c r="AC370" s="455" t="s">
        <v>606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4301012236</v>
      </c>
      <c r="D371" s="651">
        <v>4680115887220</v>
      </c>
      <c r="E371" s="652"/>
      <c r="F371" s="646">
        <v>0.4</v>
      </c>
      <c r="G371" s="32">
        <v>10</v>
      </c>
      <c r="H371" s="646">
        <v>4</v>
      </c>
      <c r="I371" s="646">
        <v>4.1900000000000004</v>
      </c>
      <c r="J371" s="32">
        <v>132</v>
      </c>
      <c r="K371" s="32" t="s">
        <v>122</v>
      </c>
      <c r="L371" s="32"/>
      <c r="M371" s="33" t="s">
        <v>114</v>
      </c>
      <c r="N371" s="33"/>
      <c r="O371" s="32">
        <v>55</v>
      </c>
      <c r="P371" s="8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54"/>
      <c r="R371" s="654"/>
      <c r="S371" s="654"/>
      <c r="T371" s="655"/>
      <c r="U371" s="34"/>
      <c r="V371" s="34"/>
      <c r="W371" s="35" t="s">
        <v>66</v>
      </c>
      <c r="X371" s="647">
        <v>0</v>
      </c>
      <c r="Y371" s="648">
        <f t="shared" si="58"/>
        <v>0</v>
      </c>
      <c r="Z371" s="36" t="str">
        <f>IFERROR(IF(Y371=0,"",ROUNDUP(Y371/H371,0)*0.00902),"")</f>
        <v/>
      </c>
      <c r="AA371" s="56"/>
      <c r="AB371" s="57"/>
      <c r="AC371" s="457" t="s">
        <v>600</v>
      </c>
      <c r="AG371" s="64"/>
      <c r="AJ371" s="68"/>
      <c r="AK371" s="68">
        <v>0</v>
      </c>
      <c r="BB371" s="458" t="s">
        <v>1</v>
      </c>
      <c r="BM371" s="64">
        <f t="shared" si="59"/>
        <v>0</v>
      </c>
      <c r="BN371" s="64">
        <f t="shared" si="60"/>
        <v>0</v>
      </c>
      <c r="BO371" s="64">
        <f t="shared" si="61"/>
        <v>0</v>
      </c>
      <c r="BP371" s="64">
        <f t="shared" si="62"/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4301011859</v>
      </c>
      <c r="D372" s="651">
        <v>4680115885608</v>
      </c>
      <c r="E372" s="652"/>
      <c r="F372" s="646">
        <v>0.4</v>
      </c>
      <c r="G372" s="32">
        <v>10</v>
      </c>
      <c r="H372" s="646">
        <v>4</v>
      </c>
      <c r="I372" s="646">
        <v>4.1900000000000004</v>
      </c>
      <c r="J372" s="32">
        <v>132</v>
      </c>
      <c r="K372" s="32" t="s">
        <v>122</v>
      </c>
      <c r="L372" s="32"/>
      <c r="M372" s="33" t="s">
        <v>114</v>
      </c>
      <c r="N372" s="33"/>
      <c r="O372" s="32">
        <v>55</v>
      </c>
      <c r="P372" s="8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54"/>
      <c r="R372" s="654"/>
      <c r="S372" s="654"/>
      <c r="T372" s="655"/>
      <c r="U372" s="34"/>
      <c r="V372" s="34"/>
      <c r="W372" s="35" t="s">
        <v>66</v>
      </c>
      <c r="X372" s="647">
        <v>0</v>
      </c>
      <c r="Y372" s="648">
        <f t="shared" si="58"/>
        <v>0</v>
      </c>
      <c r="Z372" s="36" t="str">
        <f>IFERROR(IF(Y372=0,"",ROUNDUP(Y372/H372,0)*0.00902),"")</f>
        <v/>
      </c>
      <c r="AA372" s="56"/>
      <c r="AB372" s="57"/>
      <c r="AC372" s="459" t="s">
        <v>611</v>
      </c>
      <c r="AG372" s="64"/>
      <c r="AJ372" s="68"/>
      <c r="AK372" s="68">
        <v>0</v>
      </c>
      <c r="BB372" s="460" t="s">
        <v>1</v>
      </c>
      <c r="BM372" s="64">
        <f t="shared" si="59"/>
        <v>0</v>
      </c>
      <c r="BN372" s="64">
        <f t="shared" si="60"/>
        <v>0</v>
      </c>
      <c r="BO372" s="64">
        <f t="shared" si="61"/>
        <v>0</v>
      </c>
      <c r="BP372" s="64">
        <f t="shared" si="62"/>
        <v>0</v>
      </c>
    </row>
    <row r="373" spans="1:68" hidden="1" x14ac:dyDescent="0.2">
      <c r="A373" s="668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9"/>
      <c r="P373" s="663" t="s">
        <v>71</v>
      </c>
      <c r="Q373" s="664"/>
      <c r="R373" s="664"/>
      <c r="S373" s="664"/>
      <c r="T373" s="664"/>
      <c r="U373" s="664"/>
      <c r="V373" s="665"/>
      <c r="W373" s="37" t="s">
        <v>72</v>
      </c>
      <c r="X373" s="649">
        <f>IFERROR(X366/H366,"0")+IFERROR(X367/H367,"0")+IFERROR(X368/H368,"0")+IFERROR(X369/H369,"0")+IFERROR(X370/H370,"0")+IFERROR(X371/H371,"0")+IFERROR(X372/H372,"0")</f>
        <v>0</v>
      </c>
      <c r="Y373" s="649">
        <f>IFERROR(Y366/H366,"0")+IFERROR(Y367/H367,"0")+IFERROR(Y368/H368,"0")+IFERROR(Y369/H369,"0")+IFERROR(Y370/H370,"0")+IFERROR(Y371/H371,"0")+IFERROR(Y372/H372,"0")</f>
        <v>0</v>
      </c>
      <c r="Z373" s="649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50"/>
      <c r="AB373" s="650"/>
      <c r="AC373" s="650"/>
    </row>
    <row r="374" spans="1:68" hidden="1" x14ac:dyDescent="0.2">
      <c r="A374" s="660"/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9"/>
      <c r="P374" s="663" t="s">
        <v>71</v>
      </c>
      <c r="Q374" s="664"/>
      <c r="R374" s="664"/>
      <c r="S374" s="664"/>
      <c r="T374" s="664"/>
      <c r="U374" s="664"/>
      <c r="V374" s="665"/>
      <c r="W374" s="37" t="s">
        <v>66</v>
      </c>
      <c r="X374" s="649">
        <f>IFERROR(SUM(X366:X372),"0")</f>
        <v>0</v>
      </c>
      <c r="Y374" s="649">
        <f>IFERROR(SUM(Y366:Y372),"0")</f>
        <v>0</v>
      </c>
      <c r="Z374" s="37"/>
      <c r="AA374" s="650"/>
      <c r="AB374" s="650"/>
      <c r="AC374" s="650"/>
    </row>
    <row r="375" spans="1:68" ht="14.25" hidden="1" customHeight="1" x14ac:dyDescent="0.25">
      <c r="A375" s="659" t="s">
        <v>61</v>
      </c>
      <c r="B375" s="660"/>
      <c r="C375" s="660"/>
      <c r="D375" s="660"/>
      <c r="E375" s="660"/>
      <c r="F375" s="660"/>
      <c r="G375" s="660"/>
      <c r="H375" s="660"/>
      <c r="I375" s="660"/>
      <c r="J375" s="660"/>
      <c r="K375" s="660"/>
      <c r="L375" s="660"/>
      <c r="M375" s="660"/>
      <c r="N375" s="660"/>
      <c r="O375" s="660"/>
      <c r="P375" s="660"/>
      <c r="Q375" s="660"/>
      <c r="R375" s="660"/>
      <c r="S375" s="660"/>
      <c r="T375" s="660"/>
      <c r="U375" s="660"/>
      <c r="V375" s="660"/>
      <c r="W375" s="660"/>
      <c r="X375" s="660"/>
      <c r="Y375" s="660"/>
      <c r="Z375" s="660"/>
      <c r="AA375" s="643"/>
      <c r="AB375" s="643"/>
      <c r="AC375" s="643"/>
    </row>
    <row r="376" spans="1:68" ht="27" hidden="1" customHeight="1" x14ac:dyDescent="0.25">
      <c r="A376" s="54" t="s">
        <v>612</v>
      </c>
      <c r="B376" s="54" t="s">
        <v>613</v>
      </c>
      <c r="C376" s="31">
        <v>4301030878</v>
      </c>
      <c r="D376" s="651">
        <v>4607091387193</v>
      </c>
      <c r="E376" s="652"/>
      <c r="F376" s="646">
        <v>0.7</v>
      </c>
      <c r="G376" s="32">
        <v>6</v>
      </c>
      <c r="H376" s="646">
        <v>4.2</v>
      </c>
      <c r="I376" s="646">
        <v>4.45</v>
      </c>
      <c r="J376" s="32">
        <v>132</v>
      </c>
      <c r="K376" s="32" t="s">
        <v>122</v>
      </c>
      <c r="L376" s="32"/>
      <c r="M376" s="33" t="s">
        <v>65</v>
      </c>
      <c r="N376" s="33"/>
      <c r="O376" s="32">
        <v>35</v>
      </c>
      <c r="P376" s="7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54"/>
      <c r="R376" s="654"/>
      <c r="S376" s="654"/>
      <c r="T376" s="655"/>
      <c r="U376" s="34"/>
      <c r="V376" s="34"/>
      <c r="W376" s="35" t="s">
        <v>66</v>
      </c>
      <c r="X376" s="647">
        <v>0</v>
      </c>
      <c r="Y376" s="648">
        <f t="shared" ref="Y376:Y382" si="63"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ref="BM376:BM382" si="64">IFERROR(X376*I376/H376,"0")</f>
        <v>0</v>
      </c>
      <c r="BN376" s="64">
        <f t="shared" ref="BN376:BN382" si="65">IFERROR(Y376*I376/H376,"0")</f>
        <v>0</v>
      </c>
      <c r="BO376" s="64">
        <f t="shared" ref="BO376:BO382" si="66">IFERROR(1/J376*(X376/H376),"0")</f>
        <v>0</v>
      </c>
      <c r="BP376" s="64">
        <f t="shared" ref="BP376:BP382" si="67">IFERROR(1/J376*(Y376/H376),"0")</f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4301031153</v>
      </c>
      <c r="D377" s="651">
        <v>4607091387230</v>
      </c>
      <c r="E377" s="652"/>
      <c r="F377" s="646">
        <v>0.7</v>
      </c>
      <c r="G377" s="32">
        <v>6</v>
      </c>
      <c r="H377" s="646">
        <v>4.2</v>
      </c>
      <c r="I377" s="646">
        <v>4.45</v>
      </c>
      <c r="J377" s="32">
        <v>132</v>
      </c>
      <c r="K377" s="32" t="s">
        <v>122</v>
      </c>
      <c r="L377" s="32"/>
      <c r="M377" s="33" t="s">
        <v>65</v>
      </c>
      <c r="N377" s="33"/>
      <c r="O377" s="32">
        <v>40</v>
      </c>
      <c r="P377" s="8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54"/>
      <c r="R377" s="654"/>
      <c r="S377" s="654"/>
      <c r="T377" s="655"/>
      <c r="U377" s="34"/>
      <c r="V377" s="34"/>
      <c r="W377" s="35" t="s">
        <v>66</v>
      </c>
      <c r="X377" s="647">
        <v>0</v>
      </c>
      <c r="Y377" s="648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617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618</v>
      </c>
      <c r="B378" s="54" t="s">
        <v>619</v>
      </c>
      <c r="C378" s="31">
        <v>4301031154</v>
      </c>
      <c r="D378" s="651">
        <v>4607091387292</v>
      </c>
      <c r="E378" s="652"/>
      <c r="F378" s="646">
        <v>0.73</v>
      </c>
      <c r="G378" s="32">
        <v>6</v>
      </c>
      <c r="H378" s="646">
        <v>4.38</v>
      </c>
      <c r="I378" s="646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54"/>
      <c r="R378" s="654"/>
      <c r="S378" s="654"/>
      <c r="T378" s="655"/>
      <c r="U378" s="34"/>
      <c r="V378" s="34"/>
      <c r="W378" s="35" t="s">
        <v>66</v>
      </c>
      <c r="X378" s="647">
        <v>0</v>
      </c>
      <c r="Y378" s="648">
        <f t="shared" si="63"/>
        <v>0</v>
      </c>
      <c r="Z378" s="36" t="str">
        <f>IFERROR(IF(Y378=0,"",ROUNDUP(Y378/H378,0)*0.00902),"")</f>
        <v/>
      </c>
      <c r="AA378" s="56"/>
      <c r="AB378" s="57"/>
      <c r="AC378" s="465" t="s">
        <v>620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621</v>
      </c>
      <c r="B379" s="54" t="s">
        <v>622</v>
      </c>
      <c r="C379" s="31">
        <v>4301031152</v>
      </c>
      <c r="D379" s="651">
        <v>4607091387285</v>
      </c>
      <c r="E379" s="652"/>
      <c r="F379" s="646">
        <v>0.35</v>
      </c>
      <c r="G379" s="32">
        <v>6</v>
      </c>
      <c r="H379" s="646">
        <v>2.1</v>
      </c>
      <c r="I379" s="646">
        <v>2.23</v>
      </c>
      <c r="J379" s="32">
        <v>234</v>
      </c>
      <c r="K379" s="32" t="s">
        <v>64</v>
      </c>
      <c r="L379" s="32"/>
      <c r="M379" s="33" t="s">
        <v>65</v>
      </c>
      <c r="N379" s="33"/>
      <c r="O379" s="32">
        <v>40</v>
      </c>
      <c r="P379" s="69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54"/>
      <c r="R379" s="654"/>
      <c r="S379" s="654"/>
      <c r="T379" s="655"/>
      <c r="U379" s="34"/>
      <c r="V379" s="34"/>
      <c r="W379" s="35" t="s">
        <v>66</v>
      </c>
      <c r="X379" s="647">
        <v>0</v>
      </c>
      <c r="Y379" s="648">
        <f t="shared" si="63"/>
        <v>0</v>
      </c>
      <c r="Z379" s="36" t="str">
        <f>IFERROR(IF(Y379=0,"",ROUNDUP(Y379/H379,0)*0.00502),"")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4301031305</v>
      </c>
      <c r="D380" s="651">
        <v>4607091389845</v>
      </c>
      <c r="E380" s="652"/>
      <c r="F380" s="646">
        <v>0.35</v>
      </c>
      <c r="G380" s="32">
        <v>6</v>
      </c>
      <c r="H380" s="646">
        <v>2.1</v>
      </c>
      <c r="I380" s="646">
        <v>2.2000000000000002</v>
      </c>
      <c r="J380" s="32">
        <v>234</v>
      </c>
      <c r="K380" s="32" t="s">
        <v>64</v>
      </c>
      <c r="L380" s="32"/>
      <c r="M380" s="33" t="s">
        <v>65</v>
      </c>
      <c r="N380" s="33"/>
      <c r="O380" s="32">
        <v>40</v>
      </c>
      <c r="P380" s="85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54"/>
      <c r="R380" s="654"/>
      <c r="S380" s="654"/>
      <c r="T380" s="655"/>
      <c r="U380" s="34"/>
      <c r="V380" s="34"/>
      <c r="W380" s="35" t="s">
        <v>66</v>
      </c>
      <c r="X380" s="647">
        <v>0</v>
      </c>
      <c r="Y380" s="648">
        <f t="shared" si="63"/>
        <v>0</v>
      </c>
      <c r="Z380" s="36" t="str">
        <f>IFERROR(IF(Y380=0,"",ROUNDUP(Y380/H380,0)*0.00502),"")</f>
        <v/>
      </c>
      <c r="AA380" s="56"/>
      <c r="AB380" s="57"/>
      <c r="AC380" s="469" t="s">
        <v>625</v>
      </c>
      <c r="AG380" s="64"/>
      <c r="AJ380" s="68"/>
      <c r="AK380" s="68">
        <v>0</v>
      </c>
      <c r="BB380" s="470" t="s">
        <v>1</v>
      </c>
      <c r="BM380" s="64">
        <f t="shared" si="64"/>
        <v>0</v>
      </c>
      <c r="BN380" s="64">
        <f t="shared" si="65"/>
        <v>0</v>
      </c>
      <c r="BO380" s="64">
        <f t="shared" si="66"/>
        <v>0</v>
      </c>
      <c r="BP380" s="64">
        <f t="shared" si="67"/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4301031460</v>
      </c>
      <c r="D381" s="651">
        <v>4680115887442</v>
      </c>
      <c r="E381" s="652"/>
      <c r="F381" s="646">
        <v>0.73</v>
      </c>
      <c r="G381" s="32">
        <v>6</v>
      </c>
      <c r="H381" s="646">
        <v>4.38</v>
      </c>
      <c r="I381" s="646">
        <v>4.63</v>
      </c>
      <c r="J381" s="32">
        <v>132</v>
      </c>
      <c r="K381" s="32" t="s">
        <v>122</v>
      </c>
      <c r="L381" s="32"/>
      <c r="M381" s="33" t="s">
        <v>65</v>
      </c>
      <c r="N381" s="33"/>
      <c r="O381" s="32">
        <v>45</v>
      </c>
      <c r="P381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54"/>
      <c r="R381" s="654"/>
      <c r="S381" s="654"/>
      <c r="T381" s="655"/>
      <c r="U381" s="34"/>
      <c r="V381" s="34"/>
      <c r="W381" s="35" t="s">
        <v>66</v>
      </c>
      <c r="X381" s="647">
        <v>0</v>
      </c>
      <c r="Y381" s="648">
        <f t="shared" si="63"/>
        <v>0</v>
      </c>
      <c r="Z381" s="36" t="str">
        <f>IFERROR(IF(Y381=0,"",ROUNDUP(Y381/H381,0)*0.00902),"")</f>
        <v/>
      </c>
      <c r="AA381" s="56"/>
      <c r="AB381" s="57"/>
      <c r="AC381" s="471" t="s">
        <v>620</v>
      </c>
      <c r="AG381" s="64"/>
      <c r="AJ381" s="68"/>
      <c r="AK381" s="68">
        <v>0</v>
      </c>
      <c r="BB381" s="472" t="s">
        <v>1</v>
      </c>
      <c r="BM381" s="64">
        <f t="shared" si="64"/>
        <v>0</v>
      </c>
      <c r="BN381" s="64">
        <f t="shared" si="65"/>
        <v>0</v>
      </c>
      <c r="BO381" s="64">
        <f t="shared" si="66"/>
        <v>0</v>
      </c>
      <c r="BP381" s="64">
        <f t="shared" si="67"/>
        <v>0</v>
      </c>
    </row>
    <row r="382" spans="1:68" ht="27" hidden="1" customHeight="1" x14ac:dyDescent="0.25">
      <c r="A382" s="54" t="s">
        <v>628</v>
      </c>
      <c r="B382" s="54" t="s">
        <v>629</v>
      </c>
      <c r="C382" s="31">
        <v>4301031066</v>
      </c>
      <c r="D382" s="651">
        <v>4607091383836</v>
      </c>
      <c r="E382" s="652"/>
      <c r="F382" s="646">
        <v>0.3</v>
      </c>
      <c r="G382" s="32">
        <v>6</v>
      </c>
      <c r="H382" s="646">
        <v>1.8</v>
      </c>
      <c r="I382" s="646">
        <v>2.028</v>
      </c>
      <c r="J382" s="32">
        <v>182</v>
      </c>
      <c r="K382" s="32" t="s">
        <v>76</v>
      </c>
      <c r="L382" s="32"/>
      <c r="M382" s="33" t="s">
        <v>65</v>
      </c>
      <c r="N382" s="33"/>
      <c r="O382" s="32">
        <v>40</v>
      </c>
      <c r="P382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54"/>
      <c r="R382" s="654"/>
      <c r="S382" s="654"/>
      <c r="T382" s="655"/>
      <c r="U382" s="34"/>
      <c r="V382" s="34"/>
      <c r="W382" s="35" t="s">
        <v>66</v>
      </c>
      <c r="X382" s="647">
        <v>0</v>
      </c>
      <c r="Y382" s="648">
        <f t="shared" si="63"/>
        <v>0</v>
      </c>
      <c r="Z382" s="36" t="str">
        <f>IFERROR(IF(Y382=0,"",ROUNDUP(Y382/H382,0)*0.00651),"")</f>
        <v/>
      </c>
      <c r="AA382" s="56"/>
      <c r="AB382" s="57"/>
      <c r="AC382" s="473" t="s">
        <v>630</v>
      </c>
      <c r="AG382" s="64"/>
      <c r="AJ382" s="68"/>
      <c r="AK382" s="68">
        <v>0</v>
      </c>
      <c r="BB382" s="474" t="s">
        <v>1</v>
      </c>
      <c r="BM382" s="64">
        <f t="shared" si="64"/>
        <v>0</v>
      </c>
      <c r="BN382" s="64">
        <f t="shared" si="65"/>
        <v>0</v>
      </c>
      <c r="BO382" s="64">
        <f t="shared" si="66"/>
        <v>0</v>
      </c>
      <c r="BP382" s="64">
        <f t="shared" si="67"/>
        <v>0</v>
      </c>
    </row>
    <row r="383" spans="1:68" hidden="1" x14ac:dyDescent="0.2">
      <c r="A383" s="668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9"/>
      <c r="P383" s="663" t="s">
        <v>71</v>
      </c>
      <c r="Q383" s="664"/>
      <c r="R383" s="664"/>
      <c r="S383" s="664"/>
      <c r="T383" s="664"/>
      <c r="U383" s="664"/>
      <c r="V383" s="665"/>
      <c r="W383" s="37" t="s">
        <v>72</v>
      </c>
      <c r="X383" s="649">
        <f>IFERROR(X376/H376,"0")+IFERROR(X377/H377,"0")+IFERROR(X378/H378,"0")+IFERROR(X379/H379,"0")+IFERROR(X380/H380,"0")+IFERROR(X381/H381,"0")+IFERROR(X382/H382,"0")</f>
        <v>0</v>
      </c>
      <c r="Y383" s="649">
        <f>IFERROR(Y376/H376,"0")+IFERROR(Y377/H377,"0")+IFERROR(Y378/H378,"0")+IFERROR(Y379/H379,"0")+IFERROR(Y380/H380,"0")+IFERROR(Y381/H381,"0")+IFERROR(Y382/H382,"0")</f>
        <v>0</v>
      </c>
      <c r="Z383" s="649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50"/>
      <c r="AB383" s="650"/>
      <c r="AC383" s="650"/>
    </row>
    <row r="384" spans="1:68" hidden="1" x14ac:dyDescent="0.2">
      <c r="A384" s="660"/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9"/>
      <c r="P384" s="663" t="s">
        <v>71</v>
      </c>
      <c r="Q384" s="664"/>
      <c r="R384" s="664"/>
      <c r="S384" s="664"/>
      <c r="T384" s="664"/>
      <c r="U384" s="664"/>
      <c r="V384" s="665"/>
      <c r="W384" s="37" t="s">
        <v>66</v>
      </c>
      <c r="X384" s="649">
        <f>IFERROR(SUM(X376:X382),"0")</f>
        <v>0</v>
      </c>
      <c r="Y384" s="649">
        <f>IFERROR(SUM(Y376:Y382),"0")</f>
        <v>0</v>
      </c>
      <c r="Z384" s="37"/>
      <c r="AA384" s="650"/>
      <c r="AB384" s="650"/>
      <c r="AC384" s="650"/>
    </row>
    <row r="385" spans="1:68" ht="14.25" hidden="1" customHeight="1" x14ac:dyDescent="0.25">
      <c r="A385" s="659" t="s">
        <v>73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43"/>
      <c r="AB385" s="643"/>
      <c r="AC385" s="643"/>
    </row>
    <row r="386" spans="1:68" ht="27" hidden="1" customHeight="1" x14ac:dyDescent="0.25">
      <c r="A386" s="54" t="s">
        <v>631</v>
      </c>
      <c r="B386" s="54" t="s">
        <v>632</v>
      </c>
      <c r="C386" s="31">
        <v>4301051100</v>
      </c>
      <c r="D386" s="651">
        <v>4607091387766</v>
      </c>
      <c r="E386" s="652"/>
      <c r="F386" s="646">
        <v>1.3</v>
      </c>
      <c r="G386" s="32">
        <v>6</v>
      </c>
      <c r="H386" s="646">
        <v>7.8</v>
      </c>
      <c r="I386" s="646">
        <v>8.2880000000000003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40</v>
      </c>
      <c r="P386" s="6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54"/>
      <c r="R386" s="654"/>
      <c r="S386" s="654"/>
      <c r="T386" s="655"/>
      <c r="U386" s="34"/>
      <c r="V386" s="34"/>
      <c r="W386" s="35" t="s">
        <v>66</v>
      </c>
      <c r="X386" s="647">
        <v>0</v>
      </c>
      <c r="Y386" s="648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4301051818</v>
      </c>
      <c r="D387" s="651">
        <v>4607091387957</v>
      </c>
      <c r="E387" s="652"/>
      <c r="F387" s="646">
        <v>1.3</v>
      </c>
      <c r="G387" s="32">
        <v>6</v>
      </c>
      <c r="H387" s="646">
        <v>7.8</v>
      </c>
      <c r="I387" s="646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40</v>
      </c>
      <c r="P387" s="8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54"/>
      <c r="R387" s="654"/>
      <c r="S387" s="654"/>
      <c r="T387" s="655"/>
      <c r="U387" s="34"/>
      <c r="V387" s="34"/>
      <c r="W387" s="35" t="s">
        <v>66</v>
      </c>
      <c r="X387" s="647">
        <v>0</v>
      </c>
      <c r="Y387" s="648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636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4301051819</v>
      </c>
      <c r="D388" s="651">
        <v>4607091387964</v>
      </c>
      <c r="E388" s="652"/>
      <c r="F388" s="646">
        <v>1.35</v>
      </c>
      <c r="G388" s="32">
        <v>6</v>
      </c>
      <c r="H388" s="646">
        <v>8.1</v>
      </c>
      <c r="I388" s="646">
        <v>8.5760000000000005</v>
      </c>
      <c r="J388" s="32">
        <v>64</v>
      </c>
      <c r="K388" s="32" t="s">
        <v>113</v>
      </c>
      <c r="L388" s="32"/>
      <c r="M388" s="33" t="s">
        <v>77</v>
      </c>
      <c r="N388" s="33"/>
      <c r="O388" s="32">
        <v>40</v>
      </c>
      <c r="P388" s="88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54"/>
      <c r="R388" s="654"/>
      <c r="S388" s="654"/>
      <c r="T388" s="655"/>
      <c r="U388" s="34"/>
      <c r="V388" s="34"/>
      <c r="W388" s="35" t="s">
        <v>66</v>
      </c>
      <c r="X388" s="647">
        <v>0</v>
      </c>
      <c r="Y388" s="64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639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4301051734</v>
      </c>
      <c r="D389" s="651">
        <v>4680115884588</v>
      </c>
      <c r="E389" s="652"/>
      <c r="F389" s="646">
        <v>0.5</v>
      </c>
      <c r="G389" s="32">
        <v>6</v>
      </c>
      <c r="H389" s="646">
        <v>3</v>
      </c>
      <c r="I389" s="646">
        <v>3.246</v>
      </c>
      <c r="J389" s="32">
        <v>182</v>
      </c>
      <c r="K389" s="32" t="s">
        <v>76</v>
      </c>
      <c r="L389" s="32"/>
      <c r="M389" s="33" t="s">
        <v>77</v>
      </c>
      <c r="N389" s="33"/>
      <c r="O389" s="32">
        <v>40</v>
      </c>
      <c r="P389" s="6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54"/>
      <c r="R389" s="654"/>
      <c r="S389" s="654"/>
      <c r="T389" s="655"/>
      <c r="U389" s="34"/>
      <c r="V389" s="34"/>
      <c r="W389" s="35" t="s">
        <v>66</v>
      </c>
      <c r="X389" s="647">
        <v>0</v>
      </c>
      <c r="Y389" s="64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81" t="s">
        <v>633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68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9"/>
      <c r="P390" s="663" t="s">
        <v>71</v>
      </c>
      <c r="Q390" s="664"/>
      <c r="R390" s="664"/>
      <c r="S390" s="664"/>
      <c r="T390" s="664"/>
      <c r="U390" s="664"/>
      <c r="V390" s="665"/>
      <c r="W390" s="37" t="s">
        <v>72</v>
      </c>
      <c r="X390" s="649">
        <f>IFERROR(X386/H386,"0")+IFERROR(X387/H387,"0")+IFERROR(X388/H388,"0")+IFERROR(X389/H389,"0")</f>
        <v>0</v>
      </c>
      <c r="Y390" s="649">
        <f>IFERROR(Y386/H386,"0")+IFERROR(Y387/H387,"0")+IFERROR(Y388/H388,"0")+IFERROR(Y389/H389,"0")</f>
        <v>0</v>
      </c>
      <c r="Z390" s="649">
        <f>IFERROR(IF(Z386="",0,Z386),"0")+IFERROR(IF(Z387="",0,Z387),"0")+IFERROR(IF(Z388="",0,Z388),"0")+IFERROR(IF(Z389="",0,Z389),"0")</f>
        <v>0</v>
      </c>
      <c r="AA390" s="650"/>
      <c r="AB390" s="650"/>
      <c r="AC390" s="650"/>
    </row>
    <row r="391" spans="1:68" hidden="1" x14ac:dyDescent="0.2">
      <c r="A391" s="660"/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9"/>
      <c r="P391" s="663" t="s">
        <v>71</v>
      </c>
      <c r="Q391" s="664"/>
      <c r="R391" s="664"/>
      <c r="S391" s="664"/>
      <c r="T391" s="664"/>
      <c r="U391" s="664"/>
      <c r="V391" s="665"/>
      <c r="W391" s="37" t="s">
        <v>66</v>
      </c>
      <c r="X391" s="649">
        <f>IFERROR(SUM(X386:X389),"0")</f>
        <v>0</v>
      </c>
      <c r="Y391" s="649">
        <f>IFERROR(SUM(Y386:Y389),"0")</f>
        <v>0</v>
      </c>
      <c r="Z391" s="37"/>
      <c r="AA391" s="650"/>
      <c r="AB391" s="650"/>
      <c r="AC391" s="650"/>
    </row>
    <row r="392" spans="1:68" ht="14.25" hidden="1" customHeight="1" x14ac:dyDescent="0.25">
      <c r="A392" s="659" t="s">
        <v>166</v>
      </c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0"/>
      <c r="P392" s="660"/>
      <c r="Q392" s="660"/>
      <c r="R392" s="660"/>
      <c r="S392" s="660"/>
      <c r="T392" s="660"/>
      <c r="U392" s="660"/>
      <c r="V392" s="660"/>
      <c r="W392" s="660"/>
      <c r="X392" s="660"/>
      <c r="Y392" s="660"/>
      <c r="Z392" s="660"/>
      <c r="AA392" s="643"/>
      <c r="AB392" s="643"/>
      <c r="AC392" s="643"/>
    </row>
    <row r="393" spans="1:68" ht="27" hidden="1" customHeight="1" x14ac:dyDescent="0.25">
      <c r="A393" s="54" t="s">
        <v>642</v>
      </c>
      <c r="B393" s="54" t="s">
        <v>643</v>
      </c>
      <c r="C393" s="31">
        <v>4301060387</v>
      </c>
      <c r="D393" s="651">
        <v>4607091380880</v>
      </c>
      <c r="E393" s="652"/>
      <c r="F393" s="646">
        <v>1.4</v>
      </c>
      <c r="G393" s="32">
        <v>6</v>
      </c>
      <c r="H393" s="646">
        <v>8.4</v>
      </c>
      <c r="I393" s="646">
        <v>8.8940000000000001</v>
      </c>
      <c r="J393" s="32">
        <v>64</v>
      </c>
      <c r="K393" s="32" t="s">
        <v>113</v>
      </c>
      <c r="L393" s="32"/>
      <c r="M393" s="33" t="s">
        <v>77</v>
      </c>
      <c r="N393" s="33"/>
      <c r="O393" s="32">
        <v>30</v>
      </c>
      <c r="P393" s="8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54"/>
      <c r="R393" s="654"/>
      <c r="S393" s="654"/>
      <c r="T393" s="655"/>
      <c r="U393" s="34"/>
      <c r="V393" s="34"/>
      <c r="W393" s="35" t="s">
        <v>66</v>
      </c>
      <c r="X393" s="647">
        <v>0</v>
      </c>
      <c r="Y393" s="648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645</v>
      </c>
      <c r="B394" s="54" t="s">
        <v>646</v>
      </c>
      <c r="C394" s="31">
        <v>4301060406</v>
      </c>
      <c r="D394" s="651">
        <v>4607091384482</v>
      </c>
      <c r="E394" s="652"/>
      <c r="F394" s="646">
        <v>1.3</v>
      </c>
      <c r="G394" s="32">
        <v>6</v>
      </c>
      <c r="H394" s="646">
        <v>7.8</v>
      </c>
      <c r="I394" s="646">
        <v>8.2940000000000005</v>
      </c>
      <c r="J394" s="32">
        <v>64</v>
      </c>
      <c r="K394" s="32" t="s">
        <v>113</v>
      </c>
      <c r="L394" s="32"/>
      <c r="M394" s="33" t="s">
        <v>77</v>
      </c>
      <c r="N394" s="33"/>
      <c r="O394" s="32">
        <v>30</v>
      </c>
      <c r="P394" s="7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54"/>
      <c r="R394" s="654"/>
      <c r="S394" s="654"/>
      <c r="T394" s="655"/>
      <c r="U394" s="34"/>
      <c r="V394" s="34"/>
      <c r="W394" s="35" t="s">
        <v>66</v>
      </c>
      <c r="X394" s="647">
        <v>337</v>
      </c>
      <c r="Y394" s="648">
        <f>IFERROR(IF(X394="",0,CEILING((X394/$H394),1)*$H394),"")</f>
        <v>343.2</v>
      </c>
      <c r="Z394" s="36">
        <f>IFERROR(IF(Y394=0,"",ROUNDUP(Y394/H394,0)*0.01898),"")</f>
        <v>0.83511999999999997</v>
      </c>
      <c r="AA394" s="56"/>
      <c r="AB394" s="57"/>
      <c r="AC394" s="485" t="s">
        <v>647</v>
      </c>
      <c r="AG394" s="64"/>
      <c r="AJ394" s="68"/>
      <c r="AK394" s="68">
        <v>0</v>
      </c>
      <c r="BB394" s="486" t="s">
        <v>1</v>
      </c>
      <c r="BM394" s="64">
        <f>IFERROR(X394*I394/H394,"0")</f>
        <v>358.34333333333336</v>
      </c>
      <c r="BN394" s="64">
        <f>IFERROR(Y394*I394/H394,"0")</f>
        <v>364.93600000000004</v>
      </c>
      <c r="BO394" s="64">
        <f>IFERROR(1/J394*(X394/H394),"0")</f>
        <v>0.67508012820512819</v>
      </c>
      <c r="BP394" s="64">
        <f>IFERROR(1/J394*(Y394/H394),"0")</f>
        <v>0.6875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4301060484</v>
      </c>
      <c r="D395" s="651">
        <v>4607091380897</v>
      </c>
      <c r="E395" s="652"/>
      <c r="F395" s="646">
        <v>1.4</v>
      </c>
      <c r="G395" s="32">
        <v>6</v>
      </c>
      <c r="H395" s="646">
        <v>8.4</v>
      </c>
      <c r="I395" s="646">
        <v>8.8940000000000001</v>
      </c>
      <c r="J395" s="32">
        <v>64</v>
      </c>
      <c r="K395" s="32" t="s">
        <v>113</v>
      </c>
      <c r="L395" s="32"/>
      <c r="M395" s="33" t="s">
        <v>83</v>
      </c>
      <c r="N395" s="33"/>
      <c r="O395" s="32">
        <v>30</v>
      </c>
      <c r="P395" s="8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54"/>
      <c r="R395" s="654"/>
      <c r="S395" s="654"/>
      <c r="T395" s="655"/>
      <c r="U395" s="34"/>
      <c r="V395" s="34"/>
      <c r="W395" s="35" t="s">
        <v>66</v>
      </c>
      <c r="X395" s="647">
        <v>0</v>
      </c>
      <c r="Y395" s="648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650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8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9"/>
      <c r="P396" s="663" t="s">
        <v>71</v>
      </c>
      <c r="Q396" s="664"/>
      <c r="R396" s="664"/>
      <c r="S396" s="664"/>
      <c r="T396" s="664"/>
      <c r="U396" s="664"/>
      <c r="V396" s="665"/>
      <c r="W396" s="37" t="s">
        <v>72</v>
      </c>
      <c r="X396" s="649">
        <f>IFERROR(X393/H393,"0")+IFERROR(X394/H394,"0")+IFERROR(X395/H395,"0")</f>
        <v>43.205128205128204</v>
      </c>
      <c r="Y396" s="649">
        <f>IFERROR(Y393/H393,"0")+IFERROR(Y394/H394,"0")+IFERROR(Y395/H395,"0")</f>
        <v>44</v>
      </c>
      <c r="Z396" s="649">
        <f>IFERROR(IF(Z393="",0,Z393),"0")+IFERROR(IF(Z394="",0,Z394),"0")+IFERROR(IF(Z395="",0,Z395),"0")</f>
        <v>0.83511999999999997</v>
      </c>
      <c r="AA396" s="650"/>
      <c r="AB396" s="650"/>
      <c r="AC396" s="650"/>
    </row>
    <row r="397" spans="1:68" x14ac:dyDescent="0.2">
      <c r="A397" s="660"/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9"/>
      <c r="P397" s="663" t="s">
        <v>71</v>
      </c>
      <c r="Q397" s="664"/>
      <c r="R397" s="664"/>
      <c r="S397" s="664"/>
      <c r="T397" s="664"/>
      <c r="U397" s="664"/>
      <c r="V397" s="665"/>
      <c r="W397" s="37" t="s">
        <v>66</v>
      </c>
      <c r="X397" s="649">
        <f>IFERROR(SUM(X393:X395),"0")</f>
        <v>337</v>
      </c>
      <c r="Y397" s="649">
        <f>IFERROR(SUM(Y393:Y395),"0")</f>
        <v>343.2</v>
      </c>
      <c r="Z397" s="37"/>
      <c r="AA397" s="650"/>
      <c r="AB397" s="650"/>
      <c r="AC397" s="650"/>
    </row>
    <row r="398" spans="1:68" ht="14.25" hidden="1" customHeight="1" x14ac:dyDescent="0.25">
      <c r="A398" s="659" t="s">
        <v>271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43"/>
      <c r="AB398" s="643"/>
      <c r="AC398" s="643"/>
    </row>
    <row r="399" spans="1:68" ht="27" hidden="1" customHeight="1" x14ac:dyDescent="0.25">
      <c r="A399" s="54" t="s">
        <v>651</v>
      </c>
      <c r="B399" s="54" t="s">
        <v>652</v>
      </c>
      <c r="C399" s="31">
        <v>4301030235</v>
      </c>
      <c r="D399" s="651">
        <v>4607091388381</v>
      </c>
      <c r="E399" s="652"/>
      <c r="F399" s="646">
        <v>0.38</v>
      </c>
      <c r="G399" s="32">
        <v>8</v>
      </c>
      <c r="H399" s="646">
        <v>3.04</v>
      </c>
      <c r="I399" s="646">
        <v>3.31</v>
      </c>
      <c r="J399" s="32">
        <v>132</v>
      </c>
      <c r="K399" s="32" t="s">
        <v>122</v>
      </c>
      <c r="L399" s="32"/>
      <c r="M399" s="33" t="s">
        <v>246</v>
      </c>
      <c r="N399" s="33"/>
      <c r="O399" s="32">
        <v>180</v>
      </c>
      <c r="P399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54"/>
      <c r="R399" s="654"/>
      <c r="S399" s="654"/>
      <c r="T399" s="655"/>
      <c r="U399" s="34"/>
      <c r="V399" s="34"/>
      <c r="W399" s="35" t="s">
        <v>66</v>
      </c>
      <c r="X399" s="647">
        <v>0</v>
      </c>
      <c r="Y399" s="648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653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4301030232</v>
      </c>
      <c r="D400" s="651">
        <v>4607091388374</v>
      </c>
      <c r="E400" s="652"/>
      <c r="F400" s="646">
        <v>0.38</v>
      </c>
      <c r="G400" s="32">
        <v>8</v>
      </c>
      <c r="H400" s="646">
        <v>3.04</v>
      </c>
      <c r="I400" s="646">
        <v>3.27</v>
      </c>
      <c r="J400" s="32">
        <v>132</v>
      </c>
      <c r="K400" s="32" t="s">
        <v>122</v>
      </c>
      <c r="L400" s="32"/>
      <c r="M400" s="33" t="s">
        <v>246</v>
      </c>
      <c r="N400" s="33"/>
      <c r="O400" s="32">
        <v>180</v>
      </c>
      <c r="P400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54"/>
      <c r="R400" s="654"/>
      <c r="S400" s="654"/>
      <c r="T400" s="655"/>
      <c r="U400" s="34"/>
      <c r="V400" s="34"/>
      <c r="W400" s="35" t="s">
        <v>66</v>
      </c>
      <c r="X400" s="647">
        <v>0</v>
      </c>
      <c r="Y400" s="648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91" t="s">
        <v>653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4301032015</v>
      </c>
      <c r="D401" s="651">
        <v>4607091383102</v>
      </c>
      <c r="E401" s="652"/>
      <c r="F401" s="646">
        <v>0.17</v>
      </c>
      <c r="G401" s="32">
        <v>15</v>
      </c>
      <c r="H401" s="646">
        <v>2.5499999999999998</v>
      </c>
      <c r="I401" s="646">
        <v>2.9550000000000001</v>
      </c>
      <c r="J401" s="32">
        <v>182</v>
      </c>
      <c r="K401" s="32" t="s">
        <v>76</v>
      </c>
      <c r="L401" s="32"/>
      <c r="M401" s="33" t="s">
        <v>246</v>
      </c>
      <c r="N401" s="33"/>
      <c r="O401" s="32">
        <v>180</v>
      </c>
      <c r="P401" s="7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54"/>
      <c r="R401" s="654"/>
      <c r="S401" s="654"/>
      <c r="T401" s="655"/>
      <c r="U401" s="34"/>
      <c r="V401" s="34"/>
      <c r="W401" s="35" t="s">
        <v>66</v>
      </c>
      <c r="X401" s="647">
        <v>0</v>
      </c>
      <c r="Y401" s="648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653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658</v>
      </c>
      <c r="B402" s="54" t="s">
        <v>659</v>
      </c>
      <c r="C402" s="31">
        <v>4301030233</v>
      </c>
      <c r="D402" s="651">
        <v>4607091388404</v>
      </c>
      <c r="E402" s="652"/>
      <c r="F402" s="646">
        <v>0.17</v>
      </c>
      <c r="G402" s="32">
        <v>15</v>
      </c>
      <c r="H402" s="646">
        <v>2.5499999999999998</v>
      </c>
      <c r="I402" s="646">
        <v>2.88</v>
      </c>
      <c r="J402" s="32">
        <v>182</v>
      </c>
      <c r="K402" s="32" t="s">
        <v>76</v>
      </c>
      <c r="L402" s="32"/>
      <c r="M402" s="33" t="s">
        <v>246</v>
      </c>
      <c r="N402" s="33"/>
      <c r="O402" s="32">
        <v>180</v>
      </c>
      <c r="P402" s="7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54"/>
      <c r="R402" s="654"/>
      <c r="S402" s="654"/>
      <c r="T402" s="655"/>
      <c r="U402" s="34"/>
      <c r="V402" s="34"/>
      <c r="W402" s="35" t="s">
        <v>66</v>
      </c>
      <c r="X402" s="647">
        <v>0</v>
      </c>
      <c r="Y402" s="648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95" t="s">
        <v>653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68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9"/>
      <c r="P403" s="663" t="s">
        <v>71</v>
      </c>
      <c r="Q403" s="664"/>
      <c r="R403" s="664"/>
      <c r="S403" s="664"/>
      <c r="T403" s="664"/>
      <c r="U403" s="664"/>
      <c r="V403" s="665"/>
      <c r="W403" s="37" t="s">
        <v>72</v>
      </c>
      <c r="X403" s="649">
        <f>IFERROR(X399/H399,"0")+IFERROR(X400/H400,"0")+IFERROR(X401/H401,"0")+IFERROR(X402/H402,"0")</f>
        <v>0</v>
      </c>
      <c r="Y403" s="649">
        <f>IFERROR(Y399/H399,"0")+IFERROR(Y400/H400,"0")+IFERROR(Y401/H401,"0")+IFERROR(Y402/H402,"0")</f>
        <v>0</v>
      </c>
      <c r="Z403" s="649">
        <f>IFERROR(IF(Z399="",0,Z399),"0")+IFERROR(IF(Z400="",0,Z400),"0")+IFERROR(IF(Z401="",0,Z401),"0")+IFERROR(IF(Z402="",0,Z402),"0")</f>
        <v>0</v>
      </c>
      <c r="AA403" s="650"/>
      <c r="AB403" s="650"/>
      <c r="AC403" s="650"/>
    </row>
    <row r="404" spans="1:68" hidden="1" x14ac:dyDescent="0.2">
      <c r="A404" s="660"/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9"/>
      <c r="P404" s="663" t="s">
        <v>71</v>
      </c>
      <c r="Q404" s="664"/>
      <c r="R404" s="664"/>
      <c r="S404" s="664"/>
      <c r="T404" s="664"/>
      <c r="U404" s="664"/>
      <c r="V404" s="665"/>
      <c r="W404" s="37" t="s">
        <v>66</v>
      </c>
      <c r="X404" s="649">
        <f>IFERROR(SUM(X399:X402),"0")</f>
        <v>0</v>
      </c>
      <c r="Y404" s="649">
        <f>IFERROR(SUM(Y399:Y402),"0")</f>
        <v>0</v>
      </c>
      <c r="Z404" s="37"/>
      <c r="AA404" s="650"/>
      <c r="AB404" s="650"/>
      <c r="AC404" s="650"/>
    </row>
    <row r="405" spans="1:68" ht="14.25" hidden="1" customHeight="1" x14ac:dyDescent="0.25">
      <c r="A405" s="659" t="s">
        <v>660</v>
      </c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0"/>
      <c r="P405" s="660"/>
      <c r="Q405" s="660"/>
      <c r="R405" s="660"/>
      <c r="S405" s="660"/>
      <c r="T405" s="660"/>
      <c r="U405" s="660"/>
      <c r="V405" s="660"/>
      <c r="W405" s="660"/>
      <c r="X405" s="660"/>
      <c r="Y405" s="660"/>
      <c r="Z405" s="660"/>
      <c r="AA405" s="643"/>
      <c r="AB405" s="643"/>
      <c r="AC405" s="643"/>
    </row>
    <row r="406" spans="1:68" ht="16.5" hidden="1" customHeight="1" x14ac:dyDescent="0.25">
      <c r="A406" s="54" t="s">
        <v>661</v>
      </c>
      <c r="B406" s="54" t="s">
        <v>662</v>
      </c>
      <c r="C406" s="31">
        <v>4301180007</v>
      </c>
      <c r="D406" s="651">
        <v>4680115881808</v>
      </c>
      <c r="E406" s="652"/>
      <c r="F406" s="646">
        <v>0.1</v>
      </c>
      <c r="G406" s="32">
        <v>20</v>
      </c>
      <c r="H406" s="646">
        <v>2</v>
      </c>
      <c r="I406" s="646">
        <v>2.2400000000000002</v>
      </c>
      <c r="J406" s="32">
        <v>238</v>
      </c>
      <c r="K406" s="32" t="s">
        <v>76</v>
      </c>
      <c r="L406" s="32"/>
      <c r="M406" s="33" t="s">
        <v>663</v>
      </c>
      <c r="N406" s="33"/>
      <c r="O406" s="32">
        <v>731</v>
      </c>
      <c r="P406" s="7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54"/>
      <c r="R406" s="654"/>
      <c r="S406" s="654"/>
      <c r="T406" s="655"/>
      <c r="U406" s="34"/>
      <c r="V406" s="34"/>
      <c r="W406" s="35" t="s">
        <v>66</v>
      </c>
      <c r="X406" s="647">
        <v>0</v>
      </c>
      <c r="Y406" s="648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664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4301180006</v>
      </c>
      <c r="D407" s="651">
        <v>4680115881822</v>
      </c>
      <c r="E407" s="652"/>
      <c r="F407" s="646">
        <v>0.1</v>
      </c>
      <c r="G407" s="32">
        <v>20</v>
      </c>
      <c r="H407" s="646">
        <v>2</v>
      </c>
      <c r="I407" s="646">
        <v>2.2400000000000002</v>
      </c>
      <c r="J407" s="32">
        <v>238</v>
      </c>
      <c r="K407" s="32" t="s">
        <v>76</v>
      </c>
      <c r="L407" s="32"/>
      <c r="M407" s="33" t="s">
        <v>663</v>
      </c>
      <c r="N407" s="33"/>
      <c r="O407" s="32">
        <v>731</v>
      </c>
      <c r="P407" s="7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54"/>
      <c r="R407" s="654"/>
      <c r="S407" s="654"/>
      <c r="T407" s="655"/>
      <c r="U407" s="34"/>
      <c r="V407" s="34"/>
      <c r="W407" s="35" t="s">
        <v>66</v>
      </c>
      <c r="X407" s="647">
        <v>0</v>
      </c>
      <c r="Y407" s="648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664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4301180001</v>
      </c>
      <c r="D408" s="651">
        <v>4680115880016</v>
      </c>
      <c r="E408" s="652"/>
      <c r="F408" s="646">
        <v>0.1</v>
      </c>
      <c r="G408" s="32">
        <v>20</v>
      </c>
      <c r="H408" s="646">
        <v>2</v>
      </c>
      <c r="I408" s="646">
        <v>2.2400000000000002</v>
      </c>
      <c r="J408" s="32">
        <v>238</v>
      </c>
      <c r="K408" s="32" t="s">
        <v>76</v>
      </c>
      <c r="L408" s="32"/>
      <c r="M408" s="33" t="s">
        <v>663</v>
      </c>
      <c r="N408" s="33"/>
      <c r="O408" s="32">
        <v>731</v>
      </c>
      <c r="P408" s="9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54"/>
      <c r="R408" s="654"/>
      <c r="S408" s="654"/>
      <c r="T408" s="655"/>
      <c r="U408" s="34"/>
      <c r="V408" s="34"/>
      <c r="W408" s="35" t="s">
        <v>66</v>
      </c>
      <c r="X408" s="647">
        <v>0</v>
      </c>
      <c r="Y408" s="648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664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668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9"/>
      <c r="P409" s="663" t="s">
        <v>71</v>
      </c>
      <c r="Q409" s="664"/>
      <c r="R409" s="664"/>
      <c r="S409" s="664"/>
      <c r="T409" s="664"/>
      <c r="U409" s="664"/>
      <c r="V409" s="665"/>
      <c r="W409" s="37" t="s">
        <v>72</v>
      </c>
      <c r="X409" s="649">
        <f>IFERROR(X406/H406,"0")+IFERROR(X407/H407,"0")+IFERROR(X408/H408,"0")</f>
        <v>0</v>
      </c>
      <c r="Y409" s="649">
        <f>IFERROR(Y406/H406,"0")+IFERROR(Y407/H407,"0")+IFERROR(Y408/H408,"0")</f>
        <v>0</v>
      </c>
      <c r="Z409" s="649">
        <f>IFERROR(IF(Z406="",0,Z406),"0")+IFERROR(IF(Z407="",0,Z407),"0")+IFERROR(IF(Z408="",0,Z408),"0")</f>
        <v>0</v>
      </c>
      <c r="AA409" s="650"/>
      <c r="AB409" s="650"/>
      <c r="AC409" s="650"/>
    </row>
    <row r="410" spans="1:68" hidden="1" x14ac:dyDescent="0.2">
      <c r="A410" s="660"/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9"/>
      <c r="P410" s="663" t="s">
        <v>71</v>
      </c>
      <c r="Q410" s="664"/>
      <c r="R410" s="664"/>
      <c r="S410" s="664"/>
      <c r="T410" s="664"/>
      <c r="U410" s="664"/>
      <c r="V410" s="665"/>
      <c r="W410" s="37" t="s">
        <v>66</v>
      </c>
      <c r="X410" s="649">
        <f>IFERROR(SUM(X406:X408),"0")</f>
        <v>0</v>
      </c>
      <c r="Y410" s="649">
        <f>IFERROR(SUM(Y406:Y408),"0")</f>
        <v>0</v>
      </c>
      <c r="Z410" s="37"/>
      <c r="AA410" s="650"/>
      <c r="AB410" s="650"/>
      <c r="AC410" s="650"/>
    </row>
    <row r="411" spans="1:68" ht="14.25" hidden="1" customHeight="1" x14ac:dyDescent="0.25">
      <c r="A411" s="659" t="s">
        <v>669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43"/>
      <c r="AB411" s="643"/>
      <c r="AC411" s="643"/>
    </row>
    <row r="412" spans="1:68" ht="27" hidden="1" customHeight="1" x14ac:dyDescent="0.25">
      <c r="A412" s="54" t="s">
        <v>670</v>
      </c>
      <c r="B412" s="54" t="s">
        <v>671</v>
      </c>
      <c r="C412" s="31">
        <v>4301220003</v>
      </c>
      <c r="D412" s="651">
        <v>4680115888678</v>
      </c>
      <c r="E412" s="652"/>
      <c r="F412" s="646">
        <v>0.25</v>
      </c>
      <c r="G412" s="32">
        <v>12</v>
      </c>
      <c r="H412" s="646">
        <v>3</v>
      </c>
      <c r="I412" s="646">
        <v>3.22</v>
      </c>
      <c r="J412" s="32">
        <v>224</v>
      </c>
      <c r="K412" s="32" t="s">
        <v>76</v>
      </c>
      <c r="L412" s="32"/>
      <c r="M412" s="33" t="s">
        <v>663</v>
      </c>
      <c r="N412" s="33"/>
      <c r="O412" s="32">
        <v>1096</v>
      </c>
      <c r="P412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54"/>
      <c r="R412" s="654"/>
      <c r="S412" s="654"/>
      <c r="T412" s="655"/>
      <c r="U412" s="34"/>
      <c r="V412" s="34"/>
      <c r="W412" s="35" t="s">
        <v>66</v>
      </c>
      <c r="X412" s="647">
        <v>0</v>
      </c>
      <c r="Y412" s="648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672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673</v>
      </c>
      <c r="B413" s="54" t="s">
        <v>674</v>
      </c>
      <c r="C413" s="31">
        <v>4301220001</v>
      </c>
      <c r="D413" s="651">
        <v>4680115888654</v>
      </c>
      <c r="E413" s="652"/>
      <c r="F413" s="646">
        <v>0.32500000000000001</v>
      </c>
      <c r="G413" s="32">
        <v>12</v>
      </c>
      <c r="H413" s="646">
        <v>3.9</v>
      </c>
      <c r="I413" s="646">
        <v>4.17</v>
      </c>
      <c r="J413" s="32">
        <v>144</v>
      </c>
      <c r="K413" s="32" t="s">
        <v>122</v>
      </c>
      <c r="L413" s="32"/>
      <c r="M413" s="33" t="s">
        <v>663</v>
      </c>
      <c r="N413" s="33"/>
      <c r="O413" s="32">
        <v>1096</v>
      </c>
      <c r="P413" s="7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54"/>
      <c r="R413" s="654"/>
      <c r="S413" s="654"/>
      <c r="T413" s="655"/>
      <c r="U413" s="34"/>
      <c r="V413" s="34"/>
      <c r="W413" s="35" t="s">
        <v>66</v>
      </c>
      <c r="X413" s="647">
        <v>0</v>
      </c>
      <c r="Y413" s="648">
        <f>IFERROR(IF(X413="",0,CEILING((X413/$H413),1)*$H413),"")</f>
        <v>0</v>
      </c>
      <c r="Z413" s="36" t="str">
        <f>IFERROR(IF(Y413=0,"",ROUNDUP(Y413/H413,0)*0.006),"")</f>
        <v/>
      </c>
      <c r="AA413" s="56"/>
      <c r="AB413" s="57"/>
      <c r="AC413" s="505" t="s">
        <v>675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676</v>
      </c>
      <c r="B414" s="54" t="s">
        <v>677</v>
      </c>
      <c r="C414" s="31">
        <v>4301220002</v>
      </c>
      <c r="D414" s="651">
        <v>4680115888753</v>
      </c>
      <c r="E414" s="652"/>
      <c r="F414" s="646">
        <v>0.25</v>
      </c>
      <c r="G414" s="32">
        <v>12</v>
      </c>
      <c r="H414" s="646">
        <v>3</v>
      </c>
      <c r="I414" s="646">
        <v>3.22</v>
      </c>
      <c r="J414" s="32">
        <v>224</v>
      </c>
      <c r="K414" s="32" t="s">
        <v>76</v>
      </c>
      <c r="L414" s="32"/>
      <c r="M414" s="33" t="s">
        <v>663</v>
      </c>
      <c r="N414" s="33"/>
      <c r="O414" s="32">
        <v>1096</v>
      </c>
      <c r="P414" s="77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54"/>
      <c r="R414" s="654"/>
      <c r="S414" s="654"/>
      <c r="T414" s="655"/>
      <c r="U414" s="34"/>
      <c r="V414" s="34"/>
      <c r="W414" s="35" t="s">
        <v>66</v>
      </c>
      <c r="X414" s="647">
        <v>0</v>
      </c>
      <c r="Y414" s="648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672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68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9"/>
      <c r="P415" s="663" t="s">
        <v>71</v>
      </c>
      <c r="Q415" s="664"/>
      <c r="R415" s="664"/>
      <c r="S415" s="664"/>
      <c r="T415" s="664"/>
      <c r="U415" s="664"/>
      <c r="V415" s="665"/>
      <c r="W415" s="37" t="s">
        <v>72</v>
      </c>
      <c r="X415" s="649">
        <f>IFERROR(X412/H412,"0")+IFERROR(X413/H413,"0")+IFERROR(X414/H414,"0")</f>
        <v>0</v>
      </c>
      <c r="Y415" s="649">
        <f>IFERROR(Y412/H412,"0")+IFERROR(Y413/H413,"0")+IFERROR(Y414/H414,"0")</f>
        <v>0</v>
      </c>
      <c r="Z415" s="649">
        <f>IFERROR(IF(Z412="",0,Z412),"0")+IFERROR(IF(Z413="",0,Z413),"0")+IFERROR(IF(Z414="",0,Z414),"0")</f>
        <v>0</v>
      </c>
      <c r="AA415" s="650"/>
      <c r="AB415" s="650"/>
      <c r="AC415" s="650"/>
    </row>
    <row r="416" spans="1:68" hidden="1" x14ac:dyDescent="0.2">
      <c r="A416" s="660"/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9"/>
      <c r="P416" s="663" t="s">
        <v>71</v>
      </c>
      <c r="Q416" s="664"/>
      <c r="R416" s="664"/>
      <c r="S416" s="664"/>
      <c r="T416" s="664"/>
      <c r="U416" s="664"/>
      <c r="V416" s="665"/>
      <c r="W416" s="37" t="s">
        <v>66</v>
      </c>
      <c r="X416" s="649">
        <f>IFERROR(SUM(X412:X414),"0")</f>
        <v>0</v>
      </c>
      <c r="Y416" s="649">
        <f>IFERROR(SUM(Y412:Y414),"0")</f>
        <v>0</v>
      </c>
      <c r="Z416" s="37"/>
      <c r="AA416" s="650"/>
      <c r="AB416" s="650"/>
      <c r="AC416" s="650"/>
    </row>
    <row r="417" spans="1:68" ht="16.5" hidden="1" customHeight="1" x14ac:dyDescent="0.25">
      <c r="A417" s="672" t="s">
        <v>678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42"/>
      <c r="AB417" s="642"/>
      <c r="AC417" s="642"/>
    </row>
    <row r="418" spans="1:68" ht="14.25" hidden="1" customHeight="1" x14ac:dyDescent="0.25">
      <c r="A418" s="659" t="s">
        <v>73</v>
      </c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0"/>
      <c r="P418" s="660"/>
      <c r="Q418" s="660"/>
      <c r="R418" s="660"/>
      <c r="S418" s="660"/>
      <c r="T418" s="660"/>
      <c r="U418" s="660"/>
      <c r="V418" s="660"/>
      <c r="W418" s="660"/>
      <c r="X418" s="660"/>
      <c r="Y418" s="660"/>
      <c r="Z418" s="660"/>
      <c r="AA418" s="643"/>
      <c r="AB418" s="643"/>
      <c r="AC418" s="643"/>
    </row>
    <row r="419" spans="1:68" ht="16.5" hidden="1" customHeight="1" x14ac:dyDescent="0.25">
      <c r="A419" s="54" t="s">
        <v>679</v>
      </c>
      <c r="B419" s="54" t="s">
        <v>680</v>
      </c>
      <c r="C419" s="31">
        <v>4301052235</v>
      </c>
      <c r="D419" s="651">
        <v>4680115889415</v>
      </c>
      <c r="E419" s="652"/>
      <c r="F419" s="646">
        <v>1.3</v>
      </c>
      <c r="G419" s="32">
        <v>6</v>
      </c>
      <c r="H419" s="646">
        <v>7.8</v>
      </c>
      <c r="I419" s="646">
        <v>8.2100000000000009</v>
      </c>
      <c r="J419" s="32">
        <v>64</v>
      </c>
      <c r="K419" s="32" t="s">
        <v>113</v>
      </c>
      <c r="L419" s="32"/>
      <c r="M419" s="33" t="s">
        <v>77</v>
      </c>
      <c r="N419" s="33"/>
      <c r="O419" s="32">
        <v>40</v>
      </c>
      <c r="P419" s="81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54"/>
      <c r="R419" s="654"/>
      <c r="S419" s="654"/>
      <c r="T419" s="655"/>
      <c r="U419" s="34"/>
      <c r="V419" s="34"/>
      <c r="W419" s="35" t="s">
        <v>66</v>
      </c>
      <c r="X419" s="647">
        <v>0</v>
      </c>
      <c r="Y419" s="64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681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16.5" hidden="1" customHeight="1" x14ac:dyDescent="0.25">
      <c r="A420" s="54" t="s">
        <v>682</v>
      </c>
      <c r="B420" s="54" t="s">
        <v>683</v>
      </c>
      <c r="C420" s="31">
        <v>4301052236</v>
      </c>
      <c r="D420" s="651">
        <v>4680115889422</v>
      </c>
      <c r="E420" s="652"/>
      <c r="F420" s="646">
        <v>1.3</v>
      </c>
      <c r="G420" s="32">
        <v>6</v>
      </c>
      <c r="H420" s="646">
        <v>7.8</v>
      </c>
      <c r="I420" s="646">
        <v>8.2100000000000009</v>
      </c>
      <c r="J420" s="32">
        <v>64</v>
      </c>
      <c r="K420" s="32" t="s">
        <v>113</v>
      </c>
      <c r="L420" s="32"/>
      <c r="M420" s="33" t="s">
        <v>77</v>
      </c>
      <c r="N420" s="33"/>
      <c r="O420" s="32">
        <v>40</v>
      </c>
      <c r="P420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54"/>
      <c r="R420" s="654"/>
      <c r="S420" s="654"/>
      <c r="T420" s="655"/>
      <c r="U420" s="34"/>
      <c r="V420" s="34"/>
      <c r="W420" s="35" t="s">
        <v>66</v>
      </c>
      <c r="X420" s="647">
        <v>0</v>
      </c>
      <c r="Y420" s="64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511" t="s">
        <v>684</v>
      </c>
      <c r="AG420" s="64"/>
      <c r="AJ420" s="68"/>
      <c r="AK420" s="68">
        <v>0</v>
      </c>
      <c r="BB420" s="512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8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9"/>
      <c r="P421" s="663" t="s">
        <v>71</v>
      </c>
      <c r="Q421" s="664"/>
      <c r="R421" s="664"/>
      <c r="S421" s="664"/>
      <c r="T421" s="664"/>
      <c r="U421" s="664"/>
      <c r="V421" s="665"/>
      <c r="W421" s="37" t="s">
        <v>72</v>
      </c>
      <c r="X421" s="649">
        <f>IFERROR(X419/H419,"0")+IFERROR(X420/H420,"0")</f>
        <v>0</v>
      </c>
      <c r="Y421" s="649">
        <f>IFERROR(Y419/H419,"0")+IFERROR(Y420/H420,"0")</f>
        <v>0</v>
      </c>
      <c r="Z421" s="649">
        <f>IFERROR(IF(Z419="",0,Z419),"0")+IFERROR(IF(Z420="",0,Z420),"0")</f>
        <v>0</v>
      </c>
      <c r="AA421" s="650"/>
      <c r="AB421" s="650"/>
      <c r="AC421" s="650"/>
    </row>
    <row r="422" spans="1:68" hidden="1" x14ac:dyDescent="0.2">
      <c r="A422" s="660"/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9"/>
      <c r="P422" s="663" t="s">
        <v>71</v>
      </c>
      <c r="Q422" s="664"/>
      <c r="R422" s="664"/>
      <c r="S422" s="664"/>
      <c r="T422" s="664"/>
      <c r="U422" s="664"/>
      <c r="V422" s="665"/>
      <c r="W422" s="37" t="s">
        <v>66</v>
      </c>
      <c r="X422" s="649">
        <f>IFERROR(SUM(X419:X420),"0")</f>
        <v>0</v>
      </c>
      <c r="Y422" s="649">
        <f>IFERROR(SUM(Y419:Y420),"0")</f>
        <v>0</v>
      </c>
      <c r="Z422" s="37"/>
      <c r="AA422" s="650"/>
      <c r="AB422" s="650"/>
      <c r="AC422" s="650"/>
    </row>
    <row r="423" spans="1:68" ht="16.5" hidden="1" customHeight="1" x14ac:dyDescent="0.25">
      <c r="A423" s="672" t="s">
        <v>685</v>
      </c>
      <c r="B423" s="660"/>
      <c r="C423" s="660"/>
      <c r="D423" s="660"/>
      <c r="E423" s="660"/>
      <c r="F423" s="660"/>
      <c r="G423" s="660"/>
      <c r="H423" s="660"/>
      <c r="I423" s="660"/>
      <c r="J423" s="660"/>
      <c r="K423" s="660"/>
      <c r="L423" s="660"/>
      <c r="M423" s="660"/>
      <c r="N423" s="660"/>
      <c r="O423" s="660"/>
      <c r="P423" s="660"/>
      <c r="Q423" s="660"/>
      <c r="R423" s="660"/>
      <c r="S423" s="660"/>
      <c r="T423" s="660"/>
      <c r="U423" s="660"/>
      <c r="V423" s="660"/>
      <c r="W423" s="660"/>
      <c r="X423" s="660"/>
      <c r="Y423" s="660"/>
      <c r="Z423" s="660"/>
      <c r="AA423" s="642"/>
      <c r="AB423" s="642"/>
      <c r="AC423" s="642"/>
    </row>
    <row r="424" spans="1:68" ht="14.25" hidden="1" customHeight="1" x14ac:dyDescent="0.25">
      <c r="A424" s="659" t="s">
        <v>73</v>
      </c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0"/>
      <c r="P424" s="660"/>
      <c r="Q424" s="660"/>
      <c r="R424" s="660"/>
      <c r="S424" s="660"/>
      <c r="T424" s="660"/>
      <c r="U424" s="660"/>
      <c r="V424" s="660"/>
      <c r="W424" s="660"/>
      <c r="X424" s="660"/>
      <c r="Y424" s="660"/>
      <c r="Z424" s="660"/>
      <c r="AA424" s="643"/>
      <c r="AB424" s="643"/>
      <c r="AC424" s="643"/>
    </row>
    <row r="425" spans="1:68" ht="27" hidden="1" customHeight="1" x14ac:dyDescent="0.25">
      <c r="A425" s="54" t="s">
        <v>686</v>
      </c>
      <c r="B425" s="54" t="s">
        <v>687</v>
      </c>
      <c r="C425" s="31">
        <v>4301051489</v>
      </c>
      <c r="D425" s="651">
        <v>4607091387919</v>
      </c>
      <c r="E425" s="652"/>
      <c r="F425" s="646">
        <v>1.35</v>
      </c>
      <c r="G425" s="32">
        <v>6</v>
      </c>
      <c r="H425" s="646">
        <v>8.1</v>
      </c>
      <c r="I425" s="646">
        <v>8.5939999999999994</v>
      </c>
      <c r="J425" s="32">
        <v>64</v>
      </c>
      <c r="K425" s="32" t="s">
        <v>113</v>
      </c>
      <c r="L425" s="32"/>
      <c r="M425" s="33" t="s">
        <v>83</v>
      </c>
      <c r="N425" s="33"/>
      <c r="O425" s="32">
        <v>45</v>
      </c>
      <c r="P425" s="8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54"/>
      <c r="R425" s="654"/>
      <c r="S425" s="654"/>
      <c r="T425" s="655"/>
      <c r="U425" s="34"/>
      <c r="V425" s="34"/>
      <c r="W425" s="35" t="s">
        <v>66</v>
      </c>
      <c r="X425" s="647">
        <v>0</v>
      </c>
      <c r="Y425" s="648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4301051461</v>
      </c>
      <c r="D426" s="651">
        <v>4680115883604</v>
      </c>
      <c r="E426" s="652"/>
      <c r="F426" s="646">
        <v>0.35</v>
      </c>
      <c r="G426" s="32">
        <v>6</v>
      </c>
      <c r="H426" s="646">
        <v>2.1</v>
      </c>
      <c r="I426" s="646">
        <v>2.3519999999999999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45</v>
      </c>
      <c r="P426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54"/>
      <c r="R426" s="654"/>
      <c r="S426" s="654"/>
      <c r="T426" s="655"/>
      <c r="U426" s="34"/>
      <c r="V426" s="34"/>
      <c r="W426" s="35" t="s">
        <v>66</v>
      </c>
      <c r="X426" s="647">
        <v>0</v>
      </c>
      <c r="Y426" s="64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691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27" hidden="1" customHeight="1" x14ac:dyDescent="0.25">
      <c r="A427" s="54" t="s">
        <v>692</v>
      </c>
      <c r="B427" s="54" t="s">
        <v>693</v>
      </c>
      <c r="C427" s="31">
        <v>4301051864</v>
      </c>
      <c r="D427" s="651">
        <v>4680115883567</v>
      </c>
      <c r="E427" s="652"/>
      <c r="F427" s="646">
        <v>0.35</v>
      </c>
      <c r="G427" s="32">
        <v>6</v>
      </c>
      <c r="H427" s="646">
        <v>2.1</v>
      </c>
      <c r="I427" s="646">
        <v>2.34</v>
      </c>
      <c r="J427" s="32">
        <v>182</v>
      </c>
      <c r="K427" s="32" t="s">
        <v>76</v>
      </c>
      <c r="L427" s="32"/>
      <c r="M427" s="33" t="s">
        <v>83</v>
      </c>
      <c r="N427" s="33"/>
      <c r="O427" s="32">
        <v>40</v>
      </c>
      <c r="P427" s="8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54"/>
      <c r="R427" s="654"/>
      <c r="S427" s="654"/>
      <c r="T427" s="655"/>
      <c r="U427" s="34"/>
      <c r="V427" s="34"/>
      <c r="W427" s="35" t="s">
        <v>66</v>
      </c>
      <c r="X427" s="647">
        <v>0</v>
      </c>
      <c r="Y427" s="648">
        <f>IFERROR(IF(X427="",0,CEILING((X427/$H427),1)*$H427),"")</f>
        <v>0</v>
      </c>
      <c r="Z427" s="36" t="str">
        <f>IFERROR(IF(Y427=0,"",ROUNDUP(Y427/H427,0)*0.00651),"")</f>
        <v/>
      </c>
      <c r="AA427" s="56"/>
      <c r="AB427" s="57"/>
      <c r="AC427" s="517" t="s">
        <v>694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idden="1" x14ac:dyDescent="0.2">
      <c r="A428" s="668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9"/>
      <c r="P428" s="663" t="s">
        <v>71</v>
      </c>
      <c r="Q428" s="664"/>
      <c r="R428" s="664"/>
      <c r="S428" s="664"/>
      <c r="T428" s="664"/>
      <c r="U428" s="664"/>
      <c r="V428" s="665"/>
      <c r="W428" s="37" t="s">
        <v>72</v>
      </c>
      <c r="X428" s="649">
        <f>IFERROR(X425/H425,"0")+IFERROR(X426/H426,"0")+IFERROR(X427/H427,"0")</f>
        <v>0</v>
      </c>
      <c r="Y428" s="649">
        <f>IFERROR(Y425/H425,"0")+IFERROR(Y426/H426,"0")+IFERROR(Y427/H427,"0")</f>
        <v>0</v>
      </c>
      <c r="Z428" s="649">
        <f>IFERROR(IF(Z425="",0,Z425),"0")+IFERROR(IF(Z426="",0,Z426),"0")+IFERROR(IF(Z427="",0,Z427),"0")</f>
        <v>0</v>
      </c>
      <c r="AA428" s="650"/>
      <c r="AB428" s="650"/>
      <c r="AC428" s="650"/>
    </row>
    <row r="429" spans="1:68" hidden="1" x14ac:dyDescent="0.2">
      <c r="A429" s="660"/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9"/>
      <c r="P429" s="663" t="s">
        <v>71</v>
      </c>
      <c r="Q429" s="664"/>
      <c r="R429" s="664"/>
      <c r="S429" s="664"/>
      <c r="T429" s="664"/>
      <c r="U429" s="664"/>
      <c r="V429" s="665"/>
      <c r="W429" s="37" t="s">
        <v>66</v>
      </c>
      <c r="X429" s="649">
        <f>IFERROR(SUM(X425:X427),"0")</f>
        <v>0</v>
      </c>
      <c r="Y429" s="649">
        <f>IFERROR(SUM(Y425:Y427),"0")</f>
        <v>0</v>
      </c>
      <c r="Z429" s="37"/>
      <c r="AA429" s="650"/>
      <c r="AB429" s="650"/>
      <c r="AC429" s="650"/>
    </row>
    <row r="430" spans="1:68" ht="27.75" hidden="1" customHeight="1" x14ac:dyDescent="0.2">
      <c r="A430" s="661" t="s">
        <v>695</v>
      </c>
      <c r="B430" s="662"/>
      <c r="C430" s="662"/>
      <c r="D430" s="662"/>
      <c r="E430" s="662"/>
      <c r="F430" s="662"/>
      <c r="G430" s="662"/>
      <c r="H430" s="662"/>
      <c r="I430" s="662"/>
      <c r="J430" s="662"/>
      <c r="K430" s="662"/>
      <c r="L430" s="662"/>
      <c r="M430" s="662"/>
      <c r="N430" s="662"/>
      <c r="O430" s="662"/>
      <c r="P430" s="662"/>
      <c r="Q430" s="662"/>
      <c r="R430" s="662"/>
      <c r="S430" s="662"/>
      <c r="T430" s="662"/>
      <c r="U430" s="662"/>
      <c r="V430" s="662"/>
      <c r="W430" s="662"/>
      <c r="X430" s="662"/>
      <c r="Y430" s="662"/>
      <c r="Z430" s="662"/>
      <c r="AA430" s="48"/>
      <c r="AB430" s="48"/>
      <c r="AC430" s="48"/>
    </row>
    <row r="431" spans="1:68" ht="16.5" hidden="1" customHeight="1" x14ac:dyDescent="0.25">
      <c r="A431" s="672" t="s">
        <v>696</v>
      </c>
      <c r="B431" s="660"/>
      <c r="C431" s="660"/>
      <c r="D431" s="660"/>
      <c r="E431" s="660"/>
      <c r="F431" s="660"/>
      <c r="G431" s="660"/>
      <c r="H431" s="660"/>
      <c r="I431" s="660"/>
      <c r="J431" s="660"/>
      <c r="K431" s="660"/>
      <c r="L431" s="660"/>
      <c r="M431" s="660"/>
      <c r="N431" s="660"/>
      <c r="O431" s="660"/>
      <c r="P431" s="660"/>
      <c r="Q431" s="660"/>
      <c r="R431" s="660"/>
      <c r="S431" s="660"/>
      <c r="T431" s="660"/>
      <c r="U431" s="660"/>
      <c r="V431" s="660"/>
      <c r="W431" s="660"/>
      <c r="X431" s="660"/>
      <c r="Y431" s="660"/>
      <c r="Z431" s="660"/>
      <c r="AA431" s="642"/>
      <c r="AB431" s="642"/>
      <c r="AC431" s="642"/>
    </row>
    <row r="432" spans="1:68" ht="14.25" hidden="1" customHeight="1" x14ac:dyDescent="0.25">
      <c r="A432" s="659" t="s">
        <v>110</v>
      </c>
      <c r="B432" s="660"/>
      <c r="C432" s="660"/>
      <c r="D432" s="660"/>
      <c r="E432" s="660"/>
      <c r="F432" s="660"/>
      <c r="G432" s="660"/>
      <c r="H432" s="660"/>
      <c r="I432" s="660"/>
      <c r="J432" s="660"/>
      <c r="K432" s="660"/>
      <c r="L432" s="660"/>
      <c r="M432" s="660"/>
      <c r="N432" s="660"/>
      <c r="O432" s="660"/>
      <c r="P432" s="660"/>
      <c r="Q432" s="660"/>
      <c r="R432" s="660"/>
      <c r="S432" s="660"/>
      <c r="T432" s="660"/>
      <c r="U432" s="660"/>
      <c r="V432" s="660"/>
      <c r="W432" s="660"/>
      <c r="X432" s="660"/>
      <c r="Y432" s="660"/>
      <c r="Z432" s="660"/>
      <c r="AA432" s="643"/>
      <c r="AB432" s="643"/>
      <c r="AC432" s="643"/>
    </row>
    <row r="433" spans="1:68" ht="27" hidden="1" customHeight="1" x14ac:dyDescent="0.25">
      <c r="A433" s="54" t="s">
        <v>697</v>
      </c>
      <c r="B433" s="54" t="s">
        <v>698</v>
      </c>
      <c r="C433" s="31">
        <v>4301012332</v>
      </c>
      <c r="D433" s="651">
        <v>4680115888401</v>
      </c>
      <c r="E433" s="652"/>
      <c r="F433" s="646">
        <v>2.5</v>
      </c>
      <c r="G433" s="32">
        <v>6</v>
      </c>
      <c r="H433" s="646">
        <v>15</v>
      </c>
      <c r="I433" s="646">
        <v>15.47</v>
      </c>
      <c r="J433" s="32">
        <v>48</v>
      </c>
      <c r="K433" s="32" t="s">
        <v>113</v>
      </c>
      <c r="L433" s="32"/>
      <c r="M433" s="33" t="s">
        <v>83</v>
      </c>
      <c r="N433" s="33"/>
      <c r="O433" s="32">
        <v>60</v>
      </c>
      <c r="P433" s="98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54"/>
      <c r="R433" s="654"/>
      <c r="S433" s="654"/>
      <c r="T433" s="655"/>
      <c r="U433" s="34"/>
      <c r="V433" s="34"/>
      <c r="W433" s="35" t="s">
        <v>66</v>
      </c>
      <c r="X433" s="647">
        <v>0</v>
      </c>
      <c r="Y433" s="648">
        <f t="shared" ref="Y433:Y440" si="68"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ref="BM433:BM440" si="69">IFERROR(X433*I433/H433,"0")</f>
        <v>0</v>
      </c>
      <c r="BN433" s="64">
        <f t="shared" ref="BN433:BN440" si="70">IFERROR(Y433*I433/H433,"0")</f>
        <v>0</v>
      </c>
      <c r="BO433" s="64">
        <f t="shared" ref="BO433:BO440" si="71">IFERROR(1/J433*(X433/H433),"0")</f>
        <v>0</v>
      </c>
      <c r="BP433" s="64">
        <f t="shared" ref="BP433:BP440" si="72"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4301011869</v>
      </c>
      <c r="D434" s="651">
        <v>4680115884847</v>
      </c>
      <c r="E434" s="652"/>
      <c r="F434" s="646">
        <v>2.5</v>
      </c>
      <c r="G434" s="32">
        <v>6</v>
      </c>
      <c r="H434" s="646">
        <v>15</v>
      </c>
      <c r="I434" s="646">
        <v>15.47</v>
      </c>
      <c r="J434" s="32">
        <v>48</v>
      </c>
      <c r="K434" s="32" t="s">
        <v>113</v>
      </c>
      <c r="L434" s="32"/>
      <c r="M434" s="33" t="s">
        <v>65</v>
      </c>
      <c r="N434" s="33"/>
      <c r="O434" s="32">
        <v>60</v>
      </c>
      <c r="P434" s="9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54"/>
      <c r="R434" s="654"/>
      <c r="S434" s="654"/>
      <c r="T434" s="655"/>
      <c r="U434" s="34"/>
      <c r="V434" s="34"/>
      <c r="W434" s="35" t="s">
        <v>66</v>
      </c>
      <c r="X434" s="647">
        <v>1010</v>
      </c>
      <c r="Y434" s="648">
        <f t="shared" si="68"/>
        <v>1020</v>
      </c>
      <c r="Z434" s="36">
        <f>IFERROR(IF(Y434=0,"",ROUNDUP(Y434/H434,0)*0.02175),"")</f>
        <v>1.4789999999999999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1041.6466666666668</v>
      </c>
      <c r="BN434" s="64">
        <f t="shared" si="70"/>
        <v>1051.96</v>
      </c>
      <c r="BO434" s="64">
        <f t="shared" si="71"/>
        <v>1.4027777777777777</v>
      </c>
      <c r="BP434" s="64">
        <f t="shared" si="72"/>
        <v>1.4166666666666665</v>
      </c>
    </row>
    <row r="435" spans="1:68" ht="27" customHeight="1" x14ac:dyDescent="0.25">
      <c r="A435" s="54" t="s">
        <v>703</v>
      </c>
      <c r="B435" s="54" t="s">
        <v>704</v>
      </c>
      <c r="C435" s="31">
        <v>4301012083</v>
      </c>
      <c r="D435" s="651">
        <v>4680115884854</v>
      </c>
      <c r="E435" s="652"/>
      <c r="F435" s="646">
        <v>2.5</v>
      </c>
      <c r="G435" s="32">
        <v>6</v>
      </c>
      <c r="H435" s="646">
        <v>15</v>
      </c>
      <c r="I435" s="646">
        <v>15.47</v>
      </c>
      <c r="J435" s="32">
        <v>48</v>
      </c>
      <c r="K435" s="32" t="s">
        <v>113</v>
      </c>
      <c r="L435" s="32"/>
      <c r="M435" s="33" t="s">
        <v>114</v>
      </c>
      <c r="N435" s="33"/>
      <c r="O435" s="32">
        <v>60</v>
      </c>
      <c r="P435" s="9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54"/>
      <c r="R435" s="654"/>
      <c r="S435" s="654"/>
      <c r="T435" s="655"/>
      <c r="U435" s="34"/>
      <c r="V435" s="34"/>
      <c r="W435" s="35" t="s">
        <v>66</v>
      </c>
      <c r="X435" s="647">
        <v>389</v>
      </c>
      <c r="Y435" s="648">
        <f t="shared" si="68"/>
        <v>390</v>
      </c>
      <c r="Z435" s="36">
        <f>IFERROR(IF(Y435=0,"",ROUNDUP(Y435/H435,0)*0.02175),"")</f>
        <v>0.5655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401.18866666666668</v>
      </c>
      <c r="BN435" s="64">
        <f t="shared" si="70"/>
        <v>402.22</v>
      </c>
      <c r="BO435" s="64">
        <f t="shared" si="71"/>
        <v>0.54027777777777775</v>
      </c>
      <c r="BP435" s="64">
        <f t="shared" si="72"/>
        <v>0.54166666666666663</v>
      </c>
    </row>
    <row r="436" spans="1:68" ht="27" customHeight="1" x14ac:dyDescent="0.25">
      <c r="A436" s="54" t="s">
        <v>706</v>
      </c>
      <c r="B436" s="54" t="s">
        <v>707</v>
      </c>
      <c r="C436" s="31">
        <v>4301011867</v>
      </c>
      <c r="D436" s="651">
        <v>4680115884830</v>
      </c>
      <c r="E436" s="652"/>
      <c r="F436" s="646">
        <v>2.5</v>
      </c>
      <c r="G436" s="32">
        <v>6</v>
      </c>
      <c r="H436" s="646">
        <v>15</v>
      </c>
      <c r="I436" s="646">
        <v>15.47</v>
      </c>
      <c r="J436" s="32">
        <v>48</v>
      </c>
      <c r="K436" s="32" t="s">
        <v>113</v>
      </c>
      <c r="L436" s="32"/>
      <c r="M436" s="33" t="s">
        <v>65</v>
      </c>
      <c r="N436" s="33"/>
      <c r="O436" s="32">
        <v>60</v>
      </c>
      <c r="P436" s="10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54"/>
      <c r="R436" s="654"/>
      <c r="S436" s="654"/>
      <c r="T436" s="655"/>
      <c r="U436" s="34"/>
      <c r="V436" s="34"/>
      <c r="W436" s="35" t="s">
        <v>66</v>
      </c>
      <c r="X436" s="647">
        <v>1010</v>
      </c>
      <c r="Y436" s="648">
        <f t="shared" si="68"/>
        <v>1020</v>
      </c>
      <c r="Z436" s="36">
        <f>IFERROR(IF(Y436=0,"",ROUNDUP(Y436/H436,0)*0.02175),"")</f>
        <v>1.4789999999999999</v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1041.6466666666668</v>
      </c>
      <c r="BN436" s="64">
        <f t="shared" si="70"/>
        <v>1051.96</v>
      </c>
      <c r="BO436" s="64">
        <f t="shared" si="71"/>
        <v>1.4027777777777777</v>
      </c>
      <c r="BP436" s="64">
        <f t="shared" si="72"/>
        <v>1.4166666666666665</v>
      </c>
    </row>
    <row r="437" spans="1:68" ht="27" customHeight="1" x14ac:dyDescent="0.25">
      <c r="A437" s="54" t="s">
        <v>709</v>
      </c>
      <c r="B437" s="54" t="s">
        <v>710</v>
      </c>
      <c r="C437" s="31">
        <v>4301012356</v>
      </c>
      <c r="D437" s="651">
        <v>4680115889231</v>
      </c>
      <c r="E437" s="652"/>
      <c r="F437" s="646">
        <v>2.5</v>
      </c>
      <c r="G437" s="32">
        <v>6</v>
      </c>
      <c r="H437" s="646">
        <v>15</v>
      </c>
      <c r="I437" s="646">
        <v>15.47</v>
      </c>
      <c r="J437" s="32">
        <v>48</v>
      </c>
      <c r="K437" s="32" t="s">
        <v>113</v>
      </c>
      <c r="L437" s="32"/>
      <c r="M437" s="33" t="s">
        <v>83</v>
      </c>
      <c r="N437" s="33"/>
      <c r="O437" s="32">
        <v>60</v>
      </c>
      <c r="P437" s="65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54"/>
      <c r="R437" s="654"/>
      <c r="S437" s="654"/>
      <c r="T437" s="655"/>
      <c r="U437" s="34"/>
      <c r="V437" s="34"/>
      <c r="W437" s="35" t="s">
        <v>66</v>
      </c>
      <c r="X437" s="647">
        <v>207</v>
      </c>
      <c r="Y437" s="648">
        <f t="shared" si="68"/>
        <v>210</v>
      </c>
      <c r="Z437" s="36">
        <f>IFERROR(IF(Y437=0,"",ROUNDUP(Y437/H437,0)*0.02175),"")</f>
        <v>0.30449999999999999</v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213.48599999999999</v>
      </c>
      <c r="BN437" s="64">
        <f t="shared" si="70"/>
        <v>216.58</v>
      </c>
      <c r="BO437" s="64">
        <f t="shared" si="71"/>
        <v>0.28749999999999998</v>
      </c>
      <c r="BP437" s="64">
        <f t="shared" si="72"/>
        <v>0.29166666666666663</v>
      </c>
    </row>
    <row r="438" spans="1:68" ht="27" hidden="1" customHeight="1" x14ac:dyDescent="0.25">
      <c r="A438" s="54" t="s">
        <v>712</v>
      </c>
      <c r="B438" s="54" t="s">
        <v>713</v>
      </c>
      <c r="C438" s="31">
        <v>4301011433</v>
      </c>
      <c r="D438" s="651">
        <v>4680115882638</v>
      </c>
      <c r="E438" s="652"/>
      <c r="F438" s="646">
        <v>0.4</v>
      </c>
      <c r="G438" s="32">
        <v>10</v>
      </c>
      <c r="H438" s="646">
        <v>4</v>
      </c>
      <c r="I438" s="646">
        <v>4.1900000000000004</v>
      </c>
      <c r="J438" s="32">
        <v>132</v>
      </c>
      <c r="K438" s="32" t="s">
        <v>122</v>
      </c>
      <c r="L438" s="32"/>
      <c r="M438" s="33" t="s">
        <v>114</v>
      </c>
      <c r="N438" s="33"/>
      <c r="O438" s="32">
        <v>90</v>
      </c>
      <c r="P438" s="8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54"/>
      <c r="R438" s="654"/>
      <c r="S438" s="654"/>
      <c r="T438" s="655"/>
      <c r="U438" s="34"/>
      <c r="V438" s="34"/>
      <c r="W438" s="35" t="s">
        <v>66</v>
      </c>
      <c r="X438" s="647">
        <v>0</v>
      </c>
      <c r="Y438" s="648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ht="27" hidden="1" customHeight="1" x14ac:dyDescent="0.25">
      <c r="A439" s="54" t="s">
        <v>715</v>
      </c>
      <c r="B439" s="54" t="s">
        <v>716</v>
      </c>
      <c r="C439" s="31">
        <v>4301011952</v>
      </c>
      <c r="D439" s="651">
        <v>4680115884922</v>
      </c>
      <c r="E439" s="652"/>
      <c r="F439" s="646">
        <v>0.5</v>
      </c>
      <c r="G439" s="32">
        <v>10</v>
      </c>
      <c r="H439" s="646">
        <v>5</v>
      </c>
      <c r="I439" s="646">
        <v>5.19</v>
      </c>
      <c r="J439" s="32">
        <v>132</v>
      </c>
      <c r="K439" s="32" t="s">
        <v>122</v>
      </c>
      <c r="L439" s="32"/>
      <c r="M439" s="33" t="s">
        <v>65</v>
      </c>
      <c r="N439" s="33"/>
      <c r="O439" s="32">
        <v>60</v>
      </c>
      <c r="P439" s="9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54"/>
      <c r="R439" s="654"/>
      <c r="S439" s="654"/>
      <c r="T439" s="655"/>
      <c r="U439" s="34"/>
      <c r="V439" s="34"/>
      <c r="W439" s="35" t="s">
        <v>66</v>
      </c>
      <c r="X439" s="647">
        <v>0</v>
      </c>
      <c r="Y439" s="648">
        <f t="shared" si="68"/>
        <v>0</v>
      </c>
      <c r="Z439" s="36" t="str">
        <f>IFERROR(IF(Y439=0,"",ROUNDUP(Y439/H439,0)*0.00902),"")</f>
        <v/>
      </c>
      <c r="AA439" s="56"/>
      <c r="AB439" s="57"/>
      <c r="AC439" s="531" t="s">
        <v>717</v>
      </c>
      <c r="AG439" s="64"/>
      <c r="AJ439" s="68"/>
      <c r="AK439" s="68">
        <v>0</v>
      </c>
      <c r="BB439" s="532" t="s">
        <v>1</v>
      </c>
      <c r="BM439" s="64">
        <f t="shared" si="69"/>
        <v>0</v>
      </c>
      <c r="BN439" s="64">
        <f t="shared" si="70"/>
        <v>0</v>
      </c>
      <c r="BO439" s="64">
        <f t="shared" si="71"/>
        <v>0</v>
      </c>
      <c r="BP439" s="64">
        <f t="shared" si="72"/>
        <v>0</v>
      </c>
    </row>
    <row r="440" spans="1:68" ht="37.5" hidden="1" customHeight="1" x14ac:dyDescent="0.25">
      <c r="A440" s="54" t="s">
        <v>718</v>
      </c>
      <c r="B440" s="54" t="s">
        <v>719</v>
      </c>
      <c r="C440" s="31">
        <v>4301011868</v>
      </c>
      <c r="D440" s="651">
        <v>4680115884861</v>
      </c>
      <c r="E440" s="652"/>
      <c r="F440" s="646">
        <v>0.5</v>
      </c>
      <c r="G440" s="32">
        <v>10</v>
      </c>
      <c r="H440" s="646">
        <v>5</v>
      </c>
      <c r="I440" s="646">
        <v>5.19</v>
      </c>
      <c r="J440" s="32">
        <v>132</v>
      </c>
      <c r="K440" s="32" t="s">
        <v>122</v>
      </c>
      <c r="L440" s="32"/>
      <c r="M440" s="33" t="s">
        <v>65</v>
      </c>
      <c r="N440" s="33"/>
      <c r="O440" s="32">
        <v>60</v>
      </c>
      <c r="P440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54"/>
      <c r="R440" s="654"/>
      <c r="S440" s="654"/>
      <c r="T440" s="655"/>
      <c r="U440" s="34"/>
      <c r="V440" s="34"/>
      <c r="W440" s="35" t="s">
        <v>66</v>
      </c>
      <c r="X440" s="647">
        <v>0</v>
      </c>
      <c r="Y440" s="648">
        <f t="shared" si="68"/>
        <v>0</v>
      </c>
      <c r="Z440" s="36" t="str">
        <f>IFERROR(IF(Y440=0,"",ROUNDUP(Y440/H440,0)*0.00902),"")</f>
        <v/>
      </c>
      <c r="AA440" s="56"/>
      <c r="AB440" s="57"/>
      <c r="AC440" s="533" t="s">
        <v>720</v>
      </c>
      <c r="AG440" s="64"/>
      <c r="AJ440" s="68"/>
      <c r="AK440" s="68">
        <v>0</v>
      </c>
      <c r="BB440" s="534" t="s">
        <v>1</v>
      </c>
      <c r="BM440" s="64">
        <f t="shared" si="69"/>
        <v>0</v>
      </c>
      <c r="BN440" s="64">
        <f t="shared" si="70"/>
        <v>0</v>
      </c>
      <c r="BO440" s="64">
        <f t="shared" si="71"/>
        <v>0</v>
      </c>
      <c r="BP440" s="64">
        <f t="shared" si="72"/>
        <v>0</v>
      </c>
    </row>
    <row r="441" spans="1:68" x14ac:dyDescent="0.2">
      <c r="A441" s="668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9"/>
      <c r="P441" s="663" t="s">
        <v>71</v>
      </c>
      <c r="Q441" s="664"/>
      <c r="R441" s="664"/>
      <c r="S441" s="664"/>
      <c r="T441" s="664"/>
      <c r="U441" s="664"/>
      <c r="V441" s="665"/>
      <c r="W441" s="37" t="s">
        <v>72</v>
      </c>
      <c r="X441" s="649">
        <f>IFERROR(X433/H433,"0")+IFERROR(X434/H434,"0")+IFERROR(X435/H435,"0")+IFERROR(X436/H436,"0")+IFERROR(X437/H437,"0")+IFERROR(X438/H438,"0")+IFERROR(X439/H439,"0")+IFERROR(X440/H440,"0")</f>
        <v>174.4</v>
      </c>
      <c r="Y441" s="649">
        <f>IFERROR(Y433/H433,"0")+IFERROR(Y434/H434,"0")+IFERROR(Y435/H435,"0")+IFERROR(Y436/H436,"0")+IFERROR(Y437/H437,"0")+IFERROR(Y438/H438,"0")+IFERROR(Y439/H439,"0")+IFERROR(Y440/H440,"0")</f>
        <v>176</v>
      </c>
      <c r="Z441" s="649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3.8279999999999994</v>
      </c>
      <c r="AA441" s="650"/>
      <c r="AB441" s="650"/>
      <c r="AC441" s="650"/>
    </row>
    <row r="442" spans="1:68" x14ac:dyDescent="0.2">
      <c r="A442" s="660"/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9"/>
      <c r="P442" s="663" t="s">
        <v>71</v>
      </c>
      <c r="Q442" s="664"/>
      <c r="R442" s="664"/>
      <c r="S442" s="664"/>
      <c r="T442" s="664"/>
      <c r="U442" s="664"/>
      <c r="V442" s="665"/>
      <c r="W442" s="37" t="s">
        <v>66</v>
      </c>
      <c r="X442" s="649">
        <f>IFERROR(SUM(X433:X440),"0")</f>
        <v>2616</v>
      </c>
      <c r="Y442" s="649">
        <f>IFERROR(SUM(Y433:Y440),"0")</f>
        <v>2640</v>
      </c>
      <c r="Z442" s="37"/>
      <c r="AA442" s="650"/>
      <c r="AB442" s="650"/>
      <c r="AC442" s="650"/>
    </row>
    <row r="443" spans="1:68" ht="14.25" hidden="1" customHeight="1" x14ac:dyDescent="0.25">
      <c r="A443" s="659" t="s">
        <v>147</v>
      </c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0"/>
      <c r="P443" s="660"/>
      <c r="Q443" s="660"/>
      <c r="R443" s="660"/>
      <c r="S443" s="660"/>
      <c r="T443" s="660"/>
      <c r="U443" s="660"/>
      <c r="V443" s="660"/>
      <c r="W443" s="660"/>
      <c r="X443" s="660"/>
      <c r="Y443" s="660"/>
      <c r="Z443" s="660"/>
      <c r="AA443" s="643"/>
      <c r="AB443" s="643"/>
      <c r="AC443" s="643"/>
    </row>
    <row r="444" spans="1:68" ht="27" customHeight="1" x14ac:dyDescent="0.25">
      <c r="A444" s="54" t="s">
        <v>721</v>
      </c>
      <c r="B444" s="54" t="s">
        <v>722</v>
      </c>
      <c r="C444" s="31">
        <v>4301020178</v>
      </c>
      <c r="D444" s="651">
        <v>4607091383980</v>
      </c>
      <c r="E444" s="652"/>
      <c r="F444" s="646">
        <v>2.5</v>
      </c>
      <c r="G444" s="32">
        <v>6</v>
      </c>
      <c r="H444" s="646">
        <v>15</v>
      </c>
      <c r="I444" s="646">
        <v>15.47</v>
      </c>
      <c r="J444" s="32">
        <v>48</v>
      </c>
      <c r="K444" s="32" t="s">
        <v>113</v>
      </c>
      <c r="L444" s="32"/>
      <c r="M444" s="33" t="s">
        <v>114</v>
      </c>
      <c r="N444" s="33"/>
      <c r="O444" s="32">
        <v>50</v>
      </c>
      <c r="P444" s="10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54"/>
      <c r="R444" s="654"/>
      <c r="S444" s="654"/>
      <c r="T444" s="655"/>
      <c r="U444" s="34"/>
      <c r="V444" s="34"/>
      <c r="W444" s="35" t="s">
        <v>66</v>
      </c>
      <c r="X444" s="647">
        <v>240</v>
      </c>
      <c r="Y444" s="648">
        <f>IFERROR(IF(X444="",0,CEILING((X444/$H444),1)*$H444),"")</f>
        <v>240</v>
      </c>
      <c r="Z444" s="36">
        <f>IFERROR(IF(Y444=0,"",ROUNDUP(Y444/H444,0)*0.02175),"")</f>
        <v>0.34799999999999998</v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247.52</v>
      </c>
      <c r="BN444" s="64">
        <f>IFERROR(Y444*I444/H444,"0")</f>
        <v>247.52</v>
      </c>
      <c r="BO444" s="64">
        <f>IFERROR(1/J444*(X444/H444),"0")</f>
        <v>0.33333333333333331</v>
      </c>
      <c r="BP444" s="64">
        <f>IFERROR(1/J444*(Y444/H444),"0")</f>
        <v>0.33333333333333331</v>
      </c>
    </row>
    <row r="445" spans="1:68" ht="27" hidden="1" customHeight="1" x14ac:dyDescent="0.25">
      <c r="A445" s="54" t="s">
        <v>724</v>
      </c>
      <c r="B445" s="54" t="s">
        <v>725</v>
      </c>
      <c r="C445" s="31">
        <v>4301020355</v>
      </c>
      <c r="D445" s="651">
        <v>4680115888425</v>
      </c>
      <c r="E445" s="652"/>
      <c r="F445" s="646">
        <v>2.5</v>
      </c>
      <c r="G445" s="32">
        <v>6</v>
      </c>
      <c r="H445" s="646">
        <v>15</v>
      </c>
      <c r="I445" s="646">
        <v>15.47</v>
      </c>
      <c r="J445" s="32">
        <v>48</v>
      </c>
      <c r="K445" s="32" t="s">
        <v>113</v>
      </c>
      <c r="L445" s="32"/>
      <c r="M445" s="33" t="s">
        <v>114</v>
      </c>
      <c r="N445" s="33"/>
      <c r="O445" s="32">
        <v>50</v>
      </c>
      <c r="P445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54"/>
      <c r="R445" s="654"/>
      <c r="S445" s="654"/>
      <c r="T445" s="655"/>
      <c r="U445" s="34"/>
      <c r="V445" s="34"/>
      <c r="W445" s="35" t="s">
        <v>66</v>
      </c>
      <c r="X445" s="647">
        <v>0</v>
      </c>
      <c r="Y445" s="648">
        <f>IFERROR(IF(X445="",0,CEILING((X445/$H445),1)*$H445),"")</f>
        <v>0</v>
      </c>
      <c r="Z445" s="36" t="str">
        <f>IFERROR(IF(Y445=0,"",ROUNDUP(Y445/H445,0)*0.02175),"")</f>
        <v/>
      </c>
      <c r="AA445" s="56"/>
      <c r="AB445" s="57"/>
      <c r="AC445" s="537" t="s">
        <v>726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727</v>
      </c>
      <c r="B446" s="54" t="s">
        <v>728</v>
      </c>
      <c r="C446" s="31">
        <v>4301020179</v>
      </c>
      <c r="D446" s="651">
        <v>4607091384178</v>
      </c>
      <c r="E446" s="652"/>
      <c r="F446" s="646">
        <v>0.4</v>
      </c>
      <c r="G446" s="32">
        <v>10</v>
      </c>
      <c r="H446" s="646">
        <v>4</v>
      </c>
      <c r="I446" s="646">
        <v>4.1900000000000004</v>
      </c>
      <c r="J446" s="32">
        <v>132</v>
      </c>
      <c r="K446" s="32" t="s">
        <v>122</v>
      </c>
      <c r="L446" s="32"/>
      <c r="M446" s="33" t="s">
        <v>114</v>
      </c>
      <c r="N446" s="33"/>
      <c r="O446" s="32">
        <v>50</v>
      </c>
      <c r="P446" s="8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54"/>
      <c r="R446" s="654"/>
      <c r="S446" s="654"/>
      <c r="T446" s="655"/>
      <c r="U446" s="34"/>
      <c r="V446" s="34"/>
      <c r="W446" s="35" t="s">
        <v>66</v>
      </c>
      <c r="X446" s="647">
        <v>0</v>
      </c>
      <c r="Y446" s="648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39" t="s">
        <v>729</v>
      </c>
      <c r="AG446" s="64"/>
      <c r="AJ446" s="68"/>
      <c r="AK446" s="68">
        <v>0</v>
      </c>
      <c r="BB446" s="54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68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9"/>
      <c r="P447" s="663" t="s">
        <v>71</v>
      </c>
      <c r="Q447" s="664"/>
      <c r="R447" s="664"/>
      <c r="S447" s="664"/>
      <c r="T447" s="664"/>
      <c r="U447" s="664"/>
      <c r="V447" s="665"/>
      <c r="W447" s="37" t="s">
        <v>72</v>
      </c>
      <c r="X447" s="649">
        <f>IFERROR(X444/H444,"0")+IFERROR(X445/H445,"0")+IFERROR(X446/H446,"0")</f>
        <v>16</v>
      </c>
      <c r="Y447" s="649">
        <f>IFERROR(Y444/H444,"0")+IFERROR(Y445/H445,"0")+IFERROR(Y446/H446,"0")</f>
        <v>16</v>
      </c>
      <c r="Z447" s="649">
        <f>IFERROR(IF(Z444="",0,Z444),"0")+IFERROR(IF(Z445="",0,Z445),"0")+IFERROR(IF(Z446="",0,Z446),"0")</f>
        <v>0.34799999999999998</v>
      </c>
      <c r="AA447" s="650"/>
      <c r="AB447" s="650"/>
      <c r="AC447" s="650"/>
    </row>
    <row r="448" spans="1:68" x14ac:dyDescent="0.2">
      <c r="A448" s="660"/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9"/>
      <c r="P448" s="663" t="s">
        <v>71</v>
      </c>
      <c r="Q448" s="664"/>
      <c r="R448" s="664"/>
      <c r="S448" s="664"/>
      <c r="T448" s="664"/>
      <c r="U448" s="664"/>
      <c r="V448" s="665"/>
      <c r="W448" s="37" t="s">
        <v>66</v>
      </c>
      <c r="X448" s="649">
        <f>IFERROR(SUM(X444:X446),"0")</f>
        <v>240</v>
      </c>
      <c r="Y448" s="649">
        <f>IFERROR(SUM(Y444:Y446),"0")</f>
        <v>240</v>
      </c>
      <c r="Z448" s="37"/>
      <c r="AA448" s="650"/>
      <c r="AB448" s="650"/>
      <c r="AC448" s="650"/>
    </row>
    <row r="449" spans="1:68" ht="14.25" hidden="1" customHeight="1" x14ac:dyDescent="0.25">
      <c r="A449" s="659" t="s">
        <v>73</v>
      </c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0"/>
      <c r="P449" s="660"/>
      <c r="Q449" s="660"/>
      <c r="R449" s="660"/>
      <c r="S449" s="660"/>
      <c r="T449" s="660"/>
      <c r="U449" s="660"/>
      <c r="V449" s="660"/>
      <c r="W449" s="660"/>
      <c r="X449" s="660"/>
      <c r="Y449" s="660"/>
      <c r="Z449" s="660"/>
      <c r="AA449" s="643"/>
      <c r="AB449" s="643"/>
      <c r="AC449" s="643"/>
    </row>
    <row r="450" spans="1:68" ht="27" hidden="1" customHeight="1" x14ac:dyDescent="0.25">
      <c r="A450" s="54" t="s">
        <v>730</v>
      </c>
      <c r="B450" s="54" t="s">
        <v>731</v>
      </c>
      <c r="C450" s="31">
        <v>4301051903</v>
      </c>
      <c r="D450" s="651">
        <v>4607091383928</v>
      </c>
      <c r="E450" s="652"/>
      <c r="F450" s="646">
        <v>1.5</v>
      </c>
      <c r="G450" s="32">
        <v>6</v>
      </c>
      <c r="H450" s="646">
        <v>9</v>
      </c>
      <c r="I450" s="646">
        <v>9.5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54"/>
      <c r="R450" s="654"/>
      <c r="S450" s="654"/>
      <c r="T450" s="655"/>
      <c r="U450" s="34"/>
      <c r="V450" s="34"/>
      <c r="W450" s="35" t="s">
        <v>66</v>
      </c>
      <c r="X450" s="647">
        <v>0</v>
      </c>
      <c r="Y450" s="648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733</v>
      </c>
      <c r="B451" s="54" t="s">
        <v>734</v>
      </c>
      <c r="C451" s="31">
        <v>4301051897</v>
      </c>
      <c r="D451" s="651">
        <v>4607091384260</v>
      </c>
      <c r="E451" s="652"/>
      <c r="F451" s="646">
        <v>1.5</v>
      </c>
      <c r="G451" s="32">
        <v>6</v>
      </c>
      <c r="H451" s="646">
        <v>9</v>
      </c>
      <c r="I451" s="646">
        <v>9.4939999999999998</v>
      </c>
      <c r="J451" s="32">
        <v>64</v>
      </c>
      <c r="K451" s="32" t="s">
        <v>113</v>
      </c>
      <c r="L451" s="32"/>
      <c r="M451" s="33" t="s">
        <v>77</v>
      </c>
      <c r="N451" s="33"/>
      <c r="O451" s="32">
        <v>40</v>
      </c>
      <c r="P451" s="84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54"/>
      <c r="R451" s="654"/>
      <c r="S451" s="654"/>
      <c r="T451" s="655"/>
      <c r="U451" s="34"/>
      <c r="V451" s="34"/>
      <c r="W451" s="35" t="s">
        <v>66</v>
      </c>
      <c r="X451" s="647">
        <v>0</v>
      </c>
      <c r="Y451" s="64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43" t="s">
        <v>735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736</v>
      </c>
      <c r="B452" s="54" t="s">
        <v>737</v>
      </c>
      <c r="C452" s="31">
        <v>4301052220</v>
      </c>
      <c r="D452" s="651">
        <v>4680115889538</v>
      </c>
      <c r="E452" s="652"/>
      <c r="F452" s="646">
        <v>0.8</v>
      </c>
      <c r="G452" s="32">
        <v>6</v>
      </c>
      <c r="H452" s="646">
        <v>4.8</v>
      </c>
      <c r="I452" s="646">
        <v>5.2160000000000002</v>
      </c>
      <c r="J452" s="32">
        <v>104</v>
      </c>
      <c r="K452" s="32" t="s">
        <v>113</v>
      </c>
      <c r="L452" s="32"/>
      <c r="M452" s="33" t="s">
        <v>77</v>
      </c>
      <c r="N452" s="33"/>
      <c r="O452" s="32">
        <v>45</v>
      </c>
      <c r="P452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54"/>
      <c r="R452" s="654"/>
      <c r="S452" s="654"/>
      <c r="T452" s="655"/>
      <c r="U452" s="34"/>
      <c r="V452" s="34"/>
      <c r="W452" s="35" t="s">
        <v>66</v>
      </c>
      <c r="X452" s="647">
        <v>0</v>
      </c>
      <c r="Y452" s="648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45" t="s">
        <v>738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68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9"/>
      <c r="P453" s="663" t="s">
        <v>71</v>
      </c>
      <c r="Q453" s="664"/>
      <c r="R453" s="664"/>
      <c r="S453" s="664"/>
      <c r="T453" s="664"/>
      <c r="U453" s="664"/>
      <c r="V453" s="665"/>
      <c r="W453" s="37" t="s">
        <v>72</v>
      </c>
      <c r="X453" s="649">
        <f>IFERROR(X450/H450,"0")+IFERROR(X451/H451,"0")+IFERROR(X452/H452,"0")</f>
        <v>0</v>
      </c>
      <c r="Y453" s="649">
        <f>IFERROR(Y450/H450,"0")+IFERROR(Y451/H451,"0")+IFERROR(Y452/H452,"0")</f>
        <v>0</v>
      </c>
      <c r="Z453" s="649">
        <f>IFERROR(IF(Z450="",0,Z450),"0")+IFERROR(IF(Z451="",0,Z451),"0")+IFERROR(IF(Z452="",0,Z452),"0")</f>
        <v>0</v>
      </c>
      <c r="AA453" s="650"/>
      <c r="AB453" s="650"/>
      <c r="AC453" s="650"/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9"/>
      <c r="P454" s="663" t="s">
        <v>71</v>
      </c>
      <c r="Q454" s="664"/>
      <c r="R454" s="664"/>
      <c r="S454" s="664"/>
      <c r="T454" s="664"/>
      <c r="U454" s="664"/>
      <c r="V454" s="665"/>
      <c r="W454" s="37" t="s">
        <v>66</v>
      </c>
      <c r="X454" s="649">
        <f>IFERROR(SUM(X450:X452),"0")</f>
        <v>0</v>
      </c>
      <c r="Y454" s="649">
        <f>IFERROR(SUM(Y450:Y452),"0")</f>
        <v>0</v>
      </c>
      <c r="Z454" s="37"/>
      <c r="AA454" s="650"/>
      <c r="AB454" s="650"/>
      <c r="AC454" s="650"/>
    </row>
    <row r="455" spans="1:68" ht="14.25" hidden="1" customHeight="1" x14ac:dyDescent="0.25">
      <c r="A455" s="659" t="s">
        <v>166</v>
      </c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0"/>
      <c r="P455" s="660"/>
      <c r="Q455" s="660"/>
      <c r="R455" s="660"/>
      <c r="S455" s="660"/>
      <c r="T455" s="660"/>
      <c r="U455" s="660"/>
      <c r="V455" s="660"/>
      <c r="W455" s="660"/>
      <c r="X455" s="660"/>
      <c r="Y455" s="660"/>
      <c r="Z455" s="660"/>
      <c r="AA455" s="643"/>
      <c r="AB455" s="643"/>
      <c r="AC455" s="643"/>
    </row>
    <row r="456" spans="1:68" ht="27" hidden="1" customHeight="1" x14ac:dyDescent="0.25">
      <c r="A456" s="54" t="s">
        <v>739</v>
      </c>
      <c r="B456" s="54" t="s">
        <v>740</v>
      </c>
      <c r="C456" s="31">
        <v>4301060537</v>
      </c>
      <c r="D456" s="651">
        <v>4680115889545</v>
      </c>
      <c r="E456" s="652"/>
      <c r="F456" s="646">
        <v>0.7</v>
      </c>
      <c r="G456" s="32">
        <v>6</v>
      </c>
      <c r="H456" s="646">
        <v>4.2</v>
      </c>
      <c r="I456" s="646">
        <v>4.6159999999999997</v>
      </c>
      <c r="J456" s="32">
        <v>104</v>
      </c>
      <c r="K456" s="32" t="s">
        <v>113</v>
      </c>
      <c r="L456" s="32"/>
      <c r="M456" s="33" t="s">
        <v>77</v>
      </c>
      <c r="N456" s="33"/>
      <c r="O456" s="32">
        <v>30</v>
      </c>
      <c r="P456" s="77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54"/>
      <c r="R456" s="654"/>
      <c r="S456" s="654"/>
      <c r="T456" s="655"/>
      <c r="U456" s="34"/>
      <c r="V456" s="34"/>
      <c r="W456" s="35" t="s">
        <v>66</v>
      </c>
      <c r="X456" s="647">
        <v>0</v>
      </c>
      <c r="Y456" s="648">
        <f>IFERROR(IF(X456="",0,CEILING((X456/$H456),1)*$H456),"")</f>
        <v>0</v>
      </c>
      <c r="Z456" s="36" t="str">
        <f>IFERROR(IF(Y456=0,"",ROUNDUP(Y456/H456,0)*0.01196),"")</f>
        <v/>
      </c>
      <c r="AA456" s="56"/>
      <c r="AB456" s="57"/>
      <c r="AC456" s="547" t="s">
        <v>741</v>
      </c>
      <c r="AG456" s="64"/>
      <c r="AJ456" s="68"/>
      <c r="AK456" s="68">
        <v>0</v>
      </c>
      <c r="BB456" s="548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16.5" hidden="1" customHeight="1" x14ac:dyDescent="0.25">
      <c r="A457" s="54" t="s">
        <v>742</v>
      </c>
      <c r="B457" s="54" t="s">
        <v>743</v>
      </c>
      <c r="C457" s="31">
        <v>4301060524</v>
      </c>
      <c r="D457" s="651">
        <v>4607091384673</v>
      </c>
      <c r="E457" s="652"/>
      <c r="F457" s="646">
        <v>1.5</v>
      </c>
      <c r="G457" s="32">
        <v>6</v>
      </c>
      <c r="H457" s="646">
        <v>9</v>
      </c>
      <c r="I457" s="646">
        <v>9.4939999999999998</v>
      </c>
      <c r="J457" s="32">
        <v>64</v>
      </c>
      <c r="K457" s="32" t="s">
        <v>113</v>
      </c>
      <c r="L457" s="32"/>
      <c r="M457" s="33" t="s">
        <v>77</v>
      </c>
      <c r="N457" s="33"/>
      <c r="O457" s="32">
        <v>40</v>
      </c>
      <c r="P457" s="68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54"/>
      <c r="R457" s="654"/>
      <c r="S457" s="654"/>
      <c r="T457" s="655"/>
      <c r="U457" s="34"/>
      <c r="V457" s="34"/>
      <c r="W457" s="35" t="s">
        <v>66</v>
      </c>
      <c r="X457" s="647">
        <v>0</v>
      </c>
      <c r="Y457" s="648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49" t="s">
        <v>744</v>
      </c>
      <c r="AG457" s="64"/>
      <c r="AJ457" s="68"/>
      <c r="AK457" s="68">
        <v>0</v>
      </c>
      <c r="BB457" s="550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68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9"/>
      <c r="P458" s="663" t="s">
        <v>71</v>
      </c>
      <c r="Q458" s="664"/>
      <c r="R458" s="664"/>
      <c r="S458" s="664"/>
      <c r="T458" s="664"/>
      <c r="U458" s="664"/>
      <c r="V458" s="665"/>
      <c r="W458" s="37" t="s">
        <v>72</v>
      </c>
      <c r="X458" s="649">
        <f>IFERROR(X456/H456,"0")+IFERROR(X457/H457,"0")</f>
        <v>0</v>
      </c>
      <c r="Y458" s="649">
        <f>IFERROR(Y456/H456,"0")+IFERROR(Y457/H457,"0")</f>
        <v>0</v>
      </c>
      <c r="Z458" s="649">
        <f>IFERROR(IF(Z456="",0,Z456),"0")+IFERROR(IF(Z457="",0,Z457),"0")</f>
        <v>0</v>
      </c>
      <c r="AA458" s="650"/>
      <c r="AB458" s="650"/>
      <c r="AC458" s="650"/>
    </row>
    <row r="459" spans="1:68" hidden="1" x14ac:dyDescent="0.2">
      <c r="A459" s="660"/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9"/>
      <c r="P459" s="663" t="s">
        <v>71</v>
      </c>
      <c r="Q459" s="664"/>
      <c r="R459" s="664"/>
      <c r="S459" s="664"/>
      <c r="T459" s="664"/>
      <c r="U459" s="664"/>
      <c r="V459" s="665"/>
      <c r="W459" s="37" t="s">
        <v>66</v>
      </c>
      <c r="X459" s="649">
        <f>IFERROR(SUM(X456:X457),"0")</f>
        <v>0</v>
      </c>
      <c r="Y459" s="649">
        <f>IFERROR(SUM(Y456:Y457),"0")</f>
        <v>0</v>
      </c>
      <c r="Z459" s="37"/>
      <c r="AA459" s="650"/>
      <c r="AB459" s="650"/>
      <c r="AC459" s="650"/>
    </row>
    <row r="460" spans="1:68" ht="16.5" hidden="1" customHeight="1" x14ac:dyDescent="0.25">
      <c r="A460" s="672" t="s">
        <v>745</v>
      </c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0"/>
      <c r="P460" s="660"/>
      <c r="Q460" s="660"/>
      <c r="R460" s="660"/>
      <c r="S460" s="660"/>
      <c r="T460" s="660"/>
      <c r="U460" s="660"/>
      <c r="V460" s="660"/>
      <c r="W460" s="660"/>
      <c r="X460" s="660"/>
      <c r="Y460" s="660"/>
      <c r="Z460" s="660"/>
      <c r="AA460" s="642"/>
      <c r="AB460" s="642"/>
      <c r="AC460" s="642"/>
    </row>
    <row r="461" spans="1:68" ht="14.25" hidden="1" customHeight="1" x14ac:dyDescent="0.25">
      <c r="A461" s="659" t="s">
        <v>110</v>
      </c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0"/>
      <c r="P461" s="660"/>
      <c r="Q461" s="660"/>
      <c r="R461" s="660"/>
      <c r="S461" s="660"/>
      <c r="T461" s="660"/>
      <c r="U461" s="660"/>
      <c r="V461" s="660"/>
      <c r="W461" s="660"/>
      <c r="X461" s="660"/>
      <c r="Y461" s="660"/>
      <c r="Z461" s="660"/>
      <c r="AA461" s="643"/>
      <c r="AB461" s="643"/>
      <c r="AC461" s="643"/>
    </row>
    <row r="462" spans="1:68" ht="27" hidden="1" customHeight="1" x14ac:dyDescent="0.25">
      <c r="A462" s="54" t="s">
        <v>746</v>
      </c>
      <c r="B462" s="54" t="s">
        <v>747</v>
      </c>
      <c r="C462" s="31">
        <v>4301011875</v>
      </c>
      <c r="D462" s="651">
        <v>4680115884885</v>
      </c>
      <c r="E462" s="652"/>
      <c r="F462" s="646">
        <v>0.8</v>
      </c>
      <c r="G462" s="32">
        <v>15</v>
      </c>
      <c r="H462" s="646">
        <v>12</v>
      </c>
      <c r="I462" s="646">
        <v>12.41</v>
      </c>
      <c r="J462" s="32">
        <v>64</v>
      </c>
      <c r="K462" s="32" t="s">
        <v>113</v>
      </c>
      <c r="L462" s="32"/>
      <c r="M462" s="33" t="s">
        <v>65</v>
      </c>
      <c r="N462" s="33"/>
      <c r="O462" s="32">
        <v>60</v>
      </c>
      <c r="P462" s="9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54"/>
      <c r="R462" s="654"/>
      <c r="S462" s="654"/>
      <c r="T462" s="655"/>
      <c r="U462" s="34"/>
      <c r="V462" s="34"/>
      <c r="W462" s="35" t="s">
        <v>66</v>
      </c>
      <c r="X462" s="647">
        <v>0</v>
      </c>
      <c r="Y462" s="6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51" t="s">
        <v>748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37.5" hidden="1" customHeight="1" x14ac:dyDescent="0.25">
      <c r="A463" s="54" t="s">
        <v>749</v>
      </c>
      <c r="B463" s="54" t="s">
        <v>750</v>
      </c>
      <c r="C463" s="31">
        <v>4301011871</v>
      </c>
      <c r="D463" s="651">
        <v>4680115884908</v>
      </c>
      <c r="E463" s="652"/>
      <c r="F463" s="646">
        <v>0.4</v>
      </c>
      <c r="G463" s="32">
        <v>10</v>
      </c>
      <c r="H463" s="646">
        <v>4</v>
      </c>
      <c r="I463" s="646">
        <v>4.1900000000000004</v>
      </c>
      <c r="J463" s="32">
        <v>132</v>
      </c>
      <c r="K463" s="32" t="s">
        <v>122</v>
      </c>
      <c r="L463" s="32"/>
      <c r="M463" s="33" t="s">
        <v>65</v>
      </c>
      <c r="N463" s="33"/>
      <c r="O463" s="32">
        <v>60</v>
      </c>
      <c r="P463" s="9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54"/>
      <c r="R463" s="654"/>
      <c r="S463" s="654"/>
      <c r="T463" s="655"/>
      <c r="U463" s="34"/>
      <c r="V463" s="34"/>
      <c r="W463" s="35" t="s">
        <v>66</v>
      </c>
      <c r="X463" s="647">
        <v>0</v>
      </c>
      <c r="Y463" s="6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53" t="s">
        <v>748</v>
      </c>
      <c r="AG463" s="64"/>
      <c r="AJ463" s="68"/>
      <c r="AK463" s="68">
        <v>0</v>
      </c>
      <c r="BB463" s="55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68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9"/>
      <c r="P464" s="663" t="s">
        <v>71</v>
      </c>
      <c r="Q464" s="664"/>
      <c r="R464" s="664"/>
      <c r="S464" s="664"/>
      <c r="T464" s="664"/>
      <c r="U464" s="664"/>
      <c r="V464" s="665"/>
      <c r="W464" s="37" t="s">
        <v>72</v>
      </c>
      <c r="X464" s="649">
        <f>IFERROR(X462/H462,"0")+IFERROR(X463/H463,"0")</f>
        <v>0</v>
      </c>
      <c r="Y464" s="649">
        <f>IFERROR(Y462/H462,"0")+IFERROR(Y463/H463,"0")</f>
        <v>0</v>
      </c>
      <c r="Z464" s="649">
        <f>IFERROR(IF(Z462="",0,Z462),"0")+IFERROR(IF(Z463="",0,Z463),"0")</f>
        <v>0</v>
      </c>
      <c r="AA464" s="650"/>
      <c r="AB464" s="650"/>
      <c r="AC464" s="650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9"/>
      <c r="P465" s="663" t="s">
        <v>71</v>
      </c>
      <c r="Q465" s="664"/>
      <c r="R465" s="664"/>
      <c r="S465" s="664"/>
      <c r="T465" s="664"/>
      <c r="U465" s="664"/>
      <c r="V465" s="665"/>
      <c r="W465" s="37" t="s">
        <v>66</v>
      </c>
      <c r="X465" s="649">
        <f>IFERROR(SUM(X462:X463),"0")</f>
        <v>0</v>
      </c>
      <c r="Y465" s="649">
        <f>IFERROR(SUM(Y462:Y463),"0")</f>
        <v>0</v>
      </c>
      <c r="Z465" s="37"/>
      <c r="AA465" s="650"/>
      <c r="AB465" s="650"/>
      <c r="AC465" s="650"/>
    </row>
    <row r="466" spans="1:68" ht="14.25" hidden="1" customHeight="1" x14ac:dyDescent="0.25">
      <c r="A466" s="659" t="s">
        <v>61</v>
      </c>
      <c r="B466" s="660"/>
      <c r="C466" s="660"/>
      <c r="D466" s="660"/>
      <c r="E466" s="660"/>
      <c r="F466" s="660"/>
      <c r="G466" s="660"/>
      <c r="H466" s="660"/>
      <c r="I466" s="660"/>
      <c r="J466" s="660"/>
      <c r="K466" s="660"/>
      <c r="L466" s="660"/>
      <c r="M466" s="660"/>
      <c r="N466" s="660"/>
      <c r="O466" s="660"/>
      <c r="P466" s="660"/>
      <c r="Q466" s="660"/>
      <c r="R466" s="660"/>
      <c r="S466" s="660"/>
      <c r="T466" s="660"/>
      <c r="U466" s="660"/>
      <c r="V466" s="660"/>
      <c r="W466" s="660"/>
      <c r="X466" s="660"/>
      <c r="Y466" s="660"/>
      <c r="Z466" s="660"/>
      <c r="AA466" s="643"/>
      <c r="AB466" s="643"/>
      <c r="AC466" s="643"/>
    </row>
    <row r="467" spans="1:68" ht="27" hidden="1" customHeight="1" x14ac:dyDescent="0.25">
      <c r="A467" s="54" t="s">
        <v>751</v>
      </c>
      <c r="B467" s="54" t="s">
        <v>752</v>
      </c>
      <c r="C467" s="31">
        <v>4301031457</v>
      </c>
      <c r="D467" s="651">
        <v>4607091384802</v>
      </c>
      <c r="E467" s="652"/>
      <c r="F467" s="646">
        <v>0.7</v>
      </c>
      <c r="G467" s="32">
        <v>6</v>
      </c>
      <c r="H467" s="646">
        <v>4.2</v>
      </c>
      <c r="I467" s="646">
        <v>4.45</v>
      </c>
      <c r="J467" s="32">
        <v>132</v>
      </c>
      <c r="K467" s="32" t="s">
        <v>122</v>
      </c>
      <c r="L467" s="32"/>
      <c r="M467" s="33" t="s">
        <v>65</v>
      </c>
      <c r="N467" s="33"/>
      <c r="O467" s="32">
        <v>50</v>
      </c>
      <c r="P467" s="7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54"/>
      <c r="R467" s="654"/>
      <c r="S467" s="654"/>
      <c r="T467" s="655"/>
      <c r="U467" s="34"/>
      <c r="V467" s="34"/>
      <c r="W467" s="35" t="s">
        <v>66</v>
      </c>
      <c r="X467" s="647">
        <v>0</v>
      </c>
      <c r="Y467" s="648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55" t="s">
        <v>753</v>
      </c>
      <c r="AG467" s="64"/>
      <c r="AJ467" s="68"/>
      <c r="AK467" s="68">
        <v>0</v>
      </c>
      <c r="BB467" s="55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68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9"/>
      <c r="P468" s="663" t="s">
        <v>71</v>
      </c>
      <c r="Q468" s="664"/>
      <c r="R468" s="664"/>
      <c r="S468" s="664"/>
      <c r="T468" s="664"/>
      <c r="U468" s="664"/>
      <c r="V468" s="665"/>
      <c r="W468" s="37" t="s">
        <v>72</v>
      </c>
      <c r="X468" s="649">
        <f>IFERROR(X467/H467,"0")</f>
        <v>0</v>
      </c>
      <c r="Y468" s="649">
        <f>IFERROR(Y467/H467,"0")</f>
        <v>0</v>
      </c>
      <c r="Z468" s="649">
        <f>IFERROR(IF(Z467="",0,Z467),"0")</f>
        <v>0</v>
      </c>
      <c r="AA468" s="650"/>
      <c r="AB468" s="650"/>
      <c r="AC468" s="650"/>
    </row>
    <row r="469" spans="1:68" hidden="1" x14ac:dyDescent="0.2">
      <c r="A469" s="660"/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9"/>
      <c r="P469" s="663" t="s">
        <v>71</v>
      </c>
      <c r="Q469" s="664"/>
      <c r="R469" s="664"/>
      <c r="S469" s="664"/>
      <c r="T469" s="664"/>
      <c r="U469" s="664"/>
      <c r="V469" s="665"/>
      <c r="W469" s="37" t="s">
        <v>66</v>
      </c>
      <c r="X469" s="649">
        <f>IFERROR(SUM(X467:X467),"0")</f>
        <v>0</v>
      </c>
      <c r="Y469" s="649">
        <f>IFERROR(SUM(Y467:Y467),"0")</f>
        <v>0</v>
      </c>
      <c r="Z469" s="37"/>
      <c r="AA469" s="650"/>
      <c r="AB469" s="650"/>
      <c r="AC469" s="650"/>
    </row>
    <row r="470" spans="1:68" ht="14.25" hidden="1" customHeight="1" x14ac:dyDescent="0.25">
      <c r="A470" s="659" t="s">
        <v>73</v>
      </c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0"/>
      <c r="P470" s="660"/>
      <c r="Q470" s="660"/>
      <c r="R470" s="660"/>
      <c r="S470" s="660"/>
      <c r="T470" s="660"/>
      <c r="U470" s="660"/>
      <c r="V470" s="660"/>
      <c r="W470" s="660"/>
      <c r="X470" s="660"/>
      <c r="Y470" s="660"/>
      <c r="Z470" s="660"/>
      <c r="AA470" s="643"/>
      <c r="AB470" s="643"/>
      <c r="AC470" s="643"/>
    </row>
    <row r="471" spans="1:68" ht="27" customHeight="1" x14ac:dyDescent="0.25">
      <c r="A471" s="54" t="s">
        <v>754</v>
      </c>
      <c r="B471" s="54" t="s">
        <v>755</v>
      </c>
      <c r="C471" s="31">
        <v>4301051899</v>
      </c>
      <c r="D471" s="651">
        <v>4607091384246</v>
      </c>
      <c r="E471" s="652"/>
      <c r="F471" s="646">
        <v>1.5</v>
      </c>
      <c r="G471" s="32">
        <v>6</v>
      </c>
      <c r="H471" s="646">
        <v>9</v>
      </c>
      <c r="I471" s="646">
        <v>9.4939999999999998</v>
      </c>
      <c r="J471" s="32">
        <v>64</v>
      </c>
      <c r="K471" s="32" t="s">
        <v>113</v>
      </c>
      <c r="L471" s="32"/>
      <c r="M471" s="33" t="s">
        <v>77</v>
      </c>
      <c r="N471" s="33"/>
      <c r="O471" s="32">
        <v>40</v>
      </c>
      <c r="P471" s="7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54"/>
      <c r="R471" s="654"/>
      <c r="S471" s="654"/>
      <c r="T471" s="655"/>
      <c r="U471" s="34"/>
      <c r="V471" s="34"/>
      <c r="W471" s="35" t="s">
        <v>66</v>
      </c>
      <c r="X471" s="647">
        <v>777</v>
      </c>
      <c r="Y471" s="648">
        <f>IFERROR(IF(X471="",0,CEILING((X471/$H471),1)*$H471),"")</f>
        <v>783</v>
      </c>
      <c r="Z471" s="36">
        <f>IFERROR(IF(Y471=0,"",ROUNDUP(Y471/H471,0)*0.01898),"")</f>
        <v>1.65126</v>
      </c>
      <c r="AA471" s="56"/>
      <c r="AB471" s="57"/>
      <c r="AC471" s="557" t="s">
        <v>756</v>
      </c>
      <c r="AG471" s="64"/>
      <c r="AJ471" s="68"/>
      <c r="AK471" s="68">
        <v>0</v>
      </c>
      <c r="BB471" s="558" t="s">
        <v>1</v>
      </c>
      <c r="BM471" s="64">
        <f>IFERROR(X471*I471/H471,"0")</f>
        <v>819.6486666666666</v>
      </c>
      <c r="BN471" s="64">
        <f>IFERROR(Y471*I471/H471,"0")</f>
        <v>825.97799999999995</v>
      </c>
      <c r="BO471" s="64">
        <f>IFERROR(1/J471*(X471/H471),"0")</f>
        <v>1.3489583333333333</v>
      </c>
      <c r="BP471" s="64">
        <f>IFERROR(1/J471*(Y471/H471),"0")</f>
        <v>1.359375</v>
      </c>
    </row>
    <row r="472" spans="1:68" ht="27" customHeight="1" x14ac:dyDescent="0.25">
      <c r="A472" s="54" t="s">
        <v>757</v>
      </c>
      <c r="B472" s="54" t="s">
        <v>758</v>
      </c>
      <c r="C472" s="31">
        <v>4301051660</v>
      </c>
      <c r="D472" s="651">
        <v>4607091384253</v>
      </c>
      <c r="E472" s="652"/>
      <c r="F472" s="646">
        <v>0.4</v>
      </c>
      <c r="G472" s="32">
        <v>6</v>
      </c>
      <c r="H472" s="646">
        <v>2.4</v>
      </c>
      <c r="I472" s="646">
        <v>2.6640000000000001</v>
      </c>
      <c r="J472" s="32">
        <v>182</v>
      </c>
      <c r="K472" s="32" t="s">
        <v>76</v>
      </c>
      <c r="L472" s="32"/>
      <c r="M472" s="33" t="s">
        <v>77</v>
      </c>
      <c r="N472" s="33"/>
      <c r="O472" s="32">
        <v>40</v>
      </c>
      <c r="P472" s="8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54"/>
      <c r="R472" s="654"/>
      <c r="S472" s="654"/>
      <c r="T472" s="655"/>
      <c r="U472" s="34"/>
      <c r="V472" s="34"/>
      <c r="W472" s="35" t="s">
        <v>66</v>
      </c>
      <c r="X472" s="647">
        <v>52</v>
      </c>
      <c r="Y472" s="648">
        <f>IFERROR(IF(X472="",0,CEILING((X472/$H472),1)*$H472),"")</f>
        <v>52.8</v>
      </c>
      <c r="Z472" s="36">
        <f>IFERROR(IF(Y472=0,"",ROUNDUP(Y472/H472,0)*0.00651),"")</f>
        <v>0.14322000000000001</v>
      </c>
      <c r="AA472" s="56"/>
      <c r="AB472" s="57"/>
      <c r="AC472" s="559" t="s">
        <v>756</v>
      </c>
      <c r="AG472" s="64"/>
      <c r="AJ472" s="68"/>
      <c r="AK472" s="68">
        <v>0</v>
      </c>
      <c r="BB472" s="560" t="s">
        <v>1</v>
      </c>
      <c r="BM472" s="64">
        <f>IFERROR(X472*I472/H472,"0")</f>
        <v>57.720000000000013</v>
      </c>
      <c r="BN472" s="64">
        <f>IFERROR(Y472*I472/H472,"0")</f>
        <v>58.608000000000004</v>
      </c>
      <c r="BO472" s="64">
        <f>IFERROR(1/J472*(X472/H472),"0")</f>
        <v>0.11904761904761907</v>
      </c>
      <c r="BP472" s="64">
        <f>IFERROR(1/J472*(Y472/H472),"0")</f>
        <v>0.12087912087912089</v>
      </c>
    </row>
    <row r="473" spans="1:68" ht="27" hidden="1" customHeight="1" x14ac:dyDescent="0.25">
      <c r="A473" s="54" t="s">
        <v>757</v>
      </c>
      <c r="B473" s="54" t="s">
        <v>759</v>
      </c>
      <c r="C473" s="31">
        <v>4301052069</v>
      </c>
      <c r="D473" s="651">
        <v>4607091384253</v>
      </c>
      <c r="E473" s="652"/>
      <c r="F473" s="646">
        <v>0.4</v>
      </c>
      <c r="G473" s="32">
        <v>6</v>
      </c>
      <c r="H473" s="646">
        <v>2.4</v>
      </c>
      <c r="I473" s="646">
        <v>2.6640000000000001</v>
      </c>
      <c r="J473" s="32">
        <v>182</v>
      </c>
      <c r="K473" s="32" t="s">
        <v>76</v>
      </c>
      <c r="L473" s="32"/>
      <c r="M473" s="33" t="s">
        <v>77</v>
      </c>
      <c r="N473" s="33"/>
      <c r="O473" s="32">
        <v>40</v>
      </c>
      <c r="P473" s="7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54"/>
      <c r="R473" s="654"/>
      <c r="S473" s="654"/>
      <c r="T473" s="655"/>
      <c r="U473" s="34"/>
      <c r="V473" s="34"/>
      <c r="W473" s="35" t="s">
        <v>66</v>
      </c>
      <c r="X473" s="647">
        <v>0</v>
      </c>
      <c r="Y473" s="648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61" t="s">
        <v>760</v>
      </c>
      <c r="AG473" s="64"/>
      <c r="AJ473" s="68"/>
      <c r="AK473" s="68">
        <v>0</v>
      </c>
      <c r="BB473" s="56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68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9"/>
      <c r="P474" s="663" t="s">
        <v>71</v>
      </c>
      <c r="Q474" s="664"/>
      <c r="R474" s="664"/>
      <c r="S474" s="664"/>
      <c r="T474" s="664"/>
      <c r="U474" s="664"/>
      <c r="V474" s="665"/>
      <c r="W474" s="37" t="s">
        <v>72</v>
      </c>
      <c r="X474" s="649">
        <f>IFERROR(X471/H471,"0")+IFERROR(X472/H472,"0")+IFERROR(X473/H473,"0")</f>
        <v>108</v>
      </c>
      <c r="Y474" s="649">
        <f>IFERROR(Y471/H471,"0")+IFERROR(Y472/H472,"0")+IFERROR(Y473/H473,"0")</f>
        <v>109</v>
      </c>
      <c r="Z474" s="649">
        <f>IFERROR(IF(Z471="",0,Z471),"0")+IFERROR(IF(Z472="",0,Z472),"0")+IFERROR(IF(Z473="",0,Z473),"0")</f>
        <v>1.7944800000000001</v>
      </c>
      <c r="AA474" s="650"/>
      <c r="AB474" s="650"/>
      <c r="AC474" s="650"/>
    </row>
    <row r="475" spans="1:68" x14ac:dyDescent="0.2">
      <c r="A475" s="660"/>
      <c r="B475" s="660"/>
      <c r="C475" s="660"/>
      <c r="D475" s="660"/>
      <c r="E475" s="660"/>
      <c r="F475" s="660"/>
      <c r="G475" s="660"/>
      <c r="H475" s="660"/>
      <c r="I475" s="660"/>
      <c r="J475" s="660"/>
      <c r="K475" s="660"/>
      <c r="L475" s="660"/>
      <c r="M475" s="660"/>
      <c r="N475" s="660"/>
      <c r="O475" s="669"/>
      <c r="P475" s="663" t="s">
        <v>71</v>
      </c>
      <c r="Q475" s="664"/>
      <c r="R475" s="664"/>
      <c r="S475" s="664"/>
      <c r="T475" s="664"/>
      <c r="U475" s="664"/>
      <c r="V475" s="665"/>
      <c r="W475" s="37" t="s">
        <v>66</v>
      </c>
      <c r="X475" s="649">
        <f>IFERROR(SUM(X471:X473),"0")</f>
        <v>829</v>
      </c>
      <c r="Y475" s="649">
        <f>IFERROR(SUM(Y471:Y473),"0")</f>
        <v>835.8</v>
      </c>
      <c r="Z475" s="37"/>
      <c r="AA475" s="650"/>
      <c r="AB475" s="650"/>
      <c r="AC475" s="650"/>
    </row>
    <row r="476" spans="1:68" ht="27.75" hidden="1" customHeight="1" x14ac:dyDescent="0.2">
      <c r="A476" s="661" t="s">
        <v>761</v>
      </c>
      <c r="B476" s="662"/>
      <c r="C476" s="662"/>
      <c r="D476" s="662"/>
      <c r="E476" s="662"/>
      <c r="F476" s="662"/>
      <c r="G476" s="662"/>
      <c r="H476" s="662"/>
      <c r="I476" s="662"/>
      <c r="J476" s="662"/>
      <c r="K476" s="662"/>
      <c r="L476" s="662"/>
      <c r="M476" s="662"/>
      <c r="N476" s="662"/>
      <c r="O476" s="662"/>
      <c r="P476" s="662"/>
      <c r="Q476" s="662"/>
      <c r="R476" s="662"/>
      <c r="S476" s="662"/>
      <c r="T476" s="662"/>
      <c r="U476" s="662"/>
      <c r="V476" s="662"/>
      <c r="W476" s="662"/>
      <c r="X476" s="662"/>
      <c r="Y476" s="662"/>
      <c r="Z476" s="662"/>
      <c r="AA476" s="48"/>
      <c r="AB476" s="48"/>
      <c r="AC476" s="48"/>
    </row>
    <row r="477" spans="1:68" ht="16.5" hidden="1" customHeight="1" x14ac:dyDescent="0.25">
      <c r="A477" s="672" t="s">
        <v>762</v>
      </c>
      <c r="B477" s="660"/>
      <c r="C477" s="660"/>
      <c r="D477" s="660"/>
      <c r="E477" s="660"/>
      <c r="F477" s="660"/>
      <c r="G477" s="660"/>
      <c r="H477" s="660"/>
      <c r="I477" s="660"/>
      <c r="J477" s="660"/>
      <c r="K477" s="660"/>
      <c r="L477" s="660"/>
      <c r="M477" s="660"/>
      <c r="N477" s="660"/>
      <c r="O477" s="660"/>
      <c r="P477" s="660"/>
      <c r="Q477" s="660"/>
      <c r="R477" s="660"/>
      <c r="S477" s="660"/>
      <c r="T477" s="660"/>
      <c r="U477" s="660"/>
      <c r="V477" s="660"/>
      <c r="W477" s="660"/>
      <c r="X477" s="660"/>
      <c r="Y477" s="660"/>
      <c r="Z477" s="660"/>
      <c r="AA477" s="642"/>
      <c r="AB477" s="642"/>
      <c r="AC477" s="642"/>
    </row>
    <row r="478" spans="1:68" ht="14.25" hidden="1" customHeight="1" x14ac:dyDescent="0.25">
      <c r="A478" s="659" t="s">
        <v>61</v>
      </c>
      <c r="B478" s="660"/>
      <c r="C478" s="660"/>
      <c r="D478" s="660"/>
      <c r="E478" s="660"/>
      <c r="F478" s="660"/>
      <c r="G478" s="660"/>
      <c r="H478" s="660"/>
      <c r="I478" s="660"/>
      <c r="J478" s="660"/>
      <c r="K478" s="660"/>
      <c r="L478" s="660"/>
      <c r="M478" s="660"/>
      <c r="N478" s="660"/>
      <c r="O478" s="660"/>
      <c r="P478" s="660"/>
      <c r="Q478" s="660"/>
      <c r="R478" s="660"/>
      <c r="S478" s="660"/>
      <c r="T478" s="660"/>
      <c r="U478" s="660"/>
      <c r="V478" s="660"/>
      <c r="W478" s="660"/>
      <c r="X478" s="660"/>
      <c r="Y478" s="660"/>
      <c r="Z478" s="660"/>
      <c r="AA478" s="643"/>
      <c r="AB478" s="643"/>
      <c r="AC478" s="643"/>
    </row>
    <row r="479" spans="1:68" ht="27" hidden="1" customHeight="1" x14ac:dyDescent="0.25">
      <c r="A479" s="54" t="s">
        <v>763</v>
      </c>
      <c r="B479" s="54" t="s">
        <v>764</v>
      </c>
      <c r="C479" s="31">
        <v>4301031405</v>
      </c>
      <c r="D479" s="651">
        <v>4680115886100</v>
      </c>
      <c r="E479" s="652"/>
      <c r="F479" s="646">
        <v>0.9</v>
      </c>
      <c r="G479" s="32">
        <v>6</v>
      </c>
      <c r="H479" s="646">
        <v>5.4</v>
      </c>
      <c r="I479" s="646">
        <v>5.59</v>
      </c>
      <c r="J479" s="32">
        <v>132</v>
      </c>
      <c r="K479" s="32" t="s">
        <v>122</v>
      </c>
      <c r="L479" s="32"/>
      <c r="M479" s="33" t="s">
        <v>65</v>
      </c>
      <c r="N479" s="33"/>
      <c r="O479" s="32">
        <v>50</v>
      </c>
      <c r="P479" s="7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54"/>
      <c r="R479" s="654"/>
      <c r="S479" s="654"/>
      <c r="T479" s="655"/>
      <c r="U479" s="34"/>
      <c r="V479" s="34"/>
      <c r="W479" s="35" t="s">
        <v>66</v>
      </c>
      <c r="X479" s="647">
        <v>0</v>
      </c>
      <c r="Y479" s="648">
        <f t="shared" ref="Y479:Y484" si="73"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63" t="s">
        <v>765</v>
      </c>
      <c r="AG479" s="64"/>
      <c r="AJ479" s="68"/>
      <c r="AK479" s="68">
        <v>0</v>
      </c>
      <c r="BB479" s="564" t="s">
        <v>1</v>
      </c>
      <c r="BM479" s="64">
        <f t="shared" ref="BM479:BM484" si="74">IFERROR(X479*I479/H479,"0")</f>
        <v>0</v>
      </c>
      <c r="BN479" s="64">
        <f t="shared" ref="BN479:BN484" si="75">IFERROR(Y479*I479/H479,"0")</f>
        <v>0</v>
      </c>
      <c r="BO479" s="64">
        <f t="shared" ref="BO479:BO484" si="76">IFERROR(1/J479*(X479/H479),"0")</f>
        <v>0</v>
      </c>
      <c r="BP479" s="64">
        <f t="shared" ref="BP479:BP484" si="77">IFERROR(1/J479*(Y479/H479),"0")</f>
        <v>0</v>
      </c>
    </row>
    <row r="480" spans="1:68" ht="27" hidden="1" customHeight="1" x14ac:dyDescent="0.25">
      <c r="A480" s="54" t="s">
        <v>766</v>
      </c>
      <c r="B480" s="54" t="s">
        <v>767</v>
      </c>
      <c r="C480" s="31">
        <v>4301031402</v>
      </c>
      <c r="D480" s="651">
        <v>4680115886124</v>
      </c>
      <c r="E480" s="652"/>
      <c r="F480" s="646">
        <v>0.9</v>
      </c>
      <c r="G480" s="32">
        <v>6</v>
      </c>
      <c r="H480" s="646">
        <v>5.4</v>
      </c>
      <c r="I480" s="646">
        <v>5.59</v>
      </c>
      <c r="J480" s="32">
        <v>132</v>
      </c>
      <c r="K480" s="32" t="s">
        <v>122</v>
      </c>
      <c r="L480" s="32"/>
      <c r="M480" s="33" t="s">
        <v>65</v>
      </c>
      <c r="N480" s="33"/>
      <c r="O480" s="32">
        <v>50</v>
      </c>
      <c r="P480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54"/>
      <c r="R480" s="654"/>
      <c r="S480" s="654"/>
      <c r="T480" s="655"/>
      <c r="U480" s="34"/>
      <c r="V480" s="34"/>
      <c r="W480" s="35" t="s">
        <v>66</v>
      </c>
      <c r="X480" s="647">
        <v>0</v>
      </c>
      <c r="Y480" s="648">
        <f t="shared" si="73"/>
        <v>0</v>
      </c>
      <c r="Z480" s="36" t="str">
        <f>IFERROR(IF(Y480=0,"",ROUNDUP(Y480/H480,0)*0.00902),"")</f>
        <v/>
      </c>
      <c r="AA480" s="56"/>
      <c r="AB480" s="57"/>
      <c r="AC480" s="565" t="s">
        <v>768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769</v>
      </c>
      <c r="B481" s="54" t="s">
        <v>770</v>
      </c>
      <c r="C481" s="31">
        <v>4301031362</v>
      </c>
      <c r="D481" s="651">
        <v>4607091384338</v>
      </c>
      <c r="E481" s="652"/>
      <c r="F481" s="646">
        <v>0.35</v>
      </c>
      <c r="G481" s="32">
        <v>6</v>
      </c>
      <c r="H481" s="646">
        <v>2.1</v>
      </c>
      <c r="I481" s="646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54"/>
      <c r="R481" s="654"/>
      <c r="S481" s="654"/>
      <c r="T481" s="655"/>
      <c r="U481" s="34"/>
      <c r="V481" s="34"/>
      <c r="W481" s="35" t="s">
        <v>66</v>
      </c>
      <c r="X481" s="647">
        <v>0</v>
      </c>
      <c r="Y481" s="648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765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27" hidden="1" customHeight="1" x14ac:dyDescent="0.25">
      <c r="A482" s="54" t="s">
        <v>771</v>
      </c>
      <c r="B482" s="54" t="s">
        <v>772</v>
      </c>
      <c r="C482" s="31">
        <v>4301031364</v>
      </c>
      <c r="D482" s="651">
        <v>4680115883161</v>
      </c>
      <c r="E482" s="652"/>
      <c r="F482" s="646">
        <v>0.28000000000000003</v>
      </c>
      <c r="G482" s="32">
        <v>6</v>
      </c>
      <c r="H482" s="646">
        <v>1.68</v>
      </c>
      <c r="I482" s="646">
        <v>1.81</v>
      </c>
      <c r="J482" s="32">
        <v>234</v>
      </c>
      <c r="K482" s="32" t="s">
        <v>64</v>
      </c>
      <c r="L482" s="32"/>
      <c r="M482" s="33" t="s">
        <v>65</v>
      </c>
      <c r="N482" s="33"/>
      <c r="O482" s="32">
        <v>50</v>
      </c>
      <c r="P482" s="7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54"/>
      <c r="R482" s="654"/>
      <c r="S482" s="654"/>
      <c r="T482" s="655"/>
      <c r="U482" s="34"/>
      <c r="V482" s="34"/>
      <c r="W482" s="35" t="s">
        <v>66</v>
      </c>
      <c r="X482" s="647">
        <v>0</v>
      </c>
      <c r="Y482" s="648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773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t="27" hidden="1" customHeight="1" x14ac:dyDescent="0.25">
      <c r="A483" s="54" t="s">
        <v>774</v>
      </c>
      <c r="B483" s="54" t="s">
        <v>775</v>
      </c>
      <c r="C483" s="31">
        <v>4301031358</v>
      </c>
      <c r="D483" s="651">
        <v>4607091389531</v>
      </c>
      <c r="E483" s="652"/>
      <c r="F483" s="646">
        <v>0.35</v>
      </c>
      <c r="G483" s="32">
        <v>6</v>
      </c>
      <c r="H483" s="646">
        <v>2.1</v>
      </c>
      <c r="I483" s="646">
        <v>2.23</v>
      </c>
      <c r="J483" s="32">
        <v>234</v>
      </c>
      <c r="K483" s="32" t="s">
        <v>64</v>
      </c>
      <c r="L483" s="32"/>
      <c r="M483" s="33" t="s">
        <v>65</v>
      </c>
      <c r="N483" s="33"/>
      <c r="O483" s="32">
        <v>50</v>
      </c>
      <c r="P483" s="9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54"/>
      <c r="R483" s="654"/>
      <c r="S483" s="654"/>
      <c r="T483" s="655"/>
      <c r="U483" s="34"/>
      <c r="V483" s="34"/>
      <c r="W483" s="35" t="s">
        <v>66</v>
      </c>
      <c r="X483" s="647">
        <v>0</v>
      </c>
      <c r="Y483" s="648">
        <f t="shared" si="73"/>
        <v>0</v>
      </c>
      <c r="Z483" s="36" t="str">
        <f>IFERROR(IF(Y483=0,"",ROUNDUP(Y483/H483,0)*0.00502),"")</f>
        <v/>
      </c>
      <c r="AA483" s="56"/>
      <c r="AB483" s="57"/>
      <c r="AC483" s="571" t="s">
        <v>776</v>
      </c>
      <c r="AG483" s="64"/>
      <c r="AJ483" s="68"/>
      <c r="AK483" s="68">
        <v>0</v>
      </c>
      <c r="BB483" s="572" t="s">
        <v>1</v>
      </c>
      <c r="BM483" s="64">
        <f t="shared" si="74"/>
        <v>0</v>
      </c>
      <c r="BN483" s="64">
        <f t="shared" si="75"/>
        <v>0</v>
      </c>
      <c r="BO483" s="64">
        <f t="shared" si="76"/>
        <v>0</v>
      </c>
      <c r="BP483" s="64">
        <f t="shared" si="77"/>
        <v>0</v>
      </c>
    </row>
    <row r="484" spans="1:68" ht="37.5" hidden="1" customHeight="1" x14ac:dyDescent="0.25">
      <c r="A484" s="54" t="s">
        <v>777</v>
      </c>
      <c r="B484" s="54" t="s">
        <v>778</v>
      </c>
      <c r="C484" s="31">
        <v>4301031360</v>
      </c>
      <c r="D484" s="651">
        <v>4607091384345</v>
      </c>
      <c r="E484" s="652"/>
      <c r="F484" s="646">
        <v>0.35</v>
      </c>
      <c r="G484" s="32">
        <v>6</v>
      </c>
      <c r="H484" s="646">
        <v>2.1</v>
      </c>
      <c r="I484" s="646">
        <v>2.23</v>
      </c>
      <c r="J484" s="32">
        <v>234</v>
      </c>
      <c r="K484" s="32" t="s">
        <v>64</v>
      </c>
      <c r="L484" s="32"/>
      <c r="M484" s="33" t="s">
        <v>65</v>
      </c>
      <c r="N484" s="33"/>
      <c r="O484" s="32">
        <v>50</v>
      </c>
      <c r="P484" s="9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54"/>
      <c r="R484" s="654"/>
      <c r="S484" s="654"/>
      <c r="T484" s="655"/>
      <c r="U484" s="34"/>
      <c r="V484" s="34"/>
      <c r="W484" s="35" t="s">
        <v>66</v>
      </c>
      <c r="X484" s="647">
        <v>0</v>
      </c>
      <c r="Y484" s="648">
        <f t="shared" si="73"/>
        <v>0</v>
      </c>
      <c r="Z484" s="36" t="str">
        <f>IFERROR(IF(Y484=0,"",ROUNDUP(Y484/H484,0)*0.00502),"")</f>
        <v/>
      </c>
      <c r="AA484" s="56"/>
      <c r="AB484" s="57"/>
      <c r="AC484" s="573" t="s">
        <v>773</v>
      </c>
      <c r="AG484" s="64"/>
      <c r="AJ484" s="68"/>
      <c r="AK484" s="68">
        <v>0</v>
      </c>
      <c r="BB484" s="574" t="s">
        <v>1</v>
      </c>
      <c r="BM484" s="64">
        <f t="shared" si="74"/>
        <v>0</v>
      </c>
      <c r="BN484" s="64">
        <f t="shared" si="75"/>
        <v>0</v>
      </c>
      <c r="BO484" s="64">
        <f t="shared" si="76"/>
        <v>0</v>
      </c>
      <c r="BP484" s="64">
        <f t="shared" si="77"/>
        <v>0</v>
      </c>
    </row>
    <row r="485" spans="1:68" hidden="1" x14ac:dyDescent="0.2">
      <c r="A485" s="668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9"/>
      <c r="P485" s="663" t="s">
        <v>71</v>
      </c>
      <c r="Q485" s="664"/>
      <c r="R485" s="664"/>
      <c r="S485" s="664"/>
      <c r="T485" s="664"/>
      <c r="U485" s="664"/>
      <c r="V485" s="665"/>
      <c r="W485" s="37" t="s">
        <v>72</v>
      </c>
      <c r="X485" s="649">
        <f>IFERROR(X479/H479,"0")+IFERROR(X480/H480,"0")+IFERROR(X481/H481,"0")+IFERROR(X482/H482,"0")+IFERROR(X483/H483,"0")+IFERROR(X484/H484,"0")</f>
        <v>0</v>
      </c>
      <c r="Y485" s="649">
        <f>IFERROR(Y479/H479,"0")+IFERROR(Y480/H480,"0")+IFERROR(Y481/H481,"0")+IFERROR(Y482/H482,"0")+IFERROR(Y483/H483,"0")+IFERROR(Y484/H484,"0")</f>
        <v>0</v>
      </c>
      <c r="Z485" s="649">
        <f>IFERROR(IF(Z479="",0,Z479),"0")+IFERROR(IF(Z480="",0,Z480),"0")+IFERROR(IF(Z481="",0,Z481),"0")+IFERROR(IF(Z482="",0,Z482),"0")+IFERROR(IF(Z483="",0,Z483),"0")+IFERROR(IF(Z484="",0,Z484),"0")</f>
        <v>0</v>
      </c>
      <c r="AA485" s="650"/>
      <c r="AB485" s="650"/>
      <c r="AC485" s="650"/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9"/>
      <c r="P486" s="663" t="s">
        <v>71</v>
      </c>
      <c r="Q486" s="664"/>
      <c r="R486" s="664"/>
      <c r="S486" s="664"/>
      <c r="T486" s="664"/>
      <c r="U486" s="664"/>
      <c r="V486" s="665"/>
      <c r="W486" s="37" t="s">
        <v>66</v>
      </c>
      <c r="X486" s="649">
        <f>IFERROR(SUM(X479:X484),"0")</f>
        <v>0</v>
      </c>
      <c r="Y486" s="649">
        <f>IFERROR(SUM(Y479:Y484),"0")</f>
        <v>0</v>
      </c>
      <c r="Z486" s="37"/>
      <c r="AA486" s="650"/>
      <c r="AB486" s="650"/>
      <c r="AC486" s="650"/>
    </row>
    <row r="487" spans="1:68" ht="14.25" hidden="1" customHeight="1" x14ac:dyDescent="0.25">
      <c r="A487" s="659" t="s">
        <v>73</v>
      </c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0"/>
      <c r="P487" s="660"/>
      <c r="Q487" s="660"/>
      <c r="R487" s="660"/>
      <c r="S487" s="660"/>
      <c r="T487" s="660"/>
      <c r="U487" s="660"/>
      <c r="V487" s="660"/>
      <c r="W487" s="660"/>
      <c r="X487" s="660"/>
      <c r="Y487" s="660"/>
      <c r="Z487" s="660"/>
      <c r="AA487" s="643"/>
      <c r="AB487" s="643"/>
      <c r="AC487" s="643"/>
    </row>
    <row r="488" spans="1:68" ht="27" hidden="1" customHeight="1" x14ac:dyDescent="0.25">
      <c r="A488" s="54" t="s">
        <v>779</v>
      </c>
      <c r="B488" s="54" t="s">
        <v>780</v>
      </c>
      <c r="C488" s="31">
        <v>4301051284</v>
      </c>
      <c r="D488" s="651">
        <v>4607091384352</v>
      </c>
      <c r="E488" s="652"/>
      <c r="F488" s="646">
        <v>0.6</v>
      </c>
      <c r="G488" s="32">
        <v>4</v>
      </c>
      <c r="H488" s="646">
        <v>2.4</v>
      </c>
      <c r="I488" s="646">
        <v>2.6259999999999999</v>
      </c>
      <c r="J488" s="32">
        <v>132</v>
      </c>
      <c r="K488" s="32" t="s">
        <v>122</v>
      </c>
      <c r="L488" s="32"/>
      <c r="M488" s="33" t="s">
        <v>77</v>
      </c>
      <c r="N488" s="33"/>
      <c r="O488" s="32">
        <v>45</v>
      </c>
      <c r="P488" s="9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54"/>
      <c r="R488" s="654"/>
      <c r="S488" s="654"/>
      <c r="T488" s="655"/>
      <c r="U488" s="34"/>
      <c r="V488" s="34"/>
      <c r="W488" s="35" t="s">
        <v>66</v>
      </c>
      <c r="X488" s="647">
        <v>0</v>
      </c>
      <c r="Y488" s="648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75" t="s">
        <v>781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4301051431</v>
      </c>
      <c r="D489" s="651">
        <v>4607091389654</v>
      </c>
      <c r="E489" s="652"/>
      <c r="F489" s="646">
        <v>0.33</v>
      </c>
      <c r="G489" s="32">
        <v>6</v>
      </c>
      <c r="H489" s="646">
        <v>1.98</v>
      </c>
      <c r="I489" s="646">
        <v>2.238</v>
      </c>
      <c r="J489" s="32">
        <v>182</v>
      </c>
      <c r="K489" s="32" t="s">
        <v>76</v>
      </c>
      <c r="L489" s="32"/>
      <c r="M489" s="33" t="s">
        <v>77</v>
      </c>
      <c r="N489" s="33"/>
      <c r="O489" s="32">
        <v>45</v>
      </c>
      <c r="P489" s="84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54"/>
      <c r="R489" s="654"/>
      <c r="S489" s="654"/>
      <c r="T489" s="655"/>
      <c r="U489" s="34"/>
      <c r="V489" s="34"/>
      <c r="W489" s="35" t="s">
        <v>66</v>
      </c>
      <c r="X489" s="647">
        <v>0</v>
      </c>
      <c r="Y489" s="648">
        <f>IFERROR(IF(X489="",0,CEILING((X489/$H489),1)*$H489),"")</f>
        <v>0</v>
      </c>
      <c r="Z489" s="36" t="str">
        <f>IFERROR(IF(Y489=0,"",ROUNDUP(Y489/H489,0)*0.00651),"")</f>
        <v/>
      </c>
      <c r="AA489" s="56"/>
      <c r="AB489" s="57"/>
      <c r="AC489" s="577" t="s">
        <v>784</v>
      </c>
      <c r="AG489" s="64"/>
      <c r="AJ489" s="68"/>
      <c r="AK489" s="68">
        <v>0</v>
      </c>
      <c r="BB489" s="57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68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9"/>
      <c r="P490" s="663" t="s">
        <v>71</v>
      </c>
      <c r="Q490" s="664"/>
      <c r="R490" s="664"/>
      <c r="S490" s="664"/>
      <c r="T490" s="664"/>
      <c r="U490" s="664"/>
      <c r="V490" s="665"/>
      <c r="W490" s="37" t="s">
        <v>72</v>
      </c>
      <c r="X490" s="649">
        <f>IFERROR(X488/H488,"0")+IFERROR(X489/H489,"0")</f>
        <v>0</v>
      </c>
      <c r="Y490" s="649">
        <f>IFERROR(Y488/H488,"0")+IFERROR(Y489/H489,"0")</f>
        <v>0</v>
      </c>
      <c r="Z490" s="649">
        <f>IFERROR(IF(Z488="",0,Z488),"0")+IFERROR(IF(Z489="",0,Z489),"0")</f>
        <v>0</v>
      </c>
      <c r="AA490" s="650"/>
      <c r="AB490" s="650"/>
      <c r="AC490" s="650"/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9"/>
      <c r="P491" s="663" t="s">
        <v>71</v>
      </c>
      <c r="Q491" s="664"/>
      <c r="R491" s="664"/>
      <c r="S491" s="664"/>
      <c r="T491" s="664"/>
      <c r="U491" s="664"/>
      <c r="V491" s="665"/>
      <c r="W491" s="37" t="s">
        <v>66</v>
      </c>
      <c r="X491" s="649">
        <f>IFERROR(SUM(X488:X489),"0")</f>
        <v>0</v>
      </c>
      <c r="Y491" s="649">
        <f>IFERROR(SUM(Y488:Y489),"0")</f>
        <v>0</v>
      </c>
      <c r="Z491" s="37"/>
      <c r="AA491" s="650"/>
      <c r="AB491" s="650"/>
      <c r="AC491" s="650"/>
    </row>
    <row r="492" spans="1:68" ht="16.5" hidden="1" customHeight="1" x14ac:dyDescent="0.25">
      <c r="A492" s="672" t="s">
        <v>785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642"/>
      <c r="AB492" s="642"/>
      <c r="AC492" s="642"/>
    </row>
    <row r="493" spans="1:68" ht="14.25" hidden="1" customHeight="1" x14ac:dyDescent="0.25">
      <c r="A493" s="659" t="s">
        <v>147</v>
      </c>
      <c r="B493" s="660"/>
      <c r="C493" s="660"/>
      <c r="D493" s="660"/>
      <c r="E493" s="660"/>
      <c r="F493" s="660"/>
      <c r="G493" s="660"/>
      <c r="H493" s="660"/>
      <c r="I493" s="660"/>
      <c r="J493" s="660"/>
      <c r="K493" s="660"/>
      <c r="L493" s="660"/>
      <c r="M493" s="660"/>
      <c r="N493" s="660"/>
      <c r="O493" s="660"/>
      <c r="P493" s="660"/>
      <c r="Q493" s="660"/>
      <c r="R493" s="660"/>
      <c r="S493" s="660"/>
      <c r="T493" s="660"/>
      <c r="U493" s="660"/>
      <c r="V493" s="660"/>
      <c r="W493" s="660"/>
      <c r="X493" s="660"/>
      <c r="Y493" s="660"/>
      <c r="Z493" s="660"/>
      <c r="AA493" s="643"/>
      <c r="AB493" s="643"/>
      <c r="AC493" s="643"/>
    </row>
    <row r="494" spans="1:68" ht="27" hidden="1" customHeight="1" x14ac:dyDescent="0.25">
      <c r="A494" s="54" t="s">
        <v>786</v>
      </c>
      <c r="B494" s="54" t="s">
        <v>787</v>
      </c>
      <c r="C494" s="31">
        <v>4301020416</v>
      </c>
      <c r="D494" s="651">
        <v>4680115885240</v>
      </c>
      <c r="E494" s="652"/>
      <c r="F494" s="646">
        <v>0.35</v>
      </c>
      <c r="G494" s="32">
        <v>6</v>
      </c>
      <c r="H494" s="646">
        <v>2.1</v>
      </c>
      <c r="I494" s="646">
        <v>2.31</v>
      </c>
      <c r="J494" s="32">
        <v>182</v>
      </c>
      <c r="K494" s="32" t="s">
        <v>76</v>
      </c>
      <c r="L494" s="32"/>
      <c r="M494" s="33" t="s">
        <v>65</v>
      </c>
      <c r="N494" s="33"/>
      <c r="O494" s="32">
        <v>40</v>
      </c>
      <c r="P494" s="7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54"/>
      <c r="R494" s="654"/>
      <c r="S494" s="654"/>
      <c r="T494" s="655"/>
      <c r="U494" s="34"/>
      <c r="V494" s="34"/>
      <c r="W494" s="35" t="s">
        <v>66</v>
      </c>
      <c r="X494" s="647">
        <v>0</v>
      </c>
      <c r="Y494" s="648">
        <f>IFERROR(IF(X494="",0,CEILING((X494/$H494),1)*$H494),"")</f>
        <v>0</v>
      </c>
      <c r="Z494" s="36" t="str">
        <f>IFERROR(IF(Y494=0,"",ROUNDUP(Y494/H494,0)*0.00651),"")</f>
        <v/>
      </c>
      <c r="AA494" s="56"/>
      <c r="AB494" s="57"/>
      <c r="AC494" s="579" t="s">
        <v>788</v>
      </c>
      <c r="AG494" s="64"/>
      <c r="AJ494" s="68"/>
      <c r="AK494" s="68">
        <v>0</v>
      </c>
      <c r="BB494" s="580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68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9"/>
      <c r="P495" s="663" t="s">
        <v>71</v>
      </c>
      <c r="Q495" s="664"/>
      <c r="R495" s="664"/>
      <c r="S495" s="664"/>
      <c r="T495" s="664"/>
      <c r="U495" s="664"/>
      <c r="V495" s="665"/>
      <c r="W495" s="37" t="s">
        <v>72</v>
      </c>
      <c r="X495" s="649">
        <f>IFERROR(X494/H494,"0")</f>
        <v>0</v>
      </c>
      <c r="Y495" s="649">
        <f>IFERROR(Y494/H494,"0")</f>
        <v>0</v>
      </c>
      <c r="Z495" s="649">
        <f>IFERROR(IF(Z494="",0,Z494),"0")</f>
        <v>0</v>
      </c>
      <c r="AA495" s="650"/>
      <c r="AB495" s="650"/>
      <c r="AC495" s="650"/>
    </row>
    <row r="496" spans="1:68" hidden="1" x14ac:dyDescent="0.2">
      <c r="A496" s="660"/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9"/>
      <c r="P496" s="663" t="s">
        <v>71</v>
      </c>
      <c r="Q496" s="664"/>
      <c r="R496" s="664"/>
      <c r="S496" s="664"/>
      <c r="T496" s="664"/>
      <c r="U496" s="664"/>
      <c r="V496" s="665"/>
      <c r="W496" s="37" t="s">
        <v>66</v>
      </c>
      <c r="X496" s="649">
        <f>IFERROR(SUM(X494:X494),"0")</f>
        <v>0</v>
      </c>
      <c r="Y496" s="649">
        <f>IFERROR(SUM(Y494:Y494),"0")</f>
        <v>0</v>
      </c>
      <c r="Z496" s="37"/>
      <c r="AA496" s="650"/>
      <c r="AB496" s="650"/>
      <c r="AC496" s="650"/>
    </row>
    <row r="497" spans="1:68" ht="14.25" hidden="1" customHeight="1" x14ac:dyDescent="0.25">
      <c r="A497" s="659" t="s">
        <v>61</v>
      </c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0"/>
      <c r="P497" s="660"/>
      <c r="Q497" s="660"/>
      <c r="R497" s="660"/>
      <c r="S497" s="660"/>
      <c r="T497" s="660"/>
      <c r="U497" s="660"/>
      <c r="V497" s="660"/>
      <c r="W497" s="660"/>
      <c r="X497" s="660"/>
      <c r="Y497" s="660"/>
      <c r="Z497" s="660"/>
      <c r="AA497" s="643"/>
      <c r="AB497" s="643"/>
      <c r="AC497" s="643"/>
    </row>
    <row r="498" spans="1:68" ht="27" hidden="1" customHeight="1" x14ac:dyDescent="0.25">
      <c r="A498" s="54" t="s">
        <v>789</v>
      </c>
      <c r="B498" s="54" t="s">
        <v>790</v>
      </c>
      <c r="C498" s="31">
        <v>4301031407</v>
      </c>
      <c r="D498" s="651">
        <v>4680115886094</v>
      </c>
      <c r="E498" s="652"/>
      <c r="F498" s="646">
        <v>0.9</v>
      </c>
      <c r="G498" s="32">
        <v>6</v>
      </c>
      <c r="H498" s="646">
        <v>5.4</v>
      </c>
      <c r="I498" s="646">
        <v>5.59</v>
      </c>
      <c r="J498" s="32">
        <v>132</v>
      </c>
      <c r="K498" s="32" t="s">
        <v>122</v>
      </c>
      <c r="L498" s="32"/>
      <c r="M498" s="33" t="s">
        <v>65</v>
      </c>
      <c r="N498" s="33"/>
      <c r="O498" s="32">
        <v>50</v>
      </c>
      <c r="P498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54"/>
      <c r="R498" s="654"/>
      <c r="S498" s="654"/>
      <c r="T498" s="655"/>
      <c r="U498" s="34"/>
      <c r="V498" s="34"/>
      <c r="W498" s="35" t="s">
        <v>66</v>
      </c>
      <c r="X498" s="647">
        <v>0</v>
      </c>
      <c r="Y498" s="648">
        <f>IFERROR(IF(X498="",0,CEILING((X498/$H498),1)*$H498),"")</f>
        <v>0</v>
      </c>
      <c r="Z498" s="36" t="str">
        <f>IFERROR(IF(Y498=0,"",ROUNDUP(Y498/H498,0)*0.00902),"")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792</v>
      </c>
      <c r="B499" s="54" t="s">
        <v>793</v>
      </c>
      <c r="C499" s="31">
        <v>4301031373</v>
      </c>
      <c r="D499" s="651">
        <v>4680115880771</v>
      </c>
      <c r="E499" s="652"/>
      <c r="F499" s="646">
        <v>0.28000000000000003</v>
      </c>
      <c r="G499" s="32">
        <v>6</v>
      </c>
      <c r="H499" s="646">
        <v>1.68</v>
      </c>
      <c r="I499" s="646">
        <v>1.81</v>
      </c>
      <c r="J499" s="32">
        <v>234</v>
      </c>
      <c r="K499" s="32" t="s">
        <v>64</v>
      </c>
      <c r="L499" s="32"/>
      <c r="M499" s="33" t="s">
        <v>65</v>
      </c>
      <c r="N499" s="33"/>
      <c r="O499" s="32">
        <v>50</v>
      </c>
      <c r="P499" s="10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54"/>
      <c r="R499" s="654"/>
      <c r="S499" s="654"/>
      <c r="T499" s="655"/>
      <c r="U499" s="34"/>
      <c r="V499" s="34"/>
      <c r="W499" s="35" t="s">
        <v>66</v>
      </c>
      <c r="X499" s="647">
        <v>0</v>
      </c>
      <c r="Y499" s="648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794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27" hidden="1" customHeight="1" x14ac:dyDescent="0.25">
      <c r="A500" s="54" t="s">
        <v>795</v>
      </c>
      <c r="B500" s="54" t="s">
        <v>796</v>
      </c>
      <c r="C500" s="31">
        <v>4301031359</v>
      </c>
      <c r="D500" s="651">
        <v>4607091389500</v>
      </c>
      <c r="E500" s="652"/>
      <c r="F500" s="646">
        <v>0.35</v>
      </c>
      <c r="G500" s="32">
        <v>6</v>
      </c>
      <c r="H500" s="646">
        <v>2.1</v>
      </c>
      <c r="I500" s="646">
        <v>2.23</v>
      </c>
      <c r="J500" s="32">
        <v>234</v>
      </c>
      <c r="K500" s="32" t="s">
        <v>64</v>
      </c>
      <c r="L500" s="32"/>
      <c r="M500" s="33" t="s">
        <v>65</v>
      </c>
      <c r="N500" s="33"/>
      <c r="O500" s="32">
        <v>50</v>
      </c>
      <c r="P500" s="10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54"/>
      <c r="R500" s="654"/>
      <c r="S500" s="654"/>
      <c r="T500" s="655"/>
      <c r="U500" s="34"/>
      <c r="V500" s="34"/>
      <c r="W500" s="35" t="s">
        <v>66</v>
      </c>
      <c r="X500" s="647">
        <v>0</v>
      </c>
      <c r="Y500" s="648">
        <f>IFERROR(IF(X500="",0,CEILING((X500/$H500),1)*$H500),"")</f>
        <v>0</v>
      </c>
      <c r="Z500" s="36" t="str">
        <f>IFERROR(IF(Y500=0,"",ROUNDUP(Y500/H500,0)*0.00502),"")</f>
        <v/>
      </c>
      <c r="AA500" s="56"/>
      <c r="AB500" s="57"/>
      <c r="AC500" s="585" t="s">
        <v>794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68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9"/>
      <c r="P501" s="663" t="s">
        <v>71</v>
      </c>
      <c r="Q501" s="664"/>
      <c r="R501" s="664"/>
      <c r="S501" s="664"/>
      <c r="T501" s="664"/>
      <c r="U501" s="664"/>
      <c r="V501" s="665"/>
      <c r="W501" s="37" t="s">
        <v>72</v>
      </c>
      <c r="X501" s="649">
        <f>IFERROR(X498/H498,"0")+IFERROR(X499/H499,"0")+IFERROR(X500/H500,"0")</f>
        <v>0</v>
      </c>
      <c r="Y501" s="649">
        <f>IFERROR(Y498/H498,"0")+IFERROR(Y499/H499,"0")+IFERROR(Y500/H500,"0")</f>
        <v>0</v>
      </c>
      <c r="Z501" s="649">
        <f>IFERROR(IF(Z498="",0,Z498),"0")+IFERROR(IF(Z499="",0,Z499),"0")+IFERROR(IF(Z500="",0,Z500),"0")</f>
        <v>0</v>
      </c>
      <c r="AA501" s="650"/>
      <c r="AB501" s="650"/>
      <c r="AC501" s="650"/>
    </row>
    <row r="502" spans="1:68" hidden="1" x14ac:dyDescent="0.2">
      <c r="A502" s="660"/>
      <c r="B502" s="660"/>
      <c r="C502" s="660"/>
      <c r="D502" s="660"/>
      <c r="E502" s="660"/>
      <c r="F502" s="660"/>
      <c r="G502" s="660"/>
      <c r="H502" s="660"/>
      <c r="I502" s="660"/>
      <c r="J502" s="660"/>
      <c r="K502" s="660"/>
      <c r="L502" s="660"/>
      <c r="M502" s="660"/>
      <c r="N502" s="660"/>
      <c r="O502" s="669"/>
      <c r="P502" s="663" t="s">
        <v>71</v>
      </c>
      <c r="Q502" s="664"/>
      <c r="R502" s="664"/>
      <c r="S502" s="664"/>
      <c r="T502" s="664"/>
      <c r="U502" s="664"/>
      <c r="V502" s="665"/>
      <c r="W502" s="37" t="s">
        <v>66</v>
      </c>
      <c r="X502" s="649">
        <f>IFERROR(SUM(X498:X500),"0")</f>
        <v>0</v>
      </c>
      <c r="Y502" s="649">
        <f>IFERROR(SUM(Y498:Y500),"0")</f>
        <v>0</v>
      </c>
      <c r="Z502" s="37"/>
      <c r="AA502" s="650"/>
      <c r="AB502" s="650"/>
      <c r="AC502" s="650"/>
    </row>
    <row r="503" spans="1:68" ht="27.75" hidden="1" customHeight="1" x14ac:dyDescent="0.2">
      <c r="A503" s="661" t="s">
        <v>797</v>
      </c>
      <c r="B503" s="662"/>
      <c r="C503" s="662"/>
      <c r="D503" s="662"/>
      <c r="E503" s="662"/>
      <c r="F503" s="662"/>
      <c r="G503" s="662"/>
      <c r="H503" s="662"/>
      <c r="I503" s="662"/>
      <c r="J503" s="662"/>
      <c r="K503" s="662"/>
      <c r="L503" s="662"/>
      <c r="M503" s="662"/>
      <c r="N503" s="662"/>
      <c r="O503" s="662"/>
      <c r="P503" s="662"/>
      <c r="Q503" s="662"/>
      <c r="R503" s="662"/>
      <c r="S503" s="662"/>
      <c r="T503" s="662"/>
      <c r="U503" s="662"/>
      <c r="V503" s="662"/>
      <c r="W503" s="662"/>
      <c r="X503" s="662"/>
      <c r="Y503" s="662"/>
      <c r="Z503" s="662"/>
      <c r="AA503" s="48"/>
      <c r="AB503" s="48"/>
      <c r="AC503" s="48"/>
    </row>
    <row r="504" spans="1:68" ht="16.5" hidden="1" customHeight="1" x14ac:dyDescent="0.25">
      <c r="A504" s="672" t="s">
        <v>797</v>
      </c>
      <c r="B504" s="660"/>
      <c r="C504" s="660"/>
      <c r="D504" s="660"/>
      <c r="E504" s="660"/>
      <c r="F504" s="660"/>
      <c r="G504" s="660"/>
      <c r="H504" s="660"/>
      <c r="I504" s="660"/>
      <c r="J504" s="660"/>
      <c r="K504" s="660"/>
      <c r="L504" s="660"/>
      <c r="M504" s="660"/>
      <c r="N504" s="660"/>
      <c r="O504" s="660"/>
      <c r="P504" s="660"/>
      <c r="Q504" s="660"/>
      <c r="R504" s="660"/>
      <c r="S504" s="660"/>
      <c r="T504" s="660"/>
      <c r="U504" s="660"/>
      <c r="V504" s="660"/>
      <c r="W504" s="660"/>
      <c r="X504" s="660"/>
      <c r="Y504" s="660"/>
      <c r="Z504" s="660"/>
      <c r="AA504" s="642"/>
      <c r="AB504" s="642"/>
      <c r="AC504" s="642"/>
    </row>
    <row r="505" spans="1:68" ht="14.25" hidden="1" customHeight="1" x14ac:dyDescent="0.25">
      <c r="A505" s="659" t="s">
        <v>110</v>
      </c>
      <c r="B505" s="660"/>
      <c r="C505" s="660"/>
      <c r="D505" s="660"/>
      <c r="E505" s="660"/>
      <c r="F505" s="660"/>
      <c r="G505" s="660"/>
      <c r="H505" s="660"/>
      <c r="I505" s="660"/>
      <c r="J505" s="660"/>
      <c r="K505" s="660"/>
      <c r="L505" s="660"/>
      <c r="M505" s="660"/>
      <c r="N505" s="660"/>
      <c r="O505" s="660"/>
      <c r="P505" s="660"/>
      <c r="Q505" s="660"/>
      <c r="R505" s="660"/>
      <c r="S505" s="660"/>
      <c r="T505" s="660"/>
      <c r="U505" s="660"/>
      <c r="V505" s="660"/>
      <c r="W505" s="660"/>
      <c r="X505" s="660"/>
      <c r="Y505" s="660"/>
      <c r="Z505" s="660"/>
      <c r="AA505" s="643"/>
      <c r="AB505" s="643"/>
      <c r="AC505" s="643"/>
    </row>
    <row r="506" spans="1:68" ht="27" customHeight="1" x14ac:dyDescent="0.25">
      <c r="A506" s="54" t="s">
        <v>798</v>
      </c>
      <c r="B506" s="54" t="s">
        <v>799</v>
      </c>
      <c r="C506" s="31">
        <v>4301011769</v>
      </c>
      <c r="D506" s="651">
        <v>4607091389067</v>
      </c>
      <c r="E506" s="652"/>
      <c r="F506" s="646">
        <v>0.88</v>
      </c>
      <c r="G506" s="32">
        <v>6</v>
      </c>
      <c r="H506" s="646">
        <v>5.28</v>
      </c>
      <c r="I506" s="646">
        <v>5.63</v>
      </c>
      <c r="J506" s="32">
        <v>104</v>
      </c>
      <c r="K506" s="32" t="s">
        <v>113</v>
      </c>
      <c r="L506" s="32"/>
      <c r="M506" s="33" t="s">
        <v>77</v>
      </c>
      <c r="N506" s="33"/>
      <c r="O506" s="32">
        <v>60</v>
      </c>
      <c r="P506" s="8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54"/>
      <c r="R506" s="654"/>
      <c r="S506" s="654"/>
      <c r="T506" s="655"/>
      <c r="U506" s="34"/>
      <c r="V506" s="34"/>
      <c r="W506" s="35" t="s">
        <v>66</v>
      </c>
      <c r="X506" s="647">
        <v>267</v>
      </c>
      <c r="Y506" s="648">
        <f t="shared" ref="Y506:Y514" si="78">IFERROR(IF(X506="",0,CEILING((X506/$H506),1)*$H506),"")</f>
        <v>269.28000000000003</v>
      </c>
      <c r="Z506" s="36">
        <f t="shared" ref="Z506:Z511" si="79">IFERROR(IF(Y506=0,"",ROUNDUP(Y506/H506,0)*0.01196),"")</f>
        <v>0.60996000000000006</v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ref="BM506:BM514" si="80">IFERROR(X506*I506/H506,"0")</f>
        <v>284.69886363636363</v>
      </c>
      <c r="BN506" s="64">
        <f t="shared" ref="BN506:BN514" si="81">IFERROR(Y506*I506/H506,"0")</f>
        <v>287.13</v>
      </c>
      <c r="BO506" s="64">
        <f t="shared" ref="BO506:BO514" si="82">IFERROR(1/J506*(X506/H506),"0")</f>
        <v>0.48623251748251745</v>
      </c>
      <c r="BP506" s="64">
        <f t="shared" ref="BP506:BP514" si="83">IFERROR(1/J506*(Y506/H506),"0")</f>
        <v>0.49038461538461542</v>
      </c>
    </row>
    <row r="507" spans="1:68" ht="16.5" hidden="1" customHeight="1" x14ac:dyDescent="0.25">
      <c r="A507" s="54" t="s">
        <v>800</v>
      </c>
      <c r="B507" s="54" t="s">
        <v>801</v>
      </c>
      <c r="C507" s="31">
        <v>4301012380</v>
      </c>
      <c r="D507" s="651">
        <v>4680115889576</v>
      </c>
      <c r="E507" s="652"/>
      <c r="F507" s="646">
        <v>0.88</v>
      </c>
      <c r="G507" s="32">
        <v>6</v>
      </c>
      <c r="H507" s="646">
        <v>5.28</v>
      </c>
      <c r="I507" s="646">
        <v>5.63</v>
      </c>
      <c r="J507" s="32">
        <v>104</v>
      </c>
      <c r="K507" s="32" t="s">
        <v>113</v>
      </c>
      <c r="L507" s="32"/>
      <c r="M507" s="33" t="s">
        <v>114</v>
      </c>
      <c r="N507" s="33"/>
      <c r="O507" s="32">
        <v>60</v>
      </c>
      <c r="P507" s="102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54"/>
      <c r="R507" s="654"/>
      <c r="S507" s="654"/>
      <c r="T507" s="655"/>
      <c r="U507" s="34"/>
      <c r="V507" s="34"/>
      <c r="W507" s="35" t="s">
        <v>66</v>
      </c>
      <c r="X507" s="647">
        <v>0</v>
      </c>
      <c r="Y507" s="648">
        <f t="shared" si="78"/>
        <v>0</v>
      </c>
      <c r="Z507" s="36" t="str">
        <f t="shared" si="79"/>
        <v/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27" hidden="1" customHeight="1" x14ac:dyDescent="0.25">
      <c r="A508" s="54" t="s">
        <v>803</v>
      </c>
      <c r="B508" s="54" t="s">
        <v>804</v>
      </c>
      <c r="C508" s="31">
        <v>4301011961</v>
      </c>
      <c r="D508" s="651">
        <v>4680115885271</v>
      </c>
      <c r="E508" s="652"/>
      <c r="F508" s="646">
        <v>0.88</v>
      </c>
      <c r="G508" s="32">
        <v>6</v>
      </c>
      <c r="H508" s="646">
        <v>5.28</v>
      </c>
      <c r="I508" s="646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4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54"/>
      <c r="R508" s="654"/>
      <c r="S508" s="654"/>
      <c r="T508" s="655"/>
      <c r="U508" s="34"/>
      <c r="V508" s="34"/>
      <c r="W508" s="35" t="s">
        <v>66</v>
      </c>
      <c r="X508" s="647">
        <v>0</v>
      </c>
      <c r="Y508" s="648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806</v>
      </c>
      <c r="B509" s="54" t="s">
        <v>807</v>
      </c>
      <c r="C509" s="31">
        <v>4301011369</v>
      </c>
      <c r="D509" s="651">
        <v>4680115885226</v>
      </c>
      <c r="E509" s="652"/>
      <c r="F509" s="646">
        <v>0.88</v>
      </c>
      <c r="G509" s="32">
        <v>6</v>
      </c>
      <c r="H509" s="646">
        <v>5.28</v>
      </c>
      <c r="I509" s="646">
        <v>5.63</v>
      </c>
      <c r="J509" s="32">
        <v>104</v>
      </c>
      <c r="K509" s="32" t="s">
        <v>113</v>
      </c>
      <c r="L509" s="32"/>
      <c r="M509" s="33" t="s">
        <v>114</v>
      </c>
      <c r="N509" s="33"/>
      <c r="O509" s="32">
        <v>60</v>
      </c>
      <c r="P509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54"/>
      <c r="R509" s="654"/>
      <c r="S509" s="654"/>
      <c r="T509" s="655"/>
      <c r="U509" s="34"/>
      <c r="V509" s="34"/>
      <c r="W509" s="35" t="s">
        <v>66</v>
      </c>
      <c r="X509" s="647">
        <v>881</v>
      </c>
      <c r="Y509" s="648">
        <f t="shared" si="78"/>
        <v>881.76</v>
      </c>
      <c r="Z509" s="36">
        <f t="shared" si="79"/>
        <v>1.99732</v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939.39962121212113</v>
      </c>
      <c r="BN509" s="64">
        <f t="shared" si="81"/>
        <v>940.20999999999992</v>
      </c>
      <c r="BO509" s="64">
        <f t="shared" si="82"/>
        <v>1.6043851981351982</v>
      </c>
      <c r="BP509" s="64">
        <f t="shared" si="83"/>
        <v>1.6057692307692308</v>
      </c>
    </row>
    <row r="510" spans="1:68" ht="16.5" hidden="1" customHeight="1" x14ac:dyDescent="0.25">
      <c r="A510" s="54" t="s">
        <v>809</v>
      </c>
      <c r="B510" s="54" t="s">
        <v>810</v>
      </c>
      <c r="C510" s="31">
        <v>4301011797</v>
      </c>
      <c r="D510" s="651">
        <v>4680115884502</v>
      </c>
      <c r="E510" s="652"/>
      <c r="F510" s="646">
        <v>0.88</v>
      </c>
      <c r="G510" s="32">
        <v>6</v>
      </c>
      <c r="H510" s="646">
        <v>5.28</v>
      </c>
      <c r="I510" s="646">
        <v>5.63</v>
      </c>
      <c r="J510" s="32">
        <v>104</v>
      </c>
      <c r="K510" s="32" t="s">
        <v>113</v>
      </c>
      <c r="L510" s="32"/>
      <c r="M510" s="33" t="s">
        <v>77</v>
      </c>
      <c r="N510" s="33"/>
      <c r="O510" s="32">
        <v>60</v>
      </c>
      <c r="P510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54"/>
      <c r="R510" s="654"/>
      <c r="S510" s="654"/>
      <c r="T510" s="655"/>
      <c r="U510" s="34"/>
      <c r="V510" s="34"/>
      <c r="W510" s="35" t="s">
        <v>66</v>
      </c>
      <c r="X510" s="647">
        <v>0</v>
      </c>
      <c r="Y510" s="648">
        <f t="shared" si="78"/>
        <v>0</v>
      </c>
      <c r="Z510" s="36" t="str">
        <f t="shared" si="79"/>
        <v/>
      </c>
      <c r="AA510" s="56"/>
      <c r="AB510" s="57"/>
      <c r="AC510" s="595" t="s">
        <v>811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customHeight="1" x14ac:dyDescent="0.25">
      <c r="A511" s="54" t="s">
        <v>812</v>
      </c>
      <c r="B511" s="54" t="s">
        <v>813</v>
      </c>
      <c r="C511" s="31">
        <v>4301011771</v>
      </c>
      <c r="D511" s="651">
        <v>4607091389104</v>
      </c>
      <c r="E511" s="652"/>
      <c r="F511" s="646">
        <v>0.88</v>
      </c>
      <c r="G511" s="32">
        <v>6</v>
      </c>
      <c r="H511" s="646">
        <v>5.28</v>
      </c>
      <c r="I511" s="646">
        <v>5.63</v>
      </c>
      <c r="J511" s="32">
        <v>104</v>
      </c>
      <c r="K511" s="32" t="s">
        <v>113</v>
      </c>
      <c r="L511" s="32"/>
      <c r="M511" s="33" t="s">
        <v>114</v>
      </c>
      <c r="N511" s="33"/>
      <c r="O511" s="32">
        <v>60</v>
      </c>
      <c r="P511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54"/>
      <c r="R511" s="654"/>
      <c r="S511" s="654"/>
      <c r="T511" s="655"/>
      <c r="U511" s="34"/>
      <c r="V511" s="34"/>
      <c r="W511" s="35" t="s">
        <v>66</v>
      </c>
      <c r="X511" s="647">
        <v>1813</v>
      </c>
      <c r="Y511" s="648">
        <f t="shared" si="78"/>
        <v>1816.3200000000002</v>
      </c>
      <c r="Z511" s="36">
        <f t="shared" si="79"/>
        <v>4.1142399999999997</v>
      </c>
      <c r="AA511" s="56"/>
      <c r="AB511" s="57"/>
      <c r="AC511" s="597" t="s">
        <v>814</v>
      </c>
      <c r="AG511" s="64"/>
      <c r="AJ511" s="68"/>
      <c r="AK511" s="68">
        <v>0</v>
      </c>
      <c r="BB511" s="598" t="s">
        <v>1</v>
      </c>
      <c r="BM511" s="64">
        <f t="shared" si="80"/>
        <v>1933.1799242424242</v>
      </c>
      <c r="BN511" s="64">
        <f t="shared" si="81"/>
        <v>1936.72</v>
      </c>
      <c r="BO511" s="64">
        <f t="shared" si="82"/>
        <v>3.3016462703962706</v>
      </c>
      <c r="BP511" s="64">
        <f t="shared" si="83"/>
        <v>3.3076923076923079</v>
      </c>
    </row>
    <row r="512" spans="1:68" ht="27" hidden="1" customHeight="1" x14ac:dyDescent="0.25">
      <c r="A512" s="54" t="s">
        <v>815</v>
      </c>
      <c r="B512" s="54" t="s">
        <v>816</v>
      </c>
      <c r="C512" s="31">
        <v>4301012125</v>
      </c>
      <c r="D512" s="651">
        <v>4680115886391</v>
      </c>
      <c r="E512" s="652"/>
      <c r="F512" s="646">
        <v>0.4</v>
      </c>
      <c r="G512" s="32">
        <v>6</v>
      </c>
      <c r="H512" s="646">
        <v>2.4</v>
      </c>
      <c r="I512" s="646">
        <v>2.58</v>
      </c>
      <c r="J512" s="32">
        <v>182</v>
      </c>
      <c r="K512" s="32" t="s">
        <v>76</v>
      </c>
      <c r="L512" s="32"/>
      <c r="M512" s="33" t="s">
        <v>77</v>
      </c>
      <c r="N512" s="33"/>
      <c r="O512" s="32">
        <v>60</v>
      </c>
      <c r="P512" s="8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54"/>
      <c r="R512" s="654"/>
      <c r="S512" s="654"/>
      <c r="T512" s="655"/>
      <c r="U512" s="34"/>
      <c r="V512" s="34"/>
      <c r="W512" s="35" t="s">
        <v>66</v>
      </c>
      <c r="X512" s="647">
        <v>0</v>
      </c>
      <c r="Y512" s="648">
        <f t="shared" si="78"/>
        <v>0</v>
      </c>
      <c r="Z512" s="36" t="str">
        <f>IFERROR(IF(Y512=0,"",ROUNDUP(Y512/H512,0)*0.00651),"")</f>
        <v/>
      </c>
      <c r="AA512" s="56"/>
      <c r="AB512" s="57"/>
      <c r="AC512" s="599" t="s">
        <v>115</v>
      </c>
      <c r="AG512" s="64"/>
      <c r="AJ512" s="68"/>
      <c r="AK512" s="68">
        <v>0</v>
      </c>
      <c r="BB512" s="600" t="s">
        <v>1</v>
      </c>
      <c r="BM512" s="64">
        <f t="shared" si="80"/>
        <v>0</v>
      </c>
      <c r="BN512" s="64">
        <f t="shared" si="81"/>
        <v>0</v>
      </c>
      <c r="BO512" s="64">
        <f t="shared" si="82"/>
        <v>0</v>
      </c>
      <c r="BP512" s="64">
        <f t="shared" si="83"/>
        <v>0</v>
      </c>
    </row>
    <row r="513" spans="1:68" ht="27" customHeight="1" x14ac:dyDescent="0.25">
      <c r="A513" s="54" t="s">
        <v>817</v>
      </c>
      <c r="B513" s="54" t="s">
        <v>818</v>
      </c>
      <c r="C513" s="31">
        <v>4301012048</v>
      </c>
      <c r="D513" s="651">
        <v>4680115880603</v>
      </c>
      <c r="E513" s="652"/>
      <c r="F513" s="646">
        <v>0.6</v>
      </c>
      <c r="G513" s="32">
        <v>8</v>
      </c>
      <c r="H513" s="646">
        <v>4.8</v>
      </c>
      <c r="I513" s="646">
        <v>6.91</v>
      </c>
      <c r="J513" s="32">
        <v>132</v>
      </c>
      <c r="K513" s="32" t="s">
        <v>122</v>
      </c>
      <c r="L513" s="32"/>
      <c r="M513" s="33" t="s">
        <v>77</v>
      </c>
      <c r="N513" s="33"/>
      <c r="O513" s="32">
        <v>60</v>
      </c>
      <c r="P513" s="8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54"/>
      <c r="R513" s="654"/>
      <c r="S513" s="654"/>
      <c r="T513" s="655"/>
      <c r="U513" s="34"/>
      <c r="V513" s="34"/>
      <c r="W513" s="35" t="s">
        <v>66</v>
      </c>
      <c r="X513" s="647">
        <v>373</v>
      </c>
      <c r="Y513" s="648">
        <f t="shared" si="78"/>
        <v>374.4</v>
      </c>
      <c r="Z513" s="36">
        <f>IFERROR(IF(Y513=0,"",ROUNDUP(Y513/H513,0)*0.00902),"")</f>
        <v>0.70355999999999996</v>
      </c>
      <c r="AA513" s="56"/>
      <c r="AB513" s="57"/>
      <c r="AC513" s="601" t="s">
        <v>115</v>
      </c>
      <c r="AG513" s="64"/>
      <c r="AJ513" s="68"/>
      <c r="AK513" s="68">
        <v>0</v>
      </c>
      <c r="BB513" s="602" t="s">
        <v>1</v>
      </c>
      <c r="BM513" s="64">
        <f t="shared" si="80"/>
        <v>536.96458333333328</v>
      </c>
      <c r="BN513" s="64">
        <f t="shared" si="81"/>
        <v>538.98</v>
      </c>
      <c r="BO513" s="64">
        <f t="shared" si="82"/>
        <v>0.58869949494949503</v>
      </c>
      <c r="BP513" s="64">
        <f t="shared" si="83"/>
        <v>0.59090909090909094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4301012034</v>
      </c>
      <c r="D514" s="651">
        <v>4607091389982</v>
      </c>
      <c r="E514" s="652"/>
      <c r="F514" s="646">
        <v>0.6</v>
      </c>
      <c r="G514" s="32">
        <v>8</v>
      </c>
      <c r="H514" s="646">
        <v>4.8</v>
      </c>
      <c r="I514" s="646">
        <v>6.91</v>
      </c>
      <c r="J514" s="32">
        <v>132</v>
      </c>
      <c r="K514" s="32" t="s">
        <v>122</v>
      </c>
      <c r="L514" s="32"/>
      <c r="M514" s="33" t="s">
        <v>114</v>
      </c>
      <c r="N514" s="33"/>
      <c r="O514" s="32">
        <v>60</v>
      </c>
      <c r="P514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54"/>
      <c r="R514" s="654"/>
      <c r="S514" s="654"/>
      <c r="T514" s="655"/>
      <c r="U514" s="34"/>
      <c r="V514" s="34"/>
      <c r="W514" s="35" t="s">
        <v>66</v>
      </c>
      <c r="X514" s="647">
        <v>0</v>
      </c>
      <c r="Y514" s="648">
        <f t="shared" si="78"/>
        <v>0</v>
      </c>
      <c r="Z514" s="36" t="str">
        <f>IFERROR(IF(Y514=0,"",ROUNDUP(Y514/H514,0)*0.00902),"")</f>
        <v/>
      </c>
      <c r="AA514" s="56"/>
      <c r="AB514" s="57"/>
      <c r="AC514" s="603" t="s">
        <v>814</v>
      </c>
      <c r="AG514" s="64"/>
      <c r="AJ514" s="68"/>
      <c r="AK514" s="68">
        <v>0</v>
      </c>
      <c r="BB514" s="604" t="s">
        <v>1</v>
      </c>
      <c r="BM514" s="64">
        <f t="shared" si="80"/>
        <v>0</v>
      </c>
      <c r="BN514" s="64">
        <f t="shared" si="81"/>
        <v>0</v>
      </c>
      <c r="BO514" s="64">
        <f t="shared" si="82"/>
        <v>0</v>
      </c>
      <c r="BP514" s="64">
        <f t="shared" si="83"/>
        <v>0</v>
      </c>
    </row>
    <row r="515" spans="1:68" x14ac:dyDescent="0.2">
      <c r="A515" s="668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9"/>
      <c r="P515" s="663" t="s">
        <v>71</v>
      </c>
      <c r="Q515" s="664"/>
      <c r="R515" s="664"/>
      <c r="S515" s="664"/>
      <c r="T515" s="664"/>
      <c r="U515" s="664"/>
      <c r="V515" s="665"/>
      <c r="W515" s="37" t="s">
        <v>72</v>
      </c>
      <c r="X515" s="649">
        <f>IFERROR(X506/H506,"0")+IFERROR(X507/H507,"0")+IFERROR(X508/H508,"0")+IFERROR(X509/H509,"0")+IFERROR(X510/H510,"0")+IFERROR(X511/H511,"0")+IFERROR(X512/H512,"0")+IFERROR(X513/H513,"0")+IFERROR(X514/H514,"0")</f>
        <v>638.50378787878788</v>
      </c>
      <c r="Y515" s="649">
        <f>IFERROR(Y506/H506,"0")+IFERROR(Y507/H507,"0")+IFERROR(Y508/H508,"0")+IFERROR(Y509/H509,"0")+IFERROR(Y510/H510,"0")+IFERROR(Y511/H511,"0")+IFERROR(Y512/H512,"0")+IFERROR(Y513/H513,"0")+IFERROR(Y514/H514,"0")</f>
        <v>640</v>
      </c>
      <c r="Z515" s="649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7.4250799999999995</v>
      </c>
      <c r="AA515" s="650"/>
      <c r="AB515" s="650"/>
      <c r="AC515" s="650"/>
    </row>
    <row r="516" spans="1:68" x14ac:dyDescent="0.2">
      <c r="A516" s="660"/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9"/>
      <c r="P516" s="663" t="s">
        <v>71</v>
      </c>
      <c r="Q516" s="664"/>
      <c r="R516" s="664"/>
      <c r="S516" s="664"/>
      <c r="T516" s="664"/>
      <c r="U516" s="664"/>
      <c r="V516" s="665"/>
      <c r="W516" s="37" t="s">
        <v>66</v>
      </c>
      <c r="X516" s="649">
        <f>IFERROR(SUM(X506:X514),"0")</f>
        <v>3334</v>
      </c>
      <c r="Y516" s="649">
        <f>IFERROR(SUM(Y506:Y514),"0")</f>
        <v>3341.76</v>
      </c>
      <c r="Z516" s="37"/>
      <c r="AA516" s="650"/>
      <c r="AB516" s="650"/>
      <c r="AC516" s="650"/>
    </row>
    <row r="517" spans="1:68" ht="14.25" hidden="1" customHeight="1" x14ac:dyDescent="0.25">
      <c r="A517" s="659" t="s">
        <v>147</v>
      </c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0"/>
      <c r="P517" s="660"/>
      <c r="Q517" s="660"/>
      <c r="R517" s="660"/>
      <c r="S517" s="660"/>
      <c r="T517" s="660"/>
      <c r="U517" s="660"/>
      <c r="V517" s="660"/>
      <c r="W517" s="660"/>
      <c r="X517" s="660"/>
      <c r="Y517" s="660"/>
      <c r="Z517" s="660"/>
      <c r="AA517" s="643"/>
      <c r="AB517" s="643"/>
      <c r="AC517" s="643"/>
    </row>
    <row r="518" spans="1:68" ht="16.5" customHeight="1" x14ac:dyDescent="0.25">
      <c r="A518" s="54" t="s">
        <v>821</v>
      </c>
      <c r="B518" s="54" t="s">
        <v>822</v>
      </c>
      <c r="C518" s="31">
        <v>4301020334</v>
      </c>
      <c r="D518" s="651">
        <v>4607091388930</v>
      </c>
      <c r="E518" s="652"/>
      <c r="F518" s="646">
        <v>0.88</v>
      </c>
      <c r="G518" s="32">
        <v>6</v>
      </c>
      <c r="H518" s="646">
        <v>5.28</v>
      </c>
      <c r="I518" s="646">
        <v>5.63</v>
      </c>
      <c r="J518" s="32">
        <v>104</v>
      </c>
      <c r="K518" s="32" t="s">
        <v>113</v>
      </c>
      <c r="L518" s="32"/>
      <c r="M518" s="33" t="s">
        <v>77</v>
      </c>
      <c r="N518" s="33"/>
      <c r="O518" s="32">
        <v>70</v>
      </c>
      <c r="P518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54"/>
      <c r="R518" s="654"/>
      <c r="S518" s="654"/>
      <c r="T518" s="655"/>
      <c r="U518" s="34"/>
      <c r="V518" s="34"/>
      <c r="W518" s="35" t="s">
        <v>66</v>
      </c>
      <c r="X518" s="647">
        <v>1752</v>
      </c>
      <c r="Y518" s="648">
        <f>IFERROR(IF(X518="",0,CEILING((X518/$H518),1)*$H518),"")</f>
        <v>1752.96</v>
      </c>
      <c r="Z518" s="36">
        <f>IFERROR(IF(Y518=0,"",ROUNDUP(Y518/H518,0)*0.01196),"")</f>
        <v>3.97072</v>
      </c>
      <c r="AA518" s="56"/>
      <c r="AB518" s="57"/>
      <c r="AC518" s="605" t="s">
        <v>823</v>
      </c>
      <c r="AG518" s="64"/>
      <c r="AJ518" s="68"/>
      <c r="AK518" s="68">
        <v>0</v>
      </c>
      <c r="BB518" s="606" t="s">
        <v>1</v>
      </c>
      <c r="BM518" s="64">
        <f>IFERROR(X518*I518/H518,"0")</f>
        <v>1868.1363636363635</v>
      </c>
      <c r="BN518" s="64">
        <f>IFERROR(Y518*I518/H518,"0")</f>
        <v>1869.16</v>
      </c>
      <c r="BO518" s="64">
        <f>IFERROR(1/J518*(X518/H518),"0")</f>
        <v>3.1905594405594409</v>
      </c>
      <c r="BP518" s="64">
        <f>IFERROR(1/J518*(Y518/H518),"0")</f>
        <v>3.1923076923076925</v>
      </c>
    </row>
    <row r="519" spans="1:68" ht="16.5" hidden="1" customHeight="1" x14ac:dyDescent="0.25">
      <c r="A519" s="54" t="s">
        <v>824</v>
      </c>
      <c r="B519" s="54" t="s">
        <v>825</v>
      </c>
      <c r="C519" s="31">
        <v>4301020374</v>
      </c>
      <c r="D519" s="651">
        <v>4680115886407</v>
      </c>
      <c r="E519" s="652"/>
      <c r="F519" s="646">
        <v>0.4</v>
      </c>
      <c r="G519" s="32">
        <v>6</v>
      </c>
      <c r="H519" s="646">
        <v>2.4</v>
      </c>
      <c r="I519" s="646">
        <v>2.58</v>
      </c>
      <c r="J519" s="32">
        <v>182</v>
      </c>
      <c r="K519" s="32" t="s">
        <v>76</v>
      </c>
      <c r="L519" s="32"/>
      <c r="M519" s="33" t="s">
        <v>114</v>
      </c>
      <c r="N519" s="33"/>
      <c r="O519" s="32">
        <v>70</v>
      </c>
      <c r="P519" s="8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54"/>
      <c r="R519" s="654"/>
      <c r="S519" s="654"/>
      <c r="T519" s="655"/>
      <c r="U519" s="34"/>
      <c r="V519" s="34"/>
      <c r="W519" s="35" t="s">
        <v>66</v>
      </c>
      <c r="X519" s="647">
        <v>0</v>
      </c>
      <c r="Y519" s="648">
        <f>IFERROR(IF(X519="",0,CEILING((X519/$H519),1)*$H519),"")</f>
        <v>0</v>
      </c>
      <c r="Z519" s="36" t="str">
        <f>IFERROR(IF(Y519=0,"",ROUNDUP(Y519/H519,0)*0.00651),"")</f>
        <v/>
      </c>
      <c r="AA519" s="56"/>
      <c r="AB519" s="57"/>
      <c r="AC519" s="607" t="s">
        <v>823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t="16.5" customHeight="1" x14ac:dyDescent="0.25">
      <c r="A520" s="54" t="s">
        <v>826</v>
      </c>
      <c r="B520" s="54" t="s">
        <v>827</v>
      </c>
      <c r="C520" s="31">
        <v>4301020385</v>
      </c>
      <c r="D520" s="651">
        <v>4680115880054</v>
      </c>
      <c r="E520" s="652"/>
      <c r="F520" s="646">
        <v>0.6</v>
      </c>
      <c r="G520" s="32">
        <v>8</v>
      </c>
      <c r="H520" s="646">
        <v>4.8</v>
      </c>
      <c r="I520" s="646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54"/>
      <c r="R520" s="654"/>
      <c r="S520" s="654"/>
      <c r="T520" s="655"/>
      <c r="U520" s="34"/>
      <c r="V520" s="34"/>
      <c r="W520" s="35" t="s">
        <v>66</v>
      </c>
      <c r="X520" s="647">
        <v>373</v>
      </c>
      <c r="Y520" s="648">
        <f>IFERROR(IF(X520="",0,CEILING((X520/$H520),1)*$H520),"")</f>
        <v>374.4</v>
      </c>
      <c r="Z520" s="36">
        <f>IFERROR(IF(Y520=0,"",ROUNDUP(Y520/H520,0)*0.00902),"")</f>
        <v>0.70355999999999996</v>
      </c>
      <c r="AA520" s="56"/>
      <c r="AB520" s="57"/>
      <c r="AC520" s="609" t="s">
        <v>823</v>
      </c>
      <c r="AG520" s="64"/>
      <c r="AJ520" s="68"/>
      <c r="AK520" s="68">
        <v>0</v>
      </c>
      <c r="BB520" s="610" t="s">
        <v>1</v>
      </c>
      <c r="BM520" s="64">
        <f>IFERROR(X520*I520/H520,"0")</f>
        <v>536.96458333333328</v>
      </c>
      <c r="BN520" s="64">
        <f>IFERROR(Y520*I520/H520,"0")</f>
        <v>538.98</v>
      </c>
      <c r="BO520" s="64">
        <f>IFERROR(1/J520*(X520/H520),"0")</f>
        <v>0.58869949494949503</v>
      </c>
      <c r="BP520" s="64">
        <f>IFERROR(1/J520*(Y520/H520),"0")</f>
        <v>0.59090909090909094</v>
      </c>
    </row>
    <row r="521" spans="1:68" x14ac:dyDescent="0.2">
      <c r="A521" s="668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9"/>
      <c r="P521" s="663" t="s">
        <v>71</v>
      </c>
      <c r="Q521" s="664"/>
      <c r="R521" s="664"/>
      <c r="S521" s="664"/>
      <c r="T521" s="664"/>
      <c r="U521" s="664"/>
      <c r="V521" s="665"/>
      <c r="W521" s="37" t="s">
        <v>72</v>
      </c>
      <c r="X521" s="649">
        <f>IFERROR(X518/H518,"0")+IFERROR(X519/H519,"0")+IFERROR(X520/H520,"0")</f>
        <v>409.52651515151513</v>
      </c>
      <c r="Y521" s="649">
        <f>IFERROR(Y518/H518,"0")+IFERROR(Y519/H519,"0")+IFERROR(Y520/H520,"0")</f>
        <v>410</v>
      </c>
      <c r="Z521" s="649">
        <f>IFERROR(IF(Z518="",0,Z518),"0")+IFERROR(IF(Z519="",0,Z519),"0")+IFERROR(IF(Z520="",0,Z520),"0")</f>
        <v>4.6742799999999995</v>
      </c>
      <c r="AA521" s="650"/>
      <c r="AB521" s="650"/>
      <c r="AC521" s="650"/>
    </row>
    <row r="522" spans="1:68" x14ac:dyDescent="0.2">
      <c r="A522" s="660"/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9"/>
      <c r="P522" s="663" t="s">
        <v>71</v>
      </c>
      <c r="Q522" s="664"/>
      <c r="R522" s="664"/>
      <c r="S522" s="664"/>
      <c r="T522" s="664"/>
      <c r="U522" s="664"/>
      <c r="V522" s="665"/>
      <c r="W522" s="37" t="s">
        <v>66</v>
      </c>
      <c r="X522" s="649">
        <f>IFERROR(SUM(X518:X520),"0")</f>
        <v>2125</v>
      </c>
      <c r="Y522" s="649">
        <f>IFERROR(SUM(Y518:Y520),"0")</f>
        <v>2127.36</v>
      </c>
      <c r="Z522" s="37"/>
      <c r="AA522" s="650"/>
      <c r="AB522" s="650"/>
      <c r="AC522" s="650"/>
    </row>
    <row r="523" spans="1:68" ht="14.25" hidden="1" customHeight="1" x14ac:dyDescent="0.25">
      <c r="A523" s="659" t="s">
        <v>61</v>
      </c>
      <c r="B523" s="660"/>
      <c r="C523" s="660"/>
      <c r="D523" s="660"/>
      <c r="E523" s="660"/>
      <c r="F523" s="660"/>
      <c r="G523" s="660"/>
      <c r="H523" s="660"/>
      <c r="I523" s="660"/>
      <c r="J523" s="660"/>
      <c r="K523" s="660"/>
      <c r="L523" s="660"/>
      <c r="M523" s="660"/>
      <c r="N523" s="660"/>
      <c r="O523" s="660"/>
      <c r="P523" s="660"/>
      <c r="Q523" s="660"/>
      <c r="R523" s="660"/>
      <c r="S523" s="660"/>
      <c r="T523" s="660"/>
      <c r="U523" s="660"/>
      <c r="V523" s="660"/>
      <c r="W523" s="660"/>
      <c r="X523" s="660"/>
      <c r="Y523" s="660"/>
      <c r="Z523" s="660"/>
      <c r="AA523" s="643"/>
      <c r="AB523" s="643"/>
      <c r="AC523" s="643"/>
    </row>
    <row r="524" spans="1:68" ht="27" customHeight="1" x14ac:dyDescent="0.25">
      <c r="A524" s="54" t="s">
        <v>828</v>
      </c>
      <c r="B524" s="54" t="s">
        <v>829</v>
      </c>
      <c r="C524" s="31">
        <v>4301031349</v>
      </c>
      <c r="D524" s="651">
        <v>4680115883116</v>
      </c>
      <c r="E524" s="652"/>
      <c r="F524" s="646">
        <v>0.88</v>
      </c>
      <c r="G524" s="32">
        <v>6</v>
      </c>
      <c r="H524" s="646">
        <v>5.28</v>
      </c>
      <c r="I524" s="646">
        <v>5.63</v>
      </c>
      <c r="J524" s="32">
        <v>104</v>
      </c>
      <c r="K524" s="32" t="s">
        <v>113</v>
      </c>
      <c r="L524" s="32"/>
      <c r="M524" s="33" t="s">
        <v>114</v>
      </c>
      <c r="N524" s="33"/>
      <c r="O524" s="32">
        <v>70</v>
      </c>
      <c r="P524" s="81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54"/>
      <c r="R524" s="654"/>
      <c r="S524" s="654"/>
      <c r="T524" s="655"/>
      <c r="U524" s="34"/>
      <c r="V524" s="34"/>
      <c r="W524" s="35" t="s">
        <v>66</v>
      </c>
      <c r="X524" s="647">
        <v>78</v>
      </c>
      <c r="Y524" s="648">
        <f t="shared" ref="Y524:Y530" si="84">IFERROR(IF(X524="",0,CEILING((X524/$H524),1)*$H524),"")</f>
        <v>79.2</v>
      </c>
      <c r="Z524" s="36">
        <f>IFERROR(IF(Y524=0,"",ROUNDUP(Y524/H524,0)*0.01196),"")</f>
        <v>0.1794</v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ref="BM524:BM530" si="85">IFERROR(X524*I524/H524,"0")</f>
        <v>83.170454545454533</v>
      </c>
      <c r="BN524" s="64">
        <f t="shared" ref="BN524:BN530" si="86">IFERROR(Y524*I524/H524,"0")</f>
        <v>84.45</v>
      </c>
      <c r="BO524" s="64">
        <f t="shared" ref="BO524:BO530" si="87">IFERROR(1/J524*(X524/H524),"0")</f>
        <v>0.14204545454545453</v>
      </c>
      <c r="BP524" s="64">
        <f t="shared" ref="BP524:BP530" si="88">IFERROR(1/J524*(Y524/H524),"0")</f>
        <v>0.14423076923076925</v>
      </c>
    </row>
    <row r="525" spans="1:68" ht="27" customHeight="1" x14ac:dyDescent="0.25">
      <c r="A525" s="54" t="s">
        <v>831</v>
      </c>
      <c r="B525" s="54" t="s">
        <v>832</v>
      </c>
      <c r="C525" s="31">
        <v>4301031350</v>
      </c>
      <c r="D525" s="651">
        <v>4680115883093</v>
      </c>
      <c r="E525" s="652"/>
      <c r="F525" s="646">
        <v>0.88</v>
      </c>
      <c r="G525" s="32">
        <v>6</v>
      </c>
      <c r="H525" s="646">
        <v>5.28</v>
      </c>
      <c r="I525" s="646">
        <v>5.63</v>
      </c>
      <c r="J525" s="32">
        <v>104</v>
      </c>
      <c r="K525" s="32" t="s">
        <v>113</v>
      </c>
      <c r="L525" s="32"/>
      <c r="M525" s="33" t="s">
        <v>65</v>
      </c>
      <c r="N525" s="33"/>
      <c r="O525" s="32">
        <v>70</v>
      </c>
      <c r="P525" s="92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54"/>
      <c r="R525" s="654"/>
      <c r="S525" s="654"/>
      <c r="T525" s="655"/>
      <c r="U525" s="34"/>
      <c r="V525" s="34"/>
      <c r="W525" s="35" t="s">
        <v>66</v>
      </c>
      <c r="X525" s="647">
        <v>777</v>
      </c>
      <c r="Y525" s="648">
        <f t="shared" si="84"/>
        <v>781.44</v>
      </c>
      <c r="Z525" s="36">
        <f>IFERROR(IF(Y525=0,"",ROUNDUP(Y525/H525,0)*0.01196),"")</f>
        <v>1.7700800000000001</v>
      </c>
      <c r="AA525" s="56"/>
      <c r="AB525" s="57"/>
      <c r="AC525" s="613" t="s">
        <v>833</v>
      </c>
      <c r="AG525" s="64"/>
      <c r="AJ525" s="68"/>
      <c r="AK525" s="68">
        <v>0</v>
      </c>
      <c r="BB525" s="614" t="s">
        <v>1</v>
      </c>
      <c r="BM525" s="64">
        <f t="shared" si="85"/>
        <v>828.50568181818187</v>
      </c>
      <c r="BN525" s="64">
        <f t="shared" si="86"/>
        <v>833.24</v>
      </c>
      <c r="BO525" s="64">
        <f t="shared" si="87"/>
        <v>1.4149912587412588</v>
      </c>
      <c r="BP525" s="64">
        <f t="shared" si="88"/>
        <v>1.4230769230769231</v>
      </c>
    </row>
    <row r="526" spans="1:68" ht="27" customHeight="1" x14ac:dyDescent="0.25">
      <c r="A526" s="54" t="s">
        <v>834</v>
      </c>
      <c r="B526" s="54" t="s">
        <v>835</v>
      </c>
      <c r="C526" s="31">
        <v>4301031353</v>
      </c>
      <c r="D526" s="651">
        <v>4680115883109</v>
      </c>
      <c r="E526" s="652"/>
      <c r="F526" s="646">
        <v>0.88</v>
      </c>
      <c r="G526" s="32">
        <v>6</v>
      </c>
      <c r="H526" s="646">
        <v>5.28</v>
      </c>
      <c r="I526" s="646">
        <v>5.63</v>
      </c>
      <c r="J526" s="32">
        <v>104</v>
      </c>
      <c r="K526" s="32" t="s">
        <v>113</v>
      </c>
      <c r="L526" s="32"/>
      <c r="M526" s="33" t="s">
        <v>65</v>
      </c>
      <c r="N526" s="33"/>
      <c r="O526" s="32">
        <v>70</v>
      </c>
      <c r="P526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54"/>
      <c r="R526" s="654"/>
      <c r="S526" s="654"/>
      <c r="T526" s="655"/>
      <c r="U526" s="34"/>
      <c r="V526" s="34"/>
      <c r="W526" s="35" t="s">
        <v>66</v>
      </c>
      <c r="X526" s="647">
        <v>881</v>
      </c>
      <c r="Y526" s="648">
        <f t="shared" si="84"/>
        <v>881.76</v>
      </c>
      <c r="Z526" s="36">
        <f>IFERROR(IF(Y526=0,"",ROUNDUP(Y526/H526,0)*0.01196),"")</f>
        <v>1.99732</v>
      </c>
      <c r="AA526" s="56"/>
      <c r="AB526" s="57"/>
      <c r="AC526" s="615" t="s">
        <v>836</v>
      </c>
      <c r="AG526" s="64"/>
      <c r="AJ526" s="68"/>
      <c r="AK526" s="68">
        <v>0</v>
      </c>
      <c r="BB526" s="616" t="s">
        <v>1</v>
      </c>
      <c r="BM526" s="64">
        <f t="shared" si="85"/>
        <v>939.39962121212113</v>
      </c>
      <c r="BN526" s="64">
        <f t="shared" si="86"/>
        <v>940.20999999999992</v>
      </c>
      <c r="BO526" s="64">
        <f t="shared" si="87"/>
        <v>1.6043851981351982</v>
      </c>
      <c r="BP526" s="64">
        <f t="shared" si="88"/>
        <v>1.6057692307692308</v>
      </c>
    </row>
    <row r="527" spans="1:68" ht="27" hidden="1" customHeight="1" x14ac:dyDescent="0.25">
      <c r="A527" s="54" t="s">
        <v>837</v>
      </c>
      <c r="B527" s="54" t="s">
        <v>838</v>
      </c>
      <c r="C527" s="31">
        <v>4301031419</v>
      </c>
      <c r="D527" s="651">
        <v>4680115882072</v>
      </c>
      <c r="E527" s="652"/>
      <c r="F527" s="646">
        <v>0.6</v>
      </c>
      <c r="G527" s="32">
        <v>8</v>
      </c>
      <c r="H527" s="646">
        <v>4.8</v>
      </c>
      <c r="I527" s="646">
        <v>6.91</v>
      </c>
      <c r="J527" s="32">
        <v>132</v>
      </c>
      <c r="K527" s="32" t="s">
        <v>122</v>
      </c>
      <c r="L527" s="32"/>
      <c r="M527" s="33" t="s">
        <v>114</v>
      </c>
      <c r="N527" s="33"/>
      <c r="O527" s="32">
        <v>70</v>
      </c>
      <c r="P527" s="72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54"/>
      <c r="R527" s="654"/>
      <c r="S527" s="654"/>
      <c r="T527" s="655"/>
      <c r="U527" s="34"/>
      <c r="V527" s="34"/>
      <c r="W527" s="35" t="s">
        <v>66</v>
      </c>
      <c r="X527" s="647">
        <v>0</v>
      </c>
      <c r="Y527" s="648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4301031352</v>
      </c>
      <c r="D528" s="651">
        <v>4680115882102</v>
      </c>
      <c r="E528" s="652"/>
      <c r="F528" s="646">
        <v>0.6</v>
      </c>
      <c r="G528" s="32">
        <v>6</v>
      </c>
      <c r="H528" s="646">
        <v>3.6</v>
      </c>
      <c r="I528" s="646">
        <v>3.79</v>
      </c>
      <c r="J528" s="32">
        <v>132</v>
      </c>
      <c r="K528" s="32" t="s">
        <v>122</v>
      </c>
      <c r="L528" s="32"/>
      <c r="M528" s="33" t="s">
        <v>65</v>
      </c>
      <c r="N528" s="33"/>
      <c r="O528" s="32">
        <v>70</v>
      </c>
      <c r="P528" s="100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54"/>
      <c r="R528" s="654"/>
      <c r="S528" s="654"/>
      <c r="T528" s="655"/>
      <c r="U528" s="34"/>
      <c r="V528" s="34"/>
      <c r="W528" s="35" t="s">
        <v>66</v>
      </c>
      <c r="X528" s="647">
        <v>0</v>
      </c>
      <c r="Y528" s="648">
        <f t="shared" si="84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5"/>
        <v>0</v>
      </c>
      <c r="BN528" s="64">
        <f t="shared" si="86"/>
        <v>0</v>
      </c>
      <c r="BO528" s="64">
        <f t="shared" si="87"/>
        <v>0</v>
      </c>
      <c r="BP528" s="64">
        <f t="shared" si="88"/>
        <v>0</v>
      </c>
    </row>
    <row r="529" spans="1:68" ht="27" hidden="1" customHeight="1" x14ac:dyDescent="0.25">
      <c r="A529" s="54" t="s">
        <v>839</v>
      </c>
      <c r="B529" s="54" t="s">
        <v>841</v>
      </c>
      <c r="C529" s="31">
        <v>4301031418</v>
      </c>
      <c r="D529" s="651">
        <v>4680115882102</v>
      </c>
      <c r="E529" s="652"/>
      <c r="F529" s="646">
        <v>0.6</v>
      </c>
      <c r="G529" s="32">
        <v>8</v>
      </c>
      <c r="H529" s="646">
        <v>4.8</v>
      </c>
      <c r="I529" s="646">
        <v>6.67</v>
      </c>
      <c r="J529" s="32">
        <v>132</v>
      </c>
      <c r="K529" s="32" t="s">
        <v>122</v>
      </c>
      <c r="L529" s="32"/>
      <c r="M529" s="33" t="s">
        <v>65</v>
      </c>
      <c r="N529" s="33"/>
      <c r="O529" s="32">
        <v>70</v>
      </c>
      <c r="P529" s="8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54"/>
      <c r="R529" s="654"/>
      <c r="S529" s="654"/>
      <c r="T529" s="655"/>
      <c r="U529" s="34"/>
      <c r="V529" s="34"/>
      <c r="W529" s="35" t="s">
        <v>66</v>
      </c>
      <c r="X529" s="647">
        <v>0</v>
      </c>
      <c r="Y529" s="648">
        <f t="shared" si="84"/>
        <v>0</v>
      </c>
      <c r="Z529" s="36" t="str">
        <f>IFERROR(IF(Y529=0,"",ROUNDUP(Y529/H529,0)*0.00902),"")</f>
        <v/>
      </c>
      <c r="AA529" s="56"/>
      <c r="AB529" s="57"/>
      <c r="AC529" s="621" t="s">
        <v>833</v>
      </c>
      <c r="AG529" s="64"/>
      <c r="AJ529" s="68"/>
      <c r="AK529" s="68">
        <v>0</v>
      </c>
      <c r="BB529" s="622" t="s">
        <v>1</v>
      </c>
      <c r="BM529" s="64">
        <f t="shared" si="85"/>
        <v>0</v>
      </c>
      <c r="BN529" s="64">
        <f t="shared" si="86"/>
        <v>0</v>
      </c>
      <c r="BO529" s="64">
        <f t="shared" si="87"/>
        <v>0</v>
      </c>
      <c r="BP529" s="64">
        <f t="shared" si="88"/>
        <v>0</v>
      </c>
    </row>
    <row r="530" spans="1:68" ht="27" hidden="1" customHeight="1" x14ac:dyDescent="0.25">
      <c r="A530" s="54" t="s">
        <v>842</v>
      </c>
      <c r="B530" s="54" t="s">
        <v>843</v>
      </c>
      <c r="C530" s="31">
        <v>4301031417</v>
      </c>
      <c r="D530" s="651">
        <v>4680115882096</v>
      </c>
      <c r="E530" s="652"/>
      <c r="F530" s="646">
        <v>0.6</v>
      </c>
      <c r="G530" s="32">
        <v>8</v>
      </c>
      <c r="H530" s="646">
        <v>4.8</v>
      </c>
      <c r="I530" s="646">
        <v>6.67</v>
      </c>
      <c r="J530" s="32">
        <v>132</v>
      </c>
      <c r="K530" s="32" t="s">
        <v>122</v>
      </c>
      <c r="L530" s="32"/>
      <c r="M530" s="33" t="s">
        <v>65</v>
      </c>
      <c r="N530" s="33"/>
      <c r="O530" s="32">
        <v>70</v>
      </c>
      <c r="P530" s="89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54"/>
      <c r="R530" s="654"/>
      <c r="S530" s="654"/>
      <c r="T530" s="655"/>
      <c r="U530" s="34"/>
      <c r="V530" s="34"/>
      <c r="W530" s="35" t="s">
        <v>66</v>
      </c>
      <c r="X530" s="647">
        <v>0</v>
      </c>
      <c r="Y530" s="648">
        <f t="shared" si="84"/>
        <v>0</v>
      </c>
      <c r="Z530" s="36" t="str">
        <f>IFERROR(IF(Y530=0,"",ROUNDUP(Y530/H530,0)*0.00902),"")</f>
        <v/>
      </c>
      <c r="AA530" s="56"/>
      <c r="AB530" s="57"/>
      <c r="AC530" s="623" t="s">
        <v>836</v>
      </c>
      <c r="AG530" s="64"/>
      <c r="AJ530" s="68"/>
      <c r="AK530" s="68">
        <v>0</v>
      </c>
      <c r="BB530" s="624" t="s">
        <v>1</v>
      </c>
      <c r="BM530" s="64">
        <f t="shared" si="85"/>
        <v>0</v>
      </c>
      <c r="BN530" s="64">
        <f t="shared" si="86"/>
        <v>0</v>
      </c>
      <c r="BO530" s="64">
        <f t="shared" si="87"/>
        <v>0</v>
      </c>
      <c r="BP530" s="64">
        <f t="shared" si="88"/>
        <v>0</v>
      </c>
    </row>
    <row r="531" spans="1:68" x14ac:dyDescent="0.2">
      <c r="A531" s="668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9"/>
      <c r="P531" s="663" t="s">
        <v>71</v>
      </c>
      <c r="Q531" s="664"/>
      <c r="R531" s="664"/>
      <c r="S531" s="664"/>
      <c r="T531" s="664"/>
      <c r="U531" s="664"/>
      <c r="V531" s="665"/>
      <c r="W531" s="37" t="s">
        <v>72</v>
      </c>
      <c r="X531" s="649">
        <f>IFERROR(X524/H524,"0")+IFERROR(X525/H525,"0")+IFERROR(X526/H526,"0")+IFERROR(X527/H527,"0")+IFERROR(X528/H528,"0")+IFERROR(X529/H529,"0")+IFERROR(X530/H530,"0")</f>
        <v>328.78787878787875</v>
      </c>
      <c r="Y531" s="649">
        <f>IFERROR(Y524/H524,"0")+IFERROR(Y525/H525,"0")+IFERROR(Y526/H526,"0")+IFERROR(Y527/H527,"0")+IFERROR(Y528/H528,"0")+IFERROR(Y529/H529,"0")+IFERROR(Y530/H530,"0")</f>
        <v>330</v>
      </c>
      <c r="Z531" s="649">
        <f>IFERROR(IF(Z524="",0,Z524),"0")+IFERROR(IF(Z525="",0,Z525),"0")+IFERROR(IF(Z526="",0,Z526),"0")+IFERROR(IF(Z527="",0,Z527),"0")+IFERROR(IF(Z528="",0,Z528),"0")+IFERROR(IF(Z529="",0,Z529),"0")+IFERROR(IF(Z530="",0,Z530),"0")</f>
        <v>3.9468000000000001</v>
      </c>
      <c r="AA531" s="650"/>
      <c r="AB531" s="650"/>
      <c r="AC531" s="650"/>
    </row>
    <row r="532" spans="1:68" x14ac:dyDescent="0.2">
      <c r="A532" s="660"/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9"/>
      <c r="P532" s="663" t="s">
        <v>71</v>
      </c>
      <c r="Q532" s="664"/>
      <c r="R532" s="664"/>
      <c r="S532" s="664"/>
      <c r="T532" s="664"/>
      <c r="U532" s="664"/>
      <c r="V532" s="665"/>
      <c r="W532" s="37" t="s">
        <v>66</v>
      </c>
      <c r="X532" s="649">
        <f>IFERROR(SUM(X524:X530),"0")</f>
        <v>1736</v>
      </c>
      <c r="Y532" s="649">
        <f>IFERROR(SUM(Y524:Y530),"0")</f>
        <v>1742.4</v>
      </c>
      <c r="Z532" s="37"/>
      <c r="AA532" s="650"/>
      <c r="AB532" s="650"/>
      <c r="AC532" s="650"/>
    </row>
    <row r="533" spans="1:68" ht="27.75" hidden="1" customHeight="1" x14ac:dyDescent="0.2">
      <c r="A533" s="661" t="s">
        <v>844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48"/>
      <c r="AB533" s="48"/>
      <c r="AC533" s="48"/>
    </row>
    <row r="534" spans="1:68" ht="16.5" hidden="1" customHeight="1" x14ac:dyDescent="0.25">
      <c r="A534" s="672" t="s">
        <v>844</v>
      </c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0"/>
      <c r="P534" s="660"/>
      <c r="Q534" s="660"/>
      <c r="R534" s="660"/>
      <c r="S534" s="660"/>
      <c r="T534" s="660"/>
      <c r="U534" s="660"/>
      <c r="V534" s="660"/>
      <c r="W534" s="660"/>
      <c r="X534" s="660"/>
      <c r="Y534" s="660"/>
      <c r="Z534" s="660"/>
      <c r="AA534" s="642"/>
      <c r="AB534" s="642"/>
      <c r="AC534" s="642"/>
    </row>
    <row r="535" spans="1:68" ht="14.25" hidden="1" customHeight="1" x14ac:dyDescent="0.25">
      <c r="A535" s="659" t="s">
        <v>110</v>
      </c>
      <c r="B535" s="660"/>
      <c r="C535" s="660"/>
      <c r="D535" s="660"/>
      <c r="E535" s="660"/>
      <c r="F535" s="660"/>
      <c r="G535" s="660"/>
      <c r="H535" s="660"/>
      <c r="I535" s="660"/>
      <c r="J535" s="660"/>
      <c r="K535" s="660"/>
      <c r="L535" s="660"/>
      <c r="M535" s="660"/>
      <c r="N535" s="660"/>
      <c r="O535" s="660"/>
      <c r="P535" s="660"/>
      <c r="Q535" s="660"/>
      <c r="R535" s="660"/>
      <c r="S535" s="660"/>
      <c r="T535" s="660"/>
      <c r="U535" s="660"/>
      <c r="V535" s="660"/>
      <c r="W535" s="660"/>
      <c r="X535" s="660"/>
      <c r="Y535" s="660"/>
      <c r="Z535" s="660"/>
      <c r="AA535" s="643"/>
      <c r="AB535" s="643"/>
      <c r="AC535" s="643"/>
    </row>
    <row r="536" spans="1:68" ht="27" hidden="1" customHeight="1" x14ac:dyDescent="0.25">
      <c r="A536" s="54" t="s">
        <v>845</v>
      </c>
      <c r="B536" s="54" t="s">
        <v>846</v>
      </c>
      <c r="C536" s="31">
        <v>4301011584</v>
      </c>
      <c r="D536" s="651">
        <v>4640242180564</v>
      </c>
      <c r="E536" s="652"/>
      <c r="F536" s="646">
        <v>1.5</v>
      </c>
      <c r="G536" s="32">
        <v>8</v>
      </c>
      <c r="H536" s="646">
        <v>12</v>
      </c>
      <c r="I536" s="646">
        <v>12.41</v>
      </c>
      <c r="J536" s="32">
        <v>64</v>
      </c>
      <c r="K536" s="32" t="s">
        <v>113</v>
      </c>
      <c r="L536" s="32"/>
      <c r="M536" s="33" t="s">
        <v>114</v>
      </c>
      <c r="N536" s="33"/>
      <c r="O536" s="32">
        <v>50</v>
      </c>
      <c r="P536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54"/>
      <c r="R536" s="654"/>
      <c r="S536" s="654"/>
      <c r="T536" s="655"/>
      <c r="U536" s="34"/>
      <c r="V536" s="34"/>
      <c r="W536" s="35" t="s">
        <v>66</v>
      </c>
      <c r="X536" s="647">
        <v>0</v>
      </c>
      <c r="Y536" s="648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25" t="s">
        <v>847</v>
      </c>
      <c r="AG536" s="64"/>
      <c r="AJ536" s="68"/>
      <c r="AK536" s="68">
        <v>0</v>
      </c>
      <c r="BB536" s="626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68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9"/>
      <c r="P537" s="663" t="s">
        <v>71</v>
      </c>
      <c r="Q537" s="664"/>
      <c r="R537" s="664"/>
      <c r="S537" s="664"/>
      <c r="T537" s="664"/>
      <c r="U537" s="664"/>
      <c r="V537" s="665"/>
      <c r="W537" s="37" t="s">
        <v>72</v>
      </c>
      <c r="X537" s="649">
        <f>IFERROR(X536/H536,"0")</f>
        <v>0</v>
      </c>
      <c r="Y537" s="649">
        <f>IFERROR(Y536/H536,"0")</f>
        <v>0</v>
      </c>
      <c r="Z537" s="649">
        <f>IFERROR(IF(Z536="",0,Z536),"0")</f>
        <v>0</v>
      </c>
      <c r="AA537" s="650"/>
      <c r="AB537" s="650"/>
      <c r="AC537" s="650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9"/>
      <c r="P538" s="663" t="s">
        <v>71</v>
      </c>
      <c r="Q538" s="664"/>
      <c r="R538" s="664"/>
      <c r="S538" s="664"/>
      <c r="T538" s="664"/>
      <c r="U538" s="664"/>
      <c r="V538" s="665"/>
      <c r="W538" s="37" t="s">
        <v>66</v>
      </c>
      <c r="X538" s="649">
        <f>IFERROR(SUM(X536:X536),"0")</f>
        <v>0</v>
      </c>
      <c r="Y538" s="649">
        <f>IFERROR(SUM(Y536:Y536),"0")</f>
        <v>0</v>
      </c>
      <c r="Z538" s="37"/>
      <c r="AA538" s="650"/>
      <c r="AB538" s="650"/>
      <c r="AC538" s="650"/>
    </row>
    <row r="539" spans="1:68" ht="14.25" hidden="1" customHeight="1" x14ac:dyDescent="0.25">
      <c r="A539" s="659" t="s">
        <v>147</v>
      </c>
      <c r="B539" s="660"/>
      <c r="C539" s="660"/>
      <c r="D539" s="660"/>
      <c r="E539" s="660"/>
      <c r="F539" s="660"/>
      <c r="G539" s="660"/>
      <c r="H539" s="660"/>
      <c r="I539" s="660"/>
      <c r="J539" s="660"/>
      <c r="K539" s="660"/>
      <c r="L539" s="660"/>
      <c r="M539" s="660"/>
      <c r="N539" s="660"/>
      <c r="O539" s="660"/>
      <c r="P539" s="660"/>
      <c r="Q539" s="660"/>
      <c r="R539" s="660"/>
      <c r="S539" s="660"/>
      <c r="T539" s="660"/>
      <c r="U539" s="660"/>
      <c r="V539" s="660"/>
      <c r="W539" s="660"/>
      <c r="X539" s="660"/>
      <c r="Y539" s="660"/>
      <c r="Z539" s="660"/>
      <c r="AA539" s="643"/>
      <c r="AB539" s="643"/>
      <c r="AC539" s="643"/>
    </row>
    <row r="540" spans="1:68" ht="27" hidden="1" customHeight="1" x14ac:dyDescent="0.25">
      <c r="A540" s="54" t="s">
        <v>848</v>
      </c>
      <c r="B540" s="54" t="s">
        <v>849</v>
      </c>
      <c r="C540" s="31">
        <v>4301020444</v>
      </c>
      <c r="D540" s="651">
        <v>4680115889781</v>
      </c>
      <c r="E540" s="652"/>
      <c r="F540" s="646">
        <v>1.5</v>
      </c>
      <c r="G540" s="32">
        <v>8</v>
      </c>
      <c r="H540" s="646">
        <v>12</v>
      </c>
      <c r="I540" s="646">
        <v>12.41</v>
      </c>
      <c r="J540" s="32">
        <v>64</v>
      </c>
      <c r="K540" s="32" t="s">
        <v>113</v>
      </c>
      <c r="L540" s="32"/>
      <c r="M540" s="33" t="s">
        <v>77</v>
      </c>
      <c r="N540" s="33"/>
      <c r="O540" s="32">
        <v>50</v>
      </c>
      <c r="P540" s="87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54"/>
      <c r="R540" s="654"/>
      <c r="S540" s="654"/>
      <c r="T540" s="655"/>
      <c r="U540" s="34"/>
      <c r="V540" s="34"/>
      <c r="W540" s="35" t="s">
        <v>66</v>
      </c>
      <c r="X540" s="647">
        <v>0</v>
      </c>
      <c r="Y540" s="648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27" t="s">
        <v>723</v>
      </c>
      <c r="AG540" s="64"/>
      <c r="AJ540" s="68"/>
      <c r="AK540" s="68">
        <v>0</v>
      </c>
      <c r="BB540" s="628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68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9"/>
      <c r="P541" s="663" t="s">
        <v>71</v>
      </c>
      <c r="Q541" s="664"/>
      <c r="R541" s="664"/>
      <c r="S541" s="664"/>
      <c r="T541" s="664"/>
      <c r="U541" s="664"/>
      <c r="V541" s="665"/>
      <c r="W541" s="37" t="s">
        <v>72</v>
      </c>
      <c r="X541" s="649">
        <f>IFERROR(X540/H540,"0")</f>
        <v>0</v>
      </c>
      <c r="Y541" s="649">
        <f>IFERROR(Y540/H540,"0")</f>
        <v>0</v>
      </c>
      <c r="Z541" s="649">
        <f>IFERROR(IF(Z540="",0,Z540),"0")</f>
        <v>0</v>
      </c>
      <c r="AA541" s="650"/>
      <c r="AB541" s="650"/>
      <c r="AC541" s="650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9"/>
      <c r="P542" s="663" t="s">
        <v>71</v>
      </c>
      <c r="Q542" s="664"/>
      <c r="R542" s="664"/>
      <c r="S542" s="664"/>
      <c r="T542" s="664"/>
      <c r="U542" s="664"/>
      <c r="V542" s="665"/>
      <c r="W542" s="37" t="s">
        <v>66</v>
      </c>
      <c r="X542" s="649">
        <f>IFERROR(SUM(X540:X540),"0")</f>
        <v>0</v>
      </c>
      <c r="Y542" s="649">
        <f>IFERROR(SUM(Y540:Y540),"0")</f>
        <v>0</v>
      </c>
      <c r="Z542" s="37"/>
      <c r="AA542" s="650"/>
      <c r="AB542" s="650"/>
      <c r="AC542" s="650"/>
    </row>
    <row r="543" spans="1:68" ht="14.25" hidden="1" customHeight="1" x14ac:dyDescent="0.25">
      <c r="A543" s="659" t="s">
        <v>61</v>
      </c>
      <c r="B543" s="660"/>
      <c r="C543" s="660"/>
      <c r="D543" s="660"/>
      <c r="E543" s="660"/>
      <c r="F543" s="660"/>
      <c r="G543" s="660"/>
      <c r="H543" s="660"/>
      <c r="I543" s="660"/>
      <c r="J543" s="660"/>
      <c r="K543" s="660"/>
      <c r="L543" s="660"/>
      <c r="M543" s="660"/>
      <c r="N543" s="660"/>
      <c r="O543" s="660"/>
      <c r="P543" s="660"/>
      <c r="Q543" s="660"/>
      <c r="R543" s="660"/>
      <c r="S543" s="660"/>
      <c r="T543" s="660"/>
      <c r="U543" s="660"/>
      <c r="V543" s="660"/>
      <c r="W543" s="660"/>
      <c r="X543" s="660"/>
      <c r="Y543" s="660"/>
      <c r="Z543" s="660"/>
      <c r="AA543" s="643"/>
      <c r="AB543" s="643"/>
      <c r="AC543" s="643"/>
    </row>
    <row r="544" spans="1:68" ht="27" hidden="1" customHeight="1" x14ac:dyDescent="0.25">
      <c r="A544" s="54" t="s">
        <v>850</v>
      </c>
      <c r="B544" s="54" t="s">
        <v>851</v>
      </c>
      <c r="C544" s="31">
        <v>4301031500</v>
      </c>
      <c r="D544" s="651">
        <v>4640242180595</v>
      </c>
      <c r="E544" s="652"/>
      <c r="F544" s="646">
        <v>0.7</v>
      </c>
      <c r="G544" s="32">
        <v>6</v>
      </c>
      <c r="H544" s="646">
        <v>4.2</v>
      </c>
      <c r="I544" s="646">
        <v>4.45</v>
      </c>
      <c r="J544" s="32">
        <v>132</v>
      </c>
      <c r="K544" s="32" t="s">
        <v>122</v>
      </c>
      <c r="L544" s="32"/>
      <c r="M544" s="33" t="s">
        <v>65</v>
      </c>
      <c r="N544" s="33"/>
      <c r="O544" s="32">
        <v>40</v>
      </c>
      <c r="P544" s="82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54"/>
      <c r="R544" s="654"/>
      <c r="S544" s="654"/>
      <c r="T544" s="655"/>
      <c r="U544" s="34"/>
      <c r="V544" s="34"/>
      <c r="W544" s="35" t="s">
        <v>66</v>
      </c>
      <c r="X544" s="647">
        <v>0</v>
      </c>
      <c r="Y544" s="648">
        <f>IFERROR(IF(X544="",0,CEILING((X544/$H544),1)*$H544),"")</f>
        <v>0</v>
      </c>
      <c r="Z544" s="36" t="str">
        <f>IFERROR(IF(Y544=0,"",ROUNDUP(Y544/H544,0)*0.00902),"")</f>
        <v/>
      </c>
      <c r="AA544" s="56"/>
      <c r="AB544" s="57"/>
      <c r="AC544" s="629" t="s">
        <v>852</v>
      </c>
      <c r="AG544" s="64"/>
      <c r="AJ544" s="68"/>
      <c r="AK544" s="68">
        <v>0</v>
      </c>
      <c r="BB544" s="63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68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9"/>
      <c r="P545" s="663" t="s">
        <v>71</v>
      </c>
      <c r="Q545" s="664"/>
      <c r="R545" s="664"/>
      <c r="S545" s="664"/>
      <c r="T545" s="664"/>
      <c r="U545" s="664"/>
      <c r="V545" s="665"/>
      <c r="W545" s="37" t="s">
        <v>72</v>
      </c>
      <c r="X545" s="649">
        <f>IFERROR(X544/H544,"0")</f>
        <v>0</v>
      </c>
      <c r="Y545" s="649">
        <f>IFERROR(Y544/H544,"0")</f>
        <v>0</v>
      </c>
      <c r="Z545" s="649">
        <f>IFERROR(IF(Z544="",0,Z544),"0")</f>
        <v>0</v>
      </c>
      <c r="AA545" s="650"/>
      <c r="AB545" s="650"/>
      <c r="AC545" s="650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9"/>
      <c r="P546" s="663" t="s">
        <v>71</v>
      </c>
      <c r="Q546" s="664"/>
      <c r="R546" s="664"/>
      <c r="S546" s="664"/>
      <c r="T546" s="664"/>
      <c r="U546" s="664"/>
      <c r="V546" s="665"/>
      <c r="W546" s="37" t="s">
        <v>66</v>
      </c>
      <c r="X546" s="649">
        <f>IFERROR(SUM(X544:X544),"0")</f>
        <v>0</v>
      </c>
      <c r="Y546" s="649">
        <f>IFERROR(SUM(Y544:Y544),"0")</f>
        <v>0</v>
      </c>
      <c r="Z546" s="37"/>
      <c r="AA546" s="650"/>
      <c r="AB546" s="650"/>
      <c r="AC546" s="650"/>
    </row>
    <row r="547" spans="1:68" ht="14.25" hidden="1" customHeight="1" x14ac:dyDescent="0.25">
      <c r="A547" s="659" t="s">
        <v>73</v>
      </c>
      <c r="B547" s="660"/>
      <c r="C547" s="660"/>
      <c r="D547" s="660"/>
      <c r="E547" s="660"/>
      <c r="F547" s="660"/>
      <c r="G547" s="660"/>
      <c r="H547" s="660"/>
      <c r="I547" s="660"/>
      <c r="J547" s="660"/>
      <c r="K547" s="660"/>
      <c r="L547" s="660"/>
      <c r="M547" s="660"/>
      <c r="N547" s="660"/>
      <c r="O547" s="660"/>
      <c r="P547" s="660"/>
      <c r="Q547" s="660"/>
      <c r="R547" s="660"/>
      <c r="S547" s="660"/>
      <c r="T547" s="660"/>
      <c r="U547" s="660"/>
      <c r="V547" s="660"/>
      <c r="W547" s="660"/>
      <c r="X547" s="660"/>
      <c r="Y547" s="660"/>
      <c r="Z547" s="660"/>
      <c r="AA547" s="643"/>
      <c r="AB547" s="643"/>
      <c r="AC547" s="643"/>
    </row>
    <row r="548" spans="1:68" ht="27" hidden="1" customHeight="1" x14ac:dyDescent="0.25">
      <c r="A548" s="54" t="s">
        <v>853</v>
      </c>
      <c r="B548" s="54" t="s">
        <v>854</v>
      </c>
      <c r="C548" s="31">
        <v>4301052282</v>
      </c>
      <c r="D548" s="651">
        <v>4680115889811</v>
      </c>
      <c r="E548" s="652"/>
      <c r="F548" s="646">
        <v>1.5</v>
      </c>
      <c r="G548" s="32">
        <v>6</v>
      </c>
      <c r="H548" s="646">
        <v>9</v>
      </c>
      <c r="I548" s="646">
        <v>9.4939999999999998</v>
      </c>
      <c r="J548" s="32">
        <v>64</v>
      </c>
      <c r="K548" s="32" t="s">
        <v>113</v>
      </c>
      <c r="L548" s="32"/>
      <c r="M548" s="33" t="s">
        <v>77</v>
      </c>
      <c r="N548" s="33"/>
      <c r="O548" s="32">
        <v>45</v>
      </c>
      <c r="P548" s="778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54"/>
      <c r="R548" s="654"/>
      <c r="S548" s="654"/>
      <c r="T548" s="655"/>
      <c r="U548" s="34"/>
      <c r="V548" s="34"/>
      <c r="W548" s="35" t="s">
        <v>66</v>
      </c>
      <c r="X548" s="647">
        <v>0</v>
      </c>
      <c r="Y548" s="64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855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68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9"/>
      <c r="P549" s="663" t="s">
        <v>71</v>
      </c>
      <c r="Q549" s="664"/>
      <c r="R549" s="664"/>
      <c r="S549" s="664"/>
      <c r="T549" s="664"/>
      <c r="U549" s="664"/>
      <c r="V549" s="665"/>
      <c r="W549" s="37" t="s">
        <v>72</v>
      </c>
      <c r="X549" s="649">
        <f>IFERROR(X548/H548,"0")</f>
        <v>0</v>
      </c>
      <c r="Y549" s="649">
        <f>IFERROR(Y548/H548,"0")</f>
        <v>0</v>
      </c>
      <c r="Z549" s="649">
        <f>IFERROR(IF(Z548="",0,Z548),"0")</f>
        <v>0</v>
      </c>
      <c r="AA549" s="650"/>
      <c r="AB549" s="650"/>
      <c r="AC549" s="650"/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9"/>
      <c r="P550" s="663" t="s">
        <v>71</v>
      </c>
      <c r="Q550" s="664"/>
      <c r="R550" s="664"/>
      <c r="S550" s="664"/>
      <c r="T550" s="664"/>
      <c r="U550" s="664"/>
      <c r="V550" s="665"/>
      <c r="W550" s="37" t="s">
        <v>66</v>
      </c>
      <c r="X550" s="649">
        <f>IFERROR(SUM(X548:X548),"0")</f>
        <v>0</v>
      </c>
      <c r="Y550" s="649">
        <f>IFERROR(SUM(Y548:Y548),"0")</f>
        <v>0</v>
      </c>
      <c r="Z550" s="37"/>
      <c r="AA550" s="650"/>
      <c r="AB550" s="650"/>
      <c r="AC550" s="650"/>
    </row>
    <row r="551" spans="1:68" ht="14.25" hidden="1" customHeight="1" x14ac:dyDescent="0.25">
      <c r="A551" s="659" t="s">
        <v>166</v>
      </c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0"/>
      <c r="P551" s="660"/>
      <c r="Q551" s="660"/>
      <c r="R551" s="660"/>
      <c r="S551" s="660"/>
      <c r="T551" s="660"/>
      <c r="U551" s="660"/>
      <c r="V551" s="660"/>
      <c r="W551" s="660"/>
      <c r="X551" s="660"/>
      <c r="Y551" s="660"/>
      <c r="Z551" s="660"/>
      <c r="AA551" s="643"/>
      <c r="AB551" s="643"/>
      <c r="AC551" s="643"/>
    </row>
    <row r="552" spans="1:68" ht="27" hidden="1" customHeight="1" x14ac:dyDescent="0.25">
      <c r="A552" s="54" t="s">
        <v>856</v>
      </c>
      <c r="B552" s="54" t="s">
        <v>857</v>
      </c>
      <c r="C552" s="31">
        <v>4301060543</v>
      </c>
      <c r="D552" s="651">
        <v>4680115889804</v>
      </c>
      <c r="E552" s="652"/>
      <c r="F552" s="646">
        <v>1.5</v>
      </c>
      <c r="G552" s="32">
        <v>6</v>
      </c>
      <c r="H552" s="646">
        <v>9</v>
      </c>
      <c r="I552" s="646">
        <v>9.41</v>
      </c>
      <c r="J552" s="32">
        <v>64</v>
      </c>
      <c r="K552" s="32" t="s">
        <v>113</v>
      </c>
      <c r="L552" s="32"/>
      <c r="M552" s="33" t="s">
        <v>77</v>
      </c>
      <c r="N552" s="33"/>
      <c r="O552" s="32">
        <v>40</v>
      </c>
      <c r="P552" s="70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54"/>
      <c r="R552" s="654"/>
      <c r="S552" s="654"/>
      <c r="T552" s="655"/>
      <c r="U552" s="34"/>
      <c r="V552" s="34"/>
      <c r="W552" s="35" t="s">
        <v>66</v>
      </c>
      <c r="X552" s="647">
        <v>0</v>
      </c>
      <c r="Y552" s="648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33" t="s">
        <v>858</v>
      </c>
      <c r="AG552" s="64"/>
      <c r="AJ552" s="68"/>
      <c r="AK552" s="68">
        <v>0</v>
      </c>
      <c r="BB552" s="634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hidden="1" customHeight="1" x14ac:dyDescent="0.25">
      <c r="A553" s="54" t="s">
        <v>859</v>
      </c>
      <c r="B553" s="54" t="s">
        <v>860</v>
      </c>
      <c r="C553" s="31">
        <v>4301060544</v>
      </c>
      <c r="D553" s="651">
        <v>4680115889828</v>
      </c>
      <c r="E553" s="652"/>
      <c r="F553" s="646">
        <v>1.5</v>
      </c>
      <c r="G553" s="32">
        <v>6</v>
      </c>
      <c r="H553" s="646">
        <v>9</v>
      </c>
      <c r="I553" s="646">
        <v>9.41</v>
      </c>
      <c r="J553" s="32">
        <v>64</v>
      </c>
      <c r="K553" s="32" t="s">
        <v>113</v>
      </c>
      <c r="L553" s="32"/>
      <c r="M553" s="33" t="s">
        <v>77</v>
      </c>
      <c r="N553" s="33"/>
      <c r="O553" s="32">
        <v>40</v>
      </c>
      <c r="P553" s="73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54"/>
      <c r="R553" s="654"/>
      <c r="S553" s="654"/>
      <c r="T553" s="655"/>
      <c r="U553" s="34"/>
      <c r="V553" s="34"/>
      <c r="W553" s="35" t="s">
        <v>66</v>
      </c>
      <c r="X553" s="647">
        <v>0</v>
      </c>
      <c r="Y553" s="648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5" t="s">
        <v>861</v>
      </c>
      <c r="AG553" s="64"/>
      <c r="AJ553" s="68"/>
      <c r="AK553" s="68">
        <v>0</v>
      </c>
      <c r="BB553" s="636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68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9"/>
      <c r="P554" s="663" t="s">
        <v>71</v>
      </c>
      <c r="Q554" s="664"/>
      <c r="R554" s="664"/>
      <c r="S554" s="664"/>
      <c r="T554" s="664"/>
      <c r="U554" s="664"/>
      <c r="V554" s="665"/>
      <c r="W554" s="37" t="s">
        <v>72</v>
      </c>
      <c r="X554" s="649">
        <f>IFERROR(X552/H552,"0")+IFERROR(X553/H553,"0")</f>
        <v>0</v>
      </c>
      <c r="Y554" s="649">
        <f>IFERROR(Y552/H552,"0")+IFERROR(Y553/H553,"0")</f>
        <v>0</v>
      </c>
      <c r="Z554" s="649">
        <f>IFERROR(IF(Z552="",0,Z552),"0")+IFERROR(IF(Z553="",0,Z553),"0")</f>
        <v>0</v>
      </c>
      <c r="AA554" s="650"/>
      <c r="AB554" s="650"/>
      <c r="AC554" s="650"/>
    </row>
    <row r="555" spans="1:68" hidden="1" x14ac:dyDescent="0.2">
      <c r="A555" s="660"/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9"/>
      <c r="P555" s="663" t="s">
        <v>71</v>
      </c>
      <c r="Q555" s="664"/>
      <c r="R555" s="664"/>
      <c r="S555" s="664"/>
      <c r="T555" s="664"/>
      <c r="U555" s="664"/>
      <c r="V555" s="665"/>
      <c r="W555" s="37" t="s">
        <v>66</v>
      </c>
      <c r="X555" s="649">
        <f>IFERROR(SUM(X552:X553),"0")</f>
        <v>0</v>
      </c>
      <c r="Y555" s="649">
        <f>IFERROR(SUM(Y552:Y553),"0")</f>
        <v>0</v>
      </c>
      <c r="Z555" s="37"/>
      <c r="AA555" s="650"/>
      <c r="AB555" s="650"/>
      <c r="AC555" s="650"/>
    </row>
    <row r="556" spans="1:68" ht="16.5" hidden="1" customHeight="1" x14ac:dyDescent="0.25">
      <c r="A556" s="672" t="s">
        <v>862</v>
      </c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0"/>
      <c r="P556" s="660"/>
      <c r="Q556" s="660"/>
      <c r="R556" s="660"/>
      <c r="S556" s="660"/>
      <c r="T556" s="660"/>
      <c r="U556" s="660"/>
      <c r="V556" s="660"/>
      <c r="W556" s="660"/>
      <c r="X556" s="660"/>
      <c r="Y556" s="660"/>
      <c r="Z556" s="660"/>
      <c r="AA556" s="642"/>
      <c r="AB556" s="642"/>
      <c r="AC556" s="642"/>
    </row>
    <row r="557" spans="1:68" ht="14.25" hidden="1" customHeight="1" x14ac:dyDescent="0.25">
      <c r="A557" s="659" t="s">
        <v>147</v>
      </c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0"/>
      <c r="P557" s="660"/>
      <c r="Q557" s="660"/>
      <c r="R557" s="660"/>
      <c r="S557" s="660"/>
      <c r="T557" s="660"/>
      <c r="U557" s="660"/>
      <c r="V557" s="660"/>
      <c r="W557" s="660"/>
      <c r="X557" s="660"/>
      <c r="Y557" s="660"/>
      <c r="Z557" s="660"/>
      <c r="AA557" s="643"/>
      <c r="AB557" s="643"/>
      <c r="AC557" s="643"/>
    </row>
    <row r="558" spans="1:68" ht="27" hidden="1" customHeight="1" x14ac:dyDescent="0.25">
      <c r="A558" s="54" t="s">
        <v>863</v>
      </c>
      <c r="B558" s="54" t="s">
        <v>864</v>
      </c>
      <c r="C558" s="31">
        <v>4301020441</v>
      </c>
      <c r="D558" s="651">
        <v>4680115889798</v>
      </c>
      <c r="E558" s="652"/>
      <c r="F558" s="646">
        <v>1.5</v>
      </c>
      <c r="G558" s="32">
        <v>8</v>
      </c>
      <c r="H558" s="646">
        <v>12</v>
      </c>
      <c r="I558" s="646">
        <v>12.41</v>
      </c>
      <c r="J558" s="32">
        <v>64</v>
      </c>
      <c r="K558" s="32" t="s">
        <v>113</v>
      </c>
      <c r="L558" s="32"/>
      <c r="M558" s="33" t="s">
        <v>114</v>
      </c>
      <c r="N558" s="33"/>
      <c r="O558" s="32">
        <v>50</v>
      </c>
      <c r="P558" s="8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54"/>
      <c r="R558" s="654"/>
      <c r="S558" s="654"/>
      <c r="T558" s="655"/>
      <c r="U558" s="34"/>
      <c r="V558" s="34"/>
      <c r="W558" s="35" t="s">
        <v>66</v>
      </c>
      <c r="X558" s="647">
        <v>0</v>
      </c>
      <c r="Y558" s="648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37" t="s">
        <v>865</v>
      </c>
      <c r="AG558" s="64"/>
      <c r="AJ558" s="68"/>
      <c r="AK558" s="68">
        <v>0</v>
      </c>
      <c r="BB558" s="638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hidden="1" x14ac:dyDescent="0.2">
      <c r="A559" s="668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9"/>
      <c r="P559" s="663" t="s">
        <v>71</v>
      </c>
      <c r="Q559" s="664"/>
      <c r="R559" s="664"/>
      <c r="S559" s="664"/>
      <c r="T559" s="664"/>
      <c r="U559" s="664"/>
      <c r="V559" s="665"/>
      <c r="W559" s="37" t="s">
        <v>72</v>
      </c>
      <c r="X559" s="649">
        <f>IFERROR(X558/H558,"0")</f>
        <v>0</v>
      </c>
      <c r="Y559" s="649">
        <f>IFERROR(Y558/H558,"0")</f>
        <v>0</v>
      </c>
      <c r="Z559" s="649">
        <f>IFERROR(IF(Z558="",0,Z558),"0")</f>
        <v>0</v>
      </c>
      <c r="AA559" s="650"/>
      <c r="AB559" s="650"/>
      <c r="AC559" s="650"/>
    </row>
    <row r="560" spans="1:68" hidden="1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9"/>
      <c r="P560" s="663" t="s">
        <v>71</v>
      </c>
      <c r="Q560" s="664"/>
      <c r="R560" s="664"/>
      <c r="S560" s="664"/>
      <c r="T560" s="664"/>
      <c r="U560" s="664"/>
      <c r="V560" s="665"/>
      <c r="W560" s="37" t="s">
        <v>66</v>
      </c>
      <c r="X560" s="649">
        <f>IFERROR(SUM(X558:X558),"0")</f>
        <v>0</v>
      </c>
      <c r="Y560" s="649">
        <f>IFERROR(SUM(Y558:Y558),"0")</f>
        <v>0</v>
      </c>
      <c r="Z560" s="37"/>
      <c r="AA560" s="650"/>
      <c r="AB560" s="650"/>
      <c r="AC560" s="650"/>
    </row>
    <row r="561" spans="1:32" ht="15" customHeight="1" x14ac:dyDescent="0.2">
      <c r="A561" s="979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833"/>
      <c r="P561" s="701" t="s">
        <v>866</v>
      </c>
      <c r="Q561" s="702"/>
      <c r="R561" s="702"/>
      <c r="S561" s="702"/>
      <c r="T561" s="702"/>
      <c r="U561" s="702"/>
      <c r="V561" s="703"/>
      <c r="W561" s="37" t="s">
        <v>66</v>
      </c>
      <c r="X561" s="649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15405</v>
      </c>
      <c r="Y561" s="649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15542.44</v>
      </c>
      <c r="Z561" s="37"/>
      <c r="AA561" s="650"/>
      <c r="AB561" s="650"/>
      <c r="AC561" s="650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833"/>
      <c r="P562" s="701" t="s">
        <v>867</v>
      </c>
      <c r="Q562" s="702"/>
      <c r="R562" s="702"/>
      <c r="S562" s="702"/>
      <c r="T562" s="702"/>
      <c r="U562" s="702"/>
      <c r="V562" s="703"/>
      <c r="W562" s="37" t="s">
        <v>66</v>
      </c>
      <c r="X562" s="649">
        <f>IFERROR(SUM(BM22:BM558),"0")</f>
        <v>16539.583124930625</v>
      </c>
      <c r="Y562" s="649">
        <f>IFERROR(SUM(BN22:BN558),"0")</f>
        <v>16684.919999999998</v>
      </c>
      <c r="Z562" s="37"/>
      <c r="AA562" s="650"/>
      <c r="AB562" s="650"/>
      <c r="AC562" s="650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833"/>
      <c r="P563" s="701" t="s">
        <v>868</v>
      </c>
      <c r="Q563" s="702"/>
      <c r="R563" s="702"/>
      <c r="S563" s="702"/>
      <c r="T563" s="702"/>
      <c r="U563" s="702"/>
      <c r="V563" s="703"/>
      <c r="W563" s="37" t="s">
        <v>869</v>
      </c>
      <c r="X563" s="38">
        <f>ROUNDUP(SUM(BO22:BO558),0)</f>
        <v>27</v>
      </c>
      <c r="Y563" s="38">
        <f>ROUNDUP(SUM(BP22:BP558),0)</f>
        <v>27</v>
      </c>
      <c r="Z563" s="37"/>
      <c r="AA563" s="650"/>
      <c r="AB563" s="650"/>
      <c r="AC563" s="650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833"/>
      <c r="P564" s="701" t="s">
        <v>870</v>
      </c>
      <c r="Q564" s="702"/>
      <c r="R564" s="702"/>
      <c r="S564" s="702"/>
      <c r="T564" s="702"/>
      <c r="U564" s="702"/>
      <c r="V564" s="703"/>
      <c r="W564" s="37" t="s">
        <v>66</v>
      </c>
      <c r="X564" s="649">
        <f>GrossWeightTotal+PalletQtyTotal*25</f>
        <v>17214.583124930625</v>
      </c>
      <c r="Y564" s="649">
        <f>GrossWeightTotalR+PalletQtyTotalR*25</f>
        <v>17359.919999999998</v>
      </c>
      <c r="Z564" s="37"/>
      <c r="AA564" s="650"/>
      <c r="AB564" s="650"/>
      <c r="AC564" s="650"/>
    </row>
    <row r="565" spans="1:32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833"/>
      <c r="P565" s="701" t="s">
        <v>871</v>
      </c>
      <c r="Q565" s="702"/>
      <c r="R565" s="702"/>
      <c r="S565" s="702"/>
      <c r="T565" s="702"/>
      <c r="U565" s="702"/>
      <c r="V565" s="703"/>
      <c r="W565" s="37" t="s">
        <v>869</v>
      </c>
      <c r="X565" s="649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2448.341401191401</v>
      </c>
      <c r="Y565" s="649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2470</v>
      </c>
      <c r="Z565" s="37"/>
      <c r="AA565" s="650"/>
      <c r="AB565" s="650"/>
      <c r="AC565" s="650"/>
    </row>
    <row r="566" spans="1:32" ht="14.25" hidden="1" customHeight="1" x14ac:dyDescent="0.2">
      <c r="A566" s="660"/>
      <c r="B566" s="660"/>
      <c r="C566" s="660"/>
      <c r="D566" s="660"/>
      <c r="E566" s="660"/>
      <c r="F566" s="660"/>
      <c r="G566" s="660"/>
      <c r="H566" s="660"/>
      <c r="I566" s="660"/>
      <c r="J566" s="660"/>
      <c r="K566" s="660"/>
      <c r="L566" s="660"/>
      <c r="M566" s="660"/>
      <c r="N566" s="660"/>
      <c r="O566" s="833"/>
      <c r="P566" s="701" t="s">
        <v>872</v>
      </c>
      <c r="Q566" s="702"/>
      <c r="R566" s="702"/>
      <c r="S566" s="702"/>
      <c r="T566" s="702"/>
      <c r="U566" s="702"/>
      <c r="V566" s="703"/>
      <c r="W566" s="39" t="s">
        <v>873</v>
      </c>
      <c r="X566" s="37"/>
      <c r="Y566" s="37"/>
      <c r="Z566" s="37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31.99184</v>
      </c>
      <c r="AA566" s="650"/>
      <c r="AB566" s="650"/>
      <c r="AC566" s="650"/>
    </row>
    <row r="567" spans="1:32" ht="13.5" customHeight="1" thickBot="1" x14ac:dyDescent="0.25"/>
    <row r="568" spans="1:32" ht="27" customHeight="1" thickTop="1" thickBot="1" x14ac:dyDescent="0.25">
      <c r="A568" s="40" t="s">
        <v>874</v>
      </c>
      <c r="B568" s="644" t="s">
        <v>60</v>
      </c>
      <c r="C568" s="644" t="s">
        <v>91</v>
      </c>
      <c r="D568" s="684" t="s">
        <v>108</v>
      </c>
      <c r="E568" s="727"/>
      <c r="F568" s="727"/>
      <c r="G568" s="727"/>
      <c r="H568" s="727"/>
      <c r="I568" s="727"/>
      <c r="J568" s="685"/>
      <c r="K568" s="684" t="s">
        <v>340</v>
      </c>
      <c r="L568" s="727"/>
      <c r="M568" s="727"/>
      <c r="N568" s="727"/>
      <c r="O568" s="727"/>
      <c r="P568" s="727"/>
      <c r="Q568" s="727"/>
      <c r="R568" s="727"/>
      <c r="S568" s="727"/>
      <c r="T568" s="727"/>
      <c r="U568" s="727"/>
      <c r="V568" s="685"/>
      <c r="W568" s="684" t="s">
        <v>695</v>
      </c>
      <c r="X568" s="685"/>
      <c r="Y568" s="684" t="s">
        <v>761</v>
      </c>
      <c r="Z568" s="685"/>
      <c r="AA568" s="644" t="s">
        <v>797</v>
      </c>
      <c r="AB568" s="684" t="s">
        <v>844</v>
      </c>
      <c r="AC568" s="685"/>
      <c r="AF568" s="645"/>
    </row>
    <row r="569" spans="1:32" ht="14.25" customHeight="1" thickTop="1" x14ac:dyDescent="0.2">
      <c r="A569" s="711" t="s">
        <v>875</v>
      </c>
      <c r="B569" s="684" t="s">
        <v>60</v>
      </c>
      <c r="C569" s="684" t="s">
        <v>92</v>
      </c>
      <c r="D569" s="684" t="s">
        <v>109</v>
      </c>
      <c r="E569" s="684" t="s">
        <v>125</v>
      </c>
      <c r="F569" s="684" t="s">
        <v>174</v>
      </c>
      <c r="G569" s="684" t="s">
        <v>197</v>
      </c>
      <c r="H569" s="684" t="s">
        <v>243</v>
      </c>
      <c r="I569" s="684" t="s">
        <v>256</v>
      </c>
      <c r="J569" s="684" t="s">
        <v>108</v>
      </c>
      <c r="K569" s="684" t="s">
        <v>341</v>
      </c>
      <c r="L569" s="684" t="s">
        <v>362</v>
      </c>
      <c r="M569" s="684" t="s">
        <v>436</v>
      </c>
      <c r="N569" s="645"/>
      <c r="O569" s="684" t="s">
        <v>504</v>
      </c>
      <c r="P569" s="684" t="s">
        <v>533</v>
      </c>
      <c r="Q569" s="684" t="s">
        <v>553</v>
      </c>
      <c r="R569" s="684" t="s">
        <v>562</v>
      </c>
      <c r="S569" s="684" t="s">
        <v>583</v>
      </c>
      <c r="T569" s="684" t="s">
        <v>592</v>
      </c>
      <c r="U569" s="684" t="s">
        <v>678</v>
      </c>
      <c r="V569" s="684" t="s">
        <v>685</v>
      </c>
      <c r="W569" s="684" t="s">
        <v>696</v>
      </c>
      <c r="X569" s="684" t="s">
        <v>745</v>
      </c>
      <c r="Y569" s="684" t="s">
        <v>762</v>
      </c>
      <c r="Z569" s="684" t="s">
        <v>785</v>
      </c>
      <c r="AA569" s="684" t="s">
        <v>797</v>
      </c>
      <c r="AB569" s="684" t="s">
        <v>844</v>
      </c>
      <c r="AC569" s="684" t="s">
        <v>862</v>
      </c>
      <c r="AF569" s="645"/>
    </row>
    <row r="570" spans="1:32" ht="13.5" customHeight="1" thickBot="1" x14ac:dyDescent="0.25">
      <c r="A570" s="712"/>
      <c r="B570" s="710"/>
      <c r="C570" s="710"/>
      <c r="D570" s="710"/>
      <c r="E570" s="710"/>
      <c r="F570" s="710"/>
      <c r="G570" s="710"/>
      <c r="H570" s="710"/>
      <c r="I570" s="710"/>
      <c r="J570" s="710"/>
      <c r="K570" s="710"/>
      <c r="L570" s="710"/>
      <c r="M570" s="710"/>
      <c r="N570" s="645"/>
      <c r="O570" s="710"/>
      <c r="P570" s="710"/>
      <c r="Q570" s="710"/>
      <c r="R570" s="710"/>
      <c r="S570" s="710"/>
      <c r="T570" s="710"/>
      <c r="U570" s="710"/>
      <c r="V570" s="710"/>
      <c r="W570" s="710"/>
      <c r="X570" s="710"/>
      <c r="Y570" s="710"/>
      <c r="Z570" s="710"/>
      <c r="AA570" s="710"/>
      <c r="AB570" s="710"/>
      <c r="AC570" s="710"/>
      <c r="AF570" s="645"/>
    </row>
    <row r="571" spans="1:32" ht="18" customHeight="1" thickTop="1" thickBot="1" x14ac:dyDescent="0.25">
      <c r="A571" s="40" t="s">
        <v>876</v>
      </c>
      <c r="B571" s="46">
        <f>IFERROR(Y22*1,"0")+IFERROR(Y23*1,"0")+IFERROR(Y27*1,"0")+IFERROR(Y28*1,"0")+IFERROR(Y29*1,"0")+IFERROR(Y30*1,"0")+IFERROR(Y31*1,"0")</f>
        <v>0</v>
      </c>
      <c r="C571" s="46">
        <f>IFERROR(Y37*1,"0")+IFERROR(Y38*1,"0")+IFERROR(Y39*1,"0")+IFERROR(Y40*1,"0")+IFERROR(Y41*1,"0")</f>
        <v>0</v>
      </c>
      <c r="D571" s="46">
        <f>IFERROR(Y47*1,"0")+IFERROR(Y48*1,"0")+IFERROR(Y49*1,"0")+IFERROR(Y50*1,"0")</f>
        <v>734.40000000000009</v>
      </c>
      <c r="E571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522</v>
      </c>
      <c r="F571" s="46">
        <f>IFERROR(Y87*1,"0")+IFERROR(Y88*1,"0")+IFERROR(Y89*1,"0")+IFERROR(Y90*1,"0")+IFERROR(Y91*1,"0")+IFERROR(Y95*1,"0")+IFERROR(Y96*1,"0")+IFERROR(Y97*1,"0")+IFERROR(Y98*1,"0")</f>
        <v>367.20000000000005</v>
      </c>
      <c r="G571" s="46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974.69999999999993</v>
      </c>
      <c r="H571" s="46">
        <f>IFERROR(Y135*1,"0")+IFERROR(Y136*1,"0")+IFERROR(Y140*1,"0")+IFERROR(Y141*1,"0")+IFERROR(Y145*1,"0")+IFERROR(Y146*1,"0")</f>
        <v>0</v>
      </c>
      <c r="I571" s="46">
        <f>IFERROR(Y151*1,"0")+IFERROR(Y152*1,"0")+IFERROR(Y153*1,"0")+IFERROR(Y154*1,"0")+IFERROR(Y155*1,"0")+IFERROR(Y156*1,"0")+IFERROR(Y160*1,"0")</f>
        <v>0</v>
      </c>
      <c r="J571" s="46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387.52000000000004</v>
      </c>
      <c r="K571" s="46">
        <f>IFERROR(Y207*1,"0")+IFERROR(Y208*1,"0")+IFERROR(Y209*1,"0")+IFERROR(Y210*1,"0")+IFERROR(Y211*1,"0")+IFERROR(Y212*1,"0")+IFERROR(Y213*1,"0")</f>
        <v>0</v>
      </c>
      <c r="L571" s="46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128.1</v>
      </c>
      <c r="M571" s="46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770.4</v>
      </c>
      <c r="N571" s="645"/>
      <c r="O571" s="46">
        <f>IFERROR(Y305*1,"0")+IFERROR(Y306*1,"0")+IFERROR(Y307*1,"0")+IFERROR(Y308*1,"0")+IFERROR(Y309*1,"0")+IFERROR(Y310*1,"0")+IFERROR(Y311*1,"0")+IFERROR(Y315*1,"0")+IFERROR(Y319*1,"0")+IFERROR(Y323*1,"0")</f>
        <v>0</v>
      </c>
      <c r="P571" s="46">
        <f>IFERROR(Y328*1,"0")+IFERROR(Y329*1,"0")+IFERROR(Y330*1,"0")+IFERROR(Y331*1,"0")+IFERROR(Y332*1,"0")+IFERROR(Y333*1,"0")</f>
        <v>0</v>
      </c>
      <c r="Q571" s="46">
        <f>IFERROR(Y338*1,"0")+IFERROR(Y339*1,"0")+IFERROR(Y340*1,"0")</f>
        <v>122.4</v>
      </c>
      <c r="R571" s="46">
        <f>IFERROR(Y345*1,"0")+IFERROR(Y346*1,"0")+IFERROR(Y347*1,"0")+IFERROR(Y348*1,"0")+IFERROR(Y349*1,"0")+IFERROR(Y353*1,"0")+IFERROR(Y354*1,"0")</f>
        <v>0</v>
      </c>
      <c r="S571" s="46">
        <f>IFERROR(Y359*1,"0")+IFERROR(Y360*1,"0")+IFERROR(Y361*1,"0")</f>
        <v>265.2</v>
      </c>
      <c r="T571" s="46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343.2</v>
      </c>
      <c r="U571" s="46">
        <f>IFERROR(Y419*1,"0")+IFERROR(Y420*1,"0")</f>
        <v>0</v>
      </c>
      <c r="V571" s="46">
        <f>IFERROR(Y425*1,"0")+IFERROR(Y426*1,"0")+IFERROR(Y427*1,"0")</f>
        <v>0</v>
      </c>
      <c r="W571" s="46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2880</v>
      </c>
      <c r="X571" s="46">
        <f>IFERROR(Y462*1,"0")+IFERROR(Y463*1,"0")+IFERROR(Y467*1,"0")+IFERROR(Y471*1,"0")+IFERROR(Y472*1,"0")+IFERROR(Y473*1,"0")</f>
        <v>835.8</v>
      </c>
      <c r="Y571" s="46">
        <f>IFERROR(Y479*1,"0")+IFERROR(Y480*1,"0")+IFERROR(Y481*1,"0")+IFERROR(Y482*1,"0")+IFERROR(Y483*1,"0")+IFERROR(Y484*1,"0")+IFERROR(Y488*1,"0")+IFERROR(Y489*1,"0")</f>
        <v>0</v>
      </c>
      <c r="Z571" s="46">
        <f>IFERROR(Y494*1,"0")+IFERROR(Y498*1,"0")+IFERROR(Y499*1,"0")+IFERROR(Y500*1,"0")</f>
        <v>0</v>
      </c>
      <c r="AA571" s="46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7211.52</v>
      </c>
      <c r="AB571" s="46">
        <f>IFERROR(Y536*1,"0")+IFERROR(Y540*1,"0")+IFERROR(Y544*1,"0")+IFERROR(Y548*1,"0")+IFERROR(Y552*1,"0")+IFERROR(Y553*1,"0")</f>
        <v>0</v>
      </c>
      <c r="AC571" s="46">
        <f>IFERROR(Y558*1,"0")</f>
        <v>0</v>
      </c>
      <c r="AF571" s="645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0,00"/>
        <filter val="1 736,00"/>
        <filter val="1 752,00"/>
        <filter val="1 813,00"/>
        <filter val="10,56"/>
        <filter val="102,35"/>
        <filter val="104,00"/>
        <filter val="108,00"/>
        <filter val="114,00"/>
        <filter val="12,04"/>
        <filter val="120,00"/>
        <filter val="126,00"/>
        <filter val="130,00"/>
        <filter val="135,00"/>
        <filter val="15 405,00"/>
        <filter val="150,02"/>
        <filter val="153,76"/>
        <filter val="155,00"/>
        <filter val="16 539,58"/>
        <filter val="16,00"/>
        <filter val="17 214,58"/>
        <filter val="174,40"/>
        <filter val="2 125,00"/>
        <filter val="2 448,34"/>
        <filter val="2 616,00"/>
        <filter val="207,00"/>
        <filter val="22,00"/>
        <filter val="223,00"/>
        <filter val="240,00"/>
        <filter val="259,00"/>
        <filter val="267,00"/>
        <filter val="27"/>
        <filter val="3 334,00"/>
        <filter val="32,00"/>
        <filter val="328,79"/>
        <filter val="33,21"/>
        <filter val="33,61"/>
        <filter val="337,00"/>
        <filter val="35,24"/>
        <filter val="363,00"/>
        <filter val="37,00"/>
        <filter val="373,00"/>
        <filter val="380,00"/>
        <filter val="389,00"/>
        <filter val="395,00"/>
        <filter val="40,72"/>
        <filter val="409,53"/>
        <filter val="41,30"/>
        <filter val="43,21"/>
        <filter val="44,00"/>
        <filter val="50,00"/>
        <filter val="52,00"/>
        <filter val="524,00"/>
        <filter val="58,00"/>
        <filter val="638,50"/>
        <filter val="67,13"/>
        <filter val="725,00"/>
        <filter val="777,00"/>
        <filter val="78,00"/>
        <filter val="829,00"/>
        <filter val="83,00"/>
        <filter val="881,00"/>
        <filter val="93,00"/>
      </filters>
    </filterColumn>
    <filterColumn colId="29" showButton="0"/>
    <filterColumn colId="30" showButton="0"/>
  </autoFilter>
  <mergeCells count="1007">
    <mergeCell ref="A557:Z557"/>
    <mergeCell ref="A364:Z364"/>
    <mergeCell ref="P126:T126"/>
    <mergeCell ref="A217:Z217"/>
    <mergeCell ref="P218:T218"/>
    <mergeCell ref="A21:Z21"/>
    <mergeCell ref="D184:E184"/>
    <mergeCell ref="A355:O356"/>
    <mergeCell ref="D568:J568"/>
    <mergeCell ref="A129:Z129"/>
    <mergeCell ref="D192:E192"/>
    <mergeCell ref="A99:O100"/>
    <mergeCell ref="P296:V296"/>
    <mergeCell ref="P507:T507"/>
    <mergeCell ref="P356:V356"/>
    <mergeCell ref="A468:O469"/>
    <mergeCell ref="P338:T338"/>
    <mergeCell ref="D173:E173"/>
    <mergeCell ref="D471:E471"/>
    <mergeCell ref="P71:T71"/>
    <mergeCell ref="D123:E123"/>
    <mergeCell ref="P307:T307"/>
    <mergeCell ref="P444:T444"/>
    <mergeCell ref="P500:T500"/>
    <mergeCell ref="D50:E50"/>
    <mergeCell ref="A188:O189"/>
    <mergeCell ref="P58:T58"/>
    <mergeCell ref="D286:E286"/>
    <mergeCell ref="Y17:Y18"/>
    <mergeCell ref="D57:E57"/>
    <mergeCell ref="A8:C8"/>
    <mergeCell ref="P124:T124"/>
    <mergeCell ref="D293:E293"/>
    <mergeCell ref="P360:T360"/>
    <mergeCell ref="D268:E268"/>
    <mergeCell ref="P151:T151"/>
    <mergeCell ref="A137:O138"/>
    <mergeCell ref="D395:E395"/>
    <mergeCell ref="P138:V138"/>
    <mergeCell ref="P496:V496"/>
    <mergeCell ref="P374:V374"/>
    <mergeCell ref="D97:E97"/>
    <mergeCell ref="A10:C10"/>
    <mergeCell ref="D553:E553"/>
    <mergeCell ref="A497:Z497"/>
    <mergeCell ref="D17:E18"/>
    <mergeCell ref="X17:X18"/>
    <mergeCell ref="P528:T528"/>
    <mergeCell ref="A204:Z204"/>
    <mergeCell ref="P294:T294"/>
    <mergeCell ref="P219:V219"/>
    <mergeCell ref="W569:W570"/>
    <mergeCell ref="A206:Z206"/>
    <mergeCell ref="Y569:Y570"/>
    <mergeCell ref="P510:T510"/>
    <mergeCell ref="A504:Z504"/>
    <mergeCell ref="A262:Z262"/>
    <mergeCell ref="A35:Z35"/>
    <mergeCell ref="D483:E483"/>
    <mergeCell ref="A42:O43"/>
    <mergeCell ref="V12:W12"/>
    <mergeCell ref="P319:T319"/>
    <mergeCell ref="D191:E191"/>
    <mergeCell ref="D433:E433"/>
    <mergeCell ref="P368:T368"/>
    <mergeCell ref="A265:O266"/>
    <mergeCell ref="P43:V43"/>
    <mergeCell ref="A337:Z337"/>
    <mergeCell ref="A142:O143"/>
    <mergeCell ref="A373:O374"/>
    <mergeCell ref="P501:V501"/>
    <mergeCell ref="A202:O203"/>
    <mergeCell ref="P60:T60"/>
    <mergeCell ref="D291:E291"/>
    <mergeCell ref="D552:E552"/>
    <mergeCell ref="P397:V397"/>
    <mergeCell ref="D95:E95"/>
    <mergeCell ref="U17:V17"/>
    <mergeCell ref="D331:E331"/>
    <mergeCell ref="N17:N18"/>
    <mergeCell ref="D49:E49"/>
    <mergeCell ref="Q5:R5"/>
    <mergeCell ref="B569:B570"/>
    <mergeCell ref="P370:T370"/>
    <mergeCell ref="D242:E242"/>
    <mergeCell ref="D569:D570"/>
    <mergeCell ref="F17:F18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A383:O384"/>
    <mergeCell ref="A24:O25"/>
    <mergeCell ref="P136:T136"/>
    <mergeCell ref="P70:T70"/>
    <mergeCell ref="P434:T434"/>
    <mergeCell ref="P263:T263"/>
    <mergeCell ref="D244:E244"/>
    <mergeCell ref="P228:T228"/>
    <mergeCell ref="P499:T499"/>
    <mergeCell ref="P293:T293"/>
    <mergeCell ref="D407:E407"/>
    <mergeCell ref="A447:O448"/>
    <mergeCell ref="Q6:R6"/>
    <mergeCell ref="A267:Z267"/>
    <mergeCell ref="P243:T243"/>
    <mergeCell ref="P436:T436"/>
    <mergeCell ref="V569:V570"/>
    <mergeCell ref="P349:T349"/>
    <mergeCell ref="D243:E243"/>
    <mergeCell ref="X569:X570"/>
    <mergeCell ref="P420:T420"/>
    <mergeCell ref="P78:V78"/>
    <mergeCell ref="D528:E528"/>
    <mergeCell ref="P363:V363"/>
    <mergeCell ref="D310:E310"/>
    <mergeCell ref="AD17:AF18"/>
    <mergeCell ref="P142:V142"/>
    <mergeCell ref="P403:V403"/>
    <mergeCell ref="A430:Z430"/>
    <mergeCell ref="D76:E76"/>
    <mergeCell ref="F5:G5"/>
    <mergeCell ref="P169:V169"/>
    <mergeCell ref="A221:Z221"/>
    <mergeCell ref="P442:V442"/>
    <mergeCell ref="P67:T67"/>
    <mergeCell ref="P509:T509"/>
    <mergeCell ref="P186:T186"/>
    <mergeCell ref="A334:O335"/>
    <mergeCell ref="P253:T253"/>
    <mergeCell ref="P82:T82"/>
    <mergeCell ref="P469:V469"/>
    <mergeCell ref="V11:W11"/>
    <mergeCell ref="D457:E457"/>
    <mergeCell ref="P57:T57"/>
    <mergeCell ref="P367:T367"/>
    <mergeCell ref="A561:O566"/>
    <mergeCell ref="D165:E165"/>
    <mergeCell ref="P75:T75"/>
    <mergeCell ref="P2:W3"/>
    <mergeCell ref="D437:E437"/>
    <mergeCell ref="P369:T369"/>
    <mergeCell ref="D508:E508"/>
    <mergeCell ref="P347:T347"/>
    <mergeCell ref="A415:O416"/>
    <mergeCell ref="D241:E241"/>
    <mergeCell ref="D228:E228"/>
    <mergeCell ref="P412:T412"/>
    <mergeCell ref="D333:E333"/>
    <mergeCell ref="D526:E526"/>
    <mergeCell ref="P312:V312"/>
    <mergeCell ref="D10:E10"/>
    <mergeCell ref="P135:T135"/>
    <mergeCell ref="P191:T191"/>
    <mergeCell ref="F10:G10"/>
    <mergeCell ref="D305:E305"/>
    <mergeCell ref="P146:T146"/>
    <mergeCell ref="D323:E323"/>
    <mergeCell ref="D152:E152"/>
    <mergeCell ref="D394:E394"/>
    <mergeCell ref="D450:E450"/>
    <mergeCell ref="D279:E279"/>
    <mergeCell ref="D223:E223"/>
    <mergeCell ref="A428:O429"/>
    <mergeCell ref="P181:T181"/>
    <mergeCell ref="D29:E29"/>
    <mergeCell ref="D23:E23"/>
    <mergeCell ref="P195:V195"/>
    <mergeCell ref="A20:Z20"/>
    <mergeCell ref="A194:O195"/>
    <mergeCell ref="D452:E452"/>
    <mergeCell ref="M17:M18"/>
    <mergeCell ref="O17:O18"/>
    <mergeCell ref="P131:V131"/>
    <mergeCell ref="P429:V429"/>
    <mergeCell ref="A453:O454"/>
    <mergeCell ref="P174:V174"/>
    <mergeCell ref="P52:V52"/>
    <mergeCell ref="P350:V350"/>
    <mergeCell ref="P410:V410"/>
    <mergeCell ref="A533:Z533"/>
    <mergeCell ref="P189:V189"/>
    <mergeCell ref="D177:E177"/>
    <mergeCell ref="P281:V281"/>
    <mergeCell ref="P354:T354"/>
    <mergeCell ref="D226:E226"/>
    <mergeCell ref="P183:T183"/>
    <mergeCell ref="D462:E462"/>
    <mergeCell ref="P62:T62"/>
    <mergeCell ref="A318:Z318"/>
    <mergeCell ref="D252:E252"/>
    <mergeCell ref="P123:T123"/>
    <mergeCell ref="P110:T110"/>
    <mergeCell ref="P408:T408"/>
    <mergeCell ref="D218:E218"/>
    <mergeCell ref="P137:V137"/>
    <mergeCell ref="D247:E247"/>
    <mergeCell ref="P495:V495"/>
    <mergeCell ref="P351:V351"/>
    <mergeCell ref="A176:Z176"/>
    <mergeCell ref="P422:V422"/>
    <mergeCell ref="A314:Z314"/>
    <mergeCell ref="A114:Z114"/>
    <mergeCell ref="P295:T295"/>
    <mergeCell ref="P178:T178"/>
    <mergeCell ref="P276:T276"/>
    <mergeCell ref="P105:T105"/>
    <mergeCell ref="P463:T463"/>
    <mergeCell ref="D213:E213"/>
    <mergeCell ref="D151:E151"/>
    <mergeCell ref="A64:O65"/>
    <mergeCell ref="A362:O363"/>
    <mergeCell ref="P428:V428"/>
    <mergeCell ref="P49:T49"/>
    <mergeCell ref="A551:Z551"/>
    <mergeCell ref="P278:T278"/>
    <mergeCell ref="P107:T107"/>
    <mergeCell ref="D386:E386"/>
    <mergeCell ref="A255:O256"/>
    <mergeCell ref="D513:E513"/>
    <mergeCell ref="P250:V250"/>
    <mergeCell ref="P194:V194"/>
    <mergeCell ref="D544:E544"/>
    <mergeCell ref="P536:T536"/>
    <mergeCell ref="A534:Z534"/>
    <mergeCell ref="A539:Z539"/>
    <mergeCell ref="A257:Z257"/>
    <mergeCell ref="P439:T439"/>
    <mergeCell ref="P433:T433"/>
    <mergeCell ref="D276:E276"/>
    <mergeCell ref="D105:E105"/>
    <mergeCell ref="A83:O84"/>
    <mergeCell ref="A476:Z476"/>
    <mergeCell ref="P132:V132"/>
    <mergeCell ref="P292:T292"/>
    <mergeCell ref="P569:P570"/>
    <mergeCell ref="D227:E227"/>
    <mergeCell ref="H569:H570"/>
    <mergeCell ref="D525:E525"/>
    <mergeCell ref="A9:C9"/>
    <mergeCell ref="P125:T125"/>
    <mergeCell ref="D58:E58"/>
    <mergeCell ref="D500:E500"/>
    <mergeCell ref="D294:E294"/>
    <mergeCell ref="P348:T348"/>
    <mergeCell ref="A298:Z298"/>
    <mergeCell ref="P323:T323"/>
    <mergeCell ref="D231:E231"/>
    <mergeCell ref="D529:E529"/>
    <mergeCell ref="P537:V537"/>
    <mergeCell ref="D408:E408"/>
    <mergeCell ref="A219:O220"/>
    <mergeCell ref="A460:Z460"/>
    <mergeCell ref="A327:Z327"/>
    <mergeCell ref="P32:V32"/>
    <mergeCell ref="P474:V474"/>
    <mergeCell ref="Q13:R13"/>
    <mergeCell ref="P201:T201"/>
    <mergeCell ref="D389:E389"/>
    <mergeCell ref="A554:O555"/>
    <mergeCell ref="P247:T247"/>
    <mergeCell ref="P241:T241"/>
    <mergeCell ref="M569:M570"/>
    <mergeCell ref="P483:T483"/>
    <mergeCell ref="D155:E155"/>
    <mergeCell ref="P41:T41"/>
    <mergeCell ref="D22:E22"/>
    <mergeCell ref="P399:T399"/>
    <mergeCell ref="P333:T333"/>
    <mergeCell ref="P526:T526"/>
    <mergeCell ref="G17:G18"/>
    <mergeCell ref="P121:V121"/>
    <mergeCell ref="D80:E80"/>
    <mergeCell ref="P42:V42"/>
    <mergeCell ref="A505:Z505"/>
    <mergeCell ref="A541:O542"/>
    <mergeCell ref="A461:Z461"/>
    <mergeCell ref="D288:E288"/>
    <mergeCell ref="P148:V148"/>
    <mergeCell ref="P59:T59"/>
    <mergeCell ref="P130:T130"/>
    <mergeCell ref="P421:V421"/>
    <mergeCell ref="D136:E136"/>
    <mergeCell ref="D434:E434"/>
    <mergeCell ref="P488:T488"/>
    <mergeCell ref="D154:E154"/>
    <mergeCell ref="P111:T111"/>
    <mergeCell ref="D225:E225"/>
    <mergeCell ref="P61:T61"/>
    <mergeCell ref="A51:O52"/>
    <mergeCell ref="P359:T359"/>
    <mergeCell ref="D436:E436"/>
    <mergeCell ref="P48:T48"/>
    <mergeCell ref="D292:E292"/>
    <mergeCell ref="P346:T346"/>
    <mergeCell ref="A455:Z455"/>
    <mergeCell ref="A127:O128"/>
    <mergeCell ref="P255:V255"/>
    <mergeCell ref="A320:O321"/>
    <mergeCell ref="AB17:AB18"/>
    <mergeCell ref="P271:V271"/>
    <mergeCell ref="P100:V100"/>
    <mergeCell ref="P265:V265"/>
    <mergeCell ref="P458:V458"/>
    <mergeCell ref="P563:V563"/>
    <mergeCell ref="A283:Z283"/>
    <mergeCell ref="D446:E446"/>
    <mergeCell ref="P550:V550"/>
    <mergeCell ref="A375:Z375"/>
    <mergeCell ref="P237:V237"/>
    <mergeCell ref="D367:E367"/>
    <mergeCell ref="H5:M5"/>
    <mergeCell ref="P158:V158"/>
    <mergeCell ref="P98:T98"/>
    <mergeCell ref="P522:V522"/>
    <mergeCell ref="D212:E212"/>
    <mergeCell ref="D439:E439"/>
    <mergeCell ref="D510:E510"/>
    <mergeCell ref="P225:T225"/>
    <mergeCell ref="D146:E146"/>
    <mergeCell ref="D6:M6"/>
    <mergeCell ref="D540:E540"/>
    <mergeCell ref="P266:V266"/>
    <mergeCell ref="A85:Z85"/>
    <mergeCell ref="P502:V502"/>
    <mergeCell ref="D319:E319"/>
    <mergeCell ref="P227:T227"/>
    <mergeCell ref="D512:E512"/>
    <mergeCell ref="P525:T525"/>
    <mergeCell ref="D368:E368"/>
    <mergeCell ref="A515:O516"/>
    <mergeCell ref="AC17:AC18"/>
    <mergeCell ref="Q569:Q570"/>
    <mergeCell ref="A409:O410"/>
    <mergeCell ref="P279:T279"/>
    <mergeCell ref="A122:Z122"/>
    <mergeCell ref="P472:T472"/>
    <mergeCell ref="D393:E393"/>
    <mergeCell ref="P108:T108"/>
    <mergeCell ref="D89:E89"/>
    <mergeCell ref="P254:T254"/>
    <mergeCell ref="P147:V147"/>
    <mergeCell ref="P512:T512"/>
    <mergeCell ref="D153:E153"/>
    <mergeCell ref="D420:E420"/>
    <mergeCell ref="P530:T530"/>
    <mergeCell ref="V6:W9"/>
    <mergeCell ref="A112:O113"/>
    <mergeCell ref="P38:T38"/>
    <mergeCell ref="P109:T109"/>
    <mergeCell ref="D435:E435"/>
    <mergeCell ref="P274:T274"/>
    <mergeCell ref="D413:E413"/>
    <mergeCell ref="P345:T345"/>
    <mergeCell ref="D484:E484"/>
    <mergeCell ref="D186:E186"/>
    <mergeCell ref="P222:T222"/>
    <mergeCell ref="P193:T193"/>
    <mergeCell ref="P22:T22"/>
    <mergeCell ref="P40:T40"/>
    <mergeCell ref="P92:V92"/>
    <mergeCell ref="P334:V334"/>
    <mergeCell ref="P521:V521"/>
    <mergeCell ref="D75:E75"/>
    <mergeCell ref="P560:V560"/>
    <mergeCell ref="A66:Z66"/>
    <mergeCell ref="D181:E181"/>
    <mergeCell ref="P91:T91"/>
    <mergeCell ref="P404:V404"/>
    <mergeCell ref="D273:E273"/>
    <mergeCell ref="P156:T156"/>
    <mergeCell ref="P99:V99"/>
    <mergeCell ref="P341:V341"/>
    <mergeCell ref="P170:V170"/>
    <mergeCell ref="P468:V468"/>
    <mergeCell ref="D39:E39"/>
    <mergeCell ref="P316:V316"/>
    <mergeCell ref="P212:T212"/>
    <mergeCell ref="AA17:AA18"/>
    <mergeCell ref="H10:M10"/>
    <mergeCell ref="A517:Z517"/>
    <mergeCell ref="P80:T80"/>
    <mergeCell ref="Z17:Z18"/>
    <mergeCell ref="A501:O502"/>
    <mergeCell ref="A54:Z54"/>
    <mergeCell ref="D506:E506"/>
    <mergeCell ref="P106:T106"/>
    <mergeCell ref="P177:T177"/>
    <mergeCell ref="D481:E481"/>
    <mergeCell ref="P226:T226"/>
    <mergeCell ref="D207:E207"/>
    <mergeCell ref="P269:T269"/>
    <mergeCell ref="P462:T462"/>
    <mergeCell ref="P120:V120"/>
    <mergeCell ref="D299:E299"/>
    <mergeCell ref="J9:M9"/>
    <mergeCell ref="D519:E519"/>
    <mergeCell ref="D348:E348"/>
    <mergeCell ref="P141:T141"/>
    <mergeCell ref="P454:V454"/>
    <mergeCell ref="D62:E62"/>
    <mergeCell ref="D56:E56"/>
    <mergeCell ref="D193:E193"/>
    <mergeCell ref="P377:T377"/>
    <mergeCell ref="P233:T233"/>
    <mergeCell ref="P37:T37"/>
    <mergeCell ref="D347:E347"/>
    <mergeCell ref="D285:E285"/>
    <mergeCell ref="P540:T540"/>
    <mergeCell ref="D412:E412"/>
    <mergeCell ref="P562:V562"/>
    <mergeCell ref="P391:V391"/>
    <mergeCell ref="A390:O391"/>
    <mergeCell ref="P220:V220"/>
    <mergeCell ref="P248:T248"/>
    <mergeCell ref="P506:T506"/>
    <mergeCell ref="D349:E349"/>
    <mergeCell ref="P306:T306"/>
    <mergeCell ref="P235:T235"/>
    <mergeCell ref="P384:V384"/>
    <mergeCell ref="P157:V157"/>
    <mergeCell ref="P249:V249"/>
    <mergeCell ref="P207:T207"/>
    <mergeCell ref="A131:O132"/>
    <mergeCell ref="A432:Z432"/>
    <mergeCell ref="P299:T299"/>
    <mergeCell ref="P215:V215"/>
    <mergeCell ref="A13:M13"/>
    <mergeCell ref="A94:Z94"/>
    <mergeCell ref="D87:E87"/>
    <mergeCell ref="A417:Z417"/>
    <mergeCell ref="P73:V73"/>
    <mergeCell ref="A196:Z196"/>
    <mergeCell ref="P115:T115"/>
    <mergeCell ref="D254:E254"/>
    <mergeCell ref="D61:E61"/>
    <mergeCell ref="P302:V302"/>
    <mergeCell ref="A15:M15"/>
    <mergeCell ref="D48:E48"/>
    <mergeCell ref="D346:E346"/>
    <mergeCell ref="P229:T229"/>
    <mergeCell ref="A133:Z133"/>
    <mergeCell ref="D125:E125"/>
    <mergeCell ref="P179:T179"/>
    <mergeCell ref="A296:O297"/>
    <mergeCell ref="P393:T393"/>
    <mergeCell ref="P232:T232"/>
    <mergeCell ref="P330:T330"/>
    <mergeCell ref="D140:E140"/>
    <mergeCell ref="P395:T395"/>
    <mergeCell ref="D359:E359"/>
    <mergeCell ref="P96:T96"/>
    <mergeCell ref="H17:H18"/>
    <mergeCell ref="P90:T90"/>
    <mergeCell ref="P332:T332"/>
    <mergeCell ref="P388:T388"/>
    <mergeCell ref="D269:E269"/>
    <mergeCell ref="A157:O158"/>
    <mergeCell ref="P27:T27"/>
    <mergeCell ref="D68:E68"/>
    <mergeCell ref="P224:T224"/>
    <mergeCell ref="A341:O342"/>
    <mergeCell ref="P211:T211"/>
    <mergeCell ref="D399:E399"/>
    <mergeCell ref="P89:T89"/>
    <mergeCell ref="P558:T558"/>
    <mergeCell ref="P309:T309"/>
    <mergeCell ref="D59:E59"/>
    <mergeCell ref="D295:E295"/>
    <mergeCell ref="D178:E178"/>
    <mergeCell ref="D172:E172"/>
    <mergeCell ref="P88:T88"/>
    <mergeCell ref="P153:T153"/>
    <mergeCell ref="D463:E463"/>
    <mergeCell ref="A72:O73"/>
    <mergeCell ref="P511:T511"/>
    <mergeCell ref="A441:O442"/>
    <mergeCell ref="A270:O271"/>
    <mergeCell ref="A261:Z261"/>
    <mergeCell ref="P313:V313"/>
    <mergeCell ref="P373:V373"/>
    <mergeCell ref="P202:V202"/>
    <mergeCell ref="P380:T380"/>
    <mergeCell ref="P446:T446"/>
    <mergeCell ref="P440:T440"/>
    <mergeCell ref="A418:Z418"/>
    <mergeCell ref="P549:V549"/>
    <mergeCell ref="D438:E438"/>
    <mergeCell ref="D509:E509"/>
    <mergeCell ref="D425:E425"/>
    <mergeCell ref="P531:V531"/>
    <mergeCell ref="P554:V554"/>
    <mergeCell ref="P383:V383"/>
    <mergeCell ref="D371:E371"/>
    <mergeCell ref="A493:Z493"/>
    <mergeCell ref="P84:V84"/>
    <mergeCell ref="P320:V320"/>
    <mergeCell ref="Z569:Z570"/>
    <mergeCell ref="P447:V447"/>
    <mergeCell ref="AB569:AB570"/>
    <mergeCell ref="A443:Z443"/>
    <mergeCell ref="P387:T387"/>
    <mergeCell ref="P514:T514"/>
    <mergeCell ref="A272:Z272"/>
    <mergeCell ref="A139:Z139"/>
    <mergeCell ref="P489:T489"/>
    <mergeCell ref="D130:E130"/>
    <mergeCell ref="P87:T87"/>
    <mergeCell ref="P451:T451"/>
    <mergeCell ref="A470:Z470"/>
    <mergeCell ref="D372:E372"/>
    <mergeCell ref="D201:E201"/>
    <mergeCell ref="P245:T245"/>
    <mergeCell ref="F569:F570"/>
    <mergeCell ref="D440:E440"/>
    <mergeCell ref="D489:E489"/>
    <mergeCell ref="D427:E427"/>
    <mergeCell ref="P154:T154"/>
    <mergeCell ref="O569:O570"/>
    <mergeCell ref="P565:V565"/>
    <mergeCell ref="D370:E370"/>
    <mergeCell ref="D222:E222"/>
    <mergeCell ref="A466:Z466"/>
    <mergeCell ref="AB568:AC568"/>
    <mergeCell ref="A411:Z411"/>
    <mergeCell ref="A190:Z190"/>
    <mergeCell ref="P372:T372"/>
    <mergeCell ref="A19:Z19"/>
    <mergeCell ref="P310:T310"/>
    <mergeCell ref="D182:E182"/>
    <mergeCell ref="D480:E480"/>
    <mergeCell ref="D280:E280"/>
    <mergeCell ref="D109:E109"/>
    <mergeCell ref="A14:M14"/>
    <mergeCell ref="D467:E467"/>
    <mergeCell ref="D345:E345"/>
    <mergeCell ref="T5:U5"/>
    <mergeCell ref="E569:E570"/>
    <mergeCell ref="D119:E119"/>
    <mergeCell ref="P76:T76"/>
    <mergeCell ref="G569:G570"/>
    <mergeCell ref="D246:E246"/>
    <mergeCell ref="D488:E488"/>
    <mergeCell ref="V5:W5"/>
    <mergeCell ref="D40:E40"/>
    <mergeCell ref="P361:T361"/>
    <mergeCell ref="D338:E338"/>
    <mergeCell ref="A477:Z477"/>
    <mergeCell ref="D233:E233"/>
    <mergeCell ref="D111:E111"/>
    <mergeCell ref="Q8:R8"/>
    <mergeCell ref="P69:T69"/>
    <mergeCell ref="P311:T311"/>
    <mergeCell ref="D183:E183"/>
    <mergeCell ref="P140:T140"/>
    <mergeCell ref="A556:Z556"/>
    <mergeCell ref="P544:T544"/>
    <mergeCell ref="P427:T427"/>
    <mergeCell ref="P185:T185"/>
    <mergeCell ref="D106:E106"/>
    <mergeCell ref="A543:Z543"/>
    <mergeCell ref="P277:T277"/>
    <mergeCell ref="D264:E264"/>
    <mergeCell ref="P519:T519"/>
    <mergeCell ref="P72:V72"/>
    <mergeCell ref="P199:V199"/>
    <mergeCell ref="A251:Z251"/>
    <mergeCell ref="A198:O199"/>
    <mergeCell ref="A322:Z322"/>
    <mergeCell ref="P297:V297"/>
    <mergeCell ref="D328:E328"/>
    <mergeCell ref="P285:T285"/>
    <mergeCell ref="A424:Z424"/>
    <mergeCell ref="P355:V355"/>
    <mergeCell ref="P438:T438"/>
    <mergeCell ref="D444:E444"/>
    <mergeCell ref="D419:E419"/>
    <mergeCell ref="D248:E248"/>
    <mergeCell ref="D275:E275"/>
    <mergeCell ref="D104:E104"/>
    <mergeCell ref="P425:T425"/>
    <mergeCell ref="A79:Z79"/>
    <mergeCell ref="A549:O550"/>
    <mergeCell ref="D340:E340"/>
    <mergeCell ref="P83:V83"/>
    <mergeCell ref="D185:E185"/>
    <mergeCell ref="D277:E277"/>
    <mergeCell ref="AA569:AA570"/>
    <mergeCell ref="P524:T524"/>
    <mergeCell ref="P353:T353"/>
    <mergeCell ref="AC569:AC570"/>
    <mergeCell ref="A312:O313"/>
    <mergeCell ref="A134:Z134"/>
    <mergeCell ref="P538:V538"/>
    <mergeCell ref="A249:O250"/>
    <mergeCell ref="D507:E507"/>
    <mergeCell ref="A357:Z357"/>
    <mergeCell ref="P486:V486"/>
    <mergeCell ref="A44:Z44"/>
    <mergeCell ref="P342:V342"/>
    <mergeCell ref="P317:V317"/>
    <mergeCell ref="D63:E63"/>
    <mergeCell ref="D330:E330"/>
    <mergeCell ref="J569:J570"/>
    <mergeCell ref="L569:L570"/>
    <mergeCell ref="P305:T305"/>
    <mergeCell ref="A304:Z304"/>
    <mergeCell ref="D96:E96"/>
    <mergeCell ref="P515:V515"/>
    <mergeCell ref="P513:T513"/>
    <mergeCell ref="P208:T208"/>
    <mergeCell ref="A398:Z398"/>
    <mergeCell ref="P450:T450"/>
    <mergeCell ref="D456:E456"/>
    <mergeCell ref="D116:E116"/>
    <mergeCell ref="D414:E414"/>
    <mergeCell ref="P419:T419"/>
    <mergeCell ref="D91:E91"/>
    <mergeCell ref="A164:Z164"/>
    <mergeCell ref="P529:T529"/>
    <mergeCell ref="D401:E401"/>
    <mergeCell ref="D339:E339"/>
    <mergeCell ref="D230:E230"/>
    <mergeCell ref="D168:E168"/>
    <mergeCell ref="D180:E180"/>
    <mergeCell ref="D9:E9"/>
    <mergeCell ref="P197:T197"/>
    <mergeCell ref="D118:E118"/>
    <mergeCell ref="F9:G9"/>
    <mergeCell ref="D167:E167"/>
    <mergeCell ref="P289:T289"/>
    <mergeCell ref="D232:E232"/>
    <mergeCell ref="D530:E530"/>
    <mergeCell ref="P238:V238"/>
    <mergeCell ref="P264:T264"/>
    <mergeCell ref="P68:T68"/>
    <mergeCell ref="D38:E38"/>
    <mergeCell ref="D27:E27"/>
    <mergeCell ref="P15:T16"/>
    <mergeCell ref="P23:T23"/>
    <mergeCell ref="D156:E156"/>
    <mergeCell ref="P210:T210"/>
    <mergeCell ref="P308:T308"/>
    <mergeCell ref="P65:V65"/>
    <mergeCell ref="A53:Z53"/>
    <mergeCell ref="A12:M12"/>
    <mergeCell ref="T6:U9"/>
    <mergeCell ref="Q10:R10"/>
    <mergeCell ref="D41:E41"/>
    <mergeCell ref="P25:V25"/>
    <mergeCell ref="P256:V256"/>
    <mergeCell ref="Q12:R12"/>
    <mergeCell ref="D90:E90"/>
    <mergeCell ref="P467:T467"/>
    <mergeCell ref="D388:E388"/>
    <mergeCell ref="A559:O560"/>
    <mergeCell ref="P119:T119"/>
    <mergeCell ref="P246:T246"/>
    <mergeCell ref="P127:V127"/>
    <mergeCell ref="P491:V491"/>
    <mergeCell ref="P198:V198"/>
    <mergeCell ref="A5:C5"/>
    <mergeCell ref="D548:E548"/>
    <mergeCell ref="A492:Z492"/>
    <mergeCell ref="A535:Z535"/>
    <mergeCell ref="P406:T406"/>
    <mergeCell ref="P340:T340"/>
    <mergeCell ref="P64:V64"/>
    <mergeCell ref="P362:V362"/>
    <mergeCell ref="P51:V51"/>
    <mergeCell ref="D179:E179"/>
    <mergeCell ref="A423:Z423"/>
    <mergeCell ref="D166:E166"/>
    <mergeCell ref="D402:E402"/>
    <mergeCell ref="P128:V128"/>
    <mergeCell ref="A17:A18"/>
    <mergeCell ref="P300:T300"/>
    <mergeCell ref="K17:K18"/>
    <mergeCell ref="P371:T371"/>
    <mergeCell ref="C17:C18"/>
    <mergeCell ref="A487:Z487"/>
    <mergeCell ref="D103:E103"/>
    <mergeCell ref="D37:E37"/>
    <mergeCell ref="S569:S570"/>
    <mergeCell ref="U569:U570"/>
    <mergeCell ref="D160:E160"/>
    <mergeCell ref="P481:T481"/>
    <mergeCell ref="I17:I18"/>
    <mergeCell ref="D141:E141"/>
    <mergeCell ref="D306:E306"/>
    <mergeCell ref="D135:E135"/>
    <mergeCell ref="P456:T456"/>
    <mergeCell ref="D377:E377"/>
    <mergeCell ref="P287:T287"/>
    <mergeCell ref="A547:Z547"/>
    <mergeCell ref="P414:T414"/>
    <mergeCell ref="P548:T548"/>
    <mergeCell ref="P203:V203"/>
    <mergeCell ref="A326:Z326"/>
    <mergeCell ref="P301:V301"/>
    <mergeCell ref="P498:T498"/>
    <mergeCell ref="D235:E235"/>
    <mergeCell ref="A239:Z239"/>
    <mergeCell ref="P270:V270"/>
    <mergeCell ref="P214:V214"/>
    <mergeCell ref="D451:E451"/>
    <mergeCell ref="A303:Z303"/>
    <mergeCell ref="A159:Z159"/>
    <mergeCell ref="P465:V465"/>
    <mergeCell ref="P376:T376"/>
    <mergeCell ref="D309:E309"/>
    <mergeCell ref="P415:V415"/>
    <mergeCell ref="P180:T180"/>
    <mergeCell ref="P118:T118"/>
    <mergeCell ref="R569:R570"/>
    <mergeCell ref="P555:V555"/>
    <mergeCell ref="D240:E240"/>
    <mergeCell ref="D511:E511"/>
    <mergeCell ref="P490:V490"/>
    <mergeCell ref="P426:T426"/>
    <mergeCell ref="A171:Z171"/>
    <mergeCell ref="A336:Z336"/>
    <mergeCell ref="P321:V321"/>
    <mergeCell ref="P192:T192"/>
    <mergeCell ref="P112:V112"/>
    <mergeCell ref="A102:Z102"/>
    <mergeCell ref="P284:T284"/>
    <mergeCell ref="A344:Z344"/>
    <mergeCell ref="P17:T18"/>
    <mergeCell ref="A545:O546"/>
    <mergeCell ref="P63:T63"/>
    <mergeCell ref="P50:T50"/>
    <mergeCell ref="D31:E31"/>
    <mergeCell ref="D329:E329"/>
    <mergeCell ref="P286:T286"/>
    <mergeCell ref="P479:T479"/>
    <mergeCell ref="D400:E400"/>
    <mergeCell ref="D229:E229"/>
    <mergeCell ref="A403:O404"/>
    <mergeCell ref="P187:T187"/>
    <mergeCell ref="D108:E108"/>
    <mergeCell ref="P258:T258"/>
    <mergeCell ref="D369:E369"/>
    <mergeCell ref="P223:T223"/>
    <mergeCell ref="P494:T494"/>
    <mergeCell ref="P167:T167"/>
    <mergeCell ref="D88:E88"/>
    <mergeCell ref="A26:Z26"/>
    <mergeCell ref="A531:O532"/>
    <mergeCell ref="P401:T401"/>
    <mergeCell ref="P268:T268"/>
    <mergeCell ref="D382:E382"/>
    <mergeCell ref="P339:T339"/>
    <mergeCell ref="P230:T230"/>
    <mergeCell ref="D211:E211"/>
    <mergeCell ref="P168:T168"/>
    <mergeCell ref="P97:T97"/>
    <mergeCell ref="D1:F1"/>
    <mergeCell ref="P47:T47"/>
    <mergeCell ref="P282:V282"/>
    <mergeCell ref="P409:V409"/>
    <mergeCell ref="A405:Z405"/>
    <mergeCell ref="J17:J18"/>
    <mergeCell ref="D82:E82"/>
    <mergeCell ref="L17:L18"/>
    <mergeCell ref="Q9:R9"/>
    <mergeCell ref="Q11:R11"/>
    <mergeCell ref="A6:C6"/>
    <mergeCell ref="P378:T378"/>
    <mergeCell ref="A259:O260"/>
    <mergeCell ref="P117:T117"/>
    <mergeCell ref="A495:O496"/>
    <mergeCell ref="A324:O325"/>
    <mergeCell ref="D311:E311"/>
    <mergeCell ref="P182:T182"/>
    <mergeCell ref="D115:E115"/>
    <mergeCell ref="P55:T55"/>
    <mergeCell ref="P480:T480"/>
    <mergeCell ref="P280:T280"/>
    <mergeCell ref="H1:Q1"/>
    <mergeCell ref="P541:V541"/>
    <mergeCell ref="D284:E284"/>
    <mergeCell ref="A74:Z74"/>
    <mergeCell ref="D520:E520"/>
    <mergeCell ref="A503:Z503"/>
    <mergeCell ref="T569:T570"/>
    <mergeCell ref="A237:O238"/>
    <mergeCell ref="A163:Z163"/>
    <mergeCell ref="D28:E28"/>
    <mergeCell ref="A101:Z101"/>
    <mergeCell ref="P184:T184"/>
    <mergeCell ref="A174:O175"/>
    <mergeCell ref="D236:E236"/>
    <mergeCell ref="A301:O302"/>
    <mergeCell ref="D117:E117"/>
    <mergeCell ref="D55:E55"/>
    <mergeCell ref="P413:T413"/>
    <mergeCell ref="P242:T242"/>
    <mergeCell ref="A537:O538"/>
    <mergeCell ref="D524:E524"/>
    <mergeCell ref="P407:T407"/>
    <mergeCell ref="D353:E353"/>
    <mergeCell ref="A464:O465"/>
    <mergeCell ref="A214:O215"/>
    <mergeCell ref="D67:E67"/>
    <mergeCell ref="D30:E30"/>
    <mergeCell ref="D5:E5"/>
    <mergeCell ref="P553:T553"/>
    <mergeCell ref="P382:T382"/>
    <mergeCell ref="A32:O33"/>
    <mergeCell ref="A474:O475"/>
    <mergeCell ref="D7:M7"/>
    <mergeCell ref="D536:E536"/>
    <mergeCell ref="P236:T236"/>
    <mergeCell ref="P394:T394"/>
    <mergeCell ref="D315:E315"/>
    <mergeCell ref="P173:T173"/>
    <mergeCell ref="P29:T29"/>
    <mergeCell ref="D81:E81"/>
    <mergeCell ref="D379:E379"/>
    <mergeCell ref="D208:E208"/>
    <mergeCell ref="D8:M8"/>
    <mergeCell ref="P485:V485"/>
    <mergeCell ref="D366:E366"/>
    <mergeCell ref="D300:E300"/>
    <mergeCell ref="A161:O162"/>
    <mergeCell ref="P31:T31"/>
    <mergeCell ref="P473:T473"/>
    <mergeCell ref="P329:T329"/>
    <mergeCell ref="D406:E406"/>
    <mergeCell ref="P416:V416"/>
    <mergeCell ref="P95:T95"/>
    <mergeCell ref="P527:T527"/>
    <mergeCell ref="P331:T331"/>
    <mergeCell ref="D290:E290"/>
    <mergeCell ref="D361:E361"/>
    <mergeCell ref="P471:T471"/>
    <mergeCell ref="P396:V396"/>
    <mergeCell ref="A392:Z392"/>
    <mergeCell ref="D69:E69"/>
    <mergeCell ref="P175:V175"/>
    <mergeCell ref="D498:E498"/>
    <mergeCell ref="P240:T240"/>
    <mergeCell ref="I569:I570"/>
    <mergeCell ref="W17:W18"/>
    <mergeCell ref="A569:A570"/>
    <mergeCell ref="K569:K570"/>
    <mergeCell ref="C569:C570"/>
    <mergeCell ref="P532:V532"/>
    <mergeCell ref="P559:V559"/>
    <mergeCell ref="P161:V161"/>
    <mergeCell ref="P459:V459"/>
    <mergeCell ref="A86:Z86"/>
    <mergeCell ref="P546:V546"/>
    <mergeCell ref="A449:Z449"/>
    <mergeCell ref="D110:E110"/>
    <mergeCell ref="P234:T234"/>
    <mergeCell ref="P325:V325"/>
    <mergeCell ref="A150:Z150"/>
    <mergeCell ref="A144:Z144"/>
    <mergeCell ref="P561:V561"/>
    <mergeCell ref="P390:V390"/>
    <mergeCell ref="A120:O121"/>
    <mergeCell ref="D378:E378"/>
    <mergeCell ref="K568:V568"/>
    <mergeCell ref="P482:T482"/>
    <mergeCell ref="D354:E354"/>
    <mergeCell ref="P162:V162"/>
    <mergeCell ref="P33:V33"/>
    <mergeCell ref="P475:V475"/>
    <mergeCell ref="D527:E527"/>
    <mergeCell ref="P93:V93"/>
    <mergeCell ref="A396:O397"/>
    <mergeCell ref="P335:V335"/>
    <mergeCell ref="A216:Z216"/>
    <mergeCell ref="D558:E558"/>
    <mergeCell ref="D287:E287"/>
    <mergeCell ref="P564:V564"/>
    <mergeCell ref="A458:O459"/>
    <mergeCell ref="P145:T145"/>
    <mergeCell ref="P113:V113"/>
    <mergeCell ref="D126:E126"/>
    <mergeCell ref="D197:E197"/>
    <mergeCell ref="P552:T552"/>
    <mergeCell ref="P381:T381"/>
    <mergeCell ref="D253:E253"/>
    <mergeCell ref="D47:E47"/>
    <mergeCell ref="D289:E289"/>
    <mergeCell ref="D482:E482"/>
    <mergeCell ref="P160:T160"/>
    <mergeCell ref="A149:Z149"/>
    <mergeCell ref="P566:V566"/>
    <mergeCell ref="P209:T209"/>
    <mergeCell ref="A385:Z385"/>
    <mergeCell ref="P445:T445"/>
    <mergeCell ref="A343:Z343"/>
    <mergeCell ref="A523:Z523"/>
    <mergeCell ref="P273:T273"/>
    <mergeCell ref="D145:E145"/>
    <mergeCell ref="D387:E387"/>
    <mergeCell ref="P400:T400"/>
    <mergeCell ref="D514:E514"/>
    <mergeCell ref="D381:E381"/>
    <mergeCell ref="A421:O422"/>
    <mergeCell ref="D210:E210"/>
    <mergeCell ref="D308:E308"/>
    <mergeCell ref="A169:O170"/>
    <mergeCell ref="R1:T1"/>
    <mergeCell ref="D71:E71"/>
    <mergeCell ref="P28:T28"/>
    <mergeCell ref="D332:E332"/>
    <mergeCell ref="P386:T386"/>
    <mergeCell ref="A316:O317"/>
    <mergeCell ref="P457:T457"/>
    <mergeCell ref="D307:E307"/>
    <mergeCell ref="P165:T165"/>
    <mergeCell ref="W568:X568"/>
    <mergeCell ref="P152:T152"/>
    <mergeCell ref="D98:E98"/>
    <mergeCell ref="Y568:Z568"/>
    <mergeCell ref="P77:V77"/>
    <mergeCell ref="P30:T30"/>
    <mergeCell ref="A200:Z200"/>
    <mergeCell ref="A147:O148"/>
    <mergeCell ref="P464:V464"/>
    <mergeCell ref="P290:T290"/>
    <mergeCell ref="P452:T452"/>
    <mergeCell ref="P448:V448"/>
    <mergeCell ref="P275:T275"/>
    <mergeCell ref="P104:T104"/>
    <mergeCell ref="B17:B18"/>
    <mergeCell ref="A77:O78"/>
    <mergeCell ref="D479:E479"/>
    <mergeCell ref="P143:V143"/>
    <mergeCell ref="P441:V441"/>
    <mergeCell ref="A431:Z431"/>
    <mergeCell ref="D258:E258"/>
    <mergeCell ref="A358:Z358"/>
    <mergeCell ref="D494:E494"/>
    <mergeCell ref="P545:V545"/>
    <mergeCell ref="P259:V259"/>
    <mergeCell ref="P155:T155"/>
    <mergeCell ref="P324:V324"/>
    <mergeCell ref="A205:Z205"/>
    <mergeCell ref="A350:O351"/>
    <mergeCell ref="D263:E263"/>
    <mergeCell ref="D70:E70"/>
    <mergeCell ref="P518:T518"/>
    <mergeCell ref="D499:E499"/>
    <mergeCell ref="D426:E426"/>
    <mergeCell ref="P328:T328"/>
    <mergeCell ref="P213:T213"/>
    <mergeCell ref="A281:O282"/>
    <mergeCell ref="D376:E376"/>
    <mergeCell ref="P520:T520"/>
    <mergeCell ref="A365:Z365"/>
    <mergeCell ref="P542:V542"/>
    <mergeCell ref="P172:T172"/>
    <mergeCell ref="A92:O93"/>
    <mergeCell ref="D518:E518"/>
    <mergeCell ref="A521:O522"/>
    <mergeCell ref="P252:T252"/>
    <mergeCell ref="D124:E124"/>
    <mergeCell ref="P379:T379"/>
    <mergeCell ref="P81:T81"/>
    <mergeCell ref="D360:E360"/>
    <mergeCell ref="P366:T366"/>
    <mergeCell ref="P508:T508"/>
    <mergeCell ref="D380:E380"/>
    <mergeCell ref="D209:E209"/>
    <mergeCell ref="P188:V188"/>
    <mergeCell ref="D473:E473"/>
    <mergeCell ref="D60:E60"/>
    <mergeCell ref="P244:T244"/>
    <mergeCell ref="P437:T437"/>
    <mergeCell ref="P315:T315"/>
    <mergeCell ref="D187:E187"/>
    <mergeCell ref="P231:T231"/>
    <mergeCell ref="D472:E472"/>
    <mergeCell ref="A352:Z352"/>
    <mergeCell ref="A34:Z34"/>
    <mergeCell ref="P516:V516"/>
    <mergeCell ref="H9:I9"/>
    <mergeCell ref="P24:V24"/>
    <mergeCell ref="A490:O491"/>
    <mergeCell ref="P260:V260"/>
    <mergeCell ref="A36:Z36"/>
    <mergeCell ref="P453:V453"/>
    <mergeCell ref="P389:T389"/>
    <mergeCell ref="P56:T56"/>
    <mergeCell ref="V10:W10"/>
    <mergeCell ref="A45:Z45"/>
    <mergeCell ref="P39:T39"/>
    <mergeCell ref="A46:Z46"/>
    <mergeCell ref="P166:T166"/>
    <mergeCell ref="D445:E445"/>
    <mergeCell ref="P402:T402"/>
    <mergeCell ref="A485:O486"/>
    <mergeCell ref="D274:E274"/>
    <mergeCell ref="D245:E245"/>
    <mergeCell ref="P116:T116"/>
    <mergeCell ref="D224:E224"/>
    <mergeCell ref="P103:T10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2" spans="2:8" x14ac:dyDescent="0.2">
      <c r="B12" s="47" t="s">
        <v>897</v>
      </c>
      <c r="C12" s="47" t="s">
        <v>898</v>
      </c>
      <c r="D12" s="47" t="s">
        <v>899</v>
      </c>
      <c r="E12" s="47"/>
    </row>
    <row r="13" spans="2:8" x14ac:dyDescent="0.2">
      <c r="B13" s="47" t="s">
        <v>900</v>
      </c>
      <c r="C13" s="47" t="s">
        <v>901</v>
      </c>
      <c r="D13" s="47" t="s">
        <v>113</v>
      </c>
      <c r="E13" s="47"/>
    </row>
    <row r="15" spans="2:8" x14ac:dyDescent="0.2">
      <c r="B15" s="47" t="s">
        <v>902</v>
      </c>
      <c r="C15" s="47" t="s">
        <v>880</v>
      </c>
      <c r="D15" s="47"/>
      <c r="E15" s="47"/>
    </row>
    <row r="17" spans="2:5" x14ac:dyDescent="0.2">
      <c r="B17" s="47" t="s">
        <v>903</v>
      </c>
      <c r="C17" s="47" t="s">
        <v>883</v>
      </c>
      <c r="D17" s="47"/>
      <c r="E17" s="47"/>
    </row>
    <row r="19" spans="2:5" x14ac:dyDescent="0.2">
      <c r="B19" s="47" t="s">
        <v>904</v>
      </c>
      <c r="C19" s="47" t="s">
        <v>886</v>
      </c>
      <c r="D19" s="47"/>
      <c r="E19" s="47"/>
    </row>
    <row r="21" spans="2:5" x14ac:dyDescent="0.2">
      <c r="B21" s="47" t="s">
        <v>905</v>
      </c>
      <c r="C21" s="47" t="s">
        <v>889</v>
      </c>
      <c r="D21" s="47"/>
      <c r="E21" s="47"/>
    </row>
    <row r="23" spans="2:5" x14ac:dyDescent="0.2">
      <c r="B23" s="47" t="s">
        <v>906</v>
      </c>
      <c r="C23" s="47" t="s">
        <v>892</v>
      </c>
      <c r="D23" s="47"/>
      <c r="E23" s="47"/>
    </row>
    <row r="25" spans="2:5" x14ac:dyDescent="0.2">
      <c r="B25" s="47" t="s">
        <v>907</v>
      </c>
      <c r="C25" s="47" t="s">
        <v>895</v>
      </c>
      <c r="D25" s="47"/>
      <c r="E25" s="47"/>
    </row>
    <row r="27" spans="2:5" x14ac:dyDescent="0.2">
      <c r="B27" s="47" t="s">
        <v>908</v>
      </c>
      <c r="C27" s="47" t="s">
        <v>898</v>
      </c>
      <c r="D27" s="47"/>
      <c r="E27" s="47"/>
    </row>
    <row r="29" spans="2:5" x14ac:dyDescent="0.2">
      <c r="B29" s="47" t="s">
        <v>909</v>
      </c>
      <c r="C29" s="47" t="s">
        <v>901</v>
      </c>
      <c r="D29" s="47"/>
      <c r="E29" s="47"/>
    </row>
    <row r="31" spans="2:5" x14ac:dyDescent="0.2">
      <c r="B31" s="47" t="s">
        <v>910</v>
      </c>
      <c r="C31" s="47"/>
      <c r="D31" s="47"/>
      <c r="E31" s="47"/>
    </row>
    <row r="32" spans="2:5" x14ac:dyDescent="0.2">
      <c r="B32" s="47" t="s">
        <v>911</v>
      </c>
      <c r="C32" s="47"/>
      <c r="D32" s="47"/>
      <c r="E32" s="47"/>
    </row>
    <row r="33" spans="2:5" x14ac:dyDescent="0.2">
      <c r="B33" s="47" t="s">
        <v>912</v>
      </c>
      <c r="C33" s="47"/>
      <c r="D33" s="47"/>
      <c r="E33" s="47"/>
    </row>
    <row r="34" spans="2:5" x14ac:dyDescent="0.2">
      <c r="B34" s="47" t="s">
        <v>913</v>
      </c>
      <c r="C34" s="47"/>
      <c r="D34" s="47"/>
      <c r="E34" s="47"/>
    </row>
    <row r="35" spans="2:5" x14ac:dyDescent="0.2">
      <c r="B35" s="47" t="s">
        <v>914</v>
      </c>
      <c r="C35" s="47"/>
      <c r="D35" s="47"/>
      <c r="E35" s="47"/>
    </row>
    <row r="36" spans="2:5" x14ac:dyDescent="0.2">
      <c r="B36" s="47" t="s">
        <v>915</v>
      </c>
      <c r="C36" s="47"/>
      <c r="D36" s="47"/>
      <c r="E36" s="47"/>
    </row>
    <row r="37" spans="2:5" x14ac:dyDescent="0.2">
      <c r="B37" s="47" t="s">
        <v>916</v>
      </c>
      <c r="C37" s="47"/>
      <c r="D37" s="47"/>
      <c r="E37" s="47"/>
    </row>
    <row r="38" spans="2:5" x14ac:dyDescent="0.2">
      <c r="B38" s="47" t="s">
        <v>917</v>
      </c>
      <c r="C38" s="47"/>
      <c r="D38" s="47"/>
      <c r="E38" s="47"/>
    </row>
    <row r="39" spans="2:5" x14ac:dyDescent="0.2">
      <c r="B39" s="47" t="s">
        <v>918</v>
      </c>
      <c r="C39" s="47"/>
      <c r="D39" s="47"/>
      <c r="E39" s="47"/>
    </row>
    <row r="40" spans="2:5" x14ac:dyDescent="0.2">
      <c r="B40" s="47" t="s">
        <v>919</v>
      </c>
      <c r="C40" s="47"/>
      <c r="D40" s="47"/>
      <c r="E40" s="47"/>
    </row>
    <row r="41" spans="2:5" x14ac:dyDescent="0.2">
      <c r="B41" s="47" t="s">
        <v>920</v>
      </c>
      <c r="C41" s="47"/>
      <c r="D41" s="47"/>
      <c r="E41" s="47"/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2026-09-30T11:11:04Z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