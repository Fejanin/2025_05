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26-27,09,26\"/>
    </mc:Choice>
  </mc:AlternateContent>
  <xr:revisionPtr revIDLastSave="0" documentId="13_ncr:1_{329F9AEB-B54C-4771-BEEE-41ABF38DE84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Y538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Z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P509" i="2"/>
  <c r="BO509" i="2"/>
  <c r="BM509" i="2"/>
  <c r="Y509" i="2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P500" i="2"/>
  <c r="BO500" i="2"/>
  <c r="BN500" i="2"/>
  <c r="BM500" i="2"/>
  <c r="Z500" i="2"/>
  <c r="Y500" i="2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P484" i="2"/>
  <c r="BO484" i="2"/>
  <c r="BM484" i="2"/>
  <c r="Y484" i="2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P450" i="2"/>
  <c r="BO450" i="2"/>
  <c r="BN450" i="2"/>
  <c r="BM450" i="2"/>
  <c r="Z450" i="2"/>
  <c r="Y450" i="2"/>
  <c r="Y453" i="2" s="1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N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P414" i="2"/>
  <c r="BO413" i="2"/>
  <c r="BM413" i="2"/>
  <c r="Z413" i="2"/>
  <c r="Y413" i="2"/>
  <c r="BN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O406" i="2"/>
  <c r="BM406" i="2"/>
  <c r="Y406" i="2"/>
  <c r="P406" i="2"/>
  <c r="X404" i="2"/>
  <c r="X403" i="2"/>
  <c r="BP402" i="2"/>
  <c r="BO402" i="2"/>
  <c r="BN402" i="2"/>
  <c r="BM402" i="2"/>
  <c r="Z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P399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P372" i="2"/>
  <c r="BO372" i="2"/>
  <c r="BN372" i="2"/>
  <c r="BM372" i="2"/>
  <c r="Z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Z369" i="2"/>
  <c r="Y369" i="2"/>
  <c r="BN369" i="2" s="1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Z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Z333" i="2"/>
  <c r="Y333" i="2"/>
  <c r="BN333" i="2" s="1"/>
  <c r="P333" i="2"/>
  <c r="BO332" i="2"/>
  <c r="BM332" i="2"/>
  <c r="Y332" i="2"/>
  <c r="BP332" i="2" s="1"/>
  <c r="P332" i="2"/>
  <c r="BP331" i="2"/>
  <c r="BO331" i="2"/>
  <c r="BN331" i="2"/>
  <c r="BM331" i="2"/>
  <c r="Z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P294" i="2"/>
  <c r="BO294" i="2"/>
  <c r="BN294" i="2"/>
  <c r="BM294" i="2"/>
  <c r="Z294" i="2"/>
  <c r="Y294" i="2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Z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X271" i="2"/>
  <c r="X270" i="2"/>
  <c r="BO269" i="2"/>
  <c r="BM269" i="2"/>
  <c r="Z269" i="2"/>
  <c r="Y269" i="2"/>
  <c r="BN269" i="2" s="1"/>
  <c r="P269" i="2"/>
  <c r="BO268" i="2"/>
  <c r="BM268" i="2"/>
  <c r="Y268" i="2"/>
  <c r="BP268" i="2" s="1"/>
  <c r="P268" i="2"/>
  <c r="Y266" i="2"/>
  <c r="X266" i="2"/>
  <c r="X265" i="2"/>
  <c r="BO264" i="2"/>
  <c r="BM264" i="2"/>
  <c r="Y264" i="2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P248" i="2"/>
  <c r="BO248" i="2"/>
  <c r="BM248" i="2"/>
  <c r="Y248" i="2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P240" i="2"/>
  <c r="X238" i="2"/>
  <c r="X237" i="2"/>
  <c r="BO236" i="2"/>
  <c r="BM236" i="2"/>
  <c r="Z236" i="2"/>
  <c r="Y236" i="2"/>
  <c r="BN236" i="2" s="1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P228" i="2"/>
  <c r="BO227" i="2"/>
  <c r="BM227" i="2"/>
  <c r="Y227" i="2"/>
  <c r="BP227" i="2" s="1"/>
  <c r="P227" i="2"/>
  <c r="BP226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X220" i="2"/>
  <c r="X219" i="2"/>
  <c r="BO218" i="2"/>
  <c r="BM218" i="2"/>
  <c r="Y218" i="2"/>
  <c r="BP218" i="2" s="1"/>
  <c r="P218" i="2"/>
  <c r="X215" i="2"/>
  <c r="X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P208" i="2"/>
  <c r="BO208" i="2"/>
  <c r="BN208" i="2"/>
  <c r="BM208" i="2"/>
  <c r="Z208" i="2"/>
  <c r="Y208" i="2"/>
  <c r="P208" i="2"/>
  <c r="BO207" i="2"/>
  <c r="BM207" i="2"/>
  <c r="Y207" i="2"/>
  <c r="BP207" i="2" s="1"/>
  <c r="P207" i="2"/>
  <c r="Y203" i="2"/>
  <c r="X203" i="2"/>
  <c r="Y202" i="2"/>
  <c r="X202" i="2"/>
  <c r="BP201" i="2"/>
  <c r="BO201" i="2"/>
  <c r="BN201" i="2"/>
  <c r="BM201" i="2"/>
  <c r="Z201" i="2"/>
  <c r="Z202" i="2" s="1"/>
  <c r="Y201" i="2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P184" i="2"/>
  <c r="BO184" i="2"/>
  <c r="BN184" i="2"/>
  <c r="BM184" i="2"/>
  <c r="Z184" i="2"/>
  <c r="Y184" i="2"/>
  <c r="P184" i="2"/>
  <c r="BO183" i="2"/>
  <c r="BM183" i="2"/>
  <c r="Y183" i="2"/>
  <c r="BP183" i="2" s="1"/>
  <c r="P183" i="2"/>
  <c r="BO182" i="2"/>
  <c r="BM182" i="2"/>
  <c r="Y182" i="2"/>
  <c r="BP182" i="2" s="1"/>
  <c r="P182" i="2"/>
  <c r="BP181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P166" i="2"/>
  <c r="BO166" i="2"/>
  <c r="BM166" i="2"/>
  <c r="Y166" i="2"/>
  <c r="P166" i="2"/>
  <c r="BO165" i="2"/>
  <c r="BN165" i="2"/>
  <c r="BM165" i="2"/>
  <c r="Z165" i="2"/>
  <c r="Y165" i="2"/>
  <c r="P165" i="2"/>
  <c r="X162" i="2"/>
  <c r="Y161" i="2"/>
  <c r="X161" i="2"/>
  <c r="BP160" i="2"/>
  <c r="BO160" i="2"/>
  <c r="BM160" i="2"/>
  <c r="Y160" i="2"/>
  <c r="P160" i="2"/>
  <c r="X158" i="2"/>
  <c r="X157" i="2"/>
  <c r="BO156" i="2"/>
  <c r="BM156" i="2"/>
  <c r="Y156" i="2"/>
  <c r="Z156" i="2" s="1"/>
  <c r="P156" i="2"/>
  <c r="BO155" i="2"/>
  <c r="BM155" i="2"/>
  <c r="Y155" i="2"/>
  <c r="P155" i="2"/>
  <c r="BP154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P140" i="2"/>
  <c r="BO140" i="2"/>
  <c r="BN140" i="2"/>
  <c r="BM140" i="2"/>
  <c r="Z140" i="2"/>
  <c r="Y140" i="2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P124" i="2"/>
  <c r="BO124" i="2"/>
  <c r="BM124" i="2"/>
  <c r="Y124" i="2"/>
  <c r="Z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P109" i="2"/>
  <c r="BO109" i="2"/>
  <c r="BM109" i="2"/>
  <c r="Y109" i="2"/>
  <c r="BN109" i="2" s="1"/>
  <c r="P109" i="2"/>
  <c r="BO108" i="2"/>
  <c r="BN108" i="2"/>
  <c r="BM108" i="2"/>
  <c r="Z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P103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P80" i="2"/>
  <c r="X78" i="2"/>
  <c r="X77" i="2"/>
  <c r="BO76" i="2"/>
  <c r="BM76" i="2"/>
  <c r="Y76" i="2"/>
  <c r="Y78" i="2" s="1"/>
  <c r="P76" i="2"/>
  <c r="BP75" i="2"/>
  <c r="BO75" i="2"/>
  <c r="BN75" i="2"/>
  <c r="BM75" i="2"/>
  <c r="Z75" i="2"/>
  <c r="Y75" i="2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P49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Y43" i="2" s="1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BN29" i="2" l="1"/>
  <c r="BN40" i="2"/>
  <c r="BN55" i="2"/>
  <c r="BN63" i="2"/>
  <c r="BN76" i="2"/>
  <c r="BP97" i="2"/>
  <c r="BN97" i="2"/>
  <c r="Z97" i="2"/>
  <c r="BN98" i="2"/>
  <c r="BP98" i="2"/>
  <c r="BP146" i="2"/>
  <c r="Z146" i="2"/>
  <c r="BN173" i="2"/>
  <c r="Y175" i="2"/>
  <c r="BP178" i="2"/>
  <c r="BN178" i="2"/>
  <c r="Z178" i="2"/>
  <c r="BN207" i="2"/>
  <c r="BP213" i="2"/>
  <c r="BN213" i="2"/>
  <c r="Z213" i="2"/>
  <c r="BN222" i="2"/>
  <c r="BP222" i="2"/>
  <c r="BN235" i="2"/>
  <c r="BN240" i="2"/>
  <c r="Z240" i="2"/>
  <c r="BN241" i="2"/>
  <c r="BP241" i="2"/>
  <c r="BN268" i="2"/>
  <c r="BN273" i="2"/>
  <c r="Z273" i="2"/>
  <c r="BN274" i="2"/>
  <c r="BP274" i="2"/>
  <c r="BN284" i="2"/>
  <c r="BP284" i="2"/>
  <c r="BN305" i="2"/>
  <c r="BP305" i="2"/>
  <c r="BP367" i="2"/>
  <c r="BN367" i="2"/>
  <c r="Z367" i="2"/>
  <c r="BP387" i="2"/>
  <c r="BN387" i="2"/>
  <c r="Z387" i="2"/>
  <c r="BN389" i="2"/>
  <c r="Z389" i="2"/>
  <c r="BP414" i="2"/>
  <c r="BN414" i="2"/>
  <c r="Z414" i="2"/>
  <c r="BP439" i="2"/>
  <c r="BN439" i="2"/>
  <c r="Z439" i="2"/>
  <c r="BN440" i="2"/>
  <c r="BP440" i="2"/>
  <c r="BP498" i="2"/>
  <c r="BN498" i="2"/>
  <c r="Z498" i="2"/>
  <c r="BP526" i="2"/>
  <c r="BN526" i="2"/>
  <c r="Z526" i="2"/>
  <c r="BP527" i="2"/>
  <c r="BN527" i="2"/>
  <c r="Z527" i="2"/>
  <c r="BN529" i="2"/>
  <c r="Z529" i="2"/>
  <c r="X563" i="2"/>
  <c r="BN37" i="2"/>
  <c r="Z80" i="2"/>
  <c r="BN80" i="2"/>
  <c r="BN91" i="2"/>
  <c r="BN106" i="2"/>
  <c r="BP117" i="2"/>
  <c r="BN117" i="2"/>
  <c r="Z117" i="2"/>
  <c r="BN183" i="2"/>
  <c r="Z191" i="2"/>
  <c r="Y195" i="2"/>
  <c r="BP191" i="2"/>
  <c r="BP229" i="2"/>
  <c r="BN229" i="2"/>
  <c r="Z229" i="2"/>
  <c r="Y259" i="2"/>
  <c r="Y260" i="2"/>
  <c r="BP264" i="2"/>
  <c r="BN264" i="2"/>
  <c r="Z264" i="2"/>
  <c r="BP292" i="2"/>
  <c r="BN292" i="2"/>
  <c r="Z292" i="2"/>
  <c r="BN332" i="2"/>
  <c r="BP348" i="2"/>
  <c r="BN348" i="2"/>
  <c r="Z348" i="2"/>
  <c r="BN371" i="2"/>
  <c r="Z371" i="2"/>
  <c r="BN401" i="2"/>
  <c r="BP406" i="2"/>
  <c r="BN406" i="2"/>
  <c r="Z406" i="2"/>
  <c r="BP452" i="2"/>
  <c r="BN452" i="2"/>
  <c r="Z452" i="2"/>
  <c r="Y464" i="2"/>
  <c r="BN462" i="2"/>
  <c r="Z462" i="2"/>
  <c r="BN463" i="2"/>
  <c r="BP463" i="2"/>
  <c r="BP480" i="2"/>
  <c r="BN480" i="2"/>
  <c r="Z480" i="2"/>
  <c r="Y501" i="2"/>
  <c r="BN511" i="2"/>
  <c r="BP511" i="2"/>
  <c r="BP544" i="2"/>
  <c r="Y546" i="2"/>
  <c r="BN95" i="2"/>
  <c r="BN193" i="2"/>
  <c r="BN218" i="2"/>
  <c r="BN278" i="2"/>
  <c r="Y350" i="2"/>
  <c r="BN347" i="2"/>
  <c r="BN388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Z142" i="2" s="1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Z362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BN224" i="2"/>
  <c r="BP224" i="2"/>
  <c r="L571" i="2"/>
  <c r="BP247" i="2"/>
  <c r="BN247" i="2"/>
  <c r="Z295" i="2"/>
  <c r="Z323" i="2"/>
  <c r="Z324" i="2" s="1"/>
  <c r="Z412" i="2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X564" i="2" s="1"/>
  <c r="Z151" i="2"/>
  <c r="Y250" i="2"/>
  <c r="Y301" i="2"/>
  <c r="BP300" i="2"/>
  <c r="BN300" i="2"/>
  <c r="Y397" i="2"/>
  <c r="Y475" i="2"/>
  <c r="BP471" i="2"/>
  <c r="Y474" i="2"/>
  <c r="BN471" i="2"/>
  <c r="Z471" i="2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Z7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Q571" i="2"/>
  <c r="Z71" i="2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BN434" i="2"/>
  <c r="BN444" i="2"/>
  <c r="Y447" i="2"/>
  <c r="BN467" i="2"/>
  <c r="Z479" i="2"/>
  <c r="Z489" i="2"/>
  <c r="Y495" i="2"/>
  <c r="BP506" i="2"/>
  <c r="BN514" i="2"/>
  <c r="Z524" i="2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69" i="2" s="1"/>
  <c r="Z186" i="2"/>
  <c r="Z210" i="2"/>
  <c r="Z315" i="2"/>
  <c r="Z316" i="2" s="1"/>
  <c r="Z328" i="2"/>
  <c r="Z339" i="2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74" i="2"/>
  <c r="Z281" i="2" s="1"/>
  <c r="Z284" i="2"/>
  <c r="Z305" i="2"/>
  <c r="Z345" i="2"/>
  <c r="BP425" i="2"/>
  <c r="AB571" i="2"/>
  <c r="BN166" i="2"/>
  <c r="Z249" i="2" l="1"/>
  <c r="Z341" i="2"/>
  <c r="Z428" i="2"/>
  <c r="Z531" i="2"/>
  <c r="Z421" i="2"/>
  <c r="Z554" i="2"/>
  <c r="Z474" i="2"/>
  <c r="Z521" i="2"/>
  <c r="Z415" i="2"/>
  <c r="Z147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<sst xmlns="http://schemas.openxmlformats.org/spreadsheetml/2006/main" count="4359" uniqueCount="922">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</sst>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44" sqref="AA4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72"/>
      <c r="P5" s="27" t="s">
        <v>4</v>
      </c>
      <c r="Q5" s="1006">
        <v>46298</v>
      </c>
      <c r="R5" s="1006"/>
      <c r="T5" s="1007" t="s">
        <v>3</v>
      </c>
      <c r="U5" s="1008"/>
      <c r="V5" s="1009" t="s">
        <v>879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/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Суббота</v>
      </c>
      <c r="R6" s="1012"/>
      <c r="T6" s="1013" t="s">
        <v>5</v>
      </c>
      <c r="U6" s="1014"/>
      <c r="V6" s="1015" t="s">
        <v>69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0.41666666666666669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70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71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72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73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74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7" t="s">
        <v>75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54"/>
      <c r="AB19" s="54"/>
      <c r="AC19" s="54"/>
    </row>
    <row r="20" spans="1:68" ht="16.5" hidden="1" customHeight="1" x14ac:dyDescent="0.25">
      <c r="A20" s="676" t="s">
        <v>75</v>
      </c>
      <c r="B20" s="676"/>
      <c r="C20" s="676"/>
      <c r="D20" s="676"/>
      <c r="E20" s="676"/>
      <c r="F20" s="676"/>
      <c r="G20" s="676"/>
      <c r="H20" s="676"/>
      <c r="I20" s="676"/>
      <c r="J20" s="676"/>
      <c r="K20" s="676"/>
      <c r="L20" s="676"/>
      <c r="M20" s="676"/>
      <c r="N20" s="676"/>
      <c r="O20" s="676"/>
      <c r="P20" s="676"/>
      <c r="Q20" s="676"/>
      <c r="R20" s="676"/>
      <c r="S20" s="676"/>
      <c r="T20" s="676"/>
      <c r="U20" s="676"/>
      <c r="V20" s="676"/>
      <c r="W20" s="676"/>
      <c r="X20" s="676"/>
      <c r="Y20" s="676"/>
      <c r="Z20" s="676"/>
      <c r="AA20" s="65"/>
      <c r="AB20" s="65"/>
      <c r="AC20" s="79"/>
    </row>
    <row r="21" spans="1:68" ht="14.25" hidden="1" customHeight="1" x14ac:dyDescent="0.25">
      <c r="A21" s="669" t="s">
        <v>76</v>
      </c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70">
        <v>4680115886643</v>
      </c>
      <c r="E22" s="670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2"/>
      <c r="R22" s="672"/>
      <c r="S22" s="672"/>
      <c r="T22" s="673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70">
        <v>4680115889071</v>
      </c>
      <c r="E23" s="670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2"/>
      <c r="R23" s="672"/>
      <c r="S23" s="672"/>
      <c r="T23" s="673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9" t="s">
        <v>85</v>
      </c>
      <c r="B26" s="669"/>
      <c r="C26" s="669"/>
      <c r="D26" s="669"/>
      <c r="E26" s="669"/>
      <c r="F26" s="669"/>
      <c r="G26" s="669"/>
      <c r="H26" s="669"/>
      <c r="I26" s="669"/>
      <c r="J26" s="669"/>
      <c r="K26" s="669"/>
      <c r="L26" s="669"/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70">
        <v>4680115885912</v>
      </c>
      <c r="E27" s="67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2"/>
      <c r="R27" s="672"/>
      <c r="S27" s="672"/>
      <c r="T27" s="673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70">
        <v>4607091388237</v>
      </c>
      <c r="E28" s="67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2"/>
      <c r="R28" s="672"/>
      <c r="S28" s="672"/>
      <c r="T28" s="673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70">
        <v>4680115887350</v>
      </c>
      <c r="E29" s="67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2"/>
      <c r="R29" s="672"/>
      <c r="S29" s="672"/>
      <c r="T29" s="673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70">
        <v>4680115885905</v>
      </c>
      <c r="E30" s="67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2"/>
      <c r="R30" s="672"/>
      <c r="S30" s="672"/>
      <c r="T30" s="673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70">
        <v>4680115887619</v>
      </c>
      <c r="E31" s="67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2"/>
      <c r="R31" s="672"/>
      <c r="S31" s="672"/>
      <c r="T31" s="673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7" t="s">
        <v>45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54"/>
      <c r="AB34" s="54"/>
      <c r="AC34" s="54"/>
    </row>
    <row r="35" spans="1:68" ht="16.5" hidden="1" customHeight="1" x14ac:dyDescent="0.25">
      <c r="A35" s="676" t="s">
        <v>103</v>
      </c>
      <c r="B35" s="676"/>
      <c r="C35" s="676"/>
      <c r="D35" s="676"/>
      <c r="E35" s="676"/>
      <c r="F35" s="676"/>
      <c r="G35" s="676"/>
      <c r="H35" s="676"/>
      <c r="I35" s="676"/>
      <c r="J35" s="676"/>
      <c r="K35" s="676"/>
      <c r="L35" s="676"/>
      <c r="M35" s="676"/>
      <c r="N35" s="676"/>
      <c r="O35" s="676"/>
      <c r="P35" s="676"/>
      <c r="Q35" s="676"/>
      <c r="R35" s="676"/>
      <c r="S35" s="676"/>
      <c r="T35" s="676"/>
      <c r="U35" s="676"/>
      <c r="V35" s="676"/>
      <c r="W35" s="676"/>
      <c r="X35" s="676"/>
      <c r="Y35" s="676"/>
      <c r="Z35" s="676"/>
      <c r="AA35" s="65"/>
      <c r="AB35" s="65"/>
      <c r="AC35" s="79"/>
    </row>
    <row r="36" spans="1:68" ht="14.25" hidden="1" customHeight="1" x14ac:dyDescent="0.25">
      <c r="A36" s="669" t="s">
        <v>85</v>
      </c>
      <c r="B36" s="669"/>
      <c r="C36" s="669"/>
      <c r="D36" s="669"/>
      <c r="E36" s="669"/>
      <c r="F36" s="669"/>
      <c r="G36" s="669"/>
      <c r="H36" s="669"/>
      <c r="I36" s="669"/>
      <c r="J36" s="669"/>
      <c r="K36" s="669"/>
      <c r="L36" s="669"/>
      <c r="M36" s="669"/>
      <c r="N36" s="669"/>
      <c r="O36" s="669"/>
      <c r="P36" s="669"/>
      <c r="Q36" s="669"/>
      <c r="R36" s="669"/>
      <c r="S36" s="669"/>
      <c r="T36" s="669"/>
      <c r="U36" s="669"/>
      <c r="V36" s="669"/>
      <c r="W36" s="669"/>
      <c r="X36" s="669"/>
      <c r="Y36" s="669"/>
      <c r="Z36" s="669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70">
        <v>4680115889354</v>
      </c>
      <c r="E37" s="670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2"/>
      <c r="R37" s="672"/>
      <c r="S37" s="672"/>
      <c r="T37" s="673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70">
        <v>4680115888463</v>
      </c>
      <c r="E38" s="670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2"/>
      <c r="R38" s="672"/>
      <c r="S38" s="672"/>
      <c r="T38" s="673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70">
        <v>4680115889590</v>
      </c>
      <c r="E39" s="670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2"/>
      <c r="R39" s="672"/>
      <c r="S39" s="672"/>
      <c r="T39" s="673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70">
        <v>4680115888272</v>
      </c>
      <c r="E40" s="670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2"/>
      <c r="R40" s="672"/>
      <c r="S40" s="672"/>
      <c r="T40" s="673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70">
        <v>4680115888364</v>
      </c>
      <c r="E41" s="670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2"/>
      <c r="R41" s="672"/>
      <c r="S41" s="672"/>
      <c r="T41" s="673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7" t="s">
        <v>119</v>
      </c>
      <c r="B44" s="687"/>
      <c r="C44" s="687"/>
      <c r="D44" s="687"/>
      <c r="E44" s="687"/>
      <c r="F44" s="687"/>
      <c r="G44" s="687"/>
      <c r="H44" s="687"/>
      <c r="I44" s="687"/>
      <c r="J44" s="687"/>
      <c r="K44" s="687"/>
      <c r="L44" s="687"/>
      <c r="M44" s="687"/>
      <c r="N44" s="687"/>
      <c r="O44" s="687"/>
      <c r="P44" s="687"/>
      <c r="Q44" s="687"/>
      <c r="R44" s="687"/>
      <c r="S44" s="687"/>
      <c r="T44" s="687"/>
      <c r="U44" s="687"/>
      <c r="V44" s="687"/>
      <c r="W44" s="687"/>
      <c r="X44" s="687"/>
      <c r="Y44" s="687"/>
      <c r="Z44" s="687"/>
      <c r="AA44" s="54"/>
      <c r="AB44" s="54"/>
      <c r="AC44" s="54"/>
    </row>
    <row r="45" spans="1:68" ht="16.5" hidden="1" customHeight="1" x14ac:dyDescent="0.25">
      <c r="A45" s="676" t="s">
        <v>120</v>
      </c>
      <c r="B45" s="676"/>
      <c r="C45" s="676"/>
      <c r="D45" s="676"/>
      <c r="E45" s="676"/>
      <c r="F45" s="676"/>
      <c r="G45" s="676"/>
      <c r="H45" s="676"/>
      <c r="I45" s="676"/>
      <c r="J45" s="676"/>
      <c r="K45" s="676"/>
      <c r="L45" s="676"/>
      <c r="M45" s="676"/>
      <c r="N45" s="676"/>
      <c r="O45" s="676"/>
      <c r="P45" s="676"/>
      <c r="Q45" s="676"/>
      <c r="R45" s="676"/>
      <c r="S45" s="676"/>
      <c r="T45" s="676"/>
      <c r="U45" s="676"/>
      <c r="V45" s="676"/>
      <c r="W45" s="676"/>
      <c r="X45" s="676"/>
      <c r="Y45" s="676"/>
      <c r="Z45" s="676"/>
      <c r="AA45" s="65"/>
      <c r="AB45" s="65"/>
      <c r="AC45" s="79"/>
    </row>
    <row r="46" spans="1:68" ht="14.25" hidden="1" customHeight="1" x14ac:dyDescent="0.25">
      <c r="A46" s="669" t="s">
        <v>121</v>
      </c>
      <c r="B46" s="669"/>
      <c r="C46" s="669"/>
      <c r="D46" s="669"/>
      <c r="E46" s="669"/>
      <c r="F46" s="669"/>
      <c r="G46" s="669"/>
      <c r="H46" s="669"/>
      <c r="I46" s="669"/>
      <c r="J46" s="669"/>
      <c r="K46" s="669"/>
      <c r="L46" s="669"/>
      <c r="M46" s="669"/>
      <c r="N46" s="669"/>
      <c r="O46" s="669"/>
      <c r="P46" s="669"/>
      <c r="Q46" s="669"/>
      <c r="R46" s="669"/>
      <c r="S46" s="669"/>
      <c r="T46" s="669"/>
      <c r="U46" s="669"/>
      <c r="V46" s="669"/>
      <c r="W46" s="669"/>
      <c r="X46" s="669"/>
      <c r="Y46" s="669"/>
      <c r="Z46" s="669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70">
        <v>4607091385670</v>
      </c>
      <c r="E47" s="670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2"/>
      <c r="R47" s="672"/>
      <c r="S47" s="672"/>
      <c r="T47" s="673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70">
        <v>4680115887725</v>
      </c>
      <c r="E48" s="670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2"/>
      <c r="R48" s="672"/>
      <c r="S48" s="672"/>
      <c r="T48" s="673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70">
        <v>4607091385687</v>
      </c>
      <c r="E49" s="670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2"/>
      <c r="R49" s="672"/>
      <c r="S49" s="672"/>
      <c r="T49" s="673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70">
        <v>4680115882539</v>
      </c>
      <c r="E50" s="670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2"/>
      <c r="R50" s="672"/>
      <c r="S50" s="672"/>
      <c r="T50" s="673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6" t="s">
        <v>136</v>
      </c>
      <c r="B53" s="676"/>
      <c r="C53" s="676"/>
      <c r="D53" s="676"/>
      <c r="E53" s="676"/>
      <c r="F53" s="676"/>
      <c r="G53" s="676"/>
      <c r="H53" s="676"/>
      <c r="I53" s="676"/>
      <c r="J53" s="676"/>
      <c r="K53" s="676"/>
      <c r="L53" s="676"/>
      <c r="M53" s="676"/>
      <c r="N53" s="676"/>
      <c r="O53" s="676"/>
      <c r="P53" s="676"/>
      <c r="Q53" s="676"/>
      <c r="R53" s="676"/>
      <c r="S53" s="676"/>
      <c r="T53" s="676"/>
      <c r="U53" s="676"/>
      <c r="V53" s="676"/>
      <c r="W53" s="676"/>
      <c r="X53" s="676"/>
      <c r="Y53" s="676"/>
      <c r="Z53" s="676"/>
      <c r="AA53" s="65"/>
      <c r="AB53" s="65"/>
      <c r="AC53" s="79"/>
    </row>
    <row r="54" spans="1:68" ht="14.25" hidden="1" customHeight="1" x14ac:dyDescent="0.25">
      <c r="A54" s="669" t="s">
        <v>121</v>
      </c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  <c r="R54" s="669"/>
      <c r="S54" s="669"/>
      <c r="T54" s="669"/>
      <c r="U54" s="669"/>
      <c r="V54" s="669"/>
      <c r="W54" s="669"/>
      <c r="X54" s="669"/>
      <c r="Y54" s="669"/>
      <c r="Z54" s="669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70">
        <v>4680115885882</v>
      </c>
      <c r="E55" s="670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2"/>
      <c r="R55" s="672"/>
      <c r="S55" s="672"/>
      <c r="T55" s="673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70">
        <v>4680115881426</v>
      </c>
      <c r="E56" s="670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2"/>
      <c r="R56" s="672"/>
      <c r="S56" s="672"/>
      <c r="T56" s="673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670">
        <v>4680115881426</v>
      </c>
      <c r="E57" s="670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72"/>
      <c r="R57" s="672"/>
      <c r="S57" s="672"/>
      <c r="T57" s="673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70">
        <v>4680115880283</v>
      </c>
      <c r="E58" s="670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72"/>
      <c r="R58" s="672"/>
      <c r="S58" s="672"/>
      <c r="T58" s="673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70">
        <v>4680115881525</v>
      </c>
      <c r="E59" s="670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72"/>
      <c r="R59" s="672"/>
      <c r="S59" s="672"/>
      <c r="T59" s="673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670">
        <v>4680115881525</v>
      </c>
      <c r="E60" s="670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72"/>
      <c r="R60" s="672"/>
      <c r="S60" s="672"/>
      <c r="T60" s="673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70">
        <v>4680115885899</v>
      </c>
      <c r="E61" s="670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72"/>
      <c r="R61" s="672"/>
      <c r="S61" s="672"/>
      <c r="T61" s="673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70">
        <v>4680115881419</v>
      </c>
      <c r="E62" s="670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72"/>
      <c r="R62" s="672"/>
      <c r="S62" s="672"/>
      <c r="T62" s="673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670">
        <v>4680115881419</v>
      </c>
      <c r="E63" s="670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72"/>
      <c r="R63" s="672"/>
      <c r="S63" s="672"/>
      <c r="T63" s="673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60"/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1"/>
      <c r="P64" s="657" t="s">
        <v>40</v>
      </c>
      <c r="Q64" s="658"/>
      <c r="R64" s="658"/>
      <c r="S64" s="658"/>
      <c r="T64" s="658"/>
      <c r="U64" s="658"/>
      <c r="V64" s="659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60"/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1"/>
      <c r="P65" s="657" t="s">
        <v>40</v>
      </c>
      <c r="Q65" s="658"/>
      <c r="R65" s="658"/>
      <c r="S65" s="658"/>
      <c r="T65" s="658"/>
      <c r="U65" s="658"/>
      <c r="V65" s="659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9" t="s">
        <v>158</v>
      </c>
      <c r="B66" s="669"/>
      <c r="C66" s="669"/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69"/>
      <c r="R66" s="669"/>
      <c r="S66" s="669"/>
      <c r="T66" s="669"/>
      <c r="U66" s="669"/>
      <c r="V66" s="669"/>
      <c r="W66" s="669"/>
      <c r="X66" s="669"/>
      <c r="Y66" s="669"/>
      <c r="Z66" s="669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670">
        <v>4680115881440</v>
      </c>
      <c r="E67" s="670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72"/>
      <c r="R67" s="672"/>
      <c r="S67" s="672"/>
      <c r="T67" s="673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670">
        <v>4680115881440</v>
      </c>
      <c r="E68" s="670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72"/>
      <c r="R68" s="672"/>
      <c r="S68" s="672"/>
      <c r="T68" s="673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670">
        <v>4680115885950</v>
      </c>
      <c r="E69" s="670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72"/>
      <c r="R69" s="672"/>
      <c r="S69" s="672"/>
      <c r="T69" s="673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670">
        <v>4680115887688</v>
      </c>
      <c r="E70" s="670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72"/>
      <c r="R70" s="672"/>
      <c r="S70" s="672"/>
      <c r="T70" s="673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670">
        <v>4680115881433</v>
      </c>
      <c r="E71" s="670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72"/>
      <c r="R71" s="672"/>
      <c r="S71" s="672"/>
      <c r="T71" s="673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0"/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1"/>
      <c r="P72" s="657" t="s">
        <v>40</v>
      </c>
      <c r="Q72" s="658"/>
      <c r="R72" s="658"/>
      <c r="S72" s="658"/>
      <c r="T72" s="658"/>
      <c r="U72" s="658"/>
      <c r="V72" s="659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0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660"/>
      <c r="N73" s="660"/>
      <c r="O73" s="661"/>
      <c r="P73" s="657" t="s">
        <v>40</v>
      </c>
      <c r="Q73" s="658"/>
      <c r="R73" s="658"/>
      <c r="S73" s="658"/>
      <c r="T73" s="658"/>
      <c r="U73" s="658"/>
      <c r="V73" s="659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9" t="s">
        <v>85</v>
      </c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69"/>
      <c r="P74" s="669"/>
      <c r="Q74" s="669"/>
      <c r="R74" s="669"/>
      <c r="S74" s="669"/>
      <c r="T74" s="669"/>
      <c r="U74" s="669"/>
      <c r="V74" s="669"/>
      <c r="W74" s="669"/>
      <c r="X74" s="669"/>
      <c r="Y74" s="669"/>
      <c r="Z74" s="669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670">
        <v>4680115884311</v>
      </c>
      <c r="E75" s="670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72"/>
      <c r="R75" s="672"/>
      <c r="S75" s="672"/>
      <c r="T75" s="673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670">
        <v>4680115884403</v>
      </c>
      <c r="E76" s="67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72"/>
      <c r="R76" s="672"/>
      <c r="S76" s="672"/>
      <c r="T76" s="673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0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1"/>
      <c r="P77" s="657" t="s">
        <v>40</v>
      </c>
      <c r="Q77" s="658"/>
      <c r="R77" s="658"/>
      <c r="S77" s="658"/>
      <c r="T77" s="658"/>
      <c r="U77" s="658"/>
      <c r="V77" s="659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0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660"/>
      <c r="N78" s="660"/>
      <c r="O78" s="661"/>
      <c r="P78" s="657" t="s">
        <v>40</v>
      </c>
      <c r="Q78" s="658"/>
      <c r="R78" s="658"/>
      <c r="S78" s="658"/>
      <c r="T78" s="658"/>
      <c r="U78" s="658"/>
      <c r="V78" s="659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9" t="s">
        <v>177</v>
      </c>
      <c r="B79" s="669"/>
      <c r="C79" s="669"/>
      <c r="D79" s="669"/>
      <c r="E79" s="669"/>
      <c r="F79" s="669"/>
      <c r="G79" s="669"/>
      <c r="H79" s="669"/>
      <c r="I79" s="669"/>
      <c r="J79" s="669"/>
      <c r="K79" s="669"/>
      <c r="L79" s="669"/>
      <c r="M79" s="669"/>
      <c r="N79" s="669"/>
      <c r="O79" s="669"/>
      <c r="P79" s="669"/>
      <c r="Q79" s="669"/>
      <c r="R79" s="669"/>
      <c r="S79" s="669"/>
      <c r="T79" s="669"/>
      <c r="U79" s="669"/>
      <c r="V79" s="669"/>
      <c r="W79" s="669"/>
      <c r="X79" s="669"/>
      <c r="Y79" s="669"/>
      <c r="Z79" s="669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670">
        <v>4680115881532</v>
      </c>
      <c r="E80" s="67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670">
        <v>4680115881532</v>
      </c>
      <c r="E81" s="670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72"/>
      <c r="R81" s="672"/>
      <c r="S81" s="672"/>
      <c r="T81" s="673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670">
        <v>4680115881464</v>
      </c>
      <c r="E82" s="670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0"/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1"/>
      <c r="P83" s="657" t="s">
        <v>40</v>
      </c>
      <c r="Q83" s="658"/>
      <c r="R83" s="658"/>
      <c r="S83" s="658"/>
      <c r="T83" s="658"/>
      <c r="U83" s="658"/>
      <c r="V83" s="659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0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1"/>
      <c r="P84" s="657" t="s">
        <v>40</v>
      </c>
      <c r="Q84" s="658"/>
      <c r="R84" s="658"/>
      <c r="S84" s="658"/>
      <c r="T84" s="658"/>
      <c r="U84" s="658"/>
      <c r="V84" s="659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6" t="s">
        <v>185</v>
      </c>
      <c r="B85" s="676"/>
      <c r="C85" s="676"/>
      <c r="D85" s="676"/>
      <c r="E85" s="676"/>
      <c r="F85" s="676"/>
      <c r="G85" s="676"/>
      <c r="H85" s="676"/>
      <c r="I85" s="676"/>
      <c r="J85" s="676"/>
      <c r="K85" s="676"/>
      <c r="L85" s="676"/>
      <c r="M85" s="676"/>
      <c r="N85" s="676"/>
      <c r="O85" s="676"/>
      <c r="P85" s="676"/>
      <c r="Q85" s="676"/>
      <c r="R85" s="676"/>
      <c r="S85" s="676"/>
      <c r="T85" s="676"/>
      <c r="U85" s="676"/>
      <c r="V85" s="676"/>
      <c r="W85" s="676"/>
      <c r="X85" s="676"/>
      <c r="Y85" s="676"/>
      <c r="Z85" s="676"/>
      <c r="AA85" s="65"/>
      <c r="AB85" s="65"/>
      <c r="AC85" s="79"/>
    </row>
    <row r="86" spans="1:68" ht="14.25" hidden="1" customHeight="1" x14ac:dyDescent="0.25">
      <c r="A86" s="669" t="s">
        <v>121</v>
      </c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670">
        <v>4680115881327</v>
      </c>
      <c r="E87" s="670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189</v>
      </c>
      <c r="B88" s="63" t="s">
        <v>190</v>
      </c>
      <c r="C88" s="36">
        <v>4301012392</v>
      </c>
      <c r="D88" s="670">
        <v>4680115887732</v>
      </c>
      <c r="E88" s="670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130</v>
      </c>
      <c r="L88" s="37" t="s">
        <v>46</v>
      </c>
      <c r="M88" s="38" t="s">
        <v>80</v>
      </c>
      <c r="N88" s="38"/>
      <c r="O88" s="37">
        <v>30</v>
      </c>
      <c r="P88" s="92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2"/>
      <c r="R88" s="672"/>
      <c r="S88" s="672"/>
      <c r="T88" s="673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191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4301011476</v>
      </c>
      <c r="D89" s="670">
        <v>4680115881518</v>
      </c>
      <c r="E89" s="670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133</v>
      </c>
      <c r="L89" s="37" t="s">
        <v>46</v>
      </c>
      <c r="M89" s="38" t="s">
        <v>89</v>
      </c>
      <c r="N89" s="38"/>
      <c r="O89" s="37">
        <v>50</v>
      </c>
      <c r="P89" s="9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2"/>
      <c r="R89" s="672"/>
      <c r="S89" s="672"/>
      <c r="T89" s="673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188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192</v>
      </c>
      <c r="B90" s="63" t="s">
        <v>194</v>
      </c>
      <c r="C90" s="36">
        <v>4301012252</v>
      </c>
      <c r="D90" s="670">
        <v>4680115881518</v>
      </c>
      <c r="E90" s="670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125</v>
      </c>
      <c r="N90" s="38"/>
      <c r="O90" s="37">
        <v>50</v>
      </c>
      <c r="P90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72"/>
      <c r="R90" s="672"/>
      <c r="S90" s="672"/>
      <c r="T90" s="673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195</v>
      </c>
      <c r="B91" s="63" t="s">
        <v>196</v>
      </c>
      <c r="C91" s="36">
        <v>4301012250</v>
      </c>
      <c r="D91" s="670">
        <v>4680115881303</v>
      </c>
      <c r="E91" s="670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72"/>
      <c r="R91" s="672"/>
      <c r="S91" s="672"/>
      <c r="T91" s="673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60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660"/>
      <c r="N93" s="660"/>
      <c r="O93" s="661"/>
      <c r="P93" s="657" t="s">
        <v>40</v>
      </c>
      <c r="Q93" s="658"/>
      <c r="R93" s="658"/>
      <c r="S93" s="658"/>
      <c r="T93" s="658"/>
      <c r="U93" s="658"/>
      <c r="V93" s="659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669" t="s">
        <v>85</v>
      </c>
      <c r="B94" s="669"/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6"/>
      <c r="AB94" s="66"/>
      <c r="AC94" s="80"/>
    </row>
    <row r="95" spans="1:68" ht="27" hidden="1" customHeight="1" x14ac:dyDescent="0.25">
      <c r="A95" s="63" t="s">
        <v>197</v>
      </c>
      <c r="B95" s="63" t="s">
        <v>198</v>
      </c>
      <c r="C95" s="36">
        <v>4301052101</v>
      </c>
      <c r="D95" s="670">
        <v>4607091386967</v>
      </c>
      <c r="E95" s="670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126</v>
      </c>
      <c r="L95" s="37" t="s">
        <v>46</v>
      </c>
      <c r="M95" s="38" t="s">
        <v>96</v>
      </c>
      <c r="N95" s="38"/>
      <c r="O95" s="37">
        <v>45</v>
      </c>
      <c r="P95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72"/>
      <c r="R95" s="672"/>
      <c r="S95" s="672"/>
      <c r="T95" s="673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199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200</v>
      </c>
      <c r="B96" s="63" t="s">
        <v>201</v>
      </c>
      <c r="C96" s="36">
        <v>4301052090</v>
      </c>
      <c r="D96" s="670">
        <v>4680115884953</v>
      </c>
      <c r="E96" s="670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72"/>
      <c r="R96" s="672"/>
      <c r="S96" s="672"/>
      <c r="T96" s="673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4301052094</v>
      </c>
      <c r="D97" s="670">
        <v>4607091385731</v>
      </c>
      <c r="E97" s="670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72"/>
      <c r="R97" s="672"/>
      <c r="S97" s="672"/>
      <c r="T97" s="673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199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70">
        <v>4680115880894</v>
      </c>
      <c r="E98" s="670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72"/>
      <c r="R98" s="672"/>
      <c r="S98" s="672"/>
      <c r="T98" s="673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0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1"/>
      <c r="P100" s="657" t="s">
        <v>40</v>
      </c>
      <c r="Q100" s="658"/>
      <c r="R100" s="658"/>
      <c r="S100" s="658"/>
      <c r="T100" s="658"/>
      <c r="U100" s="658"/>
      <c r="V100" s="659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6" t="s">
        <v>208</v>
      </c>
      <c r="B101" s="676"/>
      <c r="C101" s="676"/>
      <c r="D101" s="676"/>
      <c r="E101" s="676"/>
      <c r="F101" s="676"/>
      <c r="G101" s="676"/>
      <c r="H101" s="676"/>
      <c r="I101" s="676"/>
      <c r="J101" s="676"/>
      <c r="K101" s="676"/>
      <c r="L101" s="676"/>
      <c r="M101" s="676"/>
      <c r="N101" s="676"/>
      <c r="O101" s="676"/>
      <c r="P101" s="676"/>
      <c r="Q101" s="676"/>
      <c r="R101" s="676"/>
      <c r="S101" s="676"/>
      <c r="T101" s="676"/>
      <c r="U101" s="676"/>
      <c r="V101" s="676"/>
      <c r="W101" s="676"/>
      <c r="X101" s="676"/>
      <c r="Y101" s="676"/>
      <c r="Z101" s="676"/>
      <c r="AA101" s="65"/>
      <c r="AB101" s="65"/>
      <c r="AC101" s="79"/>
    </row>
    <row r="102" spans="1:68" ht="14.25" hidden="1" customHeight="1" x14ac:dyDescent="0.25">
      <c r="A102" s="669" t="s">
        <v>121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70">
        <v>4680115882133</v>
      </c>
      <c r="E103" s="670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72"/>
      <c r="R103" s="672"/>
      <c r="S103" s="672"/>
      <c r="T103" s="673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209</v>
      </c>
      <c r="B104" s="63" t="s">
        <v>212</v>
      </c>
      <c r="C104" s="36">
        <v>4301012256</v>
      </c>
      <c r="D104" s="670">
        <v>4680115882133</v>
      </c>
      <c r="E104" s="670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90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72"/>
      <c r="R104" s="672"/>
      <c r="S104" s="672"/>
      <c r="T104" s="673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214</v>
      </c>
      <c r="B105" s="63" t="s">
        <v>215</v>
      </c>
      <c r="C105" s="36">
        <v>4301012379</v>
      </c>
      <c r="D105" s="670">
        <v>4680115887718</v>
      </c>
      <c r="E105" s="670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2"/>
      <c r="R105" s="672"/>
      <c r="S105" s="672"/>
      <c r="T105" s="673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70">
        <v>4680115880269</v>
      </c>
      <c r="E106" s="670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133</v>
      </c>
      <c r="L106" s="37" t="s">
        <v>46</v>
      </c>
      <c r="M106" s="38" t="s">
        <v>89</v>
      </c>
      <c r="N106" s="38"/>
      <c r="O106" s="37">
        <v>50</v>
      </c>
      <c r="P106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211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217</v>
      </c>
      <c r="B107" s="63" t="s">
        <v>219</v>
      </c>
      <c r="C107" s="36">
        <v>4301012253</v>
      </c>
      <c r="D107" s="670">
        <v>4680115880269</v>
      </c>
      <c r="E107" s="670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125</v>
      </c>
      <c r="N107" s="38"/>
      <c r="O107" s="37">
        <v>50</v>
      </c>
      <c r="P107" s="912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72"/>
      <c r="R107" s="672"/>
      <c r="S107" s="672"/>
      <c r="T107" s="673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220</v>
      </c>
      <c r="B108" s="63" t="s">
        <v>221</v>
      </c>
      <c r="C108" s="36">
        <v>4301012254</v>
      </c>
      <c r="D108" s="670">
        <v>4680115880429</v>
      </c>
      <c r="E108" s="670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91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72"/>
      <c r="R108" s="672"/>
      <c r="S108" s="672"/>
      <c r="T108" s="673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213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222</v>
      </c>
      <c r="B109" s="63" t="s">
        <v>223</v>
      </c>
      <c r="C109" s="36">
        <v>4301011462</v>
      </c>
      <c r="D109" s="670">
        <v>4680115881457</v>
      </c>
      <c r="E109" s="670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211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222</v>
      </c>
      <c r="B110" s="63" t="s">
        <v>224</v>
      </c>
      <c r="C110" s="36">
        <v>4301012255</v>
      </c>
      <c r="D110" s="670">
        <v>4680115881457</v>
      </c>
      <c r="E110" s="670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91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72"/>
      <c r="R110" s="672"/>
      <c r="S110" s="672"/>
      <c r="T110" s="673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225</v>
      </c>
      <c r="B111" s="63" t="s">
        <v>226</v>
      </c>
      <c r="C111" s="36">
        <v>4301012366</v>
      </c>
      <c r="D111" s="670">
        <v>4680115889477</v>
      </c>
      <c r="E111" s="670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90</v>
      </c>
      <c r="L111" s="37" t="s">
        <v>46</v>
      </c>
      <c r="M111" s="38" t="s">
        <v>125</v>
      </c>
      <c r="N111" s="38"/>
      <c r="O111" s="37">
        <v>55</v>
      </c>
      <c r="P111" s="90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72"/>
      <c r="R111" s="672"/>
      <c r="S111" s="672"/>
      <c r="T111" s="673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227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660"/>
      <c r="B112" s="660"/>
      <c r="C112" s="660"/>
      <c r="D112" s="660"/>
      <c r="E112" s="660"/>
      <c r="F112" s="660"/>
      <c r="G112" s="660"/>
      <c r="H112" s="660"/>
      <c r="I112" s="660"/>
      <c r="J112" s="660"/>
      <c r="K112" s="660"/>
      <c r="L112" s="660"/>
      <c r="M112" s="660"/>
      <c r="N112" s="660"/>
      <c r="O112" s="661"/>
      <c r="P112" s="657" t="s">
        <v>40</v>
      </c>
      <c r="Q112" s="658"/>
      <c r="R112" s="658"/>
      <c r="S112" s="658"/>
      <c r="T112" s="658"/>
      <c r="U112" s="658"/>
      <c r="V112" s="659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0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1"/>
      <c r="P113" s="657" t="s">
        <v>40</v>
      </c>
      <c r="Q113" s="658"/>
      <c r="R113" s="658"/>
      <c r="S113" s="658"/>
      <c r="T113" s="658"/>
      <c r="U113" s="658"/>
      <c r="V113" s="659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69" t="s">
        <v>158</v>
      </c>
      <c r="B114" s="669"/>
      <c r="C114" s="669"/>
      <c r="D114" s="669"/>
      <c r="E114" s="669"/>
      <c r="F114" s="669"/>
      <c r="G114" s="669"/>
      <c r="H114" s="669"/>
      <c r="I114" s="669"/>
      <c r="J114" s="669"/>
      <c r="K114" s="669"/>
      <c r="L114" s="669"/>
      <c r="M114" s="669"/>
      <c r="N114" s="669"/>
      <c r="O114" s="669"/>
      <c r="P114" s="669"/>
      <c r="Q114" s="669"/>
      <c r="R114" s="669"/>
      <c r="S114" s="669"/>
      <c r="T114" s="669"/>
      <c r="U114" s="669"/>
      <c r="V114" s="669"/>
      <c r="W114" s="669"/>
      <c r="X114" s="669"/>
      <c r="Y114" s="669"/>
      <c r="Z114" s="669"/>
      <c r="AA114" s="66"/>
      <c r="AB114" s="66"/>
      <c r="AC114" s="80"/>
    </row>
    <row r="115" spans="1:68" ht="27" hidden="1" customHeight="1" x14ac:dyDescent="0.25">
      <c r="A115" s="63" t="s">
        <v>228</v>
      </c>
      <c r="B115" s="63" t="s">
        <v>229</v>
      </c>
      <c r="C115" s="36">
        <v>4301020391</v>
      </c>
      <c r="D115" s="670">
        <v>4680115881488</v>
      </c>
      <c r="E115" s="670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90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2"/>
      <c r="R115" s="672"/>
      <c r="S115" s="672"/>
      <c r="T115" s="673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230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4301020186</v>
      </c>
      <c r="D116" s="670">
        <v>4680115887664</v>
      </c>
      <c r="E116" s="670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2"/>
      <c r="R116" s="672"/>
      <c r="S116" s="672"/>
      <c r="T116" s="673"/>
      <c r="U116" s="39" t="s">
        <v>231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236</v>
      </c>
      <c r="C117" s="36">
        <v>4301020430</v>
      </c>
      <c r="D117" s="670">
        <v>4680115887664</v>
      </c>
      <c r="E117" s="670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9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2"/>
      <c r="R117" s="672"/>
      <c r="S117" s="672"/>
      <c r="T117" s="673"/>
      <c r="U117" s="39" t="s">
        <v>231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4301020393</v>
      </c>
      <c r="D118" s="670">
        <v>4680115882775</v>
      </c>
      <c r="E118" s="670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2"/>
      <c r="R118" s="672"/>
      <c r="S118" s="672"/>
      <c r="T118" s="673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230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239</v>
      </c>
      <c r="B119" s="63" t="s">
        <v>240</v>
      </c>
      <c r="C119" s="36">
        <v>4301020392</v>
      </c>
      <c r="D119" s="670">
        <v>4680115880658</v>
      </c>
      <c r="E119" s="670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90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2"/>
      <c r="R119" s="672"/>
      <c r="S119" s="672"/>
      <c r="T119" s="673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230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0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1"/>
      <c r="P120" s="657" t="s">
        <v>40</v>
      </c>
      <c r="Q120" s="658"/>
      <c r="R120" s="658"/>
      <c r="S120" s="658"/>
      <c r="T120" s="658"/>
      <c r="U120" s="658"/>
      <c r="V120" s="659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0"/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1"/>
      <c r="P121" s="657" t="s">
        <v>40</v>
      </c>
      <c r="Q121" s="658"/>
      <c r="R121" s="658"/>
      <c r="S121" s="658"/>
      <c r="T121" s="658"/>
      <c r="U121" s="658"/>
      <c r="V121" s="659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69" t="s">
        <v>85</v>
      </c>
      <c r="B122" s="669"/>
      <c r="C122" s="669"/>
      <c r="D122" s="669"/>
      <c r="E122" s="669"/>
      <c r="F122" s="669"/>
      <c r="G122" s="669"/>
      <c r="H122" s="669"/>
      <c r="I122" s="669"/>
      <c r="J122" s="669"/>
      <c r="K122" s="669"/>
      <c r="L122" s="669"/>
      <c r="M122" s="669"/>
      <c r="N122" s="669"/>
      <c r="O122" s="669"/>
      <c r="P122" s="669"/>
      <c r="Q122" s="669"/>
      <c r="R122" s="669"/>
      <c r="S122" s="669"/>
      <c r="T122" s="669"/>
      <c r="U122" s="669"/>
      <c r="V122" s="669"/>
      <c r="W122" s="669"/>
      <c r="X122" s="669"/>
      <c r="Y122" s="669"/>
      <c r="Z122" s="669"/>
      <c r="AA122" s="66"/>
      <c r="AB122" s="66"/>
      <c r="AC122" s="80"/>
    </row>
    <row r="123" spans="1:68" ht="27" hidden="1" customHeight="1" x14ac:dyDescent="0.25">
      <c r="A123" s="63" t="s">
        <v>241</v>
      </c>
      <c r="B123" s="63" t="s">
        <v>242</v>
      </c>
      <c r="C123" s="36">
        <v>4301052088</v>
      </c>
      <c r="D123" s="670">
        <v>4607091385168</v>
      </c>
      <c r="E123" s="670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72"/>
      <c r="R123" s="672"/>
      <c r="S123" s="672"/>
      <c r="T123" s="673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4301052087</v>
      </c>
      <c r="D124" s="670">
        <v>4607091383256</v>
      </c>
      <c r="E124" s="670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89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72"/>
      <c r="R124" s="672"/>
      <c r="S124" s="672"/>
      <c r="T124" s="673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4301052086</v>
      </c>
      <c r="D125" s="670">
        <v>4607091385748</v>
      </c>
      <c r="E125" s="670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89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72"/>
      <c r="R125" s="672"/>
      <c r="S125" s="672"/>
      <c r="T125" s="673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248</v>
      </c>
      <c r="B126" s="63" t="s">
        <v>249</v>
      </c>
      <c r="C126" s="36">
        <v>4301052085</v>
      </c>
      <c r="D126" s="670">
        <v>4680115884533</v>
      </c>
      <c r="E126" s="670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9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72"/>
      <c r="R126" s="672"/>
      <c r="S126" s="672"/>
      <c r="T126" s="673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250</v>
      </c>
      <c r="AG126" s="78"/>
      <c r="AJ126" s="84" t="s">
        <v>46</v>
      </c>
      <c r="AK126" s="84">
        <v>0</v>
      </c>
      <c r="BB126" s="209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69" t="s">
        <v>177</v>
      </c>
      <c r="B129" s="669"/>
      <c r="C129" s="669"/>
      <c r="D129" s="669"/>
      <c r="E129" s="669"/>
      <c r="F129" s="669"/>
      <c r="G129" s="669"/>
      <c r="H129" s="669"/>
      <c r="I129" s="669"/>
      <c r="J129" s="669"/>
      <c r="K129" s="669"/>
      <c r="L129" s="669"/>
      <c r="M129" s="669"/>
      <c r="N129" s="669"/>
      <c r="O129" s="669"/>
      <c r="P129" s="669"/>
      <c r="Q129" s="669"/>
      <c r="R129" s="669"/>
      <c r="S129" s="669"/>
      <c r="T129" s="669"/>
      <c r="U129" s="669"/>
      <c r="V129" s="669"/>
      <c r="W129" s="669"/>
      <c r="X129" s="669"/>
      <c r="Y129" s="669"/>
      <c r="Z129" s="669"/>
      <c r="AA129" s="66"/>
      <c r="AB129" s="66"/>
      <c r="AC129" s="80"/>
    </row>
    <row r="130" spans="1:68" ht="16.5" hidden="1" customHeight="1" x14ac:dyDescent="0.25">
      <c r="A130" s="63" t="s">
        <v>251</v>
      </c>
      <c r="B130" s="63" t="s">
        <v>252</v>
      </c>
      <c r="C130" s="36">
        <v>4301060525</v>
      </c>
      <c r="D130" s="670">
        <v>4680115880238</v>
      </c>
      <c r="E130" s="670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40</v>
      </c>
      <c r="P130" s="90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72"/>
      <c r="R130" s="672"/>
      <c r="S130" s="672"/>
      <c r="T130" s="673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253</v>
      </c>
      <c r="AG130" s="78"/>
      <c r="AJ130" s="84" t="s">
        <v>46</v>
      </c>
      <c r="AK130" s="84">
        <v>0</v>
      </c>
      <c r="BB130" s="21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60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1"/>
      <c r="P131" s="657" t="s">
        <v>40</v>
      </c>
      <c r="Q131" s="658"/>
      <c r="R131" s="658"/>
      <c r="S131" s="658"/>
      <c r="T131" s="658"/>
      <c r="U131" s="658"/>
      <c r="V131" s="659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60"/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1"/>
      <c r="P132" s="657" t="s">
        <v>40</v>
      </c>
      <c r="Q132" s="658"/>
      <c r="R132" s="658"/>
      <c r="S132" s="658"/>
      <c r="T132" s="658"/>
      <c r="U132" s="658"/>
      <c r="V132" s="659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76" t="s">
        <v>254</v>
      </c>
      <c r="B133" s="676"/>
      <c r="C133" s="676"/>
      <c r="D133" s="676"/>
      <c r="E133" s="676"/>
      <c r="F133" s="676"/>
      <c r="G133" s="676"/>
      <c r="H133" s="676"/>
      <c r="I133" s="676"/>
      <c r="J133" s="676"/>
      <c r="K133" s="676"/>
      <c r="L133" s="676"/>
      <c r="M133" s="676"/>
      <c r="N133" s="676"/>
      <c r="O133" s="676"/>
      <c r="P133" s="676"/>
      <c r="Q133" s="676"/>
      <c r="R133" s="676"/>
      <c r="S133" s="676"/>
      <c r="T133" s="676"/>
      <c r="U133" s="676"/>
      <c r="V133" s="676"/>
      <c r="W133" s="676"/>
      <c r="X133" s="676"/>
      <c r="Y133" s="676"/>
      <c r="Z133" s="676"/>
      <c r="AA133" s="65"/>
      <c r="AB133" s="65"/>
      <c r="AC133" s="79"/>
    </row>
    <row r="134" spans="1:68" ht="14.25" hidden="1" customHeight="1" x14ac:dyDescent="0.25">
      <c r="A134" s="669" t="s">
        <v>121</v>
      </c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  <c r="M134" s="669"/>
      <c r="N134" s="669"/>
      <c r="O134" s="669"/>
      <c r="P134" s="669"/>
      <c r="Q134" s="669"/>
      <c r="R134" s="669"/>
      <c r="S134" s="669"/>
      <c r="T134" s="669"/>
      <c r="U134" s="669"/>
      <c r="V134" s="669"/>
      <c r="W134" s="669"/>
      <c r="X134" s="669"/>
      <c r="Y134" s="669"/>
      <c r="Z134" s="669"/>
      <c r="AA134" s="66"/>
      <c r="AB134" s="66"/>
      <c r="AC134" s="80"/>
    </row>
    <row r="135" spans="1:68" ht="27" hidden="1" customHeight="1" x14ac:dyDescent="0.25">
      <c r="A135" s="63" t="s">
        <v>255</v>
      </c>
      <c r="B135" s="63" t="s">
        <v>256</v>
      </c>
      <c r="C135" s="36">
        <v>4301011562</v>
      </c>
      <c r="D135" s="670">
        <v>4680115882577</v>
      </c>
      <c r="E135" s="670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258</v>
      </c>
      <c r="N135" s="38"/>
      <c r="O135" s="37">
        <v>90</v>
      </c>
      <c r="P135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72"/>
      <c r="R135" s="672"/>
      <c r="S135" s="672"/>
      <c r="T135" s="673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257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259</v>
      </c>
      <c r="C136" s="36">
        <v>4301011564</v>
      </c>
      <c r="D136" s="670">
        <v>4680115882577</v>
      </c>
      <c r="E136" s="670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90</v>
      </c>
      <c r="L136" s="37" t="s">
        <v>46</v>
      </c>
      <c r="M136" s="38" t="s">
        <v>258</v>
      </c>
      <c r="N136" s="38"/>
      <c r="O136" s="37">
        <v>90</v>
      </c>
      <c r="P136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257</v>
      </c>
      <c r="AG136" s="78"/>
      <c r="AJ136" s="84" t="s">
        <v>46</v>
      </c>
      <c r="AK136" s="84">
        <v>0</v>
      </c>
      <c r="BB136" s="215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60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1"/>
      <c r="P137" s="657" t="s">
        <v>40</v>
      </c>
      <c r="Q137" s="658"/>
      <c r="R137" s="658"/>
      <c r="S137" s="658"/>
      <c r="T137" s="658"/>
      <c r="U137" s="658"/>
      <c r="V137" s="659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69" t="s">
        <v>76</v>
      </c>
      <c r="B139" s="669"/>
      <c r="C139" s="669"/>
      <c r="D139" s="669"/>
      <c r="E139" s="669"/>
      <c r="F139" s="669"/>
      <c r="G139" s="669"/>
      <c r="H139" s="669"/>
      <c r="I139" s="669"/>
      <c r="J139" s="669"/>
      <c r="K139" s="669"/>
      <c r="L139" s="669"/>
      <c r="M139" s="669"/>
      <c r="N139" s="669"/>
      <c r="O139" s="669"/>
      <c r="P139" s="669"/>
      <c r="Q139" s="669"/>
      <c r="R139" s="669"/>
      <c r="S139" s="669"/>
      <c r="T139" s="669"/>
      <c r="U139" s="669"/>
      <c r="V139" s="669"/>
      <c r="W139" s="669"/>
      <c r="X139" s="669"/>
      <c r="Y139" s="669"/>
      <c r="Z139" s="669"/>
      <c r="AA139" s="66"/>
      <c r="AB139" s="66"/>
      <c r="AC139" s="80"/>
    </row>
    <row r="140" spans="1:68" ht="27" hidden="1" customHeight="1" x14ac:dyDescent="0.25">
      <c r="A140" s="63" t="s">
        <v>260</v>
      </c>
      <c r="B140" s="63" t="s">
        <v>261</v>
      </c>
      <c r="C140" s="36">
        <v>4301031234</v>
      </c>
      <c r="D140" s="670">
        <v>4680115883444</v>
      </c>
      <c r="E140" s="670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258</v>
      </c>
      <c r="N140" s="38"/>
      <c r="O140" s="37">
        <v>90</v>
      </c>
      <c r="P140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2"/>
      <c r="R140" s="672"/>
      <c r="S140" s="672"/>
      <c r="T140" s="673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262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260</v>
      </c>
      <c r="B141" s="63" t="s">
        <v>263</v>
      </c>
      <c r="C141" s="36">
        <v>4301031235</v>
      </c>
      <c r="D141" s="670">
        <v>4680115883444</v>
      </c>
      <c r="E141" s="670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258</v>
      </c>
      <c r="N141" s="38"/>
      <c r="O141" s="37">
        <v>90</v>
      </c>
      <c r="P141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262</v>
      </c>
      <c r="AG141" s="78"/>
      <c r="AJ141" s="84" t="s">
        <v>46</v>
      </c>
      <c r="AK141" s="84">
        <v>0</v>
      </c>
      <c r="BB141" s="219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0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1"/>
      <c r="P142" s="657" t="s">
        <v>40</v>
      </c>
      <c r="Q142" s="658"/>
      <c r="R142" s="658"/>
      <c r="S142" s="658"/>
      <c r="T142" s="658"/>
      <c r="U142" s="658"/>
      <c r="V142" s="65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69" t="s">
        <v>85</v>
      </c>
      <c r="B144" s="669"/>
      <c r="C144" s="669"/>
      <c r="D144" s="669"/>
      <c r="E144" s="669"/>
      <c r="F144" s="669"/>
      <c r="G144" s="669"/>
      <c r="H144" s="669"/>
      <c r="I144" s="669"/>
      <c r="J144" s="669"/>
      <c r="K144" s="669"/>
      <c r="L144" s="669"/>
      <c r="M144" s="669"/>
      <c r="N144" s="669"/>
      <c r="O144" s="669"/>
      <c r="P144" s="669"/>
      <c r="Q144" s="669"/>
      <c r="R144" s="669"/>
      <c r="S144" s="669"/>
      <c r="T144" s="669"/>
      <c r="U144" s="669"/>
      <c r="V144" s="669"/>
      <c r="W144" s="669"/>
      <c r="X144" s="669"/>
      <c r="Y144" s="669"/>
      <c r="Z144" s="669"/>
      <c r="AA144" s="66"/>
      <c r="AB144" s="66"/>
      <c r="AC144" s="80"/>
    </row>
    <row r="145" spans="1:68" ht="16.5" hidden="1" customHeight="1" x14ac:dyDescent="0.25">
      <c r="A145" s="63" t="s">
        <v>264</v>
      </c>
      <c r="B145" s="63" t="s">
        <v>265</v>
      </c>
      <c r="C145" s="36">
        <v>4301051476</v>
      </c>
      <c r="D145" s="670">
        <v>4680115882584</v>
      </c>
      <c r="E145" s="670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258</v>
      </c>
      <c r="N145" s="38"/>
      <c r="O145" s="37">
        <v>60</v>
      </c>
      <c r="P145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72"/>
      <c r="R145" s="672"/>
      <c r="S145" s="672"/>
      <c r="T145" s="673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257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264</v>
      </c>
      <c r="B146" s="63" t="s">
        <v>266</v>
      </c>
      <c r="C146" s="36">
        <v>4301051477</v>
      </c>
      <c r="D146" s="670">
        <v>4680115882584</v>
      </c>
      <c r="E146" s="670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90</v>
      </c>
      <c r="L146" s="37" t="s">
        <v>46</v>
      </c>
      <c r="M146" s="38" t="s">
        <v>258</v>
      </c>
      <c r="N146" s="38"/>
      <c r="O146" s="37">
        <v>60</v>
      </c>
      <c r="P146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257</v>
      </c>
      <c r="AG146" s="78"/>
      <c r="AJ146" s="84" t="s">
        <v>46</v>
      </c>
      <c r="AK146" s="84">
        <v>0</v>
      </c>
      <c r="BB146" s="22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0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1"/>
      <c r="P147" s="657" t="s">
        <v>40</v>
      </c>
      <c r="Q147" s="658"/>
      <c r="R147" s="658"/>
      <c r="S147" s="658"/>
      <c r="T147" s="658"/>
      <c r="U147" s="658"/>
      <c r="V147" s="659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0"/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1"/>
      <c r="P148" s="657" t="s">
        <v>40</v>
      </c>
      <c r="Q148" s="658"/>
      <c r="R148" s="658"/>
      <c r="S148" s="658"/>
      <c r="T148" s="658"/>
      <c r="U148" s="658"/>
      <c r="V148" s="659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76" t="s">
        <v>267</v>
      </c>
      <c r="B149" s="676"/>
      <c r="C149" s="676"/>
      <c r="D149" s="676"/>
      <c r="E149" s="676"/>
      <c r="F149" s="676"/>
      <c r="G149" s="676"/>
      <c r="H149" s="676"/>
      <c r="I149" s="676"/>
      <c r="J149" s="676"/>
      <c r="K149" s="676"/>
      <c r="L149" s="676"/>
      <c r="M149" s="676"/>
      <c r="N149" s="676"/>
      <c r="O149" s="676"/>
      <c r="P149" s="676"/>
      <c r="Q149" s="676"/>
      <c r="R149" s="676"/>
      <c r="S149" s="676"/>
      <c r="T149" s="676"/>
      <c r="U149" s="676"/>
      <c r="V149" s="676"/>
      <c r="W149" s="676"/>
      <c r="X149" s="676"/>
      <c r="Y149" s="676"/>
      <c r="Z149" s="676"/>
      <c r="AA149" s="65"/>
      <c r="AB149" s="65"/>
      <c r="AC149" s="79"/>
    </row>
    <row r="150" spans="1:68" ht="14.25" hidden="1" customHeight="1" x14ac:dyDescent="0.25">
      <c r="A150" s="669" t="s">
        <v>85</v>
      </c>
      <c r="B150" s="669"/>
      <c r="C150" s="669"/>
      <c r="D150" s="669"/>
      <c r="E150" s="669"/>
      <c r="F150" s="669"/>
      <c r="G150" s="669"/>
      <c r="H150" s="669"/>
      <c r="I150" s="669"/>
      <c r="J150" s="669"/>
      <c r="K150" s="669"/>
      <c r="L150" s="669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6"/>
      <c r="AB150" s="66"/>
      <c r="AC150" s="80"/>
    </row>
    <row r="151" spans="1:68" ht="27" hidden="1" customHeight="1" x14ac:dyDescent="0.25">
      <c r="A151" s="63" t="s">
        <v>268</v>
      </c>
      <c r="B151" s="63" t="s">
        <v>269</v>
      </c>
      <c r="C151" s="36">
        <v>4301052254</v>
      </c>
      <c r="D151" s="670">
        <v>4680115888203</v>
      </c>
      <c r="E151" s="670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72"/>
      <c r="R151" s="672"/>
      <c r="S151" s="672"/>
      <c r="T151" s="673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270</v>
      </c>
      <c r="AG151" s="78"/>
      <c r="AJ151" s="84" t="s">
        <v>46</v>
      </c>
      <c r="AK151" s="84">
        <v>0</v>
      </c>
      <c r="BB151" s="225" t="s">
        <v>67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4301052172</v>
      </c>
      <c r="D152" s="670">
        <v>4680115888180</v>
      </c>
      <c r="E152" s="670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72"/>
      <c r="R152" s="672"/>
      <c r="S152" s="672"/>
      <c r="T152" s="673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271</v>
      </c>
      <c r="B153" s="63" t="s">
        <v>274</v>
      </c>
      <c r="C153" s="36">
        <v>4301052252</v>
      </c>
      <c r="D153" s="670">
        <v>4680115888180</v>
      </c>
      <c r="E153" s="670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72"/>
      <c r="R153" s="672"/>
      <c r="S153" s="672"/>
      <c r="T153" s="673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275</v>
      </c>
      <c r="B154" s="63" t="s">
        <v>276</v>
      </c>
      <c r="C154" s="36">
        <v>4301052253</v>
      </c>
      <c r="D154" s="670">
        <v>4680115888197</v>
      </c>
      <c r="E154" s="670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72"/>
      <c r="R154" s="672"/>
      <c r="S154" s="672"/>
      <c r="T154" s="673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277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279</v>
      </c>
      <c r="C155" s="36">
        <v>4301052175</v>
      </c>
      <c r="D155" s="670">
        <v>4680115888210</v>
      </c>
      <c r="E155" s="670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72"/>
      <c r="R155" s="672"/>
      <c r="S155" s="672"/>
      <c r="T155" s="673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278</v>
      </c>
      <c r="B156" s="63" t="s">
        <v>281</v>
      </c>
      <c r="C156" s="36">
        <v>4301052255</v>
      </c>
      <c r="D156" s="670">
        <v>4680115888210</v>
      </c>
      <c r="E156" s="670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72"/>
      <c r="R156" s="672"/>
      <c r="S156" s="672"/>
      <c r="T156" s="673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67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669" t="s">
        <v>282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66"/>
      <c r="AB159" s="66"/>
      <c r="AC159" s="80"/>
    </row>
    <row r="160" spans="1:68" ht="27" hidden="1" customHeight="1" x14ac:dyDescent="0.25">
      <c r="A160" s="63" t="s">
        <v>283</v>
      </c>
      <c r="B160" s="63" t="s">
        <v>284</v>
      </c>
      <c r="C160" s="36">
        <v>4301032067</v>
      </c>
      <c r="D160" s="670">
        <v>4680115889132</v>
      </c>
      <c r="E160" s="670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288</v>
      </c>
      <c r="L160" s="37" t="s">
        <v>46</v>
      </c>
      <c r="M160" s="38" t="s">
        <v>287</v>
      </c>
      <c r="N160" s="38"/>
      <c r="O160" s="37">
        <v>120</v>
      </c>
      <c r="P160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72"/>
      <c r="R160" s="672"/>
      <c r="S160" s="672"/>
      <c r="T160" s="673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285</v>
      </c>
      <c r="AG160" s="78"/>
      <c r="AJ160" s="84" t="s">
        <v>46</v>
      </c>
      <c r="AK160" s="84">
        <v>0</v>
      </c>
      <c r="BB160" s="237" t="s">
        <v>286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60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660"/>
      <c r="N161" s="660"/>
      <c r="O161" s="661"/>
      <c r="P161" s="657" t="s">
        <v>40</v>
      </c>
      <c r="Q161" s="658"/>
      <c r="R161" s="658"/>
      <c r="S161" s="658"/>
      <c r="T161" s="658"/>
      <c r="U161" s="658"/>
      <c r="V161" s="659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660"/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1"/>
      <c r="P162" s="657" t="s">
        <v>40</v>
      </c>
      <c r="Q162" s="658"/>
      <c r="R162" s="658"/>
      <c r="S162" s="658"/>
      <c r="T162" s="658"/>
      <c r="U162" s="658"/>
      <c r="V162" s="659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676" t="s">
        <v>119</v>
      </c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6"/>
      <c r="P163" s="676"/>
      <c r="Q163" s="676"/>
      <c r="R163" s="676"/>
      <c r="S163" s="676"/>
      <c r="T163" s="676"/>
      <c r="U163" s="676"/>
      <c r="V163" s="676"/>
      <c r="W163" s="676"/>
      <c r="X163" s="676"/>
      <c r="Y163" s="676"/>
      <c r="Z163" s="676"/>
      <c r="AA163" s="65"/>
      <c r="AB163" s="65"/>
      <c r="AC163" s="79"/>
    </row>
    <row r="164" spans="1:68" ht="14.25" hidden="1" customHeight="1" x14ac:dyDescent="0.25">
      <c r="A164" s="669" t="s">
        <v>121</v>
      </c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69"/>
      <c r="P164" s="669"/>
      <c r="Q164" s="669"/>
      <c r="R164" s="669"/>
      <c r="S164" s="669"/>
      <c r="T164" s="669"/>
      <c r="U164" s="669"/>
      <c r="V164" s="669"/>
      <c r="W164" s="669"/>
      <c r="X164" s="669"/>
      <c r="Y164" s="669"/>
      <c r="Z164" s="669"/>
      <c r="AA164" s="66"/>
      <c r="AB164" s="66"/>
      <c r="AC164" s="80"/>
    </row>
    <row r="165" spans="1:68" ht="27" hidden="1" customHeight="1" x14ac:dyDescent="0.25">
      <c r="A165" s="63" t="s">
        <v>289</v>
      </c>
      <c r="B165" s="63" t="s">
        <v>290</v>
      </c>
      <c r="C165" s="36">
        <v>4301012338</v>
      </c>
      <c r="D165" s="670">
        <v>4680115887374</v>
      </c>
      <c r="E165" s="670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126</v>
      </c>
      <c r="L165" s="37" t="s">
        <v>46</v>
      </c>
      <c r="M165" s="38" t="s">
        <v>125</v>
      </c>
      <c r="N165" s="38"/>
      <c r="O165" s="37">
        <v>55</v>
      </c>
      <c r="P165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72"/>
      <c r="R165" s="672"/>
      <c r="S165" s="672"/>
      <c r="T165" s="673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291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292</v>
      </c>
      <c r="B166" s="63" t="s">
        <v>293</v>
      </c>
      <c r="C166" s="36">
        <v>4301011705</v>
      </c>
      <c r="D166" s="670">
        <v>4607091384604</v>
      </c>
      <c r="E166" s="670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72"/>
      <c r="R166" s="672"/>
      <c r="S166" s="672"/>
      <c r="T166" s="673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294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292</v>
      </c>
      <c r="B167" s="63" t="s">
        <v>295</v>
      </c>
      <c r="C167" s="36">
        <v>4301012258</v>
      </c>
      <c r="D167" s="670">
        <v>4607091384604</v>
      </c>
      <c r="E167" s="670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133</v>
      </c>
      <c r="L167" s="37" t="s">
        <v>46</v>
      </c>
      <c r="M167" s="38" t="s">
        <v>125</v>
      </c>
      <c r="N167" s="38"/>
      <c r="O167" s="37">
        <v>50</v>
      </c>
      <c r="P167" s="87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72"/>
      <c r="R167" s="672"/>
      <c r="S167" s="672"/>
      <c r="T167" s="673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296</v>
      </c>
      <c r="B168" s="63" t="s">
        <v>297</v>
      </c>
      <c r="C168" s="36">
        <v>4301012344</v>
      </c>
      <c r="D168" s="670">
        <v>4680115888876</v>
      </c>
      <c r="E168" s="670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90</v>
      </c>
      <c r="L168" s="37" t="s">
        <v>46</v>
      </c>
      <c r="M168" s="38" t="s">
        <v>89</v>
      </c>
      <c r="N168" s="38"/>
      <c r="O168" s="37">
        <v>55</v>
      </c>
      <c r="P168" s="88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72"/>
      <c r="R168" s="672"/>
      <c r="S168" s="672"/>
      <c r="T168" s="673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298</v>
      </c>
      <c r="AG168" s="78"/>
      <c r="AJ168" s="84" t="s">
        <v>46</v>
      </c>
      <c r="AK168" s="84">
        <v>0</v>
      </c>
      <c r="BB168" s="245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9" t="s">
        <v>158</v>
      </c>
      <c r="B171" s="669"/>
      <c r="C171" s="669"/>
      <c r="D171" s="669"/>
      <c r="E171" s="669"/>
      <c r="F171" s="669"/>
      <c r="G171" s="669"/>
      <c r="H171" s="669"/>
      <c r="I171" s="669"/>
      <c r="J171" s="669"/>
      <c r="K171" s="669"/>
      <c r="L171" s="669"/>
      <c r="M171" s="669"/>
      <c r="N171" s="669"/>
      <c r="O171" s="669"/>
      <c r="P171" s="669"/>
      <c r="Q171" s="669"/>
      <c r="R171" s="669"/>
      <c r="S171" s="669"/>
      <c r="T171" s="669"/>
      <c r="U171" s="669"/>
      <c r="V171" s="669"/>
      <c r="W171" s="669"/>
      <c r="X171" s="669"/>
      <c r="Y171" s="669"/>
      <c r="Z171" s="669"/>
      <c r="AA171" s="66"/>
      <c r="AB171" s="66"/>
      <c r="AC171" s="80"/>
    </row>
    <row r="172" spans="1:68" ht="16.5" hidden="1" customHeight="1" x14ac:dyDescent="0.25">
      <c r="A172" s="63" t="s">
        <v>299</v>
      </c>
      <c r="B172" s="63" t="s">
        <v>300</v>
      </c>
      <c r="C172" s="36">
        <v>4301020410</v>
      </c>
      <c r="D172" s="670">
        <v>4680115887695</v>
      </c>
      <c r="E172" s="670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81</v>
      </c>
      <c r="L172" s="37" t="s">
        <v>46</v>
      </c>
      <c r="M172" s="38" t="s">
        <v>80</v>
      </c>
      <c r="N172" s="38"/>
      <c r="O172" s="37">
        <v>30</v>
      </c>
      <c r="P172" s="8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72"/>
      <c r="R172" s="672"/>
      <c r="S172" s="672"/>
      <c r="T172" s="673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301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302</v>
      </c>
      <c r="B173" s="63" t="s">
        <v>303</v>
      </c>
      <c r="C173" s="36">
        <v>4301020439</v>
      </c>
      <c r="D173" s="670">
        <v>4680115889491</v>
      </c>
      <c r="E173" s="670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81</v>
      </c>
      <c r="L173" s="37" t="s">
        <v>46</v>
      </c>
      <c r="M173" s="38" t="s">
        <v>125</v>
      </c>
      <c r="N173" s="38"/>
      <c r="O173" s="37">
        <v>55</v>
      </c>
      <c r="P173" s="88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72"/>
      <c r="R173" s="672"/>
      <c r="S173" s="672"/>
      <c r="T173" s="673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304</v>
      </c>
      <c r="AG173" s="78"/>
      <c r="AJ173" s="84" t="s">
        <v>46</v>
      </c>
      <c r="AK173" s="84">
        <v>0</v>
      </c>
      <c r="BB173" s="249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0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1"/>
      <c r="P174" s="657" t="s">
        <v>40</v>
      </c>
      <c r="Q174" s="658"/>
      <c r="R174" s="658"/>
      <c r="S174" s="658"/>
      <c r="T174" s="658"/>
      <c r="U174" s="658"/>
      <c r="V174" s="659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60"/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660"/>
      <c r="N175" s="660"/>
      <c r="O175" s="661"/>
      <c r="P175" s="657" t="s">
        <v>40</v>
      </c>
      <c r="Q175" s="658"/>
      <c r="R175" s="658"/>
      <c r="S175" s="658"/>
      <c r="T175" s="658"/>
      <c r="U175" s="658"/>
      <c r="V175" s="659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69" t="s">
        <v>76</v>
      </c>
      <c r="B176" s="669"/>
      <c r="C176" s="669"/>
      <c r="D176" s="669"/>
      <c r="E176" s="669"/>
      <c r="F176" s="669"/>
      <c r="G176" s="669"/>
      <c r="H176" s="669"/>
      <c r="I176" s="669"/>
      <c r="J176" s="669"/>
      <c r="K176" s="669"/>
      <c r="L176" s="669"/>
      <c r="M176" s="669"/>
      <c r="N176" s="669"/>
      <c r="O176" s="669"/>
      <c r="P176" s="669"/>
      <c r="Q176" s="669"/>
      <c r="R176" s="669"/>
      <c r="S176" s="669"/>
      <c r="T176" s="669"/>
      <c r="U176" s="669"/>
      <c r="V176" s="669"/>
      <c r="W176" s="669"/>
      <c r="X176" s="669"/>
      <c r="Y176" s="669"/>
      <c r="Z176" s="669"/>
      <c r="AA176" s="66"/>
      <c r="AB176" s="66"/>
      <c r="AC176" s="80"/>
    </row>
    <row r="177" spans="1:68" ht="27" hidden="1" customHeight="1" x14ac:dyDescent="0.25">
      <c r="A177" s="63" t="s">
        <v>305</v>
      </c>
      <c r="B177" s="63" t="s">
        <v>306</v>
      </c>
      <c r="C177" s="36">
        <v>4301031496</v>
      </c>
      <c r="D177" s="670">
        <v>4680115887428</v>
      </c>
      <c r="E177" s="670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72"/>
      <c r="R177" s="672"/>
      <c r="S177" s="672"/>
      <c r="T177" s="673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307</v>
      </c>
      <c r="AG177" s="78"/>
      <c r="AJ177" s="84" t="s">
        <v>46</v>
      </c>
      <c r="AK177" s="84">
        <v>0</v>
      </c>
      <c r="BB177" s="251" t="s">
        <v>67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308</v>
      </c>
      <c r="B178" s="63" t="s">
        <v>309</v>
      </c>
      <c r="C178" s="36">
        <v>4301031509</v>
      </c>
      <c r="D178" s="670">
        <v>4680115889170</v>
      </c>
      <c r="E178" s="670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72"/>
      <c r="R178" s="672"/>
      <c r="S178" s="672"/>
      <c r="T178" s="673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310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311</v>
      </c>
      <c r="B179" s="63" t="s">
        <v>312</v>
      </c>
      <c r="C179" s="36">
        <v>4301031522</v>
      </c>
      <c r="D179" s="670">
        <v>4680115887398</v>
      </c>
      <c r="E179" s="670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7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72"/>
      <c r="R179" s="672"/>
      <c r="S179" s="672"/>
      <c r="T179" s="673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313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314</v>
      </c>
      <c r="B180" s="63" t="s">
        <v>315</v>
      </c>
      <c r="C180" s="36">
        <v>4301031520</v>
      </c>
      <c r="D180" s="670">
        <v>4680115887336</v>
      </c>
      <c r="E180" s="670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45</v>
      </c>
      <c r="P180" s="87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72"/>
      <c r="R180" s="672"/>
      <c r="S180" s="672"/>
      <c r="T180" s="673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316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317</v>
      </c>
      <c r="B181" s="63" t="s">
        <v>318</v>
      </c>
      <c r="C181" s="36">
        <v>4301032049</v>
      </c>
      <c r="D181" s="670">
        <v>4680115887787</v>
      </c>
      <c r="E181" s="670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72"/>
      <c r="R181" s="672"/>
      <c r="S181" s="672"/>
      <c r="T181" s="673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319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317</v>
      </c>
      <c r="B182" s="63" t="s">
        <v>320</v>
      </c>
      <c r="C182" s="36">
        <v>4301031528</v>
      </c>
      <c r="D182" s="670">
        <v>4680115887787</v>
      </c>
      <c r="E182" s="670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72"/>
      <c r="R182" s="672"/>
      <c r="S182" s="672"/>
      <c r="T182" s="673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4301031448</v>
      </c>
      <c r="D183" s="670">
        <v>4680115887503</v>
      </c>
      <c r="E183" s="670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72"/>
      <c r="R183" s="672"/>
      <c r="S183" s="672"/>
      <c r="T183" s="673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4301031389</v>
      </c>
      <c r="D184" s="670">
        <v>4680115887763</v>
      </c>
      <c r="E184" s="670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72"/>
      <c r="R184" s="672"/>
      <c r="S184" s="672"/>
      <c r="T184" s="673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4301031521</v>
      </c>
      <c r="D185" s="670">
        <v>4680115887480</v>
      </c>
      <c r="E185" s="670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45</v>
      </c>
      <c r="P185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72"/>
      <c r="R185" s="672"/>
      <c r="S185" s="672"/>
      <c r="T185" s="673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313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4301031434</v>
      </c>
      <c r="D186" s="670">
        <v>4680115888067</v>
      </c>
      <c r="E186" s="670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72"/>
      <c r="R186" s="672"/>
      <c r="S186" s="672"/>
      <c r="T186" s="673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4301031519</v>
      </c>
      <c r="D187" s="670">
        <v>4680115887435</v>
      </c>
      <c r="E187" s="670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45</v>
      </c>
      <c r="P187" s="86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72"/>
      <c r="R187" s="672"/>
      <c r="S187" s="672"/>
      <c r="T187" s="673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316</v>
      </c>
      <c r="AG187" s="78"/>
      <c r="AJ187" s="84" t="s">
        <v>46</v>
      </c>
      <c r="AK187" s="84">
        <v>0</v>
      </c>
      <c r="BB187" s="27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660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1"/>
      <c r="P188" s="657" t="s">
        <v>40</v>
      </c>
      <c r="Q188" s="658"/>
      <c r="R188" s="658"/>
      <c r="S188" s="658"/>
      <c r="T188" s="658"/>
      <c r="U188" s="658"/>
      <c r="V188" s="659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60"/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1"/>
      <c r="P189" s="657" t="s">
        <v>40</v>
      </c>
      <c r="Q189" s="658"/>
      <c r="R189" s="658"/>
      <c r="S189" s="658"/>
      <c r="T189" s="658"/>
      <c r="U189" s="658"/>
      <c r="V189" s="659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69" t="s">
        <v>85</v>
      </c>
      <c r="B190" s="669"/>
      <c r="C190" s="669"/>
      <c r="D190" s="669"/>
      <c r="E190" s="669"/>
      <c r="F190" s="669"/>
      <c r="G190" s="669"/>
      <c r="H190" s="669"/>
      <c r="I190" s="669"/>
      <c r="J190" s="669"/>
      <c r="K190" s="669"/>
      <c r="L190" s="669"/>
      <c r="M190" s="669"/>
      <c r="N190" s="669"/>
      <c r="O190" s="669"/>
      <c r="P190" s="669"/>
      <c r="Q190" s="669"/>
      <c r="R190" s="669"/>
      <c r="S190" s="669"/>
      <c r="T190" s="669"/>
      <c r="U190" s="669"/>
      <c r="V190" s="669"/>
      <c r="W190" s="669"/>
      <c r="X190" s="669"/>
      <c r="Y190" s="669"/>
      <c r="Z190" s="669"/>
      <c r="AA190" s="66"/>
      <c r="AB190" s="66"/>
      <c r="AC190" s="80"/>
    </row>
    <row r="191" spans="1:68" ht="16.5" hidden="1" customHeight="1" x14ac:dyDescent="0.25">
      <c r="A191" s="63" t="s">
        <v>333</v>
      </c>
      <c r="B191" s="63" t="s">
        <v>334</v>
      </c>
      <c r="C191" s="36">
        <v>4301052193</v>
      </c>
      <c r="D191" s="670">
        <v>4680115888395</v>
      </c>
      <c r="E191" s="670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72"/>
      <c r="R191" s="672"/>
      <c r="S191" s="672"/>
      <c r="T191" s="673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335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336</v>
      </c>
      <c r="B192" s="63" t="s">
        <v>337</v>
      </c>
      <c r="C192" s="36">
        <v>4301052191</v>
      </c>
      <c r="D192" s="670">
        <v>4680115888371</v>
      </c>
      <c r="E192" s="670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6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72"/>
      <c r="R192" s="672"/>
      <c r="S192" s="672"/>
      <c r="T192" s="673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338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339</v>
      </c>
      <c r="B193" s="63" t="s">
        <v>340</v>
      </c>
      <c r="C193" s="36">
        <v>4301052064</v>
      </c>
      <c r="D193" s="670">
        <v>4680115887459</v>
      </c>
      <c r="E193" s="670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72"/>
      <c r="R193" s="672"/>
      <c r="S193" s="672"/>
      <c r="T193" s="673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341</v>
      </c>
      <c r="AG193" s="78"/>
      <c r="AJ193" s="84" t="s">
        <v>46</v>
      </c>
      <c r="AK193" s="84">
        <v>0</v>
      </c>
      <c r="BB193" s="277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9" t="s">
        <v>282</v>
      </c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6"/>
      <c r="AB196" s="66"/>
      <c r="AC196" s="80"/>
    </row>
    <row r="197" spans="1:68" ht="16.5" hidden="1" customHeight="1" x14ac:dyDescent="0.25">
      <c r="A197" s="63" t="s">
        <v>343</v>
      </c>
      <c r="B197" s="63" t="s">
        <v>344</v>
      </c>
      <c r="C197" s="36">
        <v>4301032058</v>
      </c>
      <c r="D197" s="670">
        <v>4680115889026</v>
      </c>
      <c r="E197" s="670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346</v>
      </c>
      <c r="L197" s="37" t="s">
        <v>46</v>
      </c>
      <c r="M197" s="38" t="s">
        <v>287</v>
      </c>
      <c r="N197" s="38"/>
      <c r="O197" s="37">
        <v>60</v>
      </c>
      <c r="P197" s="86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72"/>
      <c r="R197" s="672"/>
      <c r="S197" s="672"/>
      <c r="T197" s="673"/>
      <c r="U197" s="39" t="s">
        <v>342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345</v>
      </c>
      <c r="AG197" s="78"/>
      <c r="AJ197" s="84" t="s">
        <v>46</v>
      </c>
      <c r="AK197" s="84">
        <v>0</v>
      </c>
      <c r="BB197" s="279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9" t="s">
        <v>347</v>
      </c>
      <c r="B200" s="669"/>
      <c r="C200" s="669"/>
      <c r="D200" s="669"/>
      <c r="E200" s="669"/>
      <c r="F200" s="669"/>
      <c r="G200" s="669"/>
      <c r="H200" s="669"/>
      <c r="I200" s="669"/>
      <c r="J200" s="669"/>
      <c r="K200" s="669"/>
      <c r="L200" s="669"/>
      <c r="M200" s="669"/>
      <c r="N200" s="669"/>
      <c r="O200" s="669"/>
      <c r="P200" s="669"/>
      <c r="Q200" s="669"/>
      <c r="R200" s="669"/>
      <c r="S200" s="669"/>
      <c r="T200" s="669"/>
      <c r="U200" s="669"/>
      <c r="V200" s="669"/>
      <c r="W200" s="669"/>
      <c r="X200" s="669"/>
      <c r="Y200" s="669"/>
      <c r="Z200" s="669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4301041009</v>
      </c>
      <c r="D201" s="670">
        <v>4680115889033</v>
      </c>
      <c r="E201" s="670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346</v>
      </c>
      <c r="L201" s="37" t="s">
        <v>46</v>
      </c>
      <c r="M201" s="38" t="s">
        <v>287</v>
      </c>
      <c r="N201" s="38"/>
      <c r="O201" s="37">
        <v>60</v>
      </c>
      <c r="P201" s="8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72"/>
      <c r="R201" s="672"/>
      <c r="S201" s="672"/>
      <c r="T201" s="673"/>
      <c r="U201" s="39" t="s">
        <v>342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350</v>
      </c>
      <c r="AG201" s="78"/>
      <c r="AJ201" s="84" t="s">
        <v>46</v>
      </c>
      <c r="AK201" s="84">
        <v>0</v>
      </c>
      <c r="BB201" s="28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0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660"/>
      <c r="N202" s="660"/>
      <c r="O202" s="661"/>
      <c r="P202" s="657" t="s">
        <v>40</v>
      </c>
      <c r="Q202" s="658"/>
      <c r="R202" s="658"/>
      <c r="S202" s="658"/>
      <c r="T202" s="658"/>
      <c r="U202" s="658"/>
      <c r="V202" s="659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0"/>
      <c r="B203" s="660"/>
      <c r="C203" s="660"/>
      <c r="D203" s="660"/>
      <c r="E203" s="660"/>
      <c r="F203" s="660"/>
      <c r="G203" s="660"/>
      <c r="H203" s="660"/>
      <c r="I203" s="660"/>
      <c r="J203" s="660"/>
      <c r="K203" s="660"/>
      <c r="L203" s="660"/>
      <c r="M203" s="660"/>
      <c r="N203" s="660"/>
      <c r="O203" s="661"/>
      <c r="P203" s="657" t="s">
        <v>40</v>
      </c>
      <c r="Q203" s="658"/>
      <c r="R203" s="658"/>
      <c r="S203" s="658"/>
      <c r="T203" s="658"/>
      <c r="U203" s="658"/>
      <c r="V203" s="659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687" t="s">
        <v>351</v>
      </c>
      <c r="B204" s="687"/>
      <c r="C204" s="687"/>
      <c r="D204" s="687"/>
      <c r="E204" s="687"/>
      <c r="F204" s="687"/>
      <c r="G204" s="687"/>
      <c r="H204" s="687"/>
      <c r="I204" s="687"/>
      <c r="J204" s="687"/>
      <c r="K204" s="687"/>
      <c r="L204" s="687"/>
      <c r="M204" s="687"/>
      <c r="N204" s="687"/>
      <c r="O204" s="687"/>
      <c r="P204" s="687"/>
      <c r="Q204" s="687"/>
      <c r="R204" s="687"/>
      <c r="S204" s="687"/>
      <c r="T204" s="687"/>
      <c r="U204" s="687"/>
      <c r="V204" s="687"/>
      <c r="W204" s="687"/>
      <c r="X204" s="687"/>
      <c r="Y204" s="687"/>
      <c r="Z204" s="687"/>
      <c r="AA204" s="54"/>
      <c r="AB204" s="54"/>
      <c r="AC204" s="54"/>
    </row>
    <row r="205" spans="1:68" ht="16.5" hidden="1" customHeight="1" x14ac:dyDescent="0.25">
      <c r="A205" s="676" t="s">
        <v>352</v>
      </c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6"/>
      <c r="P205" s="676"/>
      <c r="Q205" s="676"/>
      <c r="R205" s="676"/>
      <c r="S205" s="676"/>
      <c r="T205" s="676"/>
      <c r="U205" s="676"/>
      <c r="V205" s="676"/>
      <c r="W205" s="676"/>
      <c r="X205" s="676"/>
      <c r="Y205" s="676"/>
      <c r="Z205" s="676"/>
      <c r="AA205" s="65"/>
      <c r="AB205" s="65"/>
      <c r="AC205" s="79"/>
    </row>
    <row r="206" spans="1:68" ht="14.25" hidden="1" customHeight="1" x14ac:dyDescent="0.25">
      <c r="A206" s="669" t="s">
        <v>121</v>
      </c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69"/>
      <c r="P206" s="669"/>
      <c r="Q206" s="669"/>
      <c r="R206" s="669"/>
      <c r="S206" s="669"/>
      <c r="T206" s="669"/>
      <c r="U206" s="669"/>
      <c r="V206" s="669"/>
      <c r="W206" s="669"/>
      <c r="X206" s="669"/>
      <c r="Y206" s="669"/>
      <c r="Z206" s="669"/>
      <c r="AA206" s="66"/>
      <c r="AB206" s="66"/>
      <c r="AC206" s="80"/>
    </row>
    <row r="207" spans="1:68" ht="27" hidden="1" customHeight="1" x14ac:dyDescent="0.25">
      <c r="A207" s="63" t="s">
        <v>353</v>
      </c>
      <c r="B207" s="63" t="s">
        <v>354</v>
      </c>
      <c r="C207" s="36">
        <v>4301011223</v>
      </c>
      <c r="D207" s="670">
        <v>4607091383423</v>
      </c>
      <c r="E207" s="670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72"/>
      <c r="R207" s="672"/>
      <c r="S207" s="672"/>
      <c r="T207" s="673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124</v>
      </c>
      <c r="AG207" s="78"/>
      <c r="AJ207" s="84" t="s">
        <v>46</v>
      </c>
      <c r="AK207" s="84">
        <v>0</v>
      </c>
      <c r="BB207" s="283" t="s">
        <v>67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4301012340</v>
      </c>
      <c r="D208" s="670">
        <v>4680115888760</v>
      </c>
      <c r="E208" s="670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72"/>
      <c r="R208" s="672"/>
      <c r="S208" s="672"/>
      <c r="T208" s="673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358</v>
      </c>
      <c r="B209" s="63" t="s">
        <v>359</v>
      </c>
      <c r="C209" s="36">
        <v>4301012341</v>
      </c>
      <c r="D209" s="670">
        <v>4680115888807</v>
      </c>
      <c r="E209" s="670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5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72"/>
      <c r="R209" s="672"/>
      <c r="S209" s="672"/>
      <c r="T209" s="673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4301012342</v>
      </c>
      <c r="D210" s="670">
        <v>4680115888852</v>
      </c>
      <c r="E210" s="670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72"/>
      <c r="R210" s="672"/>
      <c r="S210" s="672"/>
      <c r="T210" s="673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364</v>
      </c>
      <c r="B211" s="63" t="s">
        <v>365</v>
      </c>
      <c r="C211" s="36">
        <v>4301012370</v>
      </c>
      <c r="D211" s="670">
        <v>4680115886957</v>
      </c>
      <c r="E211" s="670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72"/>
      <c r="R211" s="672"/>
      <c r="S211" s="672"/>
      <c r="T211" s="673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367</v>
      </c>
      <c r="B212" s="63" t="s">
        <v>368</v>
      </c>
      <c r="C212" s="36">
        <v>4301012098</v>
      </c>
      <c r="D212" s="670">
        <v>4680115885660</v>
      </c>
      <c r="E212" s="670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72"/>
      <c r="R212" s="672"/>
      <c r="S212" s="672"/>
      <c r="T212" s="673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369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370</v>
      </c>
      <c r="B213" s="63" t="s">
        <v>371</v>
      </c>
      <c r="C213" s="36">
        <v>4301012369</v>
      </c>
      <c r="D213" s="670">
        <v>4680115886773</v>
      </c>
      <c r="E213" s="670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6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72"/>
      <c r="R213" s="672"/>
      <c r="S213" s="672"/>
      <c r="T213" s="673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372</v>
      </c>
      <c r="AG213" s="78"/>
      <c r="AJ213" s="84" t="s">
        <v>46</v>
      </c>
      <c r="AK213" s="84">
        <v>0</v>
      </c>
      <c r="BB213" s="295" t="s">
        <v>67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660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660"/>
      <c r="N214" s="660"/>
      <c r="O214" s="661"/>
      <c r="P214" s="657" t="s">
        <v>40</v>
      </c>
      <c r="Q214" s="658"/>
      <c r="R214" s="658"/>
      <c r="S214" s="658"/>
      <c r="T214" s="658"/>
      <c r="U214" s="658"/>
      <c r="V214" s="659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676" t="s">
        <v>373</v>
      </c>
      <c r="B216" s="676"/>
      <c r="C216" s="676"/>
      <c r="D216" s="676"/>
      <c r="E216" s="676"/>
      <c r="F216" s="676"/>
      <c r="G216" s="676"/>
      <c r="H216" s="676"/>
      <c r="I216" s="676"/>
      <c r="J216" s="676"/>
      <c r="K216" s="676"/>
      <c r="L216" s="676"/>
      <c r="M216" s="676"/>
      <c r="N216" s="676"/>
      <c r="O216" s="676"/>
      <c r="P216" s="676"/>
      <c r="Q216" s="676"/>
      <c r="R216" s="676"/>
      <c r="S216" s="676"/>
      <c r="T216" s="676"/>
      <c r="U216" s="676"/>
      <c r="V216" s="676"/>
      <c r="W216" s="676"/>
      <c r="X216" s="676"/>
      <c r="Y216" s="676"/>
      <c r="Z216" s="676"/>
      <c r="AA216" s="65"/>
      <c r="AB216" s="65"/>
      <c r="AC216" s="79"/>
    </row>
    <row r="217" spans="1:68" ht="14.25" hidden="1" customHeight="1" x14ac:dyDescent="0.25">
      <c r="A217" s="669" t="s">
        <v>158</v>
      </c>
      <c r="B217" s="669"/>
      <c r="C217" s="669"/>
      <c r="D217" s="669"/>
      <c r="E217" s="669"/>
      <c r="F217" s="669"/>
      <c r="G217" s="669"/>
      <c r="H217" s="669"/>
      <c r="I217" s="669"/>
      <c r="J217" s="669"/>
      <c r="K217" s="669"/>
      <c r="L217" s="669"/>
      <c r="M217" s="669"/>
      <c r="N217" s="669"/>
      <c r="O217" s="669"/>
      <c r="P217" s="669"/>
      <c r="Q217" s="669"/>
      <c r="R217" s="669"/>
      <c r="S217" s="669"/>
      <c r="T217" s="669"/>
      <c r="U217" s="669"/>
      <c r="V217" s="669"/>
      <c r="W217" s="669"/>
      <c r="X217" s="669"/>
      <c r="Y217" s="669"/>
      <c r="Z217" s="669"/>
      <c r="AA217" s="66"/>
      <c r="AB217" s="66"/>
      <c r="AC217" s="80"/>
    </row>
    <row r="218" spans="1:68" ht="27" hidden="1" customHeight="1" x14ac:dyDescent="0.25">
      <c r="A218" s="63" t="s">
        <v>374</v>
      </c>
      <c r="B218" s="63" t="s">
        <v>375</v>
      </c>
      <c r="C218" s="36">
        <v>4301020323</v>
      </c>
      <c r="D218" s="670">
        <v>4680115886223</v>
      </c>
      <c r="E218" s="670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40</v>
      </c>
      <c r="P218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72"/>
      <c r="R218" s="672"/>
      <c r="S218" s="672"/>
      <c r="T218" s="673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376</v>
      </c>
      <c r="AG218" s="78"/>
      <c r="AJ218" s="84" t="s">
        <v>46</v>
      </c>
      <c r="AK218" s="84">
        <v>0</v>
      </c>
      <c r="BB218" s="297" t="s">
        <v>67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660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1"/>
      <c r="P219" s="657" t="s">
        <v>40</v>
      </c>
      <c r="Q219" s="658"/>
      <c r="R219" s="658"/>
      <c r="S219" s="658"/>
      <c r="T219" s="658"/>
      <c r="U219" s="658"/>
      <c r="V219" s="659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660"/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1"/>
      <c r="P220" s="657" t="s">
        <v>40</v>
      </c>
      <c r="Q220" s="658"/>
      <c r="R220" s="658"/>
      <c r="S220" s="658"/>
      <c r="T220" s="658"/>
      <c r="U220" s="658"/>
      <c r="V220" s="659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669" t="s">
        <v>76</v>
      </c>
      <c r="B221" s="669"/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6"/>
      <c r="AB221" s="66"/>
      <c r="AC221" s="80"/>
    </row>
    <row r="222" spans="1:68" ht="27" hidden="1" customHeight="1" x14ac:dyDescent="0.25">
      <c r="A222" s="63" t="s">
        <v>377</v>
      </c>
      <c r="B222" s="63" t="s">
        <v>378</v>
      </c>
      <c r="C222" s="36">
        <v>4301031191</v>
      </c>
      <c r="D222" s="670">
        <v>4680115880993</v>
      </c>
      <c r="E222" s="670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72"/>
      <c r="R222" s="672"/>
      <c r="S222" s="672"/>
      <c r="T222" s="673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4301031204</v>
      </c>
      <c r="D223" s="670">
        <v>4680115881761</v>
      </c>
      <c r="E223" s="670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72"/>
      <c r="R223" s="672"/>
      <c r="S223" s="672"/>
      <c r="T223" s="673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4301031201</v>
      </c>
      <c r="D224" s="670">
        <v>4680115881563</v>
      </c>
      <c r="E224" s="670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133</v>
      </c>
      <c r="L224" s="37" t="s">
        <v>46</v>
      </c>
      <c r="M224" s="38" t="s">
        <v>80</v>
      </c>
      <c r="N224" s="38"/>
      <c r="O224" s="37">
        <v>40</v>
      </c>
      <c r="P224" s="85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72"/>
      <c r="R224" s="672"/>
      <c r="S224" s="672"/>
      <c r="T224" s="673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385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386</v>
      </c>
      <c r="B225" s="63" t="s">
        <v>387</v>
      </c>
      <c r="C225" s="36">
        <v>4301031447</v>
      </c>
      <c r="D225" s="670">
        <v>4680115887565</v>
      </c>
      <c r="E225" s="670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72"/>
      <c r="R225" s="672"/>
      <c r="S225" s="672"/>
      <c r="T225" s="673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388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4301031199</v>
      </c>
      <c r="D226" s="670">
        <v>4680115880986</v>
      </c>
      <c r="E226" s="670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72"/>
      <c r="R226" s="672"/>
      <c r="S226" s="672"/>
      <c r="T226" s="673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379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391</v>
      </c>
      <c r="B227" s="63" t="s">
        <v>392</v>
      </c>
      <c r="C227" s="36">
        <v>4301031443</v>
      </c>
      <c r="D227" s="670">
        <v>4680115887213</v>
      </c>
      <c r="E227" s="670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72"/>
      <c r="R227" s="672"/>
      <c r="S227" s="672"/>
      <c r="T227" s="673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393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394</v>
      </c>
      <c r="B228" s="63" t="s">
        <v>395</v>
      </c>
      <c r="C228" s="36">
        <v>4301031205</v>
      </c>
      <c r="D228" s="670">
        <v>4680115881785</v>
      </c>
      <c r="E228" s="670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72"/>
      <c r="R228" s="672"/>
      <c r="S228" s="672"/>
      <c r="T228" s="673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382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4301031499</v>
      </c>
      <c r="D229" s="670">
        <v>4680115888432</v>
      </c>
      <c r="E229" s="670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72"/>
      <c r="R229" s="672"/>
      <c r="S229" s="672"/>
      <c r="T229" s="673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4301031427</v>
      </c>
      <c r="D230" s="670">
        <v>4680115888104</v>
      </c>
      <c r="E230" s="670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72"/>
      <c r="R230" s="672"/>
      <c r="S230" s="672"/>
      <c r="T230" s="673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4301031503</v>
      </c>
      <c r="D231" s="670">
        <v>4680115886537</v>
      </c>
      <c r="E231" s="670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72"/>
      <c r="R231" s="672"/>
      <c r="S231" s="672"/>
      <c r="T231" s="673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404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4301031279</v>
      </c>
      <c r="D232" s="670">
        <v>4680115887596</v>
      </c>
      <c r="E232" s="670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130</v>
      </c>
      <c r="L232" s="37" t="s">
        <v>46</v>
      </c>
      <c r="M232" s="38" t="s">
        <v>80</v>
      </c>
      <c r="N232" s="38"/>
      <c r="O232" s="37">
        <v>45</v>
      </c>
      <c r="P232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72"/>
      <c r="R232" s="672"/>
      <c r="S232" s="672"/>
      <c r="T232" s="673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408</v>
      </c>
      <c r="B233" s="63" t="s">
        <v>409</v>
      </c>
      <c r="C233" s="36">
        <v>4301031530</v>
      </c>
      <c r="D233" s="670">
        <v>4680115881679</v>
      </c>
      <c r="E233" s="670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72"/>
      <c r="R233" s="672"/>
      <c r="S233" s="672"/>
      <c r="T233" s="673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385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4301031158</v>
      </c>
      <c r="D234" s="670">
        <v>4680115880191</v>
      </c>
      <c r="E234" s="670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40</v>
      </c>
      <c r="P234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72"/>
      <c r="R234" s="672"/>
      <c r="S234" s="672"/>
      <c r="T234" s="673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385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410</v>
      </c>
      <c r="B235" s="63" t="s">
        <v>412</v>
      </c>
      <c r="C235" s="36">
        <v>4301031531</v>
      </c>
      <c r="D235" s="670">
        <v>4680115880191</v>
      </c>
      <c r="E235" s="670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45</v>
      </c>
      <c r="P235" s="84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72"/>
      <c r="R235" s="672"/>
      <c r="S235" s="672"/>
      <c r="T235" s="673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385</v>
      </c>
      <c r="AG235" s="78"/>
      <c r="AJ235" s="84" t="s">
        <v>46</v>
      </c>
      <c r="AK235" s="84">
        <v>0</v>
      </c>
      <c r="BB235" s="325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4301031245</v>
      </c>
      <c r="D236" s="670">
        <v>4680115883963</v>
      </c>
      <c r="E236" s="670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72"/>
      <c r="R236" s="672"/>
      <c r="S236" s="672"/>
      <c r="T236" s="673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660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1"/>
      <c r="P237" s="657" t="s">
        <v>40</v>
      </c>
      <c r="Q237" s="658"/>
      <c r="R237" s="658"/>
      <c r="S237" s="658"/>
      <c r="T237" s="658"/>
      <c r="U237" s="658"/>
      <c r="V237" s="659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60"/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60"/>
      <c r="N238" s="660"/>
      <c r="O238" s="661"/>
      <c r="P238" s="657" t="s">
        <v>40</v>
      </c>
      <c r="Q238" s="658"/>
      <c r="R238" s="658"/>
      <c r="S238" s="658"/>
      <c r="T238" s="658"/>
      <c r="U238" s="658"/>
      <c r="V238" s="659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69" t="s">
        <v>85</v>
      </c>
      <c r="B239" s="669"/>
      <c r="C239" s="669"/>
      <c r="D239" s="669"/>
      <c r="E239" s="669"/>
      <c r="F239" s="669"/>
      <c r="G239" s="669"/>
      <c r="H239" s="669"/>
      <c r="I239" s="669"/>
      <c r="J239" s="669"/>
      <c r="K239" s="669"/>
      <c r="L239" s="669"/>
      <c r="M239" s="669"/>
      <c r="N239" s="669"/>
      <c r="O239" s="669"/>
      <c r="P239" s="669"/>
      <c r="Q239" s="669"/>
      <c r="R239" s="669"/>
      <c r="S239" s="669"/>
      <c r="T239" s="669"/>
      <c r="U239" s="669"/>
      <c r="V239" s="669"/>
      <c r="W239" s="669"/>
      <c r="X239" s="669"/>
      <c r="Y239" s="669"/>
      <c r="Z239" s="669"/>
      <c r="AA239" s="66"/>
      <c r="AB239" s="66"/>
      <c r="AC239" s="80"/>
    </row>
    <row r="240" spans="1:68" ht="16.5" hidden="1" customHeight="1" x14ac:dyDescent="0.25">
      <c r="A240" s="63" t="s">
        <v>416</v>
      </c>
      <c r="B240" s="63" t="s">
        <v>417</v>
      </c>
      <c r="C240" s="36">
        <v>4301052209</v>
      </c>
      <c r="D240" s="670">
        <v>4680115888692</v>
      </c>
      <c r="E240" s="670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35</v>
      </c>
      <c r="P240" s="83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72"/>
      <c r="R240" s="672"/>
      <c r="S240" s="672"/>
      <c r="T240" s="673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416</v>
      </c>
      <c r="B241" s="63" t="s">
        <v>419</v>
      </c>
      <c r="C241" s="36">
        <v>4301052279</v>
      </c>
      <c r="D241" s="670">
        <v>4680115888692</v>
      </c>
      <c r="E241" s="670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40</v>
      </c>
      <c r="P241" s="83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72"/>
      <c r="R241" s="672"/>
      <c r="S241" s="672"/>
      <c r="T241" s="673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420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421</v>
      </c>
      <c r="B242" s="63" t="s">
        <v>422</v>
      </c>
      <c r="C242" s="36">
        <v>4301052213</v>
      </c>
      <c r="D242" s="670">
        <v>4680115888722</v>
      </c>
      <c r="E242" s="670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35</v>
      </c>
      <c r="P242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72"/>
      <c r="R242" s="672"/>
      <c r="S242" s="672"/>
      <c r="T242" s="673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423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421</v>
      </c>
      <c r="B243" s="63" t="s">
        <v>424</v>
      </c>
      <c r="C243" s="36">
        <v>4301052280</v>
      </c>
      <c r="D243" s="670">
        <v>4680115888722</v>
      </c>
      <c r="E243" s="670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40</v>
      </c>
      <c r="P243" s="8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72"/>
      <c r="R243" s="672"/>
      <c r="S243" s="672"/>
      <c r="T243" s="673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4301052177</v>
      </c>
      <c r="D244" s="670">
        <v>4680115888951</v>
      </c>
      <c r="E244" s="670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35</v>
      </c>
      <c r="P244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72"/>
      <c r="R244" s="672"/>
      <c r="S244" s="672"/>
      <c r="T244" s="673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426</v>
      </c>
      <c r="B245" s="63" t="s">
        <v>429</v>
      </c>
      <c r="C245" s="36">
        <v>4301052276</v>
      </c>
      <c r="D245" s="670">
        <v>4680115888951</v>
      </c>
      <c r="E245" s="670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40</v>
      </c>
      <c r="P245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72"/>
      <c r="R245" s="672"/>
      <c r="S245" s="672"/>
      <c r="T245" s="673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420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430</v>
      </c>
      <c r="B246" s="63" t="s">
        <v>431</v>
      </c>
      <c r="C246" s="36">
        <v>4301052178</v>
      </c>
      <c r="D246" s="670">
        <v>4680115888975</v>
      </c>
      <c r="E246" s="670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72"/>
      <c r="R246" s="672"/>
      <c r="S246" s="672"/>
      <c r="T246" s="673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432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4301052176</v>
      </c>
      <c r="D247" s="670">
        <v>4680115888982</v>
      </c>
      <c r="E247" s="670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72"/>
      <c r="R247" s="672"/>
      <c r="S247" s="672"/>
      <c r="T247" s="673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423</v>
      </c>
      <c r="AG247" s="78"/>
      <c r="AJ247" s="84" t="s">
        <v>46</v>
      </c>
      <c r="AK247" s="84">
        <v>0</v>
      </c>
      <c r="BB247" s="343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433</v>
      </c>
      <c r="B248" s="63" t="s">
        <v>435</v>
      </c>
      <c r="C248" s="36">
        <v>4301052277</v>
      </c>
      <c r="D248" s="670">
        <v>4680115888982</v>
      </c>
      <c r="E248" s="670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133</v>
      </c>
      <c r="L248" s="37" t="s">
        <v>46</v>
      </c>
      <c r="M248" s="38" t="s">
        <v>96</v>
      </c>
      <c r="N248" s="38"/>
      <c r="O248" s="37">
        <v>40</v>
      </c>
      <c r="P248" s="82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72"/>
      <c r="R248" s="672"/>
      <c r="S248" s="672"/>
      <c r="T248" s="673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425</v>
      </c>
      <c r="AG248" s="78"/>
      <c r="AJ248" s="84" t="s">
        <v>46</v>
      </c>
      <c r="AK248" s="84">
        <v>0</v>
      </c>
      <c r="BB248" s="345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660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1"/>
      <c r="P249" s="657" t="s">
        <v>40</v>
      </c>
      <c r="Q249" s="658"/>
      <c r="R249" s="658"/>
      <c r="S249" s="658"/>
      <c r="T249" s="658"/>
      <c r="U249" s="658"/>
      <c r="V249" s="659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60"/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1"/>
      <c r="P250" s="657" t="s">
        <v>40</v>
      </c>
      <c r="Q250" s="658"/>
      <c r="R250" s="658"/>
      <c r="S250" s="658"/>
      <c r="T250" s="658"/>
      <c r="U250" s="658"/>
      <c r="V250" s="659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9" t="s">
        <v>282</v>
      </c>
      <c r="B251" s="669"/>
      <c r="C251" s="669"/>
      <c r="D251" s="669"/>
      <c r="E251" s="669"/>
      <c r="F251" s="669"/>
      <c r="G251" s="669"/>
      <c r="H251" s="669"/>
      <c r="I251" s="669"/>
      <c r="J251" s="669"/>
      <c r="K251" s="669"/>
      <c r="L251" s="669"/>
      <c r="M251" s="669"/>
      <c r="N251" s="669"/>
      <c r="O251" s="669"/>
      <c r="P251" s="669"/>
      <c r="Q251" s="669"/>
      <c r="R251" s="669"/>
      <c r="S251" s="669"/>
      <c r="T251" s="669"/>
      <c r="U251" s="669"/>
      <c r="V251" s="669"/>
      <c r="W251" s="669"/>
      <c r="X251" s="669"/>
      <c r="Y251" s="669"/>
      <c r="Z251" s="669"/>
      <c r="AA251" s="66"/>
      <c r="AB251" s="66"/>
      <c r="AC251" s="80"/>
    </row>
    <row r="252" spans="1:68" ht="27" hidden="1" customHeight="1" x14ac:dyDescent="0.25">
      <c r="A252" s="63" t="s">
        <v>436</v>
      </c>
      <c r="B252" s="63" t="s">
        <v>437</v>
      </c>
      <c r="C252" s="36">
        <v>4301032053</v>
      </c>
      <c r="D252" s="670">
        <v>4680115886780</v>
      </c>
      <c r="E252" s="670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346</v>
      </c>
      <c r="L252" s="37" t="s">
        <v>46</v>
      </c>
      <c r="M252" s="38" t="s">
        <v>287</v>
      </c>
      <c r="N252" s="38"/>
      <c r="O252" s="37">
        <v>60</v>
      </c>
      <c r="P252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72"/>
      <c r="R252" s="672"/>
      <c r="S252" s="672"/>
      <c r="T252" s="673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438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439</v>
      </c>
      <c r="B253" s="63" t="s">
        <v>440</v>
      </c>
      <c r="C253" s="36">
        <v>4301032051</v>
      </c>
      <c r="D253" s="670">
        <v>4680115886742</v>
      </c>
      <c r="E253" s="670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346</v>
      </c>
      <c r="L253" s="37" t="s">
        <v>46</v>
      </c>
      <c r="M253" s="38" t="s">
        <v>287</v>
      </c>
      <c r="N253" s="38"/>
      <c r="O253" s="37">
        <v>90</v>
      </c>
      <c r="P253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72"/>
      <c r="R253" s="672"/>
      <c r="S253" s="672"/>
      <c r="T253" s="673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441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442</v>
      </c>
      <c r="B254" s="63" t="s">
        <v>443</v>
      </c>
      <c r="C254" s="36">
        <v>4301032052</v>
      </c>
      <c r="D254" s="670">
        <v>4680115886766</v>
      </c>
      <c r="E254" s="670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346</v>
      </c>
      <c r="L254" s="37" t="s">
        <v>46</v>
      </c>
      <c r="M254" s="38" t="s">
        <v>287</v>
      </c>
      <c r="N254" s="38"/>
      <c r="O254" s="37">
        <v>90</v>
      </c>
      <c r="P254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72"/>
      <c r="R254" s="672"/>
      <c r="S254" s="672"/>
      <c r="T254" s="673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441</v>
      </c>
      <c r="AG254" s="78"/>
      <c r="AJ254" s="84" t="s">
        <v>46</v>
      </c>
      <c r="AK254" s="84">
        <v>0</v>
      </c>
      <c r="BB254" s="35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669" t="s">
        <v>444</v>
      </c>
      <c r="B257" s="669"/>
      <c r="C257" s="669"/>
      <c r="D257" s="669"/>
      <c r="E257" s="669"/>
      <c r="F257" s="669"/>
      <c r="G257" s="669"/>
      <c r="H257" s="669"/>
      <c r="I257" s="669"/>
      <c r="J257" s="669"/>
      <c r="K257" s="669"/>
      <c r="L257" s="669"/>
      <c r="M257" s="669"/>
      <c r="N257" s="669"/>
      <c r="O257" s="669"/>
      <c r="P257" s="669"/>
      <c r="Q257" s="669"/>
      <c r="R257" s="669"/>
      <c r="S257" s="669"/>
      <c r="T257" s="669"/>
      <c r="U257" s="669"/>
      <c r="V257" s="669"/>
      <c r="W257" s="669"/>
      <c r="X257" s="669"/>
      <c r="Y257" s="669"/>
      <c r="Z257" s="669"/>
      <c r="AA257" s="66"/>
      <c r="AB257" s="66"/>
      <c r="AC257" s="80"/>
    </row>
    <row r="258" spans="1:68" ht="27" hidden="1" customHeight="1" x14ac:dyDescent="0.25">
      <c r="A258" s="63" t="s">
        <v>445</v>
      </c>
      <c r="B258" s="63" t="s">
        <v>446</v>
      </c>
      <c r="C258" s="36">
        <v>4301170013</v>
      </c>
      <c r="D258" s="670">
        <v>4680115886797</v>
      </c>
      <c r="E258" s="670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346</v>
      </c>
      <c r="L258" s="37" t="s">
        <v>46</v>
      </c>
      <c r="M258" s="38" t="s">
        <v>287</v>
      </c>
      <c r="N258" s="38"/>
      <c r="O258" s="37">
        <v>90</v>
      </c>
      <c r="P258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72"/>
      <c r="R258" s="672"/>
      <c r="S258" s="672"/>
      <c r="T258" s="673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441</v>
      </c>
      <c r="AG258" s="78"/>
      <c r="AJ258" s="84" t="s">
        <v>46</v>
      </c>
      <c r="AK258" s="84">
        <v>0</v>
      </c>
      <c r="BB258" s="353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60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60"/>
      <c r="N259" s="660"/>
      <c r="O259" s="661"/>
      <c r="P259" s="657" t="s">
        <v>40</v>
      </c>
      <c r="Q259" s="658"/>
      <c r="R259" s="658"/>
      <c r="S259" s="658"/>
      <c r="T259" s="658"/>
      <c r="U259" s="658"/>
      <c r="V259" s="659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660"/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1"/>
      <c r="P260" s="657" t="s">
        <v>40</v>
      </c>
      <c r="Q260" s="658"/>
      <c r="R260" s="658"/>
      <c r="S260" s="658"/>
      <c r="T260" s="658"/>
      <c r="U260" s="658"/>
      <c r="V260" s="659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676" t="s">
        <v>447</v>
      </c>
      <c r="B261" s="676"/>
      <c r="C261" s="676"/>
      <c r="D261" s="676"/>
      <c r="E261" s="676"/>
      <c r="F261" s="676"/>
      <c r="G261" s="676"/>
      <c r="H261" s="676"/>
      <c r="I261" s="676"/>
      <c r="J261" s="676"/>
      <c r="K261" s="676"/>
      <c r="L261" s="676"/>
      <c r="M261" s="676"/>
      <c r="N261" s="676"/>
      <c r="O261" s="676"/>
      <c r="P261" s="676"/>
      <c r="Q261" s="676"/>
      <c r="R261" s="676"/>
      <c r="S261" s="676"/>
      <c r="T261" s="676"/>
      <c r="U261" s="676"/>
      <c r="V261" s="676"/>
      <c r="W261" s="676"/>
      <c r="X261" s="676"/>
      <c r="Y261" s="676"/>
      <c r="Z261" s="676"/>
      <c r="AA261" s="65"/>
      <c r="AB261" s="65"/>
      <c r="AC261" s="79"/>
    </row>
    <row r="262" spans="1:68" ht="14.25" hidden="1" customHeight="1" x14ac:dyDescent="0.25">
      <c r="A262" s="669" t="s">
        <v>121</v>
      </c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69"/>
      <c r="P262" s="669"/>
      <c r="Q262" s="669"/>
      <c r="R262" s="669"/>
      <c r="S262" s="669"/>
      <c r="T262" s="669"/>
      <c r="U262" s="669"/>
      <c r="V262" s="669"/>
      <c r="W262" s="669"/>
      <c r="X262" s="669"/>
      <c r="Y262" s="669"/>
      <c r="Z262" s="669"/>
      <c r="AA262" s="66"/>
      <c r="AB262" s="66"/>
      <c r="AC262" s="80"/>
    </row>
    <row r="263" spans="1:68" ht="27" hidden="1" customHeight="1" x14ac:dyDescent="0.25">
      <c r="A263" s="63" t="s">
        <v>448</v>
      </c>
      <c r="B263" s="63" t="s">
        <v>449</v>
      </c>
      <c r="C263" s="36">
        <v>4301011450</v>
      </c>
      <c r="D263" s="670">
        <v>4680115881402</v>
      </c>
      <c r="E263" s="67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126</v>
      </c>
      <c r="L263" s="37" t="s">
        <v>46</v>
      </c>
      <c r="M263" s="38" t="s">
        <v>125</v>
      </c>
      <c r="N263" s="38"/>
      <c r="O263" s="37">
        <v>55</v>
      </c>
      <c r="P263" s="82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72"/>
      <c r="R263" s="672"/>
      <c r="S263" s="672"/>
      <c r="T263" s="673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450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4301011768</v>
      </c>
      <c r="D264" s="670">
        <v>4680115881396</v>
      </c>
      <c r="E264" s="670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90</v>
      </c>
      <c r="L264" s="37" t="s">
        <v>46</v>
      </c>
      <c r="M264" s="38" t="s">
        <v>125</v>
      </c>
      <c r="N264" s="38"/>
      <c r="O264" s="37">
        <v>55</v>
      </c>
      <c r="P264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72"/>
      <c r="R264" s="672"/>
      <c r="S264" s="672"/>
      <c r="T264" s="673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450</v>
      </c>
      <c r="AG264" s="78"/>
      <c r="AJ264" s="84" t="s">
        <v>46</v>
      </c>
      <c r="AK264" s="84">
        <v>0</v>
      </c>
      <c r="BB264" s="357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660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1"/>
      <c r="P265" s="657" t="s">
        <v>40</v>
      </c>
      <c r="Q265" s="658"/>
      <c r="R265" s="658"/>
      <c r="S265" s="658"/>
      <c r="T265" s="658"/>
      <c r="U265" s="658"/>
      <c r="V265" s="659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669" t="s">
        <v>158</v>
      </c>
      <c r="B267" s="669"/>
      <c r="C267" s="669"/>
      <c r="D267" s="669"/>
      <c r="E267" s="669"/>
      <c r="F267" s="669"/>
      <c r="G267" s="669"/>
      <c r="H267" s="669"/>
      <c r="I267" s="669"/>
      <c r="J267" s="669"/>
      <c r="K267" s="669"/>
      <c r="L267" s="669"/>
      <c r="M267" s="669"/>
      <c r="N267" s="669"/>
      <c r="O267" s="669"/>
      <c r="P267" s="669"/>
      <c r="Q267" s="669"/>
      <c r="R267" s="669"/>
      <c r="S267" s="669"/>
      <c r="T267" s="669"/>
      <c r="U267" s="669"/>
      <c r="V267" s="669"/>
      <c r="W267" s="669"/>
      <c r="X267" s="669"/>
      <c r="Y267" s="669"/>
      <c r="Z267" s="669"/>
      <c r="AA267" s="66"/>
      <c r="AB267" s="66"/>
      <c r="AC267" s="80"/>
    </row>
    <row r="268" spans="1:68" ht="16.5" hidden="1" customHeight="1" x14ac:dyDescent="0.25">
      <c r="A268" s="63" t="s">
        <v>453</v>
      </c>
      <c r="B268" s="63" t="s">
        <v>454</v>
      </c>
      <c r="C268" s="36">
        <v>4301020261</v>
      </c>
      <c r="D268" s="670">
        <v>4680115882935</v>
      </c>
      <c r="E268" s="670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126</v>
      </c>
      <c r="L268" s="37" t="s">
        <v>46</v>
      </c>
      <c r="M268" s="38" t="s">
        <v>125</v>
      </c>
      <c r="N268" s="38"/>
      <c r="O268" s="37">
        <v>50</v>
      </c>
      <c r="P26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72"/>
      <c r="R268" s="672"/>
      <c r="S268" s="672"/>
      <c r="T268" s="673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455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456</v>
      </c>
      <c r="B269" s="63" t="s">
        <v>457</v>
      </c>
      <c r="C269" s="36">
        <v>4301020220</v>
      </c>
      <c r="D269" s="670">
        <v>4680115880764</v>
      </c>
      <c r="E269" s="670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90</v>
      </c>
      <c r="L269" s="37" t="s">
        <v>46</v>
      </c>
      <c r="M269" s="38" t="s">
        <v>125</v>
      </c>
      <c r="N269" s="38"/>
      <c r="O269" s="37">
        <v>50</v>
      </c>
      <c r="P269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72"/>
      <c r="R269" s="672"/>
      <c r="S269" s="672"/>
      <c r="T269" s="673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455</v>
      </c>
      <c r="AG269" s="78"/>
      <c r="AJ269" s="84" t="s">
        <v>46</v>
      </c>
      <c r="AK269" s="84">
        <v>0</v>
      </c>
      <c r="BB269" s="361" t="s">
        <v>67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660"/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1"/>
      <c r="P270" s="657" t="s">
        <v>40</v>
      </c>
      <c r="Q270" s="658"/>
      <c r="R270" s="658"/>
      <c r="S270" s="658"/>
      <c r="T270" s="658"/>
      <c r="U270" s="658"/>
      <c r="V270" s="659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660"/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1"/>
      <c r="P271" s="657" t="s">
        <v>40</v>
      </c>
      <c r="Q271" s="658"/>
      <c r="R271" s="658"/>
      <c r="S271" s="658"/>
      <c r="T271" s="658"/>
      <c r="U271" s="658"/>
      <c r="V271" s="659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669" t="s">
        <v>76</v>
      </c>
      <c r="B272" s="669"/>
      <c r="C272" s="669"/>
      <c r="D272" s="669"/>
      <c r="E272" s="669"/>
      <c r="F272" s="669"/>
      <c r="G272" s="669"/>
      <c r="H272" s="669"/>
      <c r="I272" s="669"/>
      <c r="J272" s="669"/>
      <c r="K272" s="669"/>
      <c r="L272" s="669"/>
      <c r="M272" s="669"/>
      <c r="N272" s="669"/>
      <c r="O272" s="669"/>
      <c r="P272" s="669"/>
      <c r="Q272" s="669"/>
      <c r="R272" s="669"/>
      <c r="S272" s="669"/>
      <c r="T272" s="669"/>
      <c r="U272" s="669"/>
      <c r="V272" s="669"/>
      <c r="W272" s="669"/>
      <c r="X272" s="669"/>
      <c r="Y272" s="669"/>
      <c r="Z272" s="669"/>
      <c r="AA272" s="66"/>
      <c r="AB272" s="66"/>
      <c r="AC272" s="80"/>
    </row>
    <row r="273" spans="1:68" ht="27" hidden="1" customHeight="1" x14ac:dyDescent="0.25">
      <c r="A273" s="63" t="s">
        <v>458</v>
      </c>
      <c r="B273" s="63" t="s">
        <v>459</v>
      </c>
      <c r="C273" s="36">
        <v>4301031224</v>
      </c>
      <c r="D273" s="670">
        <v>4680115882683</v>
      </c>
      <c r="E273" s="670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72"/>
      <c r="R273" s="672"/>
      <c r="S273" s="672"/>
      <c r="T273" s="673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4301031230</v>
      </c>
      <c r="D274" s="670">
        <v>4680115882690</v>
      </c>
      <c r="E274" s="670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72"/>
      <c r="R274" s="672"/>
      <c r="S274" s="672"/>
      <c r="T274" s="673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4301031220</v>
      </c>
      <c r="D275" s="670">
        <v>4680115882669</v>
      </c>
      <c r="E275" s="670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72"/>
      <c r="R275" s="672"/>
      <c r="S275" s="672"/>
      <c r="T275" s="673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466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467</v>
      </c>
      <c r="B276" s="63" t="s">
        <v>468</v>
      </c>
      <c r="C276" s="36">
        <v>4301031221</v>
      </c>
      <c r="D276" s="670">
        <v>4680115882676</v>
      </c>
      <c r="E276" s="670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72"/>
      <c r="R276" s="672"/>
      <c r="S276" s="672"/>
      <c r="T276" s="673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469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470</v>
      </c>
      <c r="B277" s="63" t="s">
        <v>471</v>
      </c>
      <c r="C277" s="36">
        <v>4301031223</v>
      </c>
      <c r="D277" s="670">
        <v>4680115884014</v>
      </c>
      <c r="E277" s="670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72"/>
      <c r="R277" s="672"/>
      <c r="S277" s="672"/>
      <c r="T277" s="673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472</v>
      </c>
      <c r="B278" s="63" t="s">
        <v>473</v>
      </c>
      <c r="C278" s="36">
        <v>4301031222</v>
      </c>
      <c r="D278" s="670">
        <v>4680115884007</v>
      </c>
      <c r="E278" s="670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72"/>
      <c r="R278" s="672"/>
      <c r="S278" s="672"/>
      <c r="T278" s="673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4301031229</v>
      </c>
      <c r="D279" s="670">
        <v>4680115884038</v>
      </c>
      <c r="E279" s="670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72"/>
      <c r="R279" s="672"/>
      <c r="S279" s="672"/>
      <c r="T279" s="673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466</v>
      </c>
      <c r="AG279" s="78"/>
      <c r="AJ279" s="84" t="s">
        <v>46</v>
      </c>
      <c r="AK279" s="84">
        <v>0</v>
      </c>
      <c r="BB279" s="375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4301031225</v>
      </c>
      <c r="D280" s="670">
        <v>4680115884021</v>
      </c>
      <c r="E280" s="670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72"/>
      <c r="R280" s="672"/>
      <c r="S280" s="672"/>
      <c r="T280" s="673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469</v>
      </c>
      <c r="AG280" s="78"/>
      <c r="AJ280" s="84" t="s">
        <v>46</v>
      </c>
      <c r="AK280" s="84">
        <v>0</v>
      </c>
      <c r="BB280" s="377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660"/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1"/>
      <c r="P281" s="657" t="s">
        <v>40</v>
      </c>
      <c r="Q281" s="658"/>
      <c r="R281" s="658"/>
      <c r="S281" s="658"/>
      <c r="T281" s="658"/>
      <c r="U281" s="658"/>
      <c r="V281" s="659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660"/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1"/>
      <c r="P282" s="657" t="s">
        <v>40</v>
      </c>
      <c r="Q282" s="658"/>
      <c r="R282" s="658"/>
      <c r="S282" s="658"/>
      <c r="T282" s="658"/>
      <c r="U282" s="658"/>
      <c r="V282" s="659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669" t="s">
        <v>85</v>
      </c>
      <c r="B283" s="669"/>
      <c r="C283" s="669"/>
      <c r="D283" s="669"/>
      <c r="E283" s="669"/>
      <c r="F283" s="669"/>
      <c r="G283" s="669"/>
      <c r="H283" s="669"/>
      <c r="I283" s="669"/>
      <c r="J283" s="669"/>
      <c r="K283" s="669"/>
      <c r="L283" s="669"/>
      <c r="M283" s="669"/>
      <c r="N283" s="669"/>
      <c r="O283" s="669"/>
      <c r="P283" s="669"/>
      <c r="Q283" s="669"/>
      <c r="R283" s="669"/>
      <c r="S283" s="669"/>
      <c r="T283" s="669"/>
      <c r="U283" s="669"/>
      <c r="V283" s="669"/>
      <c r="W283" s="669"/>
      <c r="X283" s="669"/>
      <c r="Y283" s="669"/>
      <c r="Z283" s="669"/>
      <c r="AA283" s="66"/>
      <c r="AB283" s="66"/>
      <c r="AC283" s="80"/>
    </row>
    <row r="284" spans="1:68" ht="27" hidden="1" customHeight="1" x14ac:dyDescent="0.25">
      <c r="A284" s="63" t="s">
        <v>478</v>
      </c>
      <c r="B284" s="63" t="s">
        <v>479</v>
      </c>
      <c r="C284" s="36">
        <v>4301051408</v>
      </c>
      <c r="D284" s="670">
        <v>4680115881594</v>
      </c>
      <c r="E284" s="670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72"/>
      <c r="R284" s="672"/>
      <c r="S284" s="672"/>
      <c r="T284" s="673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4301051411</v>
      </c>
      <c r="D285" s="670">
        <v>4680115881617</v>
      </c>
      <c r="E285" s="670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40</v>
      </c>
      <c r="P285" s="8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72"/>
      <c r="R285" s="672"/>
      <c r="S285" s="672"/>
      <c r="T285" s="673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483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484</v>
      </c>
      <c r="B286" s="63" t="s">
        <v>485</v>
      </c>
      <c r="C286" s="36">
        <v>4301051656</v>
      </c>
      <c r="D286" s="670">
        <v>4680115880573</v>
      </c>
      <c r="E286" s="670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126</v>
      </c>
      <c r="L286" s="37" t="s">
        <v>46</v>
      </c>
      <c r="M286" s="38" t="s">
        <v>89</v>
      </c>
      <c r="N286" s="38"/>
      <c r="O286" s="37">
        <v>45</v>
      </c>
      <c r="P286" s="81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72"/>
      <c r="R286" s="672"/>
      <c r="S286" s="672"/>
      <c r="T286" s="673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486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487</v>
      </c>
      <c r="B287" s="63" t="s">
        <v>488</v>
      </c>
      <c r="C287" s="36">
        <v>4301051407</v>
      </c>
      <c r="D287" s="670">
        <v>4680115882195</v>
      </c>
      <c r="E287" s="670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40</v>
      </c>
      <c r="P287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72"/>
      <c r="R287" s="672"/>
      <c r="S287" s="672"/>
      <c r="T287" s="673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489</v>
      </c>
      <c r="B288" s="63" t="s">
        <v>490</v>
      </c>
      <c r="C288" s="36">
        <v>4301051752</v>
      </c>
      <c r="D288" s="670">
        <v>4680115882607</v>
      </c>
      <c r="E288" s="670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90</v>
      </c>
      <c r="L288" s="37" t="s">
        <v>46</v>
      </c>
      <c r="M288" s="38" t="s">
        <v>96</v>
      </c>
      <c r="N288" s="38"/>
      <c r="O288" s="37">
        <v>45</v>
      </c>
      <c r="P288" s="8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72"/>
      <c r="R288" s="672"/>
      <c r="S288" s="672"/>
      <c r="T288" s="673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486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491</v>
      </c>
      <c r="B289" s="63" t="s">
        <v>492</v>
      </c>
      <c r="C289" s="36">
        <v>4301052143</v>
      </c>
      <c r="D289" s="670">
        <v>4680115882607</v>
      </c>
      <c r="E289" s="670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133</v>
      </c>
      <c r="L289" s="37" t="s">
        <v>46</v>
      </c>
      <c r="M289" s="38" t="s">
        <v>89</v>
      </c>
      <c r="N289" s="38"/>
      <c r="O289" s="37">
        <v>45</v>
      </c>
      <c r="P289" s="80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72"/>
      <c r="R289" s="672"/>
      <c r="S289" s="672"/>
      <c r="T289" s="673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493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494</v>
      </c>
      <c r="B290" s="63" t="s">
        <v>495</v>
      </c>
      <c r="C290" s="36">
        <v>4301051666</v>
      </c>
      <c r="D290" s="670">
        <v>4680115880092</v>
      </c>
      <c r="E290" s="670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45</v>
      </c>
      <c r="P290" s="8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72"/>
      <c r="R290" s="672"/>
      <c r="S290" s="672"/>
      <c r="T290" s="673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486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496</v>
      </c>
      <c r="B291" s="63" t="s">
        <v>497</v>
      </c>
      <c r="C291" s="36">
        <v>4301052214</v>
      </c>
      <c r="D291" s="670">
        <v>4680115889064</v>
      </c>
      <c r="E291" s="670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126</v>
      </c>
      <c r="L291" s="37" t="s">
        <v>46</v>
      </c>
      <c r="M291" s="38" t="s">
        <v>89</v>
      </c>
      <c r="N291" s="38"/>
      <c r="O291" s="37">
        <v>45</v>
      </c>
      <c r="P291" s="80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72"/>
      <c r="R291" s="672"/>
      <c r="S291" s="672"/>
      <c r="T291" s="673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493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4301051668</v>
      </c>
      <c r="D292" s="670">
        <v>4680115880221</v>
      </c>
      <c r="E292" s="670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45</v>
      </c>
      <c r="P292" s="8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72"/>
      <c r="R292" s="672"/>
      <c r="S292" s="672"/>
      <c r="T292" s="673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486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4301051945</v>
      </c>
      <c r="D293" s="670">
        <v>4680115880504</v>
      </c>
      <c r="E293" s="670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80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72"/>
      <c r="R293" s="672"/>
      <c r="S293" s="672"/>
      <c r="T293" s="673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4301051410</v>
      </c>
      <c r="D294" s="670">
        <v>4680115882164</v>
      </c>
      <c r="E294" s="670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8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72"/>
      <c r="R294" s="672"/>
      <c r="S294" s="672"/>
      <c r="T294" s="673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4301052180</v>
      </c>
      <c r="D295" s="670">
        <v>4680115888340</v>
      </c>
      <c r="E295" s="670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0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72"/>
      <c r="R295" s="672"/>
      <c r="S295" s="672"/>
      <c r="T295" s="673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508</v>
      </c>
      <c r="AG295" s="78"/>
      <c r="AJ295" s="84" t="s">
        <v>46</v>
      </c>
      <c r="AK295" s="84">
        <v>0</v>
      </c>
      <c r="BB295" s="401" t="s">
        <v>67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660"/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1"/>
      <c r="P296" s="657" t="s">
        <v>40</v>
      </c>
      <c r="Q296" s="658"/>
      <c r="R296" s="658"/>
      <c r="S296" s="658"/>
      <c r="T296" s="658"/>
      <c r="U296" s="658"/>
      <c r="V296" s="659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669" t="s">
        <v>177</v>
      </c>
      <c r="B298" s="669"/>
      <c r="C298" s="669"/>
      <c r="D298" s="669"/>
      <c r="E298" s="669"/>
      <c r="F298" s="669"/>
      <c r="G298" s="669"/>
      <c r="H298" s="669"/>
      <c r="I298" s="669"/>
      <c r="J298" s="669"/>
      <c r="K298" s="669"/>
      <c r="L298" s="669"/>
      <c r="M298" s="669"/>
      <c r="N298" s="669"/>
      <c r="O298" s="669"/>
      <c r="P298" s="669"/>
      <c r="Q298" s="669"/>
      <c r="R298" s="669"/>
      <c r="S298" s="669"/>
      <c r="T298" s="669"/>
      <c r="U298" s="669"/>
      <c r="V298" s="669"/>
      <c r="W298" s="669"/>
      <c r="X298" s="669"/>
      <c r="Y298" s="669"/>
      <c r="Z298" s="669"/>
      <c r="AA298" s="66"/>
      <c r="AB298" s="66"/>
      <c r="AC298" s="80"/>
    </row>
    <row r="299" spans="1:68" ht="27" hidden="1" customHeight="1" x14ac:dyDescent="0.25">
      <c r="A299" s="63" t="s">
        <v>509</v>
      </c>
      <c r="B299" s="63" t="s">
        <v>510</v>
      </c>
      <c r="C299" s="36">
        <v>4301060463</v>
      </c>
      <c r="D299" s="670">
        <v>4680115880818</v>
      </c>
      <c r="E299" s="670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96</v>
      </c>
      <c r="N299" s="38"/>
      <c r="O299" s="37">
        <v>40</v>
      </c>
      <c r="P299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72"/>
      <c r="R299" s="672"/>
      <c r="S299" s="672"/>
      <c r="T299" s="673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511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512</v>
      </c>
      <c r="B300" s="63" t="s">
        <v>513</v>
      </c>
      <c r="C300" s="36">
        <v>4301060389</v>
      </c>
      <c r="D300" s="670">
        <v>4680115880801</v>
      </c>
      <c r="E300" s="670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90</v>
      </c>
      <c r="L300" s="37" t="s">
        <v>46</v>
      </c>
      <c r="M300" s="38" t="s">
        <v>89</v>
      </c>
      <c r="N300" s="38"/>
      <c r="O300" s="37">
        <v>40</v>
      </c>
      <c r="P300" s="7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72"/>
      <c r="R300" s="672"/>
      <c r="S300" s="672"/>
      <c r="T300" s="673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514</v>
      </c>
      <c r="AG300" s="78"/>
      <c r="AJ300" s="84" t="s">
        <v>46</v>
      </c>
      <c r="AK300" s="84">
        <v>0</v>
      </c>
      <c r="BB300" s="40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660"/>
      <c r="B301" s="660"/>
      <c r="C301" s="660"/>
      <c r="D301" s="660"/>
      <c r="E301" s="660"/>
      <c r="F301" s="660"/>
      <c r="G301" s="660"/>
      <c r="H301" s="660"/>
      <c r="I301" s="660"/>
      <c r="J301" s="660"/>
      <c r="K301" s="660"/>
      <c r="L301" s="660"/>
      <c r="M301" s="660"/>
      <c r="N301" s="660"/>
      <c r="O301" s="661"/>
      <c r="P301" s="657" t="s">
        <v>40</v>
      </c>
      <c r="Q301" s="658"/>
      <c r="R301" s="658"/>
      <c r="S301" s="658"/>
      <c r="T301" s="658"/>
      <c r="U301" s="658"/>
      <c r="V301" s="659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660"/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1"/>
      <c r="P302" s="657" t="s">
        <v>40</v>
      </c>
      <c r="Q302" s="658"/>
      <c r="R302" s="658"/>
      <c r="S302" s="658"/>
      <c r="T302" s="658"/>
      <c r="U302" s="658"/>
      <c r="V302" s="659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676" t="s">
        <v>515</v>
      </c>
      <c r="B303" s="676"/>
      <c r="C303" s="676"/>
      <c r="D303" s="676"/>
      <c r="E303" s="676"/>
      <c r="F303" s="676"/>
      <c r="G303" s="676"/>
      <c r="H303" s="676"/>
      <c r="I303" s="676"/>
      <c r="J303" s="676"/>
      <c r="K303" s="676"/>
      <c r="L303" s="676"/>
      <c r="M303" s="676"/>
      <c r="N303" s="676"/>
      <c r="O303" s="676"/>
      <c r="P303" s="676"/>
      <c r="Q303" s="676"/>
      <c r="R303" s="676"/>
      <c r="S303" s="676"/>
      <c r="T303" s="676"/>
      <c r="U303" s="676"/>
      <c r="V303" s="676"/>
      <c r="W303" s="676"/>
      <c r="X303" s="676"/>
      <c r="Y303" s="676"/>
      <c r="Z303" s="676"/>
      <c r="AA303" s="65"/>
      <c r="AB303" s="65"/>
      <c r="AC303" s="79"/>
    </row>
    <row r="304" spans="1:68" ht="14.25" hidden="1" customHeight="1" x14ac:dyDescent="0.25">
      <c r="A304" s="669" t="s">
        <v>121</v>
      </c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69"/>
      <c r="P304" s="669"/>
      <c r="Q304" s="669"/>
      <c r="R304" s="669"/>
      <c r="S304" s="669"/>
      <c r="T304" s="669"/>
      <c r="U304" s="669"/>
      <c r="V304" s="669"/>
      <c r="W304" s="669"/>
      <c r="X304" s="669"/>
      <c r="Y304" s="669"/>
      <c r="Z304" s="669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4301011826</v>
      </c>
      <c r="D305" s="670">
        <v>4680115884137</v>
      </c>
      <c r="E305" s="670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72"/>
      <c r="R305" s="672"/>
      <c r="S305" s="672"/>
      <c r="T305" s="673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518</v>
      </c>
      <c r="AG305" s="78"/>
      <c r="AJ305" s="84" t="s">
        <v>46</v>
      </c>
      <c r="AK305" s="84">
        <v>0</v>
      </c>
      <c r="BB305" s="407" t="s">
        <v>67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519</v>
      </c>
      <c r="B306" s="63" t="s">
        <v>520</v>
      </c>
      <c r="C306" s="36">
        <v>4301011724</v>
      </c>
      <c r="D306" s="670">
        <v>4680115884236</v>
      </c>
      <c r="E306" s="670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72"/>
      <c r="R306" s="672"/>
      <c r="S306" s="672"/>
      <c r="T306" s="673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521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522</v>
      </c>
      <c r="B307" s="63" t="s">
        <v>523</v>
      </c>
      <c r="C307" s="36">
        <v>4301011721</v>
      </c>
      <c r="D307" s="670">
        <v>4680115884175</v>
      </c>
      <c r="E307" s="670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126</v>
      </c>
      <c r="L307" s="37" t="s">
        <v>46</v>
      </c>
      <c r="M307" s="38" t="s">
        <v>125</v>
      </c>
      <c r="N307" s="38"/>
      <c r="O307" s="37">
        <v>55</v>
      </c>
      <c r="P307" s="80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72"/>
      <c r="R307" s="672"/>
      <c r="S307" s="672"/>
      <c r="T307" s="673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369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524</v>
      </c>
      <c r="B308" s="63" t="s">
        <v>525</v>
      </c>
      <c r="C308" s="36">
        <v>4301011824</v>
      </c>
      <c r="D308" s="670">
        <v>4680115884144</v>
      </c>
      <c r="E308" s="670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72"/>
      <c r="R308" s="672"/>
      <c r="S308" s="672"/>
      <c r="T308" s="673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518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4301012149</v>
      </c>
      <c r="D309" s="670">
        <v>4680115886551</v>
      </c>
      <c r="E309" s="670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133</v>
      </c>
      <c r="L309" s="37" t="s">
        <v>46</v>
      </c>
      <c r="M309" s="38" t="s">
        <v>125</v>
      </c>
      <c r="N309" s="38"/>
      <c r="O309" s="37">
        <v>55</v>
      </c>
      <c r="P309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72"/>
      <c r="R309" s="672"/>
      <c r="S309" s="672"/>
      <c r="T309" s="673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528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529</v>
      </c>
      <c r="B310" s="63" t="s">
        <v>530</v>
      </c>
      <c r="C310" s="36">
        <v>4301012228</v>
      </c>
      <c r="D310" s="670">
        <v>4680115887282</v>
      </c>
      <c r="E310" s="670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90</v>
      </c>
      <c r="L310" s="37" t="s">
        <v>46</v>
      </c>
      <c r="M310" s="38" t="s">
        <v>125</v>
      </c>
      <c r="N310" s="38"/>
      <c r="O310" s="37">
        <v>55</v>
      </c>
      <c r="P310" s="7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72"/>
      <c r="R310" s="672"/>
      <c r="S310" s="672"/>
      <c r="T310" s="673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531</v>
      </c>
      <c r="AG310" s="78"/>
      <c r="AJ310" s="84" t="s">
        <v>46</v>
      </c>
      <c r="AK310" s="84">
        <v>0</v>
      </c>
      <c r="BB310" s="417" t="s">
        <v>67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532</v>
      </c>
      <c r="B311" s="63" t="s">
        <v>533</v>
      </c>
      <c r="C311" s="36">
        <v>4301011722</v>
      </c>
      <c r="D311" s="670">
        <v>4680115884205</v>
      </c>
      <c r="E311" s="670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7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72"/>
      <c r="R311" s="672"/>
      <c r="S311" s="672"/>
      <c r="T311" s="673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369</v>
      </c>
      <c r="AG311" s="78"/>
      <c r="AJ311" s="84" t="s">
        <v>46</v>
      </c>
      <c r="AK311" s="84">
        <v>0</v>
      </c>
      <c r="BB311" s="419" t="s">
        <v>67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9" t="s">
        <v>158</v>
      </c>
      <c r="B314" s="669"/>
      <c r="C314" s="669"/>
      <c r="D314" s="669"/>
      <c r="E314" s="669"/>
      <c r="F314" s="669"/>
      <c r="G314" s="669"/>
      <c r="H314" s="669"/>
      <c r="I314" s="669"/>
      <c r="J314" s="669"/>
      <c r="K314" s="669"/>
      <c r="L314" s="669"/>
      <c r="M314" s="669"/>
      <c r="N314" s="669"/>
      <c r="O314" s="669"/>
      <c r="P314" s="669"/>
      <c r="Q314" s="669"/>
      <c r="R314" s="669"/>
      <c r="S314" s="669"/>
      <c r="T314" s="669"/>
      <c r="U314" s="669"/>
      <c r="V314" s="669"/>
      <c r="W314" s="669"/>
      <c r="X314" s="669"/>
      <c r="Y314" s="669"/>
      <c r="Z314" s="669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4301020377</v>
      </c>
      <c r="D315" s="670">
        <v>4680115885981</v>
      </c>
      <c r="E315" s="670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81</v>
      </c>
      <c r="L315" s="37" t="s">
        <v>46</v>
      </c>
      <c r="M315" s="38" t="s">
        <v>89</v>
      </c>
      <c r="N315" s="38"/>
      <c r="O315" s="37">
        <v>50</v>
      </c>
      <c r="P315" s="7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72"/>
      <c r="R315" s="672"/>
      <c r="S315" s="672"/>
      <c r="T315" s="673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536</v>
      </c>
      <c r="AG315" s="78"/>
      <c r="AJ315" s="84" t="s">
        <v>46</v>
      </c>
      <c r="AK315" s="84">
        <v>0</v>
      </c>
      <c r="BB315" s="42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9" t="s">
        <v>537</v>
      </c>
      <c r="B318" s="669"/>
      <c r="C318" s="669"/>
      <c r="D318" s="669"/>
      <c r="E318" s="669"/>
      <c r="F318" s="669"/>
      <c r="G318" s="669"/>
      <c r="H318" s="669"/>
      <c r="I318" s="669"/>
      <c r="J318" s="669"/>
      <c r="K318" s="669"/>
      <c r="L318" s="669"/>
      <c r="M318" s="669"/>
      <c r="N318" s="669"/>
      <c r="O318" s="669"/>
      <c r="P318" s="669"/>
      <c r="Q318" s="669"/>
      <c r="R318" s="669"/>
      <c r="S318" s="669"/>
      <c r="T318" s="669"/>
      <c r="U318" s="669"/>
      <c r="V318" s="669"/>
      <c r="W318" s="669"/>
      <c r="X318" s="669"/>
      <c r="Y318" s="669"/>
      <c r="Z318" s="669"/>
      <c r="AA318" s="66"/>
      <c r="AB318" s="66"/>
      <c r="AC318" s="80"/>
    </row>
    <row r="319" spans="1:68" ht="27" hidden="1" customHeight="1" x14ac:dyDescent="0.25">
      <c r="A319" s="63" t="s">
        <v>538</v>
      </c>
      <c r="B319" s="63" t="s">
        <v>539</v>
      </c>
      <c r="C319" s="36">
        <v>4301040362</v>
      </c>
      <c r="D319" s="670">
        <v>4680115886803</v>
      </c>
      <c r="E319" s="670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346</v>
      </c>
      <c r="L319" s="37" t="s">
        <v>46</v>
      </c>
      <c r="M319" s="38" t="s">
        <v>287</v>
      </c>
      <c r="N319" s="38"/>
      <c r="O319" s="37">
        <v>45</v>
      </c>
      <c r="P319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72"/>
      <c r="R319" s="672"/>
      <c r="S319" s="672"/>
      <c r="T319" s="673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540</v>
      </c>
      <c r="AG319" s="78"/>
      <c r="AJ319" s="84" t="s">
        <v>46</v>
      </c>
      <c r="AK319" s="84">
        <v>0</v>
      </c>
      <c r="BB319" s="423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60"/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1"/>
      <c r="P320" s="657" t="s">
        <v>40</v>
      </c>
      <c r="Q320" s="658"/>
      <c r="R320" s="658"/>
      <c r="S320" s="658"/>
      <c r="T320" s="658"/>
      <c r="U320" s="658"/>
      <c r="V320" s="659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660"/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1"/>
      <c r="P321" s="657" t="s">
        <v>40</v>
      </c>
      <c r="Q321" s="658"/>
      <c r="R321" s="658"/>
      <c r="S321" s="658"/>
      <c r="T321" s="658"/>
      <c r="U321" s="658"/>
      <c r="V321" s="659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669" t="s">
        <v>347</v>
      </c>
      <c r="B322" s="669"/>
      <c r="C322" s="669"/>
      <c r="D322" s="669"/>
      <c r="E322" s="669"/>
      <c r="F322" s="669"/>
      <c r="G322" s="669"/>
      <c r="H322" s="669"/>
      <c r="I322" s="669"/>
      <c r="J322" s="669"/>
      <c r="K322" s="669"/>
      <c r="L322" s="669"/>
      <c r="M322" s="669"/>
      <c r="N322" s="669"/>
      <c r="O322" s="669"/>
      <c r="P322" s="669"/>
      <c r="Q322" s="669"/>
      <c r="R322" s="669"/>
      <c r="S322" s="669"/>
      <c r="T322" s="669"/>
      <c r="U322" s="669"/>
      <c r="V322" s="669"/>
      <c r="W322" s="669"/>
      <c r="X322" s="669"/>
      <c r="Y322" s="669"/>
      <c r="Z322" s="669"/>
      <c r="AA322" s="66"/>
      <c r="AB322" s="66"/>
      <c r="AC322" s="80"/>
    </row>
    <row r="323" spans="1:68" ht="27" hidden="1" customHeight="1" x14ac:dyDescent="0.25">
      <c r="A323" s="63" t="s">
        <v>541</v>
      </c>
      <c r="B323" s="63" t="s">
        <v>542</v>
      </c>
      <c r="C323" s="36">
        <v>4301041008</v>
      </c>
      <c r="D323" s="670">
        <v>4680115886681</v>
      </c>
      <c r="E323" s="670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346</v>
      </c>
      <c r="L323" s="37" t="s">
        <v>46</v>
      </c>
      <c r="M323" s="38" t="s">
        <v>287</v>
      </c>
      <c r="N323" s="38"/>
      <c r="O323" s="37">
        <v>90</v>
      </c>
      <c r="P323" s="7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72"/>
      <c r="R323" s="672"/>
      <c r="S323" s="672"/>
      <c r="T323" s="673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543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0"/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1"/>
      <c r="P324" s="657" t="s">
        <v>40</v>
      </c>
      <c r="Q324" s="658"/>
      <c r="R324" s="658"/>
      <c r="S324" s="658"/>
      <c r="T324" s="658"/>
      <c r="U324" s="658"/>
      <c r="V324" s="659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660"/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1"/>
      <c r="P325" s="657" t="s">
        <v>40</v>
      </c>
      <c r="Q325" s="658"/>
      <c r="R325" s="658"/>
      <c r="S325" s="658"/>
      <c r="T325" s="658"/>
      <c r="U325" s="658"/>
      <c r="V325" s="659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76" t="s">
        <v>544</v>
      </c>
      <c r="B326" s="676"/>
      <c r="C326" s="676"/>
      <c r="D326" s="676"/>
      <c r="E326" s="676"/>
      <c r="F326" s="676"/>
      <c r="G326" s="676"/>
      <c r="H326" s="676"/>
      <c r="I326" s="676"/>
      <c r="J326" s="676"/>
      <c r="K326" s="676"/>
      <c r="L326" s="676"/>
      <c r="M326" s="676"/>
      <c r="N326" s="676"/>
      <c r="O326" s="676"/>
      <c r="P326" s="676"/>
      <c r="Q326" s="676"/>
      <c r="R326" s="676"/>
      <c r="S326" s="676"/>
      <c r="T326" s="676"/>
      <c r="U326" s="676"/>
      <c r="V326" s="676"/>
      <c r="W326" s="676"/>
      <c r="X326" s="676"/>
      <c r="Y326" s="676"/>
      <c r="Z326" s="676"/>
      <c r="AA326" s="65"/>
      <c r="AB326" s="65"/>
      <c r="AC326" s="79"/>
    </row>
    <row r="327" spans="1:68" ht="14.25" hidden="1" customHeight="1" x14ac:dyDescent="0.25">
      <c r="A327" s="669" t="s">
        <v>121</v>
      </c>
      <c r="B327" s="669"/>
      <c r="C327" s="669"/>
      <c r="D327" s="669"/>
      <c r="E327" s="669"/>
      <c r="F327" s="669"/>
      <c r="G327" s="669"/>
      <c r="H327" s="669"/>
      <c r="I327" s="669"/>
      <c r="J327" s="669"/>
      <c r="K327" s="669"/>
      <c r="L327" s="669"/>
      <c r="M327" s="669"/>
      <c r="N327" s="669"/>
      <c r="O327" s="669"/>
      <c r="P327" s="669"/>
      <c r="Q327" s="669"/>
      <c r="R327" s="669"/>
      <c r="S327" s="669"/>
      <c r="T327" s="669"/>
      <c r="U327" s="669"/>
      <c r="V327" s="669"/>
      <c r="W327" s="669"/>
      <c r="X327" s="669"/>
      <c r="Y327" s="669"/>
      <c r="Z327" s="669"/>
      <c r="AA327" s="66"/>
      <c r="AB327" s="66"/>
      <c r="AC327" s="80"/>
    </row>
    <row r="328" spans="1:68" ht="27" hidden="1" customHeight="1" x14ac:dyDescent="0.25">
      <c r="A328" s="63" t="s">
        <v>545</v>
      </c>
      <c r="B328" s="63" t="s">
        <v>546</v>
      </c>
      <c r="C328" s="36">
        <v>4301012390</v>
      </c>
      <c r="D328" s="670">
        <v>4680115889637</v>
      </c>
      <c r="E328" s="670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78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72"/>
      <c r="R328" s="672"/>
      <c r="S328" s="672"/>
      <c r="T328" s="673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548</v>
      </c>
      <c r="AC328" s="426" t="s">
        <v>547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4301011855</v>
      </c>
      <c r="D329" s="670">
        <v>4680115885837</v>
      </c>
      <c r="E329" s="670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72"/>
      <c r="R329" s="672"/>
      <c r="S329" s="672"/>
      <c r="T329" s="673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552</v>
      </c>
      <c r="B330" s="63" t="s">
        <v>553</v>
      </c>
      <c r="C330" s="36">
        <v>4301012234</v>
      </c>
      <c r="D330" s="670">
        <v>4680115887237</v>
      </c>
      <c r="E330" s="670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72"/>
      <c r="R330" s="672"/>
      <c r="S330" s="672"/>
      <c r="T330" s="673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555</v>
      </c>
      <c r="B331" s="63" t="s">
        <v>556</v>
      </c>
      <c r="C331" s="36">
        <v>4301011850</v>
      </c>
      <c r="D331" s="670">
        <v>4680115885806</v>
      </c>
      <c r="E331" s="670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72"/>
      <c r="R331" s="672"/>
      <c r="S331" s="672"/>
      <c r="T331" s="673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558</v>
      </c>
      <c r="B332" s="63" t="s">
        <v>559</v>
      </c>
      <c r="C332" s="36">
        <v>4301011852</v>
      </c>
      <c r="D332" s="670">
        <v>4680115885844</v>
      </c>
      <c r="E332" s="670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72"/>
      <c r="R332" s="672"/>
      <c r="S332" s="672"/>
      <c r="T332" s="673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560</v>
      </c>
      <c r="AG332" s="78"/>
      <c r="AJ332" s="84" t="s">
        <v>46</v>
      </c>
      <c r="AK332" s="84">
        <v>0</v>
      </c>
      <c r="BB332" s="435" t="s">
        <v>67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561</v>
      </c>
      <c r="B333" s="63" t="s">
        <v>562</v>
      </c>
      <c r="C333" s="36">
        <v>4301011851</v>
      </c>
      <c r="D333" s="670">
        <v>4680115885820</v>
      </c>
      <c r="E333" s="670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72"/>
      <c r="R333" s="672"/>
      <c r="S333" s="672"/>
      <c r="T333" s="673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660"/>
      <c r="B334" s="660"/>
      <c r="C334" s="660"/>
      <c r="D334" s="660"/>
      <c r="E334" s="660"/>
      <c r="F334" s="660"/>
      <c r="G334" s="660"/>
      <c r="H334" s="660"/>
      <c r="I334" s="660"/>
      <c r="J334" s="660"/>
      <c r="K334" s="660"/>
      <c r="L334" s="660"/>
      <c r="M334" s="660"/>
      <c r="N334" s="660"/>
      <c r="O334" s="661"/>
      <c r="P334" s="657" t="s">
        <v>40</v>
      </c>
      <c r="Q334" s="658"/>
      <c r="R334" s="658"/>
      <c r="S334" s="658"/>
      <c r="T334" s="658"/>
      <c r="U334" s="658"/>
      <c r="V334" s="659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0"/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1"/>
      <c r="P335" s="657" t="s">
        <v>40</v>
      </c>
      <c r="Q335" s="658"/>
      <c r="R335" s="658"/>
      <c r="S335" s="658"/>
      <c r="T335" s="658"/>
      <c r="U335" s="658"/>
      <c r="V335" s="659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76" t="s">
        <v>564</v>
      </c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6"/>
      <c r="P336" s="676"/>
      <c r="Q336" s="676"/>
      <c r="R336" s="676"/>
      <c r="S336" s="676"/>
      <c r="T336" s="676"/>
      <c r="U336" s="676"/>
      <c r="V336" s="676"/>
      <c r="W336" s="676"/>
      <c r="X336" s="676"/>
      <c r="Y336" s="676"/>
      <c r="Z336" s="676"/>
      <c r="AA336" s="65"/>
      <c r="AB336" s="65"/>
      <c r="AC336" s="79"/>
    </row>
    <row r="337" spans="1:68" ht="14.25" hidden="1" customHeight="1" x14ac:dyDescent="0.25">
      <c r="A337" s="669" t="s">
        <v>85</v>
      </c>
      <c r="B337" s="669"/>
      <c r="C337" s="669"/>
      <c r="D337" s="669"/>
      <c r="E337" s="669"/>
      <c r="F337" s="669"/>
      <c r="G337" s="669"/>
      <c r="H337" s="669"/>
      <c r="I337" s="669"/>
      <c r="J337" s="669"/>
      <c r="K337" s="669"/>
      <c r="L337" s="669"/>
      <c r="M337" s="669"/>
      <c r="N337" s="669"/>
      <c r="O337" s="669"/>
      <c r="P337" s="669"/>
      <c r="Q337" s="669"/>
      <c r="R337" s="669"/>
      <c r="S337" s="669"/>
      <c r="T337" s="669"/>
      <c r="U337" s="669"/>
      <c r="V337" s="669"/>
      <c r="W337" s="669"/>
      <c r="X337" s="669"/>
      <c r="Y337" s="669"/>
      <c r="Z337" s="669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4301051893</v>
      </c>
      <c r="D338" s="670">
        <v>4680115886186</v>
      </c>
      <c r="E338" s="670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72"/>
      <c r="R338" s="672"/>
      <c r="S338" s="672"/>
      <c r="T338" s="673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567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568</v>
      </c>
      <c r="B339" s="63" t="s">
        <v>569</v>
      </c>
      <c r="C339" s="36">
        <v>4301051795</v>
      </c>
      <c r="D339" s="670">
        <v>4680115881228</v>
      </c>
      <c r="E339" s="670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72"/>
      <c r="R339" s="672"/>
      <c r="S339" s="672"/>
      <c r="T339" s="673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570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571</v>
      </c>
      <c r="B340" s="63" t="s">
        <v>572</v>
      </c>
      <c r="C340" s="36">
        <v>4301051388</v>
      </c>
      <c r="D340" s="670">
        <v>4680115881211</v>
      </c>
      <c r="E340" s="670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72"/>
      <c r="R340" s="672"/>
      <c r="S340" s="672"/>
      <c r="T340" s="673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567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0"/>
      <c r="B341" s="660"/>
      <c r="C341" s="660"/>
      <c r="D341" s="660"/>
      <c r="E341" s="660"/>
      <c r="F341" s="660"/>
      <c r="G341" s="660"/>
      <c r="H341" s="660"/>
      <c r="I341" s="660"/>
      <c r="J341" s="660"/>
      <c r="K341" s="660"/>
      <c r="L341" s="660"/>
      <c r="M341" s="660"/>
      <c r="N341" s="660"/>
      <c r="O341" s="661"/>
      <c r="P341" s="657" t="s">
        <v>40</v>
      </c>
      <c r="Q341" s="658"/>
      <c r="R341" s="658"/>
      <c r="S341" s="658"/>
      <c r="T341" s="658"/>
      <c r="U341" s="658"/>
      <c r="V341" s="659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0"/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1"/>
      <c r="P342" s="657" t="s">
        <v>40</v>
      </c>
      <c r="Q342" s="658"/>
      <c r="R342" s="658"/>
      <c r="S342" s="658"/>
      <c r="T342" s="658"/>
      <c r="U342" s="658"/>
      <c r="V342" s="659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76" t="s">
        <v>573</v>
      </c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6"/>
      <c r="P343" s="676"/>
      <c r="Q343" s="676"/>
      <c r="R343" s="676"/>
      <c r="S343" s="676"/>
      <c r="T343" s="676"/>
      <c r="U343" s="676"/>
      <c r="V343" s="676"/>
      <c r="W343" s="676"/>
      <c r="X343" s="676"/>
      <c r="Y343" s="676"/>
      <c r="Z343" s="676"/>
      <c r="AA343" s="65"/>
      <c r="AB343" s="65"/>
      <c r="AC343" s="79"/>
    </row>
    <row r="344" spans="1:68" ht="14.25" hidden="1" customHeight="1" x14ac:dyDescent="0.25">
      <c r="A344" s="669" t="s">
        <v>76</v>
      </c>
      <c r="B344" s="669"/>
      <c r="C344" s="669"/>
      <c r="D344" s="669"/>
      <c r="E344" s="669"/>
      <c r="F344" s="669"/>
      <c r="G344" s="669"/>
      <c r="H344" s="669"/>
      <c r="I344" s="669"/>
      <c r="J344" s="669"/>
      <c r="K344" s="669"/>
      <c r="L344" s="669"/>
      <c r="M344" s="669"/>
      <c r="N344" s="669"/>
      <c r="O344" s="669"/>
      <c r="P344" s="669"/>
      <c r="Q344" s="669"/>
      <c r="R344" s="669"/>
      <c r="S344" s="669"/>
      <c r="T344" s="669"/>
      <c r="U344" s="669"/>
      <c r="V344" s="669"/>
      <c r="W344" s="669"/>
      <c r="X344" s="669"/>
      <c r="Y344" s="669"/>
      <c r="Z344" s="669"/>
      <c r="AA344" s="66"/>
      <c r="AB344" s="66"/>
      <c r="AC344" s="80"/>
    </row>
    <row r="345" spans="1:68" ht="27" hidden="1" customHeight="1" x14ac:dyDescent="0.25">
      <c r="A345" s="63" t="s">
        <v>574</v>
      </c>
      <c r="B345" s="63" t="s">
        <v>575</v>
      </c>
      <c r="C345" s="36">
        <v>4301031445</v>
      </c>
      <c r="D345" s="670">
        <v>4680115888319</v>
      </c>
      <c r="E345" s="670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72"/>
      <c r="R345" s="672"/>
      <c r="S345" s="672"/>
      <c r="T345" s="673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401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4301031502</v>
      </c>
      <c r="D346" s="670">
        <v>4680115884700</v>
      </c>
      <c r="E346" s="670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72"/>
      <c r="R346" s="672"/>
      <c r="S346" s="672"/>
      <c r="T346" s="673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4301031307</v>
      </c>
      <c r="D347" s="670">
        <v>4680115880344</v>
      </c>
      <c r="E347" s="670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72"/>
      <c r="R347" s="672"/>
      <c r="S347" s="672"/>
      <c r="T347" s="673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582</v>
      </c>
      <c r="B348" s="63" t="s">
        <v>583</v>
      </c>
      <c r="C348" s="36">
        <v>4301031501</v>
      </c>
      <c r="D348" s="670">
        <v>4680115886919</v>
      </c>
      <c r="E348" s="670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72"/>
      <c r="R348" s="672"/>
      <c r="S348" s="672"/>
      <c r="T348" s="673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584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4301031246</v>
      </c>
      <c r="D349" s="670">
        <v>4680115883970</v>
      </c>
      <c r="E349" s="670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8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72"/>
      <c r="R349" s="672"/>
      <c r="S349" s="672"/>
      <c r="T349" s="673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587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0"/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1"/>
      <c r="P350" s="657" t="s">
        <v>40</v>
      </c>
      <c r="Q350" s="658"/>
      <c r="R350" s="658"/>
      <c r="S350" s="658"/>
      <c r="T350" s="658"/>
      <c r="U350" s="658"/>
      <c r="V350" s="659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0"/>
      <c r="B351" s="660"/>
      <c r="C351" s="660"/>
      <c r="D351" s="660"/>
      <c r="E351" s="660"/>
      <c r="F351" s="660"/>
      <c r="G351" s="660"/>
      <c r="H351" s="660"/>
      <c r="I351" s="660"/>
      <c r="J351" s="660"/>
      <c r="K351" s="660"/>
      <c r="L351" s="660"/>
      <c r="M351" s="660"/>
      <c r="N351" s="660"/>
      <c r="O351" s="661"/>
      <c r="P351" s="657" t="s">
        <v>40</v>
      </c>
      <c r="Q351" s="658"/>
      <c r="R351" s="658"/>
      <c r="S351" s="658"/>
      <c r="T351" s="658"/>
      <c r="U351" s="658"/>
      <c r="V351" s="659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9" t="s">
        <v>85</v>
      </c>
      <c r="B352" s="669"/>
      <c r="C352" s="669"/>
      <c r="D352" s="669"/>
      <c r="E352" s="669"/>
      <c r="F352" s="669"/>
      <c r="G352" s="669"/>
      <c r="H352" s="669"/>
      <c r="I352" s="669"/>
      <c r="J352" s="669"/>
      <c r="K352" s="669"/>
      <c r="L352" s="669"/>
      <c r="M352" s="669"/>
      <c r="N352" s="669"/>
      <c r="O352" s="669"/>
      <c r="P352" s="669"/>
      <c r="Q352" s="669"/>
      <c r="R352" s="669"/>
      <c r="S352" s="669"/>
      <c r="T352" s="669"/>
      <c r="U352" s="669"/>
      <c r="V352" s="669"/>
      <c r="W352" s="669"/>
      <c r="X352" s="669"/>
      <c r="Y352" s="669"/>
      <c r="Z352" s="669"/>
      <c r="AA352" s="66"/>
      <c r="AB352" s="66"/>
      <c r="AC352" s="80"/>
    </row>
    <row r="353" spans="1:68" ht="27" hidden="1" customHeight="1" x14ac:dyDescent="0.25">
      <c r="A353" s="63" t="s">
        <v>588</v>
      </c>
      <c r="B353" s="63" t="s">
        <v>589</v>
      </c>
      <c r="C353" s="36">
        <v>4301051782</v>
      </c>
      <c r="D353" s="670">
        <v>4680115884618</v>
      </c>
      <c r="E353" s="670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72"/>
      <c r="R353" s="672"/>
      <c r="S353" s="672"/>
      <c r="T353" s="673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590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4301052057</v>
      </c>
      <c r="D354" s="670">
        <v>4680115887114</v>
      </c>
      <c r="E354" s="670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72"/>
      <c r="R354" s="672"/>
      <c r="S354" s="672"/>
      <c r="T354" s="673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593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0"/>
      <c r="B355" s="660"/>
      <c r="C355" s="660"/>
      <c r="D355" s="660"/>
      <c r="E355" s="660"/>
      <c r="F355" s="660"/>
      <c r="G355" s="660"/>
      <c r="H355" s="660"/>
      <c r="I355" s="660"/>
      <c r="J355" s="660"/>
      <c r="K355" s="660"/>
      <c r="L355" s="660"/>
      <c r="M355" s="660"/>
      <c r="N355" s="660"/>
      <c r="O355" s="661"/>
      <c r="P355" s="657" t="s">
        <v>40</v>
      </c>
      <c r="Q355" s="658"/>
      <c r="R355" s="658"/>
      <c r="S355" s="658"/>
      <c r="T355" s="658"/>
      <c r="U355" s="658"/>
      <c r="V355" s="659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0"/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1"/>
      <c r="P356" s="657" t="s">
        <v>40</v>
      </c>
      <c r="Q356" s="658"/>
      <c r="R356" s="658"/>
      <c r="S356" s="658"/>
      <c r="T356" s="658"/>
      <c r="U356" s="658"/>
      <c r="V356" s="659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76" t="s">
        <v>594</v>
      </c>
      <c r="B357" s="676"/>
      <c r="C357" s="676"/>
      <c r="D357" s="676"/>
      <c r="E357" s="676"/>
      <c r="F357" s="676"/>
      <c r="G357" s="676"/>
      <c r="H357" s="676"/>
      <c r="I357" s="676"/>
      <c r="J357" s="676"/>
      <c r="K357" s="676"/>
      <c r="L357" s="676"/>
      <c r="M357" s="676"/>
      <c r="N357" s="676"/>
      <c r="O357" s="676"/>
      <c r="P357" s="676"/>
      <c r="Q357" s="676"/>
      <c r="R357" s="676"/>
      <c r="S357" s="676"/>
      <c r="T357" s="676"/>
      <c r="U357" s="676"/>
      <c r="V357" s="676"/>
      <c r="W357" s="676"/>
      <c r="X357" s="676"/>
      <c r="Y357" s="676"/>
      <c r="Z357" s="676"/>
      <c r="AA357" s="65"/>
      <c r="AB357" s="65"/>
      <c r="AC357" s="79"/>
    </row>
    <row r="358" spans="1:68" ht="14.25" hidden="1" customHeight="1" x14ac:dyDescent="0.25">
      <c r="A358" s="669" t="s">
        <v>121</v>
      </c>
      <c r="B358" s="669"/>
      <c r="C358" s="669"/>
      <c r="D358" s="669"/>
      <c r="E358" s="669"/>
      <c r="F358" s="669"/>
      <c r="G358" s="669"/>
      <c r="H358" s="669"/>
      <c r="I358" s="669"/>
      <c r="J358" s="669"/>
      <c r="K358" s="669"/>
      <c r="L358" s="669"/>
      <c r="M358" s="669"/>
      <c r="N358" s="669"/>
      <c r="O358" s="669"/>
      <c r="P358" s="669"/>
      <c r="Q358" s="669"/>
      <c r="R358" s="669"/>
      <c r="S358" s="669"/>
      <c r="T358" s="669"/>
      <c r="U358" s="669"/>
      <c r="V358" s="669"/>
      <c r="W358" s="669"/>
      <c r="X358" s="669"/>
      <c r="Y358" s="669"/>
      <c r="Z358" s="669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4301012324</v>
      </c>
      <c r="D359" s="670">
        <v>4680115887947</v>
      </c>
      <c r="E359" s="670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72"/>
      <c r="R359" s="672"/>
      <c r="S359" s="672"/>
      <c r="T359" s="673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360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597</v>
      </c>
      <c r="B360" s="63" t="s">
        <v>598</v>
      </c>
      <c r="C360" s="36">
        <v>4301012325</v>
      </c>
      <c r="D360" s="670">
        <v>4680115887978</v>
      </c>
      <c r="E360" s="670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72"/>
      <c r="R360" s="672"/>
      <c r="S360" s="672"/>
      <c r="T360" s="673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599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600</v>
      </c>
      <c r="B361" s="63" t="s">
        <v>601</v>
      </c>
      <c r="C361" s="36">
        <v>4301012327</v>
      </c>
      <c r="D361" s="670">
        <v>4680115887992</v>
      </c>
      <c r="E361" s="670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72"/>
      <c r="R361" s="672"/>
      <c r="S361" s="672"/>
      <c r="T361" s="673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602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0"/>
      <c r="B362" s="660"/>
      <c r="C362" s="660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1"/>
      <c r="P362" s="657" t="s">
        <v>40</v>
      </c>
      <c r="Q362" s="658"/>
      <c r="R362" s="658"/>
      <c r="S362" s="658"/>
      <c r="T362" s="658"/>
      <c r="U362" s="658"/>
      <c r="V362" s="659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0"/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1"/>
      <c r="P363" s="657" t="s">
        <v>40</v>
      </c>
      <c r="Q363" s="658"/>
      <c r="R363" s="658"/>
      <c r="S363" s="658"/>
      <c r="T363" s="658"/>
      <c r="U363" s="658"/>
      <c r="V363" s="659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76" t="s">
        <v>603</v>
      </c>
      <c r="B364" s="676"/>
      <c r="C364" s="676"/>
      <c r="D364" s="676"/>
      <c r="E364" s="676"/>
      <c r="F364" s="676"/>
      <c r="G364" s="676"/>
      <c r="H364" s="676"/>
      <c r="I364" s="676"/>
      <c r="J364" s="676"/>
      <c r="K364" s="676"/>
      <c r="L364" s="676"/>
      <c r="M364" s="676"/>
      <c r="N364" s="676"/>
      <c r="O364" s="676"/>
      <c r="P364" s="676"/>
      <c r="Q364" s="676"/>
      <c r="R364" s="676"/>
      <c r="S364" s="676"/>
      <c r="T364" s="676"/>
      <c r="U364" s="676"/>
      <c r="V364" s="676"/>
      <c r="W364" s="676"/>
      <c r="X364" s="676"/>
      <c r="Y364" s="676"/>
      <c r="Z364" s="676"/>
      <c r="AA364" s="65"/>
      <c r="AB364" s="65"/>
      <c r="AC364" s="79"/>
    </row>
    <row r="365" spans="1:68" ht="14.25" hidden="1" customHeight="1" x14ac:dyDescent="0.25">
      <c r="A365" s="669" t="s">
        <v>121</v>
      </c>
      <c r="B365" s="669"/>
      <c r="C365" s="669"/>
      <c r="D365" s="669"/>
      <c r="E365" s="669"/>
      <c r="F365" s="669"/>
      <c r="G365" s="669"/>
      <c r="H365" s="669"/>
      <c r="I365" s="669"/>
      <c r="J365" s="669"/>
      <c r="K365" s="669"/>
      <c r="L365" s="669"/>
      <c r="M365" s="669"/>
      <c r="N365" s="669"/>
      <c r="O365" s="669"/>
      <c r="P365" s="669"/>
      <c r="Q365" s="669"/>
      <c r="R365" s="669"/>
      <c r="S365" s="669"/>
      <c r="T365" s="669"/>
      <c r="U365" s="669"/>
      <c r="V365" s="669"/>
      <c r="W365" s="669"/>
      <c r="X365" s="669"/>
      <c r="Y365" s="669"/>
      <c r="Z365" s="669"/>
      <c r="AA365" s="66"/>
      <c r="AB365" s="66"/>
      <c r="AC365" s="80"/>
    </row>
    <row r="366" spans="1:68" ht="27" hidden="1" customHeight="1" x14ac:dyDescent="0.25">
      <c r="A366" s="63" t="s">
        <v>604</v>
      </c>
      <c r="B366" s="63" t="s">
        <v>605</v>
      </c>
      <c r="C366" s="36">
        <v>4301012400</v>
      </c>
      <c r="D366" s="670">
        <v>4680115889880</v>
      </c>
      <c r="E366" s="670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72"/>
      <c r="R366" s="672"/>
      <c r="S366" s="672"/>
      <c r="T366" s="673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548</v>
      </c>
      <c r="AC366" s="464" t="s">
        <v>528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606</v>
      </c>
      <c r="B367" s="63" t="s">
        <v>607</v>
      </c>
      <c r="C367" s="36">
        <v>4301012360</v>
      </c>
      <c r="D367" s="670">
        <v>4680115889293</v>
      </c>
      <c r="E367" s="670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72"/>
      <c r="R367" s="672"/>
      <c r="S367" s="672"/>
      <c r="T367" s="673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4301012235</v>
      </c>
      <c r="D368" s="670">
        <v>4680115887190</v>
      </c>
      <c r="E368" s="670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72"/>
      <c r="R368" s="672"/>
      <c r="S368" s="672"/>
      <c r="T368" s="673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612</v>
      </c>
      <c r="B369" s="63" t="s">
        <v>613</v>
      </c>
      <c r="C369" s="36">
        <v>4301012233</v>
      </c>
      <c r="D369" s="670">
        <v>4680115887138</v>
      </c>
      <c r="E369" s="670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72"/>
      <c r="R369" s="672"/>
      <c r="S369" s="672"/>
      <c r="T369" s="673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614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4301012016</v>
      </c>
      <c r="D370" s="670">
        <v>4680115885554</v>
      </c>
      <c r="E370" s="670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72"/>
      <c r="R370" s="672"/>
      <c r="S370" s="672"/>
      <c r="T370" s="673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4301012236</v>
      </c>
      <c r="D371" s="670">
        <v>4680115887220</v>
      </c>
      <c r="E371" s="670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72"/>
      <c r="R371" s="672"/>
      <c r="S371" s="672"/>
      <c r="T371" s="673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611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4301011859</v>
      </c>
      <c r="D372" s="670">
        <v>4680115885608</v>
      </c>
      <c r="E372" s="670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72"/>
      <c r="R372" s="672"/>
      <c r="S372" s="672"/>
      <c r="T372" s="673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622</v>
      </c>
      <c r="AG372" s="78"/>
      <c r="AJ372" s="84" t="s">
        <v>46</v>
      </c>
      <c r="AK372" s="84">
        <v>0</v>
      </c>
      <c r="BB372" s="477" t="s">
        <v>67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660"/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1"/>
      <c r="P373" s="657" t="s">
        <v>40</v>
      </c>
      <c r="Q373" s="658"/>
      <c r="R373" s="658"/>
      <c r="S373" s="658"/>
      <c r="T373" s="658"/>
      <c r="U373" s="658"/>
      <c r="V373" s="659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0"/>
      <c r="B374" s="660"/>
      <c r="C374" s="660"/>
      <c r="D374" s="660"/>
      <c r="E374" s="660"/>
      <c r="F374" s="660"/>
      <c r="G374" s="660"/>
      <c r="H374" s="660"/>
      <c r="I374" s="660"/>
      <c r="J374" s="660"/>
      <c r="K374" s="660"/>
      <c r="L374" s="660"/>
      <c r="M374" s="660"/>
      <c r="N374" s="660"/>
      <c r="O374" s="661"/>
      <c r="P374" s="657" t="s">
        <v>40</v>
      </c>
      <c r="Q374" s="658"/>
      <c r="R374" s="658"/>
      <c r="S374" s="658"/>
      <c r="T374" s="658"/>
      <c r="U374" s="658"/>
      <c r="V374" s="659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9" t="s">
        <v>76</v>
      </c>
      <c r="B375" s="669"/>
      <c r="C375" s="669"/>
      <c r="D375" s="669"/>
      <c r="E375" s="669"/>
      <c r="F375" s="669"/>
      <c r="G375" s="669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6"/>
      <c r="AB375" s="66"/>
      <c r="AC375" s="80"/>
    </row>
    <row r="376" spans="1:68" ht="27" hidden="1" customHeight="1" x14ac:dyDescent="0.25">
      <c r="A376" s="63" t="s">
        <v>623</v>
      </c>
      <c r="B376" s="63" t="s">
        <v>624</v>
      </c>
      <c r="C376" s="36">
        <v>4301030878</v>
      </c>
      <c r="D376" s="670">
        <v>4607091387193</v>
      </c>
      <c r="E376" s="670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72"/>
      <c r="R376" s="672"/>
      <c r="S376" s="672"/>
      <c r="T376" s="673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4301031153</v>
      </c>
      <c r="D377" s="670">
        <v>4607091387230</v>
      </c>
      <c r="E377" s="670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72"/>
      <c r="R377" s="672"/>
      <c r="S377" s="672"/>
      <c r="T377" s="673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628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629</v>
      </c>
      <c r="B378" s="63" t="s">
        <v>630</v>
      </c>
      <c r="C378" s="36">
        <v>4301031154</v>
      </c>
      <c r="D378" s="670">
        <v>4607091387292</v>
      </c>
      <c r="E378" s="670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72"/>
      <c r="R378" s="672"/>
      <c r="S378" s="672"/>
      <c r="T378" s="673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631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632</v>
      </c>
      <c r="B379" s="63" t="s">
        <v>633</v>
      </c>
      <c r="C379" s="36">
        <v>4301031152</v>
      </c>
      <c r="D379" s="670">
        <v>4607091387285</v>
      </c>
      <c r="E379" s="670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72"/>
      <c r="R379" s="672"/>
      <c r="S379" s="672"/>
      <c r="T379" s="673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4301031305</v>
      </c>
      <c r="D380" s="670">
        <v>4607091389845</v>
      </c>
      <c r="E380" s="670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72"/>
      <c r="R380" s="672"/>
      <c r="S380" s="672"/>
      <c r="T380" s="673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636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4301031460</v>
      </c>
      <c r="D381" s="670">
        <v>4680115887442</v>
      </c>
      <c r="E381" s="670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72"/>
      <c r="R381" s="672"/>
      <c r="S381" s="672"/>
      <c r="T381" s="673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4301031066</v>
      </c>
      <c r="D382" s="670">
        <v>4607091383836</v>
      </c>
      <c r="E382" s="670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72"/>
      <c r="R382" s="672"/>
      <c r="S382" s="672"/>
      <c r="T382" s="673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641</v>
      </c>
      <c r="AG382" s="78"/>
      <c r="AJ382" s="84" t="s">
        <v>46</v>
      </c>
      <c r="AK382" s="84">
        <v>0</v>
      </c>
      <c r="BB382" s="491" t="s">
        <v>67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660"/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1"/>
      <c r="P383" s="657" t="s">
        <v>40</v>
      </c>
      <c r="Q383" s="658"/>
      <c r="R383" s="658"/>
      <c r="S383" s="658"/>
      <c r="T383" s="658"/>
      <c r="U383" s="658"/>
      <c r="V383" s="659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0"/>
      <c r="B384" s="660"/>
      <c r="C384" s="660"/>
      <c r="D384" s="660"/>
      <c r="E384" s="660"/>
      <c r="F384" s="660"/>
      <c r="G384" s="660"/>
      <c r="H384" s="660"/>
      <c r="I384" s="660"/>
      <c r="J384" s="660"/>
      <c r="K384" s="660"/>
      <c r="L384" s="660"/>
      <c r="M384" s="660"/>
      <c r="N384" s="660"/>
      <c r="O384" s="661"/>
      <c r="P384" s="657" t="s">
        <v>40</v>
      </c>
      <c r="Q384" s="658"/>
      <c r="R384" s="658"/>
      <c r="S384" s="658"/>
      <c r="T384" s="658"/>
      <c r="U384" s="658"/>
      <c r="V384" s="659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9" t="s">
        <v>85</v>
      </c>
      <c r="B385" s="669"/>
      <c r="C385" s="669"/>
      <c r="D385" s="669"/>
      <c r="E385" s="669"/>
      <c r="F385" s="669"/>
      <c r="G385" s="669"/>
      <c r="H385" s="669"/>
      <c r="I385" s="669"/>
      <c r="J385" s="669"/>
      <c r="K385" s="669"/>
      <c r="L385" s="669"/>
      <c r="M385" s="669"/>
      <c r="N385" s="669"/>
      <c r="O385" s="669"/>
      <c r="P385" s="669"/>
      <c r="Q385" s="669"/>
      <c r="R385" s="669"/>
      <c r="S385" s="669"/>
      <c r="T385" s="669"/>
      <c r="U385" s="669"/>
      <c r="V385" s="669"/>
      <c r="W385" s="669"/>
      <c r="X385" s="669"/>
      <c r="Y385" s="669"/>
      <c r="Z385" s="669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4301051100</v>
      </c>
      <c r="D386" s="670">
        <v>4607091387766</v>
      </c>
      <c r="E386" s="670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72"/>
      <c r="R386" s="672"/>
      <c r="S386" s="672"/>
      <c r="T386" s="673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4301051818</v>
      </c>
      <c r="D387" s="670">
        <v>4607091387957</v>
      </c>
      <c r="E387" s="670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72"/>
      <c r="R387" s="672"/>
      <c r="S387" s="672"/>
      <c r="T387" s="673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647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4301051819</v>
      </c>
      <c r="D388" s="670">
        <v>4607091387964</v>
      </c>
      <c r="E388" s="670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72"/>
      <c r="R388" s="672"/>
      <c r="S388" s="672"/>
      <c r="T388" s="673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650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651</v>
      </c>
      <c r="B389" s="63" t="s">
        <v>652</v>
      </c>
      <c r="C389" s="36">
        <v>4301051734</v>
      </c>
      <c r="D389" s="670">
        <v>4680115884588</v>
      </c>
      <c r="E389" s="670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7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72"/>
      <c r="R389" s="672"/>
      <c r="S389" s="672"/>
      <c r="T389" s="673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0"/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1"/>
      <c r="P390" s="657" t="s">
        <v>40</v>
      </c>
      <c r="Q390" s="658"/>
      <c r="R390" s="658"/>
      <c r="S390" s="658"/>
      <c r="T390" s="658"/>
      <c r="U390" s="658"/>
      <c r="V390" s="659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0"/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1"/>
      <c r="P391" s="657" t="s">
        <v>40</v>
      </c>
      <c r="Q391" s="658"/>
      <c r="R391" s="658"/>
      <c r="S391" s="658"/>
      <c r="T391" s="658"/>
      <c r="U391" s="658"/>
      <c r="V391" s="659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9" t="s">
        <v>177</v>
      </c>
      <c r="B392" s="669"/>
      <c r="C392" s="669"/>
      <c r="D392" s="669"/>
      <c r="E392" s="669"/>
      <c r="F392" s="669"/>
      <c r="G392" s="669"/>
      <c r="H392" s="669"/>
      <c r="I392" s="669"/>
      <c r="J392" s="669"/>
      <c r="K392" s="669"/>
      <c r="L392" s="669"/>
      <c r="M392" s="669"/>
      <c r="N392" s="669"/>
      <c r="O392" s="669"/>
      <c r="P392" s="669"/>
      <c r="Q392" s="669"/>
      <c r="R392" s="669"/>
      <c r="S392" s="669"/>
      <c r="T392" s="669"/>
      <c r="U392" s="669"/>
      <c r="V392" s="669"/>
      <c r="W392" s="669"/>
      <c r="X392" s="669"/>
      <c r="Y392" s="669"/>
      <c r="Z392" s="669"/>
      <c r="AA392" s="66"/>
      <c r="AB392" s="66"/>
      <c r="AC392" s="80"/>
    </row>
    <row r="393" spans="1:68" ht="27" hidden="1" customHeight="1" x14ac:dyDescent="0.25">
      <c r="A393" s="63" t="s">
        <v>653</v>
      </c>
      <c r="B393" s="63" t="s">
        <v>654</v>
      </c>
      <c r="C393" s="36">
        <v>4301060387</v>
      </c>
      <c r="D393" s="670">
        <v>4607091380880</v>
      </c>
      <c r="E393" s="670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72"/>
      <c r="R393" s="672"/>
      <c r="S393" s="672"/>
      <c r="T393" s="673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4301060406</v>
      </c>
      <c r="D394" s="670">
        <v>4607091384482</v>
      </c>
      <c r="E394" s="670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7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72"/>
      <c r="R394" s="672"/>
      <c r="S394" s="672"/>
      <c r="T394" s="673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658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4301060484</v>
      </c>
      <c r="D395" s="670">
        <v>4607091380897</v>
      </c>
      <c r="E395" s="670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74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72"/>
      <c r="R395" s="672"/>
      <c r="S395" s="672"/>
      <c r="T395" s="673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661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0"/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1"/>
      <c r="P396" s="657" t="s">
        <v>40</v>
      </c>
      <c r="Q396" s="658"/>
      <c r="R396" s="658"/>
      <c r="S396" s="658"/>
      <c r="T396" s="658"/>
      <c r="U396" s="658"/>
      <c r="V396" s="659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0"/>
      <c r="B397" s="660"/>
      <c r="C397" s="660"/>
      <c r="D397" s="660"/>
      <c r="E397" s="660"/>
      <c r="F397" s="660"/>
      <c r="G397" s="660"/>
      <c r="H397" s="660"/>
      <c r="I397" s="660"/>
      <c r="J397" s="660"/>
      <c r="K397" s="660"/>
      <c r="L397" s="660"/>
      <c r="M397" s="660"/>
      <c r="N397" s="660"/>
      <c r="O397" s="661"/>
      <c r="P397" s="657" t="s">
        <v>40</v>
      </c>
      <c r="Q397" s="658"/>
      <c r="R397" s="658"/>
      <c r="S397" s="658"/>
      <c r="T397" s="658"/>
      <c r="U397" s="658"/>
      <c r="V397" s="659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9" t="s">
        <v>282</v>
      </c>
      <c r="B398" s="669"/>
      <c r="C398" s="669"/>
      <c r="D398" s="669"/>
      <c r="E398" s="669"/>
      <c r="F398" s="669"/>
      <c r="G398" s="669"/>
      <c r="H398" s="669"/>
      <c r="I398" s="669"/>
      <c r="J398" s="669"/>
      <c r="K398" s="669"/>
      <c r="L398" s="669"/>
      <c r="M398" s="669"/>
      <c r="N398" s="669"/>
      <c r="O398" s="669"/>
      <c r="P398" s="669"/>
      <c r="Q398" s="669"/>
      <c r="R398" s="669"/>
      <c r="S398" s="669"/>
      <c r="T398" s="669"/>
      <c r="U398" s="669"/>
      <c r="V398" s="669"/>
      <c r="W398" s="669"/>
      <c r="X398" s="669"/>
      <c r="Y398" s="669"/>
      <c r="Z398" s="669"/>
      <c r="AA398" s="66"/>
      <c r="AB398" s="66"/>
      <c r="AC398" s="80"/>
    </row>
    <row r="399" spans="1:68" ht="27" hidden="1" customHeight="1" x14ac:dyDescent="0.25">
      <c r="A399" s="63" t="s">
        <v>662</v>
      </c>
      <c r="B399" s="63" t="s">
        <v>663</v>
      </c>
      <c r="C399" s="36">
        <v>4301030235</v>
      </c>
      <c r="D399" s="670">
        <v>4607091388381</v>
      </c>
      <c r="E399" s="670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258</v>
      </c>
      <c r="N399" s="38"/>
      <c r="O399" s="37">
        <v>180</v>
      </c>
      <c r="P399" s="7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72"/>
      <c r="R399" s="672"/>
      <c r="S399" s="672"/>
      <c r="T399" s="673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4301030232</v>
      </c>
      <c r="D400" s="670">
        <v>4607091388374</v>
      </c>
      <c r="E400" s="670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258</v>
      </c>
      <c r="N400" s="38"/>
      <c r="O400" s="37">
        <v>180</v>
      </c>
      <c r="P400" s="74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72"/>
      <c r="R400" s="672"/>
      <c r="S400" s="672"/>
      <c r="T400" s="673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4301032015</v>
      </c>
      <c r="D401" s="670">
        <v>4607091383102</v>
      </c>
      <c r="E401" s="670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258</v>
      </c>
      <c r="N401" s="38"/>
      <c r="O401" s="37">
        <v>180</v>
      </c>
      <c r="P401" s="7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72"/>
      <c r="R401" s="672"/>
      <c r="S401" s="672"/>
      <c r="T401" s="673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669</v>
      </c>
      <c r="B402" s="63" t="s">
        <v>670</v>
      </c>
      <c r="C402" s="36">
        <v>4301030233</v>
      </c>
      <c r="D402" s="670">
        <v>4607091388404</v>
      </c>
      <c r="E402" s="670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258</v>
      </c>
      <c r="N402" s="38"/>
      <c r="O402" s="37">
        <v>180</v>
      </c>
      <c r="P402" s="75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72"/>
      <c r="R402" s="672"/>
      <c r="S402" s="672"/>
      <c r="T402" s="673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0"/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1"/>
      <c r="P403" s="657" t="s">
        <v>40</v>
      </c>
      <c r="Q403" s="658"/>
      <c r="R403" s="658"/>
      <c r="S403" s="658"/>
      <c r="T403" s="658"/>
      <c r="U403" s="658"/>
      <c r="V403" s="659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0"/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1"/>
      <c r="P404" s="657" t="s">
        <v>40</v>
      </c>
      <c r="Q404" s="658"/>
      <c r="R404" s="658"/>
      <c r="S404" s="658"/>
      <c r="T404" s="658"/>
      <c r="U404" s="658"/>
      <c r="V404" s="659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9" t="s">
        <v>671</v>
      </c>
      <c r="B405" s="669"/>
      <c r="C405" s="669"/>
      <c r="D405" s="669"/>
      <c r="E405" s="669"/>
      <c r="F405" s="669"/>
      <c r="G405" s="669"/>
      <c r="H405" s="669"/>
      <c r="I405" s="669"/>
      <c r="J405" s="669"/>
      <c r="K405" s="669"/>
      <c r="L405" s="669"/>
      <c r="M405" s="669"/>
      <c r="N405" s="669"/>
      <c r="O405" s="669"/>
      <c r="P405" s="669"/>
      <c r="Q405" s="669"/>
      <c r="R405" s="669"/>
      <c r="S405" s="669"/>
      <c r="T405" s="669"/>
      <c r="U405" s="669"/>
      <c r="V405" s="669"/>
      <c r="W405" s="669"/>
      <c r="X405" s="669"/>
      <c r="Y405" s="669"/>
      <c r="Z405" s="669"/>
      <c r="AA405" s="66"/>
      <c r="AB405" s="66"/>
      <c r="AC405" s="80"/>
    </row>
    <row r="406" spans="1:68" ht="16.5" hidden="1" customHeight="1" x14ac:dyDescent="0.25">
      <c r="A406" s="63" t="s">
        <v>672</v>
      </c>
      <c r="B406" s="63" t="s">
        <v>673</v>
      </c>
      <c r="C406" s="36">
        <v>4301180007</v>
      </c>
      <c r="D406" s="670">
        <v>4680115881808</v>
      </c>
      <c r="E406" s="670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675</v>
      </c>
      <c r="N406" s="38"/>
      <c r="O406" s="37">
        <v>731</v>
      </c>
      <c r="P406" s="7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72"/>
      <c r="R406" s="672"/>
      <c r="S406" s="672"/>
      <c r="T406" s="673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4301180006</v>
      </c>
      <c r="D407" s="670">
        <v>4680115881822</v>
      </c>
      <c r="E407" s="670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675</v>
      </c>
      <c r="N407" s="38"/>
      <c r="O407" s="37">
        <v>731</v>
      </c>
      <c r="P407" s="7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72"/>
      <c r="R407" s="672"/>
      <c r="S407" s="672"/>
      <c r="T407" s="673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4301180001</v>
      </c>
      <c r="D408" s="670">
        <v>4680115880016</v>
      </c>
      <c r="E408" s="670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675</v>
      </c>
      <c r="N408" s="38"/>
      <c r="O408" s="37">
        <v>731</v>
      </c>
      <c r="P408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72"/>
      <c r="R408" s="672"/>
      <c r="S408" s="672"/>
      <c r="T408" s="673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674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0"/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1"/>
      <c r="P409" s="657" t="s">
        <v>40</v>
      </c>
      <c r="Q409" s="658"/>
      <c r="R409" s="658"/>
      <c r="S409" s="658"/>
      <c r="T409" s="658"/>
      <c r="U409" s="658"/>
      <c r="V409" s="659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0"/>
      <c r="B410" s="660"/>
      <c r="C410" s="660"/>
      <c r="D410" s="660"/>
      <c r="E410" s="660"/>
      <c r="F410" s="660"/>
      <c r="G410" s="660"/>
      <c r="H410" s="660"/>
      <c r="I410" s="660"/>
      <c r="J410" s="660"/>
      <c r="K410" s="660"/>
      <c r="L410" s="660"/>
      <c r="M410" s="660"/>
      <c r="N410" s="660"/>
      <c r="O410" s="661"/>
      <c r="P410" s="657" t="s">
        <v>40</v>
      </c>
      <c r="Q410" s="658"/>
      <c r="R410" s="658"/>
      <c r="S410" s="658"/>
      <c r="T410" s="658"/>
      <c r="U410" s="658"/>
      <c r="V410" s="659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9" t="s">
        <v>680</v>
      </c>
      <c r="B411" s="669"/>
      <c r="C411" s="669"/>
      <c r="D411" s="669"/>
      <c r="E411" s="669"/>
      <c r="F411" s="669"/>
      <c r="G411" s="669"/>
      <c r="H411" s="669"/>
      <c r="I411" s="669"/>
      <c r="J411" s="669"/>
      <c r="K411" s="669"/>
      <c r="L411" s="669"/>
      <c r="M411" s="669"/>
      <c r="N411" s="669"/>
      <c r="O411" s="669"/>
      <c r="P411" s="669"/>
      <c r="Q411" s="669"/>
      <c r="R411" s="669"/>
      <c r="S411" s="669"/>
      <c r="T411" s="669"/>
      <c r="U411" s="669"/>
      <c r="V411" s="669"/>
      <c r="W411" s="669"/>
      <c r="X411" s="669"/>
      <c r="Y411" s="669"/>
      <c r="Z411" s="669"/>
      <c r="AA411" s="66"/>
      <c r="AB411" s="66"/>
      <c r="AC411" s="80"/>
    </row>
    <row r="412" spans="1:68" ht="27" hidden="1" customHeight="1" x14ac:dyDescent="0.25">
      <c r="A412" s="63" t="s">
        <v>681</v>
      </c>
      <c r="B412" s="63" t="s">
        <v>682</v>
      </c>
      <c r="C412" s="36">
        <v>4301220003</v>
      </c>
      <c r="D412" s="670">
        <v>4680115888678</v>
      </c>
      <c r="E412" s="670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675</v>
      </c>
      <c r="N412" s="38"/>
      <c r="O412" s="37">
        <v>1096</v>
      </c>
      <c r="P412" s="74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72"/>
      <c r="R412" s="672"/>
      <c r="S412" s="672"/>
      <c r="T412" s="673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683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684</v>
      </c>
      <c r="B413" s="63" t="s">
        <v>685</v>
      </c>
      <c r="C413" s="36">
        <v>4301220001</v>
      </c>
      <c r="D413" s="670">
        <v>4680115888654</v>
      </c>
      <c r="E413" s="670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675</v>
      </c>
      <c r="N413" s="38"/>
      <c r="O413" s="37">
        <v>1096</v>
      </c>
      <c r="P413" s="74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72"/>
      <c r="R413" s="672"/>
      <c r="S413" s="672"/>
      <c r="T413" s="673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686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687</v>
      </c>
      <c r="B414" s="63" t="s">
        <v>688</v>
      </c>
      <c r="C414" s="36">
        <v>4301220002</v>
      </c>
      <c r="D414" s="670">
        <v>4680115888753</v>
      </c>
      <c r="E414" s="670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675</v>
      </c>
      <c r="N414" s="38"/>
      <c r="O414" s="37">
        <v>1096</v>
      </c>
      <c r="P414" s="74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72"/>
      <c r="R414" s="672"/>
      <c r="S414" s="672"/>
      <c r="T414" s="673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683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0"/>
      <c r="B415" s="660"/>
      <c r="C415" s="660"/>
      <c r="D415" s="660"/>
      <c r="E415" s="660"/>
      <c r="F415" s="660"/>
      <c r="G415" s="660"/>
      <c r="H415" s="660"/>
      <c r="I415" s="660"/>
      <c r="J415" s="660"/>
      <c r="K415" s="660"/>
      <c r="L415" s="660"/>
      <c r="M415" s="660"/>
      <c r="N415" s="660"/>
      <c r="O415" s="661"/>
      <c r="P415" s="657" t="s">
        <v>40</v>
      </c>
      <c r="Q415" s="658"/>
      <c r="R415" s="658"/>
      <c r="S415" s="658"/>
      <c r="T415" s="658"/>
      <c r="U415" s="658"/>
      <c r="V415" s="659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0"/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1"/>
      <c r="P416" s="657" t="s">
        <v>40</v>
      </c>
      <c r="Q416" s="658"/>
      <c r="R416" s="658"/>
      <c r="S416" s="658"/>
      <c r="T416" s="658"/>
      <c r="U416" s="658"/>
      <c r="V416" s="659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76" t="s">
        <v>689</v>
      </c>
      <c r="B417" s="676"/>
      <c r="C417" s="676"/>
      <c r="D417" s="676"/>
      <c r="E417" s="676"/>
      <c r="F417" s="676"/>
      <c r="G417" s="676"/>
      <c r="H417" s="676"/>
      <c r="I417" s="676"/>
      <c r="J417" s="676"/>
      <c r="K417" s="676"/>
      <c r="L417" s="676"/>
      <c r="M417" s="676"/>
      <c r="N417" s="676"/>
      <c r="O417" s="676"/>
      <c r="P417" s="676"/>
      <c r="Q417" s="676"/>
      <c r="R417" s="676"/>
      <c r="S417" s="676"/>
      <c r="T417" s="676"/>
      <c r="U417" s="676"/>
      <c r="V417" s="676"/>
      <c r="W417" s="676"/>
      <c r="X417" s="676"/>
      <c r="Y417" s="676"/>
      <c r="Z417" s="676"/>
      <c r="AA417" s="65"/>
      <c r="AB417" s="65"/>
      <c r="AC417" s="79"/>
    </row>
    <row r="418" spans="1:68" ht="14.25" hidden="1" customHeight="1" x14ac:dyDescent="0.25">
      <c r="A418" s="669" t="s">
        <v>85</v>
      </c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69"/>
      <c r="P418" s="669"/>
      <c r="Q418" s="669"/>
      <c r="R418" s="669"/>
      <c r="S418" s="669"/>
      <c r="T418" s="669"/>
      <c r="U418" s="669"/>
      <c r="V418" s="669"/>
      <c r="W418" s="669"/>
      <c r="X418" s="669"/>
      <c r="Y418" s="669"/>
      <c r="Z418" s="669"/>
      <c r="AA418" s="66"/>
      <c r="AB418" s="66"/>
      <c r="AC418" s="80"/>
    </row>
    <row r="419" spans="1:68" ht="16.5" hidden="1" customHeight="1" x14ac:dyDescent="0.25">
      <c r="A419" s="63" t="s">
        <v>690</v>
      </c>
      <c r="B419" s="63" t="s">
        <v>691</v>
      </c>
      <c r="C419" s="36">
        <v>4301052235</v>
      </c>
      <c r="D419" s="670">
        <v>4680115889415</v>
      </c>
      <c r="E419" s="670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72"/>
      <c r="R419" s="672"/>
      <c r="S419" s="672"/>
      <c r="T419" s="673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692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693</v>
      </c>
      <c r="B420" s="63" t="s">
        <v>694</v>
      </c>
      <c r="C420" s="36">
        <v>4301052236</v>
      </c>
      <c r="D420" s="670">
        <v>4680115889422</v>
      </c>
      <c r="E420" s="670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7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72"/>
      <c r="R420" s="672"/>
      <c r="S420" s="672"/>
      <c r="T420" s="673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695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0"/>
      <c r="B421" s="660"/>
      <c r="C421" s="660"/>
      <c r="D421" s="660"/>
      <c r="E421" s="660"/>
      <c r="F421" s="660"/>
      <c r="G421" s="660"/>
      <c r="H421" s="660"/>
      <c r="I421" s="660"/>
      <c r="J421" s="660"/>
      <c r="K421" s="660"/>
      <c r="L421" s="660"/>
      <c r="M421" s="660"/>
      <c r="N421" s="660"/>
      <c r="O421" s="661"/>
      <c r="P421" s="657" t="s">
        <v>40</v>
      </c>
      <c r="Q421" s="658"/>
      <c r="R421" s="658"/>
      <c r="S421" s="658"/>
      <c r="T421" s="658"/>
      <c r="U421" s="658"/>
      <c r="V421" s="659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0"/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1"/>
      <c r="P422" s="657" t="s">
        <v>40</v>
      </c>
      <c r="Q422" s="658"/>
      <c r="R422" s="658"/>
      <c r="S422" s="658"/>
      <c r="T422" s="658"/>
      <c r="U422" s="658"/>
      <c r="V422" s="659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76" t="s">
        <v>696</v>
      </c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6"/>
      <c r="P423" s="676"/>
      <c r="Q423" s="676"/>
      <c r="R423" s="676"/>
      <c r="S423" s="676"/>
      <c r="T423" s="676"/>
      <c r="U423" s="676"/>
      <c r="V423" s="676"/>
      <c r="W423" s="676"/>
      <c r="X423" s="676"/>
      <c r="Y423" s="676"/>
      <c r="Z423" s="676"/>
      <c r="AA423" s="65"/>
      <c r="AB423" s="65"/>
      <c r="AC423" s="79"/>
    </row>
    <row r="424" spans="1:68" ht="14.25" hidden="1" customHeight="1" x14ac:dyDescent="0.25">
      <c r="A424" s="669" t="s">
        <v>85</v>
      </c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69"/>
      <c r="P424" s="669"/>
      <c r="Q424" s="669"/>
      <c r="R424" s="669"/>
      <c r="S424" s="669"/>
      <c r="T424" s="669"/>
      <c r="U424" s="669"/>
      <c r="V424" s="669"/>
      <c r="W424" s="669"/>
      <c r="X424" s="669"/>
      <c r="Y424" s="669"/>
      <c r="Z424" s="669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4301051489</v>
      </c>
      <c r="D425" s="670">
        <v>4607091387919</v>
      </c>
      <c r="E425" s="670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7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72"/>
      <c r="R425" s="672"/>
      <c r="S425" s="672"/>
      <c r="T425" s="673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700</v>
      </c>
      <c r="B426" s="63" t="s">
        <v>701</v>
      </c>
      <c r="C426" s="36">
        <v>4301051461</v>
      </c>
      <c r="D426" s="670">
        <v>4680115883604</v>
      </c>
      <c r="E426" s="670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7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72"/>
      <c r="R426" s="672"/>
      <c r="S426" s="672"/>
      <c r="T426" s="673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702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4301051864</v>
      </c>
      <c r="D427" s="670">
        <v>4680115883567</v>
      </c>
      <c r="E427" s="670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73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72"/>
      <c r="R427" s="672"/>
      <c r="S427" s="672"/>
      <c r="T427" s="673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705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60"/>
      <c r="B428" s="660"/>
      <c r="C428" s="660"/>
      <c r="D428" s="660"/>
      <c r="E428" s="660"/>
      <c r="F428" s="660"/>
      <c r="G428" s="660"/>
      <c r="H428" s="660"/>
      <c r="I428" s="660"/>
      <c r="J428" s="660"/>
      <c r="K428" s="660"/>
      <c r="L428" s="660"/>
      <c r="M428" s="660"/>
      <c r="N428" s="660"/>
      <c r="O428" s="661"/>
      <c r="P428" s="657" t="s">
        <v>40</v>
      </c>
      <c r="Q428" s="658"/>
      <c r="R428" s="658"/>
      <c r="S428" s="658"/>
      <c r="T428" s="658"/>
      <c r="U428" s="658"/>
      <c r="V428" s="659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660"/>
      <c r="B429" s="660"/>
      <c r="C429" s="660"/>
      <c r="D429" s="660"/>
      <c r="E429" s="660"/>
      <c r="F429" s="660"/>
      <c r="G429" s="660"/>
      <c r="H429" s="660"/>
      <c r="I429" s="660"/>
      <c r="J429" s="660"/>
      <c r="K429" s="660"/>
      <c r="L429" s="660"/>
      <c r="M429" s="660"/>
      <c r="N429" s="660"/>
      <c r="O429" s="661"/>
      <c r="P429" s="657" t="s">
        <v>40</v>
      </c>
      <c r="Q429" s="658"/>
      <c r="R429" s="658"/>
      <c r="S429" s="658"/>
      <c r="T429" s="658"/>
      <c r="U429" s="658"/>
      <c r="V429" s="659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687" t="s">
        <v>706</v>
      </c>
      <c r="B430" s="687"/>
      <c r="C430" s="687"/>
      <c r="D430" s="687"/>
      <c r="E430" s="687"/>
      <c r="F430" s="687"/>
      <c r="G430" s="687"/>
      <c r="H430" s="687"/>
      <c r="I430" s="687"/>
      <c r="J430" s="687"/>
      <c r="K430" s="687"/>
      <c r="L430" s="687"/>
      <c r="M430" s="687"/>
      <c r="N430" s="687"/>
      <c r="O430" s="687"/>
      <c r="P430" s="687"/>
      <c r="Q430" s="687"/>
      <c r="R430" s="687"/>
      <c r="S430" s="687"/>
      <c r="T430" s="687"/>
      <c r="U430" s="687"/>
      <c r="V430" s="687"/>
      <c r="W430" s="687"/>
      <c r="X430" s="687"/>
      <c r="Y430" s="687"/>
      <c r="Z430" s="687"/>
      <c r="AA430" s="54"/>
      <c r="AB430" s="54"/>
      <c r="AC430" s="54"/>
    </row>
    <row r="431" spans="1:68" ht="16.5" hidden="1" customHeight="1" x14ac:dyDescent="0.25">
      <c r="A431" s="676" t="s">
        <v>707</v>
      </c>
      <c r="B431" s="676"/>
      <c r="C431" s="676"/>
      <c r="D431" s="676"/>
      <c r="E431" s="676"/>
      <c r="F431" s="676"/>
      <c r="G431" s="676"/>
      <c r="H431" s="676"/>
      <c r="I431" s="676"/>
      <c r="J431" s="676"/>
      <c r="K431" s="676"/>
      <c r="L431" s="676"/>
      <c r="M431" s="676"/>
      <c r="N431" s="676"/>
      <c r="O431" s="676"/>
      <c r="P431" s="676"/>
      <c r="Q431" s="676"/>
      <c r="R431" s="676"/>
      <c r="S431" s="676"/>
      <c r="T431" s="676"/>
      <c r="U431" s="676"/>
      <c r="V431" s="676"/>
      <c r="W431" s="676"/>
      <c r="X431" s="676"/>
      <c r="Y431" s="676"/>
      <c r="Z431" s="676"/>
      <c r="AA431" s="65"/>
      <c r="AB431" s="65"/>
      <c r="AC431" s="79"/>
    </row>
    <row r="432" spans="1:68" ht="14.25" hidden="1" customHeight="1" x14ac:dyDescent="0.25">
      <c r="A432" s="669" t="s">
        <v>121</v>
      </c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69"/>
      <c r="P432" s="669"/>
      <c r="Q432" s="669"/>
      <c r="R432" s="669"/>
      <c r="S432" s="669"/>
      <c r="T432" s="669"/>
      <c r="U432" s="669"/>
      <c r="V432" s="669"/>
      <c r="W432" s="669"/>
      <c r="X432" s="669"/>
      <c r="Y432" s="669"/>
      <c r="Z432" s="669"/>
      <c r="AA432" s="66"/>
      <c r="AB432" s="66"/>
      <c r="AC432" s="80"/>
    </row>
    <row r="433" spans="1:68" ht="27" hidden="1" customHeight="1" x14ac:dyDescent="0.25">
      <c r="A433" s="63" t="s">
        <v>708</v>
      </c>
      <c r="B433" s="63" t="s">
        <v>709</v>
      </c>
      <c r="C433" s="36">
        <v>4301012332</v>
      </c>
      <c r="D433" s="670">
        <v>4680115888401</v>
      </c>
      <c r="E433" s="670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73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72"/>
      <c r="R433" s="672"/>
      <c r="S433" s="672"/>
      <c r="T433" s="673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hidden="1" customHeight="1" x14ac:dyDescent="0.25">
      <c r="A434" s="63" t="s">
        <v>711</v>
      </c>
      <c r="B434" s="63" t="s">
        <v>712</v>
      </c>
      <c r="C434" s="36">
        <v>4301011869</v>
      </c>
      <c r="D434" s="670">
        <v>4680115884847</v>
      </c>
      <c r="E434" s="670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7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72"/>
      <c r="R434" s="672"/>
      <c r="S434" s="672"/>
      <c r="T434" s="673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4301012083</v>
      </c>
      <c r="D435" s="670">
        <v>4680115884854</v>
      </c>
      <c r="E435" s="670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7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72"/>
      <c r="R435" s="672"/>
      <c r="S435" s="672"/>
      <c r="T435" s="673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4301011867</v>
      </c>
      <c r="D436" s="670">
        <v>4680115884830</v>
      </c>
      <c r="E436" s="670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73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72"/>
      <c r="R436" s="672"/>
      <c r="S436" s="672"/>
      <c r="T436" s="673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4301012356</v>
      </c>
      <c r="D437" s="670">
        <v>4680115889231</v>
      </c>
      <c r="E437" s="670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73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72"/>
      <c r="R437" s="672"/>
      <c r="S437" s="672"/>
      <c r="T437" s="673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723</v>
      </c>
      <c r="B438" s="63" t="s">
        <v>724</v>
      </c>
      <c r="C438" s="36">
        <v>4301011433</v>
      </c>
      <c r="D438" s="670">
        <v>4680115882638</v>
      </c>
      <c r="E438" s="670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7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72"/>
      <c r="R438" s="672"/>
      <c r="S438" s="672"/>
      <c r="T438" s="673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726</v>
      </c>
      <c r="B439" s="63" t="s">
        <v>727</v>
      </c>
      <c r="C439" s="36">
        <v>4301011952</v>
      </c>
      <c r="D439" s="670">
        <v>4680115884922</v>
      </c>
      <c r="E439" s="670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72"/>
      <c r="R439" s="672"/>
      <c r="S439" s="672"/>
      <c r="T439" s="673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729</v>
      </c>
      <c r="B440" s="63" t="s">
        <v>730</v>
      </c>
      <c r="C440" s="36">
        <v>4301011868</v>
      </c>
      <c r="D440" s="670">
        <v>4680115884861</v>
      </c>
      <c r="E440" s="670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7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72"/>
      <c r="R440" s="672"/>
      <c r="S440" s="672"/>
      <c r="T440" s="673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67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hidden="1" x14ac:dyDescent="0.2">
      <c r="A441" s="660"/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1"/>
      <c r="P441" s="657" t="s">
        <v>40</v>
      </c>
      <c r="Q441" s="658"/>
      <c r="R441" s="658"/>
      <c r="S441" s="658"/>
      <c r="T441" s="658"/>
      <c r="U441" s="658"/>
      <c r="V441" s="659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0</v>
      </c>
      <c r="Y441" s="43">
        <f>IFERROR(Y433/H433,"0")+IFERROR(Y434/H434,"0")+IFERROR(Y435/H435,"0")+IFERROR(Y436/H436,"0")+IFERROR(Y437/H437,"0")+IFERROR(Y438/H438,"0")+IFERROR(Y439/H439,"0")+IFERROR(Y440/H440,"0")</f>
        <v>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60"/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1"/>
      <c r="P442" s="657" t="s">
        <v>40</v>
      </c>
      <c r="Q442" s="658"/>
      <c r="R442" s="658"/>
      <c r="S442" s="658"/>
      <c r="T442" s="658"/>
      <c r="U442" s="658"/>
      <c r="V442" s="659"/>
      <c r="W442" s="42" t="s">
        <v>0</v>
      </c>
      <c r="X442" s="43">
        <f>IFERROR(SUM(X433:X440),"0")</f>
        <v>0</v>
      </c>
      <c r="Y442" s="43">
        <f>IFERROR(SUM(Y433:Y440),"0")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9" t="s">
        <v>158</v>
      </c>
      <c r="B443" s="669"/>
      <c r="C443" s="669"/>
      <c r="D443" s="669"/>
      <c r="E443" s="669"/>
      <c r="F443" s="669"/>
      <c r="G443" s="669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6"/>
      <c r="AB443" s="66"/>
      <c r="AC443" s="80"/>
    </row>
    <row r="444" spans="1:68" ht="27" customHeight="1" x14ac:dyDescent="0.25">
      <c r="A444" s="63" t="s">
        <v>732</v>
      </c>
      <c r="B444" s="63" t="s">
        <v>733</v>
      </c>
      <c r="C444" s="36">
        <v>4301020178</v>
      </c>
      <c r="D444" s="670">
        <v>4607091383980</v>
      </c>
      <c r="E444" s="670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2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72"/>
      <c r="R444" s="672"/>
      <c r="S444" s="672"/>
      <c r="T444" s="673"/>
      <c r="U444" s="39" t="s">
        <v>46</v>
      </c>
      <c r="V444" s="39" t="s">
        <v>46</v>
      </c>
      <c r="W444" s="40" t="s">
        <v>0</v>
      </c>
      <c r="X444" s="58">
        <v>510</v>
      </c>
      <c r="Y444" s="55">
        <f>IFERROR(IF(X444="",0,CEILING((X444/$H444),1)*$H444),"")</f>
        <v>510</v>
      </c>
      <c r="Z444" s="41">
        <f>IFERROR(IF(Y444=0,"",ROUNDUP(Y444/H444,0)*0.02175),"")</f>
        <v>0.73949999999999994</v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525.98</v>
      </c>
      <c r="BN444" s="78">
        <f>IFERROR(Y444*I444/H444,"0")</f>
        <v>525.98</v>
      </c>
      <c r="BO444" s="78">
        <f>IFERROR(1/J444*(X444/H444),"0")</f>
        <v>0.70833333333333326</v>
      </c>
      <c r="BP444" s="78">
        <f>IFERROR(1/J444*(Y444/H444),"0")</f>
        <v>0.70833333333333326</v>
      </c>
    </row>
    <row r="445" spans="1:68" ht="27" hidden="1" customHeight="1" x14ac:dyDescent="0.25">
      <c r="A445" s="63" t="s">
        <v>735</v>
      </c>
      <c r="B445" s="63" t="s">
        <v>736</v>
      </c>
      <c r="C445" s="36">
        <v>4301020355</v>
      </c>
      <c r="D445" s="670">
        <v>4680115888425</v>
      </c>
      <c r="E445" s="670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72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72"/>
      <c r="R445" s="672"/>
      <c r="S445" s="672"/>
      <c r="T445" s="673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737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738</v>
      </c>
      <c r="B446" s="63" t="s">
        <v>739</v>
      </c>
      <c r="C446" s="36">
        <v>4301020179</v>
      </c>
      <c r="D446" s="670">
        <v>4607091384178</v>
      </c>
      <c r="E446" s="670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72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72"/>
      <c r="R446" s="672"/>
      <c r="S446" s="672"/>
      <c r="T446" s="673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740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60"/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1"/>
      <c r="P447" s="657" t="s">
        <v>40</v>
      </c>
      <c r="Q447" s="658"/>
      <c r="R447" s="658"/>
      <c r="S447" s="658"/>
      <c r="T447" s="658"/>
      <c r="U447" s="658"/>
      <c r="V447" s="659"/>
      <c r="W447" s="42" t="s">
        <v>39</v>
      </c>
      <c r="X447" s="43">
        <f>IFERROR(X444/H444,"0")+IFERROR(X445/H445,"0")+IFERROR(X446/H446,"0")</f>
        <v>34</v>
      </c>
      <c r="Y447" s="43">
        <f>IFERROR(Y444/H444,"0")+IFERROR(Y445/H445,"0")+IFERROR(Y446/H446,"0")</f>
        <v>34</v>
      </c>
      <c r="Z447" s="43">
        <f>IFERROR(IF(Z444="",0,Z444),"0")+IFERROR(IF(Z445="",0,Z445),"0")+IFERROR(IF(Z446="",0,Z446),"0")</f>
        <v>0.73949999999999994</v>
      </c>
      <c r="AA447" s="67"/>
      <c r="AB447" s="67"/>
      <c r="AC447" s="67"/>
    </row>
    <row r="448" spans="1:68" x14ac:dyDescent="0.2">
      <c r="A448" s="660"/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1"/>
      <c r="P448" s="657" t="s">
        <v>40</v>
      </c>
      <c r="Q448" s="658"/>
      <c r="R448" s="658"/>
      <c r="S448" s="658"/>
      <c r="T448" s="658"/>
      <c r="U448" s="658"/>
      <c r="V448" s="659"/>
      <c r="W448" s="42" t="s">
        <v>0</v>
      </c>
      <c r="X448" s="43">
        <f>IFERROR(SUM(X444:X446),"0")</f>
        <v>510</v>
      </c>
      <c r="Y448" s="43">
        <f>IFERROR(SUM(Y444:Y446),"0")</f>
        <v>510</v>
      </c>
      <c r="Z448" s="42"/>
      <c r="AA448" s="67"/>
      <c r="AB448" s="67"/>
      <c r="AC448" s="67"/>
    </row>
    <row r="449" spans="1:68" ht="14.25" hidden="1" customHeight="1" x14ac:dyDescent="0.25">
      <c r="A449" s="669" t="s">
        <v>85</v>
      </c>
      <c r="B449" s="669"/>
      <c r="C449" s="669"/>
      <c r="D449" s="669"/>
      <c r="E449" s="669"/>
      <c r="F449" s="669"/>
      <c r="G449" s="669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6"/>
      <c r="AB449" s="66"/>
      <c r="AC449" s="80"/>
    </row>
    <row r="450" spans="1:68" ht="27" hidden="1" customHeight="1" x14ac:dyDescent="0.25">
      <c r="A450" s="63" t="s">
        <v>741</v>
      </c>
      <c r="B450" s="63" t="s">
        <v>742</v>
      </c>
      <c r="C450" s="36">
        <v>4301051903</v>
      </c>
      <c r="D450" s="670">
        <v>4607091383928</v>
      </c>
      <c r="E450" s="670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72"/>
      <c r="R450" s="672"/>
      <c r="S450" s="672"/>
      <c r="T450" s="673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744</v>
      </c>
      <c r="B451" s="63" t="s">
        <v>745</v>
      </c>
      <c r="C451" s="36">
        <v>4301051897</v>
      </c>
      <c r="D451" s="670">
        <v>4607091384260</v>
      </c>
      <c r="E451" s="670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72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72"/>
      <c r="R451" s="672"/>
      <c r="S451" s="672"/>
      <c r="T451" s="673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746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747</v>
      </c>
      <c r="B452" s="63" t="s">
        <v>748</v>
      </c>
      <c r="C452" s="36">
        <v>4301052220</v>
      </c>
      <c r="D452" s="670">
        <v>4680115889538</v>
      </c>
      <c r="E452" s="670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72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72"/>
      <c r="R452" s="672"/>
      <c r="S452" s="672"/>
      <c r="T452" s="673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749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60"/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1"/>
      <c r="P453" s="657" t="s">
        <v>40</v>
      </c>
      <c r="Q453" s="658"/>
      <c r="R453" s="658"/>
      <c r="S453" s="658"/>
      <c r="T453" s="658"/>
      <c r="U453" s="658"/>
      <c r="V453" s="659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69" t="s">
        <v>177</v>
      </c>
      <c r="B455" s="669"/>
      <c r="C455" s="669"/>
      <c r="D455" s="669"/>
      <c r="E455" s="669"/>
      <c r="F455" s="669"/>
      <c r="G455" s="669"/>
      <c r="H455" s="669"/>
      <c r="I455" s="669"/>
      <c r="J455" s="669"/>
      <c r="K455" s="669"/>
      <c r="L455" s="669"/>
      <c r="M455" s="669"/>
      <c r="N455" s="669"/>
      <c r="O455" s="669"/>
      <c r="P455" s="669"/>
      <c r="Q455" s="669"/>
      <c r="R455" s="669"/>
      <c r="S455" s="669"/>
      <c r="T455" s="669"/>
      <c r="U455" s="669"/>
      <c r="V455" s="669"/>
      <c r="W455" s="669"/>
      <c r="X455" s="669"/>
      <c r="Y455" s="669"/>
      <c r="Z455" s="669"/>
      <c r="AA455" s="66"/>
      <c r="AB455" s="66"/>
      <c r="AC455" s="80"/>
    </row>
    <row r="456" spans="1:68" ht="27" hidden="1" customHeight="1" x14ac:dyDescent="0.25">
      <c r="A456" s="63" t="s">
        <v>750</v>
      </c>
      <c r="B456" s="63" t="s">
        <v>751</v>
      </c>
      <c r="C456" s="36">
        <v>4301060537</v>
      </c>
      <c r="D456" s="670">
        <v>4680115889545</v>
      </c>
      <c r="E456" s="670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72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72"/>
      <c r="R456" s="672"/>
      <c r="S456" s="672"/>
      <c r="T456" s="673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752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753</v>
      </c>
      <c r="B457" s="63" t="s">
        <v>754</v>
      </c>
      <c r="C457" s="36">
        <v>4301060524</v>
      </c>
      <c r="D457" s="670">
        <v>4607091384673</v>
      </c>
      <c r="E457" s="670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7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72"/>
      <c r="R457" s="672"/>
      <c r="S457" s="672"/>
      <c r="T457" s="673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755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0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1"/>
      <c r="P458" s="657" t="s">
        <v>40</v>
      </c>
      <c r="Q458" s="658"/>
      <c r="R458" s="658"/>
      <c r="S458" s="658"/>
      <c r="T458" s="658"/>
      <c r="U458" s="658"/>
      <c r="V458" s="659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0"/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1"/>
      <c r="P459" s="657" t="s">
        <v>40</v>
      </c>
      <c r="Q459" s="658"/>
      <c r="R459" s="658"/>
      <c r="S459" s="658"/>
      <c r="T459" s="658"/>
      <c r="U459" s="658"/>
      <c r="V459" s="659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76" t="s">
        <v>756</v>
      </c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6"/>
      <c r="P460" s="676"/>
      <c r="Q460" s="676"/>
      <c r="R460" s="676"/>
      <c r="S460" s="676"/>
      <c r="T460" s="676"/>
      <c r="U460" s="676"/>
      <c r="V460" s="676"/>
      <c r="W460" s="676"/>
      <c r="X460" s="676"/>
      <c r="Y460" s="676"/>
      <c r="Z460" s="676"/>
      <c r="AA460" s="65"/>
      <c r="AB460" s="65"/>
      <c r="AC460" s="79"/>
    </row>
    <row r="461" spans="1:68" ht="14.25" hidden="1" customHeight="1" x14ac:dyDescent="0.25">
      <c r="A461" s="669" t="s">
        <v>121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6"/>
      <c r="AB461" s="66"/>
      <c r="AC461" s="80"/>
    </row>
    <row r="462" spans="1:68" ht="27" hidden="1" customHeight="1" x14ac:dyDescent="0.25">
      <c r="A462" s="63" t="s">
        <v>757</v>
      </c>
      <c r="B462" s="63" t="s">
        <v>758</v>
      </c>
      <c r="C462" s="36">
        <v>4301011875</v>
      </c>
      <c r="D462" s="670">
        <v>4680115884885</v>
      </c>
      <c r="E462" s="670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7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72"/>
      <c r="R462" s="672"/>
      <c r="S462" s="672"/>
      <c r="T462" s="673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760</v>
      </c>
      <c r="B463" s="63" t="s">
        <v>761</v>
      </c>
      <c r="C463" s="36">
        <v>4301011871</v>
      </c>
      <c r="D463" s="670">
        <v>4680115884908</v>
      </c>
      <c r="E463" s="67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7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72"/>
      <c r="R463" s="672"/>
      <c r="S463" s="672"/>
      <c r="T463" s="673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759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9" t="s">
        <v>76</v>
      </c>
      <c r="B466" s="669"/>
      <c r="C466" s="669"/>
      <c r="D466" s="669"/>
      <c r="E466" s="669"/>
      <c r="F466" s="669"/>
      <c r="G466" s="669"/>
      <c r="H466" s="669"/>
      <c r="I466" s="669"/>
      <c r="J466" s="669"/>
      <c r="K466" s="669"/>
      <c r="L466" s="669"/>
      <c r="M466" s="669"/>
      <c r="N466" s="669"/>
      <c r="O466" s="669"/>
      <c r="P466" s="669"/>
      <c r="Q466" s="669"/>
      <c r="R466" s="669"/>
      <c r="S466" s="669"/>
      <c r="T466" s="669"/>
      <c r="U466" s="669"/>
      <c r="V466" s="669"/>
      <c r="W466" s="669"/>
      <c r="X466" s="669"/>
      <c r="Y466" s="669"/>
      <c r="Z466" s="669"/>
      <c r="AA466" s="66"/>
      <c r="AB466" s="66"/>
      <c r="AC466" s="80"/>
    </row>
    <row r="467" spans="1:68" ht="27" hidden="1" customHeight="1" x14ac:dyDescent="0.25">
      <c r="A467" s="63" t="s">
        <v>762</v>
      </c>
      <c r="B467" s="63" t="s">
        <v>763</v>
      </c>
      <c r="C467" s="36">
        <v>4301031457</v>
      </c>
      <c r="D467" s="670">
        <v>4607091384802</v>
      </c>
      <c r="E467" s="670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72"/>
      <c r="R467" s="672"/>
      <c r="S467" s="672"/>
      <c r="T467" s="673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764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0"/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1"/>
      <c r="P468" s="657" t="s">
        <v>40</v>
      </c>
      <c r="Q468" s="658"/>
      <c r="R468" s="658"/>
      <c r="S468" s="658"/>
      <c r="T468" s="658"/>
      <c r="U468" s="658"/>
      <c r="V468" s="659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0"/>
      <c r="B469" s="660"/>
      <c r="C469" s="660"/>
      <c r="D469" s="660"/>
      <c r="E469" s="660"/>
      <c r="F469" s="660"/>
      <c r="G469" s="660"/>
      <c r="H469" s="660"/>
      <c r="I469" s="660"/>
      <c r="J469" s="660"/>
      <c r="K469" s="660"/>
      <c r="L469" s="660"/>
      <c r="M469" s="660"/>
      <c r="N469" s="660"/>
      <c r="O469" s="661"/>
      <c r="P469" s="657" t="s">
        <v>40</v>
      </c>
      <c r="Q469" s="658"/>
      <c r="R469" s="658"/>
      <c r="S469" s="658"/>
      <c r="T469" s="658"/>
      <c r="U469" s="658"/>
      <c r="V469" s="659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9" t="s">
        <v>85</v>
      </c>
      <c r="B470" s="669"/>
      <c r="C470" s="669"/>
      <c r="D470" s="669"/>
      <c r="E470" s="669"/>
      <c r="F470" s="669"/>
      <c r="G470" s="669"/>
      <c r="H470" s="669"/>
      <c r="I470" s="669"/>
      <c r="J470" s="669"/>
      <c r="K470" s="669"/>
      <c r="L470" s="669"/>
      <c r="M470" s="669"/>
      <c r="N470" s="669"/>
      <c r="O470" s="669"/>
      <c r="P470" s="669"/>
      <c r="Q470" s="669"/>
      <c r="R470" s="669"/>
      <c r="S470" s="669"/>
      <c r="T470" s="669"/>
      <c r="U470" s="669"/>
      <c r="V470" s="669"/>
      <c r="W470" s="669"/>
      <c r="X470" s="669"/>
      <c r="Y470" s="669"/>
      <c r="Z470" s="669"/>
      <c r="AA470" s="66"/>
      <c r="AB470" s="66"/>
      <c r="AC470" s="80"/>
    </row>
    <row r="471" spans="1:68" ht="27" hidden="1" customHeight="1" x14ac:dyDescent="0.25">
      <c r="A471" s="63" t="s">
        <v>765</v>
      </c>
      <c r="B471" s="63" t="s">
        <v>766</v>
      </c>
      <c r="C471" s="36">
        <v>4301051899</v>
      </c>
      <c r="D471" s="670">
        <v>4607091384246</v>
      </c>
      <c r="E471" s="670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72"/>
      <c r="R471" s="672"/>
      <c r="S471" s="672"/>
      <c r="T471" s="673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769</v>
      </c>
      <c r="C472" s="36">
        <v>4301051660</v>
      </c>
      <c r="D472" s="670">
        <v>4607091384253</v>
      </c>
      <c r="E472" s="670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0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72"/>
      <c r="R472" s="672"/>
      <c r="S472" s="672"/>
      <c r="T472" s="673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767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768</v>
      </c>
      <c r="B473" s="63" t="s">
        <v>770</v>
      </c>
      <c r="C473" s="36">
        <v>4301052069</v>
      </c>
      <c r="D473" s="670">
        <v>4607091384253</v>
      </c>
      <c r="E473" s="670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71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72"/>
      <c r="R473" s="672"/>
      <c r="S473" s="672"/>
      <c r="T473" s="673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771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0"/>
      <c r="B474" s="660"/>
      <c r="C474" s="660"/>
      <c r="D474" s="660"/>
      <c r="E474" s="660"/>
      <c r="F474" s="660"/>
      <c r="G474" s="660"/>
      <c r="H474" s="660"/>
      <c r="I474" s="660"/>
      <c r="J474" s="660"/>
      <c r="K474" s="660"/>
      <c r="L474" s="660"/>
      <c r="M474" s="660"/>
      <c r="N474" s="660"/>
      <c r="O474" s="661"/>
      <c r="P474" s="657" t="s">
        <v>40</v>
      </c>
      <c r="Q474" s="658"/>
      <c r="R474" s="658"/>
      <c r="S474" s="658"/>
      <c r="T474" s="658"/>
      <c r="U474" s="658"/>
      <c r="V474" s="659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0"/>
      <c r="B475" s="660"/>
      <c r="C475" s="660"/>
      <c r="D475" s="660"/>
      <c r="E475" s="660"/>
      <c r="F475" s="660"/>
      <c r="G475" s="660"/>
      <c r="H475" s="660"/>
      <c r="I475" s="660"/>
      <c r="J475" s="660"/>
      <c r="K475" s="660"/>
      <c r="L475" s="660"/>
      <c r="M475" s="660"/>
      <c r="N475" s="660"/>
      <c r="O475" s="661"/>
      <c r="P475" s="657" t="s">
        <v>40</v>
      </c>
      <c r="Q475" s="658"/>
      <c r="R475" s="658"/>
      <c r="S475" s="658"/>
      <c r="T475" s="658"/>
      <c r="U475" s="658"/>
      <c r="V475" s="659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7" t="s">
        <v>772</v>
      </c>
      <c r="B476" s="687"/>
      <c r="C476" s="687"/>
      <c r="D476" s="687"/>
      <c r="E476" s="687"/>
      <c r="F476" s="687"/>
      <c r="G476" s="687"/>
      <c r="H476" s="687"/>
      <c r="I476" s="687"/>
      <c r="J476" s="687"/>
      <c r="K476" s="687"/>
      <c r="L476" s="687"/>
      <c r="M476" s="687"/>
      <c r="N476" s="687"/>
      <c r="O476" s="687"/>
      <c r="P476" s="687"/>
      <c r="Q476" s="687"/>
      <c r="R476" s="687"/>
      <c r="S476" s="687"/>
      <c r="T476" s="687"/>
      <c r="U476" s="687"/>
      <c r="V476" s="687"/>
      <c r="W476" s="687"/>
      <c r="X476" s="687"/>
      <c r="Y476" s="687"/>
      <c r="Z476" s="687"/>
      <c r="AA476" s="54"/>
      <c r="AB476" s="54"/>
      <c r="AC476" s="54"/>
    </row>
    <row r="477" spans="1:68" ht="16.5" hidden="1" customHeight="1" x14ac:dyDescent="0.25">
      <c r="A477" s="676" t="s">
        <v>773</v>
      </c>
      <c r="B477" s="676"/>
      <c r="C477" s="676"/>
      <c r="D477" s="676"/>
      <c r="E477" s="676"/>
      <c r="F477" s="676"/>
      <c r="G477" s="676"/>
      <c r="H477" s="676"/>
      <c r="I477" s="676"/>
      <c r="J477" s="676"/>
      <c r="K477" s="676"/>
      <c r="L477" s="676"/>
      <c r="M477" s="676"/>
      <c r="N477" s="676"/>
      <c r="O477" s="676"/>
      <c r="P477" s="676"/>
      <c r="Q477" s="676"/>
      <c r="R477" s="676"/>
      <c r="S477" s="676"/>
      <c r="T477" s="676"/>
      <c r="U477" s="676"/>
      <c r="V477" s="676"/>
      <c r="W477" s="676"/>
      <c r="X477" s="676"/>
      <c r="Y477" s="676"/>
      <c r="Z477" s="676"/>
      <c r="AA477" s="65"/>
      <c r="AB477" s="65"/>
      <c r="AC477" s="79"/>
    </row>
    <row r="478" spans="1:68" ht="14.25" hidden="1" customHeight="1" x14ac:dyDescent="0.25">
      <c r="A478" s="669" t="s">
        <v>76</v>
      </c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69"/>
      <c r="P478" s="669"/>
      <c r="Q478" s="669"/>
      <c r="R478" s="669"/>
      <c r="S478" s="669"/>
      <c r="T478" s="669"/>
      <c r="U478" s="669"/>
      <c r="V478" s="669"/>
      <c r="W478" s="669"/>
      <c r="X478" s="669"/>
      <c r="Y478" s="669"/>
      <c r="Z478" s="669"/>
      <c r="AA478" s="66"/>
      <c r="AB478" s="66"/>
      <c r="AC478" s="80"/>
    </row>
    <row r="479" spans="1:68" ht="27" hidden="1" customHeight="1" x14ac:dyDescent="0.25">
      <c r="A479" s="63" t="s">
        <v>774</v>
      </c>
      <c r="B479" s="63" t="s">
        <v>775</v>
      </c>
      <c r="C479" s="36">
        <v>4301031405</v>
      </c>
      <c r="D479" s="670">
        <v>4680115886100</v>
      </c>
      <c r="E479" s="670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72"/>
      <c r="R479" s="672"/>
      <c r="S479" s="672"/>
      <c r="T479" s="673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776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4301031402</v>
      </c>
      <c r="D480" s="670">
        <v>4680115886124</v>
      </c>
      <c r="E480" s="670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72"/>
      <c r="R480" s="672"/>
      <c r="S480" s="672"/>
      <c r="T480" s="673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779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780</v>
      </c>
      <c r="B481" s="63" t="s">
        <v>781</v>
      </c>
      <c r="C481" s="36">
        <v>4301031362</v>
      </c>
      <c r="D481" s="670">
        <v>4607091384338</v>
      </c>
      <c r="E481" s="670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72"/>
      <c r="R481" s="672"/>
      <c r="S481" s="672"/>
      <c r="T481" s="673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776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782</v>
      </c>
      <c r="B482" s="63" t="s">
        <v>783</v>
      </c>
      <c r="C482" s="36">
        <v>4301031364</v>
      </c>
      <c r="D482" s="670">
        <v>4680115883161</v>
      </c>
      <c r="E482" s="670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72"/>
      <c r="R482" s="672"/>
      <c r="S482" s="672"/>
      <c r="T482" s="673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784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785</v>
      </c>
      <c r="B483" s="63" t="s">
        <v>786</v>
      </c>
      <c r="C483" s="36">
        <v>4301031358</v>
      </c>
      <c r="D483" s="670">
        <v>4607091389531</v>
      </c>
      <c r="E483" s="670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0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72"/>
      <c r="R483" s="672"/>
      <c r="S483" s="672"/>
      <c r="T483" s="673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787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788</v>
      </c>
      <c r="B484" s="63" t="s">
        <v>789</v>
      </c>
      <c r="C484" s="36">
        <v>4301031360</v>
      </c>
      <c r="D484" s="670">
        <v>4607091384345</v>
      </c>
      <c r="E484" s="670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7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72"/>
      <c r="R484" s="672"/>
      <c r="S484" s="672"/>
      <c r="T484" s="673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784</v>
      </c>
      <c r="AG484" s="78"/>
      <c r="AJ484" s="84" t="s">
        <v>46</v>
      </c>
      <c r="AK484" s="84">
        <v>0</v>
      </c>
      <c r="BB484" s="591" t="s">
        <v>67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660"/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1"/>
      <c r="P485" s="657" t="s">
        <v>40</v>
      </c>
      <c r="Q485" s="658"/>
      <c r="R485" s="658"/>
      <c r="S485" s="658"/>
      <c r="T485" s="658"/>
      <c r="U485" s="658"/>
      <c r="V485" s="659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9" t="s">
        <v>85</v>
      </c>
      <c r="B487" s="669"/>
      <c r="C487" s="669"/>
      <c r="D487" s="669"/>
      <c r="E487" s="669"/>
      <c r="F487" s="669"/>
      <c r="G487" s="669"/>
      <c r="H487" s="669"/>
      <c r="I487" s="669"/>
      <c r="J487" s="669"/>
      <c r="K487" s="669"/>
      <c r="L487" s="669"/>
      <c r="M487" s="669"/>
      <c r="N487" s="669"/>
      <c r="O487" s="669"/>
      <c r="P487" s="669"/>
      <c r="Q487" s="669"/>
      <c r="R487" s="669"/>
      <c r="S487" s="669"/>
      <c r="T487" s="669"/>
      <c r="U487" s="669"/>
      <c r="V487" s="669"/>
      <c r="W487" s="669"/>
      <c r="X487" s="669"/>
      <c r="Y487" s="669"/>
      <c r="Z487" s="669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4301051284</v>
      </c>
      <c r="D488" s="670">
        <v>4607091384352</v>
      </c>
      <c r="E488" s="670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72"/>
      <c r="R488" s="672"/>
      <c r="S488" s="672"/>
      <c r="T488" s="673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792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4301051431</v>
      </c>
      <c r="D489" s="670">
        <v>4607091389654</v>
      </c>
      <c r="E489" s="670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72"/>
      <c r="R489" s="672"/>
      <c r="S489" s="672"/>
      <c r="T489" s="673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795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0"/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1"/>
      <c r="P490" s="657" t="s">
        <v>40</v>
      </c>
      <c r="Q490" s="658"/>
      <c r="R490" s="658"/>
      <c r="S490" s="658"/>
      <c r="T490" s="658"/>
      <c r="U490" s="658"/>
      <c r="V490" s="659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76" t="s">
        <v>796</v>
      </c>
      <c r="B492" s="676"/>
      <c r="C492" s="676"/>
      <c r="D492" s="676"/>
      <c r="E492" s="676"/>
      <c r="F492" s="676"/>
      <c r="G492" s="676"/>
      <c r="H492" s="676"/>
      <c r="I492" s="676"/>
      <c r="J492" s="676"/>
      <c r="K492" s="676"/>
      <c r="L492" s="676"/>
      <c r="M492" s="676"/>
      <c r="N492" s="676"/>
      <c r="O492" s="676"/>
      <c r="P492" s="676"/>
      <c r="Q492" s="676"/>
      <c r="R492" s="676"/>
      <c r="S492" s="676"/>
      <c r="T492" s="676"/>
      <c r="U492" s="676"/>
      <c r="V492" s="676"/>
      <c r="W492" s="676"/>
      <c r="X492" s="676"/>
      <c r="Y492" s="676"/>
      <c r="Z492" s="676"/>
      <c r="AA492" s="65"/>
      <c r="AB492" s="65"/>
      <c r="AC492" s="79"/>
    </row>
    <row r="493" spans="1:68" ht="14.25" hidden="1" customHeight="1" x14ac:dyDescent="0.25">
      <c r="A493" s="669" t="s">
        <v>158</v>
      </c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69"/>
      <c r="P493" s="669"/>
      <c r="Q493" s="669"/>
      <c r="R493" s="669"/>
      <c r="S493" s="669"/>
      <c r="T493" s="669"/>
      <c r="U493" s="669"/>
      <c r="V493" s="669"/>
      <c r="W493" s="669"/>
      <c r="X493" s="669"/>
      <c r="Y493" s="669"/>
      <c r="Z493" s="669"/>
      <c r="AA493" s="66"/>
      <c r="AB493" s="66"/>
      <c r="AC493" s="80"/>
    </row>
    <row r="494" spans="1:68" ht="27" hidden="1" customHeight="1" x14ac:dyDescent="0.25">
      <c r="A494" s="63" t="s">
        <v>797</v>
      </c>
      <c r="B494" s="63" t="s">
        <v>798</v>
      </c>
      <c r="C494" s="36">
        <v>4301020416</v>
      </c>
      <c r="D494" s="670">
        <v>4680115885240</v>
      </c>
      <c r="E494" s="670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70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72"/>
      <c r="R494" s="672"/>
      <c r="S494" s="672"/>
      <c r="T494" s="673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799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0"/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1"/>
      <c r="P495" s="657" t="s">
        <v>40</v>
      </c>
      <c r="Q495" s="658"/>
      <c r="R495" s="658"/>
      <c r="S495" s="658"/>
      <c r="T495" s="658"/>
      <c r="U495" s="658"/>
      <c r="V495" s="659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0"/>
      <c r="B496" s="660"/>
      <c r="C496" s="660"/>
      <c r="D496" s="660"/>
      <c r="E496" s="660"/>
      <c r="F496" s="660"/>
      <c r="G496" s="660"/>
      <c r="H496" s="660"/>
      <c r="I496" s="660"/>
      <c r="J496" s="660"/>
      <c r="K496" s="660"/>
      <c r="L496" s="660"/>
      <c r="M496" s="660"/>
      <c r="N496" s="660"/>
      <c r="O496" s="661"/>
      <c r="P496" s="657" t="s">
        <v>40</v>
      </c>
      <c r="Q496" s="658"/>
      <c r="R496" s="658"/>
      <c r="S496" s="658"/>
      <c r="T496" s="658"/>
      <c r="U496" s="658"/>
      <c r="V496" s="659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9" t="s">
        <v>76</v>
      </c>
      <c r="B497" s="669"/>
      <c r="C497" s="669"/>
      <c r="D497" s="669"/>
      <c r="E497" s="669"/>
      <c r="F497" s="669"/>
      <c r="G497" s="669"/>
      <c r="H497" s="669"/>
      <c r="I497" s="669"/>
      <c r="J497" s="669"/>
      <c r="K497" s="669"/>
      <c r="L497" s="669"/>
      <c r="M497" s="669"/>
      <c r="N497" s="669"/>
      <c r="O497" s="669"/>
      <c r="P497" s="669"/>
      <c r="Q497" s="669"/>
      <c r="R497" s="669"/>
      <c r="S497" s="669"/>
      <c r="T497" s="669"/>
      <c r="U497" s="669"/>
      <c r="V497" s="669"/>
      <c r="W497" s="669"/>
      <c r="X497" s="669"/>
      <c r="Y497" s="669"/>
      <c r="Z497" s="669"/>
      <c r="AA497" s="66"/>
      <c r="AB497" s="66"/>
      <c r="AC497" s="80"/>
    </row>
    <row r="498" spans="1:68" ht="27" hidden="1" customHeight="1" x14ac:dyDescent="0.25">
      <c r="A498" s="63" t="s">
        <v>800</v>
      </c>
      <c r="B498" s="63" t="s">
        <v>801</v>
      </c>
      <c r="C498" s="36">
        <v>4301031407</v>
      </c>
      <c r="D498" s="670">
        <v>4680115886094</v>
      </c>
      <c r="E498" s="670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7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72"/>
      <c r="R498" s="672"/>
      <c r="S498" s="672"/>
      <c r="T498" s="673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803</v>
      </c>
      <c r="B499" s="63" t="s">
        <v>804</v>
      </c>
      <c r="C499" s="36">
        <v>4301031373</v>
      </c>
      <c r="D499" s="670">
        <v>4680115880771</v>
      </c>
      <c r="E499" s="670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72"/>
      <c r="R499" s="672"/>
      <c r="S499" s="672"/>
      <c r="T499" s="673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806</v>
      </c>
      <c r="B500" s="63" t="s">
        <v>807</v>
      </c>
      <c r="C500" s="36">
        <v>4301031359</v>
      </c>
      <c r="D500" s="670">
        <v>4607091389500</v>
      </c>
      <c r="E500" s="670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72"/>
      <c r="R500" s="672"/>
      <c r="S500" s="672"/>
      <c r="T500" s="673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805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0"/>
      <c r="B501" s="660"/>
      <c r="C501" s="660"/>
      <c r="D501" s="660"/>
      <c r="E501" s="660"/>
      <c r="F501" s="660"/>
      <c r="G501" s="660"/>
      <c r="H501" s="660"/>
      <c r="I501" s="660"/>
      <c r="J501" s="660"/>
      <c r="K501" s="660"/>
      <c r="L501" s="660"/>
      <c r="M501" s="660"/>
      <c r="N501" s="660"/>
      <c r="O501" s="661"/>
      <c r="P501" s="657" t="s">
        <v>40</v>
      </c>
      <c r="Q501" s="658"/>
      <c r="R501" s="658"/>
      <c r="S501" s="658"/>
      <c r="T501" s="658"/>
      <c r="U501" s="658"/>
      <c r="V501" s="659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0"/>
      <c r="B502" s="660"/>
      <c r="C502" s="660"/>
      <c r="D502" s="660"/>
      <c r="E502" s="660"/>
      <c r="F502" s="660"/>
      <c r="G502" s="660"/>
      <c r="H502" s="660"/>
      <c r="I502" s="660"/>
      <c r="J502" s="660"/>
      <c r="K502" s="660"/>
      <c r="L502" s="660"/>
      <c r="M502" s="660"/>
      <c r="N502" s="660"/>
      <c r="O502" s="661"/>
      <c r="P502" s="657" t="s">
        <v>40</v>
      </c>
      <c r="Q502" s="658"/>
      <c r="R502" s="658"/>
      <c r="S502" s="658"/>
      <c r="T502" s="658"/>
      <c r="U502" s="658"/>
      <c r="V502" s="659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7" t="s">
        <v>808</v>
      </c>
      <c r="B503" s="687"/>
      <c r="C503" s="687"/>
      <c r="D503" s="687"/>
      <c r="E503" s="687"/>
      <c r="F503" s="687"/>
      <c r="G503" s="687"/>
      <c r="H503" s="687"/>
      <c r="I503" s="687"/>
      <c r="J503" s="687"/>
      <c r="K503" s="687"/>
      <c r="L503" s="687"/>
      <c r="M503" s="687"/>
      <c r="N503" s="687"/>
      <c r="O503" s="687"/>
      <c r="P503" s="687"/>
      <c r="Q503" s="687"/>
      <c r="R503" s="687"/>
      <c r="S503" s="687"/>
      <c r="T503" s="687"/>
      <c r="U503" s="687"/>
      <c r="V503" s="687"/>
      <c r="W503" s="687"/>
      <c r="X503" s="687"/>
      <c r="Y503" s="687"/>
      <c r="Z503" s="687"/>
      <c r="AA503" s="54"/>
      <c r="AB503" s="54"/>
      <c r="AC503" s="54"/>
    </row>
    <row r="504" spans="1:68" ht="16.5" hidden="1" customHeight="1" x14ac:dyDescent="0.25">
      <c r="A504" s="676" t="s">
        <v>808</v>
      </c>
      <c r="B504" s="676"/>
      <c r="C504" s="676"/>
      <c r="D504" s="676"/>
      <c r="E504" s="676"/>
      <c r="F504" s="676"/>
      <c r="G504" s="676"/>
      <c r="H504" s="676"/>
      <c r="I504" s="676"/>
      <c r="J504" s="676"/>
      <c r="K504" s="676"/>
      <c r="L504" s="676"/>
      <c r="M504" s="676"/>
      <c r="N504" s="676"/>
      <c r="O504" s="676"/>
      <c r="P504" s="676"/>
      <c r="Q504" s="676"/>
      <c r="R504" s="676"/>
      <c r="S504" s="676"/>
      <c r="T504" s="676"/>
      <c r="U504" s="676"/>
      <c r="V504" s="676"/>
      <c r="W504" s="676"/>
      <c r="X504" s="676"/>
      <c r="Y504" s="676"/>
      <c r="Z504" s="676"/>
      <c r="AA504" s="65"/>
      <c r="AB504" s="65"/>
      <c r="AC504" s="79"/>
    </row>
    <row r="505" spans="1:68" ht="14.25" hidden="1" customHeight="1" x14ac:dyDescent="0.25">
      <c r="A505" s="669" t="s">
        <v>121</v>
      </c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69"/>
      <c r="P505" s="669"/>
      <c r="Q505" s="669"/>
      <c r="R505" s="669"/>
      <c r="S505" s="669"/>
      <c r="T505" s="669"/>
      <c r="U505" s="669"/>
      <c r="V505" s="669"/>
      <c r="W505" s="669"/>
      <c r="X505" s="669"/>
      <c r="Y505" s="669"/>
      <c r="Z505" s="669"/>
      <c r="AA505" s="66"/>
      <c r="AB505" s="66"/>
      <c r="AC505" s="80"/>
    </row>
    <row r="506" spans="1:68" ht="27" hidden="1" customHeight="1" x14ac:dyDescent="0.25">
      <c r="A506" s="63" t="s">
        <v>809</v>
      </c>
      <c r="B506" s="63" t="s">
        <v>810</v>
      </c>
      <c r="C506" s="36">
        <v>4301011769</v>
      </c>
      <c r="D506" s="670">
        <v>4607091389067</v>
      </c>
      <c r="E506" s="670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6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72"/>
      <c r="R506" s="672"/>
      <c r="S506" s="672"/>
      <c r="T506" s="673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811</v>
      </c>
      <c r="B507" s="63" t="s">
        <v>812</v>
      </c>
      <c r="C507" s="36">
        <v>4301012380</v>
      </c>
      <c r="D507" s="670">
        <v>4680115889576</v>
      </c>
      <c r="E507" s="670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72"/>
      <c r="R507" s="672"/>
      <c r="S507" s="672"/>
      <c r="T507" s="673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814</v>
      </c>
      <c r="B508" s="63" t="s">
        <v>815</v>
      </c>
      <c r="C508" s="36">
        <v>4301011961</v>
      </c>
      <c r="D508" s="670">
        <v>4680115885271</v>
      </c>
      <c r="E508" s="670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69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72"/>
      <c r="R508" s="672"/>
      <c r="S508" s="672"/>
      <c r="T508" s="673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817</v>
      </c>
      <c r="B509" s="63" t="s">
        <v>818</v>
      </c>
      <c r="C509" s="36">
        <v>4301011369</v>
      </c>
      <c r="D509" s="670">
        <v>4680115885226</v>
      </c>
      <c r="E509" s="670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6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72"/>
      <c r="R509" s="672"/>
      <c r="S509" s="672"/>
      <c r="T509" s="673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820</v>
      </c>
      <c r="B510" s="63" t="s">
        <v>821</v>
      </c>
      <c r="C510" s="36">
        <v>4301011797</v>
      </c>
      <c r="D510" s="670">
        <v>4680115884502</v>
      </c>
      <c r="E510" s="670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72"/>
      <c r="R510" s="672"/>
      <c r="S510" s="672"/>
      <c r="T510" s="673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823</v>
      </c>
      <c r="B511" s="63" t="s">
        <v>824</v>
      </c>
      <c r="C511" s="36">
        <v>4301011771</v>
      </c>
      <c r="D511" s="670">
        <v>4607091389104</v>
      </c>
      <c r="E511" s="670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6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72"/>
      <c r="R511" s="672"/>
      <c r="S511" s="672"/>
      <c r="T511" s="673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826</v>
      </c>
      <c r="B512" s="63" t="s">
        <v>827</v>
      </c>
      <c r="C512" s="36">
        <v>4301012125</v>
      </c>
      <c r="D512" s="670">
        <v>4680115886391</v>
      </c>
      <c r="E512" s="670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6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72"/>
      <c r="R512" s="672"/>
      <c r="S512" s="672"/>
      <c r="T512" s="673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828</v>
      </c>
      <c r="B513" s="63" t="s">
        <v>829</v>
      </c>
      <c r="C513" s="36">
        <v>4301012048</v>
      </c>
      <c r="D513" s="670">
        <v>4680115880603</v>
      </c>
      <c r="E513" s="670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72"/>
      <c r="R513" s="672"/>
      <c r="S513" s="672"/>
      <c r="T513" s="673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830</v>
      </c>
      <c r="B514" s="63" t="s">
        <v>831</v>
      </c>
      <c r="C514" s="36">
        <v>4301012034</v>
      </c>
      <c r="D514" s="670">
        <v>4607091389982</v>
      </c>
      <c r="E514" s="670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6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72"/>
      <c r="R514" s="672"/>
      <c r="S514" s="672"/>
      <c r="T514" s="673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825</v>
      </c>
      <c r="AG514" s="78"/>
      <c r="AJ514" s="84" t="s">
        <v>46</v>
      </c>
      <c r="AK514" s="84">
        <v>0</v>
      </c>
      <c r="BB514" s="621" t="s">
        <v>67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660"/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1"/>
      <c r="P515" s="657" t="s">
        <v>40</v>
      </c>
      <c r="Q515" s="658"/>
      <c r="R515" s="658"/>
      <c r="S515" s="658"/>
      <c r="T515" s="658"/>
      <c r="U515" s="658"/>
      <c r="V515" s="659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60"/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1"/>
      <c r="P516" s="657" t="s">
        <v>40</v>
      </c>
      <c r="Q516" s="658"/>
      <c r="R516" s="658"/>
      <c r="S516" s="658"/>
      <c r="T516" s="658"/>
      <c r="U516" s="658"/>
      <c r="V516" s="659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9" t="s">
        <v>158</v>
      </c>
      <c r="B517" s="669"/>
      <c r="C517" s="669"/>
      <c r="D517" s="669"/>
      <c r="E517" s="669"/>
      <c r="F517" s="669"/>
      <c r="G517" s="669"/>
      <c r="H517" s="669"/>
      <c r="I517" s="669"/>
      <c r="J517" s="669"/>
      <c r="K517" s="669"/>
      <c r="L517" s="669"/>
      <c r="M517" s="669"/>
      <c r="N517" s="669"/>
      <c r="O517" s="669"/>
      <c r="P517" s="669"/>
      <c r="Q517" s="669"/>
      <c r="R517" s="669"/>
      <c r="S517" s="669"/>
      <c r="T517" s="669"/>
      <c r="U517" s="669"/>
      <c r="V517" s="669"/>
      <c r="W517" s="669"/>
      <c r="X517" s="669"/>
      <c r="Y517" s="669"/>
      <c r="Z517" s="669"/>
      <c r="AA517" s="66"/>
      <c r="AB517" s="66"/>
      <c r="AC517" s="80"/>
    </row>
    <row r="518" spans="1:68" ht="16.5" hidden="1" customHeight="1" x14ac:dyDescent="0.25">
      <c r="A518" s="63" t="s">
        <v>832</v>
      </c>
      <c r="B518" s="63" t="s">
        <v>833</v>
      </c>
      <c r="C518" s="36">
        <v>4301020334</v>
      </c>
      <c r="D518" s="670">
        <v>4607091388930</v>
      </c>
      <c r="E518" s="670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68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72"/>
      <c r="R518" s="672"/>
      <c r="S518" s="672"/>
      <c r="T518" s="673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835</v>
      </c>
      <c r="B519" s="63" t="s">
        <v>836</v>
      </c>
      <c r="C519" s="36">
        <v>4301020374</v>
      </c>
      <c r="D519" s="670">
        <v>4680115886407</v>
      </c>
      <c r="E519" s="670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6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72"/>
      <c r="R519" s="672"/>
      <c r="S519" s="672"/>
      <c r="T519" s="673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837</v>
      </c>
      <c r="B520" s="63" t="s">
        <v>838</v>
      </c>
      <c r="C520" s="36">
        <v>4301020385</v>
      </c>
      <c r="D520" s="670">
        <v>4680115880054</v>
      </c>
      <c r="E520" s="670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9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72"/>
      <c r="R520" s="672"/>
      <c r="S520" s="672"/>
      <c r="T520" s="673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834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60"/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1"/>
      <c r="P521" s="657" t="s">
        <v>40</v>
      </c>
      <c r="Q521" s="658"/>
      <c r="R521" s="658"/>
      <c r="S521" s="658"/>
      <c r="T521" s="658"/>
      <c r="U521" s="658"/>
      <c r="V521" s="659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60"/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1"/>
      <c r="P522" s="657" t="s">
        <v>40</v>
      </c>
      <c r="Q522" s="658"/>
      <c r="R522" s="658"/>
      <c r="S522" s="658"/>
      <c r="T522" s="658"/>
      <c r="U522" s="658"/>
      <c r="V522" s="659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69" t="s">
        <v>76</v>
      </c>
      <c r="B523" s="669"/>
      <c r="C523" s="669"/>
      <c r="D523" s="669"/>
      <c r="E523" s="669"/>
      <c r="F523" s="669"/>
      <c r="G523" s="669"/>
      <c r="H523" s="669"/>
      <c r="I523" s="669"/>
      <c r="J523" s="669"/>
      <c r="K523" s="669"/>
      <c r="L523" s="669"/>
      <c r="M523" s="669"/>
      <c r="N523" s="669"/>
      <c r="O523" s="669"/>
      <c r="P523" s="669"/>
      <c r="Q523" s="669"/>
      <c r="R523" s="669"/>
      <c r="S523" s="669"/>
      <c r="T523" s="669"/>
      <c r="U523" s="669"/>
      <c r="V523" s="669"/>
      <c r="W523" s="669"/>
      <c r="X523" s="669"/>
      <c r="Y523" s="669"/>
      <c r="Z523" s="669"/>
      <c r="AA523" s="66"/>
      <c r="AB523" s="66"/>
      <c r="AC523" s="80"/>
    </row>
    <row r="524" spans="1:68" ht="27" hidden="1" customHeight="1" x14ac:dyDescent="0.25">
      <c r="A524" s="63" t="s">
        <v>839</v>
      </c>
      <c r="B524" s="63" t="s">
        <v>840</v>
      </c>
      <c r="C524" s="36">
        <v>4301031349</v>
      </c>
      <c r="D524" s="670">
        <v>4680115883116</v>
      </c>
      <c r="E524" s="670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72"/>
      <c r="R524" s="672"/>
      <c r="S524" s="672"/>
      <c r="T524" s="673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4301031350</v>
      </c>
      <c r="D525" s="670">
        <v>4680115883093</v>
      </c>
      <c r="E525" s="670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72"/>
      <c r="R525" s="672"/>
      <c r="S525" s="672"/>
      <c r="T525" s="673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844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845</v>
      </c>
      <c r="B526" s="63" t="s">
        <v>846</v>
      </c>
      <c r="C526" s="36">
        <v>4301031353</v>
      </c>
      <c r="D526" s="670">
        <v>4680115883109</v>
      </c>
      <c r="E526" s="670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68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72"/>
      <c r="R526" s="672"/>
      <c r="S526" s="672"/>
      <c r="T526" s="673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847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848</v>
      </c>
      <c r="B527" s="63" t="s">
        <v>849</v>
      </c>
      <c r="C527" s="36">
        <v>4301031419</v>
      </c>
      <c r="D527" s="670">
        <v>4680115882072</v>
      </c>
      <c r="E527" s="670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68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72"/>
      <c r="R527" s="672"/>
      <c r="S527" s="672"/>
      <c r="T527" s="673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4301031352</v>
      </c>
      <c r="D528" s="670">
        <v>4680115882102</v>
      </c>
      <c r="E528" s="670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72"/>
      <c r="R528" s="672"/>
      <c r="S528" s="672"/>
      <c r="T528" s="673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850</v>
      </c>
      <c r="B529" s="63" t="s">
        <v>852</v>
      </c>
      <c r="C529" s="36">
        <v>4301031418</v>
      </c>
      <c r="D529" s="670">
        <v>4680115882102</v>
      </c>
      <c r="E529" s="670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8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72"/>
      <c r="R529" s="672"/>
      <c r="S529" s="672"/>
      <c r="T529" s="673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844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853</v>
      </c>
      <c r="B530" s="63" t="s">
        <v>854</v>
      </c>
      <c r="C530" s="36">
        <v>4301031417</v>
      </c>
      <c r="D530" s="670">
        <v>4680115882096</v>
      </c>
      <c r="E530" s="670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68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72"/>
      <c r="R530" s="672"/>
      <c r="S530" s="672"/>
      <c r="T530" s="673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847</v>
      </c>
      <c r="AG530" s="78"/>
      <c r="AJ530" s="84" t="s">
        <v>46</v>
      </c>
      <c r="AK530" s="84">
        <v>0</v>
      </c>
      <c r="BB530" s="641" t="s">
        <v>67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660"/>
      <c r="B531" s="660"/>
      <c r="C531" s="660"/>
      <c r="D531" s="660"/>
      <c r="E531" s="660"/>
      <c r="F531" s="660"/>
      <c r="G531" s="660"/>
      <c r="H531" s="660"/>
      <c r="I531" s="660"/>
      <c r="J531" s="660"/>
      <c r="K531" s="660"/>
      <c r="L531" s="660"/>
      <c r="M531" s="660"/>
      <c r="N531" s="660"/>
      <c r="O531" s="661"/>
      <c r="P531" s="657" t="s">
        <v>40</v>
      </c>
      <c r="Q531" s="658"/>
      <c r="R531" s="658"/>
      <c r="S531" s="658"/>
      <c r="T531" s="658"/>
      <c r="U531" s="658"/>
      <c r="V531" s="659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660"/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1"/>
      <c r="P532" s="657" t="s">
        <v>40</v>
      </c>
      <c r="Q532" s="658"/>
      <c r="R532" s="658"/>
      <c r="S532" s="658"/>
      <c r="T532" s="658"/>
      <c r="U532" s="658"/>
      <c r="V532" s="659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687" t="s">
        <v>855</v>
      </c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687"/>
      <c r="P533" s="687"/>
      <c r="Q533" s="687"/>
      <c r="R533" s="687"/>
      <c r="S533" s="687"/>
      <c r="T533" s="687"/>
      <c r="U533" s="687"/>
      <c r="V533" s="687"/>
      <c r="W533" s="687"/>
      <c r="X533" s="687"/>
      <c r="Y533" s="687"/>
      <c r="Z533" s="687"/>
      <c r="AA533" s="54"/>
      <c r="AB533" s="54"/>
      <c r="AC533" s="54"/>
    </row>
    <row r="534" spans="1:68" ht="16.5" hidden="1" customHeight="1" x14ac:dyDescent="0.25">
      <c r="A534" s="676" t="s">
        <v>855</v>
      </c>
      <c r="B534" s="676"/>
      <c r="C534" s="676"/>
      <c r="D534" s="676"/>
      <c r="E534" s="676"/>
      <c r="F534" s="676"/>
      <c r="G534" s="676"/>
      <c r="H534" s="676"/>
      <c r="I534" s="676"/>
      <c r="J534" s="676"/>
      <c r="K534" s="676"/>
      <c r="L534" s="676"/>
      <c r="M534" s="676"/>
      <c r="N534" s="676"/>
      <c r="O534" s="676"/>
      <c r="P534" s="676"/>
      <c r="Q534" s="676"/>
      <c r="R534" s="676"/>
      <c r="S534" s="676"/>
      <c r="T534" s="676"/>
      <c r="U534" s="676"/>
      <c r="V534" s="676"/>
      <c r="W534" s="676"/>
      <c r="X534" s="676"/>
      <c r="Y534" s="676"/>
      <c r="Z534" s="676"/>
      <c r="AA534" s="65"/>
      <c r="AB534" s="65"/>
      <c r="AC534" s="79"/>
    </row>
    <row r="535" spans="1:68" ht="14.25" hidden="1" customHeight="1" x14ac:dyDescent="0.25">
      <c r="A535" s="669" t="s">
        <v>121</v>
      </c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69"/>
      <c r="P535" s="669"/>
      <c r="Q535" s="669"/>
      <c r="R535" s="669"/>
      <c r="S535" s="669"/>
      <c r="T535" s="669"/>
      <c r="U535" s="669"/>
      <c r="V535" s="669"/>
      <c r="W535" s="669"/>
      <c r="X535" s="669"/>
      <c r="Y535" s="669"/>
      <c r="Z535" s="669"/>
      <c r="AA535" s="66"/>
      <c r="AB535" s="66"/>
      <c r="AC535" s="80"/>
    </row>
    <row r="536" spans="1:68" ht="27" hidden="1" customHeight="1" x14ac:dyDescent="0.25">
      <c r="A536" s="63" t="s">
        <v>856</v>
      </c>
      <c r="B536" s="63" t="s">
        <v>857</v>
      </c>
      <c r="C536" s="36">
        <v>4301011584</v>
      </c>
      <c r="D536" s="670">
        <v>4640242180564</v>
      </c>
      <c r="E536" s="670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6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72"/>
      <c r="R536" s="672"/>
      <c r="S536" s="672"/>
      <c r="T536" s="673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858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9" t="s">
        <v>158</v>
      </c>
      <c r="B539" s="669"/>
      <c r="C539" s="669"/>
      <c r="D539" s="669"/>
      <c r="E539" s="669"/>
      <c r="F539" s="669"/>
      <c r="G539" s="669"/>
      <c r="H539" s="669"/>
      <c r="I539" s="669"/>
      <c r="J539" s="669"/>
      <c r="K539" s="669"/>
      <c r="L539" s="669"/>
      <c r="M539" s="669"/>
      <c r="N539" s="669"/>
      <c r="O539" s="669"/>
      <c r="P539" s="669"/>
      <c r="Q539" s="669"/>
      <c r="R539" s="669"/>
      <c r="S539" s="669"/>
      <c r="T539" s="669"/>
      <c r="U539" s="669"/>
      <c r="V539" s="669"/>
      <c r="W539" s="669"/>
      <c r="X539" s="669"/>
      <c r="Y539" s="669"/>
      <c r="Z539" s="669"/>
      <c r="AA539" s="66"/>
      <c r="AB539" s="66"/>
      <c r="AC539" s="80"/>
    </row>
    <row r="540" spans="1:68" ht="27" hidden="1" customHeight="1" x14ac:dyDescent="0.25">
      <c r="A540" s="63" t="s">
        <v>859</v>
      </c>
      <c r="B540" s="63" t="s">
        <v>860</v>
      </c>
      <c r="C540" s="36">
        <v>4301020444</v>
      </c>
      <c r="D540" s="670">
        <v>4680115889781</v>
      </c>
      <c r="E540" s="670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67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72"/>
      <c r="R540" s="672"/>
      <c r="S540" s="672"/>
      <c r="T540" s="673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734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9" t="s">
        <v>76</v>
      </c>
      <c r="B543" s="669"/>
      <c r="C543" s="669"/>
      <c r="D543" s="669"/>
      <c r="E543" s="669"/>
      <c r="F543" s="669"/>
      <c r="G543" s="669"/>
      <c r="H543" s="669"/>
      <c r="I543" s="669"/>
      <c r="J543" s="669"/>
      <c r="K543" s="669"/>
      <c r="L543" s="669"/>
      <c r="M543" s="669"/>
      <c r="N543" s="669"/>
      <c r="O543" s="669"/>
      <c r="P543" s="669"/>
      <c r="Q543" s="669"/>
      <c r="R543" s="669"/>
      <c r="S543" s="669"/>
      <c r="T543" s="669"/>
      <c r="U543" s="669"/>
      <c r="V543" s="669"/>
      <c r="W543" s="669"/>
      <c r="X543" s="669"/>
      <c r="Y543" s="669"/>
      <c r="Z543" s="669"/>
      <c r="AA543" s="66"/>
      <c r="AB543" s="66"/>
      <c r="AC543" s="80"/>
    </row>
    <row r="544" spans="1:68" ht="27" hidden="1" customHeight="1" x14ac:dyDescent="0.25">
      <c r="A544" s="63" t="s">
        <v>861</v>
      </c>
      <c r="B544" s="63" t="s">
        <v>862</v>
      </c>
      <c r="C544" s="36">
        <v>4301031500</v>
      </c>
      <c r="D544" s="670">
        <v>4640242180595</v>
      </c>
      <c r="E544" s="670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6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72"/>
      <c r="R544" s="672"/>
      <c r="S544" s="672"/>
      <c r="T544" s="673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863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9" t="s">
        <v>85</v>
      </c>
      <c r="B547" s="669"/>
      <c r="C547" s="669"/>
      <c r="D547" s="669"/>
      <c r="E547" s="669"/>
      <c r="F547" s="669"/>
      <c r="G547" s="669"/>
      <c r="H547" s="669"/>
      <c r="I547" s="669"/>
      <c r="J547" s="669"/>
      <c r="K547" s="669"/>
      <c r="L547" s="669"/>
      <c r="M547" s="669"/>
      <c r="N547" s="669"/>
      <c r="O547" s="669"/>
      <c r="P547" s="669"/>
      <c r="Q547" s="669"/>
      <c r="R547" s="669"/>
      <c r="S547" s="669"/>
      <c r="T547" s="669"/>
      <c r="U547" s="669"/>
      <c r="V547" s="669"/>
      <c r="W547" s="669"/>
      <c r="X547" s="669"/>
      <c r="Y547" s="669"/>
      <c r="Z547" s="669"/>
      <c r="AA547" s="66"/>
      <c r="AB547" s="66"/>
      <c r="AC547" s="80"/>
    </row>
    <row r="548" spans="1:68" ht="27" hidden="1" customHeight="1" x14ac:dyDescent="0.25">
      <c r="A548" s="63" t="s">
        <v>864</v>
      </c>
      <c r="B548" s="63" t="s">
        <v>865</v>
      </c>
      <c r="C548" s="36">
        <v>4301052282</v>
      </c>
      <c r="D548" s="670">
        <v>4680115889811</v>
      </c>
      <c r="E548" s="670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6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72"/>
      <c r="R548" s="672"/>
      <c r="S548" s="672"/>
      <c r="T548" s="673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866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0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1"/>
      <c r="P549" s="657" t="s">
        <v>40</v>
      </c>
      <c r="Q549" s="658"/>
      <c r="R549" s="658"/>
      <c r="S549" s="658"/>
      <c r="T549" s="658"/>
      <c r="U549" s="658"/>
      <c r="V549" s="659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9" t="s">
        <v>177</v>
      </c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6"/>
      <c r="AB551" s="66"/>
      <c r="AC551" s="80"/>
    </row>
    <row r="552" spans="1:68" ht="27" hidden="1" customHeight="1" x14ac:dyDescent="0.25">
      <c r="A552" s="63" t="s">
        <v>867</v>
      </c>
      <c r="B552" s="63" t="s">
        <v>868</v>
      </c>
      <c r="C552" s="36">
        <v>4301060543</v>
      </c>
      <c r="D552" s="670">
        <v>4680115889804</v>
      </c>
      <c r="E552" s="670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72"/>
      <c r="R552" s="672"/>
      <c r="S552" s="672"/>
      <c r="T552" s="673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869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870</v>
      </c>
      <c r="B553" s="63" t="s">
        <v>871</v>
      </c>
      <c r="C553" s="36">
        <v>4301060544</v>
      </c>
      <c r="D553" s="670">
        <v>4680115889828</v>
      </c>
      <c r="E553" s="670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67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72"/>
      <c r="R553" s="672"/>
      <c r="S553" s="672"/>
      <c r="T553" s="673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872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0"/>
      <c r="B554" s="660"/>
      <c r="C554" s="660"/>
      <c r="D554" s="660"/>
      <c r="E554" s="660"/>
      <c r="F554" s="660"/>
      <c r="G554" s="660"/>
      <c r="H554" s="660"/>
      <c r="I554" s="660"/>
      <c r="J554" s="660"/>
      <c r="K554" s="660"/>
      <c r="L554" s="660"/>
      <c r="M554" s="660"/>
      <c r="N554" s="660"/>
      <c r="O554" s="661"/>
      <c r="P554" s="657" t="s">
        <v>40</v>
      </c>
      <c r="Q554" s="658"/>
      <c r="R554" s="658"/>
      <c r="S554" s="658"/>
      <c r="T554" s="658"/>
      <c r="U554" s="658"/>
      <c r="V554" s="659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0"/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1"/>
      <c r="P555" s="657" t="s">
        <v>40</v>
      </c>
      <c r="Q555" s="658"/>
      <c r="R555" s="658"/>
      <c r="S555" s="658"/>
      <c r="T555" s="658"/>
      <c r="U555" s="658"/>
      <c r="V555" s="659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76" t="s">
        <v>873</v>
      </c>
      <c r="B556" s="676"/>
      <c r="C556" s="676"/>
      <c r="D556" s="676"/>
      <c r="E556" s="676"/>
      <c r="F556" s="676"/>
      <c r="G556" s="676"/>
      <c r="H556" s="676"/>
      <c r="I556" s="676"/>
      <c r="J556" s="676"/>
      <c r="K556" s="676"/>
      <c r="L556" s="676"/>
      <c r="M556" s="676"/>
      <c r="N556" s="676"/>
      <c r="O556" s="676"/>
      <c r="P556" s="676"/>
      <c r="Q556" s="676"/>
      <c r="R556" s="676"/>
      <c r="S556" s="676"/>
      <c r="T556" s="676"/>
      <c r="U556" s="676"/>
      <c r="V556" s="676"/>
      <c r="W556" s="676"/>
      <c r="X556" s="676"/>
      <c r="Y556" s="676"/>
      <c r="Z556" s="676"/>
      <c r="AA556" s="65"/>
      <c r="AB556" s="65"/>
      <c r="AC556" s="79"/>
    </row>
    <row r="557" spans="1:68" ht="14.25" hidden="1" customHeight="1" x14ac:dyDescent="0.25">
      <c r="A557" s="669" t="s">
        <v>158</v>
      </c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69"/>
      <c r="P557" s="669"/>
      <c r="Q557" s="669"/>
      <c r="R557" s="669"/>
      <c r="S557" s="669"/>
      <c r="T557" s="669"/>
      <c r="U557" s="669"/>
      <c r="V557" s="669"/>
      <c r="W557" s="669"/>
      <c r="X557" s="669"/>
      <c r="Y557" s="669"/>
      <c r="Z557" s="669"/>
      <c r="AA557" s="66"/>
      <c r="AB557" s="66"/>
      <c r="AC557" s="80"/>
    </row>
    <row r="558" spans="1:68" ht="27" hidden="1" customHeight="1" x14ac:dyDescent="0.25">
      <c r="A558" s="63" t="s">
        <v>874</v>
      </c>
      <c r="B558" s="63" t="s">
        <v>875</v>
      </c>
      <c r="C558" s="36">
        <v>4301020441</v>
      </c>
      <c r="D558" s="670">
        <v>4680115889798</v>
      </c>
      <c r="E558" s="670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67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72"/>
      <c r="R558" s="672"/>
      <c r="S558" s="672"/>
      <c r="T558" s="673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876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1"/>
      <c r="P559" s="657" t="s">
        <v>40</v>
      </c>
      <c r="Q559" s="658"/>
      <c r="R559" s="658"/>
      <c r="S559" s="658"/>
      <c r="T559" s="658"/>
      <c r="U559" s="658"/>
      <c r="V559" s="659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1"/>
      <c r="P560" s="657" t="s">
        <v>40</v>
      </c>
      <c r="Q560" s="658"/>
      <c r="R560" s="658"/>
      <c r="S560" s="658"/>
      <c r="T560" s="658"/>
      <c r="U560" s="658"/>
      <c r="V560" s="659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33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510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510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34</v>
      </c>
      <c r="Q562" s="663"/>
      <c r="R562" s="663"/>
      <c r="S562" s="663"/>
      <c r="T562" s="663"/>
      <c r="U562" s="663"/>
      <c r="V562" s="664"/>
      <c r="W562" s="42" t="s">
        <v>0</v>
      </c>
      <c r="X562" s="43">
        <f>IFERROR(SUM(BM22:BM558),"0")</f>
        <v>525.98</v>
      </c>
      <c r="Y562" s="43">
        <f>IFERROR(SUM(BN22:BN558),"0")</f>
        <v>525.98</v>
      </c>
      <c r="Z562" s="42"/>
      <c r="AA562" s="67"/>
      <c r="AB562" s="67"/>
      <c r="AC562" s="67"/>
    </row>
    <row r="563" spans="1:32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35</v>
      </c>
      <c r="Q563" s="663"/>
      <c r="R563" s="663"/>
      <c r="S563" s="663"/>
      <c r="T563" s="663"/>
      <c r="U563" s="663"/>
      <c r="V563" s="664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660"/>
      <c r="B564" s="660"/>
      <c r="C564" s="660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665"/>
      <c r="P564" s="662" t="s">
        <v>36</v>
      </c>
      <c r="Q564" s="663"/>
      <c r="R564" s="663"/>
      <c r="S564" s="663"/>
      <c r="T564" s="663"/>
      <c r="U564" s="663"/>
      <c r="V564" s="664"/>
      <c r="W564" s="42" t="s">
        <v>0</v>
      </c>
      <c r="X564" s="43">
        <f>GrossWeightTotal+PalletQtyTotal*25</f>
        <v>550.98</v>
      </c>
      <c r="Y564" s="43">
        <f>GrossWeightTotalR+PalletQtyTotalR*25</f>
        <v>550.98</v>
      </c>
      <c r="Z564" s="42"/>
      <c r="AA564" s="67"/>
      <c r="AB564" s="67"/>
      <c r="AC564" s="67"/>
    </row>
    <row r="565" spans="1:32" x14ac:dyDescent="0.2">
      <c r="A565" s="660"/>
      <c r="B565" s="660"/>
      <c r="C565" s="660"/>
      <c r="D565" s="660"/>
      <c r="E565" s="660"/>
      <c r="F565" s="660"/>
      <c r="G565" s="660"/>
      <c r="H565" s="660"/>
      <c r="I565" s="660"/>
      <c r="J565" s="660"/>
      <c r="K565" s="660"/>
      <c r="L565" s="660"/>
      <c r="M565" s="660"/>
      <c r="N565" s="660"/>
      <c r="O565" s="665"/>
      <c r="P565" s="662" t="s">
        <v>37</v>
      </c>
      <c r="Q565" s="663"/>
      <c r="R565" s="663"/>
      <c r="S565" s="663"/>
      <c r="T565" s="663"/>
      <c r="U565" s="663"/>
      <c r="V565" s="664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34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34</v>
      </c>
      <c r="Z565" s="42"/>
      <c r="AA565" s="67"/>
      <c r="AB565" s="67"/>
      <c r="AC565" s="67"/>
    </row>
    <row r="566" spans="1:32" ht="14.25" hidden="1" x14ac:dyDescent="0.2">
      <c r="A566" s="660"/>
      <c r="B566" s="660"/>
      <c r="C566" s="660"/>
      <c r="D566" s="660"/>
      <c r="E566" s="660"/>
      <c r="F566" s="660"/>
      <c r="G566" s="660"/>
      <c r="H566" s="660"/>
      <c r="I566" s="660"/>
      <c r="J566" s="660"/>
      <c r="K566" s="660"/>
      <c r="L566" s="660"/>
      <c r="M566" s="660"/>
      <c r="N566" s="660"/>
      <c r="O566" s="665"/>
      <c r="P566" s="662" t="s">
        <v>38</v>
      </c>
      <c r="Q566" s="663"/>
      <c r="R566" s="663"/>
      <c r="S566" s="663"/>
      <c r="T566" s="663"/>
      <c r="U566" s="663"/>
      <c r="V566" s="664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0.73949999999999994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75</v>
      </c>
      <c r="C568" s="85" t="s">
        <v>45</v>
      </c>
      <c r="D568" s="656" t="s">
        <v>119</v>
      </c>
      <c r="E568" s="656" t="s">
        <v>119</v>
      </c>
      <c r="F568" s="656" t="s">
        <v>119</v>
      </c>
      <c r="G568" s="656" t="s">
        <v>119</v>
      </c>
      <c r="H568" s="656" t="s">
        <v>119</v>
      </c>
      <c r="I568" s="656" t="s">
        <v>119</v>
      </c>
      <c r="J568" s="656" t="s">
        <v>119</v>
      </c>
      <c r="K568" s="656" t="s">
        <v>351</v>
      </c>
      <c r="L568" s="656" t="s">
        <v>351</v>
      </c>
      <c r="M568" s="656" t="s">
        <v>351</v>
      </c>
      <c r="N568" s="666"/>
      <c r="O568" s="656" t="s">
        <v>351</v>
      </c>
      <c r="P568" s="656" t="s">
        <v>351</v>
      </c>
      <c r="Q568" s="656" t="s">
        <v>351</v>
      </c>
      <c r="R568" s="656" t="s">
        <v>351</v>
      </c>
      <c r="S568" s="656" t="s">
        <v>351</v>
      </c>
      <c r="T568" s="656" t="s">
        <v>351</v>
      </c>
      <c r="U568" s="656" t="s">
        <v>351</v>
      </c>
      <c r="V568" s="656" t="s">
        <v>351</v>
      </c>
      <c r="W568" s="656" t="s">
        <v>706</v>
      </c>
      <c r="X568" s="656" t="s">
        <v>706</v>
      </c>
      <c r="Y568" s="656" t="s">
        <v>772</v>
      </c>
      <c r="Z568" s="656" t="s">
        <v>772</v>
      </c>
      <c r="AA568" s="85" t="s">
        <v>808</v>
      </c>
      <c r="AB568" s="656" t="s">
        <v>855</v>
      </c>
      <c r="AC568" s="656" t="s">
        <v>855</v>
      </c>
      <c r="AF568" s="1"/>
    </row>
    <row r="569" spans="1:32" ht="14.25" customHeight="1" thickTop="1" x14ac:dyDescent="0.2">
      <c r="A569" s="667" t="s">
        <v>10</v>
      </c>
      <c r="B569" s="656" t="s">
        <v>75</v>
      </c>
      <c r="C569" s="656" t="s">
        <v>103</v>
      </c>
      <c r="D569" s="656" t="s">
        <v>120</v>
      </c>
      <c r="E569" s="656" t="s">
        <v>136</v>
      </c>
      <c r="F569" s="656" t="s">
        <v>185</v>
      </c>
      <c r="G569" s="656" t="s">
        <v>208</v>
      </c>
      <c r="H569" s="656" t="s">
        <v>254</v>
      </c>
      <c r="I569" s="656" t="s">
        <v>267</v>
      </c>
      <c r="J569" s="656" t="s">
        <v>119</v>
      </c>
      <c r="K569" s="656" t="s">
        <v>352</v>
      </c>
      <c r="L569" s="656" t="s">
        <v>373</v>
      </c>
      <c r="M569" s="656" t="s">
        <v>447</v>
      </c>
      <c r="N569" s="1"/>
      <c r="O569" s="656" t="s">
        <v>515</v>
      </c>
      <c r="P569" s="656" t="s">
        <v>544</v>
      </c>
      <c r="Q569" s="656" t="s">
        <v>564</v>
      </c>
      <c r="R569" s="656" t="s">
        <v>573</v>
      </c>
      <c r="S569" s="656" t="s">
        <v>594</v>
      </c>
      <c r="T569" s="656" t="s">
        <v>603</v>
      </c>
      <c r="U569" s="656" t="s">
        <v>689</v>
      </c>
      <c r="V569" s="656" t="s">
        <v>696</v>
      </c>
      <c r="W569" s="656" t="s">
        <v>707</v>
      </c>
      <c r="X569" s="656" t="s">
        <v>756</v>
      </c>
      <c r="Y569" s="656" t="s">
        <v>773</v>
      </c>
      <c r="Z569" s="656" t="s">
        <v>796</v>
      </c>
      <c r="AA569" s="656" t="s">
        <v>808</v>
      </c>
      <c r="AB569" s="656" t="s">
        <v>855</v>
      </c>
      <c r="AC569" s="656" t="s">
        <v>873</v>
      </c>
      <c r="AF569" s="1"/>
    </row>
    <row r="570" spans="1:32" ht="13.5" thickBot="1" x14ac:dyDescent="0.25">
      <c r="A570" s="668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510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4,00"/>
        <filter val="510,00"/>
        <filter val="525,98"/>
        <filter val="550,98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2" spans="2:8" x14ac:dyDescent="0.2">
      <c r="B12" s="53" t="s">
        <v>898</v>
      </c>
      <c r="C12" s="53" t="s">
        <v>899</v>
      </c>
      <c r="D12" s="53" t="s">
        <v>900</v>
      </c>
      <c r="E12" s="53" t="s">
        <v>46</v>
      </c>
    </row>
    <row r="13" spans="2:8" x14ac:dyDescent="0.2">
      <c r="B13" s="53" t="s">
        <v>901</v>
      </c>
      <c r="C13" s="53" t="s">
        <v>902</v>
      </c>
      <c r="D13" s="53" t="s">
        <v>126</v>
      </c>
      <c r="E13" s="53" t="s">
        <v>46</v>
      </c>
    </row>
    <row r="15" spans="2:8" x14ac:dyDescent="0.2">
      <c r="B15" s="53" t="s">
        <v>903</v>
      </c>
      <c r="C15" s="53" t="s">
        <v>881</v>
      </c>
      <c r="D15" s="53" t="s">
        <v>46</v>
      </c>
      <c r="E15" s="53" t="s">
        <v>46</v>
      </c>
    </row>
    <row r="17" spans="2:5" x14ac:dyDescent="0.2">
      <c r="B17" s="53" t="s">
        <v>904</v>
      </c>
      <c r="C17" s="53" t="s">
        <v>884</v>
      </c>
      <c r="D17" s="53" t="s">
        <v>46</v>
      </c>
      <c r="E17" s="53" t="s">
        <v>46</v>
      </c>
    </row>
    <row r="19" spans="2:5" x14ac:dyDescent="0.2">
      <c r="B19" s="53" t="s">
        <v>905</v>
      </c>
      <c r="C19" s="53" t="s">
        <v>887</v>
      </c>
      <c r="D19" s="53" t="s">
        <v>46</v>
      </c>
      <c r="E19" s="53" t="s">
        <v>46</v>
      </c>
    </row>
    <row r="21" spans="2:5" x14ac:dyDescent="0.2">
      <c r="B21" s="53" t="s">
        <v>906</v>
      </c>
      <c r="C21" s="53" t="s">
        <v>890</v>
      </c>
      <c r="D21" s="53" t="s">
        <v>46</v>
      </c>
      <c r="E21" s="53" t="s">
        <v>46</v>
      </c>
    </row>
    <row r="23" spans="2:5" x14ac:dyDescent="0.2">
      <c r="B23" s="53" t="s">
        <v>907</v>
      </c>
      <c r="C23" s="53" t="s">
        <v>893</v>
      </c>
      <c r="D23" s="53" t="s">
        <v>46</v>
      </c>
      <c r="E23" s="53" t="s">
        <v>46</v>
      </c>
    </row>
    <row r="25" spans="2:5" x14ac:dyDescent="0.2">
      <c r="B25" s="53" t="s">
        <v>908</v>
      </c>
      <c r="C25" s="53" t="s">
        <v>896</v>
      </c>
      <c r="D25" s="53" t="s">
        <v>46</v>
      </c>
      <c r="E25" s="53" t="s">
        <v>46</v>
      </c>
    </row>
    <row r="27" spans="2:5" x14ac:dyDescent="0.2">
      <c r="B27" s="53" t="s">
        <v>909</v>
      </c>
      <c r="C27" s="53" t="s">
        <v>899</v>
      </c>
      <c r="D27" s="53" t="s">
        <v>46</v>
      </c>
      <c r="E27" s="53" t="s">
        <v>46</v>
      </c>
    </row>
    <row r="29" spans="2:5" x14ac:dyDescent="0.2">
      <c r="B29" s="53" t="s">
        <v>910</v>
      </c>
      <c r="C29" s="53" t="s">
        <v>902</v>
      </c>
      <c r="D29" s="53" t="s">
        <v>46</v>
      </c>
      <c r="E29" s="53" t="s">
        <v>46</v>
      </c>
    </row>
    <row r="31" spans="2:5" x14ac:dyDescent="0.2">
      <c r="B31" s="53" t="s">
        <v>911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915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916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917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918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919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920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921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2026-09-29T12:44:02Z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