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заказы 26-27,09,26\"/>
    </mc:Choice>
  </mc:AlternateContent>
  <xr:revisionPtr revIDLastSave="0" documentId="13_ncr:1_{DC929DD5-7257-4382-9468-A1B2AB07B38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заказа'!$B$218:$B$218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заказа'!$B$252:$B$252</definedName>
    <definedName name="ProductId132">'Бланк заказа'!$B$253:$B$253</definedName>
    <definedName name="ProductId133">'Бланк заказа'!$B$254:$B$254</definedName>
    <definedName name="ProductId134">'Бланк заказа'!$B$258:$B$258</definedName>
    <definedName name="ProductId135">'Бланк заказа'!$B$263:$B$263</definedName>
    <definedName name="ProductId136">'Бланк заказа'!$B$264:$B$264</definedName>
    <definedName name="ProductId137">'Бланк заказа'!$B$268:$B$268</definedName>
    <definedName name="ProductId138">'Бланк заказа'!$B$269:$B$269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заказа'!$B$299:$B$299</definedName>
    <definedName name="ProductId16">'Бланк заказа'!$B$50:$B$50</definedName>
    <definedName name="ProductId160">'Бланк заказа'!$B$300:$B$300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заказа'!$B$315:$B$315</definedName>
    <definedName name="ProductId169">'Бланк заказа'!$B$319:$B$319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заказа'!$B$130:$B$130</definedName>
    <definedName name="ProductId64">'Бланк заказа'!$B$135:$B$135</definedName>
    <definedName name="ProductId65">'Бланк заказа'!$B$136:$B$136</definedName>
    <definedName name="ProductId66">'Бланк заказа'!$B$140:$B$140</definedName>
    <definedName name="ProductId67">'Бланк заказа'!$B$141:$B$141</definedName>
    <definedName name="ProductId68">'Бланк заказа'!$B$145:$B$145</definedName>
    <definedName name="ProductId69">'Бланк заказа'!$B$146:$B$146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заказа'!$B$160:$B$160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заказа'!$B$168:$B$168</definedName>
    <definedName name="ProductId81">'Бланк заказа'!$B$172:$B$172</definedName>
    <definedName name="ProductId82">'Бланк заказа'!$B$173:$B$173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заказа'!$B$191:$B$191</definedName>
    <definedName name="ProductId95">'Бланк заказа'!$B$192:$B$192</definedName>
    <definedName name="ProductId96">'Бланк заказа'!$B$193:$B$193</definedName>
    <definedName name="ProductId97">'Бланк заказа'!$B$197:$B$197</definedName>
    <definedName name="ProductId98">'Бланк заказа'!$B$201:$B$201</definedName>
    <definedName name="ProductId99">'Бланк заказа'!$B$207:$B$207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заказа'!$X$218:$X$218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заказа'!$X$252:$X$252</definedName>
    <definedName name="SalesQty132">'Бланк заказа'!$X$253:$X$253</definedName>
    <definedName name="SalesQty133">'Бланк заказа'!$X$254:$X$254</definedName>
    <definedName name="SalesQty134">'Бланк заказа'!$X$258:$X$258</definedName>
    <definedName name="SalesQty135">'Бланк заказа'!$X$263:$X$263</definedName>
    <definedName name="SalesQty136">'Бланк заказа'!$X$264:$X$264</definedName>
    <definedName name="SalesQty137">'Бланк заказа'!$X$268:$X$268</definedName>
    <definedName name="SalesQty138">'Бланк заказа'!$X$269:$X$269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заказа'!$X$299:$X$299</definedName>
    <definedName name="SalesQty16">'Бланк заказа'!$X$50:$X$50</definedName>
    <definedName name="SalesQty160">'Бланк заказа'!$X$300:$X$300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заказа'!$X$315:$X$315</definedName>
    <definedName name="SalesQty169">'Бланк заказа'!$X$319:$X$319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заказа'!$X$130:$X$130</definedName>
    <definedName name="SalesQty64">'Бланк заказа'!$X$135:$X$135</definedName>
    <definedName name="SalesQty65">'Бланк заказа'!$X$136:$X$136</definedName>
    <definedName name="SalesQty66">'Бланк заказа'!$X$140:$X$140</definedName>
    <definedName name="SalesQty67">'Бланк заказа'!$X$141:$X$141</definedName>
    <definedName name="SalesQty68">'Бланк заказа'!$X$145:$X$145</definedName>
    <definedName name="SalesQty69">'Бланк заказа'!$X$146:$X$146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заказа'!$X$160:$X$160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заказа'!$X$168:$X$168</definedName>
    <definedName name="SalesQty81">'Бланк заказа'!$X$172:$X$172</definedName>
    <definedName name="SalesQty82">'Бланк заказа'!$X$173:$X$173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заказа'!$X$191:$X$191</definedName>
    <definedName name="SalesQty95">'Бланк заказа'!$X$192:$X$192</definedName>
    <definedName name="SalesQty96">'Бланк заказа'!$X$193:$X$193</definedName>
    <definedName name="SalesQty97">'Бланк заказа'!$X$197:$X$197</definedName>
    <definedName name="SalesQty98">'Бланк заказа'!$X$201:$X$201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заказа'!$Y$218:$Y$218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заказа'!$Y$252:$Y$252</definedName>
    <definedName name="SalesRoundBox132">'Бланк заказа'!$Y$253:$Y$253</definedName>
    <definedName name="SalesRoundBox133">'Бланк заказа'!$Y$254:$Y$254</definedName>
    <definedName name="SalesRoundBox134">'Бланк заказа'!$Y$258:$Y$258</definedName>
    <definedName name="SalesRoundBox135">'Бланк заказа'!$Y$263:$Y$263</definedName>
    <definedName name="SalesRoundBox136">'Бланк заказа'!$Y$264:$Y$264</definedName>
    <definedName name="SalesRoundBox137">'Бланк заказа'!$Y$268:$Y$268</definedName>
    <definedName name="SalesRoundBox138">'Бланк заказа'!$Y$269:$Y$269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заказа'!$Y$299:$Y$299</definedName>
    <definedName name="SalesRoundBox16">'Бланк заказа'!$Y$50:$Y$50</definedName>
    <definedName name="SalesRoundBox160">'Бланк заказа'!$Y$300:$Y$300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заказа'!$Y$315:$Y$315</definedName>
    <definedName name="SalesRoundBox169">'Бланк заказа'!$Y$319:$Y$319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заказа'!$Y$130:$Y$130</definedName>
    <definedName name="SalesRoundBox64">'Бланк заказа'!$Y$135:$Y$135</definedName>
    <definedName name="SalesRoundBox65">'Бланк заказа'!$Y$136:$Y$136</definedName>
    <definedName name="SalesRoundBox66">'Бланк заказа'!$Y$140:$Y$140</definedName>
    <definedName name="SalesRoundBox67">'Бланк заказа'!$Y$141:$Y$141</definedName>
    <definedName name="SalesRoundBox68">'Бланк заказа'!$Y$145:$Y$145</definedName>
    <definedName name="SalesRoundBox69">'Бланк заказа'!$Y$146:$Y$146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заказа'!$Y$160:$Y$160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заказа'!$Y$168:$Y$168</definedName>
    <definedName name="SalesRoundBox81">'Бланк заказа'!$Y$172:$Y$172</definedName>
    <definedName name="SalesRoundBox82">'Бланк заказа'!$Y$173:$Y$173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заказа'!$Y$191:$Y$191</definedName>
    <definedName name="SalesRoundBox95">'Бланк заказа'!$Y$192:$Y$192</definedName>
    <definedName name="SalesRoundBox96">'Бланк заказа'!$Y$193:$Y$193</definedName>
    <definedName name="SalesRoundBox97">'Бланк заказа'!$Y$197:$Y$197</definedName>
    <definedName name="SalesRoundBox98">'Бланк заказа'!$Y$201:$Y$201</definedName>
    <definedName name="SalesRoundBox99">'Бланк заказа'!$Y$207:$Y$207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заказа'!$W$218:$W$218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заказа'!$W$252:$W$252</definedName>
    <definedName name="UnitOfMeasure132">'Бланк заказа'!$W$253:$W$253</definedName>
    <definedName name="UnitOfMeasure133">'Бланк заказа'!$W$254:$W$254</definedName>
    <definedName name="UnitOfMeasure134">'Бланк заказа'!$W$258:$W$258</definedName>
    <definedName name="UnitOfMeasure135">'Бланк заказа'!$W$263:$W$263</definedName>
    <definedName name="UnitOfMeasure136">'Бланк заказа'!$W$264:$W$264</definedName>
    <definedName name="UnitOfMeasure137">'Бланк заказа'!$W$268:$W$268</definedName>
    <definedName name="UnitOfMeasure138">'Бланк заказа'!$W$269:$W$269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заказа'!$W$299:$W$299</definedName>
    <definedName name="UnitOfMeasure16">'Бланк заказа'!$W$50:$W$50</definedName>
    <definedName name="UnitOfMeasure160">'Бланк заказа'!$W$300:$W$300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заказа'!$W$315:$W$315</definedName>
    <definedName name="UnitOfMeasure169">'Бланк заказа'!$W$319:$W$319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заказа'!$W$130:$W$130</definedName>
    <definedName name="UnitOfMeasure64">'Бланк заказа'!$W$135:$W$135</definedName>
    <definedName name="UnitOfMeasure65">'Бланк заказа'!$W$136:$W$136</definedName>
    <definedName name="UnitOfMeasure66">'Бланк заказа'!$W$140:$W$140</definedName>
    <definedName name="UnitOfMeasure67">'Бланк заказа'!$W$141:$W$141</definedName>
    <definedName name="UnitOfMeasure68">'Бланк заказа'!$W$145:$W$145</definedName>
    <definedName name="UnitOfMeasure69">'Бланк заказа'!$W$146:$W$146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заказа'!$W$160:$W$160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заказа'!$W$168:$W$168</definedName>
    <definedName name="UnitOfMeasure81">'Бланк заказа'!$W$172:$W$172</definedName>
    <definedName name="UnitOfMeasure82">'Бланк заказа'!$W$173:$W$173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заказа'!$W$191:$W$191</definedName>
    <definedName name="UnitOfMeasure95">'Бланк заказа'!$W$192:$W$192</definedName>
    <definedName name="UnitOfMeasure96">'Бланк заказа'!$W$193:$W$193</definedName>
    <definedName name="UnitOfMeasure97">'Бланк заказа'!$W$197:$W$197</definedName>
    <definedName name="UnitOfMeasure98">'Бланк заказа'!$W$201:$W$201</definedName>
    <definedName name="UnitOfMeasure99">'Бланк заказа'!$W$207:$W$207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P558" i="2"/>
  <c r="X555" i="2"/>
  <c r="X554" i="2"/>
  <c r="BO553" i="2"/>
  <c r="BM553" i="2"/>
  <c r="Y553" i="2"/>
  <c r="BP553" i="2" s="1"/>
  <c r="P553" i="2"/>
  <c r="BO552" i="2"/>
  <c r="BM552" i="2"/>
  <c r="Y552" i="2"/>
  <c r="BP552" i="2" s="1"/>
  <c r="P552" i="2"/>
  <c r="X550" i="2"/>
  <c r="X549" i="2"/>
  <c r="BO548" i="2"/>
  <c r="BM548" i="2"/>
  <c r="Y548" i="2"/>
  <c r="Y549" i="2" s="1"/>
  <c r="P548" i="2"/>
  <c r="X546" i="2"/>
  <c r="X545" i="2"/>
  <c r="BO544" i="2"/>
  <c r="BM544" i="2"/>
  <c r="Y544" i="2"/>
  <c r="P544" i="2"/>
  <c r="X542" i="2"/>
  <c r="X541" i="2"/>
  <c r="BO540" i="2"/>
  <c r="BM540" i="2"/>
  <c r="Y540" i="2"/>
  <c r="Y542" i="2" s="1"/>
  <c r="P540" i="2"/>
  <c r="Y538" i="2"/>
  <c r="X538" i="2"/>
  <c r="X537" i="2"/>
  <c r="BO536" i="2"/>
  <c r="BM536" i="2"/>
  <c r="Y536" i="2"/>
  <c r="Y537" i="2" s="1"/>
  <c r="P536" i="2"/>
  <c r="X532" i="2"/>
  <c r="X531" i="2"/>
  <c r="BO530" i="2"/>
  <c r="BM530" i="2"/>
  <c r="Y530" i="2"/>
  <c r="Z530" i="2" s="1"/>
  <c r="P530" i="2"/>
  <c r="BO529" i="2"/>
  <c r="BM529" i="2"/>
  <c r="Y529" i="2"/>
  <c r="P529" i="2"/>
  <c r="BO528" i="2"/>
  <c r="BM528" i="2"/>
  <c r="Y528" i="2"/>
  <c r="P528" i="2"/>
  <c r="BO527" i="2"/>
  <c r="BM527" i="2"/>
  <c r="Y527" i="2"/>
  <c r="P527" i="2"/>
  <c r="BO526" i="2"/>
  <c r="BM526" i="2"/>
  <c r="Y526" i="2"/>
  <c r="P526" i="2"/>
  <c r="BO525" i="2"/>
  <c r="BM525" i="2"/>
  <c r="Y525" i="2"/>
  <c r="Z525" i="2" s="1"/>
  <c r="P525" i="2"/>
  <c r="BO524" i="2"/>
  <c r="BM524" i="2"/>
  <c r="Y524" i="2"/>
  <c r="BP524" i="2" s="1"/>
  <c r="P524" i="2"/>
  <c r="X522" i="2"/>
  <c r="X521" i="2"/>
  <c r="BO520" i="2"/>
  <c r="BM520" i="2"/>
  <c r="Y520" i="2"/>
  <c r="BN520" i="2" s="1"/>
  <c r="P520" i="2"/>
  <c r="BO519" i="2"/>
  <c r="BM519" i="2"/>
  <c r="Y519" i="2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BO513" i="2"/>
  <c r="BM513" i="2"/>
  <c r="Z513" i="2"/>
  <c r="Y513" i="2"/>
  <c r="BP513" i="2" s="1"/>
  <c r="P513" i="2"/>
  <c r="BO512" i="2"/>
  <c r="BM512" i="2"/>
  <c r="Y512" i="2"/>
  <c r="BN512" i="2" s="1"/>
  <c r="P512" i="2"/>
  <c r="BO511" i="2"/>
  <c r="BM511" i="2"/>
  <c r="Y511" i="2"/>
  <c r="P511" i="2"/>
  <c r="BO510" i="2"/>
  <c r="BM510" i="2"/>
  <c r="Y510" i="2"/>
  <c r="BN510" i="2" s="1"/>
  <c r="P510" i="2"/>
  <c r="BP509" i="2"/>
  <c r="BO509" i="2"/>
  <c r="BM509" i="2"/>
  <c r="Y509" i="2"/>
  <c r="P509" i="2"/>
  <c r="BO508" i="2"/>
  <c r="BM508" i="2"/>
  <c r="Y508" i="2"/>
  <c r="P508" i="2"/>
  <c r="BO507" i="2"/>
  <c r="BM507" i="2"/>
  <c r="Y507" i="2"/>
  <c r="BN507" i="2" s="1"/>
  <c r="P507" i="2"/>
  <c r="BO506" i="2"/>
  <c r="BM506" i="2"/>
  <c r="Y506" i="2"/>
  <c r="P506" i="2"/>
  <c r="X502" i="2"/>
  <c r="X501" i="2"/>
  <c r="BP500" i="2"/>
  <c r="BO500" i="2"/>
  <c r="BN500" i="2"/>
  <c r="BM500" i="2"/>
  <c r="Z500" i="2"/>
  <c r="Y500" i="2"/>
  <c r="P500" i="2"/>
  <c r="BO499" i="2"/>
  <c r="BM499" i="2"/>
  <c r="Y499" i="2"/>
  <c r="P499" i="2"/>
  <c r="BO498" i="2"/>
  <c r="BM498" i="2"/>
  <c r="Y498" i="2"/>
  <c r="P498" i="2"/>
  <c r="X496" i="2"/>
  <c r="X495" i="2"/>
  <c r="BO494" i="2"/>
  <c r="BM494" i="2"/>
  <c r="Y494" i="2"/>
  <c r="P494" i="2"/>
  <c r="X491" i="2"/>
  <c r="X490" i="2"/>
  <c r="BO489" i="2"/>
  <c r="BM489" i="2"/>
  <c r="Y489" i="2"/>
  <c r="BP489" i="2" s="1"/>
  <c r="P489" i="2"/>
  <c r="BO488" i="2"/>
  <c r="BM488" i="2"/>
  <c r="Y488" i="2"/>
  <c r="P488" i="2"/>
  <c r="X486" i="2"/>
  <c r="X485" i="2"/>
  <c r="BP484" i="2"/>
  <c r="BO484" i="2"/>
  <c r="BM484" i="2"/>
  <c r="Y484" i="2"/>
  <c r="P484" i="2"/>
  <c r="BO483" i="2"/>
  <c r="BM483" i="2"/>
  <c r="Y483" i="2"/>
  <c r="P483" i="2"/>
  <c r="BO482" i="2"/>
  <c r="BM482" i="2"/>
  <c r="Y482" i="2"/>
  <c r="BN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P479" i="2"/>
  <c r="X475" i="2"/>
  <c r="X474" i="2"/>
  <c r="BO473" i="2"/>
  <c r="BM473" i="2"/>
  <c r="Y473" i="2"/>
  <c r="P473" i="2"/>
  <c r="BO472" i="2"/>
  <c r="BM472" i="2"/>
  <c r="Y472" i="2"/>
  <c r="BN472" i="2" s="1"/>
  <c r="P472" i="2"/>
  <c r="BO471" i="2"/>
  <c r="BM471" i="2"/>
  <c r="Y471" i="2"/>
  <c r="P471" i="2"/>
  <c r="X469" i="2"/>
  <c r="X468" i="2"/>
  <c r="BO467" i="2"/>
  <c r="BM467" i="2"/>
  <c r="Y467" i="2"/>
  <c r="BP467" i="2" s="1"/>
  <c r="P467" i="2"/>
  <c r="X465" i="2"/>
  <c r="X464" i="2"/>
  <c r="BO463" i="2"/>
  <c r="BM463" i="2"/>
  <c r="Y463" i="2"/>
  <c r="P463" i="2"/>
  <c r="BO462" i="2"/>
  <c r="BM462" i="2"/>
  <c r="Y462" i="2"/>
  <c r="P462" i="2"/>
  <c r="X459" i="2"/>
  <c r="X458" i="2"/>
  <c r="BO457" i="2"/>
  <c r="BM457" i="2"/>
  <c r="Y457" i="2"/>
  <c r="BN457" i="2" s="1"/>
  <c r="P457" i="2"/>
  <c r="BO456" i="2"/>
  <c r="BM456" i="2"/>
  <c r="Y456" i="2"/>
  <c r="P456" i="2"/>
  <c r="X454" i="2"/>
  <c r="X453" i="2"/>
  <c r="BO452" i="2"/>
  <c r="BM452" i="2"/>
  <c r="Y452" i="2"/>
  <c r="P452" i="2"/>
  <c r="BO451" i="2"/>
  <c r="BM451" i="2"/>
  <c r="Y451" i="2"/>
  <c r="P451" i="2"/>
  <c r="BP450" i="2"/>
  <c r="BO450" i="2"/>
  <c r="BN450" i="2"/>
  <c r="BM450" i="2"/>
  <c r="Z450" i="2"/>
  <c r="Y450" i="2"/>
  <c r="Y453" i="2" s="1"/>
  <c r="P450" i="2"/>
  <c r="X448" i="2"/>
  <c r="X447" i="2"/>
  <c r="BO446" i="2"/>
  <c r="BM446" i="2"/>
  <c r="Y446" i="2"/>
  <c r="P446" i="2"/>
  <c r="BO445" i="2"/>
  <c r="BM445" i="2"/>
  <c r="Y445" i="2"/>
  <c r="Z445" i="2" s="1"/>
  <c r="P445" i="2"/>
  <c r="BO444" i="2"/>
  <c r="BM444" i="2"/>
  <c r="Y444" i="2"/>
  <c r="BP444" i="2" s="1"/>
  <c r="P444" i="2"/>
  <c r="X442" i="2"/>
  <c r="X441" i="2"/>
  <c r="BO440" i="2"/>
  <c r="BM440" i="2"/>
  <c r="Y440" i="2"/>
  <c r="P440" i="2"/>
  <c r="BO439" i="2"/>
  <c r="BM439" i="2"/>
  <c r="Y439" i="2"/>
  <c r="P439" i="2"/>
  <c r="BO438" i="2"/>
  <c r="BM438" i="2"/>
  <c r="Y438" i="2"/>
  <c r="BN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P433" i="2"/>
  <c r="X429" i="2"/>
  <c r="X428" i="2"/>
  <c r="BO427" i="2"/>
  <c r="BN427" i="2"/>
  <c r="BM427" i="2"/>
  <c r="Z427" i="2"/>
  <c r="Y427" i="2"/>
  <c r="BP427" i="2" s="1"/>
  <c r="P427" i="2"/>
  <c r="BO426" i="2"/>
  <c r="BM426" i="2"/>
  <c r="Y426" i="2"/>
  <c r="P426" i="2"/>
  <c r="BO425" i="2"/>
  <c r="BM425" i="2"/>
  <c r="Y425" i="2"/>
  <c r="P425" i="2"/>
  <c r="X422" i="2"/>
  <c r="X421" i="2"/>
  <c r="BO420" i="2"/>
  <c r="BM420" i="2"/>
  <c r="Y420" i="2"/>
  <c r="BN420" i="2" s="1"/>
  <c r="P420" i="2"/>
  <c r="BO419" i="2"/>
  <c r="BM419" i="2"/>
  <c r="Y419" i="2"/>
  <c r="BP419" i="2" s="1"/>
  <c r="P419" i="2"/>
  <c r="X416" i="2"/>
  <c r="X415" i="2"/>
  <c r="BO414" i="2"/>
  <c r="BM414" i="2"/>
  <c r="Y414" i="2"/>
  <c r="P414" i="2"/>
  <c r="BO413" i="2"/>
  <c r="BM413" i="2"/>
  <c r="Z413" i="2"/>
  <c r="Y413" i="2"/>
  <c r="BN413" i="2" s="1"/>
  <c r="P413" i="2"/>
  <c r="BO412" i="2"/>
  <c r="BM412" i="2"/>
  <c r="Y412" i="2"/>
  <c r="P412" i="2"/>
  <c r="X410" i="2"/>
  <c r="X409" i="2"/>
  <c r="BO408" i="2"/>
  <c r="BM408" i="2"/>
  <c r="Y408" i="2"/>
  <c r="BP408" i="2" s="1"/>
  <c r="P408" i="2"/>
  <c r="BO407" i="2"/>
  <c r="BM407" i="2"/>
  <c r="Y407" i="2"/>
  <c r="Z407" i="2" s="1"/>
  <c r="P407" i="2"/>
  <c r="BO406" i="2"/>
  <c r="BM406" i="2"/>
  <c r="Y406" i="2"/>
  <c r="P406" i="2"/>
  <c r="X404" i="2"/>
  <c r="X403" i="2"/>
  <c r="BP402" i="2"/>
  <c r="BO402" i="2"/>
  <c r="BN402" i="2"/>
  <c r="BM402" i="2"/>
  <c r="Z402" i="2"/>
  <c r="Y402" i="2"/>
  <c r="P402" i="2"/>
  <c r="BO401" i="2"/>
  <c r="BM401" i="2"/>
  <c r="Y401" i="2"/>
  <c r="BP401" i="2" s="1"/>
  <c r="P401" i="2"/>
  <c r="BO400" i="2"/>
  <c r="BM400" i="2"/>
  <c r="Y400" i="2"/>
  <c r="BP400" i="2" s="1"/>
  <c r="P400" i="2"/>
  <c r="BP399" i="2"/>
  <c r="BO399" i="2"/>
  <c r="BM399" i="2"/>
  <c r="Y399" i="2"/>
  <c r="Z399" i="2" s="1"/>
  <c r="P399" i="2"/>
  <c r="X397" i="2"/>
  <c r="X396" i="2"/>
  <c r="BO395" i="2"/>
  <c r="BM395" i="2"/>
  <c r="Y395" i="2"/>
  <c r="P395" i="2"/>
  <c r="BO394" i="2"/>
  <c r="BM394" i="2"/>
  <c r="Y394" i="2"/>
  <c r="BN394" i="2" s="1"/>
  <c r="P394" i="2"/>
  <c r="BO393" i="2"/>
  <c r="BM393" i="2"/>
  <c r="Y393" i="2"/>
  <c r="P393" i="2"/>
  <c r="X391" i="2"/>
  <c r="X390" i="2"/>
  <c r="BO389" i="2"/>
  <c r="BM389" i="2"/>
  <c r="Y389" i="2"/>
  <c r="P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BN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X374" i="2"/>
  <c r="X373" i="2"/>
  <c r="BP372" i="2"/>
  <c r="BO372" i="2"/>
  <c r="BN372" i="2"/>
  <c r="BM372" i="2"/>
  <c r="Z372" i="2"/>
  <c r="Y372" i="2"/>
  <c r="P372" i="2"/>
  <c r="BO371" i="2"/>
  <c r="BM371" i="2"/>
  <c r="Y371" i="2"/>
  <c r="P371" i="2"/>
  <c r="BO370" i="2"/>
  <c r="BM370" i="2"/>
  <c r="Y370" i="2"/>
  <c r="P370" i="2"/>
  <c r="BO369" i="2"/>
  <c r="BM369" i="2"/>
  <c r="Z369" i="2"/>
  <c r="Y369" i="2"/>
  <c r="BN369" i="2" s="1"/>
  <c r="P369" i="2"/>
  <c r="BO368" i="2"/>
  <c r="BM368" i="2"/>
  <c r="Y368" i="2"/>
  <c r="P368" i="2"/>
  <c r="BO367" i="2"/>
  <c r="BM367" i="2"/>
  <c r="Y367" i="2"/>
  <c r="P367" i="2"/>
  <c r="BO366" i="2"/>
  <c r="BM366" i="2"/>
  <c r="Y366" i="2"/>
  <c r="BP366" i="2" s="1"/>
  <c r="P366" i="2"/>
  <c r="X363" i="2"/>
  <c r="X362" i="2"/>
  <c r="BO361" i="2"/>
  <c r="BM361" i="2"/>
  <c r="Y361" i="2"/>
  <c r="P361" i="2"/>
  <c r="BO360" i="2"/>
  <c r="BM360" i="2"/>
  <c r="Y360" i="2"/>
  <c r="BN360" i="2" s="1"/>
  <c r="P360" i="2"/>
  <c r="BO359" i="2"/>
  <c r="BM359" i="2"/>
  <c r="Z359" i="2"/>
  <c r="Y359" i="2"/>
  <c r="P359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P346" i="2"/>
  <c r="BO345" i="2"/>
  <c r="BM345" i="2"/>
  <c r="Y345" i="2"/>
  <c r="BP345" i="2" s="1"/>
  <c r="P345" i="2"/>
  <c r="X342" i="2"/>
  <c r="X341" i="2"/>
  <c r="BO340" i="2"/>
  <c r="BM340" i="2"/>
  <c r="Y340" i="2"/>
  <c r="P340" i="2"/>
  <c r="BO339" i="2"/>
  <c r="BM339" i="2"/>
  <c r="Y339" i="2"/>
  <c r="BN339" i="2" s="1"/>
  <c r="P339" i="2"/>
  <c r="BO338" i="2"/>
  <c r="BM338" i="2"/>
  <c r="Y338" i="2"/>
  <c r="P338" i="2"/>
  <c r="X335" i="2"/>
  <c r="X334" i="2"/>
  <c r="BO333" i="2"/>
  <c r="BM333" i="2"/>
  <c r="Z333" i="2"/>
  <c r="Y333" i="2"/>
  <c r="BN333" i="2" s="1"/>
  <c r="P333" i="2"/>
  <c r="BO332" i="2"/>
  <c r="BM332" i="2"/>
  <c r="Y332" i="2"/>
  <c r="BP332" i="2" s="1"/>
  <c r="P332" i="2"/>
  <c r="BP331" i="2"/>
  <c r="BO331" i="2"/>
  <c r="BN331" i="2"/>
  <c r="BM331" i="2"/>
  <c r="Z331" i="2"/>
  <c r="Y331" i="2"/>
  <c r="P331" i="2"/>
  <c r="BO330" i="2"/>
  <c r="BM330" i="2"/>
  <c r="Y330" i="2"/>
  <c r="BP330" i="2" s="1"/>
  <c r="P330" i="2"/>
  <c r="BO329" i="2"/>
  <c r="BM329" i="2"/>
  <c r="Y329" i="2"/>
  <c r="P329" i="2"/>
  <c r="BO328" i="2"/>
  <c r="BM328" i="2"/>
  <c r="Y328" i="2"/>
  <c r="BN328" i="2" s="1"/>
  <c r="P328" i="2"/>
  <c r="X325" i="2"/>
  <c r="X324" i="2"/>
  <c r="BO323" i="2"/>
  <c r="BM323" i="2"/>
  <c r="Y323" i="2"/>
  <c r="P323" i="2"/>
  <c r="X321" i="2"/>
  <c r="X320" i="2"/>
  <c r="BO319" i="2"/>
  <c r="BM319" i="2"/>
  <c r="Y319" i="2"/>
  <c r="Y320" i="2" s="1"/>
  <c r="P319" i="2"/>
  <c r="X317" i="2"/>
  <c r="X316" i="2"/>
  <c r="BO315" i="2"/>
  <c r="BM315" i="2"/>
  <c r="Y315" i="2"/>
  <c r="BN315" i="2" s="1"/>
  <c r="P315" i="2"/>
  <c r="X313" i="2"/>
  <c r="X312" i="2"/>
  <c r="BO311" i="2"/>
  <c r="BM311" i="2"/>
  <c r="Y311" i="2"/>
  <c r="P311" i="2"/>
  <c r="BO310" i="2"/>
  <c r="BM310" i="2"/>
  <c r="Y310" i="2"/>
  <c r="BN310" i="2" s="1"/>
  <c r="P310" i="2"/>
  <c r="BO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P307" i="2" s="1"/>
  <c r="P307" i="2"/>
  <c r="BO306" i="2"/>
  <c r="BM306" i="2"/>
  <c r="Y306" i="2"/>
  <c r="P306" i="2"/>
  <c r="BO305" i="2"/>
  <c r="BM305" i="2"/>
  <c r="Y305" i="2"/>
  <c r="P305" i="2"/>
  <c r="X302" i="2"/>
  <c r="X301" i="2"/>
  <c r="BO300" i="2"/>
  <c r="BM300" i="2"/>
  <c r="Y300" i="2"/>
  <c r="Z300" i="2" s="1"/>
  <c r="P300" i="2"/>
  <c r="BO299" i="2"/>
  <c r="BM299" i="2"/>
  <c r="Y299" i="2"/>
  <c r="BP299" i="2" s="1"/>
  <c r="P299" i="2"/>
  <c r="X297" i="2"/>
  <c r="X296" i="2"/>
  <c r="BO295" i="2"/>
  <c r="BM295" i="2"/>
  <c r="Y295" i="2"/>
  <c r="P295" i="2"/>
  <c r="BP294" i="2"/>
  <c r="BO294" i="2"/>
  <c r="BN294" i="2"/>
  <c r="BM294" i="2"/>
  <c r="Z294" i="2"/>
  <c r="Y294" i="2"/>
  <c r="P294" i="2"/>
  <c r="BO293" i="2"/>
  <c r="BM293" i="2"/>
  <c r="Y293" i="2"/>
  <c r="BN293" i="2" s="1"/>
  <c r="P293" i="2"/>
  <c r="BO292" i="2"/>
  <c r="BM292" i="2"/>
  <c r="Y292" i="2"/>
  <c r="P292" i="2"/>
  <c r="BO291" i="2"/>
  <c r="BM291" i="2"/>
  <c r="Z291" i="2"/>
  <c r="Y291" i="2"/>
  <c r="BN291" i="2" s="1"/>
  <c r="P291" i="2"/>
  <c r="BO290" i="2"/>
  <c r="BM290" i="2"/>
  <c r="Y290" i="2"/>
  <c r="Z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P284" i="2"/>
  <c r="X282" i="2"/>
  <c r="X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P273" i="2"/>
  <c r="X271" i="2"/>
  <c r="X270" i="2"/>
  <c r="BO269" i="2"/>
  <c r="BM269" i="2"/>
  <c r="Z269" i="2"/>
  <c r="Y269" i="2"/>
  <c r="BN269" i="2" s="1"/>
  <c r="P269" i="2"/>
  <c r="BO268" i="2"/>
  <c r="BM268" i="2"/>
  <c r="Y268" i="2"/>
  <c r="BP268" i="2" s="1"/>
  <c r="P268" i="2"/>
  <c r="Y266" i="2"/>
  <c r="X266" i="2"/>
  <c r="X265" i="2"/>
  <c r="BO264" i="2"/>
  <c r="BM264" i="2"/>
  <c r="Y264" i="2"/>
  <c r="P264" i="2"/>
  <c r="BO263" i="2"/>
  <c r="BM263" i="2"/>
  <c r="Y263" i="2"/>
  <c r="BN263" i="2" s="1"/>
  <c r="P263" i="2"/>
  <c r="X260" i="2"/>
  <c r="X259" i="2"/>
  <c r="BO258" i="2"/>
  <c r="BM258" i="2"/>
  <c r="Y258" i="2"/>
  <c r="BP258" i="2" s="1"/>
  <c r="P258" i="2"/>
  <c r="X256" i="2"/>
  <c r="X255" i="2"/>
  <c r="BO254" i="2"/>
  <c r="BM254" i="2"/>
  <c r="Y254" i="2"/>
  <c r="P254" i="2"/>
  <c r="BO253" i="2"/>
  <c r="BM253" i="2"/>
  <c r="Y253" i="2"/>
  <c r="BP253" i="2" s="1"/>
  <c r="P253" i="2"/>
  <c r="BO252" i="2"/>
  <c r="BM252" i="2"/>
  <c r="Y252" i="2"/>
  <c r="P252" i="2"/>
  <c r="X250" i="2"/>
  <c r="X249" i="2"/>
  <c r="BP248" i="2"/>
  <c r="BO248" i="2"/>
  <c r="BM248" i="2"/>
  <c r="Y248" i="2"/>
  <c r="P248" i="2"/>
  <c r="BO247" i="2"/>
  <c r="BM247" i="2"/>
  <c r="Y247" i="2"/>
  <c r="P247" i="2"/>
  <c r="BO246" i="2"/>
  <c r="BM246" i="2"/>
  <c r="Y246" i="2"/>
  <c r="BN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P242" i="2"/>
  <c r="BO241" i="2"/>
  <c r="BM241" i="2"/>
  <c r="Y241" i="2"/>
  <c r="P241" i="2"/>
  <c r="BO240" i="2"/>
  <c r="BM240" i="2"/>
  <c r="Y240" i="2"/>
  <c r="P240" i="2"/>
  <c r="X238" i="2"/>
  <c r="X237" i="2"/>
  <c r="BO236" i="2"/>
  <c r="BM236" i="2"/>
  <c r="Z236" i="2"/>
  <c r="Y236" i="2"/>
  <c r="BN236" i="2" s="1"/>
  <c r="P236" i="2"/>
  <c r="BO235" i="2"/>
  <c r="BM235" i="2"/>
  <c r="Y235" i="2"/>
  <c r="BP235" i="2" s="1"/>
  <c r="P235" i="2"/>
  <c r="BP234" i="2"/>
  <c r="BO234" i="2"/>
  <c r="BN234" i="2"/>
  <c r="BM234" i="2"/>
  <c r="Z234" i="2"/>
  <c r="Y234" i="2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P230" i="2"/>
  <c r="BO229" i="2"/>
  <c r="BM229" i="2"/>
  <c r="Y229" i="2"/>
  <c r="P229" i="2"/>
  <c r="BO228" i="2"/>
  <c r="BM228" i="2"/>
  <c r="Y228" i="2"/>
  <c r="P228" i="2"/>
  <c r="BO227" i="2"/>
  <c r="BM227" i="2"/>
  <c r="Y227" i="2"/>
  <c r="BP227" i="2" s="1"/>
  <c r="P227" i="2"/>
  <c r="BP226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P222" i="2"/>
  <c r="X220" i="2"/>
  <c r="X219" i="2"/>
  <c r="BO218" i="2"/>
  <c r="BM218" i="2"/>
  <c r="Y218" i="2"/>
  <c r="BP218" i="2" s="1"/>
  <c r="P218" i="2"/>
  <c r="X215" i="2"/>
  <c r="X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P209" i="2"/>
  <c r="BP208" i="2"/>
  <c r="BO208" i="2"/>
  <c r="BN208" i="2"/>
  <c r="BM208" i="2"/>
  <c r="Z208" i="2"/>
  <c r="Y208" i="2"/>
  <c r="P208" i="2"/>
  <c r="BO207" i="2"/>
  <c r="BM207" i="2"/>
  <c r="Y207" i="2"/>
  <c r="BP207" i="2" s="1"/>
  <c r="P207" i="2"/>
  <c r="Y203" i="2"/>
  <c r="X203" i="2"/>
  <c r="Y202" i="2"/>
  <c r="X202" i="2"/>
  <c r="BP201" i="2"/>
  <c r="BO201" i="2"/>
  <c r="BN201" i="2"/>
  <c r="BM201" i="2"/>
  <c r="Z201" i="2"/>
  <c r="Z202" i="2" s="1"/>
  <c r="Y201" i="2"/>
  <c r="P201" i="2"/>
  <c r="X199" i="2"/>
  <c r="X198" i="2"/>
  <c r="BO197" i="2"/>
  <c r="BM197" i="2"/>
  <c r="Y197" i="2"/>
  <c r="P197" i="2"/>
  <c r="X195" i="2"/>
  <c r="X194" i="2"/>
  <c r="BO193" i="2"/>
  <c r="BM193" i="2"/>
  <c r="Y193" i="2"/>
  <c r="BP193" i="2" s="1"/>
  <c r="P193" i="2"/>
  <c r="BO192" i="2"/>
  <c r="BM192" i="2"/>
  <c r="Y192" i="2"/>
  <c r="BP192" i="2" s="1"/>
  <c r="P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BP184" i="2"/>
  <c r="BO184" i="2"/>
  <c r="BN184" i="2"/>
  <c r="BM184" i="2"/>
  <c r="Z184" i="2"/>
  <c r="Y184" i="2"/>
  <c r="P184" i="2"/>
  <c r="BO183" i="2"/>
  <c r="BM183" i="2"/>
  <c r="Y183" i="2"/>
  <c r="BP183" i="2" s="1"/>
  <c r="P183" i="2"/>
  <c r="BO182" i="2"/>
  <c r="BM182" i="2"/>
  <c r="Y182" i="2"/>
  <c r="BP182" i="2" s="1"/>
  <c r="P182" i="2"/>
  <c r="BP181" i="2"/>
  <c r="BO181" i="2"/>
  <c r="BM181" i="2"/>
  <c r="Y181" i="2"/>
  <c r="Z181" i="2" s="1"/>
  <c r="P181" i="2"/>
  <c r="BO180" i="2"/>
  <c r="BM180" i="2"/>
  <c r="Y180" i="2"/>
  <c r="P180" i="2"/>
  <c r="BO179" i="2"/>
  <c r="BM179" i="2"/>
  <c r="Y179" i="2"/>
  <c r="Z179" i="2" s="1"/>
  <c r="P179" i="2"/>
  <c r="BO178" i="2"/>
  <c r="BM178" i="2"/>
  <c r="Y178" i="2"/>
  <c r="P178" i="2"/>
  <c r="BO177" i="2"/>
  <c r="BM177" i="2"/>
  <c r="Y177" i="2"/>
  <c r="BP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BP172" i="2" s="1"/>
  <c r="P172" i="2"/>
  <c r="X170" i="2"/>
  <c r="X169" i="2"/>
  <c r="BO168" i="2"/>
  <c r="BM168" i="2"/>
  <c r="Y168" i="2"/>
  <c r="BP168" i="2" s="1"/>
  <c r="P168" i="2"/>
  <c r="BO167" i="2"/>
  <c r="BM167" i="2"/>
  <c r="Y167" i="2"/>
  <c r="P167" i="2"/>
  <c r="BP166" i="2"/>
  <c r="BO166" i="2"/>
  <c r="BM166" i="2"/>
  <c r="Y166" i="2"/>
  <c r="P166" i="2"/>
  <c r="BO165" i="2"/>
  <c r="BN165" i="2"/>
  <c r="BM165" i="2"/>
  <c r="Z165" i="2"/>
  <c r="Y165" i="2"/>
  <c r="P165" i="2"/>
  <c r="X162" i="2"/>
  <c r="Y161" i="2"/>
  <c r="X161" i="2"/>
  <c r="BP160" i="2"/>
  <c r="BO160" i="2"/>
  <c r="BM160" i="2"/>
  <c r="Y160" i="2"/>
  <c r="P160" i="2"/>
  <c r="X158" i="2"/>
  <c r="X157" i="2"/>
  <c r="BO156" i="2"/>
  <c r="BM156" i="2"/>
  <c r="Y156" i="2"/>
  <c r="Z156" i="2" s="1"/>
  <c r="P156" i="2"/>
  <c r="BO155" i="2"/>
  <c r="BM155" i="2"/>
  <c r="Y155" i="2"/>
  <c r="P155" i="2"/>
  <c r="BP154" i="2"/>
  <c r="BO154" i="2"/>
  <c r="BM154" i="2"/>
  <c r="Y154" i="2"/>
  <c r="BN154" i="2" s="1"/>
  <c r="P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P151" i="2"/>
  <c r="X148" i="2"/>
  <c r="X147" i="2"/>
  <c r="BO146" i="2"/>
  <c r="BM146" i="2"/>
  <c r="Y146" i="2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P140" i="2"/>
  <c r="BO140" i="2"/>
  <c r="BN140" i="2"/>
  <c r="BM140" i="2"/>
  <c r="Z140" i="2"/>
  <c r="Y140" i="2"/>
  <c r="P140" i="2"/>
  <c r="X138" i="2"/>
  <c r="X137" i="2"/>
  <c r="BO136" i="2"/>
  <c r="BM136" i="2"/>
  <c r="Y136" i="2"/>
  <c r="Z136" i="2" s="1"/>
  <c r="P136" i="2"/>
  <c r="BO135" i="2"/>
  <c r="BM135" i="2"/>
  <c r="Y135" i="2"/>
  <c r="BN135" i="2" s="1"/>
  <c r="P135" i="2"/>
  <c r="X132" i="2"/>
  <c r="X131" i="2"/>
  <c r="BO130" i="2"/>
  <c r="BM130" i="2"/>
  <c r="Y130" i="2"/>
  <c r="Y132" i="2" s="1"/>
  <c r="P130" i="2"/>
  <c r="X128" i="2"/>
  <c r="X127" i="2"/>
  <c r="BO126" i="2"/>
  <c r="BM126" i="2"/>
  <c r="Y126" i="2"/>
  <c r="BP126" i="2" s="1"/>
  <c r="P126" i="2"/>
  <c r="BO125" i="2"/>
  <c r="BM125" i="2"/>
  <c r="Y125" i="2"/>
  <c r="BP125" i="2" s="1"/>
  <c r="P125" i="2"/>
  <c r="BP124" i="2"/>
  <c r="BO124" i="2"/>
  <c r="BM124" i="2"/>
  <c r="Y124" i="2"/>
  <c r="Z124" i="2" s="1"/>
  <c r="P124" i="2"/>
  <c r="BO123" i="2"/>
  <c r="BM123" i="2"/>
  <c r="Y123" i="2"/>
  <c r="BP123" i="2" s="1"/>
  <c r="P123" i="2"/>
  <c r="X121" i="2"/>
  <c r="X120" i="2"/>
  <c r="BO119" i="2"/>
  <c r="BM119" i="2"/>
  <c r="Y119" i="2"/>
  <c r="BN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BP111" i="2" s="1"/>
  <c r="P111" i="2"/>
  <c r="BO110" i="2"/>
  <c r="BM110" i="2"/>
  <c r="Y110" i="2"/>
  <c r="P110" i="2"/>
  <c r="BP109" i="2"/>
  <c r="BO109" i="2"/>
  <c r="BM109" i="2"/>
  <c r="Y109" i="2"/>
  <c r="BN109" i="2" s="1"/>
  <c r="P109" i="2"/>
  <c r="BO108" i="2"/>
  <c r="BN108" i="2"/>
  <c r="BM108" i="2"/>
  <c r="Z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Z104" i="2" s="1"/>
  <c r="P104" i="2"/>
  <c r="BP103" i="2"/>
  <c r="BO103" i="2"/>
  <c r="BM103" i="2"/>
  <c r="Y103" i="2"/>
  <c r="P103" i="2"/>
  <c r="X100" i="2"/>
  <c r="X99" i="2"/>
  <c r="BO98" i="2"/>
  <c r="BM98" i="2"/>
  <c r="Y98" i="2"/>
  <c r="P98" i="2"/>
  <c r="BO97" i="2"/>
  <c r="BM97" i="2"/>
  <c r="Y97" i="2"/>
  <c r="P97" i="2"/>
  <c r="BO96" i="2"/>
  <c r="BM96" i="2"/>
  <c r="Y96" i="2"/>
  <c r="BP96" i="2" s="1"/>
  <c r="P96" i="2"/>
  <c r="BO95" i="2"/>
  <c r="BM95" i="2"/>
  <c r="Y95" i="2"/>
  <c r="BP95" i="2" s="1"/>
  <c r="P95" i="2"/>
  <c r="X93" i="2"/>
  <c r="X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BN88" i="2" s="1"/>
  <c r="P88" i="2"/>
  <c r="BO87" i="2"/>
  <c r="BM87" i="2"/>
  <c r="Y87" i="2"/>
  <c r="Z87" i="2" s="1"/>
  <c r="P87" i="2"/>
  <c r="X84" i="2"/>
  <c r="X83" i="2"/>
  <c r="BO82" i="2"/>
  <c r="BM82" i="2"/>
  <c r="Y82" i="2"/>
  <c r="BN82" i="2" s="1"/>
  <c r="P82" i="2"/>
  <c r="BO81" i="2"/>
  <c r="BM81" i="2"/>
  <c r="Y81" i="2"/>
  <c r="BP81" i="2" s="1"/>
  <c r="P81" i="2"/>
  <c r="BO80" i="2"/>
  <c r="BM80" i="2"/>
  <c r="Y80" i="2"/>
  <c r="P80" i="2"/>
  <c r="X78" i="2"/>
  <c r="X77" i="2"/>
  <c r="BO76" i="2"/>
  <c r="BM76" i="2"/>
  <c r="Y76" i="2"/>
  <c r="Y78" i="2" s="1"/>
  <c r="P76" i="2"/>
  <c r="BP75" i="2"/>
  <c r="BO75" i="2"/>
  <c r="BN75" i="2"/>
  <c r="BM75" i="2"/>
  <c r="Z75" i="2"/>
  <c r="Y75" i="2"/>
  <c r="P75" i="2"/>
  <c r="X73" i="2"/>
  <c r="X72" i="2"/>
  <c r="BO71" i="2"/>
  <c r="BM71" i="2"/>
  <c r="Y71" i="2"/>
  <c r="BP71" i="2" s="1"/>
  <c r="P71" i="2"/>
  <c r="BO70" i="2"/>
  <c r="BM70" i="2"/>
  <c r="Y70" i="2"/>
  <c r="Z70" i="2" s="1"/>
  <c r="P70" i="2"/>
  <c r="BO69" i="2"/>
  <c r="BM69" i="2"/>
  <c r="Y69" i="2"/>
  <c r="BN69" i="2" s="1"/>
  <c r="P69" i="2"/>
  <c r="BO68" i="2"/>
  <c r="BM68" i="2"/>
  <c r="Y68" i="2"/>
  <c r="Z68" i="2" s="1"/>
  <c r="P68" i="2"/>
  <c r="BO67" i="2"/>
  <c r="BM67" i="2"/>
  <c r="Y67" i="2"/>
  <c r="BN67" i="2" s="1"/>
  <c r="P67" i="2"/>
  <c r="X65" i="2"/>
  <c r="X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N59" i="2" s="1"/>
  <c r="P59" i="2"/>
  <c r="BO58" i="2"/>
  <c r="BM58" i="2"/>
  <c r="Y58" i="2"/>
  <c r="Z58" i="2" s="1"/>
  <c r="P58" i="2"/>
  <c r="BP57" i="2"/>
  <c r="BO57" i="2"/>
  <c r="BN57" i="2"/>
  <c r="BM57" i="2"/>
  <c r="Z57" i="2"/>
  <c r="Y57" i="2"/>
  <c r="P57" i="2"/>
  <c r="BO56" i="2"/>
  <c r="BM56" i="2"/>
  <c r="Y56" i="2"/>
  <c r="BP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P49" i="2"/>
  <c r="BO49" i="2"/>
  <c r="BM49" i="2"/>
  <c r="Y49" i="2"/>
  <c r="Z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Y43" i="2" s="1"/>
  <c r="P38" i="2"/>
  <c r="BO37" i="2"/>
  <c r="BM37" i="2"/>
  <c r="Y37" i="2"/>
  <c r="Z37" i="2" s="1"/>
  <c r="P37" i="2"/>
  <c r="X33" i="2"/>
  <c r="X32" i="2"/>
  <c r="BO31" i="2"/>
  <c r="BM31" i="2"/>
  <c r="Y31" i="2"/>
  <c r="P31" i="2"/>
  <c r="BO30" i="2"/>
  <c r="BM30" i="2"/>
  <c r="Y30" i="2"/>
  <c r="BN30" i="2" s="1"/>
  <c r="P30" i="2"/>
  <c r="BO29" i="2"/>
  <c r="BM29" i="2"/>
  <c r="Y29" i="2"/>
  <c r="BP29" i="2" s="1"/>
  <c r="P29" i="2"/>
  <c r="BP28" i="2"/>
  <c r="BO28" i="2"/>
  <c r="BN28" i="2"/>
  <c r="BM28" i="2"/>
  <c r="Z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F9" i="2" s="1"/>
  <c r="D7" i="2"/>
  <c r="Q6" i="2"/>
  <c r="P2" i="2"/>
  <c r="BN29" i="2" l="1"/>
  <c r="BN40" i="2"/>
  <c r="BN55" i="2"/>
  <c r="BN63" i="2"/>
  <c r="BN76" i="2"/>
  <c r="BP97" i="2"/>
  <c r="BN97" i="2"/>
  <c r="Z97" i="2"/>
  <c r="BN98" i="2"/>
  <c r="BP98" i="2"/>
  <c r="BP146" i="2"/>
  <c r="Z146" i="2"/>
  <c r="BN173" i="2"/>
  <c r="Y175" i="2"/>
  <c r="BP178" i="2"/>
  <c r="BN178" i="2"/>
  <c r="Z178" i="2"/>
  <c r="BN207" i="2"/>
  <c r="BP213" i="2"/>
  <c r="BN213" i="2"/>
  <c r="Z213" i="2"/>
  <c r="BN222" i="2"/>
  <c r="BP222" i="2"/>
  <c r="BN235" i="2"/>
  <c r="BN240" i="2"/>
  <c r="Z240" i="2"/>
  <c r="BN241" i="2"/>
  <c r="BP241" i="2"/>
  <c r="BN268" i="2"/>
  <c r="BN273" i="2"/>
  <c r="Z273" i="2"/>
  <c r="BN274" i="2"/>
  <c r="BP274" i="2"/>
  <c r="BN284" i="2"/>
  <c r="BP284" i="2"/>
  <c r="BN305" i="2"/>
  <c r="BP305" i="2"/>
  <c r="BP367" i="2"/>
  <c r="BN367" i="2"/>
  <c r="Z367" i="2"/>
  <c r="BP387" i="2"/>
  <c r="BN387" i="2"/>
  <c r="Z387" i="2"/>
  <c r="BN389" i="2"/>
  <c r="Z389" i="2"/>
  <c r="BP414" i="2"/>
  <c r="BN414" i="2"/>
  <c r="Z414" i="2"/>
  <c r="BP439" i="2"/>
  <c r="BN439" i="2"/>
  <c r="Z439" i="2"/>
  <c r="BN440" i="2"/>
  <c r="BP440" i="2"/>
  <c r="BP498" i="2"/>
  <c r="BN498" i="2"/>
  <c r="Z498" i="2"/>
  <c r="BP526" i="2"/>
  <c r="BN526" i="2"/>
  <c r="Z526" i="2"/>
  <c r="BP527" i="2"/>
  <c r="BN527" i="2"/>
  <c r="Z527" i="2"/>
  <c r="BN529" i="2"/>
  <c r="Z529" i="2"/>
  <c r="X563" i="2"/>
  <c r="BN37" i="2"/>
  <c r="Z80" i="2"/>
  <c r="BN80" i="2"/>
  <c r="BN91" i="2"/>
  <c r="BN106" i="2"/>
  <c r="BP117" i="2"/>
  <c r="BN117" i="2"/>
  <c r="Z117" i="2"/>
  <c r="BN183" i="2"/>
  <c r="Z191" i="2"/>
  <c r="Y195" i="2"/>
  <c r="BP191" i="2"/>
  <c r="BP229" i="2"/>
  <c r="BN229" i="2"/>
  <c r="Z229" i="2"/>
  <c r="Y259" i="2"/>
  <c r="Y260" i="2"/>
  <c r="BP264" i="2"/>
  <c r="BN264" i="2"/>
  <c r="Z264" i="2"/>
  <c r="BP292" i="2"/>
  <c r="BN292" i="2"/>
  <c r="Z292" i="2"/>
  <c r="BN332" i="2"/>
  <c r="BP348" i="2"/>
  <c r="BN348" i="2"/>
  <c r="Z348" i="2"/>
  <c r="BN371" i="2"/>
  <c r="Z371" i="2"/>
  <c r="BN401" i="2"/>
  <c r="BP406" i="2"/>
  <c r="BN406" i="2"/>
  <c r="Z406" i="2"/>
  <c r="BP452" i="2"/>
  <c r="BN452" i="2"/>
  <c r="Z452" i="2"/>
  <c r="Y464" i="2"/>
  <c r="BN462" i="2"/>
  <c r="Z462" i="2"/>
  <c r="BN463" i="2"/>
  <c r="BP463" i="2"/>
  <c r="BP480" i="2"/>
  <c r="BN480" i="2"/>
  <c r="Z480" i="2"/>
  <c r="Y501" i="2"/>
  <c r="BN511" i="2"/>
  <c r="BP511" i="2"/>
  <c r="BP544" i="2"/>
  <c r="Y546" i="2"/>
  <c r="BN95" i="2"/>
  <c r="BN193" i="2"/>
  <c r="BN218" i="2"/>
  <c r="BN278" i="2"/>
  <c r="Y350" i="2"/>
  <c r="BN347" i="2"/>
  <c r="BN388" i="2"/>
  <c r="BN437" i="2"/>
  <c r="Z29" i="2"/>
  <c r="BP30" i="2"/>
  <c r="BP37" i="2"/>
  <c r="BN39" i="2"/>
  <c r="Z40" i="2"/>
  <c r="Z55" i="2"/>
  <c r="BN56" i="2"/>
  <c r="Z59" i="2"/>
  <c r="BP60" i="2"/>
  <c r="BN62" i="2"/>
  <c r="Z63" i="2"/>
  <c r="BP69" i="2"/>
  <c r="BP76" i="2"/>
  <c r="BP80" i="2"/>
  <c r="BN81" i="2"/>
  <c r="Y99" i="2"/>
  <c r="BN116" i="2"/>
  <c r="BN126" i="2"/>
  <c r="Y128" i="2"/>
  <c r="Y142" i="2"/>
  <c r="BN155" i="2"/>
  <c r="BP155" i="2"/>
  <c r="Z155" i="2"/>
  <c r="BP185" i="2"/>
  <c r="BN185" i="2"/>
  <c r="Z185" i="2"/>
  <c r="BN186" i="2"/>
  <c r="BP186" i="2"/>
  <c r="BP209" i="2"/>
  <c r="BN209" i="2"/>
  <c r="Z209" i="2"/>
  <c r="BN210" i="2"/>
  <c r="BP210" i="2"/>
  <c r="Z393" i="2"/>
  <c r="BN393" i="2"/>
  <c r="BN519" i="2"/>
  <c r="Z519" i="2"/>
  <c r="BN23" i="2"/>
  <c r="BN27" i="2"/>
  <c r="BN41" i="2"/>
  <c r="Z67" i="2"/>
  <c r="BP67" i="2"/>
  <c r="Z69" i="2"/>
  <c r="BP70" i="2"/>
  <c r="BN87" i="2"/>
  <c r="BP91" i="2"/>
  <c r="BN96" i="2"/>
  <c r="BN107" i="2"/>
  <c r="BN118" i="2"/>
  <c r="Y120" i="2"/>
  <c r="Z123" i="2"/>
  <c r="BP130" i="2"/>
  <c r="Y138" i="2"/>
  <c r="BP135" i="2"/>
  <c r="BN136" i="2"/>
  <c r="BN141" i="2"/>
  <c r="BP223" i="2"/>
  <c r="Z223" i="2"/>
  <c r="BN223" i="2"/>
  <c r="BP230" i="2"/>
  <c r="Z230" i="2"/>
  <c r="BN230" i="2"/>
  <c r="BP277" i="2"/>
  <c r="Z277" i="2"/>
  <c r="BN277" i="2"/>
  <c r="BN451" i="2"/>
  <c r="Y454" i="2"/>
  <c r="BP451" i="2"/>
  <c r="BN499" i="2"/>
  <c r="Y502" i="2"/>
  <c r="BP499" i="2"/>
  <c r="BP48" i="2"/>
  <c r="BN152" i="2"/>
  <c r="Z152" i="2"/>
  <c r="BP228" i="2"/>
  <c r="BN228" i="2"/>
  <c r="BP254" i="2"/>
  <c r="Z254" i="2"/>
  <c r="BN254" i="2"/>
  <c r="BN279" i="2"/>
  <c r="Z279" i="2"/>
  <c r="Z338" i="2"/>
  <c r="BN338" i="2"/>
  <c r="BP361" i="2"/>
  <c r="Z361" i="2"/>
  <c r="BN361" i="2"/>
  <c r="BN381" i="2"/>
  <c r="Z381" i="2"/>
  <c r="BP426" i="2"/>
  <c r="Z426" i="2"/>
  <c r="BN426" i="2"/>
  <c r="Z435" i="2"/>
  <c r="BP435" i="2"/>
  <c r="BP473" i="2"/>
  <c r="Z473" i="2"/>
  <c r="BN473" i="2"/>
  <c r="Y490" i="2"/>
  <c r="Y491" i="2"/>
  <c r="BP23" i="2"/>
  <c r="Z41" i="2"/>
  <c r="Z48" i="2"/>
  <c r="BP59" i="2"/>
  <c r="Y83" i="2"/>
  <c r="BP88" i="2"/>
  <c r="Z96" i="2"/>
  <c r="Y112" i="2"/>
  <c r="BP104" i="2"/>
  <c r="Z107" i="2"/>
  <c r="Z118" i="2"/>
  <c r="BP119" i="2"/>
  <c r="BP136" i="2"/>
  <c r="Y143" i="2"/>
  <c r="Z141" i="2"/>
  <c r="Z142" i="2" s="1"/>
  <c r="BN153" i="2"/>
  <c r="BP153" i="2"/>
  <c r="Z153" i="2"/>
  <c r="BN160" i="2"/>
  <c r="Y162" i="2"/>
  <c r="Z160" i="2"/>
  <c r="Z161" i="2" s="1"/>
  <c r="BP180" i="2"/>
  <c r="Z180" i="2"/>
  <c r="Y199" i="2"/>
  <c r="BP197" i="2"/>
  <c r="BN248" i="2"/>
  <c r="Z248" i="2"/>
  <c r="BN299" i="2"/>
  <c r="Z299" i="2"/>
  <c r="Z301" i="2" s="1"/>
  <c r="BP368" i="2"/>
  <c r="BN368" i="2"/>
  <c r="BP456" i="2"/>
  <c r="Z456" i="2"/>
  <c r="Y459" i="2"/>
  <c r="BN456" i="2"/>
  <c r="Y458" i="2"/>
  <c r="BP481" i="2"/>
  <c r="Z481" i="2"/>
  <c r="BN481" i="2"/>
  <c r="BN484" i="2"/>
  <c r="Z484" i="2"/>
  <c r="Z506" i="2"/>
  <c r="BN506" i="2"/>
  <c r="BN509" i="2"/>
  <c r="Z509" i="2"/>
  <c r="BP519" i="2"/>
  <c r="Z544" i="2"/>
  <c r="Z545" i="2" s="1"/>
  <c r="Y545" i="2"/>
  <c r="BN544" i="2"/>
  <c r="AC571" i="2"/>
  <c r="BP558" i="2"/>
  <c r="Y219" i="2"/>
  <c r="BP236" i="2"/>
  <c r="Y249" i="2"/>
  <c r="Z244" i="2"/>
  <c r="BP244" i="2"/>
  <c r="BN245" i="2"/>
  <c r="Z246" i="2"/>
  <c r="BN258" i="2"/>
  <c r="BP269" i="2"/>
  <c r="Y271" i="2"/>
  <c r="Z287" i="2"/>
  <c r="BP287" i="2"/>
  <c r="BN288" i="2"/>
  <c r="Z289" i="2"/>
  <c r="Z308" i="2"/>
  <c r="BP308" i="2"/>
  <c r="BN309" i="2"/>
  <c r="Z310" i="2"/>
  <c r="Y316" i="2"/>
  <c r="BP333" i="2"/>
  <c r="Z349" i="2"/>
  <c r="Z360" i="2"/>
  <c r="BP371" i="2"/>
  <c r="Z377" i="2"/>
  <c r="BP377" i="2"/>
  <c r="BN378" i="2"/>
  <c r="Z379" i="2"/>
  <c r="Z382" i="2"/>
  <c r="BP382" i="2"/>
  <c r="BP389" i="2"/>
  <c r="Y404" i="2"/>
  <c r="BP413" i="2"/>
  <c r="Z420" i="2"/>
  <c r="BP420" i="2"/>
  <c r="Y429" i="2"/>
  <c r="Z438" i="2"/>
  <c r="BP438" i="2"/>
  <c r="Y448" i="2"/>
  <c r="Z457" i="2"/>
  <c r="Y468" i="2"/>
  <c r="Z472" i="2"/>
  <c r="Z482" i="2"/>
  <c r="Z571" i="2"/>
  <c r="Z507" i="2"/>
  <c r="Z510" i="2"/>
  <c r="BP510" i="2"/>
  <c r="Z512" i="2"/>
  <c r="BP512" i="2"/>
  <c r="Z520" i="2"/>
  <c r="BP520" i="2"/>
  <c r="BP525" i="2"/>
  <c r="BP530" i="2"/>
  <c r="Y550" i="2"/>
  <c r="Y220" i="2"/>
  <c r="BP231" i="2"/>
  <c r="BP263" i="2"/>
  <c r="Y270" i="2"/>
  <c r="Y282" i="2"/>
  <c r="BP291" i="2"/>
  <c r="BP293" i="2"/>
  <c r="BP315" i="2"/>
  <c r="BP328" i="2"/>
  <c r="Y334" i="2"/>
  <c r="BP339" i="2"/>
  <c r="Y351" i="2"/>
  <c r="BN349" i="2"/>
  <c r="BP369" i="2"/>
  <c r="Y390" i="2"/>
  <c r="BP394" i="2"/>
  <c r="BN425" i="2"/>
  <c r="Y428" i="2"/>
  <c r="BP445" i="2"/>
  <c r="X571" i="2"/>
  <c r="BN525" i="2"/>
  <c r="BP529" i="2"/>
  <c r="BN530" i="2"/>
  <c r="BP246" i="2"/>
  <c r="Y265" i="2"/>
  <c r="BP289" i="2"/>
  <c r="BP310" i="2"/>
  <c r="Z362" i="2"/>
  <c r="BP360" i="2"/>
  <c r="BP379" i="2"/>
  <c r="BP457" i="2"/>
  <c r="BP472" i="2"/>
  <c r="BP482" i="2"/>
  <c r="BP507" i="2"/>
  <c r="Y555" i="2"/>
  <c r="V571" i="2"/>
  <c r="Y147" i="2"/>
  <c r="BP145" i="2"/>
  <c r="BN145" i="2"/>
  <c r="Y148" i="2"/>
  <c r="BP295" i="2"/>
  <c r="BN295" i="2"/>
  <c r="Y325" i="2"/>
  <c r="Y324" i="2"/>
  <c r="BP323" i="2"/>
  <c r="BN323" i="2"/>
  <c r="Y416" i="2"/>
  <c r="BP412" i="2"/>
  <c r="Y415" i="2"/>
  <c r="BN412" i="2"/>
  <c r="W571" i="2"/>
  <c r="Y442" i="2"/>
  <c r="BP433" i="2"/>
  <c r="BN433" i="2"/>
  <c r="Z145" i="2"/>
  <c r="BN224" i="2"/>
  <c r="BP224" i="2"/>
  <c r="L571" i="2"/>
  <c r="BP247" i="2"/>
  <c r="BN247" i="2"/>
  <c r="Z295" i="2"/>
  <c r="Z323" i="2"/>
  <c r="Z324" i="2" s="1"/>
  <c r="Z412" i="2"/>
  <c r="Z433" i="2"/>
  <c r="BP483" i="2"/>
  <c r="BN483" i="2"/>
  <c r="Z483" i="2"/>
  <c r="AA571" i="2"/>
  <c r="BP167" i="2"/>
  <c r="BN167" i="2"/>
  <c r="Z167" i="2"/>
  <c r="Z224" i="2"/>
  <c r="Z247" i="2"/>
  <c r="X565" i="2"/>
  <c r="BP380" i="2"/>
  <c r="BN380" i="2"/>
  <c r="Y522" i="2"/>
  <c r="BP518" i="2"/>
  <c r="Y521" i="2"/>
  <c r="BN518" i="2"/>
  <c r="Z518" i="2"/>
  <c r="X561" i="2"/>
  <c r="Y64" i="2"/>
  <c r="Y73" i="2"/>
  <c r="Y72" i="2"/>
  <c r="BN68" i="2"/>
  <c r="BP68" i="2"/>
  <c r="BP280" i="2"/>
  <c r="BN280" i="2"/>
  <c r="Z380" i="2"/>
  <c r="BP528" i="2"/>
  <c r="BN528" i="2"/>
  <c r="Z528" i="2"/>
  <c r="Y189" i="2"/>
  <c r="BP187" i="2"/>
  <c r="BN187" i="2"/>
  <c r="Z187" i="2"/>
  <c r="Y441" i="2"/>
  <c r="Y65" i="2"/>
  <c r="BN58" i="2"/>
  <c r="BP58" i="2"/>
  <c r="F571" i="2"/>
  <c r="BP110" i="2"/>
  <c r="Z110" i="2"/>
  <c r="BN110" i="2"/>
  <c r="BP156" i="2"/>
  <c r="BN156" i="2"/>
  <c r="J571" i="2"/>
  <c r="BP232" i="2"/>
  <c r="BN232" i="2"/>
  <c r="Z232" i="2"/>
  <c r="BP290" i="2"/>
  <c r="BN290" i="2"/>
  <c r="Y342" i="2"/>
  <c r="Y396" i="2"/>
  <c r="BP395" i="2"/>
  <c r="BN395" i="2"/>
  <c r="Z395" i="2"/>
  <c r="BP306" i="2"/>
  <c r="BN306" i="2"/>
  <c r="Z306" i="2"/>
  <c r="O571" i="2"/>
  <c r="Y409" i="2"/>
  <c r="BP407" i="2"/>
  <c r="BN407" i="2"/>
  <c r="Y410" i="2"/>
  <c r="Y363" i="2"/>
  <c r="S571" i="2"/>
  <c r="BP359" i="2"/>
  <c r="Y362" i="2"/>
  <c r="BN359" i="2"/>
  <c r="Y188" i="2"/>
  <c r="BP179" i="2"/>
  <c r="BN179" i="2"/>
  <c r="H9" i="2"/>
  <c r="F10" i="2"/>
  <c r="A10" i="2"/>
  <c r="J9" i="2"/>
  <c r="Y32" i="2"/>
  <c r="Y33" i="2"/>
  <c r="Z31" i="2"/>
  <c r="BP31" i="2"/>
  <c r="BN31" i="2"/>
  <c r="BP242" i="2"/>
  <c r="Z242" i="2"/>
  <c r="BN242" i="2"/>
  <c r="Y52" i="2"/>
  <c r="Y51" i="2"/>
  <c r="D571" i="2"/>
  <c r="BN47" i="2"/>
  <c r="BP47" i="2"/>
  <c r="Z47" i="2"/>
  <c r="I571" i="2"/>
  <c r="Y158" i="2"/>
  <c r="Y157" i="2"/>
  <c r="BP151" i="2"/>
  <c r="BN151" i="2"/>
  <c r="Y169" i="2"/>
  <c r="BP329" i="2"/>
  <c r="BN329" i="2"/>
  <c r="Z329" i="2"/>
  <c r="Y486" i="2"/>
  <c r="BP89" i="2"/>
  <c r="Z89" i="2"/>
  <c r="BN89" i="2"/>
  <c r="X562" i="2"/>
  <c r="X564" i="2" s="1"/>
  <c r="Z151" i="2"/>
  <c r="Y250" i="2"/>
  <c r="Y301" i="2"/>
  <c r="BP300" i="2"/>
  <c r="BN300" i="2"/>
  <c r="Y397" i="2"/>
  <c r="Y475" i="2"/>
  <c r="BP471" i="2"/>
  <c r="Y474" i="2"/>
  <c r="BN471" i="2"/>
  <c r="Z471" i="2"/>
  <c r="Y515" i="2"/>
  <c r="BP508" i="2"/>
  <c r="BN508" i="2"/>
  <c r="Z508" i="2"/>
  <c r="Y237" i="2"/>
  <c r="BP275" i="2"/>
  <c r="BN275" i="2"/>
  <c r="Z275" i="2"/>
  <c r="M571" i="2"/>
  <c r="Y485" i="2"/>
  <c r="Y341" i="2"/>
  <c r="BP340" i="2"/>
  <c r="BN340" i="2"/>
  <c r="Z340" i="2"/>
  <c r="Y170" i="2"/>
  <c r="Y113" i="2"/>
  <c r="BP311" i="2"/>
  <c r="BN311" i="2"/>
  <c r="BP370" i="2"/>
  <c r="BN370" i="2"/>
  <c r="E571" i="2"/>
  <c r="Y256" i="2"/>
  <c r="BP252" i="2"/>
  <c r="Z252" i="2"/>
  <c r="Y255" i="2"/>
  <c r="BN252" i="2"/>
  <c r="Z72" i="2"/>
  <c r="BP211" i="2"/>
  <c r="BN211" i="2"/>
  <c r="Z211" i="2"/>
  <c r="BP285" i="2"/>
  <c r="BN285" i="2"/>
  <c r="Z285" i="2"/>
  <c r="Z311" i="2"/>
  <c r="Y355" i="2"/>
  <c r="BP353" i="2"/>
  <c r="BN353" i="2"/>
  <c r="Y356" i="2"/>
  <c r="Z370" i="2"/>
  <c r="BN49" i="2"/>
  <c r="BN60" i="2"/>
  <c r="BN70" i="2"/>
  <c r="BP82" i="2"/>
  <c r="BN104" i="2"/>
  <c r="BN124" i="2"/>
  <c r="Y127" i="2"/>
  <c r="Z135" i="2"/>
  <c r="Z137" i="2" s="1"/>
  <c r="Y174" i="2"/>
  <c r="BN181" i="2"/>
  <c r="BN191" i="2"/>
  <c r="Y194" i="2"/>
  <c r="BN226" i="2"/>
  <c r="Y321" i="2"/>
  <c r="BN345" i="2"/>
  <c r="BN399" i="2"/>
  <c r="BN435" i="2"/>
  <c r="BN445" i="2"/>
  <c r="Y469" i="2"/>
  <c r="Y516" i="2"/>
  <c r="Y554" i="2"/>
  <c r="K571" i="2"/>
  <c r="Z488" i="2"/>
  <c r="BN513" i="2"/>
  <c r="P571" i="2"/>
  <c r="Z38" i="2"/>
  <c r="Z50" i="2"/>
  <c r="Z105" i="2"/>
  <c r="Z115" i="2"/>
  <c r="Z172" i="2"/>
  <c r="Y335" i="2"/>
  <c r="Y373" i="2"/>
  <c r="Y383" i="2"/>
  <c r="Y391" i="2"/>
  <c r="Z400" i="2"/>
  <c r="Z436" i="2"/>
  <c r="Z446" i="2"/>
  <c r="Z494" i="2"/>
  <c r="Z495" i="2" s="1"/>
  <c r="Y531" i="2"/>
  <c r="Z540" i="2"/>
  <c r="Z541" i="2" s="1"/>
  <c r="Z552" i="2"/>
  <c r="Q571" i="2"/>
  <c r="Z71" i="2"/>
  <c r="Y84" i="2"/>
  <c r="Z227" i="2"/>
  <c r="Z346" i="2"/>
  <c r="Y24" i="2"/>
  <c r="Z56" i="2"/>
  <c r="Z76" i="2"/>
  <c r="Z77" i="2" s="1"/>
  <c r="Y92" i="2"/>
  <c r="Y100" i="2"/>
  <c r="Y121" i="2"/>
  <c r="Z130" i="2"/>
  <c r="Z131" i="2" s="1"/>
  <c r="Z154" i="2"/>
  <c r="Z177" i="2"/>
  <c r="Z197" i="2"/>
  <c r="Z198" i="2" s="1"/>
  <c r="Y214" i="2"/>
  <c r="Z222" i="2"/>
  <c r="Z263" i="2"/>
  <c r="Z265" i="2" s="1"/>
  <c r="Z293" i="2"/>
  <c r="Y317" i="2"/>
  <c r="Y421" i="2"/>
  <c r="Z451" i="2"/>
  <c r="Z453" i="2" s="1"/>
  <c r="Y465" i="2"/>
  <c r="BN488" i="2"/>
  <c r="Z499" i="2"/>
  <c r="Z501" i="2" s="1"/>
  <c r="Z511" i="2"/>
  <c r="Z558" i="2"/>
  <c r="Z559" i="2" s="1"/>
  <c r="R571" i="2"/>
  <c r="Z61" i="2"/>
  <c r="Z125" i="2"/>
  <c r="Z182" i="2"/>
  <c r="Z192" i="2"/>
  <c r="Y238" i="2"/>
  <c r="BN38" i="2"/>
  <c r="BN50" i="2"/>
  <c r="BN61" i="2"/>
  <c r="BN71" i="2"/>
  <c r="Z81" i="2"/>
  <c r="BN105" i="2"/>
  <c r="BN115" i="2"/>
  <c r="BN125" i="2"/>
  <c r="BN172" i="2"/>
  <c r="BN182" i="2"/>
  <c r="BN192" i="2"/>
  <c r="BN227" i="2"/>
  <c r="Z235" i="2"/>
  <c r="Z245" i="2"/>
  <c r="Z268" i="2"/>
  <c r="Z270" i="2" s="1"/>
  <c r="Z278" i="2"/>
  <c r="Z288" i="2"/>
  <c r="Z309" i="2"/>
  <c r="Z332" i="2"/>
  <c r="BN346" i="2"/>
  <c r="Z368" i="2"/>
  <c r="Z378" i="2"/>
  <c r="Z388" i="2"/>
  <c r="BN400" i="2"/>
  <c r="Y403" i="2"/>
  <c r="BN436" i="2"/>
  <c r="BN446" i="2"/>
  <c r="BN494" i="2"/>
  <c r="BN540" i="2"/>
  <c r="BN552" i="2"/>
  <c r="BN130" i="2"/>
  <c r="BN177" i="2"/>
  <c r="BN197" i="2"/>
  <c r="Y296" i="2"/>
  <c r="Y374" i="2"/>
  <c r="Y384" i="2"/>
  <c r="BP488" i="2"/>
  <c r="Y532" i="2"/>
  <c r="BN558" i="2"/>
  <c r="T571" i="2"/>
  <c r="Y25" i="2"/>
  <c r="BP38" i="2"/>
  <c r="Y93" i="2"/>
  <c r="Z103" i="2"/>
  <c r="Y215" i="2"/>
  <c r="Z225" i="2"/>
  <c r="Y281" i="2"/>
  <c r="Y312" i="2"/>
  <c r="Z319" i="2"/>
  <c r="Z320" i="2" s="1"/>
  <c r="BP346" i="2"/>
  <c r="Z354" i="2"/>
  <c r="Z355" i="2" s="1"/>
  <c r="Z408" i="2"/>
  <c r="Z409" i="2" s="1"/>
  <c r="Y422" i="2"/>
  <c r="Z434" i="2"/>
  <c r="Z444" i="2"/>
  <c r="Z447" i="2" s="1"/>
  <c r="BP446" i="2"/>
  <c r="Z467" i="2"/>
  <c r="Z468" i="2" s="1"/>
  <c r="BP494" i="2"/>
  <c r="Z514" i="2"/>
  <c r="BP540" i="2"/>
  <c r="B571" i="2"/>
  <c r="U571" i="2"/>
  <c r="BN123" i="2"/>
  <c r="BN146" i="2"/>
  <c r="Z168" i="2"/>
  <c r="BN180" i="2"/>
  <c r="Z212" i="2"/>
  <c r="BN225" i="2"/>
  <c r="Z233" i="2"/>
  <c r="Z243" i="2"/>
  <c r="Z253" i="2"/>
  <c r="Z276" i="2"/>
  <c r="Z286" i="2"/>
  <c r="Y297" i="2"/>
  <c r="Z307" i="2"/>
  <c r="BN319" i="2"/>
  <c r="Z330" i="2"/>
  <c r="BN354" i="2"/>
  <c r="Z366" i="2"/>
  <c r="Z376" i="2"/>
  <c r="Z386" i="2"/>
  <c r="BN408" i="2"/>
  <c r="Z419" i="2"/>
  <c r="BN434" i="2"/>
  <c r="BN444" i="2"/>
  <c r="Y447" i="2"/>
  <c r="BN467" i="2"/>
  <c r="Z479" i="2"/>
  <c r="Z489" i="2"/>
  <c r="Y495" i="2"/>
  <c r="BP506" i="2"/>
  <c r="BN514" i="2"/>
  <c r="Z524" i="2"/>
  <c r="Z536" i="2"/>
  <c r="Z537" i="2" s="1"/>
  <c r="Y541" i="2"/>
  <c r="Z548" i="2"/>
  <c r="Z549" i="2" s="1"/>
  <c r="C571" i="2"/>
  <c r="Z22" i="2"/>
  <c r="Z24" i="2" s="1"/>
  <c r="Z90" i="2"/>
  <c r="BN103" i="2"/>
  <c r="Z111" i="2"/>
  <c r="Z27" i="2"/>
  <c r="Z39" i="2"/>
  <c r="Z62" i="2"/>
  <c r="Y77" i="2"/>
  <c r="BP87" i="2"/>
  <c r="Z95" i="2"/>
  <c r="Z106" i="2"/>
  <c r="Z116" i="2"/>
  <c r="Z126" i="2"/>
  <c r="Y131" i="2"/>
  <c r="BP165" i="2"/>
  <c r="Z173" i="2"/>
  <c r="Z183" i="2"/>
  <c r="Z193" i="2"/>
  <c r="Y198" i="2"/>
  <c r="Z207" i="2"/>
  <c r="Z218" i="2"/>
  <c r="Z219" i="2" s="1"/>
  <c r="Z228" i="2"/>
  <c r="BP240" i="2"/>
  <c r="Z258" i="2"/>
  <c r="Z259" i="2" s="1"/>
  <c r="BP273" i="2"/>
  <c r="Y302" i="2"/>
  <c r="Y313" i="2"/>
  <c r="BP338" i="2"/>
  <c r="Z347" i="2"/>
  <c r="BP393" i="2"/>
  <c r="Z401" i="2"/>
  <c r="Z425" i="2"/>
  <c r="Z437" i="2"/>
  <c r="BP462" i="2"/>
  <c r="Z553" i="2"/>
  <c r="Y559" i="2"/>
  <c r="BN111" i="2"/>
  <c r="Y137" i="2"/>
  <c r="BN168" i="2"/>
  <c r="BN212" i="2"/>
  <c r="BN233" i="2"/>
  <c r="BN243" i="2"/>
  <c r="BN253" i="2"/>
  <c r="BN276" i="2"/>
  <c r="BN286" i="2"/>
  <c r="BN307" i="2"/>
  <c r="BP319" i="2"/>
  <c r="BN330" i="2"/>
  <c r="BN366" i="2"/>
  <c r="BN376" i="2"/>
  <c r="BN386" i="2"/>
  <c r="BN419" i="2"/>
  <c r="BN479" i="2"/>
  <c r="BN489" i="2"/>
  <c r="BN524" i="2"/>
  <c r="BN536" i="2"/>
  <c r="BN548" i="2"/>
  <c r="Y571" i="2"/>
  <c r="Y42" i="2"/>
  <c r="Y496" i="2"/>
  <c r="BN553" i="2"/>
  <c r="G571" i="2"/>
  <c r="BN22" i="2"/>
  <c r="Z82" i="2"/>
  <c r="Z109" i="2"/>
  <c r="Z119" i="2"/>
  <c r="Z166" i="2"/>
  <c r="Z169" i="2" s="1"/>
  <c r="Z186" i="2"/>
  <c r="Z210" i="2"/>
  <c r="Z315" i="2"/>
  <c r="Z316" i="2" s="1"/>
  <c r="Z328" i="2"/>
  <c r="Z339" i="2"/>
  <c r="Z394" i="2"/>
  <c r="Z396" i="2" s="1"/>
  <c r="Z440" i="2"/>
  <c r="Z463" i="2"/>
  <c r="Z464" i="2" s="1"/>
  <c r="BP479" i="2"/>
  <c r="BP536" i="2"/>
  <c r="BP548" i="2"/>
  <c r="Y560" i="2"/>
  <c r="H571" i="2"/>
  <c r="BN90" i="2"/>
  <c r="Z30" i="2"/>
  <c r="Z88" i="2"/>
  <c r="Z98" i="2"/>
  <c r="Z231" i="2"/>
  <c r="Z241" i="2"/>
  <c r="Z274" i="2"/>
  <c r="Z281" i="2" s="1"/>
  <c r="Z284" i="2"/>
  <c r="Z305" i="2"/>
  <c r="Z345" i="2"/>
  <c r="BP425" i="2"/>
  <c r="AB571" i="2"/>
  <c r="BN166" i="2"/>
  <c r="Z249" i="2" l="1"/>
  <c r="Z341" i="2"/>
  <c r="Z428" i="2"/>
  <c r="Z531" i="2"/>
  <c r="Z421" i="2"/>
  <c r="Z554" i="2"/>
  <c r="Z474" i="2"/>
  <c r="Z521" i="2"/>
  <c r="Z415" i="2"/>
  <c r="Z147" i="2"/>
  <c r="Z92" i="2"/>
  <c r="Z174" i="2"/>
  <c r="Z42" i="2"/>
  <c r="Z157" i="2"/>
  <c r="Y563" i="2"/>
  <c r="Z194" i="2"/>
  <c r="Z255" i="2"/>
  <c r="Z515" i="2"/>
  <c r="Z390" i="2"/>
  <c r="Z83" i="2"/>
  <c r="Z403" i="2"/>
  <c r="Z490" i="2"/>
  <c r="Z51" i="2"/>
  <c r="Z458" i="2"/>
  <c r="Z441" i="2"/>
  <c r="Z99" i="2"/>
  <c r="Y562" i="2"/>
  <c r="Y564" i="2" s="1"/>
  <c r="Z485" i="2"/>
  <c r="Z188" i="2"/>
  <c r="Z127" i="2"/>
  <c r="Z64" i="2"/>
  <c r="Y565" i="2"/>
  <c r="Z120" i="2"/>
  <c r="Z383" i="2"/>
  <c r="Z237" i="2"/>
  <c r="Z373" i="2"/>
  <c r="Z32" i="2"/>
  <c r="Z350" i="2"/>
  <c r="Z214" i="2"/>
  <c r="Z112" i="2"/>
  <c r="Z312" i="2"/>
  <c r="Z334" i="2"/>
  <c r="Z296" i="2"/>
  <c r="Y561" i="2"/>
  <c r="Z566" i="2" l="1"/>
</calcChain>
</file>

<file path=xl/sharedStrings.xml><?xml version="1.0" encoding="utf-8"?>
<sst xmlns="http://schemas.openxmlformats.org/spreadsheetml/2006/main" count="4359" uniqueCount="922">
  <si>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</si>
  <si>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</si>
  <si>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</si>
  <si>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</si>
  <si>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</si>
  <si>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</si>
  <si>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</si>
  <si>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</si>
  <si>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</si>
  <si>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</si>
  <si>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</si>
  <si>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</si>
  <si>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</si>
  <si>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</si>
  <si>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</si>
  <si>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</si>
  <si>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</si>
  <si>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</si>
  <si>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</si>
  <si>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</si>
  <si>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</si>
  <si>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</si>
  <si>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</si>
  <si>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</si>
  <si>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</si>
  <si>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</si>
  <si>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</si>
  <si>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</si>
  <si>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</si>
  <si>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</si>
  <si>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</si>
  <si>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</si>
  <si>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</si>
  <si>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</si>
  <si>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</si>
  <si>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</si>
  <si>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</si>
  <si>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</si>
  <si>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</si>
  <si>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</si>
  <si>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</si>
  <si>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</si>
  <si>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</si>
  <si>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</si>
  <si>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</si>
  <si>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</si>
  <si>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</si>
  <si>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</si>
  <si>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</si>
  <si>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</si>
  <si>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</si>
  <si>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</si>
  <si>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</si>
  <si>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</si>
  <si>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</si>
  <si>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</si>
  <si>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</si>
  <si>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</si>
  <si>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</si>
  <si>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</si>
  <si>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</si>
  <si>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</si>
  <si>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</si>
  <si>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</si>
  <si>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</si>
  <si>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</si>
  <si>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</si>
  <si>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</si>
  <si>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</si>
  <si>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</si>
  <si>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</si>
  <si>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</si>
  <si>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</si>
  <si>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</si>
  <si>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</si>
  <si>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</si>
  <si>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</si>
  <si>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</si>
  <si>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</si>
  <si>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</si>
  <si>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</si>
  <si>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</si>
  <si>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</si>
  <si>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</si>
  <si>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</si>
  <si>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</si>
  <si>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</si>
  <si>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</si>
  <si>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</si>
  <si>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</si>
  <si>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</si>
  <si>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</si>
  <si>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</si>
  <si>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</si>
  <si>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</si>
  <si>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</si>
  <si>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</si>
  <si>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</si>
  <si>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</si>
  <si>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</si>
  <si>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</si>
  <si>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</si>
  <si>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</si>
  <si>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</si>
  <si>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</si>
  <si>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</si>
  <si>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</si>
  <si>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</si>
  <si>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</si>
  <si>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</si>
  <si>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</si>
  <si>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</si>
  <si>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</si>
  <si>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</si>
  <si>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</si>
  <si>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</si>
  <si>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</si>
  <si>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</si>
  <si>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</si>
  <si>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</si>
  <si>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</si>
  <si>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</si>
  <si>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</si>
  <si>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</si>
  <si>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</si>
  <si>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</si>
  <si>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</si>
  <si>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</si>
  <si>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</si>
  <si>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</si>
  <si>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</si>
  <si>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</si>
  <si>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</si>
  <si>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</si>
  <si>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</si>
  <si>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</si>
  <si>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</si>
  <si>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</si>
  <si>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</si>
  <si>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</si>
  <si>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</si>
  <si>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</si>
  <si>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</si>
  <si>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</si>
  <si>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</si>
  <si>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</si>
  <si>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</si>
  <si>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</si>
  <si>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</si>
  <si>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</si>
  <si>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</si>
  <si>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</si>
  <si>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</si>
  <si>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</si>
  <si>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</si>
  <si>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</si>
  <si>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</si>
  <si>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</si>
  <si>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</si>
  <si>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</si>
  <si>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</si>
  <si>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</si>
  <si>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</si>
  <si>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</si>
  <si>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</si>
  <si>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</si>
  <si>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</si>
  <si>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</si>
  <si>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</si>
  <si>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</si>
  <si>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</si>
  <si>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</si>
  <si>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</si>
  <si>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</si>
  <si>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</si>
  <si>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</si>
  <si>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</si>
  <si>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</si>
  <si>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</si>
  <si>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</si>
  <si>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</si>
  <si>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</si>
  <si>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</si>
  <si>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</si>
  <si>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</si>
  <si>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</si>
  <si>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</si>
  <si>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</si>
  <si>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</si>
  <si>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</si>
  <si>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</si>
  <si>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</si>
  <si>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</si>
  <si>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</si>
  <si>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</si>
  <si>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</si>
  <si>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</si>
  <si>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</si>
  <si>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</si>
  <si>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</si>
  <si>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</si>
  <si>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</si>
  <si>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</si>
  <si>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</si>
  <si>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</si>
  <si>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</si>
  <si>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</si>
  <si>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</si>
  <si>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</si>
  <si>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</si>
  <si>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</si>
  <si>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</si>
  <si>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</si>
  <si>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</si>
  <si>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</si>
  <si>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</si>
  <si>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</si>
  <si>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</si>
  <si>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</si>
  <si>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</si>
  <si>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</si>
  <si>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</si>
  <si>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</si>
  <si>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</si>
  <si>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</si>
  <si>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</si>
  <si>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</si>
  <si>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</si>
  <si>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</si>
  <si>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</si>
  <si>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</si>
  <si>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01.10.2026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</si>
  <si>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</si>
  <si>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</si>
  <si>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</si>
  <si>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</si>
  <si>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</si>
  <si>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</si>
  <si>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</si>
  <si>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</si>
  <si>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</si>
  <si>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</si>
  <si>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</si>
  <si>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</si>
  <si>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</si>
  <si>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</si>
  <si>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</si>
  <si>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</si>
  <si>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</si>
  <si>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</si>
  <si>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</si>
  <si>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</si>
  <si>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</si>
  <si>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</si>
  <si>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</si>
  <si>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</si>
  <si>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</si>
  <si>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</si>
  <si>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</si>
  <si>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</si>
  <si>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</si>
  <si>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</si>
  <si>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</si>
  <si>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</si>
  <si>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</si>
  <si>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</si>
  <si>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</si>
  <si>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</si>
  <si>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</si>
  <si>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</si>
  <si>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</si>
  <si>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</si>
  <si>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</si>
  <si>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</si>
  <si>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</si>
  <si>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</si>
  <si>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</si>
  <si>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</si>
  <si>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</si>
  <si>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</si>
  <si>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</si>
  <si>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</si>
  <si>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</si>
  <si>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</si>
  <si>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</si>
  <si>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</si>
  <si>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</si>
  <si>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</si>
  <si>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</si>
  <si>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</si>
  <si>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</si>
  <si>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</si>
  <si>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</si>
  <si>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</si>
  <si>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</si>
  <si>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</si>
  <si>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</si>
  <si>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</si>
  <si>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</si>
  <si>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</si>
  <si>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</si>
  <si>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</si>
  <si>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</si>
  <si>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</si>
  <si>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</si>
  <si>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</si>
  <si>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</si>
  <si>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</si>
  <si>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</si>
  <si>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</si>
  <si>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</si>
  <si>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</si>
  <si>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</si>
  <si>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</si>
  <si>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</si>
  <si>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</si>
  <si>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</si>
  <si>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</si>
  <si>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</si>
  <si>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</si>
  <si>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</si>
  <si>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</si>
  <si>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</si>
  <si>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</si>
  <si>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</si>
  <si>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</si>
  <si>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</si>
  <si>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</si>
  <si>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</si>
  <si>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</si>
  <si>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</si>
  <si>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</si>
  <si>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</si>
  <si>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</si>
  <si>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</si>
  <si>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</si>
  <si>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</si>
  <si>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</si>
  <si>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</si>
  <si>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</si>
  <si>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</si>
  <si>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</si>
  <si>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30.09.2026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</si>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</sst>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13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AA435" sqref="AA43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3" t="s">
        <v>8</v>
      </c>
      <c r="B5" s="1003"/>
      <c r="C5" s="1003"/>
      <c r="D5" s="1004"/>
      <c r="E5" s="1004"/>
      <c r="F5" s="1005" t="s">
        <v>14</v>
      </c>
      <c r="G5" s="1005"/>
      <c r="H5" s="1004"/>
      <c r="I5" s="1004"/>
      <c r="J5" s="1004"/>
      <c r="K5" s="1004"/>
      <c r="L5" s="1004"/>
      <c r="M5" s="1004"/>
      <c r="N5" s="72"/>
      <c r="P5" s="27" t="s">
        <v>4</v>
      </c>
      <c r="Q5" s="1006">
        <v>46298</v>
      </c>
      <c r="R5" s="1006"/>
      <c r="T5" s="1007" t="s">
        <v>3</v>
      </c>
      <c r="U5" s="1008"/>
      <c r="V5" s="1009" t="s">
        <v>879</v>
      </c>
      <c r="W5" s="1010"/>
      <c r="AB5" s="59"/>
      <c r="AC5" s="59"/>
      <c r="AD5" s="59"/>
      <c r="AE5" s="59"/>
    </row>
    <row r="6" spans="1:32" s="17" customFormat="1" ht="24" customHeight="1" x14ac:dyDescent="0.2">
      <c r="A6" s="1003" t="s">
        <v>1</v>
      </c>
      <c r="B6" s="1003"/>
      <c r="C6" s="1003"/>
      <c r="D6" s="1011"/>
      <c r="E6" s="1011"/>
      <c r="F6" s="1011"/>
      <c r="G6" s="1011"/>
      <c r="H6" s="1011"/>
      <c r="I6" s="1011"/>
      <c r="J6" s="1011"/>
      <c r="K6" s="1011"/>
      <c r="L6" s="1011"/>
      <c r="M6" s="1011"/>
      <c r="N6" s="73"/>
      <c r="P6" s="27" t="s">
        <v>27</v>
      </c>
      <c r="Q6" s="1012" t="str">
        <f>IF(Q5=0," ",CHOOSE(WEEKDAY(Q5,2),"Понедельник","Вторник","Среда","Четверг","Пятница","Суббота","Воскресенье"))</f>
        <v>Суббота</v>
      </c>
      <c r="R6" s="1012"/>
      <c r="T6" s="1013" t="s">
        <v>5</v>
      </c>
      <c r="U6" s="1014"/>
      <c r="V6" s="1015" t="s">
        <v>69</v>
      </c>
      <c r="W6" s="101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21">
        <f>IFERROR(VLOOKUP(DeliveryAddress,Table,3,0),1)</f>
        <v>1</v>
      </c>
      <c r="E7" s="1022"/>
      <c r="F7" s="1022"/>
      <c r="G7" s="1022"/>
      <c r="H7" s="1022"/>
      <c r="I7" s="1022"/>
      <c r="J7" s="1022"/>
      <c r="K7" s="1022"/>
      <c r="L7" s="1022"/>
      <c r="M7" s="1023"/>
      <c r="N7" s="74"/>
      <c r="P7" s="29"/>
      <c r="Q7" s="48"/>
      <c r="R7" s="48"/>
      <c r="T7" s="1013"/>
      <c r="U7" s="1014"/>
      <c r="V7" s="1017"/>
      <c r="W7" s="1018"/>
      <c r="AB7" s="59"/>
      <c r="AC7" s="59"/>
      <c r="AD7" s="59"/>
      <c r="AE7" s="59"/>
    </row>
    <row r="8" spans="1:32" s="17" customFormat="1" ht="25.5" customHeight="1" x14ac:dyDescent="0.2">
      <c r="A8" s="1024" t="s">
        <v>58</v>
      </c>
      <c r="B8" s="1024"/>
      <c r="C8" s="1024"/>
      <c r="D8" s="1025"/>
      <c r="E8" s="1025"/>
      <c r="F8" s="1025"/>
      <c r="G8" s="1025"/>
      <c r="H8" s="1025"/>
      <c r="I8" s="1025"/>
      <c r="J8" s="1025"/>
      <c r="K8" s="1025"/>
      <c r="L8" s="1025"/>
      <c r="M8" s="1025"/>
      <c r="N8" s="75"/>
      <c r="P8" s="27" t="s">
        <v>11</v>
      </c>
      <c r="Q8" s="984">
        <v>0.41666666666666669</v>
      </c>
      <c r="R8" s="984"/>
      <c r="T8" s="1013"/>
      <c r="U8" s="1014"/>
      <c r="V8" s="1017"/>
      <c r="W8" s="1018"/>
      <c r="AB8" s="59"/>
      <c r="AC8" s="59"/>
      <c r="AD8" s="59"/>
      <c r="AE8" s="59"/>
    </row>
    <row r="9" spans="1:32" s="17" customFormat="1" ht="39.950000000000003" customHeight="1" x14ac:dyDescent="0.2">
      <c r="A9" s="9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4"/>
      <c r="C9" s="974"/>
      <c r="D9" s="975" t="s">
        <v>46</v>
      </c>
      <c r="E9" s="976"/>
      <c r="F9" s="9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4"/>
      <c r="H9" s="1026" t="str">
        <f>IF(AND($A$9="Тип доверенности/получателя при получении в адресе перегруза:",$D$9="Разовая доверенность"),"Введите ФИО","")</f>
        <v/>
      </c>
      <c r="I9" s="1026"/>
      <c r="J9" s="10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6"/>
      <c r="L9" s="1026"/>
      <c r="M9" s="1026"/>
      <c r="N9" s="70"/>
      <c r="P9" s="31" t="s">
        <v>15</v>
      </c>
      <c r="Q9" s="1027"/>
      <c r="R9" s="1027"/>
      <c r="T9" s="1013"/>
      <c r="U9" s="1014"/>
      <c r="V9" s="1019"/>
      <c r="W9" s="102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4"/>
      <c r="C10" s="974"/>
      <c r="D10" s="975"/>
      <c r="E10" s="976"/>
      <c r="F10" s="9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4"/>
      <c r="H10" s="977" t="str">
        <f>IFERROR(VLOOKUP($D$10,Proxy,2,FALSE),"")</f>
        <v/>
      </c>
      <c r="I10" s="977"/>
      <c r="J10" s="977"/>
      <c r="K10" s="977"/>
      <c r="L10" s="977"/>
      <c r="M10" s="977"/>
      <c r="N10" s="71"/>
      <c r="P10" s="31" t="s">
        <v>32</v>
      </c>
      <c r="Q10" s="978"/>
      <c r="R10" s="978"/>
      <c r="U10" s="29" t="s">
        <v>12</v>
      </c>
      <c r="V10" s="979" t="s">
        <v>70</v>
      </c>
      <c r="W10" s="9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1"/>
      <c r="R11" s="981"/>
      <c r="U11" s="29" t="s">
        <v>28</v>
      </c>
      <c r="V11" s="982" t="s">
        <v>55</v>
      </c>
      <c r="W11" s="9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3" t="s">
        <v>71</v>
      </c>
      <c r="B12" s="983"/>
      <c r="C12" s="983"/>
      <c r="D12" s="983"/>
      <c r="E12" s="983"/>
      <c r="F12" s="983"/>
      <c r="G12" s="983"/>
      <c r="H12" s="983"/>
      <c r="I12" s="983"/>
      <c r="J12" s="983"/>
      <c r="K12" s="983"/>
      <c r="L12" s="983"/>
      <c r="M12" s="983"/>
      <c r="N12" s="76"/>
      <c r="P12" s="27" t="s">
        <v>30</v>
      </c>
      <c r="Q12" s="984"/>
      <c r="R12" s="984"/>
      <c r="S12" s="28"/>
      <c r="T12"/>
      <c r="U12" s="29" t="s">
        <v>46</v>
      </c>
      <c r="V12" s="985"/>
      <c r="W12" s="985"/>
      <c r="X12"/>
      <c r="AB12" s="59"/>
      <c r="AC12" s="59"/>
      <c r="AD12" s="59"/>
      <c r="AE12" s="59"/>
    </row>
    <row r="13" spans="1:32" s="17" customFormat="1" ht="23.25" customHeight="1" x14ac:dyDescent="0.2">
      <c r="A13" s="983" t="s">
        <v>72</v>
      </c>
      <c r="B13" s="983"/>
      <c r="C13" s="983"/>
      <c r="D13" s="983"/>
      <c r="E13" s="983"/>
      <c r="F13" s="983"/>
      <c r="G13" s="983"/>
      <c r="H13" s="983"/>
      <c r="I13" s="983"/>
      <c r="J13" s="983"/>
      <c r="K13" s="983"/>
      <c r="L13" s="983"/>
      <c r="M13" s="983"/>
      <c r="N13" s="76"/>
      <c r="O13" s="31"/>
      <c r="P13" s="31" t="s">
        <v>31</v>
      </c>
      <c r="Q13" s="982"/>
      <c r="R13" s="9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3" t="s">
        <v>73</v>
      </c>
      <c r="B14" s="983"/>
      <c r="C14" s="983"/>
      <c r="D14" s="983"/>
      <c r="E14" s="983"/>
      <c r="F14" s="983"/>
      <c r="G14" s="983"/>
      <c r="H14" s="983"/>
      <c r="I14" s="983"/>
      <c r="J14" s="983"/>
      <c r="K14" s="983"/>
      <c r="L14" s="983"/>
      <c r="M14" s="9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6" t="s">
        <v>74</v>
      </c>
      <c r="B15" s="986"/>
      <c r="C15" s="986"/>
      <c r="D15" s="986"/>
      <c r="E15" s="986"/>
      <c r="F15" s="986"/>
      <c r="G15" s="986"/>
      <c r="H15" s="986"/>
      <c r="I15" s="986"/>
      <c r="J15" s="986"/>
      <c r="K15" s="986"/>
      <c r="L15" s="986"/>
      <c r="M15" s="986"/>
      <c r="N15" s="77"/>
      <c r="O15"/>
      <c r="P15" s="987" t="s">
        <v>61</v>
      </c>
      <c r="Q15" s="987"/>
      <c r="R15" s="987"/>
      <c r="S15" s="987"/>
      <c r="T15" s="98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8"/>
      <c r="Q16" s="988"/>
      <c r="R16" s="988"/>
      <c r="S16" s="988"/>
      <c r="T16" s="9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8" t="s">
        <v>59</v>
      </c>
      <c r="B17" s="958" t="s">
        <v>49</v>
      </c>
      <c r="C17" s="991" t="s">
        <v>48</v>
      </c>
      <c r="D17" s="993" t="s">
        <v>50</v>
      </c>
      <c r="E17" s="994"/>
      <c r="F17" s="958" t="s">
        <v>21</v>
      </c>
      <c r="G17" s="958" t="s">
        <v>24</v>
      </c>
      <c r="H17" s="958" t="s">
        <v>22</v>
      </c>
      <c r="I17" s="958" t="s">
        <v>23</v>
      </c>
      <c r="J17" s="958" t="s">
        <v>16</v>
      </c>
      <c r="K17" s="958" t="s">
        <v>66</v>
      </c>
      <c r="L17" s="958" t="s">
        <v>64</v>
      </c>
      <c r="M17" s="958" t="s">
        <v>2</v>
      </c>
      <c r="N17" s="958" t="s">
        <v>63</v>
      </c>
      <c r="O17" s="958" t="s">
        <v>25</v>
      </c>
      <c r="P17" s="993" t="s">
        <v>17</v>
      </c>
      <c r="Q17" s="997"/>
      <c r="R17" s="997"/>
      <c r="S17" s="997"/>
      <c r="T17" s="994"/>
      <c r="U17" s="989" t="s">
        <v>56</v>
      </c>
      <c r="V17" s="990"/>
      <c r="W17" s="958" t="s">
        <v>6</v>
      </c>
      <c r="X17" s="958" t="s">
        <v>41</v>
      </c>
      <c r="Y17" s="960" t="s">
        <v>54</v>
      </c>
      <c r="Z17" s="962" t="s">
        <v>18</v>
      </c>
      <c r="AA17" s="964" t="s">
        <v>60</v>
      </c>
      <c r="AB17" s="964" t="s">
        <v>19</v>
      </c>
      <c r="AC17" s="964" t="s">
        <v>65</v>
      </c>
      <c r="AD17" s="966" t="s">
        <v>57</v>
      </c>
      <c r="AE17" s="967"/>
      <c r="AF17" s="968"/>
      <c r="AG17" s="82"/>
      <c r="BD17" s="81" t="s">
        <v>62</v>
      </c>
    </row>
    <row r="18" spans="1:68" ht="14.25" customHeight="1" x14ac:dyDescent="0.2">
      <c r="A18" s="959"/>
      <c r="B18" s="959"/>
      <c r="C18" s="992"/>
      <c r="D18" s="995"/>
      <c r="E18" s="996"/>
      <c r="F18" s="959"/>
      <c r="G18" s="959"/>
      <c r="H18" s="959"/>
      <c r="I18" s="959"/>
      <c r="J18" s="959"/>
      <c r="K18" s="959"/>
      <c r="L18" s="959"/>
      <c r="M18" s="959"/>
      <c r="N18" s="959"/>
      <c r="O18" s="959"/>
      <c r="P18" s="995"/>
      <c r="Q18" s="998"/>
      <c r="R18" s="998"/>
      <c r="S18" s="998"/>
      <c r="T18" s="996"/>
      <c r="U18" s="83" t="s">
        <v>44</v>
      </c>
      <c r="V18" s="83" t="s">
        <v>43</v>
      </c>
      <c r="W18" s="959"/>
      <c r="X18" s="959"/>
      <c r="Y18" s="961"/>
      <c r="Z18" s="963"/>
      <c r="AA18" s="965"/>
      <c r="AB18" s="965"/>
      <c r="AC18" s="965"/>
      <c r="AD18" s="969"/>
      <c r="AE18" s="970"/>
      <c r="AF18" s="971"/>
      <c r="AG18" s="82"/>
      <c r="BD18" s="81"/>
    </row>
    <row r="19" spans="1:68" ht="27.75" hidden="1" customHeight="1" x14ac:dyDescent="0.2">
      <c r="A19" s="687" t="s">
        <v>75</v>
      </c>
      <c r="B19" s="687"/>
      <c r="C19" s="687"/>
      <c r="D19" s="687"/>
      <c r="E19" s="687"/>
      <c r="F19" s="687"/>
      <c r="G19" s="687"/>
      <c r="H19" s="687"/>
      <c r="I19" s="687"/>
      <c r="J19" s="687"/>
      <c r="K19" s="687"/>
      <c r="L19" s="687"/>
      <c r="M19" s="687"/>
      <c r="N19" s="687"/>
      <c r="O19" s="687"/>
      <c r="P19" s="687"/>
      <c r="Q19" s="687"/>
      <c r="R19" s="687"/>
      <c r="S19" s="687"/>
      <c r="T19" s="687"/>
      <c r="U19" s="687"/>
      <c r="V19" s="687"/>
      <c r="W19" s="687"/>
      <c r="X19" s="687"/>
      <c r="Y19" s="687"/>
      <c r="Z19" s="687"/>
      <c r="AA19" s="54"/>
      <c r="AB19" s="54"/>
      <c r="AC19" s="54"/>
    </row>
    <row r="20" spans="1:68" ht="16.5" hidden="1" customHeight="1" x14ac:dyDescent="0.25">
      <c r="A20" s="676" t="s">
        <v>75</v>
      </c>
      <c r="B20" s="676"/>
      <c r="C20" s="676"/>
      <c r="D20" s="676"/>
      <c r="E20" s="676"/>
      <c r="F20" s="676"/>
      <c r="G20" s="676"/>
      <c r="H20" s="676"/>
      <c r="I20" s="676"/>
      <c r="J20" s="676"/>
      <c r="K20" s="676"/>
      <c r="L20" s="676"/>
      <c r="M20" s="676"/>
      <c r="N20" s="676"/>
      <c r="O20" s="676"/>
      <c r="P20" s="676"/>
      <c r="Q20" s="676"/>
      <c r="R20" s="676"/>
      <c r="S20" s="676"/>
      <c r="T20" s="676"/>
      <c r="U20" s="676"/>
      <c r="V20" s="676"/>
      <c r="W20" s="676"/>
      <c r="X20" s="676"/>
      <c r="Y20" s="676"/>
      <c r="Z20" s="676"/>
      <c r="AA20" s="65"/>
      <c r="AB20" s="65"/>
      <c r="AC20" s="79"/>
    </row>
    <row r="21" spans="1:68" ht="14.25" hidden="1" customHeight="1" x14ac:dyDescent="0.25">
      <c r="A21" s="669" t="s">
        <v>76</v>
      </c>
      <c r="B21" s="669"/>
      <c r="C21" s="669"/>
      <c r="D21" s="669"/>
      <c r="E21" s="669"/>
      <c r="F21" s="669"/>
      <c r="G21" s="669"/>
      <c r="H21" s="669"/>
      <c r="I21" s="669"/>
      <c r="J21" s="669"/>
      <c r="K21" s="669"/>
      <c r="L21" s="669"/>
      <c r="M21" s="669"/>
      <c r="N21" s="669"/>
      <c r="O21" s="669"/>
      <c r="P21" s="669"/>
      <c r="Q21" s="669"/>
      <c r="R21" s="669"/>
      <c r="S21" s="669"/>
      <c r="T21" s="669"/>
      <c r="U21" s="669"/>
      <c r="V21" s="669"/>
      <c r="W21" s="669"/>
      <c r="X21" s="669"/>
      <c r="Y21" s="669"/>
      <c r="Z21" s="669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70">
        <v>4680115886643</v>
      </c>
      <c r="E22" s="670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2"/>
      <c r="R22" s="672"/>
      <c r="S22" s="672"/>
      <c r="T22" s="673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70">
        <v>4680115889071</v>
      </c>
      <c r="E23" s="670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7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2"/>
      <c r="R23" s="672"/>
      <c r="S23" s="672"/>
      <c r="T23" s="673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0"/>
      <c r="B24" s="660"/>
      <c r="C24" s="660"/>
      <c r="D24" s="660"/>
      <c r="E24" s="660"/>
      <c r="F24" s="660"/>
      <c r="G24" s="660"/>
      <c r="H24" s="660"/>
      <c r="I24" s="660"/>
      <c r="J24" s="660"/>
      <c r="K24" s="660"/>
      <c r="L24" s="660"/>
      <c r="M24" s="660"/>
      <c r="N24" s="660"/>
      <c r="O24" s="661"/>
      <c r="P24" s="657" t="s">
        <v>40</v>
      </c>
      <c r="Q24" s="658"/>
      <c r="R24" s="658"/>
      <c r="S24" s="658"/>
      <c r="T24" s="658"/>
      <c r="U24" s="658"/>
      <c r="V24" s="659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0"/>
      <c r="B25" s="660"/>
      <c r="C25" s="660"/>
      <c r="D25" s="660"/>
      <c r="E25" s="660"/>
      <c r="F25" s="660"/>
      <c r="G25" s="660"/>
      <c r="H25" s="660"/>
      <c r="I25" s="660"/>
      <c r="J25" s="660"/>
      <c r="K25" s="660"/>
      <c r="L25" s="660"/>
      <c r="M25" s="660"/>
      <c r="N25" s="660"/>
      <c r="O25" s="661"/>
      <c r="P25" s="657" t="s">
        <v>40</v>
      </c>
      <c r="Q25" s="658"/>
      <c r="R25" s="658"/>
      <c r="S25" s="658"/>
      <c r="T25" s="658"/>
      <c r="U25" s="658"/>
      <c r="V25" s="659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9" t="s">
        <v>85</v>
      </c>
      <c r="B26" s="669"/>
      <c r="C26" s="669"/>
      <c r="D26" s="669"/>
      <c r="E26" s="669"/>
      <c r="F26" s="669"/>
      <c r="G26" s="669"/>
      <c r="H26" s="669"/>
      <c r="I26" s="669"/>
      <c r="J26" s="669"/>
      <c r="K26" s="669"/>
      <c r="L26" s="669"/>
      <c r="M26" s="669"/>
      <c r="N26" s="669"/>
      <c r="O26" s="669"/>
      <c r="P26" s="669"/>
      <c r="Q26" s="669"/>
      <c r="R26" s="669"/>
      <c r="S26" s="669"/>
      <c r="T26" s="669"/>
      <c r="U26" s="669"/>
      <c r="V26" s="669"/>
      <c r="W26" s="669"/>
      <c r="X26" s="669"/>
      <c r="Y26" s="669"/>
      <c r="Z26" s="669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70">
        <v>4680115885912</v>
      </c>
      <c r="E27" s="670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2"/>
      <c r="R27" s="672"/>
      <c r="S27" s="672"/>
      <c r="T27" s="673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70">
        <v>4607091388237</v>
      </c>
      <c r="E28" s="670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2"/>
      <c r="R28" s="672"/>
      <c r="S28" s="672"/>
      <c r="T28" s="673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70">
        <v>4680115887350</v>
      </c>
      <c r="E29" s="670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2"/>
      <c r="R29" s="672"/>
      <c r="S29" s="672"/>
      <c r="T29" s="673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70">
        <v>4680115885905</v>
      </c>
      <c r="E30" s="670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2"/>
      <c r="R30" s="672"/>
      <c r="S30" s="672"/>
      <c r="T30" s="673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70">
        <v>4680115887619</v>
      </c>
      <c r="E31" s="670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5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2"/>
      <c r="R31" s="672"/>
      <c r="S31" s="672"/>
      <c r="T31" s="673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0"/>
      <c r="B32" s="660"/>
      <c r="C32" s="660"/>
      <c r="D32" s="660"/>
      <c r="E32" s="660"/>
      <c r="F32" s="660"/>
      <c r="G32" s="660"/>
      <c r="H32" s="660"/>
      <c r="I32" s="660"/>
      <c r="J32" s="660"/>
      <c r="K32" s="660"/>
      <c r="L32" s="660"/>
      <c r="M32" s="660"/>
      <c r="N32" s="660"/>
      <c r="O32" s="661"/>
      <c r="P32" s="657" t="s">
        <v>40</v>
      </c>
      <c r="Q32" s="658"/>
      <c r="R32" s="658"/>
      <c r="S32" s="658"/>
      <c r="T32" s="658"/>
      <c r="U32" s="658"/>
      <c r="V32" s="659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0"/>
      <c r="B33" s="660"/>
      <c r="C33" s="660"/>
      <c r="D33" s="660"/>
      <c r="E33" s="660"/>
      <c r="F33" s="660"/>
      <c r="G33" s="660"/>
      <c r="H33" s="660"/>
      <c r="I33" s="660"/>
      <c r="J33" s="660"/>
      <c r="K33" s="660"/>
      <c r="L33" s="660"/>
      <c r="M33" s="660"/>
      <c r="N33" s="660"/>
      <c r="O33" s="661"/>
      <c r="P33" s="657" t="s">
        <v>40</v>
      </c>
      <c r="Q33" s="658"/>
      <c r="R33" s="658"/>
      <c r="S33" s="658"/>
      <c r="T33" s="658"/>
      <c r="U33" s="658"/>
      <c r="V33" s="659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7" t="s">
        <v>45</v>
      </c>
      <c r="B34" s="687"/>
      <c r="C34" s="687"/>
      <c r="D34" s="687"/>
      <c r="E34" s="687"/>
      <c r="F34" s="687"/>
      <c r="G34" s="687"/>
      <c r="H34" s="687"/>
      <c r="I34" s="687"/>
      <c r="J34" s="687"/>
      <c r="K34" s="687"/>
      <c r="L34" s="687"/>
      <c r="M34" s="687"/>
      <c r="N34" s="687"/>
      <c r="O34" s="687"/>
      <c r="P34" s="687"/>
      <c r="Q34" s="687"/>
      <c r="R34" s="687"/>
      <c r="S34" s="687"/>
      <c r="T34" s="687"/>
      <c r="U34" s="687"/>
      <c r="V34" s="687"/>
      <c r="W34" s="687"/>
      <c r="X34" s="687"/>
      <c r="Y34" s="687"/>
      <c r="Z34" s="687"/>
      <c r="AA34" s="54"/>
      <c r="AB34" s="54"/>
      <c r="AC34" s="54"/>
    </row>
    <row r="35" spans="1:68" ht="16.5" hidden="1" customHeight="1" x14ac:dyDescent="0.25">
      <c r="A35" s="676" t="s">
        <v>103</v>
      </c>
      <c r="B35" s="676"/>
      <c r="C35" s="676"/>
      <c r="D35" s="676"/>
      <c r="E35" s="676"/>
      <c r="F35" s="676"/>
      <c r="G35" s="676"/>
      <c r="H35" s="676"/>
      <c r="I35" s="676"/>
      <c r="J35" s="676"/>
      <c r="K35" s="676"/>
      <c r="L35" s="676"/>
      <c r="M35" s="676"/>
      <c r="N35" s="676"/>
      <c r="O35" s="676"/>
      <c r="P35" s="676"/>
      <c r="Q35" s="676"/>
      <c r="R35" s="676"/>
      <c r="S35" s="676"/>
      <c r="T35" s="676"/>
      <c r="U35" s="676"/>
      <c r="V35" s="676"/>
      <c r="W35" s="676"/>
      <c r="X35" s="676"/>
      <c r="Y35" s="676"/>
      <c r="Z35" s="676"/>
      <c r="AA35" s="65"/>
      <c r="AB35" s="65"/>
      <c r="AC35" s="79"/>
    </row>
    <row r="36" spans="1:68" ht="14.25" hidden="1" customHeight="1" x14ac:dyDescent="0.25">
      <c r="A36" s="669" t="s">
        <v>85</v>
      </c>
      <c r="B36" s="669"/>
      <c r="C36" s="669"/>
      <c r="D36" s="669"/>
      <c r="E36" s="669"/>
      <c r="F36" s="669"/>
      <c r="G36" s="669"/>
      <c r="H36" s="669"/>
      <c r="I36" s="669"/>
      <c r="J36" s="669"/>
      <c r="K36" s="669"/>
      <c r="L36" s="669"/>
      <c r="M36" s="669"/>
      <c r="N36" s="669"/>
      <c r="O36" s="669"/>
      <c r="P36" s="669"/>
      <c r="Q36" s="669"/>
      <c r="R36" s="669"/>
      <c r="S36" s="669"/>
      <c r="T36" s="669"/>
      <c r="U36" s="669"/>
      <c r="V36" s="669"/>
      <c r="W36" s="669"/>
      <c r="X36" s="669"/>
      <c r="Y36" s="669"/>
      <c r="Z36" s="669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70">
        <v>4680115889354</v>
      </c>
      <c r="E37" s="670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4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2"/>
      <c r="R37" s="672"/>
      <c r="S37" s="672"/>
      <c r="T37" s="673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70">
        <v>4680115888463</v>
      </c>
      <c r="E38" s="670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4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2"/>
      <c r="R38" s="672"/>
      <c r="S38" s="672"/>
      <c r="T38" s="673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70">
        <v>4680115889590</v>
      </c>
      <c r="E39" s="670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4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2"/>
      <c r="R39" s="672"/>
      <c r="S39" s="672"/>
      <c r="T39" s="673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670">
        <v>4680115888272</v>
      </c>
      <c r="E40" s="670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5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2"/>
      <c r="R40" s="672"/>
      <c r="S40" s="672"/>
      <c r="T40" s="673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670">
        <v>4680115888364</v>
      </c>
      <c r="E41" s="670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5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2"/>
      <c r="R41" s="672"/>
      <c r="S41" s="672"/>
      <c r="T41" s="673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0"/>
      <c r="B42" s="660"/>
      <c r="C42" s="660"/>
      <c r="D42" s="660"/>
      <c r="E42" s="660"/>
      <c r="F42" s="660"/>
      <c r="G42" s="660"/>
      <c r="H42" s="660"/>
      <c r="I42" s="660"/>
      <c r="J42" s="660"/>
      <c r="K42" s="660"/>
      <c r="L42" s="660"/>
      <c r="M42" s="660"/>
      <c r="N42" s="660"/>
      <c r="O42" s="661"/>
      <c r="P42" s="657" t="s">
        <v>40</v>
      </c>
      <c r="Q42" s="658"/>
      <c r="R42" s="658"/>
      <c r="S42" s="658"/>
      <c r="T42" s="658"/>
      <c r="U42" s="658"/>
      <c r="V42" s="659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0"/>
      <c r="B43" s="660"/>
      <c r="C43" s="660"/>
      <c r="D43" s="660"/>
      <c r="E43" s="660"/>
      <c r="F43" s="660"/>
      <c r="G43" s="660"/>
      <c r="H43" s="660"/>
      <c r="I43" s="660"/>
      <c r="J43" s="660"/>
      <c r="K43" s="660"/>
      <c r="L43" s="660"/>
      <c r="M43" s="660"/>
      <c r="N43" s="660"/>
      <c r="O43" s="661"/>
      <c r="P43" s="657" t="s">
        <v>40</v>
      </c>
      <c r="Q43" s="658"/>
      <c r="R43" s="658"/>
      <c r="S43" s="658"/>
      <c r="T43" s="658"/>
      <c r="U43" s="658"/>
      <c r="V43" s="659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7" t="s">
        <v>119</v>
      </c>
      <c r="B44" s="687"/>
      <c r="C44" s="687"/>
      <c r="D44" s="687"/>
      <c r="E44" s="687"/>
      <c r="F44" s="687"/>
      <c r="G44" s="687"/>
      <c r="H44" s="687"/>
      <c r="I44" s="687"/>
      <c r="J44" s="687"/>
      <c r="K44" s="687"/>
      <c r="L44" s="687"/>
      <c r="M44" s="687"/>
      <c r="N44" s="687"/>
      <c r="O44" s="687"/>
      <c r="P44" s="687"/>
      <c r="Q44" s="687"/>
      <c r="R44" s="687"/>
      <c r="S44" s="687"/>
      <c r="T44" s="687"/>
      <c r="U44" s="687"/>
      <c r="V44" s="687"/>
      <c r="W44" s="687"/>
      <c r="X44" s="687"/>
      <c r="Y44" s="687"/>
      <c r="Z44" s="687"/>
      <c r="AA44" s="54"/>
      <c r="AB44" s="54"/>
      <c r="AC44" s="54"/>
    </row>
    <row r="45" spans="1:68" ht="16.5" hidden="1" customHeight="1" x14ac:dyDescent="0.25">
      <c r="A45" s="676" t="s">
        <v>120</v>
      </c>
      <c r="B45" s="676"/>
      <c r="C45" s="676"/>
      <c r="D45" s="676"/>
      <c r="E45" s="676"/>
      <c r="F45" s="676"/>
      <c r="G45" s="676"/>
      <c r="H45" s="676"/>
      <c r="I45" s="676"/>
      <c r="J45" s="676"/>
      <c r="K45" s="676"/>
      <c r="L45" s="676"/>
      <c r="M45" s="676"/>
      <c r="N45" s="676"/>
      <c r="O45" s="676"/>
      <c r="P45" s="676"/>
      <c r="Q45" s="676"/>
      <c r="R45" s="676"/>
      <c r="S45" s="676"/>
      <c r="T45" s="676"/>
      <c r="U45" s="676"/>
      <c r="V45" s="676"/>
      <c r="W45" s="676"/>
      <c r="X45" s="676"/>
      <c r="Y45" s="676"/>
      <c r="Z45" s="676"/>
      <c r="AA45" s="65"/>
      <c r="AB45" s="65"/>
      <c r="AC45" s="79"/>
    </row>
    <row r="46" spans="1:68" ht="14.25" hidden="1" customHeight="1" x14ac:dyDescent="0.25">
      <c r="A46" s="669" t="s">
        <v>121</v>
      </c>
      <c r="B46" s="669"/>
      <c r="C46" s="669"/>
      <c r="D46" s="669"/>
      <c r="E46" s="669"/>
      <c r="F46" s="669"/>
      <c r="G46" s="669"/>
      <c r="H46" s="669"/>
      <c r="I46" s="669"/>
      <c r="J46" s="669"/>
      <c r="K46" s="669"/>
      <c r="L46" s="669"/>
      <c r="M46" s="669"/>
      <c r="N46" s="669"/>
      <c r="O46" s="669"/>
      <c r="P46" s="669"/>
      <c r="Q46" s="669"/>
      <c r="R46" s="669"/>
      <c r="S46" s="669"/>
      <c r="T46" s="669"/>
      <c r="U46" s="669"/>
      <c r="V46" s="669"/>
      <c r="W46" s="669"/>
      <c r="X46" s="669"/>
      <c r="Y46" s="669"/>
      <c r="Z46" s="669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670">
        <v>4607091385670</v>
      </c>
      <c r="E47" s="670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9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2"/>
      <c r="R47" s="672"/>
      <c r="S47" s="672"/>
      <c r="T47" s="673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670">
        <v>4680115887725</v>
      </c>
      <c r="E48" s="670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94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2"/>
      <c r="R48" s="672"/>
      <c r="S48" s="672"/>
      <c r="T48" s="673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670">
        <v>4607091385687</v>
      </c>
      <c r="E49" s="670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2"/>
      <c r="R49" s="672"/>
      <c r="S49" s="672"/>
      <c r="T49" s="673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670">
        <v>4680115882539</v>
      </c>
      <c r="E50" s="670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2"/>
      <c r="R50" s="672"/>
      <c r="S50" s="672"/>
      <c r="T50" s="673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0"/>
      <c r="B51" s="660"/>
      <c r="C51" s="660"/>
      <c r="D51" s="660"/>
      <c r="E51" s="660"/>
      <c r="F51" s="660"/>
      <c r="G51" s="660"/>
      <c r="H51" s="660"/>
      <c r="I51" s="660"/>
      <c r="J51" s="660"/>
      <c r="K51" s="660"/>
      <c r="L51" s="660"/>
      <c r="M51" s="660"/>
      <c r="N51" s="660"/>
      <c r="O51" s="661"/>
      <c r="P51" s="657" t="s">
        <v>40</v>
      </c>
      <c r="Q51" s="658"/>
      <c r="R51" s="658"/>
      <c r="S51" s="658"/>
      <c r="T51" s="658"/>
      <c r="U51" s="658"/>
      <c r="V51" s="659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0"/>
      <c r="B52" s="660"/>
      <c r="C52" s="660"/>
      <c r="D52" s="660"/>
      <c r="E52" s="660"/>
      <c r="F52" s="660"/>
      <c r="G52" s="660"/>
      <c r="H52" s="660"/>
      <c r="I52" s="660"/>
      <c r="J52" s="660"/>
      <c r="K52" s="660"/>
      <c r="L52" s="660"/>
      <c r="M52" s="660"/>
      <c r="N52" s="660"/>
      <c r="O52" s="661"/>
      <c r="P52" s="657" t="s">
        <v>40</v>
      </c>
      <c r="Q52" s="658"/>
      <c r="R52" s="658"/>
      <c r="S52" s="658"/>
      <c r="T52" s="658"/>
      <c r="U52" s="658"/>
      <c r="V52" s="659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76" t="s">
        <v>136</v>
      </c>
      <c r="B53" s="676"/>
      <c r="C53" s="676"/>
      <c r="D53" s="676"/>
      <c r="E53" s="676"/>
      <c r="F53" s="676"/>
      <c r="G53" s="676"/>
      <c r="H53" s="676"/>
      <c r="I53" s="676"/>
      <c r="J53" s="676"/>
      <c r="K53" s="676"/>
      <c r="L53" s="676"/>
      <c r="M53" s="676"/>
      <c r="N53" s="676"/>
      <c r="O53" s="676"/>
      <c r="P53" s="676"/>
      <c r="Q53" s="676"/>
      <c r="R53" s="676"/>
      <c r="S53" s="676"/>
      <c r="T53" s="676"/>
      <c r="U53" s="676"/>
      <c r="V53" s="676"/>
      <c r="W53" s="676"/>
      <c r="X53" s="676"/>
      <c r="Y53" s="676"/>
      <c r="Z53" s="676"/>
      <c r="AA53" s="65"/>
      <c r="AB53" s="65"/>
      <c r="AC53" s="79"/>
    </row>
    <row r="54" spans="1:68" ht="14.25" hidden="1" customHeight="1" x14ac:dyDescent="0.25">
      <c r="A54" s="669" t="s">
        <v>121</v>
      </c>
      <c r="B54" s="669"/>
      <c r="C54" s="669"/>
      <c r="D54" s="669"/>
      <c r="E54" s="669"/>
      <c r="F54" s="669"/>
      <c r="G54" s="669"/>
      <c r="H54" s="669"/>
      <c r="I54" s="669"/>
      <c r="J54" s="669"/>
      <c r="K54" s="669"/>
      <c r="L54" s="669"/>
      <c r="M54" s="669"/>
      <c r="N54" s="669"/>
      <c r="O54" s="669"/>
      <c r="P54" s="669"/>
      <c r="Q54" s="669"/>
      <c r="R54" s="669"/>
      <c r="S54" s="669"/>
      <c r="T54" s="669"/>
      <c r="U54" s="669"/>
      <c r="V54" s="669"/>
      <c r="W54" s="669"/>
      <c r="X54" s="669"/>
      <c r="Y54" s="669"/>
      <c r="Z54" s="669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670">
        <v>4680115885882</v>
      </c>
      <c r="E55" s="670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94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2"/>
      <c r="R55" s="672"/>
      <c r="S55" s="672"/>
      <c r="T55" s="673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670">
        <v>4680115881426</v>
      </c>
      <c r="E56" s="670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9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2"/>
      <c r="R56" s="672"/>
      <c r="S56" s="672"/>
      <c r="T56" s="673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140</v>
      </c>
      <c r="B57" s="63" t="s">
        <v>143</v>
      </c>
      <c r="C57" s="36">
        <v>4301012162</v>
      </c>
      <c r="D57" s="670">
        <v>4680115881426</v>
      </c>
      <c r="E57" s="670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126</v>
      </c>
      <c r="L57" s="37" t="s">
        <v>46</v>
      </c>
      <c r="M57" s="38" t="s">
        <v>125</v>
      </c>
      <c r="N57" s="38"/>
      <c r="O57" s="37">
        <v>50</v>
      </c>
      <c r="P57" s="94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72"/>
      <c r="R57" s="672"/>
      <c r="S57" s="672"/>
      <c r="T57" s="673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670">
        <v>4680115880283</v>
      </c>
      <c r="E58" s="670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45</v>
      </c>
      <c r="P58" s="93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72"/>
      <c r="R58" s="672"/>
      <c r="S58" s="672"/>
      <c r="T58" s="673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670">
        <v>4680115881525</v>
      </c>
      <c r="E59" s="670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133</v>
      </c>
      <c r="L59" s="37" t="s">
        <v>46</v>
      </c>
      <c r="M59" s="38" t="s">
        <v>125</v>
      </c>
      <c r="N59" s="38"/>
      <c r="O59" s="37">
        <v>50</v>
      </c>
      <c r="P59" s="93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72"/>
      <c r="R59" s="672"/>
      <c r="S59" s="672"/>
      <c r="T59" s="673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148</v>
      </c>
      <c r="B60" s="63" t="s">
        <v>151</v>
      </c>
      <c r="C60" s="36">
        <v>4301012159</v>
      </c>
      <c r="D60" s="670">
        <v>4680115881525</v>
      </c>
      <c r="E60" s="670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93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72"/>
      <c r="R60" s="672"/>
      <c r="S60" s="672"/>
      <c r="T60" s="673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152</v>
      </c>
      <c r="B61" s="63" t="s">
        <v>153</v>
      </c>
      <c r="C61" s="36">
        <v>4301012165</v>
      </c>
      <c r="D61" s="670">
        <v>4680115885899</v>
      </c>
      <c r="E61" s="670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90</v>
      </c>
      <c r="L61" s="37" t="s">
        <v>46</v>
      </c>
      <c r="M61" s="38" t="s">
        <v>125</v>
      </c>
      <c r="N61" s="38"/>
      <c r="O61" s="37">
        <v>50</v>
      </c>
      <c r="P61" s="93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72"/>
      <c r="R61" s="672"/>
      <c r="S61" s="672"/>
      <c r="T61" s="673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139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154</v>
      </c>
      <c r="B62" s="63" t="s">
        <v>155</v>
      </c>
      <c r="C62" s="36">
        <v>4301011801</v>
      </c>
      <c r="D62" s="670">
        <v>4680115881419</v>
      </c>
      <c r="E62" s="670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133</v>
      </c>
      <c r="L62" s="37" t="s">
        <v>46</v>
      </c>
      <c r="M62" s="38" t="s">
        <v>125</v>
      </c>
      <c r="N62" s="38"/>
      <c r="O62" s="37">
        <v>50</v>
      </c>
      <c r="P62" s="9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72"/>
      <c r="R62" s="672"/>
      <c r="S62" s="672"/>
      <c r="T62" s="673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154</v>
      </c>
      <c r="B63" s="63" t="s">
        <v>157</v>
      </c>
      <c r="C63" s="36">
        <v>4301012158</v>
      </c>
      <c r="D63" s="670">
        <v>4680115881419</v>
      </c>
      <c r="E63" s="670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133</v>
      </c>
      <c r="L63" s="37" t="s">
        <v>46</v>
      </c>
      <c r="M63" s="38" t="s">
        <v>125</v>
      </c>
      <c r="N63" s="38"/>
      <c r="O63" s="37">
        <v>50</v>
      </c>
      <c r="P63" s="93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72"/>
      <c r="R63" s="672"/>
      <c r="S63" s="672"/>
      <c r="T63" s="673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144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idden="1" x14ac:dyDescent="0.2">
      <c r="A64" s="660"/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1"/>
      <c r="P64" s="657" t="s">
        <v>40</v>
      </c>
      <c r="Q64" s="658"/>
      <c r="R64" s="658"/>
      <c r="S64" s="658"/>
      <c r="T64" s="658"/>
      <c r="U64" s="658"/>
      <c r="V64" s="659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660"/>
      <c r="B65" s="660"/>
      <c r="C65" s="660"/>
      <c r="D65" s="660"/>
      <c r="E65" s="660"/>
      <c r="F65" s="660"/>
      <c r="G65" s="660"/>
      <c r="H65" s="660"/>
      <c r="I65" s="660"/>
      <c r="J65" s="660"/>
      <c r="K65" s="660"/>
      <c r="L65" s="660"/>
      <c r="M65" s="660"/>
      <c r="N65" s="660"/>
      <c r="O65" s="661"/>
      <c r="P65" s="657" t="s">
        <v>40</v>
      </c>
      <c r="Q65" s="658"/>
      <c r="R65" s="658"/>
      <c r="S65" s="658"/>
      <c r="T65" s="658"/>
      <c r="U65" s="658"/>
      <c r="V65" s="659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hidden="1" customHeight="1" x14ac:dyDescent="0.25">
      <c r="A66" s="669" t="s">
        <v>158</v>
      </c>
      <c r="B66" s="669"/>
      <c r="C66" s="669"/>
      <c r="D66" s="669"/>
      <c r="E66" s="669"/>
      <c r="F66" s="669"/>
      <c r="G66" s="669"/>
      <c r="H66" s="669"/>
      <c r="I66" s="669"/>
      <c r="J66" s="669"/>
      <c r="K66" s="669"/>
      <c r="L66" s="669"/>
      <c r="M66" s="669"/>
      <c r="N66" s="669"/>
      <c r="O66" s="669"/>
      <c r="P66" s="669"/>
      <c r="Q66" s="669"/>
      <c r="R66" s="669"/>
      <c r="S66" s="669"/>
      <c r="T66" s="669"/>
      <c r="U66" s="669"/>
      <c r="V66" s="669"/>
      <c r="W66" s="669"/>
      <c r="X66" s="669"/>
      <c r="Y66" s="669"/>
      <c r="Z66" s="669"/>
      <c r="AA66" s="66"/>
      <c r="AB66" s="66"/>
      <c r="AC66" s="80"/>
    </row>
    <row r="67" spans="1:68" ht="16.5" hidden="1" customHeight="1" x14ac:dyDescent="0.25">
      <c r="A67" s="63" t="s">
        <v>159</v>
      </c>
      <c r="B67" s="63" t="s">
        <v>160</v>
      </c>
      <c r="C67" s="36">
        <v>4301020298</v>
      </c>
      <c r="D67" s="670">
        <v>4680115881440</v>
      </c>
      <c r="E67" s="670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126</v>
      </c>
      <c r="L67" s="37" t="s">
        <v>46</v>
      </c>
      <c r="M67" s="38" t="s">
        <v>125</v>
      </c>
      <c r="N67" s="38"/>
      <c r="O67" s="37">
        <v>50</v>
      </c>
      <c r="P67" s="9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72"/>
      <c r="R67" s="672"/>
      <c r="S67" s="672"/>
      <c r="T67" s="673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159</v>
      </c>
      <c r="B68" s="63" t="s">
        <v>162</v>
      </c>
      <c r="C68" s="36">
        <v>4301020390</v>
      </c>
      <c r="D68" s="670">
        <v>4680115881440</v>
      </c>
      <c r="E68" s="670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126</v>
      </c>
      <c r="L68" s="37" t="s">
        <v>46</v>
      </c>
      <c r="M68" s="38" t="s">
        <v>125</v>
      </c>
      <c r="N68" s="38"/>
      <c r="O68" s="37">
        <v>50</v>
      </c>
      <c r="P68" s="9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72"/>
      <c r="R68" s="672"/>
      <c r="S68" s="672"/>
      <c r="T68" s="673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163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164</v>
      </c>
      <c r="B69" s="63" t="s">
        <v>165</v>
      </c>
      <c r="C69" s="36">
        <v>4301020358</v>
      </c>
      <c r="D69" s="670">
        <v>4680115885950</v>
      </c>
      <c r="E69" s="670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90</v>
      </c>
      <c r="L69" s="37" t="s">
        <v>46</v>
      </c>
      <c r="M69" s="38" t="s">
        <v>89</v>
      </c>
      <c r="N69" s="38"/>
      <c r="O69" s="37">
        <v>50</v>
      </c>
      <c r="P69" s="9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72"/>
      <c r="R69" s="672"/>
      <c r="S69" s="672"/>
      <c r="T69" s="673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166</v>
      </c>
      <c r="B70" s="63" t="s">
        <v>167</v>
      </c>
      <c r="C70" s="36">
        <v>4301020371</v>
      </c>
      <c r="D70" s="670">
        <v>4680115887688</v>
      </c>
      <c r="E70" s="670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130</v>
      </c>
      <c r="L70" s="37" t="s">
        <v>46</v>
      </c>
      <c r="M70" s="38" t="s">
        <v>80</v>
      </c>
      <c r="N70" s="38"/>
      <c r="O70" s="37">
        <v>30</v>
      </c>
      <c r="P70" s="9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72"/>
      <c r="R70" s="672"/>
      <c r="S70" s="672"/>
      <c r="T70" s="673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168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169</v>
      </c>
      <c r="B71" s="63" t="s">
        <v>170</v>
      </c>
      <c r="C71" s="36">
        <v>4301020389</v>
      </c>
      <c r="D71" s="670">
        <v>4680115881433</v>
      </c>
      <c r="E71" s="670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90</v>
      </c>
      <c r="L71" s="37" t="s">
        <v>46</v>
      </c>
      <c r="M71" s="38" t="s">
        <v>125</v>
      </c>
      <c r="N71" s="38"/>
      <c r="O71" s="37">
        <v>50</v>
      </c>
      <c r="P71" s="9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72"/>
      <c r="R71" s="672"/>
      <c r="S71" s="672"/>
      <c r="T71" s="673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163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idden="1" x14ac:dyDescent="0.2">
      <c r="A72" s="660"/>
      <c r="B72" s="660"/>
      <c r="C72" s="660"/>
      <c r="D72" s="660"/>
      <c r="E72" s="660"/>
      <c r="F72" s="660"/>
      <c r="G72" s="660"/>
      <c r="H72" s="660"/>
      <c r="I72" s="660"/>
      <c r="J72" s="660"/>
      <c r="K72" s="660"/>
      <c r="L72" s="660"/>
      <c r="M72" s="660"/>
      <c r="N72" s="660"/>
      <c r="O72" s="661"/>
      <c r="P72" s="657" t="s">
        <v>40</v>
      </c>
      <c r="Q72" s="658"/>
      <c r="R72" s="658"/>
      <c r="S72" s="658"/>
      <c r="T72" s="658"/>
      <c r="U72" s="658"/>
      <c r="V72" s="659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660"/>
      <c r="B73" s="660"/>
      <c r="C73" s="660"/>
      <c r="D73" s="660"/>
      <c r="E73" s="660"/>
      <c r="F73" s="660"/>
      <c r="G73" s="660"/>
      <c r="H73" s="660"/>
      <c r="I73" s="660"/>
      <c r="J73" s="660"/>
      <c r="K73" s="660"/>
      <c r="L73" s="660"/>
      <c r="M73" s="660"/>
      <c r="N73" s="660"/>
      <c r="O73" s="661"/>
      <c r="P73" s="657" t="s">
        <v>40</v>
      </c>
      <c r="Q73" s="658"/>
      <c r="R73" s="658"/>
      <c r="S73" s="658"/>
      <c r="T73" s="658"/>
      <c r="U73" s="658"/>
      <c r="V73" s="659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hidden="1" customHeight="1" x14ac:dyDescent="0.25">
      <c r="A74" s="669" t="s">
        <v>85</v>
      </c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69"/>
      <c r="P74" s="669"/>
      <c r="Q74" s="669"/>
      <c r="R74" s="669"/>
      <c r="S74" s="669"/>
      <c r="T74" s="669"/>
      <c r="U74" s="669"/>
      <c r="V74" s="669"/>
      <c r="W74" s="669"/>
      <c r="X74" s="669"/>
      <c r="Y74" s="669"/>
      <c r="Z74" s="669"/>
      <c r="AA74" s="66"/>
      <c r="AB74" s="66"/>
      <c r="AC74" s="80"/>
    </row>
    <row r="75" spans="1:68" ht="16.5" hidden="1" customHeight="1" x14ac:dyDescent="0.25">
      <c r="A75" s="63" t="s">
        <v>171</v>
      </c>
      <c r="B75" s="63" t="s">
        <v>172</v>
      </c>
      <c r="C75" s="36">
        <v>4301051837</v>
      </c>
      <c r="D75" s="670">
        <v>4680115884311</v>
      </c>
      <c r="E75" s="670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90</v>
      </c>
      <c r="L75" s="37" t="s">
        <v>46</v>
      </c>
      <c r="M75" s="38" t="s">
        <v>89</v>
      </c>
      <c r="N75" s="38"/>
      <c r="O75" s="37">
        <v>40</v>
      </c>
      <c r="P75" s="9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72"/>
      <c r="R75" s="672"/>
      <c r="S75" s="672"/>
      <c r="T75" s="673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173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174</v>
      </c>
      <c r="B76" s="63" t="s">
        <v>175</v>
      </c>
      <c r="C76" s="36">
        <v>4301052083</v>
      </c>
      <c r="D76" s="670">
        <v>4680115884403</v>
      </c>
      <c r="E76" s="670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90</v>
      </c>
      <c r="L76" s="37" t="s">
        <v>46</v>
      </c>
      <c r="M76" s="38" t="s">
        <v>89</v>
      </c>
      <c r="N76" s="38"/>
      <c r="O76" s="37">
        <v>40</v>
      </c>
      <c r="P76" s="9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72"/>
      <c r="R76" s="672"/>
      <c r="S76" s="672"/>
      <c r="T76" s="673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176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60"/>
      <c r="B77" s="660"/>
      <c r="C77" s="660"/>
      <c r="D77" s="660"/>
      <c r="E77" s="660"/>
      <c r="F77" s="660"/>
      <c r="G77" s="660"/>
      <c r="H77" s="660"/>
      <c r="I77" s="660"/>
      <c r="J77" s="660"/>
      <c r="K77" s="660"/>
      <c r="L77" s="660"/>
      <c r="M77" s="660"/>
      <c r="N77" s="660"/>
      <c r="O77" s="661"/>
      <c r="P77" s="657" t="s">
        <v>40</v>
      </c>
      <c r="Q77" s="658"/>
      <c r="R77" s="658"/>
      <c r="S77" s="658"/>
      <c r="T77" s="658"/>
      <c r="U77" s="658"/>
      <c r="V77" s="659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660"/>
      <c r="B78" s="660"/>
      <c r="C78" s="660"/>
      <c r="D78" s="660"/>
      <c r="E78" s="660"/>
      <c r="F78" s="660"/>
      <c r="G78" s="660"/>
      <c r="H78" s="660"/>
      <c r="I78" s="660"/>
      <c r="J78" s="660"/>
      <c r="K78" s="660"/>
      <c r="L78" s="660"/>
      <c r="M78" s="660"/>
      <c r="N78" s="660"/>
      <c r="O78" s="661"/>
      <c r="P78" s="657" t="s">
        <v>40</v>
      </c>
      <c r="Q78" s="658"/>
      <c r="R78" s="658"/>
      <c r="S78" s="658"/>
      <c r="T78" s="658"/>
      <c r="U78" s="658"/>
      <c r="V78" s="659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669" t="s">
        <v>177</v>
      </c>
      <c r="B79" s="669"/>
      <c r="C79" s="669"/>
      <c r="D79" s="669"/>
      <c r="E79" s="669"/>
      <c r="F79" s="669"/>
      <c r="G79" s="669"/>
      <c r="H79" s="669"/>
      <c r="I79" s="669"/>
      <c r="J79" s="669"/>
      <c r="K79" s="669"/>
      <c r="L79" s="669"/>
      <c r="M79" s="669"/>
      <c r="N79" s="669"/>
      <c r="O79" s="669"/>
      <c r="P79" s="669"/>
      <c r="Q79" s="669"/>
      <c r="R79" s="669"/>
      <c r="S79" s="669"/>
      <c r="T79" s="669"/>
      <c r="U79" s="669"/>
      <c r="V79" s="669"/>
      <c r="W79" s="669"/>
      <c r="X79" s="669"/>
      <c r="Y79" s="669"/>
      <c r="Z79" s="669"/>
      <c r="AA79" s="66"/>
      <c r="AB79" s="66"/>
      <c r="AC79" s="80"/>
    </row>
    <row r="80" spans="1:68" ht="27" hidden="1" customHeight="1" x14ac:dyDescent="0.25">
      <c r="A80" s="63" t="s">
        <v>178</v>
      </c>
      <c r="B80" s="63" t="s">
        <v>179</v>
      </c>
      <c r="C80" s="36">
        <v>4301060455</v>
      </c>
      <c r="D80" s="670">
        <v>4680115881532</v>
      </c>
      <c r="E80" s="670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126</v>
      </c>
      <c r="L80" s="37" t="s">
        <v>46</v>
      </c>
      <c r="M80" s="38" t="s">
        <v>96</v>
      </c>
      <c r="N80" s="38"/>
      <c r="O80" s="37">
        <v>30</v>
      </c>
      <c r="P80" s="9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2"/>
      <c r="R80" s="672"/>
      <c r="S80" s="672"/>
      <c r="T80" s="673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178</v>
      </c>
      <c r="B81" s="63" t="s">
        <v>181</v>
      </c>
      <c r="C81" s="36">
        <v>4301060526</v>
      </c>
      <c r="D81" s="670">
        <v>4680115881532</v>
      </c>
      <c r="E81" s="670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126</v>
      </c>
      <c r="L81" s="37" t="s">
        <v>46</v>
      </c>
      <c r="M81" s="38" t="s">
        <v>96</v>
      </c>
      <c r="N81" s="38"/>
      <c r="O81" s="37">
        <v>30</v>
      </c>
      <c r="P81" s="92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72"/>
      <c r="R81" s="672"/>
      <c r="S81" s="672"/>
      <c r="T81" s="673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180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182</v>
      </c>
      <c r="B82" s="63" t="s">
        <v>183</v>
      </c>
      <c r="C82" s="36">
        <v>4301060527</v>
      </c>
      <c r="D82" s="670">
        <v>4680115881464</v>
      </c>
      <c r="E82" s="670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133</v>
      </c>
      <c r="L82" s="37" t="s">
        <v>46</v>
      </c>
      <c r="M82" s="38" t="s">
        <v>89</v>
      </c>
      <c r="N82" s="38"/>
      <c r="O82" s="37">
        <v>30</v>
      </c>
      <c r="P82" s="92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184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660"/>
      <c r="B83" s="660"/>
      <c r="C83" s="660"/>
      <c r="D83" s="660"/>
      <c r="E83" s="660"/>
      <c r="F83" s="660"/>
      <c r="G83" s="660"/>
      <c r="H83" s="660"/>
      <c r="I83" s="660"/>
      <c r="J83" s="660"/>
      <c r="K83" s="660"/>
      <c r="L83" s="660"/>
      <c r="M83" s="660"/>
      <c r="N83" s="660"/>
      <c r="O83" s="661"/>
      <c r="P83" s="657" t="s">
        <v>40</v>
      </c>
      <c r="Q83" s="658"/>
      <c r="R83" s="658"/>
      <c r="S83" s="658"/>
      <c r="T83" s="658"/>
      <c r="U83" s="658"/>
      <c r="V83" s="659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660"/>
      <c r="B84" s="660"/>
      <c r="C84" s="660"/>
      <c r="D84" s="660"/>
      <c r="E84" s="660"/>
      <c r="F84" s="660"/>
      <c r="G84" s="660"/>
      <c r="H84" s="660"/>
      <c r="I84" s="660"/>
      <c r="J84" s="660"/>
      <c r="K84" s="660"/>
      <c r="L84" s="660"/>
      <c r="M84" s="660"/>
      <c r="N84" s="660"/>
      <c r="O84" s="661"/>
      <c r="P84" s="657" t="s">
        <v>40</v>
      </c>
      <c r="Q84" s="658"/>
      <c r="R84" s="658"/>
      <c r="S84" s="658"/>
      <c r="T84" s="658"/>
      <c r="U84" s="658"/>
      <c r="V84" s="659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676" t="s">
        <v>185</v>
      </c>
      <c r="B85" s="676"/>
      <c r="C85" s="676"/>
      <c r="D85" s="676"/>
      <c r="E85" s="676"/>
      <c r="F85" s="676"/>
      <c r="G85" s="676"/>
      <c r="H85" s="676"/>
      <c r="I85" s="676"/>
      <c r="J85" s="676"/>
      <c r="K85" s="676"/>
      <c r="L85" s="676"/>
      <c r="M85" s="676"/>
      <c r="N85" s="676"/>
      <c r="O85" s="676"/>
      <c r="P85" s="676"/>
      <c r="Q85" s="676"/>
      <c r="R85" s="676"/>
      <c r="S85" s="676"/>
      <c r="T85" s="676"/>
      <c r="U85" s="676"/>
      <c r="V85" s="676"/>
      <c r="W85" s="676"/>
      <c r="X85" s="676"/>
      <c r="Y85" s="676"/>
      <c r="Z85" s="676"/>
      <c r="AA85" s="65"/>
      <c r="AB85" s="65"/>
      <c r="AC85" s="79"/>
    </row>
    <row r="86" spans="1:68" ht="14.25" hidden="1" customHeight="1" x14ac:dyDescent="0.25">
      <c r="A86" s="669" t="s">
        <v>121</v>
      </c>
      <c r="B86" s="669"/>
      <c r="C86" s="669"/>
      <c r="D86" s="669"/>
      <c r="E86" s="669"/>
      <c r="F86" s="669"/>
      <c r="G86" s="669"/>
      <c r="H86" s="669"/>
      <c r="I86" s="669"/>
      <c r="J86" s="669"/>
      <c r="K86" s="669"/>
      <c r="L86" s="669"/>
      <c r="M86" s="669"/>
      <c r="N86" s="669"/>
      <c r="O86" s="669"/>
      <c r="P86" s="669"/>
      <c r="Q86" s="669"/>
      <c r="R86" s="669"/>
      <c r="S86" s="669"/>
      <c r="T86" s="669"/>
      <c r="U86" s="669"/>
      <c r="V86" s="669"/>
      <c r="W86" s="669"/>
      <c r="X86" s="669"/>
      <c r="Y86" s="669"/>
      <c r="Z86" s="669"/>
      <c r="AA86" s="66"/>
      <c r="AB86" s="66"/>
      <c r="AC86" s="80"/>
    </row>
    <row r="87" spans="1:68" ht="27" hidden="1" customHeight="1" x14ac:dyDescent="0.25">
      <c r="A87" s="63" t="s">
        <v>186</v>
      </c>
      <c r="B87" s="63" t="s">
        <v>187</v>
      </c>
      <c r="C87" s="36">
        <v>4301011468</v>
      </c>
      <c r="D87" s="670">
        <v>4680115881327</v>
      </c>
      <c r="E87" s="670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126</v>
      </c>
      <c r="L87" s="37" t="s">
        <v>46</v>
      </c>
      <c r="M87" s="38" t="s">
        <v>96</v>
      </c>
      <c r="N87" s="38"/>
      <c r="O87" s="37">
        <v>50</v>
      </c>
      <c r="P87" s="92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189</v>
      </c>
      <c r="B88" s="63" t="s">
        <v>190</v>
      </c>
      <c r="C88" s="36">
        <v>4301012392</v>
      </c>
      <c r="D88" s="670">
        <v>4680115887732</v>
      </c>
      <c r="E88" s="670"/>
      <c r="F88" s="62">
        <v>0.17</v>
      </c>
      <c r="G88" s="37">
        <v>8</v>
      </c>
      <c r="H88" s="62">
        <v>1.36</v>
      </c>
      <c r="I88" s="62">
        <v>1.54</v>
      </c>
      <c r="J88" s="37">
        <v>192</v>
      </c>
      <c r="K88" s="37" t="s">
        <v>130</v>
      </c>
      <c r="L88" s="37" t="s">
        <v>46</v>
      </c>
      <c r="M88" s="38" t="s">
        <v>80</v>
      </c>
      <c r="N88" s="38"/>
      <c r="O88" s="37">
        <v>30</v>
      </c>
      <c r="P88" s="92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72"/>
      <c r="R88" s="672"/>
      <c r="S88" s="672"/>
      <c r="T88" s="673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8" t="s">
        <v>191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4301011476</v>
      </c>
      <c r="D89" s="670">
        <v>4680115881518</v>
      </c>
      <c r="E89" s="670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133</v>
      </c>
      <c r="L89" s="37" t="s">
        <v>46</v>
      </c>
      <c r="M89" s="38" t="s">
        <v>89</v>
      </c>
      <c r="N89" s="38"/>
      <c r="O89" s="37">
        <v>50</v>
      </c>
      <c r="P89" s="9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72"/>
      <c r="R89" s="672"/>
      <c r="S89" s="672"/>
      <c r="T89" s="673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188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192</v>
      </c>
      <c r="B90" s="63" t="s">
        <v>194</v>
      </c>
      <c r="C90" s="36">
        <v>4301012252</v>
      </c>
      <c r="D90" s="670">
        <v>4680115881518</v>
      </c>
      <c r="E90" s="670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133</v>
      </c>
      <c r="L90" s="37" t="s">
        <v>46</v>
      </c>
      <c r="M90" s="38" t="s">
        <v>125</v>
      </c>
      <c r="N90" s="38"/>
      <c r="O90" s="37">
        <v>50</v>
      </c>
      <c r="P90" s="91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72"/>
      <c r="R90" s="672"/>
      <c r="S90" s="672"/>
      <c r="T90" s="673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188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195</v>
      </c>
      <c r="B91" s="63" t="s">
        <v>196</v>
      </c>
      <c r="C91" s="36">
        <v>4301012250</v>
      </c>
      <c r="D91" s="670">
        <v>4680115881303</v>
      </c>
      <c r="E91" s="670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133</v>
      </c>
      <c r="L91" s="37" t="s">
        <v>46</v>
      </c>
      <c r="M91" s="38" t="s">
        <v>125</v>
      </c>
      <c r="N91" s="38"/>
      <c r="O91" s="37">
        <v>50</v>
      </c>
      <c r="P91" s="91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72"/>
      <c r="R91" s="672"/>
      <c r="S91" s="672"/>
      <c r="T91" s="673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188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60"/>
      <c r="B92" s="660"/>
      <c r="C92" s="660"/>
      <c r="D92" s="660"/>
      <c r="E92" s="660"/>
      <c r="F92" s="660"/>
      <c r="G92" s="660"/>
      <c r="H92" s="660"/>
      <c r="I92" s="660"/>
      <c r="J92" s="660"/>
      <c r="K92" s="660"/>
      <c r="L92" s="660"/>
      <c r="M92" s="660"/>
      <c r="N92" s="660"/>
      <c r="O92" s="661"/>
      <c r="P92" s="657" t="s">
        <v>40</v>
      </c>
      <c r="Q92" s="658"/>
      <c r="R92" s="658"/>
      <c r="S92" s="658"/>
      <c r="T92" s="658"/>
      <c r="U92" s="658"/>
      <c r="V92" s="659"/>
      <c r="W92" s="42" t="s">
        <v>39</v>
      </c>
      <c r="X92" s="43">
        <f>IFERROR(X87/H87,"0")+IFERROR(X88/H88,"0")+IFERROR(X89/H89,"0")+IFERROR(X90/H90,"0")+IFERROR(X91/H91,"0")</f>
        <v>0</v>
      </c>
      <c r="Y92" s="43">
        <f>IFERROR(Y87/H87,"0")+IFERROR(Y88/H88,"0")+IFERROR(Y89/H89,"0")+IFERROR(Y90/H90,"0")+IFERROR(Y91/H91,"0")</f>
        <v>0</v>
      </c>
      <c r="Z92" s="43">
        <f>IFERROR(IF(Z87="",0,Z87),"0")+IFERROR(IF(Z88="",0,Z88),"0")+IFERROR(IF(Z89="",0,Z89),"0")+IFERROR(IF(Z90="",0,Z90),"0")+IFERROR(IF(Z91="",0,Z91),"0")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60"/>
      <c r="B93" s="660"/>
      <c r="C93" s="660"/>
      <c r="D93" s="660"/>
      <c r="E93" s="660"/>
      <c r="F93" s="660"/>
      <c r="G93" s="660"/>
      <c r="H93" s="660"/>
      <c r="I93" s="660"/>
      <c r="J93" s="660"/>
      <c r="K93" s="660"/>
      <c r="L93" s="660"/>
      <c r="M93" s="660"/>
      <c r="N93" s="660"/>
      <c r="O93" s="661"/>
      <c r="P93" s="657" t="s">
        <v>40</v>
      </c>
      <c r="Q93" s="658"/>
      <c r="R93" s="658"/>
      <c r="S93" s="658"/>
      <c r="T93" s="658"/>
      <c r="U93" s="658"/>
      <c r="V93" s="659"/>
      <c r="W93" s="42" t="s">
        <v>0</v>
      </c>
      <c r="X93" s="43">
        <f>IFERROR(SUM(X87:X91),"0")</f>
        <v>0</v>
      </c>
      <c r="Y93" s="43">
        <f>IFERROR(SUM(Y87:Y91),"0")</f>
        <v>0</v>
      </c>
      <c r="Z93" s="42"/>
      <c r="AA93" s="67"/>
      <c r="AB93" s="67"/>
      <c r="AC93" s="67"/>
    </row>
    <row r="94" spans="1:68" ht="14.25" hidden="1" customHeight="1" x14ac:dyDescent="0.25">
      <c r="A94" s="669" t="s">
        <v>85</v>
      </c>
      <c r="B94" s="669"/>
      <c r="C94" s="669"/>
      <c r="D94" s="669"/>
      <c r="E94" s="669"/>
      <c r="F94" s="669"/>
      <c r="G94" s="669"/>
      <c r="H94" s="669"/>
      <c r="I94" s="669"/>
      <c r="J94" s="669"/>
      <c r="K94" s="669"/>
      <c r="L94" s="669"/>
      <c r="M94" s="669"/>
      <c r="N94" s="669"/>
      <c r="O94" s="669"/>
      <c r="P94" s="669"/>
      <c r="Q94" s="669"/>
      <c r="R94" s="669"/>
      <c r="S94" s="669"/>
      <c r="T94" s="669"/>
      <c r="U94" s="669"/>
      <c r="V94" s="669"/>
      <c r="W94" s="669"/>
      <c r="X94" s="669"/>
      <c r="Y94" s="669"/>
      <c r="Z94" s="669"/>
      <c r="AA94" s="66"/>
      <c r="AB94" s="66"/>
      <c r="AC94" s="80"/>
    </row>
    <row r="95" spans="1:68" ht="27" hidden="1" customHeight="1" x14ac:dyDescent="0.25">
      <c r="A95" s="63" t="s">
        <v>197</v>
      </c>
      <c r="B95" s="63" t="s">
        <v>198</v>
      </c>
      <c r="C95" s="36">
        <v>4301052101</v>
      </c>
      <c r="D95" s="670">
        <v>4607091386967</v>
      </c>
      <c r="E95" s="670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126</v>
      </c>
      <c r="L95" s="37" t="s">
        <v>46</v>
      </c>
      <c r="M95" s="38" t="s">
        <v>96</v>
      </c>
      <c r="N95" s="38"/>
      <c r="O95" s="37">
        <v>45</v>
      </c>
      <c r="P95" s="91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72"/>
      <c r="R95" s="672"/>
      <c r="S95" s="672"/>
      <c r="T95" s="673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6" t="s">
        <v>199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200</v>
      </c>
      <c r="B96" s="63" t="s">
        <v>201</v>
      </c>
      <c r="C96" s="36">
        <v>4301052090</v>
      </c>
      <c r="D96" s="670">
        <v>4680115884953</v>
      </c>
      <c r="E96" s="670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91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72"/>
      <c r="R96" s="672"/>
      <c r="S96" s="672"/>
      <c r="T96" s="673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202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4301052094</v>
      </c>
      <c r="D97" s="670">
        <v>4607091385731</v>
      </c>
      <c r="E97" s="670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92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72"/>
      <c r="R97" s="672"/>
      <c r="S97" s="672"/>
      <c r="T97" s="673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199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70">
        <v>4680115880894</v>
      </c>
      <c r="E98" s="670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92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72"/>
      <c r="R98" s="672"/>
      <c r="S98" s="672"/>
      <c r="T98" s="673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60"/>
      <c r="B99" s="660"/>
      <c r="C99" s="660"/>
      <c r="D99" s="660"/>
      <c r="E99" s="660"/>
      <c r="F99" s="660"/>
      <c r="G99" s="660"/>
      <c r="H99" s="660"/>
      <c r="I99" s="660"/>
      <c r="J99" s="660"/>
      <c r="K99" s="660"/>
      <c r="L99" s="660"/>
      <c r="M99" s="660"/>
      <c r="N99" s="660"/>
      <c r="O99" s="661"/>
      <c r="P99" s="657" t="s">
        <v>40</v>
      </c>
      <c r="Q99" s="658"/>
      <c r="R99" s="658"/>
      <c r="S99" s="658"/>
      <c r="T99" s="658"/>
      <c r="U99" s="658"/>
      <c r="V99" s="659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60"/>
      <c r="B100" s="660"/>
      <c r="C100" s="660"/>
      <c r="D100" s="660"/>
      <c r="E100" s="660"/>
      <c r="F100" s="660"/>
      <c r="G100" s="660"/>
      <c r="H100" s="660"/>
      <c r="I100" s="660"/>
      <c r="J100" s="660"/>
      <c r="K100" s="660"/>
      <c r="L100" s="660"/>
      <c r="M100" s="660"/>
      <c r="N100" s="660"/>
      <c r="O100" s="661"/>
      <c r="P100" s="657" t="s">
        <v>40</v>
      </c>
      <c r="Q100" s="658"/>
      <c r="R100" s="658"/>
      <c r="S100" s="658"/>
      <c r="T100" s="658"/>
      <c r="U100" s="658"/>
      <c r="V100" s="659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76" t="s">
        <v>208</v>
      </c>
      <c r="B101" s="676"/>
      <c r="C101" s="676"/>
      <c r="D101" s="676"/>
      <c r="E101" s="676"/>
      <c r="F101" s="676"/>
      <c r="G101" s="676"/>
      <c r="H101" s="676"/>
      <c r="I101" s="676"/>
      <c r="J101" s="676"/>
      <c r="K101" s="676"/>
      <c r="L101" s="676"/>
      <c r="M101" s="676"/>
      <c r="N101" s="676"/>
      <c r="O101" s="676"/>
      <c r="P101" s="676"/>
      <c r="Q101" s="676"/>
      <c r="R101" s="676"/>
      <c r="S101" s="676"/>
      <c r="T101" s="676"/>
      <c r="U101" s="676"/>
      <c r="V101" s="676"/>
      <c r="W101" s="676"/>
      <c r="X101" s="676"/>
      <c r="Y101" s="676"/>
      <c r="Z101" s="676"/>
      <c r="AA101" s="65"/>
      <c r="AB101" s="65"/>
      <c r="AC101" s="79"/>
    </row>
    <row r="102" spans="1:68" ht="14.25" hidden="1" customHeight="1" x14ac:dyDescent="0.25">
      <c r="A102" s="669" t="s">
        <v>121</v>
      </c>
      <c r="B102" s="669"/>
      <c r="C102" s="669"/>
      <c r="D102" s="669"/>
      <c r="E102" s="669"/>
      <c r="F102" s="669"/>
      <c r="G102" s="669"/>
      <c r="H102" s="669"/>
      <c r="I102" s="669"/>
      <c r="J102" s="669"/>
      <c r="K102" s="669"/>
      <c r="L102" s="669"/>
      <c r="M102" s="669"/>
      <c r="N102" s="669"/>
      <c r="O102" s="669"/>
      <c r="P102" s="669"/>
      <c r="Q102" s="669"/>
      <c r="R102" s="669"/>
      <c r="S102" s="669"/>
      <c r="T102" s="669"/>
      <c r="U102" s="669"/>
      <c r="V102" s="669"/>
      <c r="W102" s="669"/>
      <c r="X102" s="669"/>
      <c r="Y102" s="669"/>
      <c r="Z102" s="669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70">
        <v>4680115882133</v>
      </c>
      <c r="E103" s="670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90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72"/>
      <c r="R103" s="672"/>
      <c r="S103" s="672"/>
      <c r="T103" s="673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1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1" si="6">IFERROR(X103*I103/H103,"0")</f>
        <v>0</v>
      </c>
      <c r="BN103" s="78">
        <f t="shared" ref="BN103:BN111" si="7">IFERROR(Y103*I103/H103,"0")</f>
        <v>0</v>
      </c>
      <c r="BO103" s="78">
        <f t="shared" ref="BO103:BO111" si="8">IFERROR(1/J103*(X103/H103),"0")</f>
        <v>0</v>
      </c>
      <c r="BP103" s="78">
        <f t="shared" ref="BP103:BP111" si="9">IFERROR(1/J103*(Y103/H103),"0")</f>
        <v>0</v>
      </c>
    </row>
    <row r="104" spans="1:68" ht="27" hidden="1" customHeight="1" x14ac:dyDescent="0.25">
      <c r="A104" s="63" t="s">
        <v>209</v>
      </c>
      <c r="B104" s="63" t="s">
        <v>212</v>
      </c>
      <c r="C104" s="36">
        <v>4301012256</v>
      </c>
      <c r="D104" s="670">
        <v>4680115882133</v>
      </c>
      <c r="E104" s="670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126</v>
      </c>
      <c r="L104" s="37" t="s">
        <v>46</v>
      </c>
      <c r="M104" s="38" t="s">
        <v>125</v>
      </c>
      <c r="N104" s="38"/>
      <c r="O104" s="37">
        <v>50</v>
      </c>
      <c r="P104" s="909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72"/>
      <c r="R104" s="672"/>
      <c r="S104" s="672"/>
      <c r="T104" s="673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214</v>
      </c>
      <c r="B105" s="63" t="s">
        <v>215</v>
      </c>
      <c r="C105" s="36">
        <v>4301012379</v>
      </c>
      <c r="D105" s="670">
        <v>4680115887718</v>
      </c>
      <c r="E105" s="670"/>
      <c r="F105" s="62">
        <v>0.11</v>
      </c>
      <c r="G105" s="37">
        <v>6</v>
      </c>
      <c r="H105" s="62">
        <v>0.66</v>
      </c>
      <c r="I105" s="62">
        <v>0.82599999999999996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91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2"/>
      <c r="R105" s="672"/>
      <c r="S105" s="672"/>
      <c r="T105" s="673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670">
        <v>4680115880269</v>
      </c>
      <c r="E106" s="670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133</v>
      </c>
      <c r="L106" s="37" t="s">
        <v>46</v>
      </c>
      <c r="M106" s="38" t="s">
        <v>89</v>
      </c>
      <c r="N106" s="38"/>
      <c r="O106" s="37">
        <v>50</v>
      </c>
      <c r="P106" s="9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2"/>
      <c r="R106" s="672"/>
      <c r="S106" s="672"/>
      <c r="T106" s="673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211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217</v>
      </c>
      <c r="B107" s="63" t="s">
        <v>219</v>
      </c>
      <c r="C107" s="36">
        <v>4301012253</v>
      </c>
      <c r="D107" s="670">
        <v>4680115880269</v>
      </c>
      <c r="E107" s="670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125</v>
      </c>
      <c r="N107" s="38"/>
      <c r="O107" s="37">
        <v>50</v>
      </c>
      <c r="P107" s="912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72"/>
      <c r="R107" s="672"/>
      <c r="S107" s="672"/>
      <c r="T107" s="673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220</v>
      </c>
      <c r="B108" s="63" t="s">
        <v>221</v>
      </c>
      <c r="C108" s="36">
        <v>4301012254</v>
      </c>
      <c r="D108" s="670">
        <v>4680115880429</v>
      </c>
      <c r="E108" s="670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125</v>
      </c>
      <c r="N108" s="38"/>
      <c r="O108" s="37">
        <v>50</v>
      </c>
      <c r="P108" s="91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72"/>
      <c r="R108" s="672"/>
      <c r="S108" s="672"/>
      <c r="T108" s="673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213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t="37.5" hidden="1" customHeight="1" x14ac:dyDescent="0.25">
      <c r="A109" s="63" t="s">
        <v>222</v>
      </c>
      <c r="B109" s="63" t="s">
        <v>223</v>
      </c>
      <c r="C109" s="36">
        <v>4301011462</v>
      </c>
      <c r="D109" s="670">
        <v>4680115881457</v>
      </c>
      <c r="E109" s="670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89</v>
      </c>
      <c r="N109" s="38"/>
      <c r="O109" s="37">
        <v>50</v>
      </c>
      <c r="P109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211</v>
      </c>
      <c r="AG109" s="78"/>
      <c r="AJ109" s="84" t="s">
        <v>46</v>
      </c>
      <c r="AK109" s="84">
        <v>0</v>
      </c>
      <c r="BB109" s="187" t="s">
        <v>67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27" hidden="1" customHeight="1" x14ac:dyDescent="0.25">
      <c r="A110" s="63" t="s">
        <v>222</v>
      </c>
      <c r="B110" s="63" t="s">
        <v>224</v>
      </c>
      <c r="C110" s="36">
        <v>4301012255</v>
      </c>
      <c r="D110" s="670">
        <v>4680115881457</v>
      </c>
      <c r="E110" s="670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125</v>
      </c>
      <c r="N110" s="38"/>
      <c r="O110" s="37">
        <v>50</v>
      </c>
      <c r="P110" s="91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72"/>
      <c r="R110" s="672"/>
      <c r="S110" s="672"/>
      <c r="T110" s="673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hidden="1" customHeight="1" x14ac:dyDescent="0.25">
      <c r="A111" s="63" t="s">
        <v>225</v>
      </c>
      <c r="B111" s="63" t="s">
        <v>226</v>
      </c>
      <c r="C111" s="36">
        <v>4301012366</v>
      </c>
      <c r="D111" s="670">
        <v>4680115889477</v>
      </c>
      <c r="E111" s="670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90</v>
      </c>
      <c r="L111" s="37" t="s">
        <v>46</v>
      </c>
      <c r="M111" s="38" t="s">
        <v>125</v>
      </c>
      <c r="N111" s="38"/>
      <c r="O111" s="37">
        <v>55</v>
      </c>
      <c r="P111" s="90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72"/>
      <c r="R111" s="672"/>
      <c r="S111" s="672"/>
      <c r="T111" s="673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IFERROR(IF(Y111=0,"",ROUNDUP(Y111/H111,0)*0.00651),"")</f>
        <v/>
      </c>
      <c r="AA111" s="68" t="s">
        <v>46</v>
      </c>
      <c r="AB111" s="69" t="s">
        <v>46</v>
      </c>
      <c r="AC111" s="190" t="s">
        <v>227</v>
      </c>
      <c r="AG111" s="78"/>
      <c r="AJ111" s="84" t="s">
        <v>46</v>
      </c>
      <c r="AK111" s="84">
        <v>0</v>
      </c>
      <c r="BB111" s="191" t="s">
        <v>67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hidden="1" x14ac:dyDescent="0.2">
      <c r="A112" s="660"/>
      <c r="B112" s="660"/>
      <c r="C112" s="660"/>
      <c r="D112" s="660"/>
      <c r="E112" s="660"/>
      <c r="F112" s="660"/>
      <c r="G112" s="660"/>
      <c r="H112" s="660"/>
      <c r="I112" s="660"/>
      <c r="J112" s="660"/>
      <c r="K112" s="660"/>
      <c r="L112" s="660"/>
      <c r="M112" s="660"/>
      <c r="N112" s="660"/>
      <c r="O112" s="661"/>
      <c r="P112" s="657" t="s">
        <v>40</v>
      </c>
      <c r="Q112" s="658"/>
      <c r="R112" s="658"/>
      <c r="S112" s="658"/>
      <c r="T112" s="658"/>
      <c r="U112" s="658"/>
      <c r="V112" s="659"/>
      <c r="W112" s="42" t="s">
        <v>39</v>
      </c>
      <c r="X112" s="43">
        <f>IFERROR(X103/H103,"0")+IFERROR(X104/H104,"0")+IFERROR(X105/H105,"0")+IFERROR(X106/H106,"0")+IFERROR(X107/H107,"0")+IFERROR(X108/H108,"0")+IFERROR(X109/H109,"0")+IFERROR(X110/H110,"0")+IFERROR(X111/H111,"0")</f>
        <v>0</v>
      </c>
      <c r="Y112" s="43">
        <f>IFERROR(Y103/H103,"0")+IFERROR(Y104/H104,"0")+IFERROR(Y105/H105,"0")+IFERROR(Y106/H106,"0")+IFERROR(Y107/H107,"0")+IFERROR(Y108/H108,"0")+IFERROR(Y109/H109,"0")+IFERROR(Y110/H110,"0")+IFERROR(Y111/H111,"0")</f>
        <v>0</v>
      </c>
      <c r="Z112" s="43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660"/>
      <c r="B113" s="660"/>
      <c r="C113" s="660"/>
      <c r="D113" s="660"/>
      <c r="E113" s="660"/>
      <c r="F113" s="660"/>
      <c r="G113" s="660"/>
      <c r="H113" s="660"/>
      <c r="I113" s="660"/>
      <c r="J113" s="660"/>
      <c r="K113" s="660"/>
      <c r="L113" s="660"/>
      <c r="M113" s="660"/>
      <c r="N113" s="660"/>
      <c r="O113" s="661"/>
      <c r="P113" s="657" t="s">
        <v>40</v>
      </c>
      <c r="Q113" s="658"/>
      <c r="R113" s="658"/>
      <c r="S113" s="658"/>
      <c r="T113" s="658"/>
      <c r="U113" s="658"/>
      <c r="V113" s="659"/>
      <c r="W113" s="42" t="s">
        <v>0</v>
      </c>
      <c r="X113" s="43">
        <f>IFERROR(SUM(X103:X111),"0")</f>
        <v>0</v>
      </c>
      <c r="Y113" s="43">
        <f>IFERROR(SUM(Y103:Y111),"0")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669" t="s">
        <v>158</v>
      </c>
      <c r="B114" s="669"/>
      <c r="C114" s="669"/>
      <c r="D114" s="669"/>
      <c r="E114" s="669"/>
      <c r="F114" s="669"/>
      <c r="G114" s="669"/>
      <c r="H114" s="669"/>
      <c r="I114" s="669"/>
      <c r="J114" s="669"/>
      <c r="K114" s="669"/>
      <c r="L114" s="669"/>
      <c r="M114" s="669"/>
      <c r="N114" s="669"/>
      <c r="O114" s="669"/>
      <c r="P114" s="669"/>
      <c r="Q114" s="669"/>
      <c r="R114" s="669"/>
      <c r="S114" s="669"/>
      <c r="T114" s="669"/>
      <c r="U114" s="669"/>
      <c r="V114" s="669"/>
      <c r="W114" s="669"/>
      <c r="X114" s="669"/>
      <c r="Y114" s="669"/>
      <c r="Z114" s="669"/>
      <c r="AA114" s="66"/>
      <c r="AB114" s="66"/>
      <c r="AC114" s="80"/>
    </row>
    <row r="115" spans="1:68" ht="27" hidden="1" customHeight="1" x14ac:dyDescent="0.25">
      <c r="A115" s="63" t="s">
        <v>228</v>
      </c>
      <c r="B115" s="63" t="s">
        <v>229</v>
      </c>
      <c r="C115" s="36">
        <v>4301020391</v>
      </c>
      <c r="D115" s="670">
        <v>4680115881488</v>
      </c>
      <c r="E115" s="670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126</v>
      </c>
      <c r="L115" s="37" t="s">
        <v>46</v>
      </c>
      <c r="M115" s="38" t="s">
        <v>125</v>
      </c>
      <c r="N115" s="38"/>
      <c r="O115" s="37">
        <v>55</v>
      </c>
      <c r="P115" s="90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2"/>
      <c r="R115" s="672"/>
      <c r="S115" s="672"/>
      <c r="T115" s="673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230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4301020186</v>
      </c>
      <c r="D116" s="670">
        <v>4680115887664</v>
      </c>
      <c r="E116" s="670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235</v>
      </c>
      <c r="L116" s="37" t="s">
        <v>46</v>
      </c>
      <c r="M116" s="38" t="s">
        <v>80</v>
      </c>
      <c r="N116" s="38"/>
      <c r="O116" s="37">
        <v>30</v>
      </c>
      <c r="P116" s="90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2"/>
      <c r="R116" s="672"/>
      <c r="S116" s="672"/>
      <c r="T116" s="673"/>
      <c r="U116" s="39" t="s">
        <v>231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234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232</v>
      </c>
      <c r="B117" s="63" t="s">
        <v>236</v>
      </c>
      <c r="C117" s="36">
        <v>4301020430</v>
      </c>
      <c r="D117" s="670">
        <v>4680115887664</v>
      </c>
      <c r="E117" s="670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235</v>
      </c>
      <c r="L117" s="37" t="s">
        <v>46</v>
      </c>
      <c r="M117" s="38" t="s">
        <v>80</v>
      </c>
      <c r="N117" s="38"/>
      <c r="O117" s="37">
        <v>30</v>
      </c>
      <c r="P117" s="90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2"/>
      <c r="R117" s="672"/>
      <c r="S117" s="672"/>
      <c r="T117" s="673"/>
      <c r="U117" s="39" t="s">
        <v>231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234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4301020393</v>
      </c>
      <c r="D118" s="670">
        <v>4680115882775</v>
      </c>
      <c r="E118" s="670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81</v>
      </c>
      <c r="L118" s="37" t="s">
        <v>46</v>
      </c>
      <c r="M118" s="38" t="s">
        <v>125</v>
      </c>
      <c r="N118" s="38"/>
      <c r="O118" s="37">
        <v>55</v>
      </c>
      <c r="P118" s="90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2"/>
      <c r="R118" s="672"/>
      <c r="S118" s="672"/>
      <c r="T118" s="673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230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239</v>
      </c>
      <c r="B119" s="63" t="s">
        <v>240</v>
      </c>
      <c r="C119" s="36">
        <v>4301020392</v>
      </c>
      <c r="D119" s="670">
        <v>4680115880658</v>
      </c>
      <c r="E119" s="670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90</v>
      </c>
      <c r="L119" s="37" t="s">
        <v>46</v>
      </c>
      <c r="M119" s="38" t="s">
        <v>125</v>
      </c>
      <c r="N119" s="38"/>
      <c r="O119" s="37">
        <v>55</v>
      </c>
      <c r="P119" s="90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2"/>
      <c r="R119" s="672"/>
      <c r="S119" s="672"/>
      <c r="T119" s="673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230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0"/>
      <c r="B120" s="660"/>
      <c r="C120" s="660"/>
      <c r="D120" s="660"/>
      <c r="E120" s="660"/>
      <c r="F120" s="660"/>
      <c r="G120" s="660"/>
      <c r="H120" s="660"/>
      <c r="I120" s="660"/>
      <c r="J120" s="660"/>
      <c r="K120" s="660"/>
      <c r="L120" s="660"/>
      <c r="M120" s="660"/>
      <c r="N120" s="660"/>
      <c r="O120" s="661"/>
      <c r="P120" s="657" t="s">
        <v>40</v>
      </c>
      <c r="Q120" s="658"/>
      <c r="R120" s="658"/>
      <c r="S120" s="658"/>
      <c r="T120" s="658"/>
      <c r="U120" s="658"/>
      <c r="V120" s="659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0"/>
      <c r="B121" s="660"/>
      <c r="C121" s="660"/>
      <c r="D121" s="660"/>
      <c r="E121" s="660"/>
      <c r="F121" s="660"/>
      <c r="G121" s="660"/>
      <c r="H121" s="660"/>
      <c r="I121" s="660"/>
      <c r="J121" s="660"/>
      <c r="K121" s="660"/>
      <c r="L121" s="660"/>
      <c r="M121" s="660"/>
      <c r="N121" s="660"/>
      <c r="O121" s="661"/>
      <c r="P121" s="657" t="s">
        <v>40</v>
      </c>
      <c r="Q121" s="658"/>
      <c r="R121" s="658"/>
      <c r="S121" s="658"/>
      <c r="T121" s="658"/>
      <c r="U121" s="658"/>
      <c r="V121" s="659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69" t="s">
        <v>85</v>
      </c>
      <c r="B122" s="669"/>
      <c r="C122" s="669"/>
      <c r="D122" s="669"/>
      <c r="E122" s="669"/>
      <c r="F122" s="669"/>
      <c r="G122" s="669"/>
      <c r="H122" s="669"/>
      <c r="I122" s="669"/>
      <c r="J122" s="669"/>
      <c r="K122" s="669"/>
      <c r="L122" s="669"/>
      <c r="M122" s="669"/>
      <c r="N122" s="669"/>
      <c r="O122" s="669"/>
      <c r="P122" s="669"/>
      <c r="Q122" s="669"/>
      <c r="R122" s="669"/>
      <c r="S122" s="669"/>
      <c r="T122" s="669"/>
      <c r="U122" s="669"/>
      <c r="V122" s="669"/>
      <c r="W122" s="669"/>
      <c r="X122" s="669"/>
      <c r="Y122" s="669"/>
      <c r="Z122" s="669"/>
      <c r="AA122" s="66"/>
      <c r="AB122" s="66"/>
      <c r="AC122" s="80"/>
    </row>
    <row r="123" spans="1:68" ht="27" hidden="1" customHeight="1" x14ac:dyDescent="0.25">
      <c r="A123" s="63" t="s">
        <v>241</v>
      </c>
      <c r="B123" s="63" t="s">
        <v>242</v>
      </c>
      <c r="C123" s="36">
        <v>4301052088</v>
      </c>
      <c r="D123" s="670">
        <v>4607091385168</v>
      </c>
      <c r="E123" s="670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89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72"/>
      <c r="R123" s="672"/>
      <c r="S123" s="672"/>
      <c r="T123" s="673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243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4301052087</v>
      </c>
      <c r="D124" s="670">
        <v>4607091383256</v>
      </c>
      <c r="E124" s="670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89</v>
      </c>
      <c r="N124" s="38"/>
      <c r="O124" s="37">
        <v>45</v>
      </c>
      <c r="P124" s="89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72"/>
      <c r="R124" s="672"/>
      <c r="S124" s="672"/>
      <c r="T124" s="673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243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246</v>
      </c>
      <c r="B125" s="63" t="s">
        <v>247</v>
      </c>
      <c r="C125" s="36">
        <v>4301052086</v>
      </c>
      <c r="D125" s="670">
        <v>4607091385748</v>
      </c>
      <c r="E125" s="670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89</v>
      </c>
      <c r="N125" s="38"/>
      <c r="O125" s="37">
        <v>45</v>
      </c>
      <c r="P125" s="89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72"/>
      <c r="R125" s="672"/>
      <c r="S125" s="672"/>
      <c r="T125" s="673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243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hidden="1" customHeight="1" x14ac:dyDescent="0.25">
      <c r="A126" s="63" t="s">
        <v>248</v>
      </c>
      <c r="B126" s="63" t="s">
        <v>249</v>
      </c>
      <c r="C126" s="36">
        <v>4301052085</v>
      </c>
      <c r="D126" s="670">
        <v>4680115884533</v>
      </c>
      <c r="E126" s="670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90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72"/>
      <c r="R126" s="672"/>
      <c r="S126" s="672"/>
      <c r="T126" s="673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250</v>
      </c>
      <c r="AG126" s="78"/>
      <c r="AJ126" s="84" t="s">
        <v>46</v>
      </c>
      <c r="AK126" s="84">
        <v>0</v>
      </c>
      <c r="BB126" s="209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660"/>
      <c r="B127" s="660"/>
      <c r="C127" s="660"/>
      <c r="D127" s="660"/>
      <c r="E127" s="660"/>
      <c r="F127" s="660"/>
      <c r="G127" s="660"/>
      <c r="H127" s="660"/>
      <c r="I127" s="660"/>
      <c r="J127" s="660"/>
      <c r="K127" s="660"/>
      <c r="L127" s="660"/>
      <c r="M127" s="660"/>
      <c r="N127" s="660"/>
      <c r="O127" s="661"/>
      <c r="P127" s="657" t="s">
        <v>40</v>
      </c>
      <c r="Q127" s="658"/>
      <c r="R127" s="658"/>
      <c r="S127" s="658"/>
      <c r="T127" s="658"/>
      <c r="U127" s="658"/>
      <c r="V127" s="659"/>
      <c r="W127" s="42" t="s">
        <v>39</v>
      </c>
      <c r="X127" s="43">
        <f>IFERROR(X123/H123,"0")+IFERROR(X124/H124,"0")+IFERROR(X125/H125,"0")+IFERROR(X126/H126,"0")</f>
        <v>0</v>
      </c>
      <c r="Y127" s="43">
        <f>IFERROR(Y123/H123,"0")+IFERROR(Y124/H124,"0")+IFERROR(Y125/H125,"0")+IFERROR(Y126/H126,"0")</f>
        <v>0</v>
      </c>
      <c r="Z127" s="43">
        <f>IFERROR(IF(Z123="",0,Z123),"0")+IFERROR(IF(Z124="",0,Z124),"0")+IFERROR(IF(Z125="",0,Z125),"0")+IFERROR(IF(Z126="",0,Z126),"0")</f>
        <v>0</v>
      </c>
      <c r="AA127" s="67"/>
      <c r="AB127" s="67"/>
      <c r="AC127" s="67"/>
    </row>
    <row r="128" spans="1:68" hidden="1" x14ac:dyDescent="0.2">
      <c r="A128" s="660"/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1"/>
      <c r="P128" s="657" t="s">
        <v>40</v>
      </c>
      <c r="Q128" s="658"/>
      <c r="R128" s="658"/>
      <c r="S128" s="658"/>
      <c r="T128" s="658"/>
      <c r="U128" s="658"/>
      <c r="V128" s="659"/>
      <c r="W128" s="42" t="s">
        <v>0</v>
      </c>
      <c r="X128" s="43">
        <f>IFERROR(SUM(X123:X126),"0")</f>
        <v>0</v>
      </c>
      <c r="Y128" s="43">
        <f>IFERROR(SUM(Y123:Y126),"0")</f>
        <v>0</v>
      </c>
      <c r="Z128" s="42"/>
      <c r="AA128" s="67"/>
      <c r="AB128" s="67"/>
      <c r="AC128" s="67"/>
    </row>
    <row r="129" spans="1:68" ht="14.25" hidden="1" customHeight="1" x14ac:dyDescent="0.25">
      <c r="A129" s="669" t="s">
        <v>177</v>
      </c>
      <c r="B129" s="669"/>
      <c r="C129" s="669"/>
      <c r="D129" s="669"/>
      <c r="E129" s="669"/>
      <c r="F129" s="669"/>
      <c r="G129" s="669"/>
      <c r="H129" s="669"/>
      <c r="I129" s="669"/>
      <c r="J129" s="669"/>
      <c r="K129" s="669"/>
      <c r="L129" s="669"/>
      <c r="M129" s="669"/>
      <c r="N129" s="669"/>
      <c r="O129" s="669"/>
      <c r="P129" s="669"/>
      <c r="Q129" s="669"/>
      <c r="R129" s="669"/>
      <c r="S129" s="669"/>
      <c r="T129" s="669"/>
      <c r="U129" s="669"/>
      <c r="V129" s="669"/>
      <c r="W129" s="669"/>
      <c r="X129" s="669"/>
      <c r="Y129" s="669"/>
      <c r="Z129" s="669"/>
      <c r="AA129" s="66"/>
      <c r="AB129" s="66"/>
      <c r="AC129" s="80"/>
    </row>
    <row r="130" spans="1:68" ht="16.5" hidden="1" customHeight="1" x14ac:dyDescent="0.25">
      <c r="A130" s="63" t="s">
        <v>251</v>
      </c>
      <c r="B130" s="63" t="s">
        <v>252</v>
      </c>
      <c r="C130" s="36">
        <v>4301060525</v>
      </c>
      <c r="D130" s="670">
        <v>4680115880238</v>
      </c>
      <c r="E130" s="670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90</v>
      </c>
      <c r="L130" s="37" t="s">
        <v>46</v>
      </c>
      <c r="M130" s="38" t="s">
        <v>89</v>
      </c>
      <c r="N130" s="38"/>
      <c r="O130" s="37">
        <v>40</v>
      </c>
      <c r="P130" s="90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72"/>
      <c r="R130" s="672"/>
      <c r="S130" s="672"/>
      <c r="T130" s="673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10" t="s">
        <v>253</v>
      </c>
      <c r="AG130" s="78"/>
      <c r="AJ130" s="84" t="s">
        <v>46</v>
      </c>
      <c r="AK130" s="84">
        <v>0</v>
      </c>
      <c r="BB130" s="211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60"/>
      <c r="B131" s="660"/>
      <c r="C131" s="660"/>
      <c r="D131" s="660"/>
      <c r="E131" s="660"/>
      <c r="F131" s="660"/>
      <c r="G131" s="660"/>
      <c r="H131" s="660"/>
      <c r="I131" s="660"/>
      <c r="J131" s="660"/>
      <c r="K131" s="660"/>
      <c r="L131" s="660"/>
      <c r="M131" s="660"/>
      <c r="N131" s="660"/>
      <c r="O131" s="661"/>
      <c r="P131" s="657" t="s">
        <v>40</v>
      </c>
      <c r="Q131" s="658"/>
      <c r="R131" s="658"/>
      <c r="S131" s="658"/>
      <c r="T131" s="658"/>
      <c r="U131" s="658"/>
      <c r="V131" s="659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660"/>
      <c r="B132" s="660"/>
      <c r="C132" s="660"/>
      <c r="D132" s="660"/>
      <c r="E132" s="660"/>
      <c r="F132" s="660"/>
      <c r="G132" s="660"/>
      <c r="H132" s="660"/>
      <c r="I132" s="660"/>
      <c r="J132" s="660"/>
      <c r="K132" s="660"/>
      <c r="L132" s="660"/>
      <c r="M132" s="660"/>
      <c r="N132" s="660"/>
      <c r="O132" s="661"/>
      <c r="P132" s="657" t="s">
        <v>40</v>
      </c>
      <c r="Q132" s="658"/>
      <c r="R132" s="658"/>
      <c r="S132" s="658"/>
      <c r="T132" s="658"/>
      <c r="U132" s="658"/>
      <c r="V132" s="659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676" t="s">
        <v>254</v>
      </c>
      <c r="B133" s="676"/>
      <c r="C133" s="676"/>
      <c r="D133" s="676"/>
      <c r="E133" s="676"/>
      <c r="F133" s="676"/>
      <c r="G133" s="676"/>
      <c r="H133" s="676"/>
      <c r="I133" s="676"/>
      <c r="J133" s="676"/>
      <c r="K133" s="676"/>
      <c r="L133" s="676"/>
      <c r="M133" s="676"/>
      <c r="N133" s="676"/>
      <c r="O133" s="676"/>
      <c r="P133" s="676"/>
      <c r="Q133" s="676"/>
      <c r="R133" s="676"/>
      <c r="S133" s="676"/>
      <c r="T133" s="676"/>
      <c r="U133" s="676"/>
      <c r="V133" s="676"/>
      <c r="W133" s="676"/>
      <c r="X133" s="676"/>
      <c r="Y133" s="676"/>
      <c r="Z133" s="676"/>
      <c r="AA133" s="65"/>
      <c r="AB133" s="65"/>
      <c r="AC133" s="79"/>
    </row>
    <row r="134" spans="1:68" ht="14.25" hidden="1" customHeight="1" x14ac:dyDescent="0.25">
      <c r="A134" s="669" t="s">
        <v>121</v>
      </c>
      <c r="B134" s="669"/>
      <c r="C134" s="669"/>
      <c r="D134" s="669"/>
      <c r="E134" s="669"/>
      <c r="F134" s="669"/>
      <c r="G134" s="669"/>
      <c r="H134" s="669"/>
      <c r="I134" s="669"/>
      <c r="J134" s="669"/>
      <c r="K134" s="669"/>
      <c r="L134" s="669"/>
      <c r="M134" s="669"/>
      <c r="N134" s="669"/>
      <c r="O134" s="669"/>
      <c r="P134" s="669"/>
      <c r="Q134" s="669"/>
      <c r="R134" s="669"/>
      <c r="S134" s="669"/>
      <c r="T134" s="669"/>
      <c r="U134" s="669"/>
      <c r="V134" s="669"/>
      <c r="W134" s="669"/>
      <c r="X134" s="669"/>
      <c r="Y134" s="669"/>
      <c r="Z134" s="669"/>
      <c r="AA134" s="66"/>
      <c r="AB134" s="66"/>
      <c r="AC134" s="80"/>
    </row>
    <row r="135" spans="1:68" ht="27" hidden="1" customHeight="1" x14ac:dyDescent="0.25">
      <c r="A135" s="63" t="s">
        <v>255</v>
      </c>
      <c r="B135" s="63" t="s">
        <v>256</v>
      </c>
      <c r="C135" s="36">
        <v>4301011562</v>
      </c>
      <c r="D135" s="670">
        <v>4680115882577</v>
      </c>
      <c r="E135" s="670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258</v>
      </c>
      <c r="N135" s="38"/>
      <c r="O135" s="37">
        <v>90</v>
      </c>
      <c r="P135" s="89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72"/>
      <c r="R135" s="672"/>
      <c r="S135" s="672"/>
      <c r="T135" s="673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257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255</v>
      </c>
      <c r="B136" s="63" t="s">
        <v>259</v>
      </c>
      <c r="C136" s="36">
        <v>4301011564</v>
      </c>
      <c r="D136" s="670">
        <v>4680115882577</v>
      </c>
      <c r="E136" s="670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90</v>
      </c>
      <c r="L136" s="37" t="s">
        <v>46</v>
      </c>
      <c r="M136" s="38" t="s">
        <v>258</v>
      </c>
      <c r="N136" s="38"/>
      <c r="O136" s="37">
        <v>90</v>
      </c>
      <c r="P136" s="89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72"/>
      <c r="R136" s="672"/>
      <c r="S136" s="672"/>
      <c r="T136" s="673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14" t="s">
        <v>257</v>
      </c>
      <c r="AG136" s="78"/>
      <c r="AJ136" s="84" t="s">
        <v>46</v>
      </c>
      <c r="AK136" s="84">
        <v>0</v>
      </c>
      <c r="BB136" s="215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60"/>
      <c r="B137" s="660"/>
      <c r="C137" s="660"/>
      <c r="D137" s="660"/>
      <c r="E137" s="660"/>
      <c r="F137" s="660"/>
      <c r="G137" s="660"/>
      <c r="H137" s="660"/>
      <c r="I137" s="660"/>
      <c r="J137" s="660"/>
      <c r="K137" s="660"/>
      <c r="L137" s="660"/>
      <c r="M137" s="660"/>
      <c r="N137" s="660"/>
      <c r="O137" s="661"/>
      <c r="P137" s="657" t="s">
        <v>40</v>
      </c>
      <c r="Q137" s="658"/>
      <c r="R137" s="658"/>
      <c r="S137" s="658"/>
      <c r="T137" s="658"/>
      <c r="U137" s="658"/>
      <c r="V137" s="659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60"/>
      <c r="B138" s="660"/>
      <c r="C138" s="660"/>
      <c r="D138" s="660"/>
      <c r="E138" s="660"/>
      <c r="F138" s="660"/>
      <c r="G138" s="660"/>
      <c r="H138" s="660"/>
      <c r="I138" s="660"/>
      <c r="J138" s="660"/>
      <c r="K138" s="660"/>
      <c r="L138" s="660"/>
      <c r="M138" s="660"/>
      <c r="N138" s="660"/>
      <c r="O138" s="661"/>
      <c r="P138" s="657" t="s">
        <v>40</v>
      </c>
      <c r="Q138" s="658"/>
      <c r="R138" s="658"/>
      <c r="S138" s="658"/>
      <c r="T138" s="658"/>
      <c r="U138" s="658"/>
      <c r="V138" s="659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69" t="s">
        <v>76</v>
      </c>
      <c r="B139" s="669"/>
      <c r="C139" s="669"/>
      <c r="D139" s="669"/>
      <c r="E139" s="669"/>
      <c r="F139" s="669"/>
      <c r="G139" s="669"/>
      <c r="H139" s="669"/>
      <c r="I139" s="669"/>
      <c r="J139" s="669"/>
      <c r="K139" s="669"/>
      <c r="L139" s="669"/>
      <c r="M139" s="669"/>
      <c r="N139" s="669"/>
      <c r="O139" s="669"/>
      <c r="P139" s="669"/>
      <c r="Q139" s="669"/>
      <c r="R139" s="669"/>
      <c r="S139" s="669"/>
      <c r="T139" s="669"/>
      <c r="U139" s="669"/>
      <c r="V139" s="669"/>
      <c r="W139" s="669"/>
      <c r="X139" s="669"/>
      <c r="Y139" s="669"/>
      <c r="Z139" s="669"/>
      <c r="AA139" s="66"/>
      <c r="AB139" s="66"/>
      <c r="AC139" s="80"/>
    </row>
    <row r="140" spans="1:68" ht="27" hidden="1" customHeight="1" x14ac:dyDescent="0.25">
      <c r="A140" s="63" t="s">
        <v>260</v>
      </c>
      <c r="B140" s="63" t="s">
        <v>261</v>
      </c>
      <c r="C140" s="36">
        <v>4301031234</v>
      </c>
      <c r="D140" s="670">
        <v>4680115883444</v>
      </c>
      <c r="E140" s="670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90</v>
      </c>
      <c r="L140" s="37" t="s">
        <v>46</v>
      </c>
      <c r="M140" s="38" t="s">
        <v>258</v>
      </c>
      <c r="N140" s="38"/>
      <c r="O140" s="37">
        <v>90</v>
      </c>
      <c r="P140" s="89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72"/>
      <c r="R140" s="672"/>
      <c r="S140" s="672"/>
      <c r="T140" s="673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262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260</v>
      </c>
      <c r="B141" s="63" t="s">
        <v>263</v>
      </c>
      <c r="C141" s="36">
        <v>4301031235</v>
      </c>
      <c r="D141" s="670">
        <v>4680115883444</v>
      </c>
      <c r="E141" s="670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258</v>
      </c>
      <c r="N141" s="38"/>
      <c r="O141" s="37">
        <v>90</v>
      </c>
      <c r="P141" s="8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72"/>
      <c r="R141" s="672"/>
      <c r="S141" s="672"/>
      <c r="T141" s="673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8" t="s">
        <v>262</v>
      </c>
      <c r="AG141" s="78"/>
      <c r="AJ141" s="84" t="s">
        <v>46</v>
      </c>
      <c r="AK141" s="84">
        <v>0</v>
      </c>
      <c r="BB141" s="219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60"/>
      <c r="B142" s="660"/>
      <c r="C142" s="660"/>
      <c r="D142" s="660"/>
      <c r="E142" s="660"/>
      <c r="F142" s="660"/>
      <c r="G142" s="660"/>
      <c r="H142" s="660"/>
      <c r="I142" s="660"/>
      <c r="J142" s="660"/>
      <c r="K142" s="660"/>
      <c r="L142" s="660"/>
      <c r="M142" s="660"/>
      <c r="N142" s="660"/>
      <c r="O142" s="661"/>
      <c r="P142" s="657" t="s">
        <v>40</v>
      </c>
      <c r="Q142" s="658"/>
      <c r="R142" s="658"/>
      <c r="S142" s="658"/>
      <c r="T142" s="658"/>
      <c r="U142" s="658"/>
      <c r="V142" s="659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60"/>
      <c r="B143" s="660"/>
      <c r="C143" s="660"/>
      <c r="D143" s="660"/>
      <c r="E143" s="660"/>
      <c r="F143" s="660"/>
      <c r="G143" s="660"/>
      <c r="H143" s="660"/>
      <c r="I143" s="660"/>
      <c r="J143" s="660"/>
      <c r="K143" s="660"/>
      <c r="L143" s="660"/>
      <c r="M143" s="660"/>
      <c r="N143" s="660"/>
      <c r="O143" s="661"/>
      <c r="P143" s="657" t="s">
        <v>40</v>
      </c>
      <c r="Q143" s="658"/>
      <c r="R143" s="658"/>
      <c r="S143" s="658"/>
      <c r="T143" s="658"/>
      <c r="U143" s="658"/>
      <c r="V143" s="659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69" t="s">
        <v>85</v>
      </c>
      <c r="B144" s="669"/>
      <c r="C144" s="669"/>
      <c r="D144" s="669"/>
      <c r="E144" s="669"/>
      <c r="F144" s="669"/>
      <c r="G144" s="669"/>
      <c r="H144" s="669"/>
      <c r="I144" s="669"/>
      <c r="J144" s="669"/>
      <c r="K144" s="669"/>
      <c r="L144" s="669"/>
      <c r="M144" s="669"/>
      <c r="N144" s="669"/>
      <c r="O144" s="669"/>
      <c r="P144" s="669"/>
      <c r="Q144" s="669"/>
      <c r="R144" s="669"/>
      <c r="S144" s="669"/>
      <c r="T144" s="669"/>
      <c r="U144" s="669"/>
      <c r="V144" s="669"/>
      <c r="W144" s="669"/>
      <c r="X144" s="669"/>
      <c r="Y144" s="669"/>
      <c r="Z144" s="669"/>
      <c r="AA144" s="66"/>
      <c r="AB144" s="66"/>
      <c r="AC144" s="80"/>
    </row>
    <row r="145" spans="1:68" ht="16.5" hidden="1" customHeight="1" x14ac:dyDescent="0.25">
      <c r="A145" s="63" t="s">
        <v>264</v>
      </c>
      <c r="B145" s="63" t="s">
        <v>265</v>
      </c>
      <c r="C145" s="36">
        <v>4301051476</v>
      </c>
      <c r="D145" s="670">
        <v>4680115882584</v>
      </c>
      <c r="E145" s="670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90</v>
      </c>
      <c r="L145" s="37" t="s">
        <v>46</v>
      </c>
      <c r="M145" s="38" t="s">
        <v>258</v>
      </c>
      <c r="N145" s="38"/>
      <c r="O145" s="37">
        <v>60</v>
      </c>
      <c r="P145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72"/>
      <c r="R145" s="672"/>
      <c r="S145" s="672"/>
      <c r="T145" s="673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257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264</v>
      </c>
      <c r="B146" s="63" t="s">
        <v>266</v>
      </c>
      <c r="C146" s="36">
        <v>4301051477</v>
      </c>
      <c r="D146" s="670">
        <v>4680115882584</v>
      </c>
      <c r="E146" s="670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90</v>
      </c>
      <c r="L146" s="37" t="s">
        <v>46</v>
      </c>
      <c r="M146" s="38" t="s">
        <v>258</v>
      </c>
      <c r="N146" s="38"/>
      <c r="O146" s="37">
        <v>60</v>
      </c>
      <c r="P146" s="8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72"/>
      <c r="R146" s="672"/>
      <c r="S146" s="672"/>
      <c r="T146" s="673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2" t="s">
        <v>257</v>
      </c>
      <c r="AG146" s="78"/>
      <c r="AJ146" s="84" t="s">
        <v>46</v>
      </c>
      <c r="AK146" s="84">
        <v>0</v>
      </c>
      <c r="BB146" s="223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0"/>
      <c r="B147" s="660"/>
      <c r="C147" s="660"/>
      <c r="D147" s="660"/>
      <c r="E147" s="660"/>
      <c r="F147" s="660"/>
      <c r="G147" s="660"/>
      <c r="H147" s="660"/>
      <c r="I147" s="660"/>
      <c r="J147" s="660"/>
      <c r="K147" s="660"/>
      <c r="L147" s="660"/>
      <c r="M147" s="660"/>
      <c r="N147" s="660"/>
      <c r="O147" s="661"/>
      <c r="P147" s="657" t="s">
        <v>40</v>
      </c>
      <c r="Q147" s="658"/>
      <c r="R147" s="658"/>
      <c r="S147" s="658"/>
      <c r="T147" s="658"/>
      <c r="U147" s="658"/>
      <c r="V147" s="659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0"/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1"/>
      <c r="P148" s="657" t="s">
        <v>40</v>
      </c>
      <c r="Q148" s="658"/>
      <c r="R148" s="658"/>
      <c r="S148" s="658"/>
      <c r="T148" s="658"/>
      <c r="U148" s="658"/>
      <c r="V148" s="659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676" t="s">
        <v>267</v>
      </c>
      <c r="B149" s="676"/>
      <c r="C149" s="676"/>
      <c r="D149" s="676"/>
      <c r="E149" s="676"/>
      <c r="F149" s="676"/>
      <c r="G149" s="676"/>
      <c r="H149" s="676"/>
      <c r="I149" s="676"/>
      <c r="J149" s="676"/>
      <c r="K149" s="676"/>
      <c r="L149" s="676"/>
      <c r="M149" s="676"/>
      <c r="N149" s="676"/>
      <c r="O149" s="676"/>
      <c r="P149" s="676"/>
      <c r="Q149" s="676"/>
      <c r="R149" s="676"/>
      <c r="S149" s="676"/>
      <c r="T149" s="676"/>
      <c r="U149" s="676"/>
      <c r="V149" s="676"/>
      <c r="W149" s="676"/>
      <c r="X149" s="676"/>
      <c r="Y149" s="676"/>
      <c r="Z149" s="676"/>
      <c r="AA149" s="65"/>
      <c r="AB149" s="65"/>
      <c r="AC149" s="79"/>
    </row>
    <row r="150" spans="1:68" ht="14.25" hidden="1" customHeight="1" x14ac:dyDescent="0.25">
      <c r="A150" s="669" t="s">
        <v>85</v>
      </c>
      <c r="B150" s="669"/>
      <c r="C150" s="669"/>
      <c r="D150" s="669"/>
      <c r="E150" s="669"/>
      <c r="F150" s="669"/>
      <c r="G150" s="669"/>
      <c r="H150" s="669"/>
      <c r="I150" s="669"/>
      <c r="J150" s="669"/>
      <c r="K150" s="669"/>
      <c r="L150" s="669"/>
      <c r="M150" s="669"/>
      <c r="N150" s="669"/>
      <c r="O150" s="669"/>
      <c r="P150" s="669"/>
      <c r="Q150" s="669"/>
      <c r="R150" s="669"/>
      <c r="S150" s="669"/>
      <c r="T150" s="669"/>
      <c r="U150" s="669"/>
      <c r="V150" s="669"/>
      <c r="W150" s="669"/>
      <c r="X150" s="669"/>
      <c r="Y150" s="669"/>
      <c r="Z150" s="669"/>
      <c r="AA150" s="66"/>
      <c r="AB150" s="66"/>
      <c r="AC150" s="80"/>
    </row>
    <row r="151" spans="1:68" ht="27" hidden="1" customHeight="1" x14ac:dyDescent="0.25">
      <c r="A151" s="63" t="s">
        <v>268</v>
      </c>
      <c r="B151" s="63" t="s">
        <v>269</v>
      </c>
      <c r="C151" s="36">
        <v>4301052254</v>
      </c>
      <c r="D151" s="670">
        <v>4680115888203</v>
      </c>
      <c r="E151" s="670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89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72"/>
      <c r="R151" s="672"/>
      <c r="S151" s="672"/>
      <c r="T151" s="673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ref="Y151:Y156" si="10">IFERROR(IF(X151="",0,CEILING((X151/$H151),1)*$H151),"")</f>
        <v>0</v>
      </c>
      <c r="Z151" s="41" t="str">
        <f t="shared" ref="Z151:Z156" si="11">IFERROR(IF(Y151=0,"",ROUNDUP(Y151/H151,0)*0.00651),"")</f>
        <v/>
      </c>
      <c r="AA151" s="68" t="s">
        <v>46</v>
      </c>
      <c r="AB151" s="69" t="s">
        <v>46</v>
      </c>
      <c r="AC151" s="224" t="s">
        <v>270</v>
      </c>
      <c r="AG151" s="78"/>
      <c r="AJ151" s="84" t="s">
        <v>46</v>
      </c>
      <c r="AK151" s="84">
        <v>0</v>
      </c>
      <c r="BB151" s="225" t="s">
        <v>67</v>
      </c>
      <c r="BM151" s="78">
        <f t="shared" ref="BM151:BM156" si="12">IFERROR(X151*I151/H151,"0")</f>
        <v>0</v>
      </c>
      <c r="BN151" s="78">
        <f t="shared" ref="BN151:BN156" si="13">IFERROR(Y151*I151/H151,"0")</f>
        <v>0</v>
      </c>
      <c r="BO151" s="78">
        <f t="shared" ref="BO151:BO156" si="14">IFERROR(1/J151*(X151/H151),"0")</f>
        <v>0</v>
      </c>
      <c r="BP151" s="78">
        <f t="shared" ref="BP151:BP156" si="15">IFERROR(1/J151*(Y151/H151),"0")</f>
        <v>0</v>
      </c>
    </row>
    <row r="152" spans="1:68" ht="27" hidden="1" customHeight="1" x14ac:dyDescent="0.25">
      <c r="A152" s="63" t="s">
        <v>271</v>
      </c>
      <c r="B152" s="63" t="s">
        <v>272</v>
      </c>
      <c r="C152" s="36">
        <v>4301052172</v>
      </c>
      <c r="D152" s="670">
        <v>4680115888180</v>
      </c>
      <c r="E152" s="670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9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72"/>
      <c r="R152" s="672"/>
      <c r="S152" s="672"/>
      <c r="T152" s="673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273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271</v>
      </c>
      <c r="B153" s="63" t="s">
        <v>274</v>
      </c>
      <c r="C153" s="36">
        <v>4301052252</v>
      </c>
      <c r="D153" s="670">
        <v>4680115888180</v>
      </c>
      <c r="E153" s="670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72"/>
      <c r="R153" s="672"/>
      <c r="S153" s="672"/>
      <c r="T153" s="673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275</v>
      </c>
      <c r="B154" s="63" t="s">
        <v>276</v>
      </c>
      <c r="C154" s="36">
        <v>4301052253</v>
      </c>
      <c r="D154" s="670">
        <v>4680115888197</v>
      </c>
      <c r="E154" s="670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72"/>
      <c r="R154" s="672"/>
      <c r="S154" s="672"/>
      <c r="T154" s="673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277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278</v>
      </c>
      <c r="B155" s="63" t="s">
        <v>279</v>
      </c>
      <c r="C155" s="36">
        <v>4301052175</v>
      </c>
      <c r="D155" s="670">
        <v>4680115888210</v>
      </c>
      <c r="E155" s="670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72"/>
      <c r="R155" s="672"/>
      <c r="S155" s="672"/>
      <c r="T155" s="673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280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t="27" hidden="1" customHeight="1" x14ac:dyDescent="0.25">
      <c r="A156" s="63" t="s">
        <v>278</v>
      </c>
      <c r="B156" s="63" t="s">
        <v>281</v>
      </c>
      <c r="C156" s="36">
        <v>4301052255</v>
      </c>
      <c r="D156" s="670">
        <v>4680115888210</v>
      </c>
      <c r="E156" s="670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6" s="672"/>
      <c r="R156" s="672"/>
      <c r="S156" s="672"/>
      <c r="T156" s="673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10"/>
        <v>0</v>
      </c>
      <c r="Z156" s="41" t="str">
        <f t="shared" si="11"/>
        <v/>
      </c>
      <c r="AA156" s="68" t="s">
        <v>46</v>
      </c>
      <c r="AB156" s="69" t="s">
        <v>46</v>
      </c>
      <c r="AC156" s="234" t="s">
        <v>280</v>
      </c>
      <c r="AG156" s="78"/>
      <c r="AJ156" s="84" t="s">
        <v>46</v>
      </c>
      <c r="AK156" s="84">
        <v>0</v>
      </c>
      <c r="BB156" s="235" t="s">
        <v>67</v>
      </c>
      <c r="BM156" s="78">
        <f t="shared" si="12"/>
        <v>0</v>
      </c>
      <c r="BN156" s="78">
        <f t="shared" si="13"/>
        <v>0</v>
      </c>
      <c r="BO156" s="78">
        <f t="shared" si="14"/>
        <v>0</v>
      </c>
      <c r="BP156" s="78">
        <f t="shared" si="15"/>
        <v>0</v>
      </c>
    </row>
    <row r="157" spans="1:68" hidden="1" x14ac:dyDescent="0.2">
      <c r="A157" s="660"/>
      <c r="B157" s="660"/>
      <c r="C157" s="660"/>
      <c r="D157" s="660"/>
      <c r="E157" s="660"/>
      <c r="F157" s="660"/>
      <c r="G157" s="660"/>
      <c r="H157" s="660"/>
      <c r="I157" s="660"/>
      <c r="J157" s="660"/>
      <c r="K157" s="660"/>
      <c r="L157" s="660"/>
      <c r="M157" s="660"/>
      <c r="N157" s="660"/>
      <c r="O157" s="661"/>
      <c r="P157" s="657" t="s">
        <v>40</v>
      </c>
      <c r="Q157" s="658"/>
      <c r="R157" s="658"/>
      <c r="S157" s="658"/>
      <c r="T157" s="658"/>
      <c r="U157" s="658"/>
      <c r="V157" s="659"/>
      <c r="W157" s="42" t="s">
        <v>39</v>
      </c>
      <c r="X157" s="43">
        <f>IFERROR(X151/H151,"0")+IFERROR(X152/H152,"0")+IFERROR(X153/H153,"0")+IFERROR(X154/H154,"0")+IFERROR(X155/H155,"0")+IFERROR(X156/H156,"0")</f>
        <v>0</v>
      </c>
      <c r="Y157" s="43">
        <f>IFERROR(Y151/H151,"0")+IFERROR(Y152/H152,"0")+IFERROR(Y153/H153,"0")+IFERROR(Y154/H154,"0")+IFERROR(Y155/H155,"0")+IFERROR(Y156/H156,"0")</f>
        <v>0</v>
      </c>
      <c r="Z157" s="43">
        <f>IFERROR(IF(Z151="",0,Z151),"0")+IFERROR(IF(Z152="",0,Z152),"0")+IFERROR(IF(Z153="",0,Z153),"0")+IFERROR(IF(Z154="",0,Z154),"0")+IFERROR(IF(Z155="",0,Z155),"0")+IFERROR(IF(Z156="",0,Z156),"0")</f>
        <v>0</v>
      </c>
      <c r="AA157" s="67"/>
      <c r="AB157" s="67"/>
      <c r="AC157" s="67"/>
    </row>
    <row r="158" spans="1:68" hidden="1" x14ac:dyDescent="0.2">
      <c r="A158" s="660"/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1"/>
      <c r="P158" s="657" t="s">
        <v>40</v>
      </c>
      <c r="Q158" s="658"/>
      <c r="R158" s="658"/>
      <c r="S158" s="658"/>
      <c r="T158" s="658"/>
      <c r="U158" s="658"/>
      <c r="V158" s="659"/>
      <c r="W158" s="42" t="s">
        <v>0</v>
      </c>
      <c r="X158" s="43">
        <f>IFERROR(SUM(X151:X156),"0")</f>
        <v>0</v>
      </c>
      <c r="Y158" s="43">
        <f>IFERROR(SUM(Y151:Y156),"0")</f>
        <v>0</v>
      </c>
      <c r="Z158" s="42"/>
      <c r="AA158" s="67"/>
      <c r="AB158" s="67"/>
      <c r="AC158" s="67"/>
    </row>
    <row r="159" spans="1:68" ht="14.25" hidden="1" customHeight="1" x14ac:dyDescent="0.25">
      <c r="A159" s="669" t="s">
        <v>282</v>
      </c>
      <c r="B159" s="669"/>
      <c r="C159" s="669"/>
      <c r="D159" s="669"/>
      <c r="E159" s="669"/>
      <c r="F159" s="669"/>
      <c r="G159" s="669"/>
      <c r="H159" s="669"/>
      <c r="I159" s="669"/>
      <c r="J159" s="669"/>
      <c r="K159" s="669"/>
      <c r="L159" s="669"/>
      <c r="M159" s="669"/>
      <c r="N159" s="669"/>
      <c r="O159" s="669"/>
      <c r="P159" s="669"/>
      <c r="Q159" s="669"/>
      <c r="R159" s="669"/>
      <c r="S159" s="669"/>
      <c r="T159" s="669"/>
      <c r="U159" s="669"/>
      <c r="V159" s="669"/>
      <c r="W159" s="669"/>
      <c r="X159" s="669"/>
      <c r="Y159" s="669"/>
      <c r="Z159" s="669"/>
      <c r="AA159" s="66"/>
      <c r="AB159" s="66"/>
      <c r="AC159" s="80"/>
    </row>
    <row r="160" spans="1:68" ht="27" hidden="1" customHeight="1" x14ac:dyDescent="0.25">
      <c r="A160" s="63" t="s">
        <v>283</v>
      </c>
      <c r="B160" s="63" t="s">
        <v>284</v>
      </c>
      <c r="C160" s="36">
        <v>4301032067</v>
      </c>
      <c r="D160" s="670">
        <v>4680115889132</v>
      </c>
      <c r="E160" s="670"/>
      <c r="F160" s="62">
        <v>0.04</v>
      </c>
      <c r="G160" s="37">
        <v>8</v>
      </c>
      <c r="H160" s="62">
        <v>0.32</v>
      </c>
      <c r="I160" s="62">
        <v>0.5</v>
      </c>
      <c r="J160" s="37">
        <v>330</v>
      </c>
      <c r="K160" s="37" t="s">
        <v>288</v>
      </c>
      <c r="L160" s="37" t="s">
        <v>46</v>
      </c>
      <c r="M160" s="38" t="s">
        <v>287</v>
      </c>
      <c r="N160" s="38"/>
      <c r="O160" s="37">
        <v>120</v>
      </c>
      <c r="P160" s="88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0" s="672"/>
      <c r="R160" s="672"/>
      <c r="S160" s="672"/>
      <c r="T160" s="673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IFERROR(IF(Y160=0,"",ROUNDUP(Y160/H160,0)*0.00337),"")</f>
        <v/>
      </c>
      <c r="AA160" s="68" t="s">
        <v>46</v>
      </c>
      <c r="AB160" s="69" t="s">
        <v>46</v>
      </c>
      <c r="AC160" s="236" t="s">
        <v>285</v>
      </c>
      <c r="AG160" s="78"/>
      <c r="AJ160" s="84" t="s">
        <v>46</v>
      </c>
      <c r="AK160" s="84">
        <v>0</v>
      </c>
      <c r="BB160" s="237" t="s">
        <v>286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idden="1" x14ac:dyDescent="0.2">
      <c r="A161" s="660"/>
      <c r="B161" s="660"/>
      <c r="C161" s="660"/>
      <c r="D161" s="660"/>
      <c r="E161" s="660"/>
      <c r="F161" s="660"/>
      <c r="G161" s="660"/>
      <c r="H161" s="660"/>
      <c r="I161" s="660"/>
      <c r="J161" s="660"/>
      <c r="K161" s="660"/>
      <c r="L161" s="660"/>
      <c r="M161" s="660"/>
      <c r="N161" s="660"/>
      <c r="O161" s="661"/>
      <c r="P161" s="657" t="s">
        <v>40</v>
      </c>
      <c r="Q161" s="658"/>
      <c r="R161" s="658"/>
      <c r="S161" s="658"/>
      <c r="T161" s="658"/>
      <c r="U161" s="658"/>
      <c r="V161" s="659"/>
      <c r="W161" s="42" t="s">
        <v>39</v>
      </c>
      <c r="X161" s="43">
        <f>IFERROR(X160/H160,"0")</f>
        <v>0</v>
      </c>
      <c r="Y161" s="43">
        <f>IFERROR(Y160/H160,"0")</f>
        <v>0</v>
      </c>
      <c r="Z161" s="43">
        <f>IFERROR(IF(Z160="",0,Z160),"0")</f>
        <v>0</v>
      </c>
      <c r="AA161" s="67"/>
      <c r="AB161" s="67"/>
      <c r="AC161" s="67"/>
    </row>
    <row r="162" spans="1:68" hidden="1" x14ac:dyDescent="0.2">
      <c r="A162" s="660"/>
      <c r="B162" s="660"/>
      <c r="C162" s="660"/>
      <c r="D162" s="660"/>
      <c r="E162" s="660"/>
      <c r="F162" s="660"/>
      <c r="G162" s="660"/>
      <c r="H162" s="660"/>
      <c r="I162" s="660"/>
      <c r="J162" s="660"/>
      <c r="K162" s="660"/>
      <c r="L162" s="660"/>
      <c r="M162" s="660"/>
      <c r="N162" s="660"/>
      <c r="O162" s="661"/>
      <c r="P162" s="657" t="s">
        <v>40</v>
      </c>
      <c r="Q162" s="658"/>
      <c r="R162" s="658"/>
      <c r="S162" s="658"/>
      <c r="T162" s="658"/>
      <c r="U162" s="658"/>
      <c r="V162" s="659"/>
      <c r="W162" s="42" t="s">
        <v>0</v>
      </c>
      <c r="X162" s="43">
        <f>IFERROR(SUM(X160:X160),"0")</f>
        <v>0</v>
      </c>
      <c r="Y162" s="43">
        <f>IFERROR(SUM(Y160:Y160),"0")</f>
        <v>0</v>
      </c>
      <c r="Z162" s="42"/>
      <c r="AA162" s="67"/>
      <c r="AB162" s="67"/>
      <c r="AC162" s="67"/>
    </row>
    <row r="163" spans="1:68" ht="16.5" hidden="1" customHeight="1" x14ac:dyDescent="0.25">
      <c r="A163" s="676" t="s">
        <v>119</v>
      </c>
      <c r="B163" s="676"/>
      <c r="C163" s="676"/>
      <c r="D163" s="676"/>
      <c r="E163" s="676"/>
      <c r="F163" s="676"/>
      <c r="G163" s="676"/>
      <c r="H163" s="676"/>
      <c r="I163" s="676"/>
      <c r="J163" s="676"/>
      <c r="K163" s="676"/>
      <c r="L163" s="676"/>
      <c r="M163" s="676"/>
      <c r="N163" s="676"/>
      <c r="O163" s="676"/>
      <c r="P163" s="676"/>
      <c r="Q163" s="676"/>
      <c r="R163" s="676"/>
      <c r="S163" s="676"/>
      <c r="T163" s="676"/>
      <c r="U163" s="676"/>
      <c r="V163" s="676"/>
      <c r="W163" s="676"/>
      <c r="X163" s="676"/>
      <c r="Y163" s="676"/>
      <c r="Z163" s="676"/>
      <c r="AA163" s="65"/>
      <c r="AB163" s="65"/>
      <c r="AC163" s="79"/>
    </row>
    <row r="164" spans="1:68" ht="14.25" hidden="1" customHeight="1" x14ac:dyDescent="0.25">
      <c r="A164" s="669" t="s">
        <v>121</v>
      </c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69"/>
      <c r="P164" s="669"/>
      <c r="Q164" s="669"/>
      <c r="R164" s="669"/>
      <c r="S164" s="669"/>
      <c r="T164" s="669"/>
      <c r="U164" s="669"/>
      <c r="V164" s="669"/>
      <c r="W164" s="669"/>
      <c r="X164" s="669"/>
      <c r="Y164" s="669"/>
      <c r="Z164" s="669"/>
      <c r="AA164" s="66"/>
      <c r="AB164" s="66"/>
      <c r="AC164" s="80"/>
    </row>
    <row r="165" spans="1:68" ht="27" hidden="1" customHeight="1" x14ac:dyDescent="0.25">
      <c r="A165" s="63" t="s">
        <v>289</v>
      </c>
      <c r="B165" s="63" t="s">
        <v>290</v>
      </c>
      <c r="C165" s="36">
        <v>4301012338</v>
      </c>
      <c r="D165" s="670">
        <v>4680115887374</v>
      </c>
      <c r="E165" s="670"/>
      <c r="F165" s="62">
        <v>1</v>
      </c>
      <c r="G165" s="37">
        <v>6</v>
      </c>
      <c r="H165" s="62">
        <v>6</v>
      </c>
      <c r="I165" s="62">
        <v>6.35</v>
      </c>
      <c r="J165" s="37">
        <v>104</v>
      </c>
      <c r="K165" s="37" t="s">
        <v>126</v>
      </c>
      <c r="L165" s="37" t="s">
        <v>46</v>
      </c>
      <c r="M165" s="38" t="s">
        <v>125</v>
      </c>
      <c r="N165" s="38"/>
      <c r="O165" s="37">
        <v>55</v>
      </c>
      <c r="P165" s="88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5" s="672"/>
      <c r="R165" s="672"/>
      <c r="S165" s="672"/>
      <c r="T165" s="673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IFERROR(IF(Y165=0,"",ROUNDUP(Y165/H165,0)*0.01196),"")</f>
        <v/>
      </c>
      <c r="AA165" s="68" t="s">
        <v>46</v>
      </c>
      <c r="AB165" s="69" t="s">
        <v>46</v>
      </c>
      <c r="AC165" s="238" t="s">
        <v>291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292</v>
      </c>
      <c r="B166" s="63" t="s">
        <v>293</v>
      </c>
      <c r="C166" s="36">
        <v>4301011705</v>
      </c>
      <c r="D166" s="670">
        <v>4607091384604</v>
      </c>
      <c r="E166" s="670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133</v>
      </c>
      <c r="L166" s="37" t="s">
        <v>46</v>
      </c>
      <c r="M166" s="38" t="s">
        <v>125</v>
      </c>
      <c r="N166" s="38"/>
      <c r="O166" s="37">
        <v>50</v>
      </c>
      <c r="P166" s="87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6" s="672"/>
      <c r="R166" s="672"/>
      <c r="S166" s="672"/>
      <c r="T166" s="673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294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292</v>
      </c>
      <c r="B167" s="63" t="s">
        <v>295</v>
      </c>
      <c r="C167" s="36">
        <v>4301012258</v>
      </c>
      <c r="D167" s="670">
        <v>4607091384604</v>
      </c>
      <c r="E167" s="670"/>
      <c r="F167" s="62">
        <v>0.4</v>
      </c>
      <c r="G167" s="37">
        <v>10</v>
      </c>
      <c r="H167" s="62">
        <v>4</v>
      </c>
      <c r="I167" s="62">
        <v>4.1900000000000004</v>
      </c>
      <c r="J167" s="37">
        <v>132</v>
      </c>
      <c r="K167" s="37" t="s">
        <v>133</v>
      </c>
      <c r="L167" s="37" t="s">
        <v>46</v>
      </c>
      <c r="M167" s="38" t="s">
        <v>125</v>
      </c>
      <c r="N167" s="38"/>
      <c r="O167" s="37">
        <v>50</v>
      </c>
      <c r="P167" s="879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7" s="672"/>
      <c r="R167" s="672"/>
      <c r="S167" s="672"/>
      <c r="T167" s="673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hidden="1" customHeight="1" x14ac:dyDescent="0.25">
      <c r="A168" s="63" t="s">
        <v>296</v>
      </c>
      <c r="B168" s="63" t="s">
        <v>297</v>
      </c>
      <c r="C168" s="36">
        <v>4301012344</v>
      </c>
      <c r="D168" s="670">
        <v>4680115888876</v>
      </c>
      <c r="E168" s="670"/>
      <c r="F168" s="62">
        <v>0.43</v>
      </c>
      <c r="G168" s="37">
        <v>6</v>
      </c>
      <c r="H168" s="62">
        <v>2.58</v>
      </c>
      <c r="I168" s="62">
        <v>2.76</v>
      </c>
      <c r="J168" s="37">
        <v>182</v>
      </c>
      <c r="K168" s="37" t="s">
        <v>90</v>
      </c>
      <c r="L168" s="37" t="s">
        <v>46</v>
      </c>
      <c r="M168" s="38" t="s">
        <v>89</v>
      </c>
      <c r="N168" s="38"/>
      <c r="O168" s="37">
        <v>55</v>
      </c>
      <c r="P168" s="88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8" s="672"/>
      <c r="R168" s="672"/>
      <c r="S168" s="672"/>
      <c r="T168" s="673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IFERROR(IF(Y168=0,"",ROUNDUP(Y168/H168,0)*0.00651),"")</f>
        <v/>
      </c>
      <c r="AA168" s="68" t="s">
        <v>46</v>
      </c>
      <c r="AB168" s="69" t="s">
        <v>46</v>
      </c>
      <c r="AC168" s="244" t="s">
        <v>298</v>
      </c>
      <c r="AG168" s="78"/>
      <c r="AJ168" s="84" t="s">
        <v>46</v>
      </c>
      <c r="AK168" s="84">
        <v>0</v>
      </c>
      <c r="BB168" s="245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60"/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1"/>
      <c r="P169" s="657" t="s">
        <v>40</v>
      </c>
      <c r="Q169" s="658"/>
      <c r="R169" s="658"/>
      <c r="S169" s="658"/>
      <c r="T169" s="658"/>
      <c r="U169" s="658"/>
      <c r="V169" s="659"/>
      <c r="W169" s="42" t="s">
        <v>39</v>
      </c>
      <c r="X169" s="43">
        <f>IFERROR(X165/H165,"0")+IFERROR(X166/H166,"0")+IFERROR(X167/H167,"0")+IFERROR(X168/H168,"0")</f>
        <v>0</v>
      </c>
      <c r="Y169" s="43">
        <f>IFERROR(Y165/H165,"0")+IFERROR(Y166/H166,"0")+IFERROR(Y167/H167,"0")+IFERROR(Y168/H168,"0")</f>
        <v>0</v>
      </c>
      <c r="Z169" s="43">
        <f>IFERROR(IF(Z165="",0,Z165),"0")+IFERROR(IF(Z166="",0,Z166),"0")+IFERROR(IF(Z167="",0,Z167),"0")+IFERROR(IF(Z168="",0,Z168),"0")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660"/>
      <c r="B170" s="660"/>
      <c r="C170" s="660"/>
      <c r="D170" s="660"/>
      <c r="E170" s="660"/>
      <c r="F170" s="660"/>
      <c r="G170" s="660"/>
      <c r="H170" s="660"/>
      <c r="I170" s="660"/>
      <c r="J170" s="660"/>
      <c r="K170" s="660"/>
      <c r="L170" s="660"/>
      <c r="M170" s="660"/>
      <c r="N170" s="660"/>
      <c r="O170" s="661"/>
      <c r="P170" s="657" t="s">
        <v>40</v>
      </c>
      <c r="Q170" s="658"/>
      <c r="R170" s="658"/>
      <c r="S170" s="658"/>
      <c r="T170" s="658"/>
      <c r="U170" s="658"/>
      <c r="V170" s="659"/>
      <c r="W170" s="42" t="s">
        <v>0</v>
      </c>
      <c r="X170" s="43">
        <f>IFERROR(SUM(X165:X168),"0")</f>
        <v>0</v>
      </c>
      <c r="Y170" s="43">
        <f>IFERROR(SUM(Y165:Y168),"0")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69" t="s">
        <v>158</v>
      </c>
      <c r="B171" s="669"/>
      <c r="C171" s="669"/>
      <c r="D171" s="669"/>
      <c r="E171" s="669"/>
      <c r="F171" s="669"/>
      <c r="G171" s="669"/>
      <c r="H171" s="669"/>
      <c r="I171" s="669"/>
      <c r="J171" s="669"/>
      <c r="K171" s="669"/>
      <c r="L171" s="669"/>
      <c r="M171" s="669"/>
      <c r="N171" s="669"/>
      <c r="O171" s="669"/>
      <c r="P171" s="669"/>
      <c r="Q171" s="669"/>
      <c r="R171" s="669"/>
      <c r="S171" s="669"/>
      <c r="T171" s="669"/>
      <c r="U171" s="669"/>
      <c r="V171" s="669"/>
      <c r="W171" s="669"/>
      <c r="X171" s="669"/>
      <c r="Y171" s="669"/>
      <c r="Z171" s="669"/>
      <c r="AA171" s="66"/>
      <c r="AB171" s="66"/>
      <c r="AC171" s="80"/>
    </row>
    <row r="172" spans="1:68" ht="16.5" hidden="1" customHeight="1" x14ac:dyDescent="0.25">
      <c r="A172" s="63" t="s">
        <v>299</v>
      </c>
      <c r="B172" s="63" t="s">
        <v>300</v>
      </c>
      <c r="C172" s="36">
        <v>4301020410</v>
      </c>
      <c r="D172" s="670">
        <v>4680115887695</v>
      </c>
      <c r="E172" s="670"/>
      <c r="F172" s="62">
        <v>0.12</v>
      </c>
      <c r="G172" s="37">
        <v>6</v>
      </c>
      <c r="H172" s="62">
        <v>0.72</v>
      </c>
      <c r="I172" s="62">
        <v>0.85</v>
      </c>
      <c r="J172" s="37">
        <v>252</v>
      </c>
      <c r="K172" s="37" t="s">
        <v>81</v>
      </c>
      <c r="L172" s="37" t="s">
        <v>46</v>
      </c>
      <c r="M172" s="38" t="s">
        <v>80</v>
      </c>
      <c r="N172" s="38"/>
      <c r="O172" s="37">
        <v>30</v>
      </c>
      <c r="P172" s="88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2" s="672"/>
      <c r="R172" s="672"/>
      <c r="S172" s="672"/>
      <c r="T172" s="673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IFERROR(IF(Y172=0,"",ROUNDUP(Y172/H172,0)*0.00556),"")</f>
        <v/>
      </c>
      <c r="AA172" s="68" t="s">
        <v>46</v>
      </c>
      <c r="AB172" s="69" t="s">
        <v>46</v>
      </c>
      <c r="AC172" s="246" t="s">
        <v>301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302</v>
      </c>
      <c r="B173" s="63" t="s">
        <v>303</v>
      </c>
      <c r="C173" s="36">
        <v>4301020439</v>
      </c>
      <c r="D173" s="670">
        <v>4680115889491</v>
      </c>
      <c r="E173" s="670"/>
      <c r="F173" s="62">
        <v>0.3</v>
      </c>
      <c r="G173" s="37">
        <v>8</v>
      </c>
      <c r="H173" s="62">
        <v>2.4</v>
      </c>
      <c r="I173" s="62">
        <v>2.5</v>
      </c>
      <c r="J173" s="37">
        <v>234</v>
      </c>
      <c r="K173" s="37" t="s">
        <v>81</v>
      </c>
      <c r="L173" s="37" t="s">
        <v>46</v>
      </c>
      <c r="M173" s="38" t="s">
        <v>125</v>
      </c>
      <c r="N173" s="38"/>
      <c r="O173" s="37">
        <v>55</v>
      </c>
      <c r="P173" s="88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3" s="672"/>
      <c r="R173" s="672"/>
      <c r="S173" s="672"/>
      <c r="T173" s="673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IFERROR(IF(Y173=0,"",ROUNDUP(Y173/H173,0)*0.00502),"")</f>
        <v/>
      </c>
      <c r="AA173" s="68" t="s">
        <v>46</v>
      </c>
      <c r="AB173" s="69" t="s">
        <v>46</v>
      </c>
      <c r="AC173" s="248" t="s">
        <v>304</v>
      </c>
      <c r="AG173" s="78"/>
      <c r="AJ173" s="84" t="s">
        <v>46</v>
      </c>
      <c r="AK173" s="84">
        <v>0</v>
      </c>
      <c r="BB173" s="249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0"/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1"/>
      <c r="P174" s="657" t="s">
        <v>40</v>
      </c>
      <c r="Q174" s="658"/>
      <c r="R174" s="658"/>
      <c r="S174" s="658"/>
      <c r="T174" s="658"/>
      <c r="U174" s="658"/>
      <c r="V174" s="659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660"/>
      <c r="B175" s="660"/>
      <c r="C175" s="660"/>
      <c r="D175" s="660"/>
      <c r="E175" s="660"/>
      <c r="F175" s="660"/>
      <c r="G175" s="660"/>
      <c r="H175" s="660"/>
      <c r="I175" s="660"/>
      <c r="J175" s="660"/>
      <c r="K175" s="660"/>
      <c r="L175" s="660"/>
      <c r="M175" s="660"/>
      <c r="N175" s="660"/>
      <c r="O175" s="661"/>
      <c r="P175" s="657" t="s">
        <v>40</v>
      </c>
      <c r="Q175" s="658"/>
      <c r="R175" s="658"/>
      <c r="S175" s="658"/>
      <c r="T175" s="658"/>
      <c r="U175" s="658"/>
      <c r="V175" s="659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69" t="s">
        <v>76</v>
      </c>
      <c r="B176" s="669"/>
      <c r="C176" s="669"/>
      <c r="D176" s="669"/>
      <c r="E176" s="669"/>
      <c r="F176" s="669"/>
      <c r="G176" s="669"/>
      <c r="H176" s="669"/>
      <c r="I176" s="669"/>
      <c r="J176" s="669"/>
      <c r="K176" s="669"/>
      <c r="L176" s="669"/>
      <c r="M176" s="669"/>
      <c r="N176" s="669"/>
      <c r="O176" s="669"/>
      <c r="P176" s="669"/>
      <c r="Q176" s="669"/>
      <c r="R176" s="669"/>
      <c r="S176" s="669"/>
      <c r="T176" s="669"/>
      <c r="U176" s="669"/>
      <c r="V176" s="669"/>
      <c r="W176" s="669"/>
      <c r="X176" s="669"/>
      <c r="Y176" s="669"/>
      <c r="Z176" s="669"/>
      <c r="AA176" s="66"/>
      <c r="AB176" s="66"/>
      <c r="AC176" s="80"/>
    </row>
    <row r="177" spans="1:68" ht="27" hidden="1" customHeight="1" x14ac:dyDescent="0.25">
      <c r="A177" s="63" t="s">
        <v>305</v>
      </c>
      <c r="B177" s="63" t="s">
        <v>306</v>
      </c>
      <c r="C177" s="36">
        <v>4301031496</v>
      </c>
      <c r="D177" s="670">
        <v>4680115887428</v>
      </c>
      <c r="E177" s="670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133</v>
      </c>
      <c r="L177" s="37" t="s">
        <v>46</v>
      </c>
      <c r="M177" s="38" t="s">
        <v>80</v>
      </c>
      <c r="N177" s="38"/>
      <c r="O177" s="37">
        <v>40</v>
      </c>
      <c r="P177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72"/>
      <c r="R177" s="672"/>
      <c r="S177" s="672"/>
      <c r="T177" s="673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6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307</v>
      </c>
      <c r="AG177" s="78"/>
      <c r="AJ177" s="84" t="s">
        <v>46</v>
      </c>
      <c r="AK177" s="84">
        <v>0</v>
      </c>
      <c r="BB177" s="251" t="s">
        <v>67</v>
      </c>
      <c r="BM177" s="78">
        <f t="shared" ref="BM177:BM187" si="17">IFERROR(X177*I177/H177,"0")</f>
        <v>0</v>
      </c>
      <c r="BN177" s="78">
        <f t="shared" ref="BN177:BN187" si="18">IFERROR(Y177*I177/H177,"0")</f>
        <v>0</v>
      </c>
      <c r="BO177" s="78">
        <f t="shared" ref="BO177:BO187" si="19">IFERROR(1/J177*(X177/H177),"0")</f>
        <v>0</v>
      </c>
      <c r="BP177" s="78">
        <f t="shared" ref="BP177:BP187" si="20">IFERROR(1/J177*(Y177/H177),"0")</f>
        <v>0</v>
      </c>
    </row>
    <row r="178" spans="1:68" ht="27" hidden="1" customHeight="1" x14ac:dyDescent="0.25">
      <c r="A178" s="63" t="s">
        <v>308</v>
      </c>
      <c r="B178" s="63" t="s">
        <v>309</v>
      </c>
      <c r="C178" s="36">
        <v>4301031509</v>
      </c>
      <c r="D178" s="670">
        <v>4680115889170</v>
      </c>
      <c r="E178" s="670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133</v>
      </c>
      <c r="L178" s="37" t="s">
        <v>46</v>
      </c>
      <c r="M178" s="38" t="s">
        <v>80</v>
      </c>
      <c r="N178" s="38"/>
      <c r="O178" s="37">
        <v>45</v>
      </c>
      <c r="P178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72"/>
      <c r="R178" s="672"/>
      <c r="S178" s="672"/>
      <c r="T178" s="673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310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27" hidden="1" customHeight="1" x14ac:dyDescent="0.25">
      <c r="A179" s="63" t="s">
        <v>311</v>
      </c>
      <c r="B179" s="63" t="s">
        <v>312</v>
      </c>
      <c r="C179" s="36">
        <v>4301031522</v>
      </c>
      <c r="D179" s="670">
        <v>4680115887398</v>
      </c>
      <c r="E179" s="670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133</v>
      </c>
      <c r="L179" s="37" t="s">
        <v>46</v>
      </c>
      <c r="M179" s="38" t="s">
        <v>80</v>
      </c>
      <c r="N179" s="38"/>
      <c r="O179" s="37">
        <v>45</v>
      </c>
      <c r="P179" s="872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72"/>
      <c r="R179" s="672"/>
      <c r="S179" s="672"/>
      <c r="T179" s="673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313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314</v>
      </c>
      <c r="B180" s="63" t="s">
        <v>315</v>
      </c>
      <c r="C180" s="36">
        <v>4301031520</v>
      </c>
      <c r="D180" s="670">
        <v>4680115887336</v>
      </c>
      <c r="E180" s="670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45</v>
      </c>
      <c r="P180" s="873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72"/>
      <c r="R180" s="672"/>
      <c r="S180" s="672"/>
      <c r="T180" s="673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316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16.5" hidden="1" customHeight="1" x14ac:dyDescent="0.25">
      <c r="A181" s="63" t="s">
        <v>317</v>
      </c>
      <c r="B181" s="63" t="s">
        <v>318</v>
      </c>
      <c r="C181" s="36">
        <v>4301032049</v>
      </c>
      <c r="D181" s="670">
        <v>4680115887787</v>
      </c>
      <c r="E181" s="670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130</v>
      </c>
      <c r="L181" s="37" t="s">
        <v>46</v>
      </c>
      <c r="M181" s="38" t="s">
        <v>80</v>
      </c>
      <c r="N181" s="38"/>
      <c r="O181" s="37">
        <v>45</v>
      </c>
      <c r="P181" s="87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72"/>
      <c r="R181" s="672"/>
      <c r="S181" s="672"/>
      <c r="T181" s="673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319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16.5" hidden="1" customHeight="1" x14ac:dyDescent="0.25">
      <c r="A182" s="63" t="s">
        <v>317</v>
      </c>
      <c r="B182" s="63" t="s">
        <v>320</v>
      </c>
      <c r="C182" s="36">
        <v>4301031528</v>
      </c>
      <c r="D182" s="670">
        <v>4680115887787</v>
      </c>
      <c r="E182" s="670"/>
      <c r="F182" s="62">
        <v>0.09</v>
      </c>
      <c r="G182" s="37">
        <v>10</v>
      </c>
      <c r="H182" s="62">
        <v>0.9</v>
      </c>
      <c r="I182" s="62">
        <v>1.1100000000000001</v>
      </c>
      <c r="J182" s="37">
        <v>192</v>
      </c>
      <c r="K182" s="37" t="s">
        <v>130</v>
      </c>
      <c r="L182" s="37" t="s">
        <v>46</v>
      </c>
      <c r="M182" s="38" t="s">
        <v>80</v>
      </c>
      <c r="N182" s="38"/>
      <c r="O182" s="37">
        <v>45</v>
      </c>
      <c r="P182" s="87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2" s="672"/>
      <c r="R182" s="672"/>
      <c r="S182" s="672"/>
      <c r="T182" s="673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IFERROR(IF(Y182=0,"",ROUNDUP(Y182/H182,0)*0.00726),"")</f>
        <v/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4301031448</v>
      </c>
      <c r="D183" s="670">
        <v>4680115887503</v>
      </c>
      <c r="E183" s="670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81</v>
      </c>
      <c r="L183" s="37" t="s">
        <v>46</v>
      </c>
      <c r="M183" s="38" t="s">
        <v>80</v>
      </c>
      <c r="N183" s="38"/>
      <c r="O183" s="37">
        <v>40</v>
      </c>
      <c r="P183" s="87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3" s="672"/>
      <c r="R183" s="672"/>
      <c r="S183" s="672"/>
      <c r="T183" s="673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307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323</v>
      </c>
      <c r="B184" s="63" t="s">
        <v>324</v>
      </c>
      <c r="C184" s="36">
        <v>4301031389</v>
      </c>
      <c r="D184" s="670">
        <v>4680115887763</v>
      </c>
      <c r="E184" s="670"/>
      <c r="F184" s="62">
        <v>0.09</v>
      </c>
      <c r="G184" s="37">
        <v>10</v>
      </c>
      <c r="H184" s="62">
        <v>0.9</v>
      </c>
      <c r="I184" s="62">
        <v>1.1100000000000001</v>
      </c>
      <c r="J184" s="37">
        <v>336</v>
      </c>
      <c r="K184" s="37" t="s">
        <v>130</v>
      </c>
      <c r="L184" s="37" t="s">
        <v>46</v>
      </c>
      <c r="M184" s="38" t="s">
        <v>80</v>
      </c>
      <c r="N184" s="38"/>
      <c r="O184" s="37">
        <v>45</v>
      </c>
      <c r="P184" s="87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72"/>
      <c r="R184" s="672"/>
      <c r="S184" s="672"/>
      <c r="T184" s="673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326</v>
      </c>
      <c r="B185" s="63" t="s">
        <v>327</v>
      </c>
      <c r="C185" s="36">
        <v>4301031521</v>
      </c>
      <c r="D185" s="670">
        <v>4680115887480</v>
      </c>
      <c r="E185" s="670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45</v>
      </c>
      <c r="P185" s="86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72"/>
      <c r="R185" s="672"/>
      <c r="S185" s="672"/>
      <c r="T185" s="673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313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4301031434</v>
      </c>
      <c r="D186" s="670">
        <v>4680115888067</v>
      </c>
      <c r="E186" s="670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6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72"/>
      <c r="R186" s="672"/>
      <c r="S186" s="672"/>
      <c r="T186" s="673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6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17"/>
        <v>0</v>
      </c>
      <c r="BN186" s="78">
        <f t="shared" si="18"/>
        <v>0</v>
      </c>
      <c r="BO186" s="78">
        <f t="shared" si="19"/>
        <v>0</v>
      </c>
      <c r="BP186" s="78">
        <f t="shared" si="20"/>
        <v>0</v>
      </c>
    </row>
    <row r="187" spans="1:68" ht="27" hidden="1" customHeight="1" x14ac:dyDescent="0.25">
      <c r="A187" s="63" t="s">
        <v>331</v>
      </c>
      <c r="B187" s="63" t="s">
        <v>332</v>
      </c>
      <c r="C187" s="36">
        <v>4301031519</v>
      </c>
      <c r="D187" s="670">
        <v>4680115887435</v>
      </c>
      <c r="E187" s="670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45</v>
      </c>
      <c r="P187" s="86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72"/>
      <c r="R187" s="672"/>
      <c r="S187" s="672"/>
      <c r="T187" s="673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316</v>
      </c>
      <c r="AG187" s="78"/>
      <c r="AJ187" s="84" t="s">
        <v>46</v>
      </c>
      <c r="AK187" s="84">
        <v>0</v>
      </c>
      <c r="BB187" s="271" t="s">
        <v>67</v>
      </c>
      <c r="BM187" s="78">
        <f t="shared" si="17"/>
        <v>0</v>
      </c>
      <c r="BN187" s="78">
        <f t="shared" si="18"/>
        <v>0</v>
      </c>
      <c r="BO187" s="78">
        <f t="shared" si="19"/>
        <v>0</v>
      </c>
      <c r="BP187" s="78">
        <f t="shared" si="20"/>
        <v>0</v>
      </c>
    </row>
    <row r="188" spans="1:68" hidden="1" x14ac:dyDescent="0.2">
      <c r="A188" s="660"/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1"/>
      <c r="P188" s="657" t="s">
        <v>40</v>
      </c>
      <c r="Q188" s="658"/>
      <c r="R188" s="658"/>
      <c r="S188" s="658"/>
      <c r="T188" s="658"/>
      <c r="U188" s="658"/>
      <c r="V188" s="659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660"/>
      <c r="B189" s="660"/>
      <c r="C189" s="660"/>
      <c r="D189" s="660"/>
      <c r="E189" s="660"/>
      <c r="F189" s="660"/>
      <c r="G189" s="660"/>
      <c r="H189" s="660"/>
      <c r="I189" s="660"/>
      <c r="J189" s="660"/>
      <c r="K189" s="660"/>
      <c r="L189" s="660"/>
      <c r="M189" s="660"/>
      <c r="N189" s="660"/>
      <c r="O189" s="661"/>
      <c r="P189" s="657" t="s">
        <v>40</v>
      </c>
      <c r="Q189" s="658"/>
      <c r="R189" s="658"/>
      <c r="S189" s="658"/>
      <c r="T189" s="658"/>
      <c r="U189" s="658"/>
      <c r="V189" s="659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669" t="s">
        <v>85</v>
      </c>
      <c r="B190" s="669"/>
      <c r="C190" s="669"/>
      <c r="D190" s="669"/>
      <c r="E190" s="669"/>
      <c r="F190" s="669"/>
      <c r="G190" s="669"/>
      <c r="H190" s="669"/>
      <c r="I190" s="669"/>
      <c r="J190" s="669"/>
      <c r="K190" s="669"/>
      <c r="L190" s="669"/>
      <c r="M190" s="669"/>
      <c r="N190" s="669"/>
      <c r="O190" s="669"/>
      <c r="P190" s="669"/>
      <c r="Q190" s="669"/>
      <c r="R190" s="669"/>
      <c r="S190" s="669"/>
      <c r="T190" s="669"/>
      <c r="U190" s="669"/>
      <c r="V190" s="669"/>
      <c r="W190" s="669"/>
      <c r="X190" s="669"/>
      <c r="Y190" s="669"/>
      <c r="Z190" s="669"/>
      <c r="AA190" s="66"/>
      <c r="AB190" s="66"/>
      <c r="AC190" s="80"/>
    </row>
    <row r="191" spans="1:68" ht="16.5" hidden="1" customHeight="1" x14ac:dyDescent="0.25">
      <c r="A191" s="63" t="s">
        <v>333</v>
      </c>
      <c r="B191" s="63" t="s">
        <v>334</v>
      </c>
      <c r="C191" s="36">
        <v>4301052193</v>
      </c>
      <c r="D191" s="670">
        <v>4680115888395</v>
      </c>
      <c r="E191" s="670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6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72"/>
      <c r="R191" s="672"/>
      <c r="S191" s="672"/>
      <c r="T191" s="673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335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336</v>
      </c>
      <c r="B192" s="63" t="s">
        <v>337</v>
      </c>
      <c r="C192" s="36">
        <v>4301052191</v>
      </c>
      <c r="D192" s="670">
        <v>4680115888371</v>
      </c>
      <c r="E192" s="670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6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72"/>
      <c r="R192" s="672"/>
      <c r="S192" s="672"/>
      <c r="T192" s="673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338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339</v>
      </c>
      <c r="B193" s="63" t="s">
        <v>340</v>
      </c>
      <c r="C193" s="36">
        <v>4301052064</v>
      </c>
      <c r="D193" s="670">
        <v>4680115887459</v>
      </c>
      <c r="E193" s="670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6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72"/>
      <c r="R193" s="672"/>
      <c r="S193" s="672"/>
      <c r="T193" s="673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6" t="s">
        <v>341</v>
      </c>
      <c r="AG193" s="78"/>
      <c r="AJ193" s="84" t="s">
        <v>46</v>
      </c>
      <c r="AK193" s="84">
        <v>0</v>
      </c>
      <c r="BB193" s="277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60"/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1"/>
      <c r="P194" s="657" t="s">
        <v>40</v>
      </c>
      <c r="Q194" s="658"/>
      <c r="R194" s="658"/>
      <c r="S194" s="658"/>
      <c r="T194" s="658"/>
      <c r="U194" s="658"/>
      <c r="V194" s="659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660"/>
      <c r="B195" s="660"/>
      <c r="C195" s="660"/>
      <c r="D195" s="660"/>
      <c r="E195" s="660"/>
      <c r="F195" s="660"/>
      <c r="G195" s="660"/>
      <c r="H195" s="660"/>
      <c r="I195" s="660"/>
      <c r="J195" s="660"/>
      <c r="K195" s="660"/>
      <c r="L195" s="660"/>
      <c r="M195" s="660"/>
      <c r="N195" s="660"/>
      <c r="O195" s="661"/>
      <c r="P195" s="657" t="s">
        <v>40</v>
      </c>
      <c r="Q195" s="658"/>
      <c r="R195" s="658"/>
      <c r="S195" s="658"/>
      <c r="T195" s="658"/>
      <c r="U195" s="658"/>
      <c r="V195" s="659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69" t="s">
        <v>282</v>
      </c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69"/>
      <c r="P196" s="669"/>
      <c r="Q196" s="669"/>
      <c r="R196" s="669"/>
      <c r="S196" s="669"/>
      <c r="T196" s="669"/>
      <c r="U196" s="669"/>
      <c r="V196" s="669"/>
      <c r="W196" s="669"/>
      <c r="X196" s="669"/>
      <c r="Y196" s="669"/>
      <c r="Z196" s="669"/>
      <c r="AA196" s="66"/>
      <c r="AB196" s="66"/>
      <c r="AC196" s="80"/>
    </row>
    <row r="197" spans="1:68" ht="16.5" hidden="1" customHeight="1" x14ac:dyDescent="0.25">
      <c r="A197" s="63" t="s">
        <v>343</v>
      </c>
      <c r="B197" s="63" t="s">
        <v>344</v>
      </c>
      <c r="C197" s="36">
        <v>4301032058</v>
      </c>
      <c r="D197" s="670">
        <v>4680115889026</v>
      </c>
      <c r="E197" s="670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346</v>
      </c>
      <c r="L197" s="37" t="s">
        <v>46</v>
      </c>
      <c r="M197" s="38" t="s">
        <v>287</v>
      </c>
      <c r="N197" s="38"/>
      <c r="O197" s="37">
        <v>60</v>
      </c>
      <c r="P197" s="86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72"/>
      <c r="R197" s="672"/>
      <c r="S197" s="672"/>
      <c r="T197" s="673"/>
      <c r="U197" s="39" t="s">
        <v>342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8" t="s">
        <v>345</v>
      </c>
      <c r="AG197" s="78"/>
      <c r="AJ197" s="84" t="s">
        <v>46</v>
      </c>
      <c r="AK197" s="84">
        <v>0</v>
      </c>
      <c r="BB197" s="279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0"/>
      <c r="B198" s="660"/>
      <c r="C198" s="660"/>
      <c r="D198" s="660"/>
      <c r="E198" s="660"/>
      <c r="F198" s="660"/>
      <c r="G198" s="660"/>
      <c r="H198" s="660"/>
      <c r="I198" s="660"/>
      <c r="J198" s="660"/>
      <c r="K198" s="660"/>
      <c r="L198" s="660"/>
      <c r="M198" s="660"/>
      <c r="N198" s="660"/>
      <c r="O198" s="661"/>
      <c r="P198" s="657" t="s">
        <v>40</v>
      </c>
      <c r="Q198" s="658"/>
      <c r="R198" s="658"/>
      <c r="S198" s="658"/>
      <c r="T198" s="658"/>
      <c r="U198" s="658"/>
      <c r="V198" s="659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660"/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1"/>
      <c r="P199" s="657" t="s">
        <v>40</v>
      </c>
      <c r="Q199" s="658"/>
      <c r="R199" s="658"/>
      <c r="S199" s="658"/>
      <c r="T199" s="658"/>
      <c r="U199" s="658"/>
      <c r="V199" s="659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9" t="s">
        <v>347</v>
      </c>
      <c r="B200" s="669"/>
      <c r="C200" s="669"/>
      <c r="D200" s="669"/>
      <c r="E200" s="669"/>
      <c r="F200" s="669"/>
      <c r="G200" s="669"/>
      <c r="H200" s="669"/>
      <c r="I200" s="669"/>
      <c r="J200" s="669"/>
      <c r="K200" s="669"/>
      <c r="L200" s="669"/>
      <c r="M200" s="669"/>
      <c r="N200" s="669"/>
      <c r="O200" s="669"/>
      <c r="P200" s="669"/>
      <c r="Q200" s="669"/>
      <c r="R200" s="669"/>
      <c r="S200" s="669"/>
      <c r="T200" s="669"/>
      <c r="U200" s="669"/>
      <c r="V200" s="669"/>
      <c r="W200" s="669"/>
      <c r="X200" s="669"/>
      <c r="Y200" s="669"/>
      <c r="Z200" s="669"/>
      <c r="AA200" s="66"/>
      <c r="AB200" s="66"/>
      <c r="AC200" s="80"/>
    </row>
    <row r="201" spans="1:68" ht="27" hidden="1" customHeight="1" x14ac:dyDescent="0.25">
      <c r="A201" s="63" t="s">
        <v>348</v>
      </c>
      <c r="B201" s="63" t="s">
        <v>349</v>
      </c>
      <c r="C201" s="36">
        <v>4301041009</v>
      </c>
      <c r="D201" s="670">
        <v>4680115889033</v>
      </c>
      <c r="E201" s="670"/>
      <c r="F201" s="62">
        <v>0.11</v>
      </c>
      <c r="G201" s="37">
        <v>15</v>
      </c>
      <c r="H201" s="62">
        <v>1.65</v>
      </c>
      <c r="I201" s="62">
        <v>1.9</v>
      </c>
      <c r="J201" s="37">
        <v>216</v>
      </c>
      <c r="K201" s="37" t="s">
        <v>346</v>
      </c>
      <c r="L201" s="37" t="s">
        <v>46</v>
      </c>
      <c r="M201" s="38" t="s">
        <v>287</v>
      </c>
      <c r="N201" s="38"/>
      <c r="O201" s="37">
        <v>60</v>
      </c>
      <c r="P201" s="86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1" s="672"/>
      <c r="R201" s="672"/>
      <c r="S201" s="672"/>
      <c r="T201" s="673"/>
      <c r="U201" s="39" t="s">
        <v>342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0" t="s">
        <v>350</v>
      </c>
      <c r="AG201" s="78"/>
      <c r="AJ201" s="84" t="s">
        <v>46</v>
      </c>
      <c r="AK201" s="84">
        <v>0</v>
      </c>
      <c r="BB201" s="281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0"/>
      <c r="B202" s="660"/>
      <c r="C202" s="660"/>
      <c r="D202" s="660"/>
      <c r="E202" s="660"/>
      <c r="F202" s="660"/>
      <c r="G202" s="660"/>
      <c r="H202" s="660"/>
      <c r="I202" s="660"/>
      <c r="J202" s="660"/>
      <c r="K202" s="660"/>
      <c r="L202" s="660"/>
      <c r="M202" s="660"/>
      <c r="N202" s="660"/>
      <c r="O202" s="661"/>
      <c r="P202" s="657" t="s">
        <v>40</v>
      </c>
      <c r="Q202" s="658"/>
      <c r="R202" s="658"/>
      <c r="S202" s="658"/>
      <c r="T202" s="658"/>
      <c r="U202" s="658"/>
      <c r="V202" s="659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60"/>
      <c r="B203" s="660"/>
      <c r="C203" s="660"/>
      <c r="D203" s="660"/>
      <c r="E203" s="660"/>
      <c r="F203" s="660"/>
      <c r="G203" s="660"/>
      <c r="H203" s="660"/>
      <c r="I203" s="660"/>
      <c r="J203" s="660"/>
      <c r="K203" s="660"/>
      <c r="L203" s="660"/>
      <c r="M203" s="660"/>
      <c r="N203" s="660"/>
      <c r="O203" s="661"/>
      <c r="P203" s="657" t="s">
        <v>40</v>
      </c>
      <c r="Q203" s="658"/>
      <c r="R203" s="658"/>
      <c r="S203" s="658"/>
      <c r="T203" s="658"/>
      <c r="U203" s="658"/>
      <c r="V203" s="659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27.75" hidden="1" customHeight="1" x14ac:dyDescent="0.2">
      <c r="A204" s="687" t="s">
        <v>351</v>
      </c>
      <c r="B204" s="687"/>
      <c r="C204" s="687"/>
      <c r="D204" s="687"/>
      <c r="E204" s="687"/>
      <c r="F204" s="687"/>
      <c r="G204" s="687"/>
      <c r="H204" s="687"/>
      <c r="I204" s="687"/>
      <c r="J204" s="687"/>
      <c r="K204" s="687"/>
      <c r="L204" s="687"/>
      <c r="M204" s="687"/>
      <c r="N204" s="687"/>
      <c r="O204" s="687"/>
      <c r="P204" s="687"/>
      <c r="Q204" s="687"/>
      <c r="R204" s="687"/>
      <c r="S204" s="687"/>
      <c r="T204" s="687"/>
      <c r="U204" s="687"/>
      <c r="V204" s="687"/>
      <c r="W204" s="687"/>
      <c r="X204" s="687"/>
      <c r="Y204" s="687"/>
      <c r="Z204" s="687"/>
      <c r="AA204" s="54"/>
      <c r="AB204" s="54"/>
      <c r="AC204" s="54"/>
    </row>
    <row r="205" spans="1:68" ht="16.5" hidden="1" customHeight="1" x14ac:dyDescent="0.25">
      <c r="A205" s="676" t="s">
        <v>352</v>
      </c>
      <c r="B205" s="676"/>
      <c r="C205" s="676"/>
      <c r="D205" s="676"/>
      <c r="E205" s="676"/>
      <c r="F205" s="676"/>
      <c r="G205" s="676"/>
      <c r="H205" s="676"/>
      <c r="I205" s="676"/>
      <c r="J205" s="676"/>
      <c r="K205" s="676"/>
      <c r="L205" s="676"/>
      <c r="M205" s="676"/>
      <c r="N205" s="676"/>
      <c r="O205" s="676"/>
      <c r="P205" s="676"/>
      <c r="Q205" s="676"/>
      <c r="R205" s="676"/>
      <c r="S205" s="676"/>
      <c r="T205" s="676"/>
      <c r="U205" s="676"/>
      <c r="V205" s="676"/>
      <c r="W205" s="676"/>
      <c r="X205" s="676"/>
      <c r="Y205" s="676"/>
      <c r="Z205" s="676"/>
      <c r="AA205" s="65"/>
      <c r="AB205" s="65"/>
      <c r="AC205" s="79"/>
    </row>
    <row r="206" spans="1:68" ht="14.25" hidden="1" customHeight="1" x14ac:dyDescent="0.25">
      <c r="A206" s="669" t="s">
        <v>121</v>
      </c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69"/>
      <c r="P206" s="669"/>
      <c r="Q206" s="669"/>
      <c r="R206" s="669"/>
      <c r="S206" s="669"/>
      <c r="T206" s="669"/>
      <c r="U206" s="669"/>
      <c r="V206" s="669"/>
      <c r="W206" s="669"/>
      <c r="X206" s="669"/>
      <c r="Y206" s="669"/>
      <c r="Z206" s="669"/>
      <c r="AA206" s="66"/>
      <c r="AB206" s="66"/>
      <c r="AC206" s="80"/>
    </row>
    <row r="207" spans="1:68" ht="27" hidden="1" customHeight="1" x14ac:dyDescent="0.25">
      <c r="A207" s="63" t="s">
        <v>353</v>
      </c>
      <c r="B207" s="63" t="s">
        <v>354</v>
      </c>
      <c r="C207" s="36">
        <v>4301011223</v>
      </c>
      <c r="D207" s="670">
        <v>4607091383423</v>
      </c>
      <c r="E207" s="670"/>
      <c r="F207" s="62">
        <v>1.35</v>
      </c>
      <c r="G207" s="37">
        <v>8</v>
      </c>
      <c r="H207" s="62">
        <v>10.8</v>
      </c>
      <c r="I207" s="62">
        <v>11.305999999999999</v>
      </c>
      <c r="J207" s="37">
        <v>64</v>
      </c>
      <c r="K207" s="37" t="s">
        <v>126</v>
      </c>
      <c r="L207" s="37" t="s">
        <v>46</v>
      </c>
      <c r="M207" s="38" t="s">
        <v>89</v>
      </c>
      <c r="N207" s="38"/>
      <c r="O207" s="37">
        <v>35</v>
      </c>
      <c r="P207" s="86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7" s="672"/>
      <c r="R207" s="672"/>
      <c r="S207" s="672"/>
      <c r="T207" s="673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ref="Y207:Y213" si="21">IFERROR(IF(X207="",0,CEILING((X207/$H207),1)*$H207),"")</f>
        <v>0</v>
      </c>
      <c r="Z207" s="41" t="str">
        <f t="shared" ref="Z207:Z213" si="22">IFERROR(IF(Y207=0,"",ROUNDUP(Y207/H207,0)*0.01898),"")</f>
        <v/>
      </c>
      <c r="AA207" s="68" t="s">
        <v>46</v>
      </c>
      <c r="AB207" s="69" t="s">
        <v>46</v>
      </c>
      <c r="AC207" s="282" t="s">
        <v>124</v>
      </c>
      <c r="AG207" s="78"/>
      <c r="AJ207" s="84" t="s">
        <v>46</v>
      </c>
      <c r="AK207" s="84">
        <v>0</v>
      </c>
      <c r="BB207" s="283" t="s">
        <v>67</v>
      </c>
      <c r="BM207" s="78">
        <f t="shared" ref="BM207:BM213" si="23">IFERROR(X207*I207/H207,"0")</f>
        <v>0</v>
      </c>
      <c r="BN207" s="78">
        <f t="shared" ref="BN207:BN213" si="24">IFERROR(Y207*I207/H207,"0")</f>
        <v>0</v>
      </c>
      <c r="BO207" s="78">
        <f t="shared" ref="BO207:BO213" si="25">IFERROR(1/J207*(X207/H207),"0")</f>
        <v>0</v>
      </c>
      <c r="BP207" s="78">
        <f t="shared" ref="BP207:BP213" si="26">IFERROR(1/J207*(Y207/H207),"0")</f>
        <v>0</v>
      </c>
    </row>
    <row r="208" spans="1:68" ht="27" hidden="1" customHeight="1" x14ac:dyDescent="0.25">
      <c r="A208" s="63" t="s">
        <v>355</v>
      </c>
      <c r="B208" s="63" t="s">
        <v>356</v>
      </c>
      <c r="C208" s="36">
        <v>4301012340</v>
      </c>
      <c r="D208" s="670">
        <v>4680115888760</v>
      </c>
      <c r="E208" s="670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126</v>
      </c>
      <c r="L208" s="37" t="s">
        <v>46</v>
      </c>
      <c r="M208" s="38" t="s">
        <v>89</v>
      </c>
      <c r="N208" s="38"/>
      <c r="O208" s="37">
        <v>35</v>
      </c>
      <c r="P208" s="85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8" s="672"/>
      <c r="R208" s="672"/>
      <c r="S208" s="672"/>
      <c r="T208" s="673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357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358</v>
      </c>
      <c r="B209" s="63" t="s">
        <v>359</v>
      </c>
      <c r="C209" s="36">
        <v>4301012341</v>
      </c>
      <c r="D209" s="670">
        <v>4680115888807</v>
      </c>
      <c r="E209" s="670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126</v>
      </c>
      <c r="L209" s="37" t="s">
        <v>46</v>
      </c>
      <c r="M209" s="38" t="s">
        <v>89</v>
      </c>
      <c r="N209" s="38"/>
      <c r="O209" s="37">
        <v>35</v>
      </c>
      <c r="P209" s="85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9" s="672"/>
      <c r="R209" s="672"/>
      <c r="S209" s="672"/>
      <c r="T209" s="673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360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27" hidden="1" customHeight="1" x14ac:dyDescent="0.25">
      <c r="A210" s="63" t="s">
        <v>361</v>
      </c>
      <c r="B210" s="63" t="s">
        <v>362</v>
      </c>
      <c r="C210" s="36">
        <v>4301012342</v>
      </c>
      <c r="D210" s="670">
        <v>4680115888852</v>
      </c>
      <c r="E210" s="670"/>
      <c r="F210" s="62">
        <v>0.9</v>
      </c>
      <c r="G210" s="37">
        <v>6</v>
      </c>
      <c r="H210" s="62">
        <v>5.4</v>
      </c>
      <c r="I210" s="62">
        <v>5.81</v>
      </c>
      <c r="J210" s="37">
        <v>64</v>
      </c>
      <c r="K210" s="37" t="s">
        <v>126</v>
      </c>
      <c r="L210" s="37" t="s">
        <v>46</v>
      </c>
      <c r="M210" s="38" t="s">
        <v>89</v>
      </c>
      <c r="N210" s="38"/>
      <c r="O210" s="37">
        <v>35</v>
      </c>
      <c r="P210" s="85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0" s="672"/>
      <c r="R210" s="672"/>
      <c r="S210" s="672"/>
      <c r="T210" s="673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363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37.5" hidden="1" customHeight="1" x14ac:dyDescent="0.25">
      <c r="A211" s="63" t="s">
        <v>364</v>
      </c>
      <c r="B211" s="63" t="s">
        <v>365</v>
      </c>
      <c r="C211" s="36">
        <v>4301012370</v>
      </c>
      <c r="D211" s="670">
        <v>4680115886957</v>
      </c>
      <c r="E211" s="670"/>
      <c r="F211" s="62">
        <v>1.35</v>
      </c>
      <c r="G211" s="37">
        <v>8</v>
      </c>
      <c r="H211" s="62">
        <v>10.8</v>
      </c>
      <c r="I211" s="62">
        <v>11.29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5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1" s="672"/>
      <c r="R211" s="672"/>
      <c r="S211" s="672"/>
      <c r="T211" s="673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366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367</v>
      </c>
      <c r="B212" s="63" t="s">
        <v>368</v>
      </c>
      <c r="C212" s="36">
        <v>4301012098</v>
      </c>
      <c r="D212" s="670">
        <v>4680115885660</v>
      </c>
      <c r="E212" s="670"/>
      <c r="F212" s="62">
        <v>1.35</v>
      </c>
      <c r="G212" s="37">
        <v>8</v>
      </c>
      <c r="H212" s="62">
        <v>10.8</v>
      </c>
      <c r="I212" s="62">
        <v>11.21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5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2" s="672"/>
      <c r="R212" s="672"/>
      <c r="S212" s="672"/>
      <c r="T212" s="673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369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t="27" hidden="1" customHeight="1" x14ac:dyDescent="0.25">
      <c r="A213" s="63" t="s">
        <v>370</v>
      </c>
      <c r="B213" s="63" t="s">
        <v>371</v>
      </c>
      <c r="C213" s="36">
        <v>4301012369</v>
      </c>
      <c r="D213" s="670">
        <v>4680115886773</v>
      </c>
      <c r="E213" s="670"/>
      <c r="F213" s="62">
        <v>0.9</v>
      </c>
      <c r="G213" s="37">
        <v>10</v>
      </c>
      <c r="H213" s="62">
        <v>9</v>
      </c>
      <c r="I213" s="62">
        <v>9.51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6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3" s="672"/>
      <c r="R213" s="672"/>
      <c r="S213" s="672"/>
      <c r="T213" s="673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1"/>
        <v>0</v>
      </c>
      <c r="Z213" s="41" t="str">
        <f t="shared" si="22"/>
        <v/>
      </c>
      <c r="AA213" s="68" t="s">
        <v>46</v>
      </c>
      <c r="AB213" s="69" t="s">
        <v>46</v>
      </c>
      <c r="AC213" s="294" t="s">
        <v>372</v>
      </c>
      <c r="AG213" s="78"/>
      <c r="AJ213" s="84" t="s">
        <v>46</v>
      </c>
      <c r="AK213" s="84">
        <v>0</v>
      </c>
      <c r="BB213" s="295" t="s">
        <v>67</v>
      </c>
      <c r="BM213" s="78">
        <f t="shared" si="23"/>
        <v>0</v>
      </c>
      <c r="BN213" s="78">
        <f t="shared" si="24"/>
        <v>0</v>
      </c>
      <c r="BO213" s="78">
        <f t="shared" si="25"/>
        <v>0</v>
      </c>
      <c r="BP213" s="78">
        <f t="shared" si="26"/>
        <v>0</v>
      </c>
    </row>
    <row r="214" spans="1:68" hidden="1" x14ac:dyDescent="0.2">
      <c r="A214" s="660"/>
      <c r="B214" s="660"/>
      <c r="C214" s="660"/>
      <c r="D214" s="660"/>
      <c r="E214" s="660"/>
      <c r="F214" s="660"/>
      <c r="G214" s="660"/>
      <c r="H214" s="660"/>
      <c r="I214" s="660"/>
      <c r="J214" s="660"/>
      <c r="K214" s="660"/>
      <c r="L214" s="660"/>
      <c r="M214" s="660"/>
      <c r="N214" s="660"/>
      <c r="O214" s="661"/>
      <c r="P214" s="657" t="s">
        <v>40</v>
      </c>
      <c r="Q214" s="658"/>
      <c r="R214" s="658"/>
      <c r="S214" s="658"/>
      <c r="T214" s="658"/>
      <c r="U214" s="658"/>
      <c r="V214" s="659"/>
      <c r="W214" s="42" t="s">
        <v>39</v>
      </c>
      <c r="X214" s="43">
        <f>IFERROR(X207/H207,"0")+IFERROR(X208/H208,"0")+IFERROR(X209/H209,"0")+IFERROR(X210/H210,"0")+IFERROR(X211/H211,"0")+IFERROR(X212/H212,"0")+IFERROR(X213/H213,"0")</f>
        <v>0</v>
      </c>
      <c r="Y214" s="43">
        <f>IFERROR(Y207/H207,"0")+IFERROR(Y208/H208,"0")+IFERROR(Y209/H209,"0")+IFERROR(Y210/H210,"0")+IFERROR(Y211/H211,"0")+IFERROR(Y212/H212,"0")+IFERROR(Y213/H213,"0")</f>
        <v>0</v>
      </c>
      <c r="Z214" s="43">
        <f>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hidden="1" x14ac:dyDescent="0.2">
      <c r="A215" s="660"/>
      <c r="B215" s="660"/>
      <c r="C215" s="660"/>
      <c r="D215" s="660"/>
      <c r="E215" s="660"/>
      <c r="F215" s="660"/>
      <c r="G215" s="660"/>
      <c r="H215" s="660"/>
      <c r="I215" s="660"/>
      <c r="J215" s="660"/>
      <c r="K215" s="660"/>
      <c r="L215" s="660"/>
      <c r="M215" s="660"/>
      <c r="N215" s="660"/>
      <c r="O215" s="661"/>
      <c r="P215" s="657" t="s">
        <v>40</v>
      </c>
      <c r="Q215" s="658"/>
      <c r="R215" s="658"/>
      <c r="S215" s="658"/>
      <c r="T215" s="658"/>
      <c r="U215" s="658"/>
      <c r="V215" s="659"/>
      <c r="W215" s="42" t="s">
        <v>0</v>
      </c>
      <c r="X215" s="43">
        <f>IFERROR(SUM(X207:X213),"0")</f>
        <v>0</v>
      </c>
      <c r="Y215" s="43">
        <f>IFERROR(SUM(Y207:Y213),"0")</f>
        <v>0</v>
      </c>
      <c r="Z215" s="42"/>
      <c r="AA215" s="67"/>
      <c r="AB215" s="67"/>
      <c r="AC215" s="67"/>
    </row>
    <row r="216" spans="1:68" ht="16.5" hidden="1" customHeight="1" x14ac:dyDescent="0.25">
      <c r="A216" s="676" t="s">
        <v>373</v>
      </c>
      <c r="B216" s="676"/>
      <c r="C216" s="676"/>
      <c r="D216" s="676"/>
      <c r="E216" s="676"/>
      <c r="F216" s="676"/>
      <c r="G216" s="676"/>
      <c r="H216" s="676"/>
      <c r="I216" s="676"/>
      <c r="J216" s="676"/>
      <c r="K216" s="676"/>
      <c r="L216" s="676"/>
      <c r="M216" s="676"/>
      <c r="N216" s="676"/>
      <c r="O216" s="676"/>
      <c r="P216" s="676"/>
      <c r="Q216" s="676"/>
      <c r="R216" s="676"/>
      <c r="S216" s="676"/>
      <c r="T216" s="676"/>
      <c r="U216" s="676"/>
      <c r="V216" s="676"/>
      <c r="W216" s="676"/>
      <c r="X216" s="676"/>
      <c r="Y216" s="676"/>
      <c r="Z216" s="676"/>
      <c r="AA216" s="65"/>
      <c r="AB216" s="65"/>
      <c r="AC216" s="79"/>
    </row>
    <row r="217" spans="1:68" ht="14.25" hidden="1" customHeight="1" x14ac:dyDescent="0.25">
      <c r="A217" s="669" t="s">
        <v>158</v>
      </c>
      <c r="B217" s="669"/>
      <c r="C217" s="669"/>
      <c r="D217" s="669"/>
      <c r="E217" s="669"/>
      <c r="F217" s="669"/>
      <c r="G217" s="669"/>
      <c r="H217" s="669"/>
      <c r="I217" s="669"/>
      <c r="J217" s="669"/>
      <c r="K217" s="669"/>
      <c r="L217" s="669"/>
      <c r="M217" s="669"/>
      <c r="N217" s="669"/>
      <c r="O217" s="669"/>
      <c r="P217" s="669"/>
      <c r="Q217" s="669"/>
      <c r="R217" s="669"/>
      <c r="S217" s="669"/>
      <c r="T217" s="669"/>
      <c r="U217" s="669"/>
      <c r="V217" s="669"/>
      <c r="W217" s="669"/>
      <c r="X217" s="669"/>
      <c r="Y217" s="669"/>
      <c r="Z217" s="669"/>
      <c r="AA217" s="66"/>
      <c r="AB217" s="66"/>
      <c r="AC217" s="80"/>
    </row>
    <row r="218" spans="1:68" ht="27" hidden="1" customHeight="1" x14ac:dyDescent="0.25">
      <c r="A218" s="63" t="s">
        <v>374</v>
      </c>
      <c r="B218" s="63" t="s">
        <v>375</v>
      </c>
      <c r="C218" s="36">
        <v>4301020323</v>
      </c>
      <c r="D218" s="670">
        <v>4680115886223</v>
      </c>
      <c r="E218" s="670"/>
      <c r="F218" s="62">
        <v>0.33</v>
      </c>
      <c r="G218" s="37">
        <v>6</v>
      </c>
      <c r="H218" s="62">
        <v>1.98</v>
      </c>
      <c r="I218" s="62">
        <v>2.08</v>
      </c>
      <c r="J218" s="37">
        <v>234</v>
      </c>
      <c r="K218" s="37" t="s">
        <v>81</v>
      </c>
      <c r="L218" s="37" t="s">
        <v>46</v>
      </c>
      <c r="M218" s="38" t="s">
        <v>80</v>
      </c>
      <c r="N218" s="38"/>
      <c r="O218" s="37">
        <v>40</v>
      </c>
      <c r="P218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8" s="672"/>
      <c r="R218" s="672"/>
      <c r="S218" s="672"/>
      <c r="T218" s="673"/>
      <c r="U218" s="39" t="s">
        <v>46</v>
      </c>
      <c r="V218" s="39" t="s">
        <v>46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6" t="s">
        <v>376</v>
      </c>
      <c r="AG218" s="78"/>
      <c r="AJ218" s="84" t="s">
        <v>46</v>
      </c>
      <c r="AK218" s="84">
        <v>0</v>
      </c>
      <c r="BB218" s="297" t="s">
        <v>67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idden="1" x14ac:dyDescent="0.2">
      <c r="A219" s="660"/>
      <c r="B219" s="660"/>
      <c r="C219" s="660"/>
      <c r="D219" s="660"/>
      <c r="E219" s="660"/>
      <c r="F219" s="660"/>
      <c r="G219" s="660"/>
      <c r="H219" s="660"/>
      <c r="I219" s="660"/>
      <c r="J219" s="660"/>
      <c r="K219" s="660"/>
      <c r="L219" s="660"/>
      <c r="M219" s="660"/>
      <c r="N219" s="660"/>
      <c r="O219" s="661"/>
      <c r="P219" s="657" t="s">
        <v>40</v>
      </c>
      <c r="Q219" s="658"/>
      <c r="R219" s="658"/>
      <c r="S219" s="658"/>
      <c r="T219" s="658"/>
      <c r="U219" s="658"/>
      <c r="V219" s="659"/>
      <c r="W219" s="42" t="s">
        <v>39</v>
      </c>
      <c r="X219" s="43">
        <f>IFERROR(X218/H218,"0")</f>
        <v>0</v>
      </c>
      <c r="Y219" s="43">
        <f>IFERROR(Y218/H218,"0")</f>
        <v>0</v>
      </c>
      <c r="Z219" s="43">
        <f>IFERROR(IF(Z218="",0,Z218),"0")</f>
        <v>0</v>
      </c>
      <c r="AA219" s="67"/>
      <c r="AB219" s="67"/>
      <c r="AC219" s="67"/>
    </row>
    <row r="220" spans="1:68" hidden="1" x14ac:dyDescent="0.2">
      <c r="A220" s="660"/>
      <c r="B220" s="660"/>
      <c r="C220" s="660"/>
      <c r="D220" s="660"/>
      <c r="E220" s="660"/>
      <c r="F220" s="660"/>
      <c r="G220" s="660"/>
      <c r="H220" s="660"/>
      <c r="I220" s="660"/>
      <c r="J220" s="660"/>
      <c r="K220" s="660"/>
      <c r="L220" s="660"/>
      <c r="M220" s="660"/>
      <c r="N220" s="660"/>
      <c r="O220" s="661"/>
      <c r="P220" s="657" t="s">
        <v>40</v>
      </c>
      <c r="Q220" s="658"/>
      <c r="R220" s="658"/>
      <c r="S220" s="658"/>
      <c r="T220" s="658"/>
      <c r="U220" s="658"/>
      <c r="V220" s="659"/>
      <c r="W220" s="42" t="s">
        <v>0</v>
      </c>
      <c r="X220" s="43">
        <f>IFERROR(SUM(X218:X218),"0")</f>
        <v>0</v>
      </c>
      <c r="Y220" s="43">
        <f>IFERROR(SUM(Y218:Y218),"0")</f>
        <v>0</v>
      </c>
      <c r="Z220" s="42"/>
      <c r="AA220" s="67"/>
      <c r="AB220" s="67"/>
      <c r="AC220" s="67"/>
    </row>
    <row r="221" spans="1:68" ht="14.25" hidden="1" customHeight="1" x14ac:dyDescent="0.25">
      <c r="A221" s="669" t="s">
        <v>76</v>
      </c>
      <c r="B221" s="669"/>
      <c r="C221" s="669"/>
      <c r="D221" s="669"/>
      <c r="E221" s="669"/>
      <c r="F221" s="669"/>
      <c r="G221" s="669"/>
      <c r="H221" s="669"/>
      <c r="I221" s="669"/>
      <c r="J221" s="669"/>
      <c r="K221" s="669"/>
      <c r="L221" s="669"/>
      <c r="M221" s="669"/>
      <c r="N221" s="669"/>
      <c r="O221" s="669"/>
      <c r="P221" s="669"/>
      <c r="Q221" s="669"/>
      <c r="R221" s="669"/>
      <c r="S221" s="669"/>
      <c r="T221" s="669"/>
      <c r="U221" s="669"/>
      <c r="V221" s="669"/>
      <c r="W221" s="669"/>
      <c r="X221" s="669"/>
      <c r="Y221" s="669"/>
      <c r="Z221" s="669"/>
      <c r="AA221" s="66"/>
      <c r="AB221" s="66"/>
      <c r="AC221" s="80"/>
    </row>
    <row r="222" spans="1:68" ht="27" hidden="1" customHeight="1" x14ac:dyDescent="0.25">
      <c r="A222" s="63" t="s">
        <v>377</v>
      </c>
      <c r="B222" s="63" t="s">
        <v>378</v>
      </c>
      <c r="C222" s="36">
        <v>4301031191</v>
      </c>
      <c r="D222" s="670">
        <v>4680115880993</v>
      </c>
      <c r="E222" s="670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133</v>
      </c>
      <c r="L222" s="37" t="s">
        <v>46</v>
      </c>
      <c r="M222" s="38" t="s">
        <v>80</v>
      </c>
      <c r="N222" s="38"/>
      <c r="O222" s="37">
        <v>40</v>
      </c>
      <c r="P222" s="8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2" s="672"/>
      <c r="R222" s="672"/>
      <c r="S222" s="672"/>
      <c r="T222" s="673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ref="Y222:Y236" si="27">IFERROR(IF(X222="",0,CEILING((X222/$H222),1)*$H222),"")</f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379</v>
      </c>
      <c r="AG222" s="78"/>
      <c r="AJ222" s="84" t="s">
        <v>46</v>
      </c>
      <c r="AK222" s="84">
        <v>0</v>
      </c>
      <c r="BB222" s="299" t="s">
        <v>67</v>
      </c>
      <c r="BM222" s="78">
        <f t="shared" ref="BM222:BM236" si="28">IFERROR(X222*I222/H222,"0")</f>
        <v>0</v>
      </c>
      <c r="BN222" s="78">
        <f t="shared" ref="BN222:BN236" si="29">IFERROR(Y222*I222/H222,"0")</f>
        <v>0</v>
      </c>
      <c r="BO222" s="78">
        <f t="shared" ref="BO222:BO236" si="30">IFERROR(1/J222*(X222/H222),"0")</f>
        <v>0</v>
      </c>
      <c r="BP222" s="78">
        <f t="shared" ref="BP222:BP236" si="31">IFERROR(1/J222*(Y222/H222),"0")</f>
        <v>0</v>
      </c>
    </row>
    <row r="223" spans="1:68" ht="27" hidden="1" customHeight="1" x14ac:dyDescent="0.25">
      <c r="A223" s="63" t="s">
        <v>380</v>
      </c>
      <c r="B223" s="63" t="s">
        <v>381</v>
      </c>
      <c r="C223" s="36">
        <v>4301031204</v>
      </c>
      <c r="D223" s="670">
        <v>4680115881761</v>
      </c>
      <c r="E223" s="670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133</v>
      </c>
      <c r="L223" s="37" t="s">
        <v>46</v>
      </c>
      <c r="M223" s="38" t="s">
        <v>80</v>
      </c>
      <c r="N223" s="38"/>
      <c r="O223" s="37">
        <v>40</v>
      </c>
      <c r="P223" s="85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3" s="672"/>
      <c r="R223" s="672"/>
      <c r="S223" s="672"/>
      <c r="T223" s="673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382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383</v>
      </c>
      <c r="B224" s="63" t="s">
        <v>384</v>
      </c>
      <c r="C224" s="36">
        <v>4301031201</v>
      </c>
      <c r="D224" s="670">
        <v>4680115881563</v>
      </c>
      <c r="E224" s="670"/>
      <c r="F224" s="62">
        <v>0.7</v>
      </c>
      <c r="G224" s="37">
        <v>6</v>
      </c>
      <c r="H224" s="62">
        <v>4.2</v>
      </c>
      <c r="I224" s="62">
        <v>4.3899999999999997</v>
      </c>
      <c r="J224" s="37">
        <v>132</v>
      </c>
      <c r="K224" s="37" t="s">
        <v>133</v>
      </c>
      <c r="L224" s="37" t="s">
        <v>46</v>
      </c>
      <c r="M224" s="38" t="s">
        <v>80</v>
      </c>
      <c r="N224" s="38"/>
      <c r="O224" s="37">
        <v>40</v>
      </c>
      <c r="P224" s="85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4" s="672"/>
      <c r="R224" s="672"/>
      <c r="S224" s="672"/>
      <c r="T224" s="673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302" t="s">
        <v>385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37.5" hidden="1" customHeight="1" x14ac:dyDescent="0.25">
      <c r="A225" s="63" t="s">
        <v>386</v>
      </c>
      <c r="B225" s="63" t="s">
        <v>387</v>
      </c>
      <c r="C225" s="36">
        <v>4301031447</v>
      </c>
      <c r="D225" s="670">
        <v>4680115887565</v>
      </c>
      <c r="E225" s="670"/>
      <c r="F225" s="62">
        <v>0.08</v>
      </c>
      <c r="G225" s="37">
        <v>10</v>
      </c>
      <c r="H225" s="62">
        <v>0.8</v>
      </c>
      <c r="I225" s="62">
        <v>0.93</v>
      </c>
      <c r="J225" s="37">
        <v>252</v>
      </c>
      <c r="K225" s="37" t="s">
        <v>81</v>
      </c>
      <c r="L225" s="37" t="s">
        <v>46</v>
      </c>
      <c r="M225" s="38" t="s">
        <v>80</v>
      </c>
      <c r="N225" s="38"/>
      <c r="O225" s="37">
        <v>45</v>
      </c>
      <c r="P225" s="85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5" s="672"/>
      <c r="R225" s="672"/>
      <c r="S225" s="672"/>
      <c r="T225" s="673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IFERROR(IF(Y225=0,"",ROUNDUP(Y225/H225,0)*0.00556),"")</f>
        <v/>
      </c>
      <c r="AA225" s="68" t="s">
        <v>46</v>
      </c>
      <c r="AB225" s="69" t="s">
        <v>46</v>
      </c>
      <c r="AC225" s="304" t="s">
        <v>388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389</v>
      </c>
      <c r="B226" s="63" t="s">
        <v>390</v>
      </c>
      <c r="C226" s="36">
        <v>4301031199</v>
      </c>
      <c r="D226" s="670">
        <v>4680115880986</v>
      </c>
      <c r="E226" s="670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40</v>
      </c>
      <c r="P226" s="85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6" s="672"/>
      <c r="R226" s="672"/>
      <c r="S226" s="672"/>
      <c r="T226" s="673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ref="Z226:Z231" si="32">IFERROR(IF(Y226=0,"",ROUNDUP(Y226/H226,0)*0.00502),"")</f>
        <v/>
      </c>
      <c r="AA226" s="68" t="s">
        <v>46</v>
      </c>
      <c r="AB226" s="69" t="s">
        <v>46</v>
      </c>
      <c r="AC226" s="306" t="s">
        <v>379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391</v>
      </c>
      <c r="B227" s="63" t="s">
        <v>392</v>
      </c>
      <c r="C227" s="36">
        <v>4301031443</v>
      </c>
      <c r="D227" s="670">
        <v>4680115887213</v>
      </c>
      <c r="E227" s="670"/>
      <c r="F227" s="62">
        <v>0.3</v>
      </c>
      <c r="G227" s="37">
        <v>6</v>
      </c>
      <c r="H227" s="62">
        <v>1.8</v>
      </c>
      <c r="I227" s="62">
        <v>1.9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5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7" s="672"/>
      <c r="R227" s="672"/>
      <c r="S227" s="672"/>
      <c r="T227" s="673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393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394</v>
      </c>
      <c r="B228" s="63" t="s">
        <v>395</v>
      </c>
      <c r="C228" s="36">
        <v>4301031205</v>
      </c>
      <c r="D228" s="670">
        <v>4680115881785</v>
      </c>
      <c r="E228" s="670"/>
      <c r="F228" s="62">
        <v>0.35</v>
      </c>
      <c r="G228" s="37">
        <v>6</v>
      </c>
      <c r="H228" s="62">
        <v>2.1</v>
      </c>
      <c r="I228" s="62">
        <v>2.23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8" s="672"/>
      <c r="R228" s="672"/>
      <c r="S228" s="672"/>
      <c r="T228" s="673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382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396</v>
      </c>
      <c r="B229" s="63" t="s">
        <v>397</v>
      </c>
      <c r="C229" s="36">
        <v>4301031499</v>
      </c>
      <c r="D229" s="670">
        <v>4680115888432</v>
      </c>
      <c r="E229" s="670"/>
      <c r="F229" s="62">
        <v>0.3</v>
      </c>
      <c r="G229" s="37">
        <v>6</v>
      </c>
      <c r="H229" s="62">
        <v>1.8</v>
      </c>
      <c r="I229" s="62">
        <v>1.93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9" s="672"/>
      <c r="R229" s="672"/>
      <c r="S229" s="672"/>
      <c r="T229" s="673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398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399</v>
      </c>
      <c r="B230" s="63" t="s">
        <v>400</v>
      </c>
      <c r="C230" s="36">
        <v>4301031427</v>
      </c>
      <c r="D230" s="670">
        <v>4680115888104</v>
      </c>
      <c r="E230" s="670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0" s="672"/>
      <c r="R230" s="672"/>
      <c r="S230" s="672"/>
      <c r="T230" s="673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401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4301031503</v>
      </c>
      <c r="D231" s="670">
        <v>4680115886537</v>
      </c>
      <c r="E231" s="670"/>
      <c r="F231" s="62">
        <v>0.3</v>
      </c>
      <c r="G231" s="37">
        <v>6</v>
      </c>
      <c r="H231" s="62">
        <v>1.8</v>
      </c>
      <c r="I231" s="62">
        <v>1.93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1" s="672"/>
      <c r="R231" s="672"/>
      <c r="S231" s="672"/>
      <c r="T231" s="673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 t="shared" si="32"/>
        <v/>
      </c>
      <c r="AA231" s="68" t="s">
        <v>46</v>
      </c>
      <c r="AB231" s="69" t="s">
        <v>46</v>
      </c>
      <c r="AC231" s="316" t="s">
        <v>404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hidden="1" customHeight="1" x14ac:dyDescent="0.25">
      <c r="A232" s="63" t="s">
        <v>405</v>
      </c>
      <c r="B232" s="63" t="s">
        <v>406</v>
      </c>
      <c r="C232" s="36">
        <v>4301031279</v>
      </c>
      <c r="D232" s="670">
        <v>4680115887596</v>
      </c>
      <c r="E232" s="670"/>
      <c r="F232" s="62">
        <v>0.08</v>
      </c>
      <c r="G232" s="37">
        <v>10</v>
      </c>
      <c r="H232" s="62">
        <v>0.8</v>
      </c>
      <c r="I232" s="62">
        <v>1.01</v>
      </c>
      <c r="J232" s="37">
        <v>336</v>
      </c>
      <c r="K232" s="37" t="s">
        <v>130</v>
      </c>
      <c r="L232" s="37" t="s">
        <v>46</v>
      </c>
      <c r="M232" s="38" t="s">
        <v>80</v>
      </c>
      <c r="N232" s="38"/>
      <c r="O232" s="37">
        <v>45</v>
      </c>
      <c r="P232" s="84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2" s="672"/>
      <c r="R232" s="672"/>
      <c r="S232" s="672"/>
      <c r="T232" s="673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IFERROR(IF(Y232=0,"",ROUNDUP(Y232/H232,0)*0.00417),"")</f>
        <v/>
      </c>
      <c r="AA232" s="68" t="s">
        <v>46</v>
      </c>
      <c r="AB232" s="69" t="s">
        <v>46</v>
      </c>
      <c r="AC232" s="318" t="s">
        <v>407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37.5" hidden="1" customHeight="1" x14ac:dyDescent="0.25">
      <c r="A233" s="63" t="s">
        <v>408</v>
      </c>
      <c r="B233" s="63" t="s">
        <v>409</v>
      </c>
      <c r="C233" s="36">
        <v>4301031530</v>
      </c>
      <c r="D233" s="670">
        <v>4680115881679</v>
      </c>
      <c r="E233" s="670"/>
      <c r="F233" s="62">
        <v>0.35</v>
      </c>
      <c r="G233" s="37">
        <v>6</v>
      </c>
      <c r="H233" s="62">
        <v>2.1</v>
      </c>
      <c r="I233" s="62">
        <v>2.2000000000000002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4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3" s="672"/>
      <c r="R233" s="672"/>
      <c r="S233" s="672"/>
      <c r="T233" s="673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IFERROR(IF(Y233=0,"",ROUNDUP(Y233/H233,0)*0.00502),"")</f>
        <v/>
      </c>
      <c r="AA233" s="68" t="s">
        <v>46</v>
      </c>
      <c r="AB233" s="69" t="s">
        <v>46</v>
      </c>
      <c r="AC233" s="320" t="s">
        <v>385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410</v>
      </c>
      <c r="B234" s="63" t="s">
        <v>411</v>
      </c>
      <c r="C234" s="36">
        <v>4301031158</v>
      </c>
      <c r="D234" s="670">
        <v>4680115880191</v>
      </c>
      <c r="E234" s="670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90</v>
      </c>
      <c r="L234" s="37" t="s">
        <v>46</v>
      </c>
      <c r="M234" s="38" t="s">
        <v>80</v>
      </c>
      <c r="N234" s="38"/>
      <c r="O234" s="37">
        <v>40</v>
      </c>
      <c r="P234" s="84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4" s="672"/>
      <c r="R234" s="672"/>
      <c r="S234" s="672"/>
      <c r="T234" s="673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385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t="27" hidden="1" customHeight="1" x14ac:dyDescent="0.25">
      <c r="A235" s="63" t="s">
        <v>410</v>
      </c>
      <c r="B235" s="63" t="s">
        <v>412</v>
      </c>
      <c r="C235" s="36">
        <v>4301031531</v>
      </c>
      <c r="D235" s="670">
        <v>4680115880191</v>
      </c>
      <c r="E235" s="670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45</v>
      </c>
      <c r="P235" s="84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5" s="672"/>
      <c r="R235" s="672"/>
      <c r="S235" s="672"/>
      <c r="T235" s="673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7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24" t="s">
        <v>385</v>
      </c>
      <c r="AG235" s="78"/>
      <c r="AJ235" s="84" t="s">
        <v>46</v>
      </c>
      <c r="AK235" s="84">
        <v>0</v>
      </c>
      <c r="BB235" s="325" t="s">
        <v>67</v>
      </c>
      <c r="BM235" s="78">
        <f t="shared" si="28"/>
        <v>0</v>
      </c>
      <c r="BN235" s="78">
        <f t="shared" si="29"/>
        <v>0</v>
      </c>
      <c r="BO235" s="78">
        <f t="shared" si="30"/>
        <v>0</v>
      </c>
      <c r="BP235" s="78">
        <f t="shared" si="3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4301031245</v>
      </c>
      <c r="D236" s="670">
        <v>4680115883963</v>
      </c>
      <c r="E236" s="670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72"/>
      <c r="R236" s="672"/>
      <c r="S236" s="672"/>
      <c r="T236" s="673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67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idden="1" x14ac:dyDescent="0.2">
      <c r="A237" s="660"/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1"/>
      <c r="P237" s="657" t="s">
        <v>40</v>
      </c>
      <c r="Q237" s="658"/>
      <c r="R237" s="658"/>
      <c r="S237" s="658"/>
      <c r="T237" s="658"/>
      <c r="U237" s="658"/>
      <c r="V237" s="659"/>
      <c r="W237" s="42" t="s">
        <v>39</v>
      </c>
      <c r="X237" s="43">
        <f>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660"/>
      <c r="B238" s="660"/>
      <c r="C238" s="660"/>
      <c r="D238" s="660"/>
      <c r="E238" s="660"/>
      <c r="F238" s="660"/>
      <c r="G238" s="660"/>
      <c r="H238" s="660"/>
      <c r="I238" s="660"/>
      <c r="J238" s="660"/>
      <c r="K238" s="660"/>
      <c r="L238" s="660"/>
      <c r="M238" s="660"/>
      <c r="N238" s="660"/>
      <c r="O238" s="661"/>
      <c r="P238" s="657" t="s">
        <v>40</v>
      </c>
      <c r="Q238" s="658"/>
      <c r="R238" s="658"/>
      <c r="S238" s="658"/>
      <c r="T238" s="658"/>
      <c r="U238" s="658"/>
      <c r="V238" s="659"/>
      <c r="W238" s="42" t="s">
        <v>0</v>
      </c>
      <c r="X238" s="43">
        <f>IFERROR(SUM(X222:X236),"0")</f>
        <v>0</v>
      </c>
      <c r="Y238" s="43">
        <f>IFERROR(SUM(Y222:Y236),"0")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669" t="s">
        <v>85</v>
      </c>
      <c r="B239" s="669"/>
      <c r="C239" s="669"/>
      <c r="D239" s="669"/>
      <c r="E239" s="669"/>
      <c r="F239" s="669"/>
      <c r="G239" s="669"/>
      <c r="H239" s="669"/>
      <c r="I239" s="669"/>
      <c r="J239" s="669"/>
      <c r="K239" s="669"/>
      <c r="L239" s="669"/>
      <c r="M239" s="669"/>
      <c r="N239" s="669"/>
      <c r="O239" s="669"/>
      <c r="P239" s="669"/>
      <c r="Q239" s="669"/>
      <c r="R239" s="669"/>
      <c r="S239" s="669"/>
      <c r="T239" s="669"/>
      <c r="U239" s="669"/>
      <c r="V239" s="669"/>
      <c r="W239" s="669"/>
      <c r="X239" s="669"/>
      <c r="Y239" s="669"/>
      <c r="Z239" s="669"/>
      <c r="AA239" s="66"/>
      <c r="AB239" s="66"/>
      <c r="AC239" s="80"/>
    </row>
    <row r="240" spans="1:68" ht="16.5" hidden="1" customHeight="1" x14ac:dyDescent="0.25">
      <c r="A240" s="63" t="s">
        <v>416</v>
      </c>
      <c r="B240" s="63" t="s">
        <v>417</v>
      </c>
      <c r="C240" s="36">
        <v>4301052209</v>
      </c>
      <c r="D240" s="670">
        <v>4680115888692</v>
      </c>
      <c r="E240" s="670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126</v>
      </c>
      <c r="L240" s="37" t="s">
        <v>46</v>
      </c>
      <c r="M240" s="38" t="s">
        <v>96</v>
      </c>
      <c r="N240" s="38"/>
      <c r="O240" s="37">
        <v>35</v>
      </c>
      <c r="P240" s="83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72"/>
      <c r="R240" s="672"/>
      <c r="S240" s="672"/>
      <c r="T240" s="673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ref="Y240:Y248" si="33"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 t="shared" ref="BM240:BM248" si="34">IFERROR(X240*I240/H240,"0")</f>
        <v>0</v>
      </c>
      <c r="BN240" s="78">
        <f t="shared" ref="BN240:BN248" si="35">IFERROR(Y240*I240/H240,"0")</f>
        <v>0</v>
      </c>
      <c r="BO240" s="78">
        <f t="shared" ref="BO240:BO248" si="36">IFERROR(1/J240*(X240/H240),"0")</f>
        <v>0</v>
      </c>
      <c r="BP240" s="78">
        <f t="shared" ref="BP240:BP248" si="37">IFERROR(1/J240*(Y240/H240),"0")</f>
        <v>0</v>
      </c>
    </row>
    <row r="241" spans="1:68" ht="16.5" hidden="1" customHeight="1" x14ac:dyDescent="0.25">
      <c r="A241" s="63" t="s">
        <v>416</v>
      </c>
      <c r="B241" s="63" t="s">
        <v>419</v>
      </c>
      <c r="C241" s="36">
        <v>4301052279</v>
      </c>
      <c r="D241" s="670">
        <v>4680115888692</v>
      </c>
      <c r="E241" s="670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126</v>
      </c>
      <c r="L241" s="37" t="s">
        <v>46</v>
      </c>
      <c r="M241" s="38" t="s">
        <v>96</v>
      </c>
      <c r="N241" s="38"/>
      <c r="O241" s="37">
        <v>40</v>
      </c>
      <c r="P241" s="83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1" s="672"/>
      <c r="R241" s="672"/>
      <c r="S241" s="672"/>
      <c r="T241" s="673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420</v>
      </c>
      <c r="AG241" s="78"/>
      <c r="AJ241" s="84" t="s">
        <v>46</v>
      </c>
      <c r="AK241" s="84">
        <v>0</v>
      </c>
      <c r="BB241" s="331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t="27" hidden="1" customHeight="1" x14ac:dyDescent="0.25">
      <c r="A242" s="63" t="s">
        <v>421</v>
      </c>
      <c r="B242" s="63" t="s">
        <v>422</v>
      </c>
      <c r="C242" s="36">
        <v>4301052213</v>
      </c>
      <c r="D242" s="670">
        <v>4680115888722</v>
      </c>
      <c r="E242" s="670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126</v>
      </c>
      <c r="L242" s="37" t="s">
        <v>46</v>
      </c>
      <c r="M242" s="38" t="s">
        <v>96</v>
      </c>
      <c r="N242" s="38"/>
      <c r="O242" s="37">
        <v>35</v>
      </c>
      <c r="P242" s="83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2" s="672"/>
      <c r="R242" s="672"/>
      <c r="S242" s="672"/>
      <c r="T242" s="673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3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423</v>
      </c>
      <c r="AG242" s="78"/>
      <c r="AJ242" s="84" t="s">
        <v>46</v>
      </c>
      <c r="AK242" s="84">
        <v>0</v>
      </c>
      <c r="BB242" s="333" t="s">
        <v>67</v>
      </c>
      <c r="BM242" s="78">
        <f t="shared" si="34"/>
        <v>0</v>
      </c>
      <c r="BN242" s="78">
        <f t="shared" si="35"/>
        <v>0</v>
      </c>
      <c r="BO242" s="78">
        <f t="shared" si="36"/>
        <v>0</v>
      </c>
      <c r="BP242" s="78">
        <f t="shared" si="37"/>
        <v>0</v>
      </c>
    </row>
    <row r="243" spans="1:68" ht="27" hidden="1" customHeight="1" x14ac:dyDescent="0.25">
      <c r="A243" s="63" t="s">
        <v>421</v>
      </c>
      <c r="B243" s="63" t="s">
        <v>424</v>
      </c>
      <c r="C243" s="36">
        <v>4301052280</v>
      </c>
      <c r="D243" s="670">
        <v>4680115888722</v>
      </c>
      <c r="E243" s="670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40</v>
      </c>
      <c r="P243" s="8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3" s="672"/>
      <c r="R243" s="672"/>
      <c r="S243" s="672"/>
      <c r="T243" s="673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3"/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67</v>
      </c>
      <c r="BM243" s="78">
        <f t="shared" si="34"/>
        <v>0</v>
      </c>
      <c r="BN243" s="78">
        <f t="shared" si="35"/>
        <v>0</v>
      </c>
      <c r="BO243" s="78">
        <f t="shared" si="36"/>
        <v>0</v>
      </c>
      <c r="BP243" s="78">
        <f t="shared" si="37"/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4301052177</v>
      </c>
      <c r="D244" s="670">
        <v>4680115888951</v>
      </c>
      <c r="E244" s="670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133</v>
      </c>
      <c r="L244" s="37" t="s">
        <v>46</v>
      </c>
      <c r="M244" s="38" t="s">
        <v>96</v>
      </c>
      <c r="N244" s="38"/>
      <c r="O244" s="37">
        <v>35</v>
      </c>
      <c r="P244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4" s="672"/>
      <c r="R244" s="672"/>
      <c r="S244" s="672"/>
      <c r="T244" s="673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3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67</v>
      </c>
      <c r="BM244" s="78">
        <f t="shared" si="34"/>
        <v>0</v>
      </c>
      <c r="BN244" s="78">
        <f t="shared" si="35"/>
        <v>0</v>
      </c>
      <c r="BO244" s="78">
        <f t="shared" si="36"/>
        <v>0</v>
      </c>
      <c r="BP244" s="78">
        <f t="shared" si="37"/>
        <v>0</v>
      </c>
    </row>
    <row r="245" spans="1:68" ht="27" hidden="1" customHeight="1" x14ac:dyDescent="0.25">
      <c r="A245" s="63" t="s">
        <v>426</v>
      </c>
      <c r="B245" s="63" t="s">
        <v>429</v>
      </c>
      <c r="C245" s="36">
        <v>4301052276</v>
      </c>
      <c r="D245" s="670">
        <v>4680115888951</v>
      </c>
      <c r="E245" s="670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40</v>
      </c>
      <c r="P245" s="83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5" s="672"/>
      <c r="R245" s="672"/>
      <c r="S245" s="672"/>
      <c r="T245" s="673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3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420</v>
      </c>
      <c r="AG245" s="78"/>
      <c r="AJ245" s="84" t="s">
        <v>46</v>
      </c>
      <c r="AK245" s="84">
        <v>0</v>
      </c>
      <c r="BB245" s="339" t="s">
        <v>67</v>
      </c>
      <c r="BM245" s="78">
        <f t="shared" si="34"/>
        <v>0</v>
      </c>
      <c r="BN245" s="78">
        <f t="shared" si="35"/>
        <v>0</v>
      </c>
      <c r="BO245" s="78">
        <f t="shared" si="36"/>
        <v>0</v>
      </c>
      <c r="BP245" s="78">
        <f t="shared" si="37"/>
        <v>0</v>
      </c>
    </row>
    <row r="246" spans="1:68" ht="27" hidden="1" customHeight="1" x14ac:dyDescent="0.25">
      <c r="A246" s="63" t="s">
        <v>430</v>
      </c>
      <c r="B246" s="63" t="s">
        <v>431</v>
      </c>
      <c r="C246" s="36">
        <v>4301052178</v>
      </c>
      <c r="D246" s="670">
        <v>4680115888975</v>
      </c>
      <c r="E246" s="670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72"/>
      <c r="R246" s="672"/>
      <c r="S246" s="672"/>
      <c r="T246" s="673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3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432</v>
      </c>
      <c r="AG246" s="78"/>
      <c r="AJ246" s="84" t="s">
        <v>46</v>
      </c>
      <c r="AK246" s="84">
        <v>0</v>
      </c>
      <c r="BB246" s="341" t="s">
        <v>67</v>
      </c>
      <c r="BM246" s="78">
        <f t="shared" si="34"/>
        <v>0</v>
      </c>
      <c r="BN246" s="78">
        <f t="shared" si="35"/>
        <v>0</v>
      </c>
      <c r="BO246" s="78">
        <f t="shared" si="36"/>
        <v>0</v>
      </c>
      <c r="BP246" s="78">
        <f t="shared" si="37"/>
        <v>0</v>
      </c>
    </row>
    <row r="247" spans="1:68" ht="27" hidden="1" customHeight="1" x14ac:dyDescent="0.25">
      <c r="A247" s="63" t="s">
        <v>433</v>
      </c>
      <c r="B247" s="63" t="s">
        <v>434</v>
      </c>
      <c r="C247" s="36">
        <v>4301052176</v>
      </c>
      <c r="D247" s="670">
        <v>4680115888982</v>
      </c>
      <c r="E247" s="670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2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72"/>
      <c r="R247" s="672"/>
      <c r="S247" s="672"/>
      <c r="T247" s="673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3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423</v>
      </c>
      <c r="AG247" s="78"/>
      <c r="AJ247" s="84" t="s">
        <v>46</v>
      </c>
      <c r="AK247" s="84">
        <v>0</v>
      </c>
      <c r="BB247" s="343" t="s">
        <v>67</v>
      </c>
      <c r="BM247" s="78">
        <f t="shared" si="34"/>
        <v>0</v>
      </c>
      <c r="BN247" s="78">
        <f t="shared" si="35"/>
        <v>0</v>
      </c>
      <c r="BO247" s="78">
        <f t="shared" si="36"/>
        <v>0</v>
      </c>
      <c r="BP247" s="78">
        <f t="shared" si="37"/>
        <v>0</v>
      </c>
    </row>
    <row r="248" spans="1:68" ht="27" hidden="1" customHeight="1" x14ac:dyDescent="0.25">
      <c r="A248" s="63" t="s">
        <v>433</v>
      </c>
      <c r="B248" s="63" t="s">
        <v>435</v>
      </c>
      <c r="C248" s="36">
        <v>4301052277</v>
      </c>
      <c r="D248" s="670">
        <v>4680115888982</v>
      </c>
      <c r="E248" s="670"/>
      <c r="F248" s="62">
        <v>0.36</v>
      </c>
      <c r="G248" s="37">
        <v>6</v>
      </c>
      <c r="H248" s="62">
        <v>2.16</v>
      </c>
      <c r="I248" s="62">
        <v>2.4220000000000002</v>
      </c>
      <c r="J248" s="37">
        <v>132</v>
      </c>
      <c r="K248" s="37" t="s">
        <v>133</v>
      </c>
      <c r="L248" s="37" t="s">
        <v>46</v>
      </c>
      <c r="M248" s="38" t="s">
        <v>96</v>
      </c>
      <c r="N248" s="38"/>
      <c r="O248" s="37">
        <v>40</v>
      </c>
      <c r="P248" s="828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8" s="672"/>
      <c r="R248" s="672"/>
      <c r="S248" s="672"/>
      <c r="T248" s="673"/>
      <c r="U248" s="39" t="s">
        <v>46</v>
      </c>
      <c r="V248" s="39" t="s">
        <v>46</v>
      </c>
      <c r="W248" s="40" t="s">
        <v>0</v>
      </c>
      <c r="X248" s="58">
        <v>0</v>
      </c>
      <c r="Y248" s="55">
        <f t="shared" si="33"/>
        <v>0</v>
      </c>
      <c r="Z248" s="41" t="str">
        <f>IFERROR(IF(Y248=0,"",ROUNDUP(Y248/H248,0)*0.00902),"")</f>
        <v/>
      </c>
      <c r="AA248" s="68" t="s">
        <v>46</v>
      </c>
      <c r="AB248" s="69" t="s">
        <v>46</v>
      </c>
      <c r="AC248" s="344" t="s">
        <v>425</v>
      </c>
      <c r="AG248" s="78"/>
      <c r="AJ248" s="84" t="s">
        <v>46</v>
      </c>
      <c r="AK248" s="84">
        <v>0</v>
      </c>
      <c r="BB248" s="345" t="s">
        <v>67</v>
      </c>
      <c r="BM248" s="78">
        <f t="shared" si="34"/>
        <v>0</v>
      </c>
      <c r="BN248" s="78">
        <f t="shared" si="35"/>
        <v>0</v>
      </c>
      <c r="BO248" s="78">
        <f t="shared" si="36"/>
        <v>0</v>
      </c>
      <c r="BP248" s="78">
        <f t="shared" si="37"/>
        <v>0</v>
      </c>
    </row>
    <row r="249" spans="1:68" hidden="1" x14ac:dyDescent="0.2">
      <c r="A249" s="660"/>
      <c r="B249" s="660"/>
      <c r="C249" s="660"/>
      <c r="D249" s="660"/>
      <c r="E249" s="660"/>
      <c r="F249" s="660"/>
      <c r="G249" s="660"/>
      <c r="H249" s="660"/>
      <c r="I249" s="660"/>
      <c r="J249" s="660"/>
      <c r="K249" s="660"/>
      <c r="L249" s="660"/>
      <c r="M249" s="660"/>
      <c r="N249" s="660"/>
      <c r="O249" s="661"/>
      <c r="P249" s="657" t="s">
        <v>40</v>
      </c>
      <c r="Q249" s="658"/>
      <c r="R249" s="658"/>
      <c r="S249" s="658"/>
      <c r="T249" s="658"/>
      <c r="U249" s="658"/>
      <c r="V249" s="659"/>
      <c r="W249" s="42" t="s">
        <v>39</v>
      </c>
      <c r="X249" s="43">
        <f>IFERROR(X240/H240,"0")+IFERROR(X241/H241,"0")+IFERROR(X242/H242,"0")+IFERROR(X243/H243,"0")+IFERROR(X244/H244,"0")+IFERROR(X245/H245,"0")+IFERROR(X246/H246,"0")+IFERROR(X247/H247,"0")+IFERROR(X248/H248,"0")</f>
        <v>0</v>
      </c>
      <c r="Y249" s="43">
        <f>IFERROR(Y240/H240,"0")+IFERROR(Y241/H241,"0")+IFERROR(Y242/H242,"0")+IFERROR(Y243/H243,"0")+IFERROR(Y244/H244,"0")+IFERROR(Y245/H245,"0")+IFERROR(Y246/H246,"0")+IFERROR(Y247/H247,"0")+IFERROR(Y248/H248,"0")</f>
        <v>0</v>
      </c>
      <c r="Z249" s="43">
        <f>IFERROR(IF(Z240="",0,Z240),"0")+IFERROR(IF(Z241="",0,Z241),"0")+IFERROR(IF(Z242="",0,Z242),"0")+IFERROR(IF(Z243="",0,Z243),"0")+IFERROR(IF(Z244="",0,Z244),"0")+IFERROR(IF(Z245="",0,Z245),"0")+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60"/>
      <c r="B250" s="660"/>
      <c r="C250" s="660"/>
      <c r="D250" s="660"/>
      <c r="E250" s="660"/>
      <c r="F250" s="660"/>
      <c r="G250" s="660"/>
      <c r="H250" s="660"/>
      <c r="I250" s="660"/>
      <c r="J250" s="660"/>
      <c r="K250" s="660"/>
      <c r="L250" s="660"/>
      <c r="M250" s="660"/>
      <c r="N250" s="660"/>
      <c r="O250" s="661"/>
      <c r="P250" s="657" t="s">
        <v>40</v>
      </c>
      <c r="Q250" s="658"/>
      <c r="R250" s="658"/>
      <c r="S250" s="658"/>
      <c r="T250" s="658"/>
      <c r="U250" s="658"/>
      <c r="V250" s="659"/>
      <c r="W250" s="42" t="s">
        <v>0</v>
      </c>
      <c r="X250" s="43">
        <f>IFERROR(SUM(X240:X248),"0")</f>
        <v>0</v>
      </c>
      <c r="Y250" s="43">
        <f>IFERROR(SUM(Y240:Y248),"0")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9" t="s">
        <v>282</v>
      </c>
      <c r="B251" s="669"/>
      <c r="C251" s="669"/>
      <c r="D251" s="669"/>
      <c r="E251" s="669"/>
      <c r="F251" s="669"/>
      <c r="G251" s="669"/>
      <c r="H251" s="669"/>
      <c r="I251" s="669"/>
      <c r="J251" s="669"/>
      <c r="K251" s="669"/>
      <c r="L251" s="669"/>
      <c r="M251" s="669"/>
      <c r="N251" s="669"/>
      <c r="O251" s="669"/>
      <c r="P251" s="669"/>
      <c r="Q251" s="669"/>
      <c r="R251" s="669"/>
      <c r="S251" s="669"/>
      <c r="T251" s="669"/>
      <c r="U251" s="669"/>
      <c r="V251" s="669"/>
      <c r="W251" s="669"/>
      <c r="X251" s="669"/>
      <c r="Y251" s="669"/>
      <c r="Z251" s="669"/>
      <c r="AA251" s="66"/>
      <c r="AB251" s="66"/>
      <c r="AC251" s="80"/>
    </row>
    <row r="252" spans="1:68" ht="27" hidden="1" customHeight="1" x14ac:dyDescent="0.25">
      <c r="A252" s="63" t="s">
        <v>436</v>
      </c>
      <c r="B252" s="63" t="s">
        <v>437</v>
      </c>
      <c r="C252" s="36">
        <v>4301032053</v>
      </c>
      <c r="D252" s="670">
        <v>4680115886780</v>
      </c>
      <c r="E252" s="670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346</v>
      </c>
      <c r="L252" s="37" t="s">
        <v>46</v>
      </c>
      <c r="M252" s="38" t="s">
        <v>287</v>
      </c>
      <c r="N252" s="38"/>
      <c r="O252" s="37">
        <v>60</v>
      </c>
      <c r="P252" s="8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2" s="672"/>
      <c r="R252" s="672"/>
      <c r="S252" s="672"/>
      <c r="T252" s="673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438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439</v>
      </c>
      <c r="B253" s="63" t="s">
        <v>440</v>
      </c>
      <c r="C253" s="36">
        <v>4301032051</v>
      </c>
      <c r="D253" s="670">
        <v>4680115886742</v>
      </c>
      <c r="E253" s="670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346</v>
      </c>
      <c r="L253" s="37" t="s">
        <v>46</v>
      </c>
      <c r="M253" s="38" t="s">
        <v>287</v>
      </c>
      <c r="N253" s="38"/>
      <c r="O253" s="37">
        <v>90</v>
      </c>
      <c r="P253" s="83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3" s="672"/>
      <c r="R253" s="672"/>
      <c r="S253" s="672"/>
      <c r="T253" s="673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441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hidden="1" customHeight="1" x14ac:dyDescent="0.25">
      <c r="A254" s="63" t="s">
        <v>442</v>
      </c>
      <c r="B254" s="63" t="s">
        <v>443</v>
      </c>
      <c r="C254" s="36">
        <v>4301032052</v>
      </c>
      <c r="D254" s="670">
        <v>4680115886766</v>
      </c>
      <c r="E254" s="670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346</v>
      </c>
      <c r="L254" s="37" t="s">
        <v>46</v>
      </c>
      <c r="M254" s="38" t="s">
        <v>287</v>
      </c>
      <c r="N254" s="38"/>
      <c r="O254" s="37">
        <v>90</v>
      </c>
      <c r="P254" s="83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4" s="672"/>
      <c r="R254" s="672"/>
      <c r="S254" s="672"/>
      <c r="T254" s="673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50" t="s">
        <v>441</v>
      </c>
      <c r="AG254" s="78"/>
      <c r="AJ254" s="84" t="s">
        <v>46</v>
      </c>
      <c r="AK254" s="84">
        <v>0</v>
      </c>
      <c r="BB254" s="35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60"/>
      <c r="B255" s="660"/>
      <c r="C255" s="660"/>
      <c r="D255" s="660"/>
      <c r="E255" s="660"/>
      <c r="F255" s="660"/>
      <c r="G255" s="660"/>
      <c r="H255" s="660"/>
      <c r="I255" s="660"/>
      <c r="J255" s="660"/>
      <c r="K255" s="660"/>
      <c r="L255" s="660"/>
      <c r="M255" s="660"/>
      <c r="N255" s="660"/>
      <c r="O255" s="661"/>
      <c r="P255" s="657" t="s">
        <v>40</v>
      </c>
      <c r="Q255" s="658"/>
      <c r="R255" s="658"/>
      <c r="S255" s="658"/>
      <c r="T255" s="658"/>
      <c r="U255" s="658"/>
      <c r="V255" s="659"/>
      <c r="W255" s="42" t="s">
        <v>39</v>
      </c>
      <c r="X255" s="43">
        <f>IFERROR(X252/H252,"0")+IFERROR(X253/H253,"0")+IFERROR(X254/H254,"0")</f>
        <v>0</v>
      </c>
      <c r="Y255" s="43">
        <f>IFERROR(Y252/H252,"0")+IFERROR(Y253/H253,"0")+IFERROR(Y254/H254,"0")</f>
        <v>0</v>
      </c>
      <c r="Z255" s="43">
        <f>IFERROR(IF(Z252="",0,Z252),"0")+IFERROR(IF(Z253="",0,Z253),"0")+IFERROR(IF(Z254="",0,Z254),"0")</f>
        <v>0</v>
      </c>
      <c r="AA255" s="67"/>
      <c r="AB255" s="67"/>
      <c r="AC255" s="67"/>
    </row>
    <row r="256" spans="1:68" hidden="1" x14ac:dyDescent="0.2">
      <c r="A256" s="660"/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1"/>
      <c r="P256" s="657" t="s">
        <v>40</v>
      </c>
      <c r="Q256" s="658"/>
      <c r="R256" s="658"/>
      <c r="S256" s="658"/>
      <c r="T256" s="658"/>
      <c r="U256" s="658"/>
      <c r="V256" s="659"/>
      <c r="W256" s="42" t="s">
        <v>0</v>
      </c>
      <c r="X256" s="43">
        <f>IFERROR(SUM(X252:X254),"0")</f>
        <v>0</v>
      </c>
      <c r="Y256" s="43">
        <f>IFERROR(SUM(Y252:Y254),"0")</f>
        <v>0</v>
      </c>
      <c r="Z256" s="42"/>
      <c r="AA256" s="67"/>
      <c r="AB256" s="67"/>
      <c r="AC256" s="67"/>
    </row>
    <row r="257" spans="1:68" ht="14.25" hidden="1" customHeight="1" x14ac:dyDescent="0.25">
      <c r="A257" s="669" t="s">
        <v>444</v>
      </c>
      <c r="B257" s="669"/>
      <c r="C257" s="669"/>
      <c r="D257" s="669"/>
      <c r="E257" s="669"/>
      <c r="F257" s="669"/>
      <c r="G257" s="669"/>
      <c r="H257" s="669"/>
      <c r="I257" s="669"/>
      <c r="J257" s="669"/>
      <c r="K257" s="669"/>
      <c r="L257" s="669"/>
      <c r="M257" s="669"/>
      <c r="N257" s="669"/>
      <c r="O257" s="669"/>
      <c r="P257" s="669"/>
      <c r="Q257" s="669"/>
      <c r="R257" s="669"/>
      <c r="S257" s="669"/>
      <c r="T257" s="669"/>
      <c r="U257" s="669"/>
      <c r="V257" s="669"/>
      <c r="W257" s="669"/>
      <c r="X257" s="669"/>
      <c r="Y257" s="669"/>
      <c r="Z257" s="669"/>
      <c r="AA257" s="66"/>
      <c r="AB257" s="66"/>
      <c r="AC257" s="80"/>
    </row>
    <row r="258" spans="1:68" ht="27" hidden="1" customHeight="1" x14ac:dyDescent="0.25">
      <c r="A258" s="63" t="s">
        <v>445</v>
      </c>
      <c r="B258" s="63" t="s">
        <v>446</v>
      </c>
      <c r="C258" s="36">
        <v>4301170013</v>
      </c>
      <c r="D258" s="670">
        <v>4680115886797</v>
      </c>
      <c r="E258" s="670"/>
      <c r="F258" s="62">
        <v>7.0000000000000007E-2</v>
      </c>
      <c r="G258" s="37">
        <v>18</v>
      </c>
      <c r="H258" s="62">
        <v>1.26</v>
      </c>
      <c r="I258" s="62">
        <v>1.45</v>
      </c>
      <c r="J258" s="37">
        <v>216</v>
      </c>
      <c r="K258" s="37" t="s">
        <v>346</v>
      </c>
      <c r="L258" s="37" t="s">
        <v>46</v>
      </c>
      <c r="M258" s="38" t="s">
        <v>287</v>
      </c>
      <c r="N258" s="38"/>
      <c r="O258" s="37">
        <v>90</v>
      </c>
      <c r="P258" s="82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8" s="672"/>
      <c r="R258" s="672"/>
      <c r="S258" s="672"/>
      <c r="T258" s="673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IFERROR(IF(Y258=0,"",ROUNDUP(Y258/H258,0)*0.0059),"")</f>
        <v/>
      </c>
      <c r="AA258" s="68" t="s">
        <v>46</v>
      </c>
      <c r="AB258" s="69" t="s">
        <v>46</v>
      </c>
      <c r="AC258" s="352" t="s">
        <v>441</v>
      </c>
      <c r="AG258" s="78"/>
      <c r="AJ258" s="84" t="s">
        <v>46</v>
      </c>
      <c r="AK258" s="84">
        <v>0</v>
      </c>
      <c r="BB258" s="353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60"/>
      <c r="B259" s="660"/>
      <c r="C259" s="660"/>
      <c r="D259" s="660"/>
      <c r="E259" s="660"/>
      <c r="F259" s="660"/>
      <c r="G259" s="660"/>
      <c r="H259" s="660"/>
      <c r="I259" s="660"/>
      <c r="J259" s="660"/>
      <c r="K259" s="660"/>
      <c r="L259" s="660"/>
      <c r="M259" s="660"/>
      <c r="N259" s="660"/>
      <c r="O259" s="661"/>
      <c r="P259" s="657" t="s">
        <v>40</v>
      </c>
      <c r="Q259" s="658"/>
      <c r="R259" s="658"/>
      <c r="S259" s="658"/>
      <c r="T259" s="658"/>
      <c r="U259" s="658"/>
      <c r="V259" s="659"/>
      <c r="W259" s="42" t="s">
        <v>39</v>
      </c>
      <c r="X259" s="43">
        <f>IFERROR(X258/H258,"0")</f>
        <v>0</v>
      </c>
      <c r="Y259" s="43">
        <f>IFERROR(Y258/H258,"0")</f>
        <v>0</v>
      </c>
      <c r="Z259" s="43">
        <f>IFERROR(IF(Z258="",0,Z258),"0")</f>
        <v>0</v>
      </c>
      <c r="AA259" s="67"/>
      <c r="AB259" s="67"/>
      <c r="AC259" s="67"/>
    </row>
    <row r="260" spans="1:68" hidden="1" x14ac:dyDescent="0.2">
      <c r="A260" s="660"/>
      <c r="B260" s="660"/>
      <c r="C260" s="660"/>
      <c r="D260" s="660"/>
      <c r="E260" s="660"/>
      <c r="F260" s="660"/>
      <c r="G260" s="660"/>
      <c r="H260" s="660"/>
      <c r="I260" s="660"/>
      <c r="J260" s="660"/>
      <c r="K260" s="660"/>
      <c r="L260" s="660"/>
      <c r="M260" s="660"/>
      <c r="N260" s="660"/>
      <c r="O260" s="661"/>
      <c r="P260" s="657" t="s">
        <v>40</v>
      </c>
      <c r="Q260" s="658"/>
      <c r="R260" s="658"/>
      <c r="S260" s="658"/>
      <c r="T260" s="658"/>
      <c r="U260" s="658"/>
      <c r="V260" s="659"/>
      <c r="W260" s="42" t="s">
        <v>0</v>
      </c>
      <c r="X260" s="43">
        <f>IFERROR(SUM(X258:X258),"0")</f>
        <v>0</v>
      </c>
      <c r="Y260" s="43">
        <f>IFERROR(SUM(Y258:Y258),"0")</f>
        <v>0</v>
      </c>
      <c r="Z260" s="42"/>
      <c r="AA260" s="67"/>
      <c r="AB260" s="67"/>
      <c r="AC260" s="67"/>
    </row>
    <row r="261" spans="1:68" ht="16.5" hidden="1" customHeight="1" x14ac:dyDescent="0.25">
      <c r="A261" s="676" t="s">
        <v>447</v>
      </c>
      <c r="B261" s="676"/>
      <c r="C261" s="676"/>
      <c r="D261" s="676"/>
      <c r="E261" s="676"/>
      <c r="F261" s="676"/>
      <c r="G261" s="676"/>
      <c r="H261" s="676"/>
      <c r="I261" s="676"/>
      <c r="J261" s="676"/>
      <c r="K261" s="676"/>
      <c r="L261" s="676"/>
      <c r="M261" s="676"/>
      <c r="N261" s="676"/>
      <c r="O261" s="676"/>
      <c r="P261" s="676"/>
      <c r="Q261" s="676"/>
      <c r="R261" s="676"/>
      <c r="S261" s="676"/>
      <c r="T261" s="676"/>
      <c r="U261" s="676"/>
      <c r="V261" s="676"/>
      <c r="W261" s="676"/>
      <c r="X261" s="676"/>
      <c r="Y261" s="676"/>
      <c r="Z261" s="676"/>
      <c r="AA261" s="65"/>
      <c r="AB261" s="65"/>
      <c r="AC261" s="79"/>
    </row>
    <row r="262" spans="1:68" ht="14.25" hidden="1" customHeight="1" x14ac:dyDescent="0.25">
      <c r="A262" s="669" t="s">
        <v>121</v>
      </c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69"/>
      <c r="P262" s="669"/>
      <c r="Q262" s="669"/>
      <c r="R262" s="669"/>
      <c r="S262" s="669"/>
      <c r="T262" s="669"/>
      <c r="U262" s="669"/>
      <c r="V262" s="669"/>
      <c r="W262" s="669"/>
      <c r="X262" s="669"/>
      <c r="Y262" s="669"/>
      <c r="Z262" s="669"/>
      <c r="AA262" s="66"/>
      <c r="AB262" s="66"/>
      <c r="AC262" s="80"/>
    </row>
    <row r="263" spans="1:68" ht="27" hidden="1" customHeight="1" x14ac:dyDescent="0.25">
      <c r="A263" s="63" t="s">
        <v>448</v>
      </c>
      <c r="B263" s="63" t="s">
        <v>449</v>
      </c>
      <c r="C263" s="36">
        <v>4301011450</v>
      </c>
      <c r="D263" s="670">
        <v>4680115881402</v>
      </c>
      <c r="E263" s="670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126</v>
      </c>
      <c r="L263" s="37" t="s">
        <v>46</v>
      </c>
      <c r="M263" s="38" t="s">
        <v>125</v>
      </c>
      <c r="N263" s="38"/>
      <c r="O263" s="37">
        <v>55</v>
      </c>
      <c r="P263" s="82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3" s="672"/>
      <c r="R263" s="672"/>
      <c r="S263" s="672"/>
      <c r="T263" s="673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46</v>
      </c>
      <c r="AB263" s="69" t="s">
        <v>46</v>
      </c>
      <c r="AC263" s="354" t="s">
        <v>450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hidden="1" customHeight="1" x14ac:dyDescent="0.25">
      <c r="A264" s="63" t="s">
        <v>451</v>
      </c>
      <c r="B264" s="63" t="s">
        <v>452</v>
      </c>
      <c r="C264" s="36">
        <v>4301011768</v>
      </c>
      <c r="D264" s="670">
        <v>4680115881396</v>
      </c>
      <c r="E264" s="670"/>
      <c r="F264" s="62">
        <v>0.45</v>
      </c>
      <c r="G264" s="37">
        <v>6</v>
      </c>
      <c r="H264" s="62">
        <v>2.7</v>
      </c>
      <c r="I264" s="62">
        <v>2.88</v>
      </c>
      <c r="J264" s="37">
        <v>182</v>
      </c>
      <c r="K264" s="37" t="s">
        <v>90</v>
      </c>
      <c r="L264" s="37" t="s">
        <v>46</v>
      </c>
      <c r="M264" s="38" t="s">
        <v>125</v>
      </c>
      <c r="N264" s="38"/>
      <c r="O264" s="37">
        <v>55</v>
      </c>
      <c r="P264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4" s="672"/>
      <c r="R264" s="672"/>
      <c r="S264" s="672"/>
      <c r="T264" s="673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IFERROR(IF(Y264=0,"",ROUNDUP(Y264/H264,0)*0.00651),"")</f>
        <v/>
      </c>
      <c r="AA264" s="68" t="s">
        <v>46</v>
      </c>
      <c r="AB264" s="69" t="s">
        <v>46</v>
      </c>
      <c r="AC264" s="356" t="s">
        <v>450</v>
      </c>
      <c r="AG264" s="78"/>
      <c r="AJ264" s="84" t="s">
        <v>46</v>
      </c>
      <c r="AK264" s="84">
        <v>0</v>
      </c>
      <c r="BB264" s="357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idden="1" x14ac:dyDescent="0.2">
      <c r="A265" s="660"/>
      <c r="B265" s="660"/>
      <c r="C265" s="660"/>
      <c r="D265" s="660"/>
      <c r="E265" s="660"/>
      <c r="F265" s="660"/>
      <c r="G265" s="660"/>
      <c r="H265" s="660"/>
      <c r="I265" s="660"/>
      <c r="J265" s="660"/>
      <c r="K265" s="660"/>
      <c r="L265" s="660"/>
      <c r="M265" s="660"/>
      <c r="N265" s="660"/>
      <c r="O265" s="661"/>
      <c r="P265" s="657" t="s">
        <v>40</v>
      </c>
      <c r="Q265" s="658"/>
      <c r="R265" s="658"/>
      <c r="S265" s="658"/>
      <c r="T265" s="658"/>
      <c r="U265" s="658"/>
      <c r="V265" s="659"/>
      <c r="W265" s="42" t="s">
        <v>39</v>
      </c>
      <c r="X265" s="43">
        <f>IFERROR(X263/H263,"0")+IFERROR(X264/H264,"0")</f>
        <v>0</v>
      </c>
      <c r="Y265" s="43">
        <f>IFERROR(Y263/H263,"0")+IFERROR(Y264/H264,"0")</f>
        <v>0</v>
      </c>
      <c r="Z265" s="43">
        <f>IFERROR(IF(Z263="",0,Z263),"0")+IFERROR(IF(Z264="",0,Z264),"0")</f>
        <v>0</v>
      </c>
      <c r="AA265" s="67"/>
      <c r="AB265" s="67"/>
      <c r="AC265" s="67"/>
    </row>
    <row r="266" spans="1:68" hidden="1" x14ac:dyDescent="0.2">
      <c r="A266" s="660"/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1"/>
      <c r="P266" s="657" t="s">
        <v>40</v>
      </c>
      <c r="Q266" s="658"/>
      <c r="R266" s="658"/>
      <c r="S266" s="658"/>
      <c r="T266" s="658"/>
      <c r="U266" s="658"/>
      <c r="V266" s="659"/>
      <c r="W266" s="42" t="s">
        <v>0</v>
      </c>
      <c r="X266" s="43">
        <f>IFERROR(SUM(X263:X264),"0")</f>
        <v>0</v>
      </c>
      <c r="Y266" s="43">
        <f>IFERROR(SUM(Y263:Y264),"0")</f>
        <v>0</v>
      </c>
      <c r="Z266" s="42"/>
      <c r="AA266" s="67"/>
      <c r="AB266" s="67"/>
      <c r="AC266" s="67"/>
    </row>
    <row r="267" spans="1:68" ht="14.25" hidden="1" customHeight="1" x14ac:dyDescent="0.25">
      <c r="A267" s="669" t="s">
        <v>158</v>
      </c>
      <c r="B267" s="669"/>
      <c r="C267" s="669"/>
      <c r="D267" s="669"/>
      <c r="E267" s="669"/>
      <c r="F267" s="669"/>
      <c r="G267" s="669"/>
      <c r="H267" s="669"/>
      <c r="I267" s="669"/>
      <c r="J267" s="669"/>
      <c r="K267" s="669"/>
      <c r="L267" s="669"/>
      <c r="M267" s="669"/>
      <c r="N267" s="669"/>
      <c r="O267" s="669"/>
      <c r="P267" s="669"/>
      <c r="Q267" s="669"/>
      <c r="R267" s="669"/>
      <c r="S267" s="669"/>
      <c r="T267" s="669"/>
      <c r="U267" s="669"/>
      <c r="V267" s="669"/>
      <c r="W267" s="669"/>
      <c r="X267" s="669"/>
      <c r="Y267" s="669"/>
      <c r="Z267" s="669"/>
      <c r="AA267" s="66"/>
      <c r="AB267" s="66"/>
      <c r="AC267" s="80"/>
    </row>
    <row r="268" spans="1:68" ht="16.5" hidden="1" customHeight="1" x14ac:dyDescent="0.25">
      <c r="A268" s="63" t="s">
        <v>453</v>
      </c>
      <c r="B268" s="63" t="s">
        <v>454</v>
      </c>
      <c r="C268" s="36">
        <v>4301020261</v>
      </c>
      <c r="D268" s="670">
        <v>4680115882935</v>
      </c>
      <c r="E268" s="670"/>
      <c r="F268" s="62">
        <v>1.35</v>
      </c>
      <c r="G268" s="37">
        <v>8</v>
      </c>
      <c r="H268" s="62">
        <v>10.8</v>
      </c>
      <c r="I268" s="62">
        <v>11.21</v>
      </c>
      <c r="J268" s="37">
        <v>64</v>
      </c>
      <c r="K268" s="37" t="s">
        <v>126</v>
      </c>
      <c r="L268" s="37" t="s">
        <v>46</v>
      </c>
      <c r="M268" s="38" t="s">
        <v>125</v>
      </c>
      <c r="N268" s="38"/>
      <c r="O268" s="37">
        <v>50</v>
      </c>
      <c r="P268" s="82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8" s="672"/>
      <c r="R268" s="672"/>
      <c r="S268" s="672"/>
      <c r="T268" s="673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IFERROR(IF(Y268=0,"",ROUNDUP(Y268/H268,0)*0.01898),"")</f>
        <v/>
      </c>
      <c r="AA268" s="68" t="s">
        <v>46</v>
      </c>
      <c r="AB268" s="69" t="s">
        <v>46</v>
      </c>
      <c r="AC268" s="358" t="s">
        <v>455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t="16.5" hidden="1" customHeight="1" x14ac:dyDescent="0.25">
      <c r="A269" s="63" t="s">
        <v>456</v>
      </c>
      <c r="B269" s="63" t="s">
        <v>457</v>
      </c>
      <c r="C269" s="36">
        <v>4301020220</v>
      </c>
      <c r="D269" s="670">
        <v>4680115880764</v>
      </c>
      <c r="E269" s="670"/>
      <c r="F269" s="62">
        <v>0.35</v>
      </c>
      <c r="G269" s="37">
        <v>6</v>
      </c>
      <c r="H269" s="62">
        <v>2.1</v>
      </c>
      <c r="I269" s="62">
        <v>2.2799999999999998</v>
      </c>
      <c r="J269" s="37">
        <v>182</v>
      </c>
      <c r="K269" s="37" t="s">
        <v>90</v>
      </c>
      <c r="L269" s="37" t="s">
        <v>46</v>
      </c>
      <c r="M269" s="38" t="s">
        <v>125</v>
      </c>
      <c r="N269" s="38"/>
      <c r="O269" s="37">
        <v>50</v>
      </c>
      <c r="P269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9" s="672"/>
      <c r="R269" s="672"/>
      <c r="S269" s="672"/>
      <c r="T269" s="673"/>
      <c r="U269" s="39" t="s">
        <v>46</v>
      </c>
      <c r="V269" s="39" t="s">
        <v>46</v>
      </c>
      <c r="W269" s="40" t="s">
        <v>0</v>
      </c>
      <c r="X269" s="58">
        <v>0</v>
      </c>
      <c r="Y269" s="55">
        <f>IFERROR(IF(X269="",0,CEILING((X269/$H269),1)*$H269),"")</f>
        <v>0</v>
      </c>
      <c r="Z269" s="41" t="str">
        <f>IFERROR(IF(Y269=0,"",ROUNDUP(Y269/H269,0)*0.00651),"")</f>
        <v/>
      </c>
      <c r="AA269" s="68" t="s">
        <v>46</v>
      </c>
      <c r="AB269" s="69" t="s">
        <v>46</v>
      </c>
      <c r="AC269" s="360" t="s">
        <v>455</v>
      </c>
      <c r="AG269" s="78"/>
      <c r="AJ269" s="84" t="s">
        <v>46</v>
      </c>
      <c r="AK269" s="84">
        <v>0</v>
      </c>
      <c r="BB269" s="361" t="s">
        <v>67</v>
      </c>
      <c r="BM269" s="78">
        <f>IFERROR(X269*I269/H269,"0")</f>
        <v>0</v>
      </c>
      <c r="BN269" s="78">
        <f>IFERROR(Y269*I269/H269,"0")</f>
        <v>0</v>
      </c>
      <c r="BO269" s="78">
        <f>IFERROR(1/J269*(X269/H269),"0")</f>
        <v>0</v>
      </c>
      <c r="BP269" s="78">
        <f>IFERROR(1/J269*(Y269/H269),"0")</f>
        <v>0</v>
      </c>
    </row>
    <row r="270" spans="1:68" hidden="1" x14ac:dyDescent="0.2">
      <c r="A270" s="660"/>
      <c r="B270" s="660"/>
      <c r="C270" s="660"/>
      <c r="D270" s="660"/>
      <c r="E270" s="660"/>
      <c r="F270" s="660"/>
      <c r="G270" s="660"/>
      <c r="H270" s="660"/>
      <c r="I270" s="660"/>
      <c r="J270" s="660"/>
      <c r="K270" s="660"/>
      <c r="L270" s="660"/>
      <c r="M270" s="660"/>
      <c r="N270" s="660"/>
      <c r="O270" s="661"/>
      <c r="P270" s="657" t="s">
        <v>40</v>
      </c>
      <c r="Q270" s="658"/>
      <c r="R270" s="658"/>
      <c r="S270" s="658"/>
      <c r="T270" s="658"/>
      <c r="U270" s="658"/>
      <c r="V270" s="659"/>
      <c r="W270" s="42" t="s">
        <v>39</v>
      </c>
      <c r="X270" s="43">
        <f>IFERROR(X268/H268,"0")+IFERROR(X269/H269,"0")</f>
        <v>0</v>
      </c>
      <c r="Y270" s="43">
        <f>IFERROR(Y268/H268,"0")+IFERROR(Y269/H269,"0")</f>
        <v>0</v>
      </c>
      <c r="Z270" s="43">
        <f>IFERROR(IF(Z268="",0,Z268),"0")+IFERROR(IF(Z269="",0,Z269),"0")</f>
        <v>0</v>
      </c>
      <c r="AA270" s="67"/>
      <c r="AB270" s="67"/>
      <c r="AC270" s="67"/>
    </row>
    <row r="271" spans="1:68" hidden="1" x14ac:dyDescent="0.2">
      <c r="A271" s="660"/>
      <c r="B271" s="660"/>
      <c r="C271" s="660"/>
      <c r="D271" s="660"/>
      <c r="E271" s="660"/>
      <c r="F271" s="660"/>
      <c r="G271" s="660"/>
      <c r="H271" s="660"/>
      <c r="I271" s="660"/>
      <c r="J271" s="660"/>
      <c r="K271" s="660"/>
      <c r="L271" s="660"/>
      <c r="M271" s="660"/>
      <c r="N271" s="660"/>
      <c r="O271" s="661"/>
      <c r="P271" s="657" t="s">
        <v>40</v>
      </c>
      <c r="Q271" s="658"/>
      <c r="R271" s="658"/>
      <c r="S271" s="658"/>
      <c r="T271" s="658"/>
      <c r="U271" s="658"/>
      <c r="V271" s="659"/>
      <c r="W271" s="42" t="s">
        <v>0</v>
      </c>
      <c r="X271" s="43">
        <f>IFERROR(SUM(X268:X269),"0")</f>
        <v>0</v>
      </c>
      <c r="Y271" s="43">
        <f>IFERROR(SUM(Y268:Y269),"0")</f>
        <v>0</v>
      </c>
      <c r="Z271" s="42"/>
      <c r="AA271" s="67"/>
      <c r="AB271" s="67"/>
      <c r="AC271" s="67"/>
    </row>
    <row r="272" spans="1:68" ht="14.25" hidden="1" customHeight="1" x14ac:dyDescent="0.25">
      <c r="A272" s="669" t="s">
        <v>76</v>
      </c>
      <c r="B272" s="669"/>
      <c r="C272" s="669"/>
      <c r="D272" s="669"/>
      <c r="E272" s="669"/>
      <c r="F272" s="669"/>
      <c r="G272" s="669"/>
      <c r="H272" s="669"/>
      <c r="I272" s="669"/>
      <c r="J272" s="669"/>
      <c r="K272" s="669"/>
      <c r="L272" s="669"/>
      <c r="M272" s="669"/>
      <c r="N272" s="669"/>
      <c r="O272" s="669"/>
      <c r="P272" s="669"/>
      <c r="Q272" s="669"/>
      <c r="R272" s="669"/>
      <c r="S272" s="669"/>
      <c r="T272" s="669"/>
      <c r="U272" s="669"/>
      <c r="V272" s="669"/>
      <c r="W272" s="669"/>
      <c r="X272" s="669"/>
      <c r="Y272" s="669"/>
      <c r="Z272" s="669"/>
      <c r="AA272" s="66"/>
      <c r="AB272" s="66"/>
      <c r="AC272" s="80"/>
    </row>
    <row r="273" spans="1:68" ht="27" hidden="1" customHeight="1" x14ac:dyDescent="0.25">
      <c r="A273" s="63" t="s">
        <v>458</v>
      </c>
      <c r="B273" s="63" t="s">
        <v>459</v>
      </c>
      <c r="C273" s="36">
        <v>4301031224</v>
      </c>
      <c r="D273" s="670">
        <v>4680115882683</v>
      </c>
      <c r="E273" s="670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1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3" s="672"/>
      <c r="R273" s="672"/>
      <c r="S273" s="672"/>
      <c r="T273" s="673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ref="Y273:Y280" si="38">IFERROR(IF(X273="",0,CEILING((X273/$H273),1)*$H273),"")</f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460</v>
      </c>
      <c r="AG273" s="78"/>
      <c r="AJ273" s="84" t="s">
        <v>46</v>
      </c>
      <c r="AK273" s="84">
        <v>0</v>
      </c>
      <c r="BB273" s="363" t="s">
        <v>67</v>
      </c>
      <c r="BM273" s="78">
        <f t="shared" ref="BM273:BM280" si="39">IFERROR(X273*I273/H273,"0")</f>
        <v>0</v>
      </c>
      <c r="BN273" s="78">
        <f t="shared" ref="BN273:BN280" si="40">IFERROR(Y273*I273/H273,"0")</f>
        <v>0</v>
      </c>
      <c r="BO273" s="78">
        <f t="shared" ref="BO273:BO280" si="41">IFERROR(1/J273*(X273/H273),"0")</f>
        <v>0</v>
      </c>
      <c r="BP273" s="78">
        <f t="shared" ref="BP273:BP280" si="42">IFERROR(1/J273*(Y273/H273),"0")</f>
        <v>0</v>
      </c>
    </row>
    <row r="274" spans="1:68" ht="27" hidden="1" customHeight="1" x14ac:dyDescent="0.25">
      <c r="A274" s="63" t="s">
        <v>461</v>
      </c>
      <c r="B274" s="63" t="s">
        <v>462</v>
      </c>
      <c r="C274" s="36">
        <v>4301031230</v>
      </c>
      <c r="D274" s="670">
        <v>4680115882690</v>
      </c>
      <c r="E274" s="670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1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4" s="672"/>
      <c r="R274" s="672"/>
      <c r="S274" s="672"/>
      <c r="T274" s="673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8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463</v>
      </c>
      <c r="AG274" s="78"/>
      <c r="AJ274" s="84" t="s">
        <v>46</v>
      </c>
      <c r="AK274" s="84">
        <v>0</v>
      </c>
      <c r="BB274" s="365" t="s">
        <v>67</v>
      </c>
      <c r="BM274" s="78">
        <f t="shared" si="39"/>
        <v>0</v>
      </c>
      <c r="BN274" s="78">
        <f t="shared" si="40"/>
        <v>0</v>
      </c>
      <c r="BO274" s="78">
        <f t="shared" si="41"/>
        <v>0</v>
      </c>
      <c r="BP274" s="78">
        <f t="shared" si="42"/>
        <v>0</v>
      </c>
    </row>
    <row r="275" spans="1:68" ht="27" hidden="1" customHeight="1" x14ac:dyDescent="0.25">
      <c r="A275" s="63" t="s">
        <v>464</v>
      </c>
      <c r="B275" s="63" t="s">
        <v>465</v>
      </c>
      <c r="C275" s="36">
        <v>4301031220</v>
      </c>
      <c r="D275" s="670">
        <v>4680115882669</v>
      </c>
      <c r="E275" s="670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5" s="672"/>
      <c r="R275" s="672"/>
      <c r="S275" s="672"/>
      <c r="T275" s="673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8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466</v>
      </c>
      <c r="AG275" s="78"/>
      <c r="AJ275" s="84" t="s">
        <v>46</v>
      </c>
      <c r="AK275" s="84">
        <v>0</v>
      </c>
      <c r="BB275" s="367" t="s">
        <v>67</v>
      </c>
      <c r="BM275" s="78">
        <f t="shared" si="39"/>
        <v>0</v>
      </c>
      <c r="BN275" s="78">
        <f t="shared" si="40"/>
        <v>0</v>
      </c>
      <c r="BO275" s="78">
        <f t="shared" si="41"/>
        <v>0</v>
      </c>
      <c r="BP275" s="78">
        <f t="shared" si="42"/>
        <v>0</v>
      </c>
    </row>
    <row r="276" spans="1:68" ht="27" hidden="1" customHeight="1" x14ac:dyDescent="0.25">
      <c r="A276" s="63" t="s">
        <v>467</v>
      </c>
      <c r="B276" s="63" t="s">
        <v>468</v>
      </c>
      <c r="C276" s="36">
        <v>4301031221</v>
      </c>
      <c r="D276" s="670">
        <v>4680115882676</v>
      </c>
      <c r="E276" s="670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133</v>
      </c>
      <c r="L276" s="37" t="s">
        <v>46</v>
      </c>
      <c r="M276" s="38" t="s">
        <v>80</v>
      </c>
      <c r="N276" s="38"/>
      <c r="O276" s="37">
        <v>40</v>
      </c>
      <c r="P276" s="8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6" s="672"/>
      <c r="R276" s="672"/>
      <c r="S276" s="672"/>
      <c r="T276" s="673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8"/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469</v>
      </c>
      <c r="AG276" s="78"/>
      <c r="AJ276" s="84" t="s">
        <v>46</v>
      </c>
      <c r="AK276" s="84">
        <v>0</v>
      </c>
      <c r="BB276" s="369" t="s">
        <v>67</v>
      </c>
      <c r="BM276" s="78">
        <f t="shared" si="39"/>
        <v>0</v>
      </c>
      <c r="BN276" s="78">
        <f t="shared" si="40"/>
        <v>0</v>
      </c>
      <c r="BO276" s="78">
        <f t="shared" si="41"/>
        <v>0</v>
      </c>
      <c r="BP276" s="78">
        <f t="shared" si="42"/>
        <v>0</v>
      </c>
    </row>
    <row r="277" spans="1:68" ht="27" hidden="1" customHeight="1" x14ac:dyDescent="0.25">
      <c r="A277" s="63" t="s">
        <v>470</v>
      </c>
      <c r="B277" s="63" t="s">
        <v>471</v>
      </c>
      <c r="C277" s="36">
        <v>4301031223</v>
      </c>
      <c r="D277" s="670">
        <v>4680115884014</v>
      </c>
      <c r="E277" s="670"/>
      <c r="F277" s="62">
        <v>0.3</v>
      </c>
      <c r="G277" s="37">
        <v>6</v>
      </c>
      <c r="H277" s="62">
        <v>1.8</v>
      </c>
      <c r="I277" s="62">
        <v>1.93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2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7" s="672"/>
      <c r="R277" s="672"/>
      <c r="S277" s="672"/>
      <c r="T277" s="673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8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460</v>
      </c>
      <c r="AG277" s="78"/>
      <c r="AJ277" s="84" t="s">
        <v>46</v>
      </c>
      <c r="AK277" s="84">
        <v>0</v>
      </c>
      <c r="BB277" s="371" t="s">
        <v>67</v>
      </c>
      <c r="BM277" s="78">
        <f t="shared" si="39"/>
        <v>0</v>
      </c>
      <c r="BN277" s="78">
        <f t="shared" si="40"/>
        <v>0</v>
      </c>
      <c r="BO277" s="78">
        <f t="shared" si="41"/>
        <v>0</v>
      </c>
      <c r="BP277" s="78">
        <f t="shared" si="42"/>
        <v>0</v>
      </c>
    </row>
    <row r="278" spans="1:68" ht="27" hidden="1" customHeight="1" x14ac:dyDescent="0.25">
      <c r="A278" s="63" t="s">
        <v>472</v>
      </c>
      <c r="B278" s="63" t="s">
        <v>473</v>
      </c>
      <c r="C278" s="36">
        <v>4301031222</v>
      </c>
      <c r="D278" s="670">
        <v>4680115884007</v>
      </c>
      <c r="E278" s="670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8" s="672"/>
      <c r="R278" s="672"/>
      <c r="S278" s="672"/>
      <c r="T278" s="673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8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463</v>
      </c>
      <c r="AG278" s="78"/>
      <c r="AJ278" s="84" t="s">
        <v>46</v>
      </c>
      <c r="AK278" s="84">
        <v>0</v>
      </c>
      <c r="BB278" s="373" t="s">
        <v>67</v>
      </c>
      <c r="BM278" s="78">
        <f t="shared" si="39"/>
        <v>0</v>
      </c>
      <c r="BN278" s="78">
        <f t="shared" si="40"/>
        <v>0</v>
      </c>
      <c r="BO278" s="78">
        <f t="shared" si="41"/>
        <v>0</v>
      </c>
      <c r="BP278" s="78">
        <f t="shared" si="42"/>
        <v>0</v>
      </c>
    </row>
    <row r="279" spans="1:68" ht="27" hidden="1" customHeight="1" x14ac:dyDescent="0.25">
      <c r="A279" s="63" t="s">
        <v>474</v>
      </c>
      <c r="B279" s="63" t="s">
        <v>475</v>
      </c>
      <c r="C279" s="36">
        <v>4301031229</v>
      </c>
      <c r="D279" s="670">
        <v>4680115884038</v>
      </c>
      <c r="E279" s="670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0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9" s="672"/>
      <c r="R279" s="672"/>
      <c r="S279" s="672"/>
      <c r="T279" s="673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466</v>
      </c>
      <c r="AG279" s="78"/>
      <c r="AJ279" s="84" t="s">
        <v>46</v>
      </c>
      <c r="AK279" s="84">
        <v>0</v>
      </c>
      <c r="BB279" s="375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476</v>
      </c>
      <c r="B280" s="63" t="s">
        <v>477</v>
      </c>
      <c r="C280" s="36">
        <v>4301031225</v>
      </c>
      <c r="D280" s="670">
        <v>4680115884021</v>
      </c>
      <c r="E280" s="670"/>
      <c r="F280" s="62">
        <v>0.3</v>
      </c>
      <c r="G280" s="37">
        <v>6</v>
      </c>
      <c r="H280" s="62">
        <v>1.8</v>
      </c>
      <c r="I280" s="62">
        <v>1.9</v>
      </c>
      <c r="J280" s="37">
        <v>234</v>
      </c>
      <c r="K280" s="37" t="s">
        <v>81</v>
      </c>
      <c r="L280" s="37" t="s">
        <v>46</v>
      </c>
      <c r="M280" s="38" t="s">
        <v>80</v>
      </c>
      <c r="N280" s="38"/>
      <c r="O280" s="37">
        <v>40</v>
      </c>
      <c r="P280" s="81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0" s="672"/>
      <c r="R280" s="672"/>
      <c r="S280" s="672"/>
      <c r="T280" s="673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469</v>
      </c>
      <c r="AG280" s="78"/>
      <c r="AJ280" s="84" t="s">
        <v>46</v>
      </c>
      <c r="AK280" s="84">
        <v>0</v>
      </c>
      <c r="BB280" s="377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idden="1" x14ac:dyDescent="0.2">
      <c r="A281" s="660"/>
      <c r="B281" s="660"/>
      <c r="C281" s="660"/>
      <c r="D281" s="660"/>
      <c r="E281" s="660"/>
      <c r="F281" s="660"/>
      <c r="G281" s="660"/>
      <c r="H281" s="660"/>
      <c r="I281" s="660"/>
      <c r="J281" s="660"/>
      <c r="K281" s="660"/>
      <c r="L281" s="660"/>
      <c r="M281" s="660"/>
      <c r="N281" s="660"/>
      <c r="O281" s="661"/>
      <c r="P281" s="657" t="s">
        <v>40</v>
      </c>
      <c r="Q281" s="658"/>
      <c r="R281" s="658"/>
      <c r="S281" s="658"/>
      <c r="T281" s="658"/>
      <c r="U281" s="658"/>
      <c r="V281" s="659"/>
      <c r="W281" s="42" t="s">
        <v>39</v>
      </c>
      <c r="X281" s="43">
        <f>IFERROR(X273/H273,"0")+IFERROR(X274/H274,"0")+IFERROR(X275/H275,"0")+IFERROR(X276/H276,"0")+IFERROR(X277/H277,"0")+IFERROR(X278/H278,"0")+IFERROR(X279/H279,"0")+IFERROR(X280/H280,"0")</f>
        <v>0</v>
      </c>
      <c r="Y281" s="43">
        <f>IFERROR(Y273/H273,"0")+IFERROR(Y274/H274,"0")+IFERROR(Y275/H275,"0")+IFERROR(Y276/H276,"0")+IFERROR(Y277/H277,"0")+IFERROR(Y278/H278,"0")+IFERROR(Y279/H279,"0")+IFERROR(Y280/H280,"0")</f>
        <v>0</v>
      </c>
      <c r="Z281" s="43">
        <f>IFERROR(IF(Z273="",0,Z273),"0")+IFERROR(IF(Z274="",0,Z274),"0")+IFERROR(IF(Z275="",0,Z275),"0")+IFERROR(IF(Z276="",0,Z276),"0")+IFERROR(IF(Z277="",0,Z277),"0")+IFERROR(IF(Z278="",0,Z278),"0")+IFERROR(IF(Z279="",0,Z279),"0")+IFERROR(IF(Z280="",0,Z280),"0")</f>
        <v>0</v>
      </c>
      <c r="AA281" s="67"/>
      <c r="AB281" s="67"/>
      <c r="AC281" s="67"/>
    </row>
    <row r="282" spans="1:68" hidden="1" x14ac:dyDescent="0.2">
      <c r="A282" s="660"/>
      <c r="B282" s="660"/>
      <c r="C282" s="660"/>
      <c r="D282" s="660"/>
      <c r="E282" s="660"/>
      <c r="F282" s="660"/>
      <c r="G282" s="660"/>
      <c r="H282" s="660"/>
      <c r="I282" s="660"/>
      <c r="J282" s="660"/>
      <c r="K282" s="660"/>
      <c r="L282" s="660"/>
      <c r="M282" s="660"/>
      <c r="N282" s="660"/>
      <c r="O282" s="661"/>
      <c r="P282" s="657" t="s">
        <v>40</v>
      </c>
      <c r="Q282" s="658"/>
      <c r="R282" s="658"/>
      <c r="S282" s="658"/>
      <c r="T282" s="658"/>
      <c r="U282" s="658"/>
      <c r="V282" s="659"/>
      <c r="W282" s="42" t="s">
        <v>0</v>
      </c>
      <c r="X282" s="43">
        <f>IFERROR(SUM(X273:X280),"0")</f>
        <v>0</v>
      </c>
      <c r="Y282" s="43">
        <f>IFERROR(SUM(Y273:Y280),"0")</f>
        <v>0</v>
      </c>
      <c r="Z282" s="42"/>
      <c r="AA282" s="67"/>
      <c r="AB282" s="67"/>
      <c r="AC282" s="67"/>
    </row>
    <row r="283" spans="1:68" ht="14.25" hidden="1" customHeight="1" x14ac:dyDescent="0.25">
      <c r="A283" s="669" t="s">
        <v>85</v>
      </c>
      <c r="B283" s="669"/>
      <c r="C283" s="669"/>
      <c r="D283" s="669"/>
      <c r="E283" s="669"/>
      <c r="F283" s="669"/>
      <c r="G283" s="669"/>
      <c r="H283" s="669"/>
      <c r="I283" s="669"/>
      <c r="J283" s="669"/>
      <c r="K283" s="669"/>
      <c r="L283" s="669"/>
      <c r="M283" s="669"/>
      <c r="N283" s="669"/>
      <c r="O283" s="669"/>
      <c r="P283" s="669"/>
      <c r="Q283" s="669"/>
      <c r="R283" s="669"/>
      <c r="S283" s="669"/>
      <c r="T283" s="669"/>
      <c r="U283" s="669"/>
      <c r="V283" s="669"/>
      <c r="W283" s="669"/>
      <c r="X283" s="669"/>
      <c r="Y283" s="669"/>
      <c r="Z283" s="669"/>
      <c r="AA283" s="66"/>
      <c r="AB283" s="66"/>
      <c r="AC283" s="80"/>
    </row>
    <row r="284" spans="1:68" ht="27" hidden="1" customHeight="1" x14ac:dyDescent="0.25">
      <c r="A284" s="63" t="s">
        <v>478</v>
      </c>
      <c r="B284" s="63" t="s">
        <v>479</v>
      </c>
      <c r="C284" s="36">
        <v>4301051408</v>
      </c>
      <c r="D284" s="670">
        <v>4680115881594</v>
      </c>
      <c r="E284" s="670"/>
      <c r="F284" s="62">
        <v>1.35</v>
      </c>
      <c r="G284" s="37">
        <v>6</v>
      </c>
      <c r="H284" s="62">
        <v>8.1</v>
      </c>
      <c r="I284" s="62">
        <v>8.5939999999999994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1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4" s="672"/>
      <c r="R284" s="672"/>
      <c r="S284" s="672"/>
      <c r="T284" s="673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ref="Y284:Y295" si="43">IFERROR(IF(X284="",0,CEILING((X284/$H284),1)*$H284),"")</f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480</v>
      </c>
      <c r="AG284" s="78"/>
      <c r="AJ284" s="84" t="s">
        <v>46</v>
      </c>
      <c r="AK284" s="84">
        <v>0</v>
      </c>
      <c r="BB284" s="379" t="s">
        <v>67</v>
      </c>
      <c r="BM284" s="78">
        <f t="shared" ref="BM284:BM295" si="44">IFERROR(X284*I284/H284,"0")</f>
        <v>0</v>
      </c>
      <c r="BN284" s="78">
        <f t="shared" ref="BN284:BN295" si="45">IFERROR(Y284*I284/H284,"0")</f>
        <v>0</v>
      </c>
      <c r="BO284" s="78">
        <f t="shared" ref="BO284:BO295" si="46">IFERROR(1/J284*(X284/H284),"0")</f>
        <v>0</v>
      </c>
      <c r="BP284" s="78">
        <f t="shared" ref="BP284:BP295" si="47">IFERROR(1/J284*(Y284/H284),"0")</f>
        <v>0</v>
      </c>
    </row>
    <row r="285" spans="1:68" ht="27" hidden="1" customHeight="1" x14ac:dyDescent="0.25">
      <c r="A285" s="63" t="s">
        <v>481</v>
      </c>
      <c r="B285" s="63" t="s">
        <v>482</v>
      </c>
      <c r="C285" s="36">
        <v>4301051411</v>
      </c>
      <c r="D285" s="670">
        <v>4680115881617</v>
      </c>
      <c r="E285" s="670"/>
      <c r="F285" s="62">
        <v>1.35</v>
      </c>
      <c r="G285" s="37">
        <v>6</v>
      </c>
      <c r="H285" s="62">
        <v>8.1</v>
      </c>
      <c r="I285" s="62">
        <v>8.5760000000000005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40</v>
      </c>
      <c r="P285" s="81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5" s="672"/>
      <c r="R285" s="672"/>
      <c r="S285" s="672"/>
      <c r="T285" s="673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483</v>
      </c>
      <c r="AG285" s="78"/>
      <c r="AJ285" s="84" t="s">
        <v>46</v>
      </c>
      <c r="AK285" s="84">
        <v>0</v>
      </c>
      <c r="BB285" s="381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484</v>
      </c>
      <c r="B286" s="63" t="s">
        <v>485</v>
      </c>
      <c r="C286" s="36">
        <v>4301051656</v>
      </c>
      <c r="D286" s="670">
        <v>4680115880573</v>
      </c>
      <c r="E286" s="670"/>
      <c r="F286" s="62">
        <v>1.45</v>
      </c>
      <c r="G286" s="37">
        <v>6</v>
      </c>
      <c r="H286" s="62">
        <v>8.6999999999999993</v>
      </c>
      <c r="I286" s="62">
        <v>9.1940000000000008</v>
      </c>
      <c r="J286" s="37">
        <v>64</v>
      </c>
      <c r="K286" s="37" t="s">
        <v>126</v>
      </c>
      <c r="L286" s="37" t="s">
        <v>46</v>
      </c>
      <c r="M286" s="38" t="s">
        <v>89</v>
      </c>
      <c r="N286" s="38"/>
      <c r="O286" s="37">
        <v>45</v>
      </c>
      <c r="P286" s="81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6" s="672"/>
      <c r="R286" s="672"/>
      <c r="S286" s="672"/>
      <c r="T286" s="673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IFERROR(IF(Y286=0,"",ROUNDUP(Y286/H286,0)*0.01898),"")</f>
        <v/>
      </c>
      <c r="AA286" s="68" t="s">
        <v>46</v>
      </c>
      <c r="AB286" s="69" t="s">
        <v>46</v>
      </c>
      <c r="AC286" s="382" t="s">
        <v>486</v>
      </c>
      <c r="AG286" s="78"/>
      <c r="AJ286" s="84" t="s">
        <v>46</v>
      </c>
      <c r="AK286" s="84">
        <v>0</v>
      </c>
      <c r="BB286" s="383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487</v>
      </c>
      <c r="B287" s="63" t="s">
        <v>488</v>
      </c>
      <c r="C287" s="36">
        <v>4301051407</v>
      </c>
      <c r="D287" s="670">
        <v>4680115882195</v>
      </c>
      <c r="E287" s="670"/>
      <c r="F287" s="62">
        <v>0.4</v>
      </c>
      <c r="G287" s="37">
        <v>6</v>
      </c>
      <c r="H287" s="62">
        <v>2.4</v>
      </c>
      <c r="I287" s="62">
        <v>2.67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40</v>
      </c>
      <c r="P287" s="81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7" s="672"/>
      <c r="R287" s="672"/>
      <c r="S287" s="672"/>
      <c r="T287" s="673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480</v>
      </c>
      <c r="AG287" s="78"/>
      <c r="AJ287" s="84" t="s">
        <v>46</v>
      </c>
      <c r="AK287" s="84">
        <v>0</v>
      </c>
      <c r="BB287" s="385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489</v>
      </c>
      <c r="B288" s="63" t="s">
        <v>490</v>
      </c>
      <c r="C288" s="36">
        <v>4301051752</v>
      </c>
      <c r="D288" s="670">
        <v>4680115882607</v>
      </c>
      <c r="E288" s="670"/>
      <c r="F288" s="62">
        <v>0.3</v>
      </c>
      <c r="G288" s="37">
        <v>6</v>
      </c>
      <c r="H288" s="62">
        <v>1.8</v>
      </c>
      <c r="I288" s="62">
        <v>2.052</v>
      </c>
      <c r="J288" s="37">
        <v>182</v>
      </c>
      <c r="K288" s="37" t="s">
        <v>90</v>
      </c>
      <c r="L288" s="37" t="s">
        <v>46</v>
      </c>
      <c r="M288" s="38" t="s">
        <v>96</v>
      </c>
      <c r="N288" s="38"/>
      <c r="O288" s="37">
        <v>45</v>
      </c>
      <c r="P288" s="81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8" s="672"/>
      <c r="R288" s="672"/>
      <c r="S288" s="672"/>
      <c r="T288" s="673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486</v>
      </c>
      <c r="AG288" s="78"/>
      <c r="AJ288" s="84" t="s">
        <v>46</v>
      </c>
      <c r="AK288" s="84">
        <v>0</v>
      </c>
      <c r="BB288" s="387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t="27" hidden="1" customHeight="1" x14ac:dyDescent="0.25">
      <c r="A289" s="63" t="s">
        <v>491</v>
      </c>
      <c r="B289" s="63" t="s">
        <v>492</v>
      </c>
      <c r="C289" s="36">
        <v>4301052143</v>
      </c>
      <c r="D289" s="670">
        <v>4680115882607</v>
      </c>
      <c r="E289" s="670"/>
      <c r="F289" s="62">
        <v>0.3</v>
      </c>
      <c r="G289" s="37">
        <v>6</v>
      </c>
      <c r="H289" s="62">
        <v>1.8</v>
      </c>
      <c r="I289" s="62">
        <v>2.0619999999999998</v>
      </c>
      <c r="J289" s="37">
        <v>132</v>
      </c>
      <c r="K289" s="37" t="s">
        <v>133</v>
      </c>
      <c r="L289" s="37" t="s">
        <v>46</v>
      </c>
      <c r="M289" s="38" t="s">
        <v>89</v>
      </c>
      <c r="N289" s="38"/>
      <c r="O289" s="37">
        <v>45</v>
      </c>
      <c r="P289" s="80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9" s="672"/>
      <c r="R289" s="672"/>
      <c r="S289" s="672"/>
      <c r="T289" s="673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3"/>
        <v>0</v>
      </c>
      <c r="Z289" s="41" t="str">
        <f>IFERROR(IF(Y289=0,"",ROUNDUP(Y289/H289,0)*0.00902),"")</f>
        <v/>
      </c>
      <c r="AA289" s="68" t="s">
        <v>46</v>
      </c>
      <c r="AB289" s="69" t="s">
        <v>46</v>
      </c>
      <c r="AC289" s="388" t="s">
        <v>493</v>
      </c>
      <c r="AG289" s="78"/>
      <c r="AJ289" s="84" t="s">
        <v>46</v>
      </c>
      <c r="AK289" s="84">
        <v>0</v>
      </c>
      <c r="BB289" s="389" t="s">
        <v>67</v>
      </c>
      <c r="BM289" s="78">
        <f t="shared" si="44"/>
        <v>0</v>
      </c>
      <c r="BN289" s="78">
        <f t="shared" si="45"/>
        <v>0</v>
      </c>
      <c r="BO289" s="78">
        <f t="shared" si="46"/>
        <v>0</v>
      </c>
      <c r="BP289" s="78">
        <f t="shared" si="47"/>
        <v>0</v>
      </c>
    </row>
    <row r="290" spans="1:68" ht="27" hidden="1" customHeight="1" x14ac:dyDescent="0.25">
      <c r="A290" s="63" t="s">
        <v>494</v>
      </c>
      <c r="B290" s="63" t="s">
        <v>495</v>
      </c>
      <c r="C290" s="36">
        <v>4301051666</v>
      </c>
      <c r="D290" s="670">
        <v>4680115880092</v>
      </c>
      <c r="E290" s="670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45</v>
      </c>
      <c r="P290" s="80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0" s="672"/>
      <c r="R290" s="672"/>
      <c r="S290" s="672"/>
      <c r="T290" s="673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3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486</v>
      </c>
      <c r="AG290" s="78"/>
      <c r="AJ290" s="84" t="s">
        <v>46</v>
      </c>
      <c r="AK290" s="84">
        <v>0</v>
      </c>
      <c r="BB290" s="391" t="s">
        <v>67</v>
      </c>
      <c r="BM290" s="78">
        <f t="shared" si="44"/>
        <v>0</v>
      </c>
      <c r="BN290" s="78">
        <f t="shared" si="45"/>
        <v>0</v>
      </c>
      <c r="BO290" s="78">
        <f t="shared" si="46"/>
        <v>0</v>
      </c>
      <c r="BP290" s="78">
        <f t="shared" si="47"/>
        <v>0</v>
      </c>
    </row>
    <row r="291" spans="1:68" ht="27" hidden="1" customHeight="1" x14ac:dyDescent="0.25">
      <c r="A291" s="63" t="s">
        <v>496</v>
      </c>
      <c r="B291" s="63" t="s">
        <v>497</v>
      </c>
      <c r="C291" s="36">
        <v>4301052214</v>
      </c>
      <c r="D291" s="670">
        <v>4680115889064</v>
      </c>
      <c r="E291" s="670"/>
      <c r="F291" s="62">
        <v>0.7</v>
      </c>
      <c r="G291" s="37">
        <v>6</v>
      </c>
      <c r="H291" s="62">
        <v>4.2</v>
      </c>
      <c r="I291" s="62">
        <v>4.6159999999999997</v>
      </c>
      <c r="J291" s="37">
        <v>104</v>
      </c>
      <c r="K291" s="37" t="s">
        <v>126</v>
      </c>
      <c r="L291" s="37" t="s">
        <v>46</v>
      </c>
      <c r="M291" s="38" t="s">
        <v>89</v>
      </c>
      <c r="N291" s="38"/>
      <c r="O291" s="37">
        <v>45</v>
      </c>
      <c r="P291" s="80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1" s="672"/>
      <c r="R291" s="672"/>
      <c r="S291" s="672"/>
      <c r="T291" s="673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3"/>
        <v>0</v>
      </c>
      <c r="Z291" s="41" t="str">
        <f>IFERROR(IF(Y291=0,"",ROUNDUP(Y291/H291,0)*0.01196),"")</f>
        <v/>
      </c>
      <c r="AA291" s="68" t="s">
        <v>46</v>
      </c>
      <c r="AB291" s="69" t="s">
        <v>46</v>
      </c>
      <c r="AC291" s="392" t="s">
        <v>493</v>
      </c>
      <c r="AG291" s="78"/>
      <c r="AJ291" s="84" t="s">
        <v>46</v>
      </c>
      <c r="AK291" s="84">
        <v>0</v>
      </c>
      <c r="BB291" s="393" t="s">
        <v>67</v>
      </c>
      <c r="BM291" s="78">
        <f t="shared" si="44"/>
        <v>0</v>
      </c>
      <c r="BN291" s="78">
        <f t="shared" si="45"/>
        <v>0</v>
      </c>
      <c r="BO291" s="78">
        <f t="shared" si="46"/>
        <v>0</v>
      </c>
      <c r="BP291" s="78">
        <f t="shared" si="47"/>
        <v>0</v>
      </c>
    </row>
    <row r="292" spans="1:68" ht="27" hidden="1" customHeight="1" x14ac:dyDescent="0.25">
      <c r="A292" s="63" t="s">
        <v>498</v>
      </c>
      <c r="B292" s="63" t="s">
        <v>499</v>
      </c>
      <c r="C292" s="36">
        <v>4301051668</v>
      </c>
      <c r="D292" s="670">
        <v>4680115880221</v>
      </c>
      <c r="E292" s="670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45</v>
      </c>
      <c r="P292" s="80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2" s="672"/>
      <c r="R292" s="672"/>
      <c r="S292" s="672"/>
      <c r="T292" s="673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3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486</v>
      </c>
      <c r="AG292" s="78"/>
      <c r="AJ292" s="84" t="s">
        <v>46</v>
      </c>
      <c r="AK292" s="84">
        <v>0</v>
      </c>
      <c r="BB292" s="395" t="s">
        <v>67</v>
      </c>
      <c r="BM292" s="78">
        <f t="shared" si="44"/>
        <v>0</v>
      </c>
      <c r="BN292" s="78">
        <f t="shared" si="45"/>
        <v>0</v>
      </c>
      <c r="BO292" s="78">
        <f t="shared" si="46"/>
        <v>0</v>
      </c>
      <c r="BP292" s="78">
        <f t="shared" si="47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4301051945</v>
      </c>
      <c r="D293" s="670">
        <v>4680115880504</v>
      </c>
      <c r="E293" s="670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90</v>
      </c>
      <c r="L293" s="37" t="s">
        <v>46</v>
      </c>
      <c r="M293" s="38" t="s">
        <v>96</v>
      </c>
      <c r="N293" s="38"/>
      <c r="O293" s="37">
        <v>40</v>
      </c>
      <c r="P293" s="80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3" s="672"/>
      <c r="R293" s="672"/>
      <c r="S293" s="672"/>
      <c r="T293" s="673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3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502</v>
      </c>
      <c r="AG293" s="78"/>
      <c r="AJ293" s="84" t="s">
        <v>46</v>
      </c>
      <c r="AK293" s="84">
        <v>0</v>
      </c>
      <c r="BB293" s="397" t="s">
        <v>67</v>
      </c>
      <c r="BM293" s="78">
        <f t="shared" si="44"/>
        <v>0</v>
      </c>
      <c r="BN293" s="78">
        <f t="shared" si="45"/>
        <v>0</v>
      </c>
      <c r="BO293" s="78">
        <f t="shared" si="46"/>
        <v>0</v>
      </c>
      <c r="BP293" s="78">
        <f t="shared" si="47"/>
        <v>0</v>
      </c>
    </row>
    <row r="294" spans="1:68" ht="27" hidden="1" customHeight="1" x14ac:dyDescent="0.25">
      <c r="A294" s="63" t="s">
        <v>503</v>
      </c>
      <c r="B294" s="63" t="s">
        <v>504</v>
      </c>
      <c r="C294" s="36">
        <v>4301051410</v>
      </c>
      <c r="D294" s="670">
        <v>4680115882164</v>
      </c>
      <c r="E294" s="670"/>
      <c r="F294" s="62">
        <v>0.4</v>
      </c>
      <c r="G294" s="37">
        <v>6</v>
      </c>
      <c r="H294" s="62">
        <v>2.4</v>
      </c>
      <c r="I294" s="62">
        <v>2.6579999999999999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40</v>
      </c>
      <c r="P294" s="80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4" s="672"/>
      <c r="R294" s="672"/>
      <c r="S294" s="672"/>
      <c r="T294" s="673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3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44"/>
        <v>0</v>
      </c>
      <c r="BN294" s="78">
        <f t="shared" si="45"/>
        <v>0</v>
      </c>
      <c r="BO294" s="78">
        <f t="shared" si="46"/>
        <v>0</v>
      </c>
      <c r="BP294" s="78">
        <f t="shared" si="47"/>
        <v>0</v>
      </c>
    </row>
    <row r="295" spans="1:68" ht="27" hidden="1" customHeight="1" x14ac:dyDescent="0.25">
      <c r="A295" s="63" t="s">
        <v>506</v>
      </c>
      <c r="B295" s="63" t="s">
        <v>507</v>
      </c>
      <c r="C295" s="36">
        <v>4301052180</v>
      </c>
      <c r="D295" s="670">
        <v>4680115888340</v>
      </c>
      <c r="E295" s="670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89</v>
      </c>
      <c r="N295" s="38"/>
      <c r="O295" s="37">
        <v>45</v>
      </c>
      <c r="P295" s="80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5" s="672"/>
      <c r="R295" s="672"/>
      <c r="S295" s="672"/>
      <c r="T295" s="673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3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508</v>
      </c>
      <c r="AG295" s="78"/>
      <c r="AJ295" s="84" t="s">
        <v>46</v>
      </c>
      <c r="AK295" s="84">
        <v>0</v>
      </c>
      <c r="BB295" s="401" t="s">
        <v>67</v>
      </c>
      <c r="BM295" s="78">
        <f t="shared" si="44"/>
        <v>0</v>
      </c>
      <c r="BN295" s="78">
        <f t="shared" si="45"/>
        <v>0</v>
      </c>
      <c r="BO295" s="78">
        <f t="shared" si="46"/>
        <v>0</v>
      </c>
      <c r="BP295" s="78">
        <f t="shared" si="47"/>
        <v>0</v>
      </c>
    </row>
    <row r="296" spans="1:68" hidden="1" x14ac:dyDescent="0.2">
      <c r="A296" s="660"/>
      <c r="B296" s="660"/>
      <c r="C296" s="660"/>
      <c r="D296" s="660"/>
      <c r="E296" s="660"/>
      <c r="F296" s="660"/>
      <c r="G296" s="660"/>
      <c r="H296" s="660"/>
      <c r="I296" s="660"/>
      <c r="J296" s="660"/>
      <c r="K296" s="660"/>
      <c r="L296" s="660"/>
      <c r="M296" s="660"/>
      <c r="N296" s="660"/>
      <c r="O296" s="661"/>
      <c r="P296" s="657" t="s">
        <v>40</v>
      </c>
      <c r="Q296" s="658"/>
      <c r="R296" s="658"/>
      <c r="S296" s="658"/>
      <c r="T296" s="658"/>
      <c r="U296" s="658"/>
      <c r="V296" s="659"/>
      <c r="W296" s="42" t="s">
        <v>39</v>
      </c>
      <c r="X296" s="43">
        <f>IFERROR(X284/H284,"0")+IFERROR(X285/H285,"0")+IFERROR(X286/H286,"0")+IFERROR(X287/H287,"0")+IFERROR(X288/H288,"0")+IFERROR(X289/H289,"0")+IFERROR(X290/H290,"0")+IFERROR(X291/H291,"0")+IFERROR(X292/H292,"0")+IFERROR(X293/H293,"0")+IFERROR(X294/H294,"0")+IFERROR(X295/H295,"0")</f>
        <v>0</v>
      </c>
      <c r="Y296" s="43">
        <f>IFERROR(Y284/H284,"0")+IFERROR(Y285/H285,"0")+IFERROR(Y286/H286,"0")+IFERROR(Y287/H287,"0")+IFERROR(Y288/H288,"0")+IFERROR(Y289/H289,"0")+IFERROR(Y290/H290,"0")+IFERROR(Y291/H291,"0")+IFERROR(Y292/H292,"0")+IFERROR(Y293/H293,"0")+IFERROR(Y294/H294,"0")+IFERROR(Y295/H295,"0")</f>
        <v>0</v>
      </c>
      <c r="Z296" s="43">
        <f>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</f>
        <v>0</v>
      </c>
      <c r="AA296" s="67"/>
      <c r="AB296" s="67"/>
      <c r="AC296" s="67"/>
    </row>
    <row r="297" spans="1:68" hidden="1" x14ac:dyDescent="0.2">
      <c r="A297" s="660"/>
      <c r="B297" s="660"/>
      <c r="C297" s="660"/>
      <c r="D297" s="660"/>
      <c r="E297" s="660"/>
      <c r="F297" s="660"/>
      <c r="G297" s="660"/>
      <c r="H297" s="660"/>
      <c r="I297" s="660"/>
      <c r="J297" s="660"/>
      <c r="K297" s="660"/>
      <c r="L297" s="660"/>
      <c r="M297" s="660"/>
      <c r="N297" s="660"/>
      <c r="O297" s="661"/>
      <c r="P297" s="657" t="s">
        <v>40</v>
      </c>
      <c r="Q297" s="658"/>
      <c r="R297" s="658"/>
      <c r="S297" s="658"/>
      <c r="T297" s="658"/>
      <c r="U297" s="658"/>
      <c r="V297" s="659"/>
      <c r="W297" s="42" t="s">
        <v>0</v>
      </c>
      <c r="X297" s="43">
        <f>IFERROR(SUM(X284:X295),"0")</f>
        <v>0</v>
      </c>
      <c r="Y297" s="43">
        <f>IFERROR(SUM(Y284:Y295),"0")</f>
        <v>0</v>
      </c>
      <c r="Z297" s="42"/>
      <c r="AA297" s="67"/>
      <c r="AB297" s="67"/>
      <c r="AC297" s="67"/>
    </row>
    <row r="298" spans="1:68" ht="14.25" hidden="1" customHeight="1" x14ac:dyDescent="0.25">
      <c r="A298" s="669" t="s">
        <v>177</v>
      </c>
      <c r="B298" s="669"/>
      <c r="C298" s="669"/>
      <c r="D298" s="669"/>
      <c r="E298" s="669"/>
      <c r="F298" s="669"/>
      <c r="G298" s="669"/>
      <c r="H298" s="669"/>
      <c r="I298" s="669"/>
      <c r="J298" s="669"/>
      <c r="K298" s="669"/>
      <c r="L298" s="669"/>
      <c r="M298" s="669"/>
      <c r="N298" s="669"/>
      <c r="O298" s="669"/>
      <c r="P298" s="669"/>
      <c r="Q298" s="669"/>
      <c r="R298" s="669"/>
      <c r="S298" s="669"/>
      <c r="T298" s="669"/>
      <c r="U298" s="669"/>
      <c r="V298" s="669"/>
      <c r="W298" s="669"/>
      <c r="X298" s="669"/>
      <c r="Y298" s="669"/>
      <c r="Z298" s="669"/>
      <c r="AA298" s="66"/>
      <c r="AB298" s="66"/>
      <c r="AC298" s="80"/>
    </row>
    <row r="299" spans="1:68" ht="27" hidden="1" customHeight="1" x14ac:dyDescent="0.25">
      <c r="A299" s="63" t="s">
        <v>509</v>
      </c>
      <c r="B299" s="63" t="s">
        <v>510</v>
      </c>
      <c r="C299" s="36">
        <v>4301060463</v>
      </c>
      <c r="D299" s="670">
        <v>4680115880818</v>
      </c>
      <c r="E299" s="670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96</v>
      </c>
      <c r="N299" s="38"/>
      <c r="O299" s="37">
        <v>40</v>
      </c>
      <c r="P299" s="79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9" s="672"/>
      <c r="R299" s="672"/>
      <c r="S299" s="672"/>
      <c r="T299" s="673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511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hidden="1" customHeight="1" x14ac:dyDescent="0.25">
      <c r="A300" s="63" t="s">
        <v>512</v>
      </c>
      <c r="B300" s="63" t="s">
        <v>513</v>
      </c>
      <c r="C300" s="36">
        <v>4301060389</v>
      </c>
      <c r="D300" s="670">
        <v>4680115880801</v>
      </c>
      <c r="E300" s="670"/>
      <c r="F300" s="62">
        <v>0.4</v>
      </c>
      <c r="G300" s="37">
        <v>6</v>
      </c>
      <c r="H300" s="62">
        <v>2.4</v>
      </c>
      <c r="I300" s="62">
        <v>2.6520000000000001</v>
      </c>
      <c r="J300" s="37">
        <v>182</v>
      </c>
      <c r="K300" s="37" t="s">
        <v>90</v>
      </c>
      <c r="L300" s="37" t="s">
        <v>46</v>
      </c>
      <c r="M300" s="38" t="s">
        <v>89</v>
      </c>
      <c r="N300" s="38"/>
      <c r="O300" s="37">
        <v>40</v>
      </c>
      <c r="P300" s="79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0" s="672"/>
      <c r="R300" s="672"/>
      <c r="S300" s="672"/>
      <c r="T300" s="673"/>
      <c r="U300" s="39" t="s">
        <v>46</v>
      </c>
      <c r="V300" s="39" t="s">
        <v>46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404" t="s">
        <v>514</v>
      </c>
      <c r="AG300" s="78"/>
      <c r="AJ300" s="84" t="s">
        <v>46</v>
      </c>
      <c r="AK300" s="84">
        <v>0</v>
      </c>
      <c r="BB300" s="405" t="s">
        <v>67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idden="1" x14ac:dyDescent="0.2">
      <c r="A301" s="660"/>
      <c r="B301" s="660"/>
      <c r="C301" s="660"/>
      <c r="D301" s="660"/>
      <c r="E301" s="660"/>
      <c r="F301" s="660"/>
      <c r="G301" s="660"/>
      <c r="H301" s="660"/>
      <c r="I301" s="660"/>
      <c r="J301" s="660"/>
      <c r="K301" s="660"/>
      <c r="L301" s="660"/>
      <c r="M301" s="660"/>
      <c r="N301" s="660"/>
      <c r="O301" s="661"/>
      <c r="P301" s="657" t="s">
        <v>40</v>
      </c>
      <c r="Q301" s="658"/>
      <c r="R301" s="658"/>
      <c r="S301" s="658"/>
      <c r="T301" s="658"/>
      <c r="U301" s="658"/>
      <c r="V301" s="659"/>
      <c r="W301" s="42" t="s">
        <v>39</v>
      </c>
      <c r="X301" s="43">
        <f>IFERROR(X299/H299,"0")+IFERROR(X300/H300,"0")</f>
        <v>0</v>
      </c>
      <c r="Y301" s="43">
        <f>IFERROR(Y299/H299,"0")+IFERROR(Y300/H300,"0")</f>
        <v>0</v>
      </c>
      <c r="Z301" s="43">
        <f>IFERROR(IF(Z299="",0,Z299),"0")+IFERROR(IF(Z300="",0,Z300),"0")</f>
        <v>0</v>
      </c>
      <c r="AA301" s="67"/>
      <c r="AB301" s="67"/>
      <c r="AC301" s="67"/>
    </row>
    <row r="302" spans="1:68" hidden="1" x14ac:dyDescent="0.2">
      <c r="A302" s="660"/>
      <c r="B302" s="660"/>
      <c r="C302" s="660"/>
      <c r="D302" s="660"/>
      <c r="E302" s="660"/>
      <c r="F302" s="660"/>
      <c r="G302" s="660"/>
      <c r="H302" s="660"/>
      <c r="I302" s="660"/>
      <c r="J302" s="660"/>
      <c r="K302" s="660"/>
      <c r="L302" s="660"/>
      <c r="M302" s="660"/>
      <c r="N302" s="660"/>
      <c r="O302" s="661"/>
      <c r="P302" s="657" t="s">
        <v>40</v>
      </c>
      <c r="Q302" s="658"/>
      <c r="R302" s="658"/>
      <c r="S302" s="658"/>
      <c r="T302" s="658"/>
      <c r="U302" s="658"/>
      <c r="V302" s="659"/>
      <c r="W302" s="42" t="s">
        <v>0</v>
      </c>
      <c r="X302" s="43">
        <f>IFERROR(SUM(X299:X300),"0")</f>
        <v>0</v>
      </c>
      <c r="Y302" s="43">
        <f>IFERROR(SUM(Y299:Y300),"0")</f>
        <v>0</v>
      </c>
      <c r="Z302" s="42"/>
      <c r="AA302" s="67"/>
      <c r="AB302" s="67"/>
      <c r="AC302" s="67"/>
    </row>
    <row r="303" spans="1:68" ht="16.5" hidden="1" customHeight="1" x14ac:dyDescent="0.25">
      <c r="A303" s="676" t="s">
        <v>515</v>
      </c>
      <c r="B303" s="676"/>
      <c r="C303" s="676"/>
      <c r="D303" s="676"/>
      <c r="E303" s="676"/>
      <c r="F303" s="676"/>
      <c r="G303" s="676"/>
      <c r="H303" s="676"/>
      <c r="I303" s="676"/>
      <c r="J303" s="676"/>
      <c r="K303" s="676"/>
      <c r="L303" s="676"/>
      <c r="M303" s="676"/>
      <c r="N303" s="676"/>
      <c r="O303" s="676"/>
      <c r="P303" s="676"/>
      <c r="Q303" s="676"/>
      <c r="R303" s="676"/>
      <c r="S303" s="676"/>
      <c r="T303" s="676"/>
      <c r="U303" s="676"/>
      <c r="V303" s="676"/>
      <c r="W303" s="676"/>
      <c r="X303" s="676"/>
      <c r="Y303" s="676"/>
      <c r="Z303" s="676"/>
      <c r="AA303" s="65"/>
      <c r="AB303" s="65"/>
      <c r="AC303" s="79"/>
    </row>
    <row r="304" spans="1:68" ht="14.25" hidden="1" customHeight="1" x14ac:dyDescent="0.25">
      <c r="A304" s="669" t="s">
        <v>121</v>
      </c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69"/>
      <c r="P304" s="669"/>
      <c r="Q304" s="669"/>
      <c r="R304" s="669"/>
      <c r="S304" s="669"/>
      <c r="T304" s="669"/>
      <c r="U304" s="669"/>
      <c r="V304" s="669"/>
      <c r="W304" s="669"/>
      <c r="X304" s="669"/>
      <c r="Y304" s="669"/>
      <c r="Z304" s="669"/>
      <c r="AA304" s="66"/>
      <c r="AB304" s="66"/>
      <c r="AC304" s="80"/>
    </row>
    <row r="305" spans="1:68" ht="27" hidden="1" customHeight="1" x14ac:dyDescent="0.25">
      <c r="A305" s="63" t="s">
        <v>516</v>
      </c>
      <c r="B305" s="63" t="s">
        <v>517</v>
      </c>
      <c r="C305" s="36">
        <v>4301011826</v>
      </c>
      <c r="D305" s="670">
        <v>4680115884137</v>
      </c>
      <c r="E305" s="670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79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5" s="672"/>
      <c r="R305" s="672"/>
      <c r="S305" s="672"/>
      <c r="T305" s="673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ref="Y305:Y311" si="48">IFERROR(IF(X305="",0,CEILING((X305/$H305),1)*$H305),"")</f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518</v>
      </c>
      <c r="AG305" s="78"/>
      <c r="AJ305" s="84" t="s">
        <v>46</v>
      </c>
      <c r="AK305" s="84">
        <v>0</v>
      </c>
      <c r="BB305" s="407" t="s">
        <v>67</v>
      </c>
      <c r="BM305" s="78">
        <f t="shared" ref="BM305:BM311" si="49">IFERROR(X305*I305/H305,"0")</f>
        <v>0</v>
      </c>
      <c r="BN305" s="78">
        <f t="shared" ref="BN305:BN311" si="50">IFERROR(Y305*I305/H305,"0")</f>
        <v>0</v>
      </c>
      <c r="BO305" s="78">
        <f t="shared" ref="BO305:BO311" si="51">IFERROR(1/J305*(X305/H305),"0")</f>
        <v>0</v>
      </c>
      <c r="BP305" s="78">
        <f t="shared" ref="BP305:BP311" si="52">IFERROR(1/J305*(Y305/H305),"0")</f>
        <v>0</v>
      </c>
    </row>
    <row r="306" spans="1:68" ht="27" hidden="1" customHeight="1" x14ac:dyDescent="0.25">
      <c r="A306" s="63" t="s">
        <v>519</v>
      </c>
      <c r="B306" s="63" t="s">
        <v>520</v>
      </c>
      <c r="C306" s="36">
        <v>4301011724</v>
      </c>
      <c r="D306" s="670">
        <v>4680115884236</v>
      </c>
      <c r="E306" s="670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79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6" s="672"/>
      <c r="R306" s="672"/>
      <c r="S306" s="672"/>
      <c r="T306" s="673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48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521</v>
      </c>
      <c r="AG306" s="78"/>
      <c r="AJ306" s="84" t="s">
        <v>46</v>
      </c>
      <c r="AK306" s="84">
        <v>0</v>
      </c>
      <c r="BB306" s="409" t="s">
        <v>67</v>
      </c>
      <c r="BM306" s="78">
        <f t="shared" si="49"/>
        <v>0</v>
      </c>
      <c r="BN306" s="78">
        <f t="shared" si="50"/>
        <v>0</v>
      </c>
      <c r="BO306" s="78">
        <f t="shared" si="51"/>
        <v>0</v>
      </c>
      <c r="BP306" s="78">
        <f t="shared" si="52"/>
        <v>0</v>
      </c>
    </row>
    <row r="307" spans="1:68" ht="27" hidden="1" customHeight="1" x14ac:dyDescent="0.25">
      <c r="A307" s="63" t="s">
        <v>522</v>
      </c>
      <c r="B307" s="63" t="s">
        <v>523</v>
      </c>
      <c r="C307" s="36">
        <v>4301011721</v>
      </c>
      <c r="D307" s="670">
        <v>4680115884175</v>
      </c>
      <c r="E307" s="670"/>
      <c r="F307" s="62">
        <v>1.45</v>
      </c>
      <c r="G307" s="37">
        <v>8</v>
      </c>
      <c r="H307" s="62">
        <v>11.6</v>
      </c>
      <c r="I307" s="62">
        <v>12.01</v>
      </c>
      <c r="J307" s="37">
        <v>64</v>
      </c>
      <c r="K307" s="37" t="s">
        <v>126</v>
      </c>
      <c r="L307" s="37" t="s">
        <v>46</v>
      </c>
      <c r="M307" s="38" t="s">
        <v>125</v>
      </c>
      <c r="N307" s="38"/>
      <c r="O307" s="37">
        <v>55</v>
      </c>
      <c r="P307" s="80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7" s="672"/>
      <c r="R307" s="672"/>
      <c r="S307" s="672"/>
      <c r="T307" s="673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48"/>
        <v>0</v>
      </c>
      <c r="Z307" s="41" t="str">
        <f>IFERROR(IF(Y307=0,"",ROUNDUP(Y307/H307,0)*0.01898),"")</f>
        <v/>
      </c>
      <c r="AA307" s="68" t="s">
        <v>46</v>
      </c>
      <c r="AB307" s="69" t="s">
        <v>46</v>
      </c>
      <c r="AC307" s="410" t="s">
        <v>369</v>
      </c>
      <c r="AG307" s="78"/>
      <c r="AJ307" s="84" t="s">
        <v>46</v>
      </c>
      <c r="AK307" s="84">
        <v>0</v>
      </c>
      <c r="BB307" s="411" t="s">
        <v>67</v>
      </c>
      <c r="BM307" s="78">
        <f t="shared" si="49"/>
        <v>0</v>
      </c>
      <c r="BN307" s="78">
        <f t="shared" si="50"/>
        <v>0</v>
      </c>
      <c r="BO307" s="78">
        <f t="shared" si="51"/>
        <v>0</v>
      </c>
      <c r="BP307" s="78">
        <f t="shared" si="52"/>
        <v>0</v>
      </c>
    </row>
    <row r="308" spans="1:68" ht="27" hidden="1" customHeight="1" x14ac:dyDescent="0.25">
      <c r="A308" s="63" t="s">
        <v>524</v>
      </c>
      <c r="B308" s="63" t="s">
        <v>525</v>
      </c>
      <c r="C308" s="36">
        <v>4301011824</v>
      </c>
      <c r="D308" s="670">
        <v>4680115884144</v>
      </c>
      <c r="E308" s="670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80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8" s="672"/>
      <c r="R308" s="672"/>
      <c r="S308" s="672"/>
      <c r="T308" s="673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48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518</v>
      </c>
      <c r="AG308" s="78"/>
      <c r="AJ308" s="84" t="s">
        <v>46</v>
      </c>
      <c r="AK308" s="84">
        <v>0</v>
      </c>
      <c r="BB308" s="413" t="s">
        <v>67</v>
      </c>
      <c r="BM308" s="78">
        <f t="shared" si="49"/>
        <v>0</v>
      </c>
      <c r="BN308" s="78">
        <f t="shared" si="50"/>
        <v>0</v>
      </c>
      <c r="BO308" s="78">
        <f t="shared" si="51"/>
        <v>0</v>
      </c>
      <c r="BP308" s="78">
        <f t="shared" si="52"/>
        <v>0</v>
      </c>
    </row>
    <row r="309" spans="1:68" ht="27" hidden="1" customHeight="1" x14ac:dyDescent="0.25">
      <c r="A309" s="63" t="s">
        <v>526</v>
      </c>
      <c r="B309" s="63" t="s">
        <v>527</v>
      </c>
      <c r="C309" s="36">
        <v>4301012149</v>
      </c>
      <c r="D309" s="670">
        <v>4680115886551</v>
      </c>
      <c r="E309" s="670"/>
      <c r="F309" s="62">
        <v>0.4</v>
      </c>
      <c r="G309" s="37">
        <v>10</v>
      </c>
      <c r="H309" s="62">
        <v>4</v>
      </c>
      <c r="I309" s="62">
        <v>4.1900000000000004</v>
      </c>
      <c r="J309" s="37">
        <v>132</v>
      </c>
      <c r="K309" s="37" t="s">
        <v>133</v>
      </c>
      <c r="L309" s="37" t="s">
        <v>46</v>
      </c>
      <c r="M309" s="38" t="s">
        <v>125</v>
      </c>
      <c r="N309" s="38"/>
      <c r="O309" s="37">
        <v>55</v>
      </c>
      <c r="P309" s="79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9" s="672"/>
      <c r="R309" s="672"/>
      <c r="S309" s="672"/>
      <c r="T309" s="673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48"/>
        <v>0</v>
      </c>
      <c r="Z309" s="41" t="str">
        <f>IFERROR(IF(Y309=0,"",ROUNDUP(Y309/H309,0)*0.00902),"")</f>
        <v/>
      </c>
      <c r="AA309" s="68" t="s">
        <v>46</v>
      </c>
      <c r="AB309" s="69" t="s">
        <v>46</v>
      </c>
      <c r="AC309" s="414" t="s">
        <v>528</v>
      </c>
      <c r="AG309" s="78"/>
      <c r="AJ309" s="84" t="s">
        <v>46</v>
      </c>
      <c r="AK309" s="84">
        <v>0</v>
      </c>
      <c r="BB309" s="415" t="s">
        <v>67</v>
      </c>
      <c r="BM309" s="78">
        <f t="shared" si="49"/>
        <v>0</v>
      </c>
      <c r="BN309" s="78">
        <f t="shared" si="50"/>
        <v>0</v>
      </c>
      <c r="BO309" s="78">
        <f t="shared" si="51"/>
        <v>0</v>
      </c>
      <c r="BP309" s="78">
        <f t="shared" si="52"/>
        <v>0</v>
      </c>
    </row>
    <row r="310" spans="1:68" ht="27" hidden="1" customHeight="1" x14ac:dyDescent="0.25">
      <c r="A310" s="63" t="s">
        <v>529</v>
      </c>
      <c r="B310" s="63" t="s">
        <v>530</v>
      </c>
      <c r="C310" s="36">
        <v>4301012228</v>
      </c>
      <c r="D310" s="670">
        <v>4680115887282</v>
      </c>
      <c r="E310" s="670"/>
      <c r="F310" s="62">
        <v>0.4</v>
      </c>
      <c r="G310" s="37">
        <v>6</v>
      </c>
      <c r="H310" s="62">
        <v>2.4</v>
      </c>
      <c r="I310" s="62">
        <v>2.58</v>
      </c>
      <c r="J310" s="37">
        <v>182</v>
      </c>
      <c r="K310" s="37" t="s">
        <v>90</v>
      </c>
      <c r="L310" s="37" t="s">
        <v>46</v>
      </c>
      <c r="M310" s="38" t="s">
        <v>125</v>
      </c>
      <c r="N310" s="38"/>
      <c r="O310" s="37">
        <v>55</v>
      </c>
      <c r="P310" s="79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0" s="672"/>
      <c r="R310" s="672"/>
      <c r="S310" s="672"/>
      <c r="T310" s="673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48"/>
        <v>0</v>
      </c>
      <c r="Z310" s="41" t="str">
        <f>IFERROR(IF(Y310=0,"",ROUNDUP(Y310/H310,0)*0.00651),"")</f>
        <v/>
      </c>
      <c r="AA310" s="68" t="s">
        <v>46</v>
      </c>
      <c r="AB310" s="69" t="s">
        <v>46</v>
      </c>
      <c r="AC310" s="416" t="s">
        <v>531</v>
      </c>
      <c r="AG310" s="78"/>
      <c r="AJ310" s="84" t="s">
        <v>46</v>
      </c>
      <c r="AK310" s="84">
        <v>0</v>
      </c>
      <c r="BB310" s="417" t="s">
        <v>67</v>
      </c>
      <c r="BM310" s="78">
        <f t="shared" si="49"/>
        <v>0</v>
      </c>
      <c r="BN310" s="78">
        <f t="shared" si="50"/>
        <v>0</v>
      </c>
      <c r="BO310" s="78">
        <f t="shared" si="51"/>
        <v>0</v>
      </c>
      <c r="BP310" s="78">
        <f t="shared" si="52"/>
        <v>0</v>
      </c>
    </row>
    <row r="311" spans="1:68" ht="27" hidden="1" customHeight="1" x14ac:dyDescent="0.25">
      <c r="A311" s="63" t="s">
        <v>532</v>
      </c>
      <c r="B311" s="63" t="s">
        <v>533</v>
      </c>
      <c r="C311" s="36">
        <v>4301011722</v>
      </c>
      <c r="D311" s="670">
        <v>4680115884205</v>
      </c>
      <c r="E311" s="670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133</v>
      </c>
      <c r="L311" s="37" t="s">
        <v>46</v>
      </c>
      <c r="M311" s="38" t="s">
        <v>125</v>
      </c>
      <c r="N311" s="38"/>
      <c r="O311" s="37">
        <v>55</v>
      </c>
      <c r="P311" s="79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1" s="672"/>
      <c r="R311" s="672"/>
      <c r="S311" s="672"/>
      <c r="T311" s="673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48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369</v>
      </c>
      <c r="AG311" s="78"/>
      <c r="AJ311" s="84" t="s">
        <v>46</v>
      </c>
      <c r="AK311" s="84">
        <v>0</v>
      </c>
      <c r="BB311" s="419" t="s">
        <v>67</v>
      </c>
      <c r="BM311" s="78">
        <f t="shared" si="49"/>
        <v>0</v>
      </c>
      <c r="BN311" s="78">
        <f t="shared" si="50"/>
        <v>0</v>
      </c>
      <c r="BO311" s="78">
        <f t="shared" si="51"/>
        <v>0</v>
      </c>
      <c r="BP311" s="78">
        <f t="shared" si="52"/>
        <v>0</v>
      </c>
    </row>
    <row r="312" spans="1:68" hidden="1" x14ac:dyDescent="0.2">
      <c r="A312" s="660"/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1"/>
      <c r="P312" s="657" t="s">
        <v>40</v>
      </c>
      <c r="Q312" s="658"/>
      <c r="R312" s="658"/>
      <c r="S312" s="658"/>
      <c r="T312" s="658"/>
      <c r="U312" s="658"/>
      <c r="V312" s="659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60"/>
      <c r="B313" s="660"/>
      <c r="C313" s="660"/>
      <c r="D313" s="660"/>
      <c r="E313" s="660"/>
      <c r="F313" s="660"/>
      <c r="G313" s="660"/>
      <c r="H313" s="660"/>
      <c r="I313" s="660"/>
      <c r="J313" s="660"/>
      <c r="K313" s="660"/>
      <c r="L313" s="660"/>
      <c r="M313" s="660"/>
      <c r="N313" s="660"/>
      <c r="O313" s="661"/>
      <c r="P313" s="657" t="s">
        <v>40</v>
      </c>
      <c r="Q313" s="658"/>
      <c r="R313" s="658"/>
      <c r="S313" s="658"/>
      <c r="T313" s="658"/>
      <c r="U313" s="658"/>
      <c r="V313" s="659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69" t="s">
        <v>158</v>
      </c>
      <c r="B314" s="669"/>
      <c r="C314" s="669"/>
      <c r="D314" s="669"/>
      <c r="E314" s="669"/>
      <c r="F314" s="669"/>
      <c r="G314" s="669"/>
      <c r="H314" s="669"/>
      <c r="I314" s="669"/>
      <c r="J314" s="669"/>
      <c r="K314" s="669"/>
      <c r="L314" s="669"/>
      <c r="M314" s="669"/>
      <c r="N314" s="669"/>
      <c r="O314" s="669"/>
      <c r="P314" s="669"/>
      <c r="Q314" s="669"/>
      <c r="R314" s="669"/>
      <c r="S314" s="669"/>
      <c r="T314" s="669"/>
      <c r="U314" s="669"/>
      <c r="V314" s="669"/>
      <c r="W314" s="669"/>
      <c r="X314" s="669"/>
      <c r="Y314" s="669"/>
      <c r="Z314" s="669"/>
      <c r="AA314" s="66"/>
      <c r="AB314" s="66"/>
      <c r="AC314" s="80"/>
    </row>
    <row r="315" spans="1:68" ht="27" hidden="1" customHeight="1" x14ac:dyDescent="0.25">
      <c r="A315" s="63" t="s">
        <v>534</v>
      </c>
      <c r="B315" s="63" t="s">
        <v>535</v>
      </c>
      <c r="C315" s="36">
        <v>4301020377</v>
      </c>
      <c r="D315" s="670">
        <v>4680115885981</v>
      </c>
      <c r="E315" s="670"/>
      <c r="F315" s="62">
        <v>0.33</v>
      </c>
      <c r="G315" s="37">
        <v>6</v>
      </c>
      <c r="H315" s="62">
        <v>1.98</v>
      </c>
      <c r="I315" s="62">
        <v>2.08</v>
      </c>
      <c r="J315" s="37">
        <v>234</v>
      </c>
      <c r="K315" s="37" t="s">
        <v>81</v>
      </c>
      <c r="L315" s="37" t="s">
        <v>46</v>
      </c>
      <c r="M315" s="38" t="s">
        <v>89</v>
      </c>
      <c r="N315" s="38"/>
      <c r="O315" s="37">
        <v>50</v>
      </c>
      <c r="P315" s="79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5" s="672"/>
      <c r="R315" s="672"/>
      <c r="S315" s="672"/>
      <c r="T315" s="673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IFERROR(IF(Y315=0,"",ROUNDUP(Y315/H315,0)*0.00502),"")</f>
        <v/>
      </c>
      <c r="AA315" s="68" t="s">
        <v>46</v>
      </c>
      <c r="AB315" s="69" t="s">
        <v>46</v>
      </c>
      <c r="AC315" s="420" t="s">
        <v>536</v>
      </c>
      <c r="AG315" s="78"/>
      <c r="AJ315" s="84" t="s">
        <v>46</v>
      </c>
      <c r="AK315" s="84">
        <v>0</v>
      </c>
      <c r="BB315" s="421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60"/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1"/>
      <c r="P316" s="657" t="s">
        <v>40</v>
      </c>
      <c r="Q316" s="658"/>
      <c r="R316" s="658"/>
      <c r="S316" s="658"/>
      <c r="T316" s="658"/>
      <c r="U316" s="658"/>
      <c r="V316" s="659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60"/>
      <c r="B317" s="660"/>
      <c r="C317" s="660"/>
      <c r="D317" s="660"/>
      <c r="E317" s="660"/>
      <c r="F317" s="660"/>
      <c r="G317" s="660"/>
      <c r="H317" s="660"/>
      <c r="I317" s="660"/>
      <c r="J317" s="660"/>
      <c r="K317" s="660"/>
      <c r="L317" s="660"/>
      <c r="M317" s="660"/>
      <c r="N317" s="660"/>
      <c r="O317" s="661"/>
      <c r="P317" s="657" t="s">
        <v>40</v>
      </c>
      <c r="Q317" s="658"/>
      <c r="R317" s="658"/>
      <c r="S317" s="658"/>
      <c r="T317" s="658"/>
      <c r="U317" s="658"/>
      <c r="V317" s="659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69" t="s">
        <v>537</v>
      </c>
      <c r="B318" s="669"/>
      <c r="C318" s="669"/>
      <c r="D318" s="669"/>
      <c r="E318" s="669"/>
      <c r="F318" s="669"/>
      <c r="G318" s="669"/>
      <c r="H318" s="669"/>
      <c r="I318" s="669"/>
      <c r="J318" s="669"/>
      <c r="K318" s="669"/>
      <c r="L318" s="669"/>
      <c r="M318" s="669"/>
      <c r="N318" s="669"/>
      <c r="O318" s="669"/>
      <c r="P318" s="669"/>
      <c r="Q318" s="669"/>
      <c r="R318" s="669"/>
      <c r="S318" s="669"/>
      <c r="T318" s="669"/>
      <c r="U318" s="669"/>
      <c r="V318" s="669"/>
      <c r="W318" s="669"/>
      <c r="X318" s="669"/>
      <c r="Y318" s="669"/>
      <c r="Z318" s="669"/>
      <c r="AA318" s="66"/>
      <c r="AB318" s="66"/>
      <c r="AC318" s="80"/>
    </row>
    <row r="319" spans="1:68" ht="27" hidden="1" customHeight="1" x14ac:dyDescent="0.25">
      <c r="A319" s="63" t="s">
        <v>538</v>
      </c>
      <c r="B319" s="63" t="s">
        <v>539</v>
      </c>
      <c r="C319" s="36">
        <v>4301040362</v>
      </c>
      <c r="D319" s="670">
        <v>4680115886803</v>
      </c>
      <c r="E319" s="670"/>
      <c r="F319" s="62">
        <v>0.12</v>
      </c>
      <c r="G319" s="37">
        <v>15</v>
      </c>
      <c r="H319" s="62">
        <v>1.8</v>
      </c>
      <c r="I319" s="62">
        <v>1.9750000000000001</v>
      </c>
      <c r="J319" s="37">
        <v>216</v>
      </c>
      <c r="K319" s="37" t="s">
        <v>346</v>
      </c>
      <c r="L319" s="37" t="s">
        <v>46</v>
      </c>
      <c r="M319" s="38" t="s">
        <v>287</v>
      </c>
      <c r="N319" s="38"/>
      <c r="O319" s="37">
        <v>45</v>
      </c>
      <c r="P319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9" s="672"/>
      <c r="R319" s="672"/>
      <c r="S319" s="672"/>
      <c r="T319" s="673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22" t="s">
        <v>540</v>
      </c>
      <c r="AG319" s="78"/>
      <c r="AJ319" s="84" t="s">
        <v>46</v>
      </c>
      <c r="AK319" s="84">
        <v>0</v>
      </c>
      <c r="BB319" s="423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60"/>
      <c r="B320" s="660"/>
      <c r="C320" s="660"/>
      <c r="D320" s="660"/>
      <c r="E320" s="660"/>
      <c r="F320" s="660"/>
      <c r="G320" s="660"/>
      <c r="H320" s="660"/>
      <c r="I320" s="660"/>
      <c r="J320" s="660"/>
      <c r="K320" s="660"/>
      <c r="L320" s="660"/>
      <c r="M320" s="660"/>
      <c r="N320" s="660"/>
      <c r="O320" s="661"/>
      <c r="P320" s="657" t="s">
        <v>40</v>
      </c>
      <c r="Q320" s="658"/>
      <c r="R320" s="658"/>
      <c r="S320" s="658"/>
      <c r="T320" s="658"/>
      <c r="U320" s="658"/>
      <c r="V320" s="659"/>
      <c r="W320" s="42" t="s">
        <v>39</v>
      </c>
      <c r="X320" s="43">
        <f>IFERROR(X319/H319,"0")</f>
        <v>0</v>
      </c>
      <c r="Y320" s="43">
        <f>IFERROR(Y319/H319,"0")</f>
        <v>0</v>
      </c>
      <c r="Z320" s="43">
        <f>IFERROR(IF(Z319="",0,Z319),"0")</f>
        <v>0</v>
      </c>
      <c r="AA320" s="67"/>
      <c r="AB320" s="67"/>
      <c r="AC320" s="67"/>
    </row>
    <row r="321" spans="1:68" hidden="1" x14ac:dyDescent="0.2">
      <c r="A321" s="660"/>
      <c r="B321" s="660"/>
      <c r="C321" s="660"/>
      <c r="D321" s="660"/>
      <c r="E321" s="660"/>
      <c r="F321" s="660"/>
      <c r="G321" s="660"/>
      <c r="H321" s="660"/>
      <c r="I321" s="660"/>
      <c r="J321" s="660"/>
      <c r="K321" s="660"/>
      <c r="L321" s="660"/>
      <c r="M321" s="660"/>
      <c r="N321" s="660"/>
      <c r="O321" s="661"/>
      <c r="P321" s="657" t="s">
        <v>40</v>
      </c>
      <c r="Q321" s="658"/>
      <c r="R321" s="658"/>
      <c r="S321" s="658"/>
      <c r="T321" s="658"/>
      <c r="U321" s="658"/>
      <c r="V321" s="659"/>
      <c r="W321" s="42" t="s">
        <v>0</v>
      </c>
      <c r="X321" s="43">
        <f>IFERROR(SUM(X319:X319),"0")</f>
        <v>0</v>
      </c>
      <c r="Y321" s="43">
        <f>IFERROR(SUM(Y319:Y319),"0")</f>
        <v>0</v>
      </c>
      <c r="Z321" s="42"/>
      <c r="AA321" s="67"/>
      <c r="AB321" s="67"/>
      <c r="AC321" s="67"/>
    </row>
    <row r="322" spans="1:68" ht="14.25" hidden="1" customHeight="1" x14ac:dyDescent="0.25">
      <c r="A322" s="669" t="s">
        <v>347</v>
      </c>
      <c r="B322" s="669"/>
      <c r="C322" s="669"/>
      <c r="D322" s="669"/>
      <c r="E322" s="669"/>
      <c r="F322" s="669"/>
      <c r="G322" s="669"/>
      <c r="H322" s="669"/>
      <c r="I322" s="669"/>
      <c r="J322" s="669"/>
      <c r="K322" s="669"/>
      <c r="L322" s="669"/>
      <c r="M322" s="669"/>
      <c r="N322" s="669"/>
      <c r="O322" s="669"/>
      <c r="P322" s="669"/>
      <c r="Q322" s="669"/>
      <c r="R322" s="669"/>
      <c r="S322" s="669"/>
      <c r="T322" s="669"/>
      <c r="U322" s="669"/>
      <c r="V322" s="669"/>
      <c r="W322" s="669"/>
      <c r="X322" s="669"/>
      <c r="Y322" s="669"/>
      <c r="Z322" s="669"/>
      <c r="AA322" s="66"/>
      <c r="AB322" s="66"/>
      <c r="AC322" s="80"/>
    </row>
    <row r="323" spans="1:68" ht="27" hidden="1" customHeight="1" x14ac:dyDescent="0.25">
      <c r="A323" s="63" t="s">
        <v>541</v>
      </c>
      <c r="B323" s="63" t="s">
        <v>542</v>
      </c>
      <c r="C323" s="36">
        <v>4301041008</v>
      </c>
      <c r="D323" s="670">
        <v>4680115886681</v>
      </c>
      <c r="E323" s="670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346</v>
      </c>
      <c r="L323" s="37" t="s">
        <v>46</v>
      </c>
      <c r="M323" s="38" t="s">
        <v>287</v>
      </c>
      <c r="N323" s="38"/>
      <c r="O323" s="37">
        <v>90</v>
      </c>
      <c r="P323" s="7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72"/>
      <c r="R323" s="672"/>
      <c r="S323" s="672"/>
      <c r="T323" s="673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543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660"/>
      <c r="B324" s="660"/>
      <c r="C324" s="660"/>
      <c r="D324" s="660"/>
      <c r="E324" s="660"/>
      <c r="F324" s="660"/>
      <c r="G324" s="660"/>
      <c r="H324" s="660"/>
      <c r="I324" s="660"/>
      <c r="J324" s="660"/>
      <c r="K324" s="660"/>
      <c r="L324" s="660"/>
      <c r="M324" s="660"/>
      <c r="N324" s="660"/>
      <c r="O324" s="661"/>
      <c r="P324" s="657" t="s">
        <v>40</v>
      </c>
      <c r="Q324" s="658"/>
      <c r="R324" s="658"/>
      <c r="S324" s="658"/>
      <c r="T324" s="658"/>
      <c r="U324" s="658"/>
      <c r="V324" s="659"/>
      <c r="W324" s="42" t="s">
        <v>39</v>
      </c>
      <c r="X324" s="43">
        <f>IFERROR(X323/H323,"0")</f>
        <v>0</v>
      </c>
      <c r="Y324" s="43">
        <f>IFERROR(Y323/H323,"0")</f>
        <v>0</v>
      </c>
      <c r="Z324" s="43">
        <f>IFERROR(IF(Z323="",0,Z323),"0")</f>
        <v>0</v>
      </c>
      <c r="AA324" s="67"/>
      <c r="AB324" s="67"/>
      <c r="AC324" s="67"/>
    </row>
    <row r="325" spans="1:68" hidden="1" x14ac:dyDescent="0.2">
      <c r="A325" s="660"/>
      <c r="B325" s="660"/>
      <c r="C325" s="660"/>
      <c r="D325" s="660"/>
      <c r="E325" s="660"/>
      <c r="F325" s="660"/>
      <c r="G325" s="660"/>
      <c r="H325" s="660"/>
      <c r="I325" s="660"/>
      <c r="J325" s="660"/>
      <c r="K325" s="660"/>
      <c r="L325" s="660"/>
      <c r="M325" s="660"/>
      <c r="N325" s="660"/>
      <c r="O325" s="661"/>
      <c r="P325" s="657" t="s">
        <v>40</v>
      </c>
      <c r="Q325" s="658"/>
      <c r="R325" s="658"/>
      <c r="S325" s="658"/>
      <c r="T325" s="658"/>
      <c r="U325" s="658"/>
      <c r="V325" s="659"/>
      <c r="W325" s="42" t="s">
        <v>0</v>
      </c>
      <c r="X325" s="43">
        <f>IFERROR(SUM(X323:X323),"0")</f>
        <v>0</v>
      </c>
      <c r="Y325" s="43">
        <f>IFERROR(SUM(Y323:Y323),"0")</f>
        <v>0</v>
      </c>
      <c r="Z325" s="42"/>
      <c r="AA325" s="67"/>
      <c r="AB325" s="67"/>
      <c r="AC325" s="67"/>
    </row>
    <row r="326" spans="1:68" ht="16.5" hidden="1" customHeight="1" x14ac:dyDescent="0.25">
      <c r="A326" s="676" t="s">
        <v>544</v>
      </c>
      <c r="B326" s="676"/>
      <c r="C326" s="676"/>
      <c r="D326" s="676"/>
      <c r="E326" s="676"/>
      <c r="F326" s="676"/>
      <c r="G326" s="676"/>
      <c r="H326" s="676"/>
      <c r="I326" s="676"/>
      <c r="J326" s="676"/>
      <c r="K326" s="676"/>
      <c r="L326" s="676"/>
      <c r="M326" s="676"/>
      <c r="N326" s="676"/>
      <c r="O326" s="676"/>
      <c r="P326" s="676"/>
      <c r="Q326" s="676"/>
      <c r="R326" s="676"/>
      <c r="S326" s="676"/>
      <c r="T326" s="676"/>
      <c r="U326" s="676"/>
      <c r="V326" s="676"/>
      <c r="W326" s="676"/>
      <c r="X326" s="676"/>
      <c r="Y326" s="676"/>
      <c r="Z326" s="676"/>
      <c r="AA326" s="65"/>
      <c r="AB326" s="65"/>
      <c r="AC326" s="79"/>
    </row>
    <row r="327" spans="1:68" ht="14.25" hidden="1" customHeight="1" x14ac:dyDescent="0.25">
      <c r="A327" s="669" t="s">
        <v>121</v>
      </c>
      <c r="B327" s="669"/>
      <c r="C327" s="669"/>
      <c r="D327" s="669"/>
      <c r="E327" s="669"/>
      <c r="F327" s="669"/>
      <c r="G327" s="669"/>
      <c r="H327" s="669"/>
      <c r="I327" s="669"/>
      <c r="J327" s="669"/>
      <c r="K327" s="669"/>
      <c r="L327" s="669"/>
      <c r="M327" s="669"/>
      <c r="N327" s="669"/>
      <c r="O327" s="669"/>
      <c r="P327" s="669"/>
      <c r="Q327" s="669"/>
      <c r="R327" s="669"/>
      <c r="S327" s="669"/>
      <c r="T327" s="669"/>
      <c r="U327" s="669"/>
      <c r="V327" s="669"/>
      <c r="W327" s="669"/>
      <c r="X327" s="669"/>
      <c r="Y327" s="669"/>
      <c r="Z327" s="669"/>
      <c r="AA327" s="66"/>
      <c r="AB327" s="66"/>
      <c r="AC327" s="80"/>
    </row>
    <row r="328" spans="1:68" ht="27" hidden="1" customHeight="1" x14ac:dyDescent="0.25">
      <c r="A328" s="63" t="s">
        <v>545</v>
      </c>
      <c r="B328" s="63" t="s">
        <v>546</v>
      </c>
      <c r="C328" s="36">
        <v>4301012390</v>
      </c>
      <c r="D328" s="670">
        <v>4680115889637</v>
      </c>
      <c r="E328" s="670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126</v>
      </c>
      <c r="L328" s="37" t="s">
        <v>46</v>
      </c>
      <c r="M328" s="38" t="s">
        <v>125</v>
      </c>
      <c r="N328" s="38"/>
      <c r="O328" s="37">
        <v>55</v>
      </c>
      <c r="P328" s="788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672"/>
      <c r="R328" s="672"/>
      <c r="S328" s="672"/>
      <c r="T328" s="673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3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548</v>
      </c>
      <c r="AC328" s="426" t="s">
        <v>547</v>
      </c>
      <c r="AG328" s="78"/>
      <c r="AJ328" s="84" t="s">
        <v>46</v>
      </c>
      <c r="AK328" s="84">
        <v>0</v>
      </c>
      <c r="BB328" s="427" t="s">
        <v>67</v>
      </c>
      <c r="BM328" s="78">
        <f t="shared" ref="BM328:BM333" si="54">IFERROR(X328*I328/H328,"0")</f>
        <v>0</v>
      </c>
      <c r="BN328" s="78">
        <f t="shared" ref="BN328:BN333" si="55">IFERROR(Y328*I328/H328,"0")</f>
        <v>0</v>
      </c>
      <c r="BO328" s="78">
        <f t="shared" ref="BO328:BO333" si="56">IFERROR(1/J328*(X328/H328),"0")</f>
        <v>0</v>
      </c>
      <c r="BP328" s="78">
        <f t="shared" ref="BP328:BP333" si="57">IFERROR(1/J328*(Y328/H328),"0")</f>
        <v>0</v>
      </c>
    </row>
    <row r="329" spans="1:68" ht="27" hidden="1" customHeight="1" x14ac:dyDescent="0.25">
      <c r="A329" s="63" t="s">
        <v>549</v>
      </c>
      <c r="B329" s="63" t="s">
        <v>550</v>
      </c>
      <c r="C329" s="36">
        <v>4301011855</v>
      </c>
      <c r="D329" s="670">
        <v>4680115885837</v>
      </c>
      <c r="E329" s="670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7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72"/>
      <c r="R329" s="672"/>
      <c r="S329" s="672"/>
      <c r="T329" s="673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3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551</v>
      </c>
      <c r="AG329" s="78"/>
      <c r="AJ329" s="84" t="s">
        <v>46</v>
      </c>
      <c r="AK329" s="84">
        <v>0</v>
      </c>
      <c r="BB329" s="429" t="s">
        <v>67</v>
      </c>
      <c r="BM329" s="78">
        <f t="shared" si="54"/>
        <v>0</v>
      </c>
      <c r="BN329" s="78">
        <f t="shared" si="55"/>
        <v>0</v>
      </c>
      <c r="BO329" s="78">
        <f t="shared" si="56"/>
        <v>0</v>
      </c>
      <c r="BP329" s="78">
        <f t="shared" si="57"/>
        <v>0</v>
      </c>
    </row>
    <row r="330" spans="1:68" ht="37.5" hidden="1" customHeight="1" x14ac:dyDescent="0.25">
      <c r="A330" s="63" t="s">
        <v>552</v>
      </c>
      <c r="B330" s="63" t="s">
        <v>553</v>
      </c>
      <c r="C330" s="36">
        <v>4301012234</v>
      </c>
      <c r="D330" s="670">
        <v>4680115887237</v>
      </c>
      <c r="E330" s="670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7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72"/>
      <c r="R330" s="672"/>
      <c r="S330" s="672"/>
      <c r="T330" s="673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3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554</v>
      </c>
      <c r="AG330" s="78"/>
      <c r="AJ330" s="84" t="s">
        <v>46</v>
      </c>
      <c r="AK330" s="84">
        <v>0</v>
      </c>
      <c r="BB330" s="431" t="s">
        <v>67</v>
      </c>
      <c r="BM330" s="78">
        <f t="shared" si="54"/>
        <v>0</v>
      </c>
      <c r="BN330" s="78">
        <f t="shared" si="55"/>
        <v>0</v>
      </c>
      <c r="BO330" s="78">
        <f t="shared" si="56"/>
        <v>0</v>
      </c>
      <c r="BP330" s="78">
        <f t="shared" si="57"/>
        <v>0</v>
      </c>
    </row>
    <row r="331" spans="1:68" ht="27" hidden="1" customHeight="1" x14ac:dyDescent="0.25">
      <c r="A331" s="63" t="s">
        <v>555</v>
      </c>
      <c r="B331" s="63" t="s">
        <v>556</v>
      </c>
      <c r="C331" s="36">
        <v>4301011850</v>
      </c>
      <c r="D331" s="670">
        <v>4680115885806</v>
      </c>
      <c r="E331" s="670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7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72"/>
      <c r="R331" s="672"/>
      <c r="S331" s="672"/>
      <c r="T331" s="673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3"/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557</v>
      </c>
      <c r="AG331" s="78"/>
      <c r="AJ331" s="84" t="s">
        <v>46</v>
      </c>
      <c r="AK331" s="84">
        <v>0</v>
      </c>
      <c r="BB331" s="433" t="s">
        <v>67</v>
      </c>
      <c r="BM331" s="78">
        <f t="shared" si="54"/>
        <v>0</v>
      </c>
      <c r="BN331" s="78">
        <f t="shared" si="55"/>
        <v>0</v>
      </c>
      <c r="BO331" s="78">
        <f t="shared" si="56"/>
        <v>0</v>
      </c>
      <c r="BP331" s="78">
        <f t="shared" si="57"/>
        <v>0</v>
      </c>
    </row>
    <row r="332" spans="1:68" ht="27" hidden="1" customHeight="1" x14ac:dyDescent="0.25">
      <c r="A332" s="63" t="s">
        <v>558</v>
      </c>
      <c r="B332" s="63" t="s">
        <v>559</v>
      </c>
      <c r="C332" s="36">
        <v>4301011852</v>
      </c>
      <c r="D332" s="670">
        <v>4680115885844</v>
      </c>
      <c r="E332" s="670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78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72"/>
      <c r="R332" s="672"/>
      <c r="S332" s="672"/>
      <c r="T332" s="673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3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560</v>
      </c>
      <c r="AG332" s="78"/>
      <c r="AJ332" s="84" t="s">
        <v>46</v>
      </c>
      <c r="AK332" s="84">
        <v>0</v>
      </c>
      <c r="BB332" s="435" t="s">
        <v>67</v>
      </c>
      <c r="BM332" s="78">
        <f t="shared" si="54"/>
        <v>0</v>
      </c>
      <c r="BN332" s="78">
        <f t="shared" si="55"/>
        <v>0</v>
      </c>
      <c r="BO332" s="78">
        <f t="shared" si="56"/>
        <v>0</v>
      </c>
      <c r="BP332" s="78">
        <f t="shared" si="57"/>
        <v>0</v>
      </c>
    </row>
    <row r="333" spans="1:68" ht="37.5" hidden="1" customHeight="1" x14ac:dyDescent="0.25">
      <c r="A333" s="63" t="s">
        <v>561</v>
      </c>
      <c r="B333" s="63" t="s">
        <v>562</v>
      </c>
      <c r="C333" s="36">
        <v>4301011851</v>
      </c>
      <c r="D333" s="670">
        <v>4680115885820</v>
      </c>
      <c r="E333" s="670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78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72"/>
      <c r="R333" s="672"/>
      <c r="S333" s="672"/>
      <c r="T333" s="673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3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 t="shared" si="54"/>
        <v>0</v>
      </c>
      <c r="BN333" s="78">
        <f t="shared" si="55"/>
        <v>0</v>
      </c>
      <c r="BO333" s="78">
        <f t="shared" si="56"/>
        <v>0</v>
      </c>
      <c r="BP333" s="78">
        <f t="shared" si="57"/>
        <v>0</v>
      </c>
    </row>
    <row r="334" spans="1:68" hidden="1" x14ac:dyDescent="0.2">
      <c r="A334" s="660"/>
      <c r="B334" s="660"/>
      <c r="C334" s="660"/>
      <c r="D334" s="660"/>
      <c r="E334" s="660"/>
      <c r="F334" s="660"/>
      <c r="G334" s="660"/>
      <c r="H334" s="660"/>
      <c r="I334" s="660"/>
      <c r="J334" s="660"/>
      <c r="K334" s="660"/>
      <c r="L334" s="660"/>
      <c r="M334" s="660"/>
      <c r="N334" s="660"/>
      <c r="O334" s="661"/>
      <c r="P334" s="657" t="s">
        <v>40</v>
      </c>
      <c r="Q334" s="658"/>
      <c r="R334" s="658"/>
      <c r="S334" s="658"/>
      <c r="T334" s="658"/>
      <c r="U334" s="658"/>
      <c r="V334" s="659"/>
      <c r="W334" s="42" t="s">
        <v>39</v>
      </c>
      <c r="X334" s="43">
        <f>IFERROR(X328/H328,"0")+IFERROR(X329/H329,"0")+IFERROR(X330/H330,"0")+IFERROR(X331/H331,"0")+IFERROR(X332/H332,"0")+IFERROR(X333/H333,"0")</f>
        <v>0</v>
      </c>
      <c r="Y334" s="43">
        <f>IFERROR(Y328/H328,"0")+IFERROR(Y329/H329,"0")+IFERROR(Y330/H330,"0")+IFERROR(Y331/H331,"0")+IFERROR(Y332/H332,"0")+IFERROR(Y333/H333,"0")</f>
        <v>0</v>
      </c>
      <c r="Z334" s="43">
        <f>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0"/>
      <c r="B335" s="660"/>
      <c r="C335" s="660"/>
      <c r="D335" s="660"/>
      <c r="E335" s="660"/>
      <c r="F335" s="660"/>
      <c r="G335" s="660"/>
      <c r="H335" s="660"/>
      <c r="I335" s="660"/>
      <c r="J335" s="660"/>
      <c r="K335" s="660"/>
      <c r="L335" s="660"/>
      <c r="M335" s="660"/>
      <c r="N335" s="660"/>
      <c r="O335" s="661"/>
      <c r="P335" s="657" t="s">
        <v>40</v>
      </c>
      <c r="Q335" s="658"/>
      <c r="R335" s="658"/>
      <c r="S335" s="658"/>
      <c r="T335" s="658"/>
      <c r="U335" s="658"/>
      <c r="V335" s="659"/>
      <c r="W335" s="42" t="s">
        <v>0</v>
      </c>
      <c r="X335" s="43">
        <f>IFERROR(SUM(X328:X333),"0")</f>
        <v>0</v>
      </c>
      <c r="Y335" s="43">
        <f>IFERROR(SUM(Y328:Y333),"0")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76" t="s">
        <v>564</v>
      </c>
      <c r="B336" s="676"/>
      <c r="C336" s="676"/>
      <c r="D336" s="676"/>
      <c r="E336" s="676"/>
      <c r="F336" s="676"/>
      <c r="G336" s="676"/>
      <c r="H336" s="676"/>
      <c r="I336" s="676"/>
      <c r="J336" s="676"/>
      <c r="K336" s="676"/>
      <c r="L336" s="676"/>
      <c r="M336" s="676"/>
      <c r="N336" s="676"/>
      <c r="O336" s="676"/>
      <c r="P336" s="676"/>
      <c r="Q336" s="676"/>
      <c r="R336" s="676"/>
      <c r="S336" s="676"/>
      <c r="T336" s="676"/>
      <c r="U336" s="676"/>
      <c r="V336" s="676"/>
      <c r="W336" s="676"/>
      <c r="X336" s="676"/>
      <c r="Y336" s="676"/>
      <c r="Z336" s="676"/>
      <c r="AA336" s="65"/>
      <c r="AB336" s="65"/>
      <c r="AC336" s="79"/>
    </row>
    <row r="337" spans="1:68" ht="14.25" hidden="1" customHeight="1" x14ac:dyDescent="0.25">
      <c r="A337" s="669" t="s">
        <v>85</v>
      </c>
      <c r="B337" s="669"/>
      <c r="C337" s="669"/>
      <c r="D337" s="669"/>
      <c r="E337" s="669"/>
      <c r="F337" s="669"/>
      <c r="G337" s="669"/>
      <c r="H337" s="669"/>
      <c r="I337" s="669"/>
      <c r="J337" s="669"/>
      <c r="K337" s="669"/>
      <c r="L337" s="669"/>
      <c r="M337" s="669"/>
      <c r="N337" s="669"/>
      <c r="O337" s="669"/>
      <c r="P337" s="669"/>
      <c r="Q337" s="669"/>
      <c r="R337" s="669"/>
      <c r="S337" s="669"/>
      <c r="T337" s="669"/>
      <c r="U337" s="669"/>
      <c r="V337" s="669"/>
      <c r="W337" s="669"/>
      <c r="X337" s="669"/>
      <c r="Y337" s="669"/>
      <c r="Z337" s="669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4301051893</v>
      </c>
      <c r="D338" s="670">
        <v>4680115886186</v>
      </c>
      <c r="E338" s="670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78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72"/>
      <c r="R338" s="672"/>
      <c r="S338" s="672"/>
      <c r="T338" s="673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567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568</v>
      </c>
      <c r="B339" s="63" t="s">
        <v>569</v>
      </c>
      <c r="C339" s="36">
        <v>4301051795</v>
      </c>
      <c r="D339" s="670">
        <v>4680115881228</v>
      </c>
      <c r="E339" s="670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78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72"/>
      <c r="R339" s="672"/>
      <c r="S339" s="672"/>
      <c r="T339" s="673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570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571</v>
      </c>
      <c r="B340" s="63" t="s">
        <v>572</v>
      </c>
      <c r="C340" s="36">
        <v>4301051388</v>
      </c>
      <c r="D340" s="670">
        <v>4680115881211</v>
      </c>
      <c r="E340" s="670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78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72"/>
      <c r="R340" s="672"/>
      <c r="S340" s="672"/>
      <c r="T340" s="673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567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0"/>
      <c r="B341" s="660"/>
      <c r="C341" s="660"/>
      <c r="D341" s="660"/>
      <c r="E341" s="660"/>
      <c r="F341" s="660"/>
      <c r="G341" s="660"/>
      <c r="H341" s="660"/>
      <c r="I341" s="660"/>
      <c r="J341" s="660"/>
      <c r="K341" s="660"/>
      <c r="L341" s="660"/>
      <c r="M341" s="660"/>
      <c r="N341" s="660"/>
      <c r="O341" s="661"/>
      <c r="P341" s="657" t="s">
        <v>40</v>
      </c>
      <c r="Q341" s="658"/>
      <c r="R341" s="658"/>
      <c r="S341" s="658"/>
      <c r="T341" s="658"/>
      <c r="U341" s="658"/>
      <c r="V341" s="659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0"/>
      <c r="B342" s="660"/>
      <c r="C342" s="660"/>
      <c r="D342" s="660"/>
      <c r="E342" s="660"/>
      <c r="F342" s="660"/>
      <c r="G342" s="660"/>
      <c r="H342" s="660"/>
      <c r="I342" s="660"/>
      <c r="J342" s="660"/>
      <c r="K342" s="660"/>
      <c r="L342" s="660"/>
      <c r="M342" s="660"/>
      <c r="N342" s="660"/>
      <c r="O342" s="661"/>
      <c r="P342" s="657" t="s">
        <v>40</v>
      </c>
      <c r="Q342" s="658"/>
      <c r="R342" s="658"/>
      <c r="S342" s="658"/>
      <c r="T342" s="658"/>
      <c r="U342" s="658"/>
      <c r="V342" s="659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76" t="s">
        <v>573</v>
      </c>
      <c r="B343" s="676"/>
      <c r="C343" s="676"/>
      <c r="D343" s="676"/>
      <c r="E343" s="676"/>
      <c r="F343" s="676"/>
      <c r="G343" s="676"/>
      <c r="H343" s="676"/>
      <c r="I343" s="676"/>
      <c r="J343" s="676"/>
      <c r="K343" s="676"/>
      <c r="L343" s="676"/>
      <c r="M343" s="676"/>
      <c r="N343" s="676"/>
      <c r="O343" s="676"/>
      <c r="P343" s="676"/>
      <c r="Q343" s="676"/>
      <c r="R343" s="676"/>
      <c r="S343" s="676"/>
      <c r="T343" s="676"/>
      <c r="U343" s="676"/>
      <c r="V343" s="676"/>
      <c r="W343" s="676"/>
      <c r="X343" s="676"/>
      <c r="Y343" s="676"/>
      <c r="Z343" s="676"/>
      <c r="AA343" s="65"/>
      <c r="AB343" s="65"/>
      <c r="AC343" s="79"/>
    </row>
    <row r="344" spans="1:68" ht="14.25" hidden="1" customHeight="1" x14ac:dyDescent="0.25">
      <c r="A344" s="669" t="s">
        <v>76</v>
      </c>
      <c r="B344" s="669"/>
      <c r="C344" s="669"/>
      <c r="D344" s="669"/>
      <c r="E344" s="669"/>
      <c r="F344" s="669"/>
      <c r="G344" s="669"/>
      <c r="H344" s="669"/>
      <c r="I344" s="669"/>
      <c r="J344" s="669"/>
      <c r="K344" s="669"/>
      <c r="L344" s="669"/>
      <c r="M344" s="669"/>
      <c r="N344" s="669"/>
      <c r="O344" s="669"/>
      <c r="P344" s="669"/>
      <c r="Q344" s="669"/>
      <c r="R344" s="669"/>
      <c r="S344" s="669"/>
      <c r="T344" s="669"/>
      <c r="U344" s="669"/>
      <c r="V344" s="669"/>
      <c r="W344" s="669"/>
      <c r="X344" s="669"/>
      <c r="Y344" s="669"/>
      <c r="Z344" s="669"/>
      <c r="AA344" s="66"/>
      <c r="AB344" s="66"/>
      <c r="AC344" s="80"/>
    </row>
    <row r="345" spans="1:68" ht="27" hidden="1" customHeight="1" x14ac:dyDescent="0.25">
      <c r="A345" s="63" t="s">
        <v>574</v>
      </c>
      <c r="B345" s="63" t="s">
        <v>575</v>
      </c>
      <c r="C345" s="36">
        <v>4301031445</v>
      </c>
      <c r="D345" s="670">
        <v>4680115888319</v>
      </c>
      <c r="E345" s="670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77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72"/>
      <c r="R345" s="672"/>
      <c r="S345" s="672"/>
      <c r="T345" s="673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401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576</v>
      </c>
      <c r="B346" s="63" t="s">
        <v>577</v>
      </c>
      <c r="C346" s="36">
        <v>4301031502</v>
      </c>
      <c r="D346" s="670">
        <v>4680115884700</v>
      </c>
      <c r="E346" s="670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7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72"/>
      <c r="R346" s="672"/>
      <c r="S346" s="672"/>
      <c r="T346" s="673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578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579</v>
      </c>
      <c r="B347" s="63" t="s">
        <v>580</v>
      </c>
      <c r="C347" s="36">
        <v>4301031307</v>
      </c>
      <c r="D347" s="670">
        <v>4680115880344</v>
      </c>
      <c r="E347" s="670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77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72"/>
      <c r="R347" s="672"/>
      <c r="S347" s="672"/>
      <c r="T347" s="673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581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582</v>
      </c>
      <c r="B348" s="63" t="s">
        <v>583</v>
      </c>
      <c r="C348" s="36">
        <v>4301031501</v>
      </c>
      <c r="D348" s="670">
        <v>4680115886919</v>
      </c>
      <c r="E348" s="670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77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72"/>
      <c r="R348" s="672"/>
      <c r="S348" s="672"/>
      <c r="T348" s="673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584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585</v>
      </c>
      <c r="B349" s="63" t="s">
        <v>586</v>
      </c>
      <c r="C349" s="36">
        <v>4301031246</v>
      </c>
      <c r="D349" s="670">
        <v>4680115883970</v>
      </c>
      <c r="E349" s="670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78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72"/>
      <c r="R349" s="672"/>
      <c r="S349" s="672"/>
      <c r="T349" s="673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587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0"/>
      <c r="B350" s="660"/>
      <c r="C350" s="660"/>
      <c r="D350" s="660"/>
      <c r="E350" s="660"/>
      <c r="F350" s="660"/>
      <c r="G350" s="660"/>
      <c r="H350" s="660"/>
      <c r="I350" s="660"/>
      <c r="J350" s="660"/>
      <c r="K350" s="660"/>
      <c r="L350" s="660"/>
      <c r="M350" s="660"/>
      <c r="N350" s="660"/>
      <c r="O350" s="661"/>
      <c r="P350" s="657" t="s">
        <v>40</v>
      </c>
      <c r="Q350" s="658"/>
      <c r="R350" s="658"/>
      <c r="S350" s="658"/>
      <c r="T350" s="658"/>
      <c r="U350" s="658"/>
      <c r="V350" s="659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0"/>
      <c r="B351" s="660"/>
      <c r="C351" s="660"/>
      <c r="D351" s="660"/>
      <c r="E351" s="660"/>
      <c r="F351" s="660"/>
      <c r="G351" s="660"/>
      <c r="H351" s="660"/>
      <c r="I351" s="660"/>
      <c r="J351" s="660"/>
      <c r="K351" s="660"/>
      <c r="L351" s="660"/>
      <c r="M351" s="660"/>
      <c r="N351" s="660"/>
      <c r="O351" s="661"/>
      <c r="P351" s="657" t="s">
        <v>40</v>
      </c>
      <c r="Q351" s="658"/>
      <c r="R351" s="658"/>
      <c r="S351" s="658"/>
      <c r="T351" s="658"/>
      <c r="U351" s="658"/>
      <c r="V351" s="659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9" t="s">
        <v>85</v>
      </c>
      <c r="B352" s="669"/>
      <c r="C352" s="669"/>
      <c r="D352" s="669"/>
      <c r="E352" s="669"/>
      <c r="F352" s="669"/>
      <c r="G352" s="669"/>
      <c r="H352" s="669"/>
      <c r="I352" s="669"/>
      <c r="J352" s="669"/>
      <c r="K352" s="669"/>
      <c r="L352" s="669"/>
      <c r="M352" s="669"/>
      <c r="N352" s="669"/>
      <c r="O352" s="669"/>
      <c r="P352" s="669"/>
      <c r="Q352" s="669"/>
      <c r="R352" s="669"/>
      <c r="S352" s="669"/>
      <c r="T352" s="669"/>
      <c r="U352" s="669"/>
      <c r="V352" s="669"/>
      <c r="W352" s="669"/>
      <c r="X352" s="669"/>
      <c r="Y352" s="669"/>
      <c r="Z352" s="669"/>
      <c r="AA352" s="66"/>
      <c r="AB352" s="66"/>
      <c r="AC352" s="80"/>
    </row>
    <row r="353" spans="1:68" ht="27" hidden="1" customHeight="1" x14ac:dyDescent="0.25">
      <c r="A353" s="63" t="s">
        <v>588</v>
      </c>
      <c r="B353" s="63" t="s">
        <v>589</v>
      </c>
      <c r="C353" s="36">
        <v>4301051782</v>
      </c>
      <c r="D353" s="670">
        <v>4680115884618</v>
      </c>
      <c r="E353" s="670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77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72"/>
      <c r="R353" s="672"/>
      <c r="S353" s="672"/>
      <c r="T353" s="673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590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4301052057</v>
      </c>
      <c r="D354" s="670">
        <v>4680115887114</v>
      </c>
      <c r="E354" s="670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7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72"/>
      <c r="R354" s="672"/>
      <c r="S354" s="672"/>
      <c r="T354" s="673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593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0"/>
      <c r="B355" s="660"/>
      <c r="C355" s="660"/>
      <c r="D355" s="660"/>
      <c r="E355" s="660"/>
      <c r="F355" s="660"/>
      <c r="G355" s="660"/>
      <c r="H355" s="660"/>
      <c r="I355" s="660"/>
      <c r="J355" s="660"/>
      <c r="K355" s="660"/>
      <c r="L355" s="660"/>
      <c r="M355" s="660"/>
      <c r="N355" s="660"/>
      <c r="O355" s="661"/>
      <c r="P355" s="657" t="s">
        <v>40</v>
      </c>
      <c r="Q355" s="658"/>
      <c r="R355" s="658"/>
      <c r="S355" s="658"/>
      <c r="T355" s="658"/>
      <c r="U355" s="658"/>
      <c r="V355" s="659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0"/>
      <c r="B356" s="660"/>
      <c r="C356" s="660"/>
      <c r="D356" s="660"/>
      <c r="E356" s="660"/>
      <c r="F356" s="660"/>
      <c r="G356" s="660"/>
      <c r="H356" s="660"/>
      <c r="I356" s="660"/>
      <c r="J356" s="660"/>
      <c r="K356" s="660"/>
      <c r="L356" s="660"/>
      <c r="M356" s="660"/>
      <c r="N356" s="660"/>
      <c r="O356" s="661"/>
      <c r="P356" s="657" t="s">
        <v>40</v>
      </c>
      <c r="Q356" s="658"/>
      <c r="R356" s="658"/>
      <c r="S356" s="658"/>
      <c r="T356" s="658"/>
      <c r="U356" s="658"/>
      <c r="V356" s="659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76" t="s">
        <v>594</v>
      </c>
      <c r="B357" s="676"/>
      <c r="C357" s="676"/>
      <c r="D357" s="676"/>
      <c r="E357" s="676"/>
      <c r="F357" s="676"/>
      <c r="G357" s="676"/>
      <c r="H357" s="676"/>
      <c r="I357" s="676"/>
      <c r="J357" s="676"/>
      <c r="K357" s="676"/>
      <c r="L357" s="676"/>
      <c r="M357" s="676"/>
      <c r="N357" s="676"/>
      <c r="O357" s="676"/>
      <c r="P357" s="676"/>
      <c r="Q357" s="676"/>
      <c r="R357" s="676"/>
      <c r="S357" s="676"/>
      <c r="T357" s="676"/>
      <c r="U357" s="676"/>
      <c r="V357" s="676"/>
      <c r="W357" s="676"/>
      <c r="X357" s="676"/>
      <c r="Y357" s="676"/>
      <c r="Z357" s="676"/>
      <c r="AA357" s="65"/>
      <c r="AB357" s="65"/>
      <c r="AC357" s="79"/>
    </row>
    <row r="358" spans="1:68" ht="14.25" hidden="1" customHeight="1" x14ac:dyDescent="0.25">
      <c r="A358" s="669" t="s">
        <v>121</v>
      </c>
      <c r="B358" s="669"/>
      <c r="C358" s="669"/>
      <c r="D358" s="669"/>
      <c r="E358" s="669"/>
      <c r="F358" s="669"/>
      <c r="G358" s="669"/>
      <c r="H358" s="669"/>
      <c r="I358" s="669"/>
      <c r="J358" s="669"/>
      <c r="K358" s="669"/>
      <c r="L358" s="669"/>
      <c r="M358" s="669"/>
      <c r="N358" s="669"/>
      <c r="O358" s="669"/>
      <c r="P358" s="669"/>
      <c r="Q358" s="669"/>
      <c r="R358" s="669"/>
      <c r="S358" s="669"/>
      <c r="T358" s="669"/>
      <c r="U358" s="669"/>
      <c r="V358" s="669"/>
      <c r="W358" s="669"/>
      <c r="X358" s="669"/>
      <c r="Y358" s="669"/>
      <c r="Z358" s="669"/>
      <c r="AA358" s="66"/>
      <c r="AB358" s="66"/>
      <c r="AC358" s="80"/>
    </row>
    <row r="359" spans="1:68" ht="27" hidden="1" customHeight="1" x14ac:dyDescent="0.25">
      <c r="A359" s="63" t="s">
        <v>595</v>
      </c>
      <c r="B359" s="63" t="s">
        <v>596</v>
      </c>
      <c r="C359" s="36">
        <v>4301012324</v>
      </c>
      <c r="D359" s="670">
        <v>4680115887947</v>
      </c>
      <c r="E359" s="670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77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72"/>
      <c r="R359" s="672"/>
      <c r="S359" s="672"/>
      <c r="T359" s="673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360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597</v>
      </c>
      <c r="B360" s="63" t="s">
        <v>598</v>
      </c>
      <c r="C360" s="36">
        <v>4301012325</v>
      </c>
      <c r="D360" s="670">
        <v>4680115887978</v>
      </c>
      <c r="E360" s="670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77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72"/>
      <c r="R360" s="672"/>
      <c r="S360" s="672"/>
      <c r="T360" s="673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599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600</v>
      </c>
      <c r="B361" s="63" t="s">
        <v>601</v>
      </c>
      <c r="C361" s="36">
        <v>4301012327</v>
      </c>
      <c r="D361" s="670">
        <v>4680115887992</v>
      </c>
      <c r="E361" s="670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77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72"/>
      <c r="R361" s="672"/>
      <c r="S361" s="672"/>
      <c r="T361" s="673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602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0"/>
      <c r="B362" s="660"/>
      <c r="C362" s="660"/>
      <c r="D362" s="660"/>
      <c r="E362" s="660"/>
      <c r="F362" s="660"/>
      <c r="G362" s="660"/>
      <c r="H362" s="660"/>
      <c r="I362" s="660"/>
      <c r="J362" s="660"/>
      <c r="K362" s="660"/>
      <c r="L362" s="660"/>
      <c r="M362" s="660"/>
      <c r="N362" s="660"/>
      <c r="O362" s="661"/>
      <c r="P362" s="657" t="s">
        <v>40</v>
      </c>
      <c r="Q362" s="658"/>
      <c r="R362" s="658"/>
      <c r="S362" s="658"/>
      <c r="T362" s="658"/>
      <c r="U362" s="658"/>
      <c r="V362" s="659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0"/>
      <c r="B363" s="660"/>
      <c r="C363" s="660"/>
      <c r="D363" s="660"/>
      <c r="E363" s="660"/>
      <c r="F363" s="660"/>
      <c r="G363" s="660"/>
      <c r="H363" s="660"/>
      <c r="I363" s="660"/>
      <c r="J363" s="660"/>
      <c r="K363" s="660"/>
      <c r="L363" s="660"/>
      <c r="M363" s="660"/>
      <c r="N363" s="660"/>
      <c r="O363" s="661"/>
      <c r="P363" s="657" t="s">
        <v>40</v>
      </c>
      <c r="Q363" s="658"/>
      <c r="R363" s="658"/>
      <c r="S363" s="658"/>
      <c r="T363" s="658"/>
      <c r="U363" s="658"/>
      <c r="V363" s="659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76" t="s">
        <v>603</v>
      </c>
      <c r="B364" s="676"/>
      <c r="C364" s="676"/>
      <c r="D364" s="676"/>
      <c r="E364" s="676"/>
      <c r="F364" s="676"/>
      <c r="G364" s="676"/>
      <c r="H364" s="676"/>
      <c r="I364" s="676"/>
      <c r="J364" s="676"/>
      <c r="K364" s="676"/>
      <c r="L364" s="676"/>
      <c r="M364" s="676"/>
      <c r="N364" s="676"/>
      <c r="O364" s="676"/>
      <c r="P364" s="676"/>
      <c r="Q364" s="676"/>
      <c r="R364" s="676"/>
      <c r="S364" s="676"/>
      <c r="T364" s="676"/>
      <c r="U364" s="676"/>
      <c r="V364" s="676"/>
      <c r="W364" s="676"/>
      <c r="X364" s="676"/>
      <c r="Y364" s="676"/>
      <c r="Z364" s="676"/>
      <c r="AA364" s="65"/>
      <c r="AB364" s="65"/>
      <c r="AC364" s="79"/>
    </row>
    <row r="365" spans="1:68" ht="14.25" hidden="1" customHeight="1" x14ac:dyDescent="0.25">
      <c r="A365" s="669" t="s">
        <v>121</v>
      </c>
      <c r="B365" s="669"/>
      <c r="C365" s="669"/>
      <c r="D365" s="669"/>
      <c r="E365" s="669"/>
      <c r="F365" s="669"/>
      <c r="G365" s="669"/>
      <c r="H365" s="669"/>
      <c r="I365" s="669"/>
      <c r="J365" s="669"/>
      <c r="K365" s="669"/>
      <c r="L365" s="669"/>
      <c r="M365" s="669"/>
      <c r="N365" s="669"/>
      <c r="O365" s="669"/>
      <c r="P365" s="669"/>
      <c r="Q365" s="669"/>
      <c r="R365" s="669"/>
      <c r="S365" s="669"/>
      <c r="T365" s="669"/>
      <c r="U365" s="669"/>
      <c r="V365" s="669"/>
      <c r="W365" s="669"/>
      <c r="X365" s="669"/>
      <c r="Y365" s="669"/>
      <c r="Z365" s="669"/>
      <c r="AA365" s="66"/>
      <c r="AB365" s="66"/>
      <c r="AC365" s="80"/>
    </row>
    <row r="366" spans="1:68" ht="27" hidden="1" customHeight="1" x14ac:dyDescent="0.25">
      <c r="A366" s="63" t="s">
        <v>604</v>
      </c>
      <c r="B366" s="63" t="s">
        <v>605</v>
      </c>
      <c r="C366" s="36">
        <v>4301012400</v>
      </c>
      <c r="D366" s="670">
        <v>4680115889880</v>
      </c>
      <c r="E366" s="670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76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672"/>
      <c r="R366" s="672"/>
      <c r="S366" s="672"/>
      <c r="T366" s="673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548</v>
      </c>
      <c r="AC366" s="464" t="s">
        <v>528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2" si="59">IFERROR(X366*I366/H366,"0")</f>
        <v>0</v>
      </c>
      <c r="BN366" s="78">
        <f t="shared" ref="BN366:BN372" si="60">IFERROR(Y366*I366/H366,"0")</f>
        <v>0</v>
      </c>
      <c r="BO366" s="78">
        <f t="shared" ref="BO366:BO372" si="61">IFERROR(1/J366*(X366/H366),"0")</f>
        <v>0</v>
      </c>
      <c r="BP366" s="78">
        <f t="shared" ref="BP366:BP372" si="62">IFERROR(1/J366*(Y366/H366),"0")</f>
        <v>0</v>
      </c>
    </row>
    <row r="367" spans="1:68" ht="27" hidden="1" customHeight="1" x14ac:dyDescent="0.25">
      <c r="A367" s="63" t="s">
        <v>606</v>
      </c>
      <c r="B367" s="63" t="s">
        <v>607</v>
      </c>
      <c r="C367" s="36">
        <v>4301012360</v>
      </c>
      <c r="D367" s="670">
        <v>4680115889293</v>
      </c>
      <c r="E367" s="670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76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72"/>
      <c r="R367" s="672"/>
      <c r="S367" s="672"/>
      <c r="T367" s="673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608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609</v>
      </c>
      <c r="B368" s="63" t="s">
        <v>610</v>
      </c>
      <c r="C368" s="36">
        <v>4301012235</v>
      </c>
      <c r="D368" s="670">
        <v>4680115887190</v>
      </c>
      <c r="E368" s="670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76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72"/>
      <c r="R368" s="672"/>
      <c r="S368" s="672"/>
      <c r="T368" s="673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611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37.5" hidden="1" customHeight="1" x14ac:dyDescent="0.25">
      <c r="A369" s="63" t="s">
        <v>612</v>
      </c>
      <c r="B369" s="63" t="s">
        <v>613</v>
      </c>
      <c r="C369" s="36">
        <v>4301012233</v>
      </c>
      <c r="D369" s="670">
        <v>4680115887138</v>
      </c>
      <c r="E369" s="670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125</v>
      </c>
      <c r="N369" s="38"/>
      <c r="O369" s="37">
        <v>55</v>
      </c>
      <c r="P369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672"/>
      <c r="R369" s="672"/>
      <c r="S369" s="672"/>
      <c r="T369" s="673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614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615</v>
      </c>
      <c r="B370" s="63" t="s">
        <v>616</v>
      </c>
      <c r="C370" s="36">
        <v>4301012016</v>
      </c>
      <c r="D370" s="670">
        <v>4680115885554</v>
      </c>
      <c r="E370" s="670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126</v>
      </c>
      <c r="L370" s="37" t="s">
        <v>46</v>
      </c>
      <c r="M370" s="38" t="s">
        <v>89</v>
      </c>
      <c r="N370" s="38"/>
      <c r="O370" s="37">
        <v>55</v>
      </c>
      <c r="P370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672"/>
      <c r="R370" s="672"/>
      <c r="S370" s="672"/>
      <c r="T370" s="673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617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618</v>
      </c>
      <c r="B371" s="63" t="s">
        <v>619</v>
      </c>
      <c r="C371" s="36">
        <v>4301012236</v>
      </c>
      <c r="D371" s="670">
        <v>4680115887220</v>
      </c>
      <c r="E371" s="670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672"/>
      <c r="R371" s="672"/>
      <c r="S371" s="672"/>
      <c r="T371" s="673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611</v>
      </c>
      <c r="AG371" s="78"/>
      <c r="AJ371" s="84" t="s">
        <v>46</v>
      </c>
      <c r="AK371" s="84">
        <v>0</v>
      </c>
      <c r="BB371" s="475" t="s">
        <v>67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t="27" hidden="1" customHeight="1" x14ac:dyDescent="0.25">
      <c r="A372" s="63" t="s">
        <v>620</v>
      </c>
      <c r="B372" s="63" t="s">
        <v>621</v>
      </c>
      <c r="C372" s="36">
        <v>4301011859</v>
      </c>
      <c r="D372" s="670">
        <v>4680115885608</v>
      </c>
      <c r="E372" s="670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133</v>
      </c>
      <c r="L372" s="37" t="s">
        <v>46</v>
      </c>
      <c r="M372" s="38" t="s">
        <v>125</v>
      </c>
      <c r="N372" s="38"/>
      <c r="O372" s="37">
        <v>55</v>
      </c>
      <c r="P372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672"/>
      <c r="R372" s="672"/>
      <c r="S372" s="672"/>
      <c r="T372" s="673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8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622</v>
      </c>
      <c r="AG372" s="78"/>
      <c r="AJ372" s="84" t="s">
        <v>46</v>
      </c>
      <c r="AK372" s="84">
        <v>0</v>
      </c>
      <c r="BB372" s="477" t="s">
        <v>67</v>
      </c>
      <c r="BM372" s="78">
        <f t="shared" si="59"/>
        <v>0</v>
      </c>
      <c r="BN372" s="78">
        <f t="shared" si="60"/>
        <v>0</v>
      </c>
      <c r="BO372" s="78">
        <f t="shared" si="61"/>
        <v>0</v>
      </c>
      <c r="BP372" s="78">
        <f t="shared" si="62"/>
        <v>0</v>
      </c>
    </row>
    <row r="373" spans="1:68" hidden="1" x14ac:dyDescent="0.2">
      <c r="A373" s="660"/>
      <c r="B373" s="660"/>
      <c r="C373" s="660"/>
      <c r="D373" s="660"/>
      <c r="E373" s="660"/>
      <c r="F373" s="660"/>
      <c r="G373" s="660"/>
      <c r="H373" s="660"/>
      <c r="I373" s="660"/>
      <c r="J373" s="660"/>
      <c r="K373" s="660"/>
      <c r="L373" s="660"/>
      <c r="M373" s="660"/>
      <c r="N373" s="660"/>
      <c r="O373" s="661"/>
      <c r="P373" s="657" t="s">
        <v>40</v>
      </c>
      <c r="Q373" s="658"/>
      <c r="R373" s="658"/>
      <c r="S373" s="658"/>
      <c r="T373" s="658"/>
      <c r="U373" s="658"/>
      <c r="V373" s="659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hidden="1" x14ac:dyDescent="0.2">
      <c r="A374" s="660"/>
      <c r="B374" s="660"/>
      <c r="C374" s="660"/>
      <c r="D374" s="660"/>
      <c r="E374" s="660"/>
      <c r="F374" s="660"/>
      <c r="G374" s="660"/>
      <c r="H374" s="660"/>
      <c r="I374" s="660"/>
      <c r="J374" s="660"/>
      <c r="K374" s="660"/>
      <c r="L374" s="660"/>
      <c r="M374" s="660"/>
      <c r="N374" s="660"/>
      <c r="O374" s="661"/>
      <c r="P374" s="657" t="s">
        <v>40</v>
      </c>
      <c r="Q374" s="658"/>
      <c r="R374" s="658"/>
      <c r="S374" s="658"/>
      <c r="T374" s="658"/>
      <c r="U374" s="658"/>
      <c r="V374" s="659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hidden="1" customHeight="1" x14ac:dyDescent="0.25">
      <c r="A375" s="669" t="s">
        <v>76</v>
      </c>
      <c r="B375" s="669"/>
      <c r="C375" s="669"/>
      <c r="D375" s="669"/>
      <c r="E375" s="669"/>
      <c r="F375" s="669"/>
      <c r="G375" s="669"/>
      <c r="H375" s="669"/>
      <c r="I375" s="669"/>
      <c r="J375" s="669"/>
      <c r="K375" s="669"/>
      <c r="L375" s="669"/>
      <c r="M375" s="669"/>
      <c r="N375" s="669"/>
      <c r="O375" s="669"/>
      <c r="P375" s="669"/>
      <c r="Q375" s="669"/>
      <c r="R375" s="669"/>
      <c r="S375" s="669"/>
      <c r="T375" s="669"/>
      <c r="U375" s="669"/>
      <c r="V375" s="669"/>
      <c r="W375" s="669"/>
      <c r="X375" s="669"/>
      <c r="Y375" s="669"/>
      <c r="Z375" s="669"/>
      <c r="AA375" s="66"/>
      <c r="AB375" s="66"/>
      <c r="AC375" s="80"/>
    </row>
    <row r="376" spans="1:68" ht="27" hidden="1" customHeight="1" x14ac:dyDescent="0.25">
      <c r="A376" s="63" t="s">
        <v>623</v>
      </c>
      <c r="B376" s="63" t="s">
        <v>624</v>
      </c>
      <c r="C376" s="36">
        <v>4301030878</v>
      </c>
      <c r="D376" s="670">
        <v>4607091387193</v>
      </c>
      <c r="E376" s="670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35</v>
      </c>
      <c r="P376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672"/>
      <c r="R376" s="672"/>
      <c r="S376" s="672"/>
      <c r="T376" s="673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ref="Y376:Y382" si="63">IFERROR(IF(X376="",0,CEILING((X376/$H376),1)*$H376),"")</f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625</v>
      </c>
      <c r="AG376" s="78"/>
      <c r="AJ376" s="84" t="s">
        <v>46</v>
      </c>
      <c r="AK376" s="84">
        <v>0</v>
      </c>
      <c r="BB376" s="479" t="s">
        <v>67</v>
      </c>
      <c r="BM376" s="78">
        <f t="shared" ref="BM376:BM382" si="64">IFERROR(X376*I376/H376,"0")</f>
        <v>0</v>
      </c>
      <c r="BN376" s="78">
        <f t="shared" ref="BN376:BN382" si="65">IFERROR(Y376*I376/H376,"0")</f>
        <v>0</v>
      </c>
      <c r="BO376" s="78">
        <f t="shared" ref="BO376:BO382" si="66">IFERROR(1/J376*(X376/H376),"0")</f>
        <v>0</v>
      </c>
      <c r="BP376" s="78">
        <f t="shared" ref="BP376:BP382" si="67">IFERROR(1/J376*(Y376/H376),"0")</f>
        <v>0</v>
      </c>
    </row>
    <row r="377" spans="1:68" ht="27" hidden="1" customHeight="1" x14ac:dyDescent="0.25">
      <c r="A377" s="63" t="s">
        <v>626</v>
      </c>
      <c r="B377" s="63" t="s">
        <v>627</v>
      </c>
      <c r="C377" s="36">
        <v>4301031153</v>
      </c>
      <c r="D377" s="670">
        <v>4607091387230</v>
      </c>
      <c r="E377" s="670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40</v>
      </c>
      <c r="P377" s="7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672"/>
      <c r="R377" s="672"/>
      <c r="S377" s="672"/>
      <c r="T377" s="673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628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629</v>
      </c>
      <c r="B378" s="63" t="s">
        <v>630</v>
      </c>
      <c r="C378" s="36">
        <v>4301031154</v>
      </c>
      <c r="D378" s="670">
        <v>4607091387292</v>
      </c>
      <c r="E378" s="670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133</v>
      </c>
      <c r="L378" s="37" t="s">
        <v>46</v>
      </c>
      <c r="M378" s="38" t="s">
        <v>80</v>
      </c>
      <c r="N378" s="38"/>
      <c r="O378" s="37">
        <v>45</v>
      </c>
      <c r="P378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672"/>
      <c r="R378" s="672"/>
      <c r="S378" s="672"/>
      <c r="T378" s="673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631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632</v>
      </c>
      <c r="B379" s="63" t="s">
        <v>633</v>
      </c>
      <c r="C379" s="36">
        <v>4301031152</v>
      </c>
      <c r="D379" s="670">
        <v>4607091387285</v>
      </c>
      <c r="E379" s="670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672"/>
      <c r="R379" s="672"/>
      <c r="S379" s="672"/>
      <c r="T379" s="673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628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634</v>
      </c>
      <c r="B380" s="63" t="s">
        <v>635</v>
      </c>
      <c r="C380" s="36">
        <v>4301031305</v>
      </c>
      <c r="D380" s="670">
        <v>4607091389845</v>
      </c>
      <c r="E380" s="670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81</v>
      </c>
      <c r="L380" s="37" t="s">
        <v>46</v>
      </c>
      <c r="M380" s="38" t="s">
        <v>80</v>
      </c>
      <c r="N380" s="38"/>
      <c r="O380" s="37">
        <v>40</v>
      </c>
      <c r="P380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672"/>
      <c r="R380" s="672"/>
      <c r="S380" s="672"/>
      <c r="T380" s="673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86" t="s">
        <v>636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637</v>
      </c>
      <c r="B381" s="63" t="s">
        <v>638</v>
      </c>
      <c r="C381" s="36">
        <v>4301031460</v>
      </c>
      <c r="D381" s="670">
        <v>4680115887442</v>
      </c>
      <c r="E381" s="670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133</v>
      </c>
      <c r="L381" s="37" t="s">
        <v>46</v>
      </c>
      <c r="M381" s="38" t="s">
        <v>80</v>
      </c>
      <c r="N381" s="38"/>
      <c r="O381" s="37">
        <v>45</v>
      </c>
      <c r="P381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672"/>
      <c r="R381" s="672"/>
      <c r="S381" s="672"/>
      <c r="T381" s="673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631</v>
      </c>
      <c r="AG381" s="78"/>
      <c r="AJ381" s="84" t="s">
        <v>46</v>
      </c>
      <c r="AK381" s="84">
        <v>0</v>
      </c>
      <c r="BB381" s="489" t="s">
        <v>67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t="27" hidden="1" customHeight="1" x14ac:dyDescent="0.25">
      <c r="A382" s="63" t="s">
        <v>639</v>
      </c>
      <c r="B382" s="63" t="s">
        <v>640</v>
      </c>
      <c r="C382" s="36">
        <v>4301031066</v>
      </c>
      <c r="D382" s="670">
        <v>4607091383836</v>
      </c>
      <c r="E382" s="670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90</v>
      </c>
      <c r="L382" s="37" t="s">
        <v>46</v>
      </c>
      <c r="M382" s="38" t="s">
        <v>80</v>
      </c>
      <c r="N382" s="38"/>
      <c r="O382" s="37">
        <v>40</v>
      </c>
      <c r="P382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672"/>
      <c r="R382" s="672"/>
      <c r="S382" s="672"/>
      <c r="T382" s="673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3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641</v>
      </c>
      <c r="AG382" s="78"/>
      <c r="AJ382" s="84" t="s">
        <v>46</v>
      </c>
      <c r="AK382" s="84">
        <v>0</v>
      </c>
      <c r="BB382" s="491" t="s">
        <v>67</v>
      </c>
      <c r="BM382" s="78">
        <f t="shared" si="64"/>
        <v>0</v>
      </c>
      <c r="BN382" s="78">
        <f t="shared" si="65"/>
        <v>0</v>
      </c>
      <c r="BO382" s="78">
        <f t="shared" si="66"/>
        <v>0</v>
      </c>
      <c r="BP382" s="78">
        <f t="shared" si="67"/>
        <v>0</v>
      </c>
    </row>
    <row r="383" spans="1:68" hidden="1" x14ac:dyDescent="0.2">
      <c r="A383" s="660"/>
      <c r="B383" s="660"/>
      <c r="C383" s="660"/>
      <c r="D383" s="660"/>
      <c r="E383" s="660"/>
      <c r="F383" s="660"/>
      <c r="G383" s="660"/>
      <c r="H383" s="660"/>
      <c r="I383" s="660"/>
      <c r="J383" s="660"/>
      <c r="K383" s="660"/>
      <c r="L383" s="660"/>
      <c r="M383" s="660"/>
      <c r="N383" s="660"/>
      <c r="O383" s="661"/>
      <c r="P383" s="657" t="s">
        <v>40</v>
      </c>
      <c r="Q383" s="658"/>
      <c r="R383" s="658"/>
      <c r="S383" s="658"/>
      <c r="T383" s="658"/>
      <c r="U383" s="658"/>
      <c r="V383" s="659"/>
      <c r="W383" s="42" t="s">
        <v>39</v>
      </c>
      <c r="X383" s="43">
        <f>IFERROR(X376/H376,"0")+IFERROR(X377/H377,"0")+IFERROR(X378/H378,"0")+IFERROR(X379/H379,"0")+IFERROR(X380/H380,"0")+IFERROR(X381/H381,"0")+IFERROR(X382/H382,"0")</f>
        <v>0</v>
      </c>
      <c r="Y383" s="43">
        <f>IFERROR(Y376/H376,"0")+IFERROR(Y377/H377,"0")+IFERROR(Y378/H378,"0")+IFERROR(Y379/H379,"0")+IFERROR(Y380/H380,"0")+IFERROR(Y381/H381,"0")+IFERROR(Y382/H382,"0")</f>
        <v>0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660"/>
      <c r="B384" s="660"/>
      <c r="C384" s="660"/>
      <c r="D384" s="660"/>
      <c r="E384" s="660"/>
      <c r="F384" s="660"/>
      <c r="G384" s="660"/>
      <c r="H384" s="660"/>
      <c r="I384" s="660"/>
      <c r="J384" s="660"/>
      <c r="K384" s="660"/>
      <c r="L384" s="660"/>
      <c r="M384" s="660"/>
      <c r="N384" s="660"/>
      <c r="O384" s="661"/>
      <c r="P384" s="657" t="s">
        <v>40</v>
      </c>
      <c r="Q384" s="658"/>
      <c r="R384" s="658"/>
      <c r="S384" s="658"/>
      <c r="T384" s="658"/>
      <c r="U384" s="658"/>
      <c r="V384" s="659"/>
      <c r="W384" s="42" t="s">
        <v>0</v>
      </c>
      <c r="X384" s="43">
        <f>IFERROR(SUM(X376:X382),"0")</f>
        <v>0</v>
      </c>
      <c r="Y384" s="43">
        <f>IFERROR(SUM(Y376:Y382),"0")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69" t="s">
        <v>85</v>
      </c>
      <c r="B385" s="669"/>
      <c r="C385" s="669"/>
      <c r="D385" s="669"/>
      <c r="E385" s="669"/>
      <c r="F385" s="669"/>
      <c r="G385" s="669"/>
      <c r="H385" s="669"/>
      <c r="I385" s="669"/>
      <c r="J385" s="669"/>
      <c r="K385" s="669"/>
      <c r="L385" s="669"/>
      <c r="M385" s="669"/>
      <c r="N385" s="669"/>
      <c r="O385" s="669"/>
      <c r="P385" s="669"/>
      <c r="Q385" s="669"/>
      <c r="R385" s="669"/>
      <c r="S385" s="669"/>
      <c r="T385" s="669"/>
      <c r="U385" s="669"/>
      <c r="V385" s="669"/>
      <c r="W385" s="669"/>
      <c r="X385" s="669"/>
      <c r="Y385" s="669"/>
      <c r="Z385" s="669"/>
      <c r="AA385" s="66"/>
      <c r="AB385" s="66"/>
      <c r="AC385" s="80"/>
    </row>
    <row r="386" spans="1:68" ht="27" hidden="1" customHeight="1" x14ac:dyDescent="0.25">
      <c r="A386" s="63" t="s">
        <v>642</v>
      </c>
      <c r="B386" s="63" t="s">
        <v>643</v>
      </c>
      <c r="C386" s="36">
        <v>4301051100</v>
      </c>
      <c r="D386" s="670">
        <v>4607091387766</v>
      </c>
      <c r="E386" s="670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75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672"/>
      <c r="R386" s="672"/>
      <c r="S386" s="672"/>
      <c r="T386" s="673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644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645</v>
      </c>
      <c r="B387" s="63" t="s">
        <v>646</v>
      </c>
      <c r="C387" s="36">
        <v>4301051818</v>
      </c>
      <c r="D387" s="670">
        <v>4607091387957</v>
      </c>
      <c r="E387" s="670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75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672"/>
      <c r="R387" s="672"/>
      <c r="S387" s="672"/>
      <c r="T387" s="673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647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648</v>
      </c>
      <c r="B388" s="63" t="s">
        <v>649</v>
      </c>
      <c r="C388" s="36">
        <v>4301051819</v>
      </c>
      <c r="D388" s="670">
        <v>4607091387964</v>
      </c>
      <c r="E388" s="670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126</v>
      </c>
      <c r="L388" s="37" t="s">
        <v>46</v>
      </c>
      <c r="M388" s="38" t="s">
        <v>89</v>
      </c>
      <c r="N388" s="38"/>
      <c r="O388" s="37">
        <v>40</v>
      </c>
      <c r="P388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672"/>
      <c r="R388" s="672"/>
      <c r="S388" s="672"/>
      <c r="T388" s="673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650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651</v>
      </c>
      <c r="B389" s="63" t="s">
        <v>652</v>
      </c>
      <c r="C389" s="36">
        <v>4301051734</v>
      </c>
      <c r="D389" s="670">
        <v>4680115884588</v>
      </c>
      <c r="E389" s="670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90</v>
      </c>
      <c r="L389" s="37" t="s">
        <v>46</v>
      </c>
      <c r="M389" s="38" t="s">
        <v>89</v>
      </c>
      <c r="N389" s="38"/>
      <c r="O389" s="37">
        <v>40</v>
      </c>
      <c r="P389" s="7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672"/>
      <c r="R389" s="672"/>
      <c r="S389" s="672"/>
      <c r="T389" s="673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660"/>
      <c r="B390" s="660"/>
      <c r="C390" s="660"/>
      <c r="D390" s="660"/>
      <c r="E390" s="660"/>
      <c r="F390" s="660"/>
      <c r="G390" s="660"/>
      <c r="H390" s="660"/>
      <c r="I390" s="660"/>
      <c r="J390" s="660"/>
      <c r="K390" s="660"/>
      <c r="L390" s="660"/>
      <c r="M390" s="660"/>
      <c r="N390" s="660"/>
      <c r="O390" s="661"/>
      <c r="P390" s="657" t="s">
        <v>40</v>
      </c>
      <c r="Q390" s="658"/>
      <c r="R390" s="658"/>
      <c r="S390" s="658"/>
      <c r="T390" s="658"/>
      <c r="U390" s="658"/>
      <c r="V390" s="659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660"/>
      <c r="B391" s="660"/>
      <c r="C391" s="660"/>
      <c r="D391" s="660"/>
      <c r="E391" s="660"/>
      <c r="F391" s="660"/>
      <c r="G391" s="660"/>
      <c r="H391" s="660"/>
      <c r="I391" s="660"/>
      <c r="J391" s="660"/>
      <c r="K391" s="660"/>
      <c r="L391" s="660"/>
      <c r="M391" s="660"/>
      <c r="N391" s="660"/>
      <c r="O391" s="661"/>
      <c r="P391" s="657" t="s">
        <v>40</v>
      </c>
      <c r="Q391" s="658"/>
      <c r="R391" s="658"/>
      <c r="S391" s="658"/>
      <c r="T391" s="658"/>
      <c r="U391" s="658"/>
      <c r="V391" s="659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69" t="s">
        <v>177</v>
      </c>
      <c r="B392" s="669"/>
      <c r="C392" s="669"/>
      <c r="D392" s="669"/>
      <c r="E392" s="669"/>
      <c r="F392" s="669"/>
      <c r="G392" s="669"/>
      <c r="H392" s="669"/>
      <c r="I392" s="669"/>
      <c r="J392" s="669"/>
      <c r="K392" s="669"/>
      <c r="L392" s="669"/>
      <c r="M392" s="669"/>
      <c r="N392" s="669"/>
      <c r="O392" s="669"/>
      <c r="P392" s="669"/>
      <c r="Q392" s="669"/>
      <c r="R392" s="669"/>
      <c r="S392" s="669"/>
      <c r="T392" s="669"/>
      <c r="U392" s="669"/>
      <c r="V392" s="669"/>
      <c r="W392" s="669"/>
      <c r="X392" s="669"/>
      <c r="Y392" s="669"/>
      <c r="Z392" s="669"/>
      <c r="AA392" s="66"/>
      <c r="AB392" s="66"/>
      <c r="AC392" s="80"/>
    </row>
    <row r="393" spans="1:68" ht="27" hidden="1" customHeight="1" x14ac:dyDescent="0.25">
      <c r="A393" s="63" t="s">
        <v>653</v>
      </c>
      <c r="B393" s="63" t="s">
        <v>654</v>
      </c>
      <c r="C393" s="36">
        <v>4301060387</v>
      </c>
      <c r="D393" s="670">
        <v>4607091380880</v>
      </c>
      <c r="E393" s="670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7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672"/>
      <c r="R393" s="672"/>
      <c r="S393" s="672"/>
      <c r="T393" s="673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655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656</v>
      </c>
      <c r="B394" s="63" t="s">
        <v>657</v>
      </c>
      <c r="C394" s="36">
        <v>4301060406</v>
      </c>
      <c r="D394" s="670">
        <v>4607091384482</v>
      </c>
      <c r="E394" s="670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126</v>
      </c>
      <c r="L394" s="37" t="s">
        <v>46</v>
      </c>
      <c r="M394" s="38" t="s">
        <v>89</v>
      </c>
      <c r="N394" s="38"/>
      <c r="O394" s="37">
        <v>30</v>
      </c>
      <c r="P394" s="75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672"/>
      <c r="R394" s="672"/>
      <c r="S394" s="672"/>
      <c r="T394" s="673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658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659</v>
      </c>
      <c r="B395" s="63" t="s">
        <v>660</v>
      </c>
      <c r="C395" s="36">
        <v>4301060484</v>
      </c>
      <c r="D395" s="670">
        <v>4607091380897</v>
      </c>
      <c r="E395" s="670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126</v>
      </c>
      <c r="L395" s="37" t="s">
        <v>46</v>
      </c>
      <c r="M395" s="38" t="s">
        <v>96</v>
      </c>
      <c r="N395" s="38"/>
      <c r="O395" s="37">
        <v>30</v>
      </c>
      <c r="P395" s="74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672"/>
      <c r="R395" s="672"/>
      <c r="S395" s="672"/>
      <c r="T395" s="673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661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60"/>
      <c r="B396" s="660"/>
      <c r="C396" s="660"/>
      <c r="D396" s="660"/>
      <c r="E396" s="660"/>
      <c r="F396" s="660"/>
      <c r="G396" s="660"/>
      <c r="H396" s="660"/>
      <c r="I396" s="660"/>
      <c r="J396" s="660"/>
      <c r="K396" s="660"/>
      <c r="L396" s="660"/>
      <c r="M396" s="660"/>
      <c r="N396" s="660"/>
      <c r="O396" s="661"/>
      <c r="P396" s="657" t="s">
        <v>40</v>
      </c>
      <c r="Q396" s="658"/>
      <c r="R396" s="658"/>
      <c r="S396" s="658"/>
      <c r="T396" s="658"/>
      <c r="U396" s="658"/>
      <c r="V396" s="659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60"/>
      <c r="B397" s="660"/>
      <c r="C397" s="660"/>
      <c r="D397" s="660"/>
      <c r="E397" s="660"/>
      <c r="F397" s="660"/>
      <c r="G397" s="660"/>
      <c r="H397" s="660"/>
      <c r="I397" s="660"/>
      <c r="J397" s="660"/>
      <c r="K397" s="660"/>
      <c r="L397" s="660"/>
      <c r="M397" s="660"/>
      <c r="N397" s="660"/>
      <c r="O397" s="661"/>
      <c r="P397" s="657" t="s">
        <v>40</v>
      </c>
      <c r="Q397" s="658"/>
      <c r="R397" s="658"/>
      <c r="S397" s="658"/>
      <c r="T397" s="658"/>
      <c r="U397" s="658"/>
      <c r="V397" s="659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69" t="s">
        <v>282</v>
      </c>
      <c r="B398" s="669"/>
      <c r="C398" s="669"/>
      <c r="D398" s="669"/>
      <c r="E398" s="669"/>
      <c r="F398" s="669"/>
      <c r="G398" s="669"/>
      <c r="H398" s="669"/>
      <c r="I398" s="669"/>
      <c r="J398" s="669"/>
      <c r="K398" s="669"/>
      <c r="L398" s="669"/>
      <c r="M398" s="669"/>
      <c r="N398" s="669"/>
      <c r="O398" s="669"/>
      <c r="P398" s="669"/>
      <c r="Q398" s="669"/>
      <c r="R398" s="669"/>
      <c r="S398" s="669"/>
      <c r="T398" s="669"/>
      <c r="U398" s="669"/>
      <c r="V398" s="669"/>
      <c r="W398" s="669"/>
      <c r="X398" s="669"/>
      <c r="Y398" s="669"/>
      <c r="Z398" s="669"/>
      <c r="AA398" s="66"/>
      <c r="AB398" s="66"/>
      <c r="AC398" s="80"/>
    </row>
    <row r="399" spans="1:68" ht="27" hidden="1" customHeight="1" x14ac:dyDescent="0.25">
      <c r="A399" s="63" t="s">
        <v>662</v>
      </c>
      <c r="B399" s="63" t="s">
        <v>663</v>
      </c>
      <c r="C399" s="36">
        <v>4301030235</v>
      </c>
      <c r="D399" s="670">
        <v>4607091388381</v>
      </c>
      <c r="E399" s="670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133</v>
      </c>
      <c r="L399" s="37" t="s">
        <v>46</v>
      </c>
      <c r="M399" s="38" t="s">
        <v>258</v>
      </c>
      <c r="N399" s="38"/>
      <c r="O399" s="37">
        <v>180</v>
      </c>
      <c r="P399" s="74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672"/>
      <c r="R399" s="672"/>
      <c r="S399" s="672"/>
      <c r="T399" s="673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664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665</v>
      </c>
      <c r="B400" s="63" t="s">
        <v>666</v>
      </c>
      <c r="C400" s="36">
        <v>4301030232</v>
      </c>
      <c r="D400" s="670">
        <v>4607091388374</v>
      </c>
      <c r="E400" s="670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133</v>
      </c>
      <c r="L400" s="37" t="s">
        <v>46</v>
      </c>
      <c r="M400" s="38" t="s">
        <v>258</v>
      </c>
      <c r="N400" s="38"/>
      <c r="O400" s="37">
        <v>180</v>
      </c>
      <c r="P400" s="74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672"/>
      <c r="R400" s="672"/>
      <c r="S400" s="672"/>
      <c r="T400" s="673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664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667</v>
      </c>
      <c r="B401" s="63" t="s">
        <v>668</v>
      </c>
      <c r="C401" s="36">
        <v>4301032015</v>
      </c>
      <c r="D401" s="670">
        <v>4607091383102</v>
      </c>
      <c r="E401" s="670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90</v>
      </c>
      <c r="L401" s="37" t="s">
        <v>46</v>
      </c>
      <c r="M401" s="38" t="s">
        <v>258</v>
      </c>
      <c r="N401" s="38"/>
      <c r="O401" s="37">
        <v>180</v>
      </c>
      <c r="P401" s="7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672"/>
      <c r="R401" s="672"/>
      <c r="S401" s="672"/>
      <c r="T401" s="673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664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669</v>
      </c>
      <c r="B402" s="63" t="s">
        <v>670</v>
      </c>
      <c r="C402" s="36">
        <v>4301030233</v>
      </c>
      <c r="D402" s="670">
        <v>4607091388404</v>
      </c>
      <c r="E402" s="670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90</v>
      </c>
      <c r="L402" s="37" t="s">
        <v>46</v>
      </c>
      <c r="M402" s="38" t="s">
        <v>258</v>
      </c>
      <c r="N402" s="38"/>
      <c r="O402" s="37">
        <v>180</v>
      </c>
      <c r="P402" s="75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672"/>
      <c r="R402" s="672"/>
      <c r="S402" s="672"/>
      <c r="T402" s="673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512" t="s">
        <v>664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60"/>
      <c r="B403" s="660"/>
      <c r="C403" s="660"/>
      <c r="D403" s="660"/>
      <c r="E403" s="660"/>
      <c r="F403" s="660"/>
      <c r="G403" s="660"/>
      <c r="H403" s="660"/>
      <c r="I403" s="660"/>
      <c r="J403" s="660"/>
      <c r="K403" s="660"/>
      <c r="L403" s="660"/>
      <c r="M403" s="660"/>
      <c r="N403" s="660"/>
      <c r="O403" s="661"/>
      <c r="P403" s="657" t="s">
        <v>40</v>
      </c>
      <c r="Q403" s="658"/>
      <c r="R403" s="658"/>
      <c r="S403" s="658"/>
      <c r="T403" s="658"/>
      <c r="U403" s="658"/>
      <c r="V403" s="659"/>
      <c r="W403" s="42" t="s">
        <v>39</v>
      </c>
      <c r="X403" s="43">
        <f>IFERROR(X399/H399,"0")+IFERROR(X400/H400,"0")+IFERROR(X401/H401,"0")+IFERROR(X402/H402,"0")</f>
        <v>0</v>
      </c>
      <c r="Y403" s="43">
        <f>IFERROR(Y399/H399,"0")+IFERROR(Y400/H400,"0")+IFERROR(Y401/H401,"0")+IFERROR(Y402/H402,"0")</f>
        <v>0</v>
      </c>
      <c r="Z403" s="43">
        <f>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60"/>
      <c r="B404" s="660"/>
      <c r="C404" s="660"/>
      <c r="D404" s="660"/>
      <c r="E404" s="660"/>
      <c r="F404" s="660"/>
      <c r="G404" s="660"/>
      <c r="H404" s="660"/>
      <c r="I404" s="660"/>
      <c r="J404" s="660"/>
      <c r="K404" s="660"/>
      <c r="L404" s="660"/>
      <c r="M404" s="660"/>
      <c r="N404" s="660"/>
      <c r="O404" s="661"/>
      <c r="P404" s="657" t="s">
        <v>40</v>
      </c>
      <c r="Q404" s="658"/>
      <c r="R404" s="658"/>
      <c r="S404" s="658"/>
      <c r="T404" s="658"/>
      <c r="U404" s="658"/>
      <c r="V404" s="659"/>
      <c r="W404" s="42" t="s">
        <v>0</v>
      </c>
      <c r="X404" s="43">
        <f>IFERROR(SUM(X399:X402),"0")</f>
        <v>0</v>
      </c>
      <c r="Y404" s="43">
        <f>IFERROR(SUM(Y399:Y402),"0")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9" t="s">
        <v>671</v>
      </c>
      <c r="B405" s="669"/>
      <c r="C405" s="669"/>
      <c r="D405" s="669"/>
      <c r="E405" s="669"/>
      <c r="F405" s="669"/>
      <c r="G405" s="669"/>
      <c r="H405" s="669"/>
      <c r="I405" s="669"/>
      <c r="J405" s="669"/>
      <c r="K405" s="669"/>
      <c r="L405" s="669"/>
      <c r="M405" s="669"/>
      <c r="N405" s="669"/>
      <c r="O405" s="669"/>
      <c r="P405" s="669"/>
      <c r="Q405" s="669"/>
      <c r="R405" s="669"/>
      <c r="S405" s="669"/>
      <c r="T405" s="669"/>
      <c r="U405" s="669"/>
      <c r="V405" s="669"/>
      <c r="W405" s="669"/>
      <c r="X405" s="669"/>
      <c r="Y405" s="669"/>
      <c r="Z405" s="669"/>
      <c r="AA405" s="66"/>
      <c r="AB405" s="66"/>
      <c r="AC405" s="80"/>
    </row>
    <row r="406" spans="1:68" ht="16.5" hidden="1" customHeight="1" x14ac:dyDescent="0.25">
      <c r="A406" s="63" t="s">
        <v>672</v>
      </c>
      <c r="B406" s="63" t="s">
        <v>673</v>
      </c>
      <c r="C406" s="36">
        <v>4301180007</v>
      </c>
      <c r="D406" s="670">
        <v>4680115881808</v>
      </c>
      <c r="E406" s="670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675</v>
      </c>
      <c r="N406" s="38"/>
      <c r="O406" s="37">
        <v>731</v>
      </c>
      <c r="P406" s="74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672"/>
      <c r="R406" s="672"/>
      <c r="S406" s="672"/>
      <c r="T406" s="673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674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676</v>
      </c>
      <c r="B407" s="63" t="s">
        <v>677</v>
      </c>
      <c r="C407" s="36">
        <v>4301180006</v>
      </c>
      <c r="D407" s="670">
        <v>4680115881822</v>
      </c>
      <c r="E407" s="670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675</v>
      </c>
      <c r="N407" s="38"/>
      <c r="O407" s="37">
        <v>731</v>
      </c>
      <c r="P407" s="74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672"/>
      <c r="R407" s="672"/>
      <c r="S407" s="672"/>
      <c r="T407" s="673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674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678</v>
      </c>
      <c r="B408" s="63" t="s">
        <v>679</v>
      </c>
      <c r="C408" s="36">
        <v>4301180001</v>
      </c>
      <c r="D408" s="670">
        <v>4680115880016</v>
      </c>
      <c r="E408" s="670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90</v>
      </c>
      <c r="L408" s="37" t="s">
        <v>46</v>
      </c>
      <c r="M408" s="38" t="s">
        <v>675</v>
      </c>
      <c r="N408" s="38"/>
      <c r="O408" s="37">
        <v>731</v>
      </c>
      <c r="P408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672"/>
      <c r="R408" s="672"/>
      <c r="S408" s="672"/>
      <c r="T408" s="673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674</v>
      </c>
      <c r="AG408" s="78"/>
      <c r="AJ408" s="84" t="s">
        <v>46</v>
      </c>
      <c r="AK408" s="84">
        <v>0</v>
      </c>
      <c r="BB408" s="519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60"/>
      <c r="B409" s="660"/>
      <c r="C409" s="660"/>
      <c r="D409" s="660"/>
      <c r="E409" s="660"/>
      <c r="F409" s="660"/>
      <c r="G409" s="660"/>
      <c r="H409" s="660"/>
      <c r="I409" s="660"/>
      <c r="J409" s="660"/>
      <c r="K409" s="660"/>
      <c r="L409" s="660"/>
      <c r="M409" s="660"/>
      <c r="N409" s="660"/>
      <c r="O409" s="661"/>
      <c r="P409" s="657" t="s">
        <v>40</v>
      </c>
      <c r="Q409" s="658"/>
      <c r="R409" s="658"/>
      <c r="S409" s="658"/>
      <c r="T409" s="658"/>
      <c r="U409" s="658"/>
      <c r="V409" s="659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60"/>
      <c r="B410" s="660"/>
      <c r="C410" s="660"/>
      <c r="D410" s="660"/>
      <c r="E410" s="660"/>
      <c r="F410" s="660"/>
      <c r="G410" s="660"/>
      <c r="H410" s="660"/>
      <c r="I410" s="660"/>
      <c r="J410" s="660"/>
      <c r="K410" s="660"/>
      <c r="L410" s="660"/>
      <c r="M410" s="660"/>
      <c r="N410" s="660"/>
      <c r="O410" s="661"/>
      <c r="P410" s="657" t="s">
        <v>40</v>
      </c>
      <c r="Q410" s="658"/>
      <c r="R410" s="658"/>
      <c r="S410" s="658"/>
      <c r="T410" s="658"/>
      <c r="U410" s="658"/>
      <c r="V410" s="659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4.25" hidden="1" customHeight="1" x14ac:dyDescent="0.25">
      <c r="A411" s="669" t="s">
        <v>680</v>
      </c>
      <c r="B411" s="669"/>
      <c r="C411" s="669"/>
      <c r="D411" s="669"/>
      <c r="E411" s="669"/>
      <c r="F411" s="669"/>
      <c r="G411" s="669"/>
      <c r="H411" s="669"/>
      <c r="I411" s="669"/>
      <c r="J411" s="669"/>
      <c r="K411" s="669"/>
      <c r="L411" s="669"/>
      <c r="M411" s="669"/>
      <c r="N411" s="669"/>
      <c r="O411" s="669"/>
      <c r="P411" s="669"/>
      <c r="Q411" s="669"/>
      <c r="R411" s="669"/>
      <c r="S411" s="669"/>
      <c r="T411" s="669"/>
      <c r="U411" s="669"/>
      <c r="V411" s="669"/>
      <c r="W411" s="669"/>
      <c r="X411" s="669"/>
      <c r="Y411" s="669"/>
      <c r="Z411" s="669"/>
      <c r="AA411" s="66"/>
      <c r="AB411" s="66"/>
      <c r="AC411" s="80"/>
    </row>
    <row r="412" spans="1:68" ht="27" hidden="1" customHeight="1" x14ac:dyDescent="0.25">
      <c r="A412" s="63" t="s">
        <v>681</v>
      </c>
      <c r="B412" s="63" t="s">
        <v>682</v>
      </c>
      <c r="C412" s="36">
        <v>4301220003</v>
      </c>
      <c r="D412" s="670">
        <v>4680115888678</v>
      </c>
      <c r="E412" s="670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90</v>
      </c>
      <c r="L412" s="37" t="s">
        <v>46</v>
      </c>
      <c r="M412" s="38" t="s">
        <v>675</v>
      </c>
      <c r="N412" s="38"/>
      <c r="O412" s="37">
        <v>1096</v>
      </c>
      <c r="P412" s="74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672"/>
      <c r="R412" s="672"/>
      <c r="S412" s="672"/>
      <c r="T412" s="673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683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684</v>
      </c>
      <c r="B413" s="63" t="s">
        <v>685</v>
      </c>
      <c r="C413" s="36">
        <v>4301220001</v>
      </c>
      <c r="D413" s="670">
        <v>4680115888654</v>
      </c>
      <c r="E413" s="670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133</v>
      </c>
      <c r="L413" s="37" t="s">
        <v>46</v>
      </c>
      <c r="M413" s="38" t="s">
        <v>675</v>
      </c>
      <c r="N413" s="38"/>
      <c r="O413" s="37">
        <v>1096</v>
      </c>
      <c r="P413" s="74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672"/>
      <c r="R413" s="672"/>
      <c r="S413" s="672"/>
      <c r="T413" s="673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IFERROR(IF(Y413=0,"",ROUNDUP(Y413/H413,0)*0.006),"")</f>
        <v/>
      </c>
      <c r="AA413" s="68" t="s">
        <v>46</v>
      </c>
      <c r="AB413" s="69" t="s">
        <v>46</v>
      </c>
      <c r="AC413" s="522" t="s">
        <v>686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687</v>
      </c>
      <c r="B414" s="63" t="s">
        <v>688</v>
      </c>
      <c r="C414" s="36">
        <v>4301220002</v>
      </c>
      <c r="D414" s="670">
        <v>4680115888753</v>
      </c>
      <c r="E414" s="670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90</v>
      </c>
      <c r="L414" s="37" t="s">
        <v>46</v>
      </c>
      <c r="M414" s="38" t="s">
        <v>675</v>
      </c>
      <c r="N414" s="38"/>
      <c r="O414" s="37">
        <v>1096</v>
      </c>
      <c r="P414" s="74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672"/>
      <c r="R414" s="672"/>
      <c r="S414" s="672"/>
      <c r="T414" s="673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683</v>
      </c>
      <c r="AG414" s="78"/>
      <c r="AJ414" s="84" t="s">
        <v>46</v>
      </c>
      <c r="AK414" s="84">
        <v>0</v>
      </c>
      <c r="BB414" s="525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60"/>
      <c r="B415" s="660"/>
      <c r="C415" s="660"/>
      <c r="D415" s="660"/>
      <c r="E415" s="660"/>
      <c r="F415" s="660"/>
      <c r="G415" s="660"/>
      <c r="H415" s="660"/>
      <c r="I415" s="660"/>
      <c r="J415" s="660"/>
      <c r="K415" s="660"/>
      <c r="L415" s="660"/>
      <c r="M415" s="660"/>
      <c r="N415" s="660"/>
      <c r="O415" s="661"/>
      <c r="P415" s="657" t="s">
        <v>40</v>
      </c>
      <c r="Q415" s="658"/>
      <c r="R415" s="658"/>
      <c r="S415" s="658"/>
      <c r="T415" s="658"/>
      <c r="U415" s="658"/>
      <c r="V415" s="659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660"/>
      <c r="B416" s="660"/>
      <c r="C416" s="660"/>
      <c r="D416" s="660"/>
      <c r="E416" s="660"/>
      <c r="F416" s="660"/>
      <c r="G416" s="660"/>
      <c r="H416" s="660"/>
      <c r="I416" s="660"/>
      <c r="J416" s="660"/>
      <c r="K416" s="660"/>
      <c r="L416" s="660"/>
      <c r="M416" s="660"/>
      <c r="N416" s="660"/>
      <c r="O416" s="661"/>
      <c r="P416" s="657" t="s">
        <v>40</v>
      </c>
      <c r="Q416" s="658"/>
      <c r="R416" s="658"/>
      <c r="S416" s="658"/>
      <c r="T416" s="658"/>
      <c r="U416" s="658"/>
      <c r="V416" s="659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76" t="s">
        <v>689</v>
      </c>
      <c r="B417" s="676"/>
      <c r="C417" s="676"/>
      <c r="D417" s="676"/>
      <c r="E417" s="676"/>
      <c r="F417" s="676"/>
      <c r="G417" s="676"/>
      <c r="H417" s="676"/>
      <c r="I417" s="676"/>
      <c r="J417" s="676"/>
      <c r="K417" s="676"/>
      <c r="L417" s="676"/>
      <c r="M417" s="676"/>
      <c r="N417" s="676"/>
      <c r="O417" s="676"/>
      <c r="P417" s="676"/>
      <c r="Q417" s="676"/>
      <c r="R417" s="676"/>
      <c r="S417" s="676"/>
      <c r="T417" s="676"/>
      <c r="U417" s="676"/>
      <c r="V417" s="676"/>
      <c r="W417" s="676"/>
      <c r="X417" s="676"/>
      <c r="Y417" s="676"/>
      <c r="Z417" s="676"/>
      <c r="AA417" s="65"/>
      <c r="AB417" s="65"/>
      <c r="AC417" s="79"/>
    </row>
    <row r="418" spans="1:68" ht="14.25" hidden="1" customHeight="1" x14ac:dyDescent="0.25">
      <c r="A418" s="669" t="s">
        <v>85</v>
      </c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69"/>
      <c r="P418" s="669"/>
      <c r="Q418" s="669"/>
      <c r="R418" s="669"/>
      <c r="S418" s="669"/>
      <c r="T418" s="669"/>
      <c r="U418" s="669"/>
      <c r="V418" s="669"/>
      <c r="W418" s="669"/>
      <c r="X418" s="669"/>
      <c r="Y418" s="669"/>
      <c r="Z418" s="669"/>
      <c r="AA418" s="66"/>
      <c r="AB418" s="66"/>
      <c r="AC418" s="80"/>
    </row>
    <row r="419" spans="1:68" ht="16.5" hidden="1" customHeight="1" x14ac:dyDescent="0.25">
      <c r="A419" s="63" t="s">
        <v>690</v>
      </c>
      <c r="B419" s="63" t="s">
        <v>691</v>
      </c>
      <c r="C419" s="36">
        <v>4301052235</v>
      </c>
      <c r="D419" s="670">
        <v>4680115889415</v>
      </c>
      <c r="E419" s="670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73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672"/>
      <c r="R419" s="672"/>
      <c r="S419" s="672"/>
      <c r="T419" s="673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692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hidden="1" customHeight="1" x14ac:dyDescent="0.25">
      <c r="A420" s="63" t="s">
        <v>693</v>
      </c>
      <c r="B420" s="63" t="s">
        <v>694</v>
      </c>
      <c r="C420" s="36">
        <v>4301052236</v>
      </c>
      <c r="D420" s="670">
        <v>4680115889422</v>
      </c>
      <c r="E420" s="670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126</v>
      </c>
      <c r="L420" s="37" t="s">
        <v>46</v>
      </c>
      <c r="M420" s="38" t="s">
        <v>89</v>
      </c>
      <c r="N420" s="38"/>
      <c r="O420" s="37">
        <v>40</v>
      </c>
      <c r="P420" s="73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672"/>
      <c r="R420" s="672"/>
      <c r="S420" s="672"/>
      <c r="T420" s="673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695</v>
      </c>
      <c r="AG420" s="78"/>
      <c r="AJ420" s="84" t="s">
        <v>46</v>
      </c>
      <c r="AK420" s="84">
        <v>0</v>
      </c>
      <c r="BB420" s="52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60"/>
      <c r="B421" s="660"/>
      <c r="C421" s="660"/>
      <c r="D421" s="660"/>
      <c r="E421" s="660"/>
      <c r="F421" s="660"/>
      <c r="G421" s="660"/>
      <c r="H421" s="660"/>
      <c r="I421" s="660"/>
      <c r="J421" s="660"/>
      <c r="K421" s="660"/>
      <c r="L421" s="660"/>
      <c r="M421" s="660"/>
      <c r="N421" s="660"/>
      <c r="O421" s="661"/>
      <c r="P421" s="657" t="s">
        <v>40</v>
      </c>
      <c r="Q421" s="658"/>
      <c r="R421" s="658"/>
      <c r="S421" s="658"/>
      <c r="T421" s="658"/>
      <c r="U421" s="658"/>
      <c r="V421" s="659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hidden="1" x14ac:dyDescent="0.2">
      <c r="A422" s="660"/>
      <c r="B422" s="660"/>
      <c r="C422" s="660"/>
      <c r="D422" s="660"/>
      <c r="E422" s="660"/>
      <c r="F422" s="660"/>
      <c r="G422" s="660"/>
      <c r="H422" s="660"/>
      <c r="I422" s="660"/>
      <c r="J422" s="660"/>
      <c r="K422" s="660"/>
      <c r="L422" s="660"/>
      <c r="M422" s="660"/>
      <c r="N422" s="660"/>
      <c r="O422" s="661"/>
      <c r="P422" s="657" t="s">
        <v>40</v>
      </c>
      <c r="Q422" s="658"/>
      <c r="R422" s="658"/>
      <c r="S422" s="658"/>
      <c r="T422" s="658"/>
      <c r="U422" s="658"/>
      <c r="V422" s="659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hidden="1" customHeight="1" x14ac:dyDescent="0.25">
      <c r="A423" s="676" t="s">
        <v>696</v>
      </c>
      <c r="B423" s="676"/>
      <c r="C423" s="676"/>
      <c r="D423" s="676"/>
      <c r="E423" s="676"/>
      <c r="F423" s="676"/>
      <c r="G423" s="676"/>
      <c r="H423" s="676"/>
      <c r="I423" s="676"/>
      <c r="J423" s="676"/>
      <c r="K423" s="676"/>
      <c r="L423" s="676"/>
      <c r="M423" s="676"/>
      <c r="N423" s="676"/>
      <c r="O423" s="676"/>
      <c r="P423" s="676"/>
      <c r="Q423" s="676"/>
      <c r="R423" s="676"/>
      <c r="S423" s="676"/>
      <c r="T423" s="676"/>
      <c r="U423" s="676"/>
      <c r="V423" s="676"/>
      <c r="W423" s="676"/>
      <c r="X423" s="676"/>
      <c r="Y423" s="676"/>
      <c r="Z423" s="676"/>
      <c r="AA423" s="65"/>
      <c r="AB423" s="65"/>
      <c r="AC423" s="79"/>
    </row>
    <row r="424" spans="1:68" ht="14.25" hidden="1" customHeight="1" x14ac:dyDescent="0.25">
      <c r="A424" s="669" t="s">
        <v>85</v>
      </c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69"/>
      <c r="P424" s="669"/>
      <c r="Q424" s="669"/>
      <c r="R424" s="669"/>
      <c r="S424" s="669"/>
      <c r="T424" s="669"/>
      <c r="U424" s="669"/>
      <c r="V424" s="669"/>
      <c r="W424" s="669"/>
      <c r="X424" s="669"/>
      <c r="Y424" s="669"/>
      <c r="Z424" s="669"/>
      <c r="AA424" s="66"/>
      <c r="AB424" s="66"/>
      <c r="AC424" s="80"/>
    </row>
    <row r="425" spans="1:68" ht="27" hidden="1" customHeight="1" x14ac:dyDescent="0.25">
      <c r="A425" s="63" t="s">
        <v>697</v>
      </c>
      <c r="B425" s="63" t="s">
        <v>698</v>
      </c>
      <c r="C425" s="36">
        <v>4301051489</v>
      </c>
      <c r="D425" s="670">
        <v>4607091387919</v>
      </c>
      <c r="E425" s="670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126</v>
      </c>
      <c r="L425" s="37" t="s">
        <v>46</v>
      </c>
      <c r="M425" s="38" t="s">
        <v>96</v>
      </c>
      <c r="N425" s="38"/>
      <c r="O425" s="37">
        <v>45</v>
      </c>
      <c r="P425" s="73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672"/>
      <c r="R425" s="672"/>
      <c r="S425" s="672"/>
      <c r="T425" s="673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699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700</v>
      </c>
      <c r="B426" s="63" t="s">
        <v>701</v>
      </c>
      <c r="C426" s="36">
        <v>4301051461</v>
      </c>
      <c r="D426" s="670">
        <v>4680115883604</v>
      </c>
      <c r="E426" s="670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90</v>
      </c>
      <c r="L426" s="37" t="s">
        <v>46</v>
      </c>
      <c r="M426" s="38" t="s">
        <v>89</v>
      </c>
      <c r="N426" s="38"/>
      <c r="O426" s="37">
        <v>45</v>
      </c>
      <c r="P426" s="73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672"/>
      <c r="R426" s="672"/>
      <c r="S426" s="672"/>
      <c r="T426" s="673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702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t="27" hidden="1" customHeight="1" x14ac:dyDescent="0.25">
      <c r="A427" s="63" t="s">
        <v>703</v>
      </c>
      <c r="B427" s="63" t="s">
        <v>704</v>
      </c>
      <c r="C427" s="36">
        <v>4301051864</v>
      </c>
      <c r="D427" s="670">
        <v>4680115883567</v>
      </c>
      <c r="E427" s="670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90</v>
      </c>
      <c r="L427" s="37" t="s">
        <v>46</v>
      </c>
      <c r="M427" s="38" t="s">
        <v>96</v>
      </c>
      <c r="N427" s="38"/>
      <c r="O427" s="37">
        <v>40</v>
      </c>
      <c r="P427" s="73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672"/>
      <c r="R427" s="672"/>
      <c r="S427" s="672"/>
      <c r="T427" s="673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IFERROR(IF(Y427=0,"",ROUNDUP(Y427/H427,0)*0.00651),"")</f>
        <v/>
      </c>
      <c r="AA427" s="68" t="s">
        <v>46</v>
      </c>
      <c r="AB427" s="69" t="s">
        <v>46</v>
      </c>
      <c r="AC427" s="534" t="s">
        <v>705</v>
      </c>
      <c r="AG427" s="78"/>
      <c r="AJ427" s="84" t="s">
        <v>46</v>
      </c>
      <c r="AK427" s="84">
        <v>0</v>
      </c>
      <c r="BB427" s="535" t="s">
        <v>67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idden="1" x14ac:dyDescent="0.2">
      <c r="A428" s="660"/>
      <c r="B428" s="660"/>
      <c r="C428" s="660"/>
      <c r="D428" s="660"/>
      <c r="E428" s="660"/>
      <c r="F428" s="660"/>
      <c r="G428" s="660"/>
      <c r="H428" s="660"/>
      <c r="I428" s="660"/>
      <c r="J428" s="660"/>
      <c r="K428" s="660"/>
      <c r="L428" s="660"/>
      <c r="M428" s="660"/>
      <c r="N428" s="660"/>
      <c r="O428" s="661"/>
      <c r="P428" s="657" t="s">
        <v>40</v>
      </c>
      <c r="Q428" s="658"/>
      <c r="R428" s="658"/>
      <c r="S428" s="658"/>
      <c r="T428" s="658"/>
      <c r="U428" s="658"/>
      <c r="V428" s="659"/>
      <c r="W428" s="42" t="s">
        <v>39</v>
      </c>
      <c r="X428" s="43">
        <f>IFERROR(X425/H425,"0")+IFERROR(X426/H426,"0")+IFERROR(X427/H427,"0")</f>
        <v>0</v>
      </c>
      <c r="Y428" s="43">
        <f>IFERROR(Y425/H425,"0")+IFERROR(Y426/H426,"0")+IFERROR(Y427/H427,"0")</f>
        <v>0</v>
      </c>
      <c r="Z428" s="43">
        <f>IFERROR(IF(Z425="",0,Z425),"0")+IFERROR(IF(Z426="",0,Z426),"0")+IFERROR(IF(Z427="",0,Z427),"0")</f>
        <v>0</v>
      </c>
      <c r="AA428" s="67"/>
      <c r="AB428" s="67"/>
      <c r="AC428" s="67"/>
    </row>
    <row r="429" spans="1:68" hidden="1" x14ac:dyDescent="0.2">
      <c r="A429" s="660"/>
      <c r="B429" s="660"/>
      <c r="C429" s="660"/>
      <c r="D429" s="660"/>
      <c r="E429" s="660"/>
      <c r="F429" s="660"/>
      <c r="G429" s="660"/>
      <c r="H429" s="660"/>
      <c r="I429" s="660"/>
      <c r="J429" s="660"/>
      <c r="K429" s="660"/>
      <c r="L429" s="660"/>
      <c r="M429" s="660"/>
      <c r="N429" s="660"/>
      <c r="O429" s="661"/>
      <c r="P429" s="657" t="s">
        <v>40</v>
      </c>
      <c r="Q429" s="658"/>
      <c r="R429" s="658"/>
      <c r="S429" s="658"/>
      <c r="T429" s="658"/>
      <c r="U429" s="658"/>
      <c r="V429" s="659"/>
      <c r="W429" s="42" t="s">
        <v>0</v>
      </c>
      <c r="X429" s="43">
        <f>IFERROR(SUM(X425:X427),"0")</f>
        <v>0</v>
      </c>
      <c r="Y429" s="43">
        <f>IFERROR(SUM(Y425:Y427),"0")</f>
        <v>0</v>
      </c>
      <c r="Z429" s="42"/>
      <c r="AA429" s="67"/>
      <c r="AB429" s="67"/>
      <c r="AC429" s="67"/>
    </row>
    <row r="430" spans="1:68" ht="27.75" hidden="1" customHeight="1" x14ac:dyDescent="0.2">
      <c r="A430" s="687" t="s">
        <v>706</v>
      </c>
      <c r="B430" s="687"/>
      <c r="C430" s="687"/>
      <c r="D430" s="687"/>
      <c r="E430" s="687"/>
      <c r="F430" s="687"/>
      <c r="G430" s="687"/>
      <c r="H430" s="687"/>
      <c r="I430" s="687"/>
      <c r="J430" s="687"/>
      <c r="K430" s="687"/>
      <c r="L430" s="687"/>
      <c r="M430" s="687"/>
      <c r="N430" s="687"/>
      <c r="O430" s="687"/>
      <c r="P430" s="687"/>
      <c r="Q430" s="687"/>
      <c r="R430" s="687"/>
      <c r="S430" s="687"/>
      <c r="T430" s="687"/>
      <c r="U430" s="687"/>
      <c r="V430" s="687"/>
      <c r="W430" s="687"/>
      <c r="X430" s="687"/>
      <c r="Y430" s="687"/>
      <c r="Z430" s="687"/>
      <c r="AA430" s="54"/>
      <c r="AB430" s="54"/>
      <c r="AC430" s="54"/>
    </row>
    <row r="431" spans="1:68" ht="16.5" hidden="1" customHeight="1" x14ac:dyDescent="0.25">
      <c r="A431" s="676" t="s">
        <v>707</v>
      </c>
      <c r="B431" s="676"/>
      <c r="C431" s="676"/>
      <c r="D431" s="676"/>
      <c r="E431" s="676"/>
      <c r="F431" s="676"/>
      <c r="G431" s="676"/>
      <c r="H431" s="676"/>
      <c r="I431" s="676"/>
      <c r="J431" s="676"/>
      <c r="K431" s="676"/>
      <c r="L431" s="676"/>
      <c r="M431" s="676"/>
      <c r="N431" s="676"/>
      <c r="O431" s="676"/>
      <c r="P431" s="676"/>
      <c r="Q431" s="676"/>
      <c r="R431" s="676"/>
      <c r="S431" s="676"/>
      <c r="T431" s="676"/>
      <c r="U431" s="676"/>
      <c r="V431" s="676"/>
      <c r="W431" s="676"/>
      <c r="X431" s="676"/>
      <c r="Y431" s="676"/>
      <c r="Z431" s="676"/>
      <c r="AA431" s="65"/>
      <c r="AB431" s="65"/>
      <c r="AC431" s="79"/>
    </row>
    <row r="432" spans="1:68" ht="14.25" hidden="1" customHeight="1" x14ac:dyDescent="0.25">
      <c r="A432" s="669" t="s">
        <v>121</v>
      </c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69"/>
      <c r="P432" s="669"/>
      <c r="Q432" s="669"/>
      <c r="R432" s="669"/>
      <c r="S432" s="669"/>
      <c r="T432" s="669"/>
      <c r="U432" s="669"/>
      <c r="V432" s="669"/>
      <c r="W432" s="669"/>
      <c r="X432" s="669"/>
      <c r="Y432" s="669"/>
      <c r="Z432" s="669"/>
      <c r="AA432" s="66"/>
      <c r="AB432" s="66"/>
      <c r="AC432" s="80"/>
    </row>
    <row r="433" spans="1:68" ht="27" hidden="1" customHeight="1" x14ac:dyDescent="0.25">
      <c r="A433" s="63" t="s">
        <v>708</v>
      </c>
      <c r="B433" s="63" t="s">
        <v>709</v>
      </c>
      <c r="C433" s="36">
        <v>4301012332</v>
      </c>
      <c r="D433" s="670">
        <v>4680115888401</v>
      </c>
      <c r="E433" s="670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96</v>
      </c>
      <c r="N433" s="38"/>
      <c r="O433" s="37">
        <v>60</v>
      </c>
      <c r="P433" s="73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672"/>
      <c r="R433" s="672"/>
      <c r="S433" s="672"/>
      <c r="T433" s="673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ref="Y433:Y440" si="68"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710</v>
      </c>
      <c r="AG433" s="78"/>
      <c r="AJ433" s="84" t="s">
        <v>46</v>
      </c>
      <c r="AK433" s="84">
        <v>0</v>
      </c>
      <c r="BB433" s="537" t="s">
        <v>67</v>
      </c>
      <c r="BM433" s="78">
        <f t="shared" ref="BM433:BM440" si="69">IFERROR(X433*I433/H433,"0")</f>
        <v>0</v>
      </c>
      <c r="BN433" s="78">
        <f t="shared" ref="BN433:BN440" si="70">IFERROR(Y433*I433/H433,"0")</f>
        <v>0</v>
      </c>
      <c r="BO433" s="78">
        <f t="shared" ref="BO433:BO440" si="71">IFERROR(1/J433*(X433/H433),"0")</f>
        <v>0</v>
      </c>
      <c r="BP433" s="78">
        <f t="shared" ref="BP433:BP440" si="72">IFERROR(1/J433*(Y433/H433),"0")</f>
        <v>0</v>
      </c>
    </row>
    <row r="434" spans="1:68" ht="37.5" hidden="1" customHeight="1" x14ac:dyDescent="0.25">
      <c r="A434" s="63" t="s">
        <v>711</v>
      </c>
      <c r="B434" s="63" t="s">
        <v>712</v>
      </c>
      <c r="C434" s="36">
        <v>4301011869</v>
      </c>
      <c r="D434" s="670">
        <v>4680115884847</v>
      </c>
      <c r="E434" s="670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80</v>
      </c>
      <c r="N434" s="38"/>
      <c r="O434" s="37">
        <v>60</v>
      </c>
      <c r="P434" s="73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672"/>
      <c r="R434" s="672"/>
      <c r="S434" s="672"/>
      <c r="T434" s="673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713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customHeight="1" x14ac:dyDescent="0.25">
      <c r="A435" s="63" t="s">
        <v>714</v>
      </c>
      <c r="B435" s="63" t="s">
        <v>715</v>
      </c>
      <c r="C435" s="36">
        <v>4301012083</v>
      </c>
      <c r="D435" s="670">
        <v>4680115884854</v>
      </c>
      <c r="E435" s="670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125</v>
      </c>
      <c r="N435" s="38"/>
      <c r="O435" s="37">
        <v>60</v>
      </c>
      <c r="P435" s="73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672"/>
      <c r="R435" s="672"/>
      <c r="S435" s="672"/>
      <c r="T435" s="673"/>
      <c r="U435" s="39" t="s">
        <v>46</v>
      </c>
      <c r="V435" s="39" t="s">
        <v>46</v>
      </c>
      <c r="W435" s="40" t="s">
        <v>0</v>
      </c>
      <c r="X435" s="58">
        <v>300</v>
      </c>
      <c r="Y435" s="55">
        <f t="shared" si="68"/>
        <v>300</v>
      </c>
      <c r="Z435" s="41">
        <f>IFERROR(IF(Y435=0,"",ROUNDUP(Y435/H435,0)*0.02175),"")</f>
        <v>0.43499999999999994</v>
      </c>
      <c r="AA435" s="68" t="s">
        <v>46</v>
      </c>
      <c r="AB435" s="69" t="s">
        <v>46</v>
      </c>
      <c r="AC435" s="540" t="s">
        <v>716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309.39999999999998</v>
      </c>
      <c r="BN435" s="78">
        <f t="shared" si="70"/>
        <v>309.39999999999998</v>
      </c>
      <c r="BO435" s="78">
        <f t="shared" si="71"/>
        <v>0.41666666666666663</v>
      </c>
      <c r="BP435" s="78">
        <f t="shared" si="72"/>
        <v>0.41666666666666663</v>
      </c>
    </row>
    <row r="436" spans="1:68" ht="27" customHeight="1" x14ac:dyDescent="0.25">
      <c r="A436" s="63" t="s">
        <v>717</v>
      </c>
      <c r="B436" s="63" t="s">
        <v>718</v>
      </c>
      <c r="C436" s="36">
        <v>4301011867</v>
      </c>
      <c r="D436" s="670">
        <v>4680115884830</v>
      </c>
      <c r="E436" s="670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80</v>
      </c>
      <c r="N436" s="38"/>
      <c r="O436" s="37">
        <v>60</v>
      </c>
      <c r="P436" s="73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672"/>
      <c r="R436" s="672"/>
      <c r="S436" s="672"/>
      <c r="T436" s="673"/>
      <c r="U436" s="39" t="s">
        <v>46</v>
      </c>
      <c r="V436" s="39" t="s">
        <v>46</v>
      </c>
      <c r="W436" s="40" t="s">
        <v>0</v>
      </c>
      <c r="X436" s="58">
        <v>105</v>
      </c>
      <c r="Y436" s="55">
        <f t="shared" si="68"/>
        <v>105</v>
      </c>
      <c r="Z436" s="41">
        <f>IFERROR(IF(Y436=0,"",ROUNDUP(Y436/H436,0)*0.02175),"")</f>
        <v>0.15225</v>
      </c>
      <c r="AA436" s="68" t="s">
        <v>46</v>
      </c>
      <c r="AB436" s="69" t="s">
        <v>46</v>
      </c>
      <c r="AC436" s="542" t="s">
        <v>719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108.29</v>
      </c>
      <c r="BN436" s="78">
        <f t="shared" si="70"/>
        <v>108.29</v>
      </c>
      <c r="BO436" s="78">
        <f t="shared" si="71"/>
        <v>0.14583333333333331</v>
      </c>
      <c r="BP436" s="78">
        <f t="shared" si="72"/>
        <v>0.14583333333333331</v>
      </c>
    </row>
    <row r="437" spans="1:68" ht="27" hidden="1" customHeight="1" x14ac:dyDescent="0.25">
      <c r="A437" s="63" t="s">
        <v>720</v>
      </c>
      <c r="B437" s="63" t="s">
        <v>721</v>
      </c>
      <c r="C437" s="36">
        <v>4301012356</v>
      </c>
      <c r="D437" s="670">
        <v>4680115889231</v>
      </c>
      <c r="E437" s="670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126</v>
      </c>
      <c r="L437" s="37" t="s">
        <v>46</v>
      </c>
      <c r="M437" s="38" t="s">
        <v>96</v>
      </c>
      <c r="N437" s="38"/>
      <c r="O437" s="37">
        <v>60</v>
      </c>
      <c r="P437" s="73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672"/>
      <c r="R437" s="672"/>
      <c r="S437" s="672"/>
      <c r="T437" s="673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722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723</v>
      </c>
      <c r="B438" s="63" t="s">
        <v>724</v>
      </c>
      <c r="C438" s="36">
        <v>4301011433</v>
      </c>
      <c r="D438" s="670">
        <v>4680115882638</v>
      </c>
      <c r="E438" s="670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133</v>
      </c>
      <c r="L438" s="37" t="s">
        <v>46</v>
      </c>
      <c r="M438" s="38" t="s">
        <v>125</v>
      </c>
      <c r="N438" s="38"/>
      <c r="O438" s="37">
        <v>90</v>
      </c>
      <c r="P438" s="72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672"/>
      <c r="R438" s="672"/>
      <c r="S438" s="672"/>
      <c r="T438" s="673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725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27" hidden="1" customHeight="1" x14ac:dyDescent="0.25">
      <c r="A439" s="63" t="s">
        <v>726</v>
      </c>
      <c r="B439" s="63" t="s">
        <v>727</v>
      </c>
      <c r="C439" s="36">
        <v>4301011952</v>
      </c>
      <c r="D439" s="670">
        <v>4680115884922</v>
      </c>
      <c r="E439" s="670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7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672"/>
      <c r="R439" s="672"/>
      <c r="S439" s="672"/>
      <c r="T439" s="673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728</v>
      </c>
      <c r="AG439" s="78"/>
      <c r="AJ439" s="84" t="s">
        <v>46</v>
      </c>
      <c r="AK439" s="84">
        <v>0</v>
      </c>
      <c r="BB439" s="549" t="s">
        <v>67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ht="37.5" hidden="1" customHeight="1" x14ac:dyDescent="0.25">
      <c r="A440" s="63" t="s">
        <v>729</v>
      </c>
      <c r="B440" s="63" t="s">
        <v>730</v>
      </c>
      <c r="C440" s="36">
        <v>4301011868</v>
      </c>
      <c r="D440" s="670">
        <v>4680115884861</v>
      </c>
      <c r="E440" s="670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133</v>
      </c>
      <c r="L440" s="37" t="s">
        <v>46</v>
      </c>
      <c r="M440" s="38" t="s">
        <v>80</v>
      </c>
      <c r="N440" s="38"/>
      <c r="O440" s="37">
        <v>60</v>
      </c>
      <c r="P440" s="72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672"/>
      <c r="R440" s="672"/>
      <c r="S440" s="672"/>
      <c r="T440" s="673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8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731</v>
      </c>
      <c r="AG440" s="78"/>
      <c r="AJ440" s="84" t="s">
        <v>46</v>
      </c>
      <c r="AK440" s="84">
        <v>0</v>
      </c>
      <c r="BB440" s="551" t="s">
        <v>67</v>
      </c>
      <c r="BM440" s="78">
        <f t="shared" si="69"/>
        <v>0</v>
      </c>
      <c r="BN440" s="78">
        <f t="shared" si="70"/>
        <v>0</v>
      </c>
      <c r="BO440" s="78">
        <f t="shared" si="71"/>
        <v>0</v>
      </c>
      <c r="BP440" s="78">
        <f t="shared" si="72"/>
        <v>0</v>
      </c>
    </row>
    <row r="441" spans="1:68" x14ac:dyDescent="0.2">
      <c r="A441" s="660"/>
      <c r="B441" s="660"/>
      <c r="C441" s="660"/>
      <c r="D441" s="660"/>
      <c r="E441" s="660"/>
      <c r="F441" s="660"/>
      <c r="G441" s="660"/>
      <c r="H441" s="660"/>
      <c r="I441" s="660"/>
      <c r="J441" s="660"/>
      <c r="K441" s="660"/>
      <c r="L441" s="660"/>
      <c r="M441" s="660"/>
      <c r="N441" s="660"/>
      <c r="O441" s="661"/>
      <c r="P441" s="657" t="s">
        <v>40</v>
      </c>
      <c r="Q441" s="658"/>
      <c r="R441" s="658"/>
      <c r="S441" s="658"/>
      <c r="T441" s="658"/>
      <c r="U441" s="658"/>
      <c r="V441" s="659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27</v>
      </c>
      <c r="Y441" s="43">
        <f>IFERROR(Y433/H433,"0")+IFERROR(Y434/H434,"0")+IFERROR(Y435/H435,"0")+IFERROR(Y436/H436,"0")+IFERROR(Y437/H437,"0")+IFERROR(Y438/H438,"0")+IFERROR(Y439/H439,"0")+IFERROR(Y440/H440,"0")</f>
        <v>27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0.58724999999999994</v>
      </c>
      <c r="AA441" s="67"/>
      <c r="AB441" s="67"/>
      <c r="AC441" s="67"/>
    </row>
    <row r="442" spans="1:68" x14ac:dyDescent="0.2">
      <c r="A442" s="660"/>
      <c r="B442" s="660"/>
      <c r="C442" s="660"/>
      <c r="D442" s="660"/>
      <c r="E442" s="660"/>
      <c r="F442" s="660"/>
      <c r="G442" s="660"/>
      <c r="H442" s="660"/>
      <c r="I442" s="660"/>
      <c r="J442" s="660"/>
      <c r="K442" s="660"/>
      <c r="L442" s="660"/>
      <c r="M442" s="660"/>
      <c r="N442" s="660"/>
      <c r="O442" s="661"/>
      <c r="P442" s="657" t="s">
        <v>40</v>
      </c>
      <c r="Q442" s="658"/>
      <c r="R442" s="658"/>
      <c r="S442" s="658"/>
      <c r="T442" s="658"/>
      <c r="U442" s="658"/>
      <c r="V442" s="659"/>
      <c r="W442" s="42" t="s">
        <v>0</v>
      </c>
      <c r="X442" s="43">
        <f>IFERROR(SUM(X433:X440),"0")</f>
        <v>405</v>
      </c>
      <c r="Y442" s="43">
        <f>IFERROR(SUM(Y433:Y440),"0")</f>
        <v>405</v>
      </c>
      <c r="Z442" s="42"/>
      <c r="AA442" s="67"/>
      <c r="AB442" s="67"/>
      <c r="AC442" s="67"/>
    </row>
    <row r="443" spans="1:68" ht="14.25" hidden="1" customHeight="1" x14ac:dyDescent="0.25">
      <c r="A443" s="669" t="s">
        <v>158</v>
      </c>
      <c r="B443" s="669"/>
      <c r="C443" s="669"/>
      <c r="D443" s="669"/>
      <c r="E443" s="669"/>
      <c r="F443" s="669"/>
      <c r="G443" s="669"/>
      <c r="H443" s="669"/>
      <c r="I443" s="669"/>
      <c r="J443" s="669"/>
      <c r="K443" s="669"/>
      <c r="L443" s="669"/>
      <c r="M443" s="669"/>
      <c r="N443" s="669"/>
      <c r="O443" s="669"/>
      <c r="P443" s="669"/>
      <c r="Q443" s="669"/>
      <c r="R443" s="669"/>
      <c r="S443" s="669"/>
      <c r="T443" s="669"/>
      <c r="U443" s="669"/>
      <c r="V443" s="669"/>
      <c r="W443" s="669"/>
      <c r="X443" s="669"/>
      <c r="Y443" s="669"/>
      <c r="Z443" s="669"/>
      <c r="AA443" s="66"/>
      <c r="AB443" s="66"/>
      <c r="AC443" s="80"/>
    </row>
    <row r="444" spans="1:68" ht="27" hidden="1" customHeight="1" x14ac:dyDescent="0.25">
      <c r="A444" s="63" t="s">
        <v>732</v>
      </c>
      <c r="B444" s="63" t="s">
        <v>733</v>
      </c>
      <c r="C444" s="36">
        <v>4301020178</v>
      </c>
      <c r="D444" s="670">
        <v>4607091383980</v>
      </c>
      <c r="E444" s="670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72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672"/>
      <c r="R444" s="672"/>
      <c r="S444" s="672"/>
      <c r="T444" s="673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734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735</v>
      </c>
      <c r="B445" s="63" t="s">
        <v>736</v>
      </c>
      <c r="C445" s="36">
        <v>4301020355</v>
      </c>
      <c r="D445" s="670">
        <v>4680115888425</v>
      </c>
      <c r="E445" s="670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126</v>
      </c>
      <c r="L445" s="37" t="s">
        <v>46</v>
      </c>
      <c r="M445" s="38" t="s">
        <v>125</v>
      </c>
      <c r="N445" s="38"/>
      <c r="O445" s="37">
        <v>50</v>
      </c>
      <c r="P445" s="72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672"/>
      <c r="R445" s="672"/>
      <c r="S445" s="672"/>
      <c r="T445" s="673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IFERROR(IF(Y445=0,"",ROUNDUP(Y445/H445,0)*0.02175),"")</f>
        <v/>
      </c>
      <c r="AA445" s="68" t="s">
        <v>46</v>
      </c>
      <c r="AB445" s="69" t="s">
        <v>46</v>
      </c>
      <c r="AC445" s="554" t="s">
        <v>737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hidden="1" customHeight="1" x14ac:dyDescent="0.25">
      <c r="A446" s="63" t="s">
        <v>738</v>
      </c>
      <c r="B446" s="63" t="s">
        <v>739</v>
      </c>
      <c r="C446" s="36">
        <v>4301020179</v>
      </c>
      <c r="D446" s="670">
        <v>4607091384178</v>
      </c>
      <c r="E446" s="670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133</v>
      </c>
      <c r="L446" s="37" t="s">
        <v>46</v>
      </c>
      <c r="M446" s="38" t="s">
        <v>125</v>
      </c>
      <c r="N446" s="38"/>
      <c r="O446" s="37">
        <v>50</v>
      </c>
      <c r="P446" s="72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672"/>
      <c r="R446" s="672"/>
      <c r="S446" s="672"/>
      <c r="T446" s="673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740</v>
      </c>
      <c r="AG446" s="78"/>
      <c r="AJ446" s="84" t="s">
        <v>46</v>
      </c>
      <c r="AK446" s="84">
        <v>0</v>
      </c>
      <c r="BB446" s="55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660"/>
      <c r="B447" s="660"/>
      <c r="C447" s="660"/>
      <c r="D447" s="660"/>
      <c r="E447" s="660"/>
      <c r="F447" s="660"/>
      <c r="G447" s="660"/>
      <c r="H447" s="660"/>
      <c r="I447" s="660"/>
      <c r="J447" s="660"/>
      <c r="K447" s="660"/>
      <c r="L447" s="660"/>
      <c r="M447" s="660"/>
      <c r="N447" s="660"/>
      <c r="O447" s="661"/>
      <c r="P447" s="657" t="s">
        <v>40</v>
      </c>
      <c r="Q447" s="658"/>
      <c r="R447" s="658"/>
      <c r="S447" s="658"/>
      <c r="T447" s="658"/>
      <c r="U447" s="658"/>
      <c r="V447" s="659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660"/>
      <c r="B448" s="660"/>
      <c r="C448" s="660"/>
      <c r="D448" s="660"/>
      <c r="E448" s="660"/>
      <c r="F448" s="660"/>
      <c r="G448" s="660"/>
      <c r="H448" s="660"/>
      <c r="I448" s="660"/>
      <c r="J448" s="660"/>
      <c r="K448" s="660"/>
      <c r="L448" s="660"/>
      <c r="M448" s="660"/>
      <c r="N448" s="660"/>
      <c r="O448" s="661"/>
      <c r="P448" s="657" t="s">
        <v>40</v>
      </c>
      <c r="Q448" s="658"/>
      <c r="R448" s="658"/>
      <c r="S448" s="658"/>
      <c r="T448" s="658"/>
      <c r="U448" s="658"/>
      <c r="V448" s="659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69" t="s">
        <v>85</v>
      </c>
      <c r="B449" s="669"/>
      <c r="C449" s="669"/>
      <c r="D449" s="669"/>
      <c r="E449" s="669"/>
      <c r="F449" s="669"/>
      <c r="G449" s="669"/>
      <c r="H449" s="669"/>
      <c r="I449" s="669"/>
      <c r="J449" s="669"/>
      <c r="K449" s="669"/>
      <c r="L449" s="669"/>
      <c r="M449" s="669"/>
      <c r="N449" s="669"/>
      <c r="O449" s="669"/>
      <c r="P449" s="669"/>
      <c r="Q449" s="669"/>
      <c r="R449" s="669"/>
      <c r="S449" s="669"/>
      <c r="T449" s="669"/>
      <c r="U449" s="669"/>
      <c r="V449" s="669"/>
      <c r="W449" s="669"/>
      <c r="X449" s="669"/>
      <c r="Y449" s="669"/>
      <c r="Z449" s="669"/>
      <c r="AA449" s="66"/>
      <c r="AB449" s="66"/>
      <c r="AC449" s="80"/>
    </row>
    <row r="450" spans="1:68" ht="27" hidden="1" customHeight="1" x14ac:dyDescent="0.25">
      <c r="A450" s="63" t="s">
        <v>741</v>
      </c>
      <c r="B450" s="63" t="s">
        <v>742</v>
      </c>
      <c r="C450" s="36">
        <v>4301051903</v>
      </c>
      <c r="D450" s="670">
        <v>4607091383928</v>
      </c>
      <c r="E450" s="670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71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672"/>
      <c r="R450" s="672"/>
      <c r="S450" s="672"/>
      <c r="T450" s="673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743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744</v>
      </c>
      <c r="B451" s="63" t="s">
        <v>745</v>
      </c>
      <c r="C451" s="36">
        <v>4301051897</v>
      </c>
      <c r="D451" s="670">
        <v>4607091384260</v>
      </c>
      <c r="E451" s="670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126</v>
      </c>
      <c r="L451" s="37" t="s">
        <v>46</v>
      </c>
      <c r="M451" s="38" t="s">
        <v>89</v>
      </c>
      <c r="N451" s="38"/>
      <c r="O451" s="37">
        <v>40</v>
      </c>
      <c r="P451" s="72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672"/>
      <c r="R451" s="672"/>
      <c r="S451" s="672"/>
      <c r="T451" s="673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60" t="s">
        <v>746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747</v>
      </c>
      <c r="B452" s="63" t="s">
        <v>748</v>
      </c>
      <c r="C452" s="36">
        <v>4301052220</v>
      </c>
      <c r="D452" s="670">
        <v>4680115889538</v>
      </c>
      <c r="E452" s="670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126</v>
      </c>
      <c r="L452" s="37" t="s">
        <v>46</v>
      </c>
      <c r="M452" s="38" t="s">
        <v>89</v>
      </c>
      <c r="N452" s="38"/>
      <c r="O452" s="37">
        <v>45</v>
      </c>
      <c r="P452" s="72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672"/>
      <c r="R452" s="672"/>
      <c r="S452" s="672"/>
      <c r="T452" s="673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749</v>
      </c>
      <c r="AG452" s="78"/>
      <c r="AJ452" s="84" t="s">
        <v>46</v>
      </c>
      <c r="AK452" s="84">
        <v>0</v>
      </c>
      <c r="BB452" s="563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660"/>
      <c r="B453" s="660"/>
      <c r="C453" s="660"/>
      <c r="D453" s="660"/>
      <c r="E453" s="660"/>
      <c r="F453" s="660"/>
      <c r="G453" s="660"/>
      <c r="H453" s="660"/>
      <c r="I453" s="660"/>
      <c r="J453" s="660"/>
      <c r="K453" s="660"/>
      <c r="L453" s="660"/>
      <c r="M453" s="660"/>
      <c r="N453" s="660"/>
      <c r="O453" s="661"/>
      <c r="P453" s="657" t="s">
        <v>40</v>
      </c>
      <c r="Q453" s="658"/>
      <c r="R453" s="658"/>
      <c r="S453" s="658"/>
      <c r="T453" s="658"/>
      <c r="U453" s="658"/>
      <c r="V453" s="659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660"/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1"/>
      <c r="P454" s="657" t="s">
        <v>40</v>
      </c>
      <c r="Q454" s="658"/>
      <c r="R454" s="658"/>
      <c r="S454" s="658"/>
      <c r="T454" s="658"/>
      <c r="U454" s="658"/>
      <c r="V454" s="659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669" t="s">
        <v>177</v>
      </c>
      <c r="B455" s="669"/>
      <c r="C455" s="669"/>
      <c r="D455" s="669"/>
      <c r="E455" s="669"/>
      <c r="F455" s="669"/>
      <c r="G455" s="669"/>
      <c r="H455" s="669"/>
      <c r="I455" s="669"/>
      <c r="J455" s="669"/>
      <c r="K455" s="669"/>
      <c r="L455" s="669"/>
      <c r="M455" s="669"/>
      <c r="N455" s="669"/>
      <c r="O455" s="669"/>
      <c r="P455" s="669"/>
      <c r="Q455" s="669"/>
      <c r="R455" s="669"/>
      <c r="S455" s="669"/>
      <c r="T455" s="669"/>
      <c r="U455" s="669"/>
      <c r="V455" s="669"/>
      <c r="W455" s="669"/>
      <c r="X455" s="669"/>
      <c r="Y455" s="669"/>
      <c r="Z455" s="669"/>
      <c r="AA455" s="66"/>
      <c r="AB455" s="66"/>
      <c r="AC455" s="80"/>
    </row>
    <row r="456" spans="1:68" ht="27" hidden="1" customHeight="1" x14ac:dyDescent="0.25">
      <c r="A456" s="63" t="s">
        <v>750</v>
      </c>
      <c r="B456" s="63" t="s">
        <v>751</v>
      </c>
      <c r="C456" s="36">
        <v>4301060537</v>
      </c>
      <c r="D456" s="670">
        <v>4680115889545</v>
      </c>
      <c r="E456" s="670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126</v>
      </c>
      <c r="L456" s="37" t="s">
        <v>46</v>
      </c>
      <c r="M456" s="38" t="s">
        <v>89</v>
      </c>
      <c r="N456" s="38"/>
      <c r="O456" s="37">
        <v>30</v>
      </c>
      <c r="P456" s="72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672"/>
      <c r="R456" s="672"/>
      <c r="S456" s="672"/>
      <c r="T456" s="673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752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hidden="1" customHeight="1" x14ac:dyDescent="0.25">
      <c r="A457" s="63" t="s">
        <v>753</v>
      </c>
      <c r="B457" s="63" t="s">
        <v>754</v>
      </c>
      <c r="C457" s="36">
        <v>4301060524</v>
      </c>
      <c r="D457" s="670">
        <v>4607091384673</v>
      </c>
      <c r="E457" s="670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126</v>
      </c>
      <c r="L457" s="37" t="s">
        <v>46</v>
      </c>
      <c r="M457" s="38" t="s">
        <v>89</v>
      </c>
      <c r="N457" s="38"/>
      <c r="O457" s="37">
        <v>40</v>
      </c>
      <c r="P457" s="72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672"/>
      <c r="R457" s="672"/>
      <c r="S457" s="672"/>
      <c r="T457" s="673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66" t="s">
        <v>755</v>
      </c>
      <c r="AG457" s="78"/>
      <c r="AJ457" s="84" t="s">
        <v>46</v>
      </c>
      <c r="AK457" s="84">
        <v>0</v>
      </c>
      <c r="BB457" s="567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60"/>
      <c r="B458" s="660"/>
      <c r="C458" s="660"/>
      <c r="D458" s="660"/>
      <c r="E458" s="660"/>
      <c r="F458" s="660"/>
      <c r="G458" s="660"/>
      <c r="H458" s="660"/>
      <c r="I458" s="660"/>
      <c r="J458" s="660"/>
      <c r="K458" s="660"/>
      <c r="L458" s="660"/>
      <c r="M458" s="660"/>
      <c r="N458" s="660"/>
      <c r="O458" s="661"/>
      <c r="P458" s="657" t="s">
        <v>40</v>
      </c>
      <c r="Q458" s="658"/>
      <c r="R458" s="658"/>
      <c r="S458" s="658"/>
      <c r="T458" s="658"/>
      <c r="U458" s="658"/>
      <c r="V458" s="659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60"/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1"/>
      <c r="P459" s="657" t="s">
        <v>40</v>
      </c>
      <c r="Q459" s="658"/>
      <c r="R459" s="658"/>
      <c r="S459" s="658"/>
      <c r="T459" s="658"/>
      <c r="U459" s="658"/>
      <c r="V459" s="659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hidden="1" customHeight="1" x14ac:dyDescent="0.25">
      <c r="A460" s="676" t="s">
        <v>756</v>
      </c>
      <c r="B460" s="676"/>
      <c r="C460" s="676"/>
      <c r="D460" s="676"/>
      <c r="E460" s="676"/>
      <c r="F460" s="676"/>
      <c r="G460" s="676"/>
      <c r="H460" s="676"/>
      <c r="I460" s="676"/>
      <c r="J460" s="676"/>
      <c r="K460" s="676"/>
      <c r="L460" s="676"/>
      <c r="M460" s="676"/>
      <c r="N460" s="676"/>
      <c r="O460" s="676"/>
      <c r="P460" s="676"/>
      <c r="Q460" s="676"/>
      <c r="R460" s="676"/>
      <c r="S460" s="676"/>
      <c r="T460" s="676"/>
      <c r="U460" s="676"/>
      <c r="V460" s="676"/>
      <c r="W460" s="676"/>
      <c r="X460" s="676"/>
      <c r="Y460" s="676"/>
      <c r="Z460" s="676"/>
      <c r="AA460" s="65"/>
      <c r="AB460" s="65"/>
      <c r="AC460" s="79"/>
    </row>
    <row r="461" spans="1:68" ht="14.25" hidden="1" customHeight="1" x14ac:dyDescent="0.25">
      <c r="A461" s="669" t="s">
        <v>121</v>
      </c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69"/>
      <c r="P461" s="669"/>
      <c r="Q461" s="669"/>
      <c r="R461" s="669"/>
      <c r="S461" s="669"/>
      <c r="T461" s="669"/>
      <c r="U461" s="669"/>
      <c r="V461" s="669"/>
      <c r="W461" s="669"/>
      <c r="X461" s="669"/>
      <c r="Y461" s="669"/>
      <c r="Z461" s="669"/>
      <c r="AA461" s="66"/>
      <c r="AB461" s="66"/>
      <c r="AC461" s="80"/>
    </row>
    <row r="462" spans="1:68" ht="27" hidden="1" customHeight="1" x14ac:dyDescent="0.25">
      <c r="A462" s="63" t="s">
        <v>757</v>
      </c>
      <c r="B462" s="63" t="s">
        <v>758</v>
      </c>
      <c r="C462" s="36">
        <v>4301011875</v>
      </c>
      <c r="D462" s="670">
        <v>4680115884885</v>
      </c>
      <c r="E462" s="670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126</v>
      </c>
      <c r="L462" s="37" t="s">
        <v>46</v>
      </c>
      <c r="M462" s="38" t="s">
        <v>80</v>
      </c>
      <c r="N462" s="38"/>
      <c r="O462" s="37">
        <v>60</v>
      </c>
      <c r="P462" s="7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672"/>
      <c r="R462" s="672"/>
      <c r="S462" s="672"/>
      <c r="T462" s="673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68" t="s">
        <v>759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37.5" hidden="1" customHeight="1" x14ac:dyDescent="0.25">
      <c r="A463" s="63" t="s">
        <v>760</v>
      </c>
      <c r="B463" s="63" t="s">
        <v>761</v>
      </c>
      <c r="C463" s="36">
        <v>4301011871</v>
      </c>
      <c r="D463" s="670">
        <v>4680115884908</v>
      </c>
      <c r="E463" s="670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133</v>
      </c>
      <c r="L463" s="37" t="s">
        <v>46</v>
      </c>
      <c r="M463" s="38" t="s">
        <v>80</v>
      </c>
      <c r="N463" s="38"/>
      <c r="O463" s="37">
        <v>60</v>
      </c>
      <c r="P463" s="7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672"/>
      <c r="R463" s="672"/>
      <c r="S463" s="672"/>
      <c r="T463" s="673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759</v>
      </c>
      <c r="AG463" s="78"/>
      <c r="AJ463" s="84" t="s">
        <v>46</v>
      </c>
      <c r="AK463" s="84">
        <v>0</v>
      </c>
      <c r="BB463" s="57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60"/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1"/>
      <c r="P464" s="657" t="s">
        <v>40</v>
      </c>
      <c r="Q464" s="658"/>
      <c r="R464" s="658"/>
      <c r="S464" s="658"/>
      <c r="T464" s="658"/>
      <c r="U464" s="658"/>
      <c r="V464" s="659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660"/>
      <c r="B465" s="660"/>
      <c r="C465" s="660"/>
      <c r="D465" s="660"/>
      <c r="E465" s="660"/>
      <c r="F465" s="660"/>
      <c r="G465" s="660"/>
      <c r="H465" s="660"/>
      <c r="I465" s="660"/>
      <c r="J465" s="660"/>
      <c r="K465" s="660"/>
      <c r="L465" s="660"/>
      <c r="M465" s="660"/>
      <c r="N465" s="660"/>
      <c r="O465" s="661"/>
      <c r="P465" s="657" t="s">
        <v>40</v>
      </c>
      <c r="Q465" s="658"/>
      <c r="R465" s="658"/>
      <c r="S465" s="658"/>
      <c r="T465" s="658"/>
      <c r="U465" s="658"/>
      <c r="V465" s="659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669" t="s">
        <v>76</v>
      </c>
      <c r="B466" s="669"/>
      <c r="C466" s="669"/>
      <c r="D466" s="669"/>
      <c r="E466" s="669"/>
      <c r="F466" s="669"/>
      <c r="G466" s="669"/>
      <c r="H466" s="669"/>
      <c r="I466" s="669"/>
      <c r="J466" s="669"/>
      <c r="K466" s="669"/>
      <c r="L466" s="669"/>
      <c r="M466" s="669"/>
      <c r="N466" s="669"/>
      <c r="O466" s="669"/>
      <c r="P466" s="669"/>
      <c r="Q466" s="669"/>
      <c r="R466" s="669"/>
      <c r="S466" s="669"/>
      <c r="T466" s="669"/>
      <c r="U466" s="669"/>
      <c r="V466" s="669"/>
      <c r="W466" s="669"/>
      <c r="X466" s="669"/>
      <c r="Y466" s="669"/>
      <c r="Z466" s="669"/>
      <c r="AA466" s="66"/>
      <c r="AB466" s="66"/>
      <c r="AC466" s="80"/>
    </row>
    <row r="467" spans="1:68" ht="27" hidden="1" customHeight="1" x14ac:dyDescent="0.25">
      <c r="A467" s="63" t="s">
        <v>762</v>
      </c>
      <c r="B467" s="63" t="s">
        <v>763</v>
      </c>
      <c r="C467" s="36">
        <v>4301031457</v>
      </c>
      <c r="D467" s="670">
        <v>4607091384802</v>
      </c>
      <c r="E467" s="670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133</v>
      </c>
      <c r="L467" s="37" t="s">
        <v>46</v>
      </c>
      <c r="M467" s="38" t="s">
        <v>80</v>
      </c>
      <c r="N467" s="38"/>
      <c r="O467" s="37">
        <v>50</v>
      </c>
      <c r="P467" s="71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672"/>
      <c r="R467" s="672"/>
      <c r="S467" s="672"/>
      <c r="T467" s="673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764</v>
      </c>
      <c r="AG467" s="78"/>
      <c r="AJ467" s="84" t="s">
        <v>46</v>
      </c>
      <c r="AK467" s="84">
        <v>0</v>
      </c>
      <c r="BB467" s="573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60"/>
      <c r="B468" s="660"/>
      <c r="C468" s="660"/>
      <c r="D468" s="660"/>
      <c r="E468" s="660"/>
      <c r="F468" s="660"/>
      <c r="G468" s="660"/>
      <c r="H468" s="660"/>
      <c r="I468" s="660"/>
      <c r="J468" s="660"/>
      <c r="K468" s="660"/>
      <c r="L468" s="660"/>
      <c r="M468" s="660"/>
      <c r="N468" s="660"/>
      <c r="O468" s="661"/>
      <c r="P468" s="657" t="s">
        <v>40</v>
      </c>
      <c r="Q468" s="658"/>
      <c r="R468" s="658"/>
      <c r="S468" s="658"/>
      <c r="T468" s="658"/>
      <c r="U468" s="658"/>
      <c r="V468" s="659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660"/>
      <c r="B469" s="660"/>
      <c r="C469" s="660"/>
      <c r="D469" s="660"/>
      <c r="E469" s="660"/>
      <c r="F469" s="660"/>
      <c r="G469" s="660"/>
      <c r="H469" s="660"/>
      <c r="I469" s="660"/>
      <c r="J469" s="660"/>
      <c r="K469" s="660"/>
      <c r="L469" s="660"/>
      <c r="M469" s="660"/>
      <c r="N469" s="660"/>
      <c r="O469" s="661"/>
      <c r="P469" s="657" t="s">
        <v>40</v>
      </c>
      <c r="Q469" s="658"/>
      <c r="R469" s="658"/>
      <c r="S469" s="658"/>
      <c r="T469" s="658"/>
      <c r="U469" s="658"/>
      <c r="V469" s="659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669" t="s">
        <v>85</v>
      </c>
      <c r="B470" s="669"/>
      <c r="C470" s="669"/>
      <c r="D470" s="669"/>
      <c r="E470" s="669"/>
      <c r="F470" s="669"/>
      <c r="G470" s="669"/>
      <c r="H470" s="669"/>
      <c r="I470" s="669"/>
      <c r="J470" s="669"/>
      <c r="K470" s="669"/>
      <c r="L470" s="669"/>
      <c r="M470" s="669"/>
      <c r="N470" s="669"/>
      <c r="O470" s="669"/>
      <c r="P470" s="669"/>
      <c r="Q470" s="669"/>
      <c r="R470" s="669"/>
      <c r="S470" s="669"/>
      <c r="T470" s="669"/>
      <c r="U470" s="669"/>
      <c r="V470" s="669"/>
      <c r="W470" s="669"/>
      <c r="X470" s="669"/>
      <c r="Y470" s="669"/>
      <c r="Z470" s="669"/>
      <c r="AA470" s="66"/>
      <c r="AB470" s="66"/>
      <c r="AC470" s="80"/>
    </row>
    <row r="471" spans="1:68" ht="27" hidden="1" customHeight="1" x14ac:dyDescent="0.25">
      <c r="A471" s="63" t="s">
        <v>765</v>
      </c>
      <c r="B471" s="63" t="s">
        <v>766</v>
      </c>
      <c r="C471" s="36">
        <v>4301051899</v>
      </c>
      <c r="D471" s="670">
        <v>4607091384246</v>
      </c>
      <c r="E471" s="670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126</v>
      </c>
      <c r="L471" s="37" t="s">
        <v>46</v>
      </c>
      <c r="M471" s="38" t="s">
        <v>89</v>
      </c>
      <c r="N471" s="38"/>
      <c r="O471" s="37">
        <v>40</v>
      </c>
      <c r="P471" s="71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672"/>
      <c r="R471" s="672"/>
      <c r="S471" s="672"/>
      <c r="T471" s="673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46</v>
      </c>
      <c r="AB471" s="69" t="s">
        <v>46</v>
      </c>
      <c r="AC471" s="574" t="s">
        <v>767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768</v>
      </c>
      <c r="B472" s="63" t="s">
        <v>769</v>
      </c>
      <c r="C472" s="36">
        <v>4301051660</v>
      </c>
      <c r="D472" s="670">
        <v>4607091384253</v>
      </c>
      <c r="E472" s="670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70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672"/>
      <c r="R472" s="672"/>
      <c r="S472" s="672"/>
      <c r="T472" s="673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767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hidden="1" customHeight="1" x14ac:dyDescent="0.25">
      <c r="A473" s="63" t="s">
        <v>768</v>
      </c>
      <c r="B473" s="63" t="s">
        <v>770</v>
      </c>
      <c r="C473" s="36">
        <v>4301052069</v>
      </c>
      <c r="D473" s="670">
        <v>4607091384253</v>
      </c>
      <c r="E473" s="670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90</v>
      </c>
      <c r="L473" s="37" t="s">
        <v>46</v>
      </c>
      <c r="M473" s="38" t="s">
        <v>89</v>
      </c>
      <c r="N473" s="38"/>
      <c r="O473" s="37">
        <v>40</v>
      </c>
      <c r="P473" s="71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672"/>
      <c r="R473" s="672"/>
      <c r="S473" s="672"/>
      <c r="T473" s="673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771</v>
      </c>
      <c r="AG473" s="78"/>
      <c r="AJ473" s="84" t="s">
        <v>46</v>
      </c>
      <c r="AK473" s="84">
        <v>0</v>
      </c>
      <c r="BB473" s="579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660"/>
      <c r="B474" s="660"/>
      <c r="C474" s="660"/>
      <c r="D474" s="660"/>
      <c r="E474" s="660"/>
      <c r="F474" s="660"/>
      <c r="G474" s="660"/>
      <c r="H474" s="660"/>
      <c r="I474" s="660"/>
      <c r="J474" s="660"/>
      <c r="K474" s="660"/>
      <c r="L474" s="660"/>
      <c r="M474" s="660"/>
      <c r="N474" s="660"/>
      <c r="O474" s="661"/>
      <c r="P474" s="657" t="s">
        <v>40</v>
      </c>
      <c r="Q474" s="658"/>
      <c r="R474" s="658"/>
      <c r="S474" s="658"/>
      <c r="T474" s="658"/>
      <c r="U474" s="658"/>
      <c r="V474" s="659"/>
      <c r="W474" s="42" t="s">
        <v>39</v>
      </c>
      <c r="X474" s="43">
        <f>IFERROR(X471/H471,"0")+IFERROR(X472/H472,"0")+IFERROR(X473/H473,"0")</f>
        <v>0</v>
      </c>
      <c r="Y474" s="43">
        <f>IFERROR(Y471/H471,"0")+IFERROR(Y472/H472,"0")+IFERROR(Y473/H473,"0")</f>
        <v>0</v>
      </c>
      <c r="Z474" s="43">
        <f>IFERROR(IF(Z471="",0,Z471),"0")+IFERROR(IF(Z472="",0,Z472),"0")+IFERROR(IF(Z473="",0,Z473),"0")</f>
        <v>0</v>
      </c>
      <c r="AA474" s="67"/>
      <c r="AB474" s="67"/>
      <c r="AC474" s="67"/>
    </row>
    <row r="475" spans="1:68" hidden="1" x14ac:dyDescent="0.2">
      <c r="A475" s="660"/>
      <c r="B475" s="660"/>
      <c r="C475" s="660"/>
      <c r="D475" s="660"/>
      <c r="E475" s="660"/>
      <c r="F475" s="660"/>
      <c r="G475" s="660"/>
      <c r="H475" s="660"/>
      <c r="I475" s="660"/>
      <c r="J475" s="660"/>
      <c r="K475" s="660"/>
      <c r="L475" s="660"/>
      <c r="M475" s="660"/>
      <c r="N475" s="660"/>
      <c r="O475" s="661"/>
      <c r="P475" s="657" t="s">
        <v>40</v>
      </c>
      <c r="Q475" s="658"/>
      <c r="R475" s="658"/>
      <c r="S475" s="658"/>
      <c r="T475" s="658"/>
      <c r="U475" s="658"/>
      <c r="V475" s="659"/>
      <c r="W475" s="42" t="s">
        <v>0</v>
      </c>
      <c r="X475" s="43">
        <f>IFERROR(SUM(X471:X473),"0")</f>
        <v>0</v>
      </c>
      <c r="Y475" s="43">
        <f>IFERROR(SUM(Y471:Y473),"0")</f>
        <v>0</v>
      </c>
      <c r="Z475" s="42"/>
      <c r="AA475" s="67"/>
      <c r="AB475" s="67"/>
      <c r="AC475" s="67"/>
    </row>
    <row r="476" spans="1:68" ht="27.75" hidden="1" customHeight="1" x14ac:dyDescent="0.2">
      <c r="A476" s="687" t="s">
        <v>772</v>
      </c>
      <c r="B476" s="687"/>
      <c r="C476" s="687"/>
      <c r="D476" s="687"/>
      <c r="E476" s="687"/>
      <c r="F476" s="687"/>
      <c r="G476" s="687"/>
      <c r="H476" s="687"/>
      <c r="I476" s="687"/>
      <c r="J476" s="687"/>
      <c r="K476" s="687"/>
      <c r="L476" s="687"/>
      <c r="M476" s="687"/>
      <c r="N476" s="687"/>
      <c r="O476" s="687"/>
      <c r="P476" s="687"/>
      <c r="Q476" s="687"/>
      <c r="R476" s="687"/>
      <c r="S476" s="687"/>
      <c r="T476" s="687"/>
      <c r="U476" s="687"/>
      <c r="V476" s="687"/>
      <c r="W476" s="687"/>
      <c r="X476" s="687"/>
      <c r="Y476" s="687"/>
      <c r="Z476" s="687"/>
      <c r="AA476" s="54"/>
      <c r="AB476" s="54"/>
      <c r="AC476" s="54"/>
    </row>
    <row r="477" spans="1:68" ht="16.5" hidden="1" customHeight="1" x14ac:dyDescent="0.25">
      <c r="A477" s="676" t="s">
        <v>773</v>
      </c>
      <c r="B477" s="676"/>
      <c r="C477" s="676"/>
      <c r="D477" s="676"/>
      <c r="E477" s="676"/>
      <c r="F477" s="676"/>
      <c r="G477" s="676"/>
      <c r="H477" s="676"/>
      <c r="I477" s="676"/>
      <c r="J477" s="676"/>
      <c r="K477" s="676"/>
      <c r="L477" s="676"/>
      <c r="M477" s="676"/>
      <c r="N477" s="676"/>
      <c r="O477" s="676"/>
      <c r="P477" s="676"/>
      <c r="Q477" s="676"/>
      <c r="R477" s="676"/>
      <c r="S477" s="676"/>
      <c r="T477" s="676"/>
      <c r="U477" s="676"/>
      <c r="V477" s="676"/>
      <c r="W477" s="676"/>
      <c r="X477" s="676"/>
      <c r="Y477" s="676"/>
      <c r="Z477" s="676"/>
      <c r="AA477" s="65"/>
      <c r="AB477" s="65"/>
      <c r="AC477" s="79"/>
    </row>
    <row r="478" spans="1:68" ht="14.25" hidden="1" customHeight="1" x14ac:dyDescent="0.25">
      <c r="A478" s="669" t="s">
        <v>76</v>
      </c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69"/>
      <c r="P478" s="669"/>
      <c r="Q478" s="669"/>
      <c r="R478" s="669"/>
      <c r="S478" s="669"/>
      <c r="T478" s="669"/>
      <c r="U478" s="669"/>
      <c r="V478" s="669"/>
      <c r="W478" s="669"/>
      <c r="X478" s="669"/>
      <c r="Y478" s="669"/>
      <c r="Z478" s="669"/>
      <c r="AA478" s="66"/>
      <c r="AB478" s="66"/>
      <c r="AC478" s="80"/>
    </row>
    <row r="479" spans="1:68" ht="27" hidden="1" customHeight="1" x14ac:dyDescent="0.25">
      <c r="A479" s="63" t="s">
        <v>774</v>
      </c>
      <c r="B479" s="63" t="s">
        <v>775</v>
      </c>
      <c r="C479" s="36">
        <v>4301031405</v>
      </c>
      <c r="D479" s="670">
        <v>4680115886100</v>
      </c>
      <c r="E479" s="670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7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672"/>
      <c r="R479" s="672"/>
      <c r="S479" s="672"/>
      <c r="T479" s="673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ref="Y479:Y484" si="73"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776</v>
      </c>
      <c r="AG479" s="78"/>
      <c r="AJ479" s="84" t="s">
        <v>46</v>
      </c>
      <c r="AK479" s="84">
        <v>0</v>
      </c>
      <c r="BB479" s="581" t="s">
        <v>67</v>
      </c>
      <c r="BM479" s="78">
        <f t="shared" ref="BM479:BM484" si="74">IFERROR(X479*I479/H479,"0")</f>
        <v>0</v>
      </c>
      <c r="BN479" s="78">
        <f t="shared" ref="BN479:BN484" si="75">IFERROR(Y479*I479/H479,"0")</f>
        <v>0</v>
      </c>
      <c r="BO479" s="78">
        <f t="shared" ref="BO479:BO484" si="76">IFERROR(1/J479*(X479/H479),"0")</f>
        <v>0</v>
      </c>
      <c r="BP479" s="78">
        <f t="shared" ref="BP479:BP484" si="77">IFERROR(1/J479*(Y479/H479),"0")</f>
        <v>0</v>
      </c>
    </row>
    <row r="480" spans="1:68" ht="27" hidden="1" customHeight="1" x14ac:dyDescent="0.25">
      <c r="A480" s="63" t="s">
        <v>777</v>
      </c>
      <c r="B480" s="63" t="s">
        <v>778</v>
      </c>
      <c r="C480" s="36">
        <v>4301031402</v>
      </c>
      <c r="D480" s="670">
        <v>4680115886124</v>
      </c>
      <c r="E480" s="670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133</v>
      </c>
      <c r="L480" s="37" t="s">
        <v>46</v>
      </c>
      <c r="M480" s="38" t="s">
        <v>80</v>
      </c>
      <c r="N480" s="38"/>
      <c r="O480" s="37">
        <v>50</v>
      </c>
      <c r="P480" s="71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672"/>
      <c r="R480" s="672"/>
      <c r="S480" s="672"/>
      <c r="T480" s="673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82" t="s">
        <v>779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780</v>
      </c>
      <c r="B481" s="63" t="s">
        <v>781</v>
      </c>
      <c r="C481" s="36">
        <v>4301031362</v>
      </c>
      <c r="D481" s="670">
        <v>4607091384338</v>
      </c>
      <c r="E481" s="670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7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672"/>
      <c r="R481" s="672"/>
      <c r="S481" s="672"/>
      <c r="T481" s="673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776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782</v>
      </c>
      <c r="B482" s="63" t="s">
        <v>783</v>
      </c>
      <c r="C482" s="36">
        <v>4301031364</v>
      </c>
      <c r="D482" s="670">
        <v>4680115883161</v>
      </c>
      <c r="E482" s="670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672"/>
      <c r="R482" s="672"/>
      <c r="S482" s="672"/>
      <c r="T482" s="673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784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27" hidden="1" customHeight="1" x14ac:dyDescent="0.25">
      <c r="A483" s="63" t="s">
        <v>785</v>
      </c>
      <c r="B483" s="63" t="s">
        <v>786</v>
      </c>
      <c r="C483" s="36">
        <v>4301031358</v>
      </c>
      <c r="D483" s="670">
        <v>4607091389531</v>
      </c>
      <c r="E483" s="670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70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672"/>
      <c r="R483" s="672"/>
      <c r="S483" s="672"/>
      <c r="T483" s="673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787</v>
      </c>
      <c r="AG483" s="78"/>
      <c r="AJ483" s="84" t="s">
        <v>46</v>
      </c>
      <c r="AK483" s="84">
        <v>0</v>
      </c>
      <c r="BB483" s="589" t="s">
        <v>67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t="37.5" hidden="1" customHeight="1" x14ac:dyDescent="0.25">
      <c r="A484" s="63" t="s">
        <v>788</v>
      </c>
      <c r="B484" s="63" t="s">
        <v>789</v>
      </c>
      <c r="C484" s="36">
        <v>4301031360</v>
      </c>
      <c r="D484" s="670">
        <v>4607091384345</v>
      </c>
      <c r="E484" s="670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81</v>
      </c>
      <c r="L484" s="37" t="s">
        <v>46</v>
      </c>
      <c r="M484" s="38" t="s">
        <v>80</v>
      </c>
      <c r="N484" s="38"/>
      <c r="O484" s="37">
        <v>50</v>
      </c>
      <c r="P484" s="70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672"/>
      <c r="R484" s="672"/>
      <c r="S484" s="672"/>
      <c r="T484" s="673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3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784</v>
      </c>
      <c r="AG484" s="78"/>
      <c r="AJ484" s="84" t="s">
        <v>46</v>
      </c>
      <c r="AK484" s="84">
        <v>0</v>
      </c>
      <c r="BB484" s="591" t="s">
        <v>67</v>
      </c>
      <c r="BM484" s="78">
        <f t="shared" si="74"/>
        <v>0</v>
      </c>
      <c r="BN484" s="78">
        <f t="shared" si="75"/>
        <v>0</v>
      </c>
      <c r="BO484" s="78">
        <f t="shared" si="76"/>
        <v>0</v>
      </c>
      <c r="BP484" s="78">
        <f t="shared" si="77"/>
        <v>0</v>
      </c>
    </row>
    <row r="485" spans="1:68" hidden="1" x14ac:dyDescent="0.2">
      <c r="A485" s="660"/>
      <c r="B485" s="660"/>
      <c r="C485" s="660"/>
      <c r="D485" s="660"/>
      <c r="E485" s="660"/>
      <c r="F485" s="660"/>
      <c r="G485" s="660"/>
      <c r="H485" s="660"/>
      <c r="I485" s="660"/>
      <c r="J485" s="660"/>
      <c r="K485" s="660"/>
      <c r="L485" s="660"/>
      <c r="M485" s="660"/>
      <c r="N485" s="660"/>
      <c r="O485" s="661"/>
      <c r="P485" s="657" t="s">
        <v>40</v>
      </c>
      <c r="Q485" s="658"/>
      <c r="R485" s="658"/>
      <c r="S485" s="658"/>
      <c r="T485" s="658"/>
      <c r="U485" s="658"/>
      <c r="V485" s="659"/>
      <c r="W485" s="42" t="s">
        <v>39</v>
      </c>
      <c r="X485" s="43">
        <f>IFERROR(X479/H479,"0")+IFERROR(X480/H480,"0")+IFERROR(X481/H481,"0")+IFERROR(X482/H482,"0")+IFERROR(X483/H483,"0")+IFERROR(X484/H484,"0")</f>
        <v>0</v>
      </c>
      <c r="Y485" s="43">
        <f>IFERROR(Y479/H479,"0")+IFERROR(Y480/H480,"0")+IFERROR(Y481/H481,"0")+IFERROR(Y482/H482,"0")+IFERROR(Y483/H483,"0")+IFERROR(Y484/H484,"0")</f>
        <v>0</v>
      </c>
      <c r="Z485" s="43">
        <f>IFERROR(IF(Z479="",0,Z479),"0")+IFERROR(IF(Z480="",0,Z480),"0")+IFERROR(IF(Z481="",0,Z481),"0")+IFERROR(IF(Z482="",0,Z482),"0")+IFERROR(IF(Z483="",0,Z483),"0")+IFERROR(IF(Z484="",0,Z484),"0")</f>
        <v>0</v>
      </c>
      <c r="AA485" s="67"/>
      <c r="AB485" s="67"/>
      <c r="AC485" s="67"/>
    </row>
    <row r="486" spans="1:68" hidden="1" x14ac:dyDescent="0.2">
      <c r="A486" s="660"/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1"/>
      <c r="P486" s="657" t="s">
        <v>40</v>
      </c>
      <c r="Q486" s="658"/>
      <c r="R486" s="658"/>
      <c r="S486" s="658"/>
      <c r="T486" s="658"/>
      <c r="U486" s="658"/>
      <c r="V486" s="659"/>
      <c r="W486" s="42" t="s">
        <v>0</v>
      </c>
      <c r="X486" s="43">
        <f>IFERROR(SUM(X479:X484),"0")</f>
        <v>0</v>
      </c>
      <c r="Y486" s="43">
        <f>IFERROR(SUM(Y479:Y484),"0")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69" t="s">
        <v>85</v>
      </c>
      <c r="B487" s="669"/>
      <c r="C487" s="669"/>
      <c r="D487" s="669"/>
      <c r="E487" s="669"/>
      <c r="F487" s="669"/>
      <c r="G487" s="669"/>
      <c r="H487" s="669"/>
      <c r="I487" s="669"/>
      <c r="J487" s="669"/>
      <c r="K487" s="669"/>
      <c r="L487" s="669"/>
      <c r="M487" s="669"/>
      <c r="N487" s="669"/>
      <c r="O487" s="669"/>
      <c r="P487" s="669"/>
      <c r="Q487" s="669"/>
      <c r="R487" s="669"/>
      <c r="S487" s="669"/>
      <c r="T487" s="669"/>
      <c r="U487" s="669"/>
      <c r="V487" s="669"/>
      <c r="W487" s="669"/>
      <c r="X487" s="669"/>
      <c r="Y487" s="669"/>
      <c r="Z487" s="669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4301051284</v>
      </c>
      <c r="D488" s="670">
        <v>4607091384352</v>
      </c>
      <c r="E488" s="670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133</v>
      </c>
      <c r="L488" s="37" t="s">
        <v>46</v>
      </c>
      <c r="M488" s="38" t="s">
        <v>89</v>
      </c>
      <c r="N488" s="38"/>
      <c r="O488" s="37">
        <v>45</v>
      </c>
      <c r="P488" s="70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672"/>
      <c r="R488" s="672"/>
      <c r="S488" s="672"/>
      <c r="T488" s="673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792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4301051431</v>
      </c>
      <c r="D489" s="670">
        <v>4607091389654</v>
      </c>
      <c r="E489" s="670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90</v>
      </c>
      <c r="L489" s="37" t="s">
        <v>46</v>
      </c>
      <c r="M489" s="38" t="s">
        <v>89</v>
      </c>
      <c r="N489" s="38"/>
      <c r="O489" s="37">
        <v>45</v>
      </c>
      <c r="P489" s="70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672"/>
      <c r="R489" s="672"/>
      <c r="S489" s="672"/>
      <c r="T489" s="673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795</v>
      </c>
      <c r="AG489" s="78"/>
      <c r="AJ489" s="84" t="s">
        <v>46</v>
      </c>
      <c r="AK489" s="84">
        <v>0</v>
      </c>
      <c r="BB489" s="595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660"/>
      <c r="B490" s="660"/>
      <c r="C490" s="660"/>
      <c r="D490" s="660"/>
      <c r="E490" s="660"/>
      <c r="F490" s="660"/>
      <c r="G490" s="660"/>
      <c r="H490" s="660"/>
      <c r="I490" s="660"/>
      <c r="J490" s="660"/>
      <c r="K490" s="660"/>
      <c r="L490" s="660"/>
      <c r="M490" s="660"/>
      <c r="N490" s="660"/>
      <c r="O490" s="661"/>
      <c r="P490" s="657" t="s">
        <v>40</v>
      </c>
      <c r="Q490" s="658"/>
      <c r="R490" s="658"/>
      <c r="S490" s="658"/>
      <c r="T490" s="658"/>
      <c r="U490" s="658"/>
      <c r="V490" s="659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660"/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1"/>
      <c r="P491" s="657" t="s">
        <v>40</v>
      </c>
      <c r="Q491" s="658"/>
      <c r="R491" s="658"/>
      <c r="S491" s="658"/>
      <c r="T491" s="658"/>
      <c r="U491" s="658"/>
      <c r="V491" s="659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676" t="s">
        <v>796</v>
      </c>
      <c r="B492" s="676"/>
      <c r="C492" s="676"/>
      <c r="D492" s="676"/>
      <c r="E492" s="676"/>
      <c r="F492" s="676"/>
      <c r="G492" s="676"/>
      <c r="H492" s="676"/>
      <c r="I492" s="676"/>
      <c r="J492" s="676"/>
      <c r="K492" s="676"/>
      <c r="L492" s="676"/>
      <c r="M492" s="676"/>
      <c r="N492" s="676"/>
      <c r="O492" s="676"/>
      <c r="P492" s="676"/>
      <c r="Q492" s="676"/>
      <c r="R492" s="676"/>
      <c r="S492" s="676"/>
      <c r="T492" s="676"/>
      <c r="U492" s="676"/>
      <c r="V492" s="676"/>
      <c r="W492" s="676"/>
      <c r="X492" s="676"/>
      <c r="Y492" s="676"/>
      <c r="Z492" s="676"/>
      <c r="AA492" s="65"/>
      <c r="AB492" s="65"/>
      <c r="AC492" s="79"/>
    </row>
    <row r="493" spans="1:68" ht="14.25" hidden="1" customHeight="1" x14ac:dyDescent="0.25">
      <c r="A493" s="669" t="s">
        <v>158</v>
      </c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69"/>
      <c r="P493" s="669"/>
      <c r="Q493" s="669"/>
      <c r="R493" s="669"/>
      <c r="S493" s="669"/>
      <c r="T493" s="669"/>
      <c r="U493" s="669"/>
      <c r="V493" s="669"/>
      <c r="W493" s="669"/>
      <c r="X493" s="669"/>
      <c r="Y493" s="669"/>
      <c r="Z493" s="669"/>
      <c r="AA493" s="66"/>
      <c r="AB493" s="66"/>
      <c r="AC493" s="80"/>
    </row>
    <row r="494" spans="1:68" ht="27" hidden="1" customHeight="1" x14ac:dyDescent="0.25">
      <c r="A494" s="63" t="s">
        <v>797</v>
      </c>
      <c r="B494" s="63" t="s">
        <v>798</v>
      </c>
      <c r="C494" s="36">
        <v>4301020416</v>
      </c>
      <c r="D494" s="670">
        <v>4680115885240</v>
      </c>
      <c r="E494" s="670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90</v>
      </c>
      <c r="L494" s="37" t="s">
        <v>46</v>
      </c>
      <c r="M494" s="38" t="s">
        <v>80</v>
      </c>
      <c r="N494" s="38"/>
      <c r="O494" s="37">
        <v>40</v>
      </c>
      <c r="P494" s="70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672"/>
      <c r="R494" s="672"/>
      <c r="S494" s="672"/>
      <c r="T494" s="673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799</v>
      </c>
      <c r="AG494" s="78"/>
      <c r="AJ494" s="84" t="s">
        <v>46</v>
      </c>
      <c r="AK494" s="84">
        <v>0</v>
      </c>
      <c r="BB494" s="597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60"/>
      <c r="B495" s="660"/>
      <c r="C495" s="660"/>
      <c r="D495" s="660"/>
      <c r="E495" s="660"/>
      <c r="F495" s="660"/>
      <c r="G495" s="660"/>
      <c r="H495" s="660"/>
      <c r="I495" s="660"/>
      <c r="J495" s="660"/>
      <c r="K495" s="660"/>
      <c r="L495" s="660"/>
      <c r="M495" s="660"/>
      <c r="N495" s="660"/>
      <c r="O495" s="661"/>
      <c r="P495" s="657" t="s">
        <v>40</v>
      </c>
      <c r="Q495" s="658"/>
      <c r="R495" s="658"/>
      <c r="S495" s="658"/>
      <c r="T495" s="658"/>
      <c r="U495" s="658"/>
      <c r="V495" s="659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660"/>
      <c r="B496" s="660"/>
      <c r="C496" s="660"/>
      <c r="D496" s="660"/>
      <c r="E496" s="660"/>
      <c r="F496" s="660"/>
      <c r="G496" s="660"/>
      <c r="H496" s="660"/>
      <c r="I496" s="660"/>
      <c r="J496" s="660"/>
      <c r="K496" s="660"/>
      <c r="L496" s="660"/>
      <c r="M496" s="660"/>
      <c r="N496" s="660"/>
      <c r="O496" s="661"/>
      <c r="P496" s="657" t="s">
        <v>40</v>
      </c>
      <c r="Q496" s="658"/>
      <c r="R496" s="658"/>
      <c r="S496" s="658"/>
      <c r="T496" s="658"/>
      <c r="U496" s="658"/>
      <c r="V496" s="659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669" t="s">
        <v>76</v>
      </c>
      <c r="B497" s="669"/>
      <c r="C497" s="669"/>
      <c r="D497" s="669"/>
      <c r="E497" s="669"/>
      <c r="F497" s="669"/>
      <c r="G497" s="669"/>
      <c r="H497" s="669"/>
      <c r="I497" s="669"/>
      <c r="J497" s="669"/>
      <c r="K497" s="669"/>
      <c r="L497" s="669"/>
      <c r="M497" s="669"/>
      <c r="N497" s="669"/>
      <c r="O497" s="669"/>
      <c r="P497" s="669"/>
      <c r="Q497" s="669"/>
      <c r="R497" s="669"/>
      <c r="S497" s="669"/>
      <c r="T497" s="669"/>
      <c r="U497" s="669"/>
      <c r="V497" s="669"/>
      <c r="W497" s="669"/>
      <c r="X497" s="669"/>
      <c r="Y497" s="669"/>
      <c r="Z497" s="669"/>
      <c r="AA497" s="66"/>
      <c r="AB497" s="66"/>
      <c r="AC497" s="80"/>
    </row>
    <row r="498" spans="1:68" ht="27" hidden="1" customHeight="1" x14ac:dyDescent="0.25">
      <c r="A498" s="63" t="s">
        <v>800</v>
      </c>
      <c r="B498" s="63" t="s">
        <v>801</v>
      </c>
      <c r="C498" s="36">
        <v>4301031407</v>
      </c>
      <c r="D498" s="670">
        <v>4680115886094</v>
      </c>
      <c r="E498" s="670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133</v>
      </c>
      <c r="L498" s="37" t="s">
        <v>46</v>
      </c>
      <c r="M498" s="38" t="s">
        <v>80</v>
      </c>
      <c r="N498" s="38"/>
      <c r="O498" s="37">
        <v>50</v>
      </c>
      <c r="P498" s="70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672"/>
      <c r="R498" s="672"/>
      <c r="S498" s="672"/>
      <c r="T498" s="673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8" t="s">
        <v>802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803</v>
      </c>
      <c r="B499" s="63" t="s">
        <v>804</v>
      </c>
      <c r="C499" s="36">
        <v>4301031373</v>
      </c>
      <c r="D499" s="670">
        <v>4680115880771</v>
      </c>
      <c r="E499" s="670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672"/>
      <c r="R499" s="672"/>
      <c r="S499" s="672"/>
      <c r="T499" s="673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805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hidden="1" customHeight="1" x14ac:dyDescent="0.25">
      <c r="A500" s="63" t="s">
        <v>806</v>
      </c>
      <c r="B500" s="63" t="s">
        <v>807</v>
      </c>
      <c r="C500" s="36">
        <v>4301031359</v>
      </c>
      <c r="D500" s="670">
        <v>4607091389500</v>
      </c>
      <c r="E500" s="670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81</v>
      </c>
      <c r="L500" s="37" t="s">
        <v>46</v>
      </c>
      <c r="M500" s="38" t="s">
        <v>80</v>
      </c>
      <c r="N500" s="38"/>
      <c r="O500" s="37">
        <v>50</v>
      </c>
      <c r="P500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672"/>
      <c r="R500" s="672"/>
      <c r="S500" s="672"/>
      <c r="T500" s="673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805</v>
      </c>
      <c r="AG500" s="78"/>
      <c r="AJ500" s="84" t="s">
        <v>46</v>
      </c>
      <c r="AK500" s="84">
        <v>0</v>
      </c>
      <c r="BB500" s="603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660"/>
      <c r="B501" s="660"/>
      <c r="C501" s="660"/>
      <c r="D501" s="660"/>
      <c r="E501" s="660"/>
      <c r="F501" s="660"/>
      <c r="G501" s="660"/>
      <c r="H501" s="660"/>
      <c r="I501" s="660"/>
      <c r="J501" s="660"/>
      <c r="K501" s="660"/>
      <c r="L501" s="660"/>
      <c r="M501" s="660"/>
      <c r="N501" s="660"/>
      <c r="O501" s="661"/>
      <c r="P501" s="657" t="s">
        <v>40</v>
      </c>
      <c r="Q501" s="658"/>
      <c r="R501" s="658"/>
      <c r="S501" s="658"/>
      <c r="T501" s="658"/>
      <c r="U501" s="658"/>
      <c r="V501" s="659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660"/>
      <c r="B502" s="660"/>
      <c r="C502" s="660"/>
      <c r="D502" s="660"/>
      <c r="E502" s="660"/>
      <c r="F502" s="660"/>
      <c r="G502" s="660"/>
      <c r="H502" s="660"/>
      <c r="I502" s="660"/>
      <c r="J502" s="660"/>
      <c r="K502" s="660"/>
      <c r="L502" s="660"/>
      <c r="M502" s="660"/>
      <c r="N502" s="660"/>
      <c r="O502" s="661"/>
      <c r="P502" s="657" t="s">
        <v>40</v>
      </c>
      <c r="Q502" s="658"/>
      <c r="R502" s="658"/>
      <c r="S502" s="658"/>
      <c r="T502" s="658"/>
      <c r="U502" s="658"/>
      <c r="V502" s="659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27.75" hidden="1" customHeight="1" x14ac:dyDescent="0.2">
      <c r="A503" s="687" t="s">
        <v>808</v>
      </c>
      <c r="B503" s="687"/>
      <c r="C503" s="687"/>
      <c r="D503" s="687"/>
      <c r="E503" s="687"/>
      <c r="F503" s="687"/>
      <c r="G503" s="687"/>
      <c r="H503" s="687"/>
      <c r="I503" s="687"/>
      <c r="J503" s="687"/>
      <c r="K503" s="687"/>
      <c r="L503" s="687"/>
      <c r="M503" s="687"/>
      <c r="N503" s="687"/>
      <c r="O503" s="687"/>
      <c r="P503" s="687"/>
      <c r="Q503" s="687"/>
      <c r="R503" s="687"/>
      <c r="S503" s="687"/>
      <c r="T503" s="687"/>
      <c r="U503" s="687"/>
      <c r="V503" s="687"/>
      <c r="W503" s="687"/>
      <c r="X503" s="687"/>
      <c r="Y503" s="687"/>
      <c r="Z503" s="687"/>
      <c r="AA503" s="54"/>
      <c r="AB503" s="54"/>
      <c r="AC503" s="54"/>
    </row>
    <row r="504" spans="1:68" ht="16.5" hidden="1" customHeight="1" x14ac:dyDescent="0.25">
      <c r="A504" s="676" t="s">
        <v>808</v>
      </c>
      <c r="B504" s="676"/>
      <c r="C504" s="676"/>
      <c r="D504" s="676"/>
      <c r="E504" s="676"/>
      <c r="F504" s="676"/>
      <c r="G504" s="676"/>
      <c r="H504" s="676"/>
      <c r="I504" s="676"/>
      <c r="J504" s="676"/>
      <c r="K504" s="676"/>
      <c r="L504" s="676"/>
      <c r="M504" s="676"/>
      <c r="N504" s="676"/>
      <c r="O504" s="676"/>
      <c r="P504" s="676"/>
      <c r="Q504" s="676"/>
      <c r="R504" s="676"/>
      <c r="S504" s="676"/>
      <c r="T504" s="676"/>
      <c r="U504" s="676"/>
      <c r="V504" s="676"/>
      <c r="W504" s="676"/>
      <c r="X504" s="676"/>
      <c r="Y504" s="676"/>
      <c r="Z504" s="676"/>
      <c r="AA504" s="65"/>
      <c r="AB504" s="65"/>
      <c r="AC504" s="79"/>
    </row>
    <row r="505" spans="1:68" ht="14.25" hidden="1" customHeight="1" x14ac:dyDescent="0.25">
      <c r="A505" s="669" t="s">
        <v>121</v>
      </c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69"/>
      <c r="P505" s="669"/>
      <c r="Q505" s="669"/>
      <c r="R505" s="669"/>
      <c r="S505" s="669"/>
      <c r="T505" s="669"/>
      <c r="U505" s="669"/>
      <c r="V505" s="669"/>
      <c r="W505" s="669"/>
      <c r="X505" s="669"/>
      <c r="Y505" s="669"/>
      <c r="Z505" s="669"/>
      <c r="AA505" s="66"/>
      <c r="AB505" s="66"/>
      <c r="AC505" s="80"/>
    </row>
    <row r="506" spans="1:68" ht="27" hidden="1" customHeight="1" x14ac:dyDescent="0.25">
      <c r="A506" s="63" t="s">
        <v>809</v>
      </c>
      <c r="B506" s="63" t="s">
        <v>810</v>
      </c>
      <c r="C506" s="36">
        <v>4301011769</v>
      </c>
      <c r="D506" s="670">
        <v>4607091389067</v>
      </c>
      <c r="E506" s="670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89</v>
      </c>
      <c r="N506" s="38"/>
      <c r="O506" s="37">
        <v>60</v>
      </c>
      <c r="P506" s="69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672"/>
      <c r="R506" s="672"/>
      <c r="S506" s="672"/>
      <c r="T506" s="673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ref="Y506:Y514" si="78">IFERROR(IF(X506="",0,CEILING((X506/$H506),1)*$H506),"")</f>
        <v>0</v>
      </c>
      <c r="Z506" s="41" t="str">
        <f t="shared" ref="Z506:Z511" si="79">IFERROR(IF(Y506=0,"",ROUNDUP(Y506/H506,0)*0.01196),"")</f>
        <v/>
      </c>
      <c r="AA506" s="68" t="s">
        <v>46</v>
      </c>
      <c r="AB506" s="69" t="s">
        <v>46</v>
      </c>
      <c r="AC506" s="604" t="s">
        <v>124</v>
      </c>
      <c r="AG506" s="78"/>
      <c r="AJ506" s="84" t="s">
        <v>46</v>
      </c>
      <c r="AK506" s="84">
        <v>0</v>
      </c>
      <c r="BB506" s="605" t="s">
        <v>67</v>
      </c>
      <c r="BM506" s="78">
        <f t="shared" ref="BM506:BM514" si="80">IFERROR(X506*I506/H506,"0")</f>
        <v>0</v>
      </c>
      <c r="BN506" s="78">
        <f t="shared" ref="BN506:BN514" si="81">IFERROR(Y506*I506/H506,"0")</f>
        <v>0</v>
      </c>
      <c r="BO506" s="78">
        <f t="shared" ref="BO506:BO514" si="82">IFERROR(1/J506*(X506/H506),"0")</f>
        <v>0</v>
      </c>
      <c r="BP506" s="78">
        <f t="shared" ref="BP506:BP514" si="83">IFERROR(1/J506*(Y506/H506),"0")</f>
        <v>0</v>
      </c>
    </row>
    <row r="507" spans="1:68" ht="16.5" hidden="1" customHeight="1" x14ac:dyDescent="0.25">
      <c r="A507" s="63" t="s">
        <v>811</v>
      </c>
      <c r="B507" s="63" t="s">
        <v>812</v>
      </c>
      <c r="C507" s="36">
        <v>4301012380</v>
      </c>
      <c r="D507" s="670">
        <v>4680115889576</v>
      </c>
      <c r="E507" s="670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69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672"/>
      <c r="R507" s="672"/>
      <c r="S507" s="672"/>
      <c r="T507" s="673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813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814</v>
      </c>
      <c r="B508" s="63" t="s">
        <v>815</v>
      </c>
      <c r="C508" s="36">
        <v>4301011961</v>
      </c>
      <c r="D508" s="670">
        <v>4680115885271</v>
      </c>
      <c r="E508" s="670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69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672"/>
      <c r="R508" s="672"/>
      <c r="S508" s="672"/>
      <c r="T508" s="673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816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hidden="1" customHeight="1" x14ac:dyDescent="0.25">
      <c r="A509" s="63" t="s">
        <v>817</v>
      </c>
      <c r="B509" s="63" t="s">
        <v>818</v>
      </c>
      <c r="C509" s="36">
        <v>4301011369</v>
      </c>
      <c r="D509" s="670">
        <v>4680115885226</v>
      </c>
      <c r="E509" s="670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125</v>
      </c>
      <c r="N509" s="38"/>
      <c r="O509" s="37">
        <v>60</v>
      </c>
      <c r="P509" s="69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672"/>
      <c r="R509" s="672"/>
      <c r="S509" s="672"/>
      <c r="T509" s="673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819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16.5" hidden="1" customHeight="1" x14ac:dyDescent="0.25">
      <c r="A510" s="63" t="s">
        <v>820</v>
      </c>
      <c r="B510" s="63" t="s">
        <v>821</v>
      </c>
      <c r="C510" s="36">
        <v>4301011797</v>
      </c>
      <c r="D510" s="670">
        <v>4680115884502</v>
      </c>
      <c r="E510" s="670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89</v>
      </c>
      <c r="N510" s="38"/>
      <c r="O510" s="37">
        <v>60</v>
      </c>
      <c r="P510" s="69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672"/>
      <c r="R510" s="672"/>
      <c r="S510" s="672"/>
      <c r="T510" s="673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822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823</v>
      </c>
      <c r="B511" s="63" t="s">
        <v>824</v>
      </c>
      <c r="C511" s="36">
        <v>4301011771</v>
      </c>
      <c r="D511" s="670">
        <v>4607091389104</v>
      </c>
      <c r="E511" s="670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126</v>
      </c>
      <c r="L511" s="37" t="s">
        <v>46</v>
      </c>
      <c r="M511" s="38" t="s">
        <v>125</v>
      </c>
      <c r="N511" s="38"/>
      <c r="O511" s="37">
        <v>60</v>
      </c>
      <c r="P511" s="69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672"/>
      <c r="R511" s="672"/>
      <c r="S511" s="672"/>
      <c r="T511" s="673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 t="shared" si="79"/>
        <v/>
      </c>
      <c r="AA511" s="68" t="s">
        <v>46</v>
      </c>
      <c r="AB511" s="69" t="s">
        <v>46</v>
      </c>
      <c r="AC511" s="614" t="s">
        <v>825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826</v>
      </c>
      <c r="B512" s="63" t="s">
        <v>827</v>
      </c>
      <c r="C512" s="36">
        <v>4301012125</v>
      </c>
      <c r="D512" s="670">
        <v>4680115886391</v>
      </c>
      <c r="E512" s="670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90</v>
      </c>
      <c r="L512" s="37" t="s">
        <v>46</v>
      </c>
      <c r="M512" s="38" t="s">
        <v>89</v>
      </c>
      <c r="N512" s="38"/>
      <c r="O512" s="37">
        <v>60</v>
      </c>
      <c r="P512" s="6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672"/>
      <c r="R512" s="672"/>
      <c r="S512" s="672"/>
      <c r="T512" s="673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828</v>
      </c>
      <c r="B513" s="63" t="s">
        <v>829</v>
      </c>
      <c r="C513" s="36">
        <v>4301012048</v>
      </c>
      <c r="D513" s="670">
        <v>4680115880603</v>
      </c>
      <c r="E513" s="670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89</v>
      </c>
      <c r="N513" s="38"/>
      <c r="O513" s="37">
        <v>60</v>
      </c>
      <c r="P513" s="7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672"/>
      <c r="R513" s="672"/>
      <c r="S513" s="672"/>
      <c r="T513" s="673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124</v>
      </c>
      <c r="AG513" s="78"/>
      <c r="AJ513" s="84" t="s">
        <v>46</v>
      </c>
      <c r="AK513" s="84">
        <v>0</v>
      </c>
      <c r="BB513" s="619" t="s">
        <v>67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t="27" hidden="1" customHeight="1" x14ac:dyDescent="0.25">
      <c r="A514" s="63" t="s">
        <v>830</v>
      </c>
      <c r="B514" s="63" t="s">
        <v>831</v>
      </c>
      <c r="C514" s="36">
        <v>4301012034</v>
      </c>
      <c r="D514" s="670">
        <v>4607091389982</v>
      </c>
      <c r="E514" s="670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133</v>
      </c>
      <c r="L514" s="37" t="s">
        <v>46</v>
      </c>
      <c r="M514" s="38" t="s">
        <v>125</v>
      </c>
      <c r="N514" s="38"/>
      <c r="O514" s="37">
        <v>60</v>
      </c>
      <c r="P514" s="68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672"/>
      <c r="R514" s="672"/>
      <c r="S514" s="672"/>
      <c r="T514" s="673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8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825</v>
      </c>
      <c r="AG514" s="78"/>
      <c r="AJ514" s="84" t="s">
        <v>46</v>
      </c>
      <c r="AK514" s="84">
        <v>0</v>
      </c>
      <c r="BB514" s="621" t="s">
        <v>67</v>
      </c>
      <c r="BM514" s="78">
        <f t="shared" si="80"/>
        <v>0</v>
      </c>
      <c r="BN514" s="78">
        <f t="shared" si="81"/>
        <v>0</v>
      </c>
      <c r="BO514" s="78">
        <f t="shared" si="82"/>
        <v>0</v>
      </c>
      <c r="BP514" s="78">
        <f t="shared" si="83"/>
        <v>0</v>
      </c>
    </row>
    <row r="515" spans="1:68" hidden="1" x14ac:dyDescent="0.2">
      <c r="A515" s="660"/>
      <c r="B515" s="660"/>
      <c r="C515" s="660"/>
      <c r="D515" s="660"/>
      <c r="E515" s="660"/>
      <c r="F515" s="660"/>
      <c r="G515" s="660"/>
      <c r="H515" s="660"/>
      <c r="I515" s="660"/>
      <c r="J515" s="660"/>
      <c r="K515" s="660"/>
      <c r="L515" s="660"/>
      <c r="M515" s="660"/>
      <c r="N515" s="660"/>
      <c r="O515" s="661"/>
      <c r="P515" s="657" t="s">
        <v>40</v>
      </c>
      <c r="Q515" s="658"/>
      <c r="R515" s="658"/>
      <c r="S515" s="658"/>
      <c r="T515" s="658"/>
      <c r="U515" s="658"/>
      <c r="V515" s="659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0</v>
      </c>
      <c r="Y515" s="43">
        <f>IFERROR(Y506/H506,"0")+IFERROR(Y507/H507,"0")+IFERROR(Y508/H508,"0")+IFERROR(Y509/H509,"0")+IFERROR(Y510/H510,"0")+IFERROR(Y511/H511,"0")+IFERROR(Y512/H512,"0")+IFERROR(Y513/H513,"0")+IFERROR(Y514/H514,"0")</f>
        <v>0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660"/>
      <c r="B516" s="660"/>
      <c r="C516" s="660"/>
      <c r="D516" s="660"/>
      <c r="E516" s="660"/>
      <c r="F516" s="660"/>
      <c r="G516" s="660"/>
      <c r="H516" s="660"/>
      <c r="I516" s="660"/>
      <c r="J516" s="660"/>
      <c r="K516" s="660"/>
      <c r="L516" s="660"/>
      <c r="M516" s="660"/>
      <c r="N516" s="660"/>
      <c r="O516" s="661"/>
      <c r="P516" s="657" t="s">
        <v>40</v>
      </c>
      <c r="Q516" s="658"/>
      <c r="R516" s="658"/>
      <c r="S516" s="658"/>
      <c r="T516" s="658"/>
      <c r="U516" s="658"/>
      <c r="V516" s="659"/>
      <c r="W516" s="42" t="s">
        <v>0</v>
      </c>
      <c r="X516" s="43">
        <f>IFERROR(SUM(X506:X514),"0")</f>
        <v>0</v>
      </c>
      <c r="Y516" s="43">
        <f>IFERROR(SUM(Y506:Y514),"0")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669" t="s">
        <v>158</v>
      </c>
      <c r="B517" s="669"/>
      <c r="C517" s="669"/>
      <c r="D517" s="669"/>
      <c r="E517" s="669"/>
      <c r="F517" s="669"/>
      <c r="G517" s="669"/>
      <c r="H517" s="669"/>
      <c r="I517" s="669"/>
      <c r="J517" s="669"/>
      <c r="K517" s="669"/>
      <c r="L517" s="669"/>
      <c r="M517" s="669"/>
      <c r="N517" s="669"/>
      <c r="O517" s="669"/>
      <c r="P517" s="669"/>
      <c r="Q517" s="669"/>
      <c r="R517" s="669"/>
      <c r="S517" s="669"/>
      <c r="T517" s="669"/>
      <c r="U517" s="669"/>
      <c r="V517" s="669"/>
      <c r="W517" s="669"/>
      <c r="X517" s="669"/>
      <c r="Y517" s="669"/>
      <c r="Z517" s="669"/>
      <c r="AA517" s="66"/>
      <c r="AB517" s="66"/>
      <c r="AC517" s="80"/>
    </row>
    <row r="518" spans="1:68" ht="16.5" hidden="1" customHeight="1" x14ac:dyDescent="0.25">
      <c r="A518" s="63" t="s">
        <v>832</v>
      </c>
      <c r="B518" s="63" t="s">
        <v>833</v>
      </c>
      <c r="C518" s="36">
        <v>4301020334</v>
      </c>
      <c r="D518" s="670">
        <v>4607091388930</v>
      </c>
      <c r="E518" s="670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126</v>
      </c>
      <c r="L518" s="37" t="s">
        <v>46</v>
      </c>
      <c r="M518" s="38" t="s">
        <v>89</v>
      </c>
      <c r="N518" s="38"/>
      <c r="O518" s="37">
        <v>70</v>
      </c>
      <c r="P518" s="68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672"/>
      <c r="R518" s="672"/>
      <c r="S518" s="672"/>
      <c r="T518" s="673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834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835</v>
      </c>
      <c r="B519" s="63" t="s">
        <v>836</v>
      </c>
      <c r="C519" s="36">
        <v>4301020374</v>
      </c>
      <c r="D519" s="670">
        <v>4680115886407</v>
      </c>
      <c r="E519" s="670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90</v>
      </c>
      <c r="L519" s="37" t="s">
        <v>46</v>
      </c>
      <c r="M519" s="38" t="s">
        <v>125</v>
      </c>
      <c r="N519" s="38"/>
      <c r="O519" s="37">
        <v>70</v>
      </c>
      <c r="P519" s="69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672"/>
      <c r="R519" s="672"/>
      <c r="S519" s="672"/>
      <c r="T519" s="673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834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837</v>
      </c>
      <c r="B520" s="63" t="s">
        <v>838</v>
      </c>
      <c r="C520" s="36">
        <v>4301020385</v>
      </c>
      <c r="D520" s="670">
        <v>4680115880054</v>
      </c>
      <c r="E520" s="670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133</v>
      </c>
      <c r="L520" s="37" t="s">
        <v>46</v>
      </c>
      <c r="M520" s="38" t="s">
        <v>125</v>
      </c>
      <c r="N520" s="38"/>
      <c r="O520" s="37">
        <v>70</v>
      </c>
      <c r="P520" s="69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672"/>
      <c r="R520" s="672"/>
      <c r="S520" s="672"/>
      <c r="T520" s="673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834</v>
      </c>
      <c r="AG520" s="78"/>
      <c r="AJ520" s="84" t="s">
        <v>46</v>
      </c>
      <c r="AK520" s="84">
        <v>0</v>
      </c>
      <c r="BB520" s="627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idden="1" x14ac:dyDescent="0.2">
      <c r="A521" s="660"/>
      <c r="B521" s="660"/>
      <c r="C521" s="660"/>
      <c r="D521" s="660"/>
      <c r="E521" s="660"/>
      <c r="F521" s="660"/>
      <c r="G521" s="660"/>
      <c r="H521" s="660"/>
      <c r="I521" s="660"/>
      <c r="J521" s="660"/>
      <c r="K521" s="660"/>
      <c r="L521" s="660"/>
      <c r="M521" s="660"/>
      <c r="N521" s="660"/>
      <c r="O521" s="661"/>
      <c r="P521" s="657" t="s">
        <v>40</v>
      </c>
      <c r="Q521" s="658"/>
      <c r="R521" s="658"/>
      <c r="S521" s="658"/>
      <c r="T521" s="658"/>
      <c r="U521" s="658"/>
      <c r="V521" s="659"/>
      <c r="W521" s="42" t="s">
        <v>39</v>
      </c>
      <c r="X521" s="43">
        <f>IFERROR(X518/H518,"0")+IFERROR(X519/H519,"0")+IFERROR(X520/H520,"0")</f>
        <v>0</v>
      </c>
      <c r="Y521" s="43">
        <f>IFERROR(Y518/H518,"0")+IFERROR(Y519/H519,"0")+IFERROR(Y520/H520,"0")</f>
        <v>0</v>
      </c>
      <c r="Z521" s="43">
        <f>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660"/>
      <c r="B522" s="660"/>
      <c r="C522" s="660"/>
      <c r="D522" s="660"/>
      <c r="E522" s="660"/>
      <c r="F522" s="660"/>
      <c r="G522" s="660"/>
      <c r="H522" s="660"/>
      <c r="I522" s="660"/>
      <c r="J522" s="660"/>
      <c r="K522" s="660"/>
      <c r="L522" s="660"/>
      <c r="M522" s="660"/>
      <c r="N522" s="660"/>
      <c r="O522" s="661"/>
      <c r="P522" s="657" t="s">
        <v>40</v>
      </c>
      <c r="Q522" s="658"/>
      <c r="R522" s="658"/>
      <c r="S522" s="658"/>
      <c r="T522" s="658"/>
      <c r="U522" s="658"/>
      <c r="V522" s="659"/>
      <c r="W522" s="42" t="s">
        <v>0</v>
      </c>
      <c r="X522" s="43">
        <f>IFERROR(SUM(X518:X520),"0")</f>
        <v>0</v>
      </c>
      <c r="Y522" s="43">
        <f>IFERROR(SUM(Y518:Y520),"0")</f>
        <v>0</v>
      </c>
      <c r="Z522" s="42"/>
      <c r="AA522" s="67"/>
      <c r="AB522" s="67"/>
      <c r="AC522" s="67"/>
    </row>
    <row r="523" spans="1:68" ht="14.25" hidden="1" customHeight="1" x14ac:dyDescent="0.25">
      <c r="A523" s="669" t="s">
        <v>76</v>
      </c>
      <c r="B523" s="669"/>
      <c r="C523" s="669"/>
      <c r="D523" s="669"/>
      <c r="E523" s="669"/>
      <c r="F523" s="669"/>
      <c r="G523" s="669"/>
      <c r="H523" s="669"/>
      <c r="I523" s="669"/>
      <c r="J523" s="669"/>
      <c r="K523" s="669"/>
      <c r="L523" s="669"/>
      <c r="M523" s="669"/>
      <c r="N523" s="669"/>
      <c r="O523" s="669"/>
      <c r="P523" s="669"/>
      <c r="Q523" s="669"/>
      <c r="R523" s="669"/>
      <c r="S523" s="669"/>
      <c r="T523" s="669"/>
      <c r="U523" s="669"/>
      <c r="V523" s="669"/>
      <c r="W523" s="669"/>
      <c r="X523" s="669"/>
      <c r="Y523" s="669"/>
      <c r="Z523" s="669"/>
      <c r="AA523" s="66"/>
      <c r="AB523" s="66"/>
      <c r="AC523" s="80"/>
    </row>
    <row r="524" spans="1:68" ht="27" hidden="1" customHeight="1" x14ac:dyDescent="0.25">
      <c r="A524" s="63" t="s">
        <v>839</v>
      </c>
      <c r="B524" s="63" t="s">
        <v>840</v>
      </c>
      <c r="C524" s="36">
        <v>4301031349</v>
      </c>
      <c r="D524" s="670">
        <v>4680115883116</v>
      </c>
      <c r="E524" s="670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125</v>
      </c>
      <c r="N524" s="38"/>
      <c r="O524" s="37">
        <v>70</v>
      </c>
      <c r="P524" s="6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672"/>
      <c r="R524" s="672"/>
      <c r="S524" s="672"/>
      <c r="T524" s="673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ref="Y524:Y530" si="84">IFERROR(IF(X524="",0,CEILING((X524/$H524),1)*$H524),"")</f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841</v>
      </c>
      <c r="AG524" s="78"/>
      <c r="AJ524" s="84" t="s">
        <v>46</v>
      </c>
      <c r="AK524" s="84">
        <v>0</v>
      </c>
      <c r="BB524" s="629" t="s">
        <v>67</v>
      </c>
      <c r="BM524" s="78">
        <f t="shared" ref="BM524:BM530" si="85">IFERROR(X524*I524/H524,"0")</f>
        <v>0</v>
      </c>
      <c r="BN524" s="78">
        <f t="shared" ref="BN524:BN530" si="86">IFERROR(Y524*I524/H524,"0")</f>
        <v>0</v>
      </c>
      <c r="BO524" s="78">
        <f t="shared" ref="BO524:BO530" si="87">IFERROR(1/J524*(X524/H524),"0")</f>
        <v>0</v>
      </c>
      <c r="BP524" s="78">
        <f t="shared" ref="BP524:BP530" si="88">IFERROR(1/J524*(Y524/H524),"0")</f>
        <v>0</v>
      </c>
    </row>
    <row r="525" spans="1:68" ht="27" hidden="1" customHeight="1" x14ac:dyDescent="0.25">
      <c r="A525" s="63" t="s">
        <v>842</v>
      </c>
      <c r="B525" s="63" t="s">
        <v>843</v>
      </c>
      <c r="C525" s="36">
        <v>4301031350</v>
      </c>
      <c r="D525" s="670">
        <v>4680115883093</v>
      </c>
      <c r="E525" s="670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68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672"/>
      <c r="R525" s="672"/>
      <c r="S525" s="672"/>
      <c r="T525" s="673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844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845</v>
      </c>
      <c r="B526" s="63" t="s">
        <v>846</v>
      </c>
      <c r="C526" s="36">
        <v>4301031353</v>
      </c>
      <c r="D526" s="670">
        <v>4680115883109</v>
      </c>
      <c r="E526" s="670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126</v>
      </c>
      <c r="L526" s="37" t="s">
        <v>46</v>
      </c>
      <c r="M526" s="38" t="s">
        <v>80</v>
      </c>
      <c r="N526" s="38"/>
      <c r="O526" s="37">
        <v>70</v>
      </c>
      <c r="P526" s="68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672"/>
      <c r="R526" s="672"/>
      <c r="S526" s="672"/>
      <c r="T526" s="673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32" t="s">
        <v>847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848</v>
      </c>
      <c r="B527" s="63" t="s">
        <v>849</v>
      </c>
      <c r="C527" s="36">
        <v>4301031419</v>
      </c>
      <c r="D527" s="670">
        <v>4680115882072</v>
      </c>
      <c r="E527" s="670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133</v>
      </c>
      <c r="L527" s="37" t="s">
        <v>46</v>
      </c>
      <c r="M527" s="38" t="s">
        <v>125</v>
      </c>
      <c r="N527" s="38"/>
      <c r="O527" s="37">
        <v>70</v>
      </c>
      <c r="P527" s="68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672"/>
      <c r="R527" s="672"/>
      <c r="S527" s="672"/>
      <c r="T527" s="673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841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850</v>
      </c>
      <c r="B528" s="63" t="s">
        <v>851</v>
      </c>
      <c r="C528" s="36">
        <v>4301031352</v>
      </c>
      <c r="D528" s="670">
        <v>4680115882102</v>
      </c>
      <c r="E528" s="670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68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672"/>
      <c r="R528" s="672"/>
      <c r="S528" s="672"/>
      <c r="T528" s="673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850</v>
      </c>
      <c r="B529" s="63" t="s">
        <v>852</v>
      </c>
      <c r="C529" s="36">
        <v>4301031418</v>
      </c>
      <c r="D529" s="670">
        <v>4680115882102</v>
      </c>
      <c r="E529" s="670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68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672"/>
      <c r="R529" s="672"/>
      <c r="S529" s="672"/>
      <c r="T529" s="673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844</v>
      </c>
      <c r="AG529" s="78"/>
      <c r="AJ529" s="84" t="s">
        <v>46</v>
      </c>
      <c r="AK529" s="84">
        <v>0</v>
      </c>
      <c r="BB529" s="639" t="s">
        <v>67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t="27" hidden="1" customHeight="1" x14ac:dyDescent="0.25">
      <c r="A530" s="63" t="s">
        <v>853</v>
      </c>
      <c r="B530" s="63" t="s">
        <v>854</v>
      </c>
      <c r="C530" s="36">
        <v>4301031417</v>
      </c>
      <c r="D530" s="670">
        <v>4680115882096</v>
      </c>
      <c r="E530" s="670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133</v>
      </c>
      <c r="L530" s="37" t="s">
        <v>46</v>
      </c>
      <c r="M530" s="38" t="s">
        <v>80</v>
      </c>
      <c r="N530" s="38"/>
      <c r="O530" s="37">
        <v>70</v>
      </c>
      <c r="P530" s="68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672"/>
      <c r="R530" s="672"/>
      <c r="S530" s="672"/>
      <c r="T530" s="673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4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847</v>
      </c>
      <c r="AG530" s="78"/>
      <c r="AJ530" s="84" t="s">
        <v>46</v>
      </c>
      <c r="AK530" s="84">
        <v>0</v>
      </c>
      <c r="BB530" s="641" t="s">
        <v>67</v>
      </c>
      <c r="BM530" s="78">
        <f t="shared" si="85"/>
        <v>0</v>
      </c>
      <c r="BN530" s="78">
        <f t="shared" si="86"/>
        <v>0</v>
      </c>
      <c r="BO530" s="78">
        <f t="shared" si="87"/>
        <v>0</v>
      </c>
      <c r="BP530" s="78">
        <f t="shared" si="88"/>
        <v>0</v>
      </c>
    </row>
    <row r="531" spans="1:68" hidden="1" x14ac:dyDescent="0.2">
      <c r="A531" s="660"/>
      <c r="B531" s="660"/>
      <c r="C531" s="660"/>
      <c r="D531" s="660"/>
      <c r="E531" s="660"/>
      <c r="F531" s="660"/>
      <c r="G531" s="660"/>
      <c r="H531" s="660"/>
      <c r="I531" s="660"/>
      <c r="J531" s="660"/>
      <c r="K531" s="660"/>
      <c r="L531" s="660"/>
      <c r="M531" s="660"/>
      <c r="N531" s="660"/>
      <c r="O531" s="661"/>
      <c r="P531" s="657" t="s">
        <v>40</v>
      </c>
      <c r="Q531" s="658"/>
      <c r="R531" s="658"/>
      <c r="S531" s="658"/>
      <c r="T531" s="658"/>
      <c r="U531" s="658"/>
      <c r="V531" s="659"/>
      <c r="W531" s="42" t="s">
        <v>39</v>
      </c>
      <c r="X531" s="43">
        <f>IFERROR(X524/H524,"0")+IFERROR(X525/H525,"0")+IFERROR(X526/H526,"0")+IFERROR(X527/H527,"0")+IFERROR(X528/H528,"0")+IFERROR(X529/H529,"0")+IFERROR(X530/H530,"0")</f>
        <v>0</v>
      </c>
      <c r="Y531" s="43">
        <f>IFERROR(Y524/H524,"0")+IFERROR(Y525/H525,"0")+IFERROR(Y526/H526,"0")+IFERROR(Y527/H527,"0")+IFERROR(Y528/H528,"0")+IFERROR(Y529/H529,"0")+IFERROR(Y530/H530,"0")</f>
        <v>0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0</v>
      </c>
      <c r="AA531" s="67"/>
      <c r="AB531" s="67"/>
      <c r="AC531" s="67"/>
    </row>
    <row r="532" spans="1:68" hidden="1" x14ac:dyDescent="0.2">
      <c r="A532" s="660"/>
      <c r="B532" s="660"/>
      <c r="C532" s="660"/>
      <c r="D532" s="660"/>
      <c r="E532" s="660"/>
      <c r="F532" s="660"/>
      <c r="G532" s="660"/>
      <c r="H532" s="660"/>
      <c r="I532" s="660"/>
      <c r="J532" s="660"/>
      <c r="K532" s="660"/>
      <c r="L532" s="660"/>
      <c r="M532" s="660"/>
      <c r="N532" s="660"/>
      <c r="O532" s="661"/>
      <c r="P532" s="657" t="s">
        <v>40</v>
      </c>
      <c r="Q532" s="658"/>
      <c r="R532" s="658"/>
      <c r="S532" s="658"/>
      <c r="T532" s="658"/>
      <c r="U532" s="658"/>
      <c r="V532" s="659"/>
      <c r="W532" s="42" t="s">
        <v>0</v>
      </c>
      <c r="X532" s="43">
        <f>IFERROR(SUM(X524:X530),"0")</f>
        <v>0</v>
      </c>
      <c r="Y532" s="43">
        <f>IFERROR(SUM(Y524:Y530),"0")</f>
        <v>0</v>
      </c>
      <c r="Z532" s="42"/>
      <c r="AA532" s="67"/>
      <c r="AB532" s="67"/>
      <c r="AC532" s="67"/>
    </row>
    <row r="533" spans="1:68" ht="27.75" hidden="1" customHeight="1" x14ac:dyDescent="0.2">
      <c r="A533" s="687" t="s">
        <v>855</v>
      </c>
      <c r="B533" s="687"/>
      <c r="C533" s="687"/>
      <c r="D533" s="687"/>
      <c r="E533" s="687"/>
      <c r="F533" s="687"/>
      <c r="G533" s="687"/>
      <c r="H533" s="687"/>
      <c r="I533" s="687"/>
      <c r="J533" s="687"/>
      <c r="K533" s="687"/>
      <c r="L533" s="687"/>
      <c r="M533" s="687"/>
      <c r="N533" s="687"/>
      <c r="O533" s="687"/>
      <c r="P533" s="687"/>
      <c r="Q533" s="687"/>
      <c r="R533" s="687"/>
      <c r="S533" s="687"/>
      <c r="T533" s="687"/>
      <c r="U533" s="687"/>
      <c r="V533" s="687"/>
      <c r="W533" s="687"/>
      <c r="X533" s="687"/>
      <c r="Y533" s="687"/>
      <c r="Z533" s="687"/>
      <c r="AA533" s="54"/>
      <c r="AB533" s="54"/>
      <c r="AC533" s="54"/>
    </row>
    <row r="534" spans="1:68" ht="16.5" hidden="1" customHeight="1" x14ac:dyDescent="0.25">
      <c r="A534" s="676" t="s">
        <v>855</v>
      </c>
      <c r="B534" s="676"/>
      <c r="C534" s="676"/>
      <c r="D534" s="676"/>
      <c r="E534" s="676"/>
      <c r="F534" s="676"/>
      <c r="G534" s="676"/>
      <c r="H534" s="676"/>
      <c r="I534" s="676"/>
      <c r="J534" s="676"/>
      <c r="K534" s="676"/>
      <c r="L534" s="676"/>
      <c r="M534" s="676"/>
      <c r="N534" s="676"/>
      <c r="O534" s="676"/>
      <c r="P534" s="676"/>
      <c r="Q534" s="676"/>
      <c r="R534" s="676"/>
      <c r="S534" s="676"/>
      <c r="T534" s="676"/>
      <c r="U534" s="676"/>
      <c r="V534" s="676"/>
      <c r="W534" s="676"/>
      <c r="X534" s="676"/>
      <c r="Y534" s="676"/>
      <c r="Z534" s="676"/>
      <c r="AA534" s="65"/>
      <c r="AB534" s="65"/>
      <c r="AC534" s="79"/>
    </row>
    <row r="535" spans="1:68" ht="14.25" hidden="1" customHeight="1" x14ac:dyDescent="0.25">
      <c r="A535" s="669" t="s">
        <v>121</v>
      </c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69"/>
      <c r="P535" s="669"/>
      <c r="Q535" s="669"/>
      <c r="R535" s="669"/>
      <c r="S535" s="669"/>
      <c r="T535" s="669"/>
      <c r="U535" s="669"/>
      <c r="V535" s="669"/>
      <c r="W535" s="669"/>
      <c r="X535" s="669"/>
      <c r="Y535" s="669"/>
      <c r="Z535" s="669"/>
      <c r="AA535" s="66"/>
      <c r="AB535" s="66"/>
      <c r="AC535" s="80"/>
    </row>
    <row r="536" spans="1:68" ht="27" hidden="1" customHeight="1" x14ac:dyDescent="0.25">
      <c r="A536" s="63" t="s">
        <v>856</v>
      </c>
      <c r="B536" s="63" t="s">
        <v>857</v>
      </c>
      <c r="C536" s="36">
        <v>4301011584</v>
      </c>
      <c r="D536" s="670">
        <v>4640242180564</v>
      </c>
      <c r="E536" s="670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126</v>
      </c>
      <c r="L536" s="37" t="s">
        <v>46</v>
      </c>
      <c r="M536" s="38" t="s">
        <v>125</v>
      </c>
      <c r="N536" s="38"/>
      <c r="O536" s="37">
        <v>50</v>
      </c>
      <c r="P536" s="67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6" s="672"/>
      <c r="R536" s="672"/>
      <c r="S536" s="672"/>
      <c r="T536" s="673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42" t="s">
        <v>858</v>
      </c>
      <c r="AG536" s="78"/>
      <c r="AJ536" s="84" t="s">
        <v>46</v>
      </c>
      <c r="AK536" s="84">
        <v>0</v>
      </c>
      <c r="BB536" s="643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60"/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1"/>
      <c r="P537" s="657" t="s">
        <v>40</v>
      </c>
      <c r="Q537" s="658"/>
      <c r="R537" s="658"/>
      <c r="S537" s="658"/>
      <c r="T537" s="658"/>
      <c r="U537" s="658"/>
      <c r="V537" s="659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60"/>
      <c r="B538" s="660"/>
      <c r="C538" s="660"/>
      <c r="D538" s="660"/>
      <c r="E538" s="660"/>
      <c r="F538" s="660"/>
      <c r="G538" s="660"/>
      <c r="H538" s="660"/>
      <c r="I538" s="660"/>
      <c r="J538" s="660"/>
      <c r="K538" s="660"/>
      <c r="L538" s="660"/>
      <c r="M538" s="660"/>
      <c r="N538" s="660"/>
      <c r="O538" s="661"/>
      <c r="P538" s="657" t="s">
        <v>40</v>
      </c>
      <c r="Q538" s="658"/>
      <c r="R538" s="658"/>
      <c r="S538" s="658"/>
      <c r="T538" s="658"/>
      <c r="U538" s="658"/>
      <c r="V538" s="659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69" t="s">
        <v>158</v>
      </c>
      <c r="B539" s="669"/>
      <c r="C539" s="669"/>
      <c r="D539" s="669"/>
      <c r="E539" s="669"/>
      <c r="F539" s="669"/>
      <c r="G539" s="669"/>
      <c r="H539" s="669"/>
      <c r="I539" s="669"/>
      <c r="J539" s="669"/>
      <c r="K539" s="669"/>
      <c r="L539" s="669"/>
      <c r="M539" s="669"/>
      <c r="N539" s="669"/>
      <c r="O539" s="669"/>
      <c r="P539" s="669"/>
      <c r="Q539" s="669"/>
      <c r="R539" s="669"/>
      <c r="S539" s="669"/>
      <c r="T539" s="669"/>
      <c r="U539" s="669"/>
      <c r="V539" s="669"/>
      <c r="W539" s="669"/>
      <c r="X539" s="669"/>
      <c r="Y539" s="669"/>
      <c r="Z539" s="669"/>
      <c r="AA539" s="66"/>
      <c r="AB539" s="66"/>
      <c r="AC539" s="80"/>
    </row>
    <row r="540" spans="1:68" ht="27" hidden="1" customHeight="1" x14ac:dyDescent="0.25">
      <c r="A540" s="63" t="s">
        <v>859</v>
      </c>
      <c r="B540" s="63" t="s">
        <v>860</v>
      </c>
      <c r="C540" s="36">
        <v>4301020444</v>
      </c>
      <c r="D540" s="670">
        <v>4680115889781</v>
      </c>
      <c r="E540" s="670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126</v>
      </c>
      <c r="L540" s="37" t="s">
        <v>46</v>
      </c>
      <c r="M540" s="38" t="s">
        <v>89</v>
      </c>
      <c r="N540" s="38"/>
      <c r="O540" s="37">
        <v>50</v>
      </c>
      <c r="P540" s="67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672"/>
      <c r="R540" s="672"/>
      <c r="S540" s="672"/>
      <c r="T540" s="673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734</v>
      </c>
      <c r="AG540" s="78"/>
      <c r="AJ540" s="84" t="s">
        <v>46</v>
      </c>
      <c r="AK540" s="84">
        <v>0</v>
      </c>
      <c r="BB540" s="645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60"/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1"/>
      <c r="P541" s="657" t="s">
        <v>40</v>
      </c>
      <c r="Q541" s="658"/>
      <c r="R541" s="658"/>
      <c r="S541" s="658"/>
      <c r="T541" s="658"/>
      <c r="U541" s="658"/>
      <c r="V541" s="659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60"/>
      <c r="B542" s="660"/>
      <c r="C542" s="660"/>
      <c r="D542" s="660"/>
      <c r="E542" s="660"/>
      <c r="F542" s="660"/>
      <c r="G542" s="660"/>
      <c r="H542" s="660"/>
      <c r="I542" s="660"/>
      <c r="J542" s="660"/>
      <c r="K542" s="660"/>
      <c r="L542" s="660"/>
      <c r="M542" s="660"/>
      <c r="N542" s="660"/>
      <c r="O542" s="661"/>
      <c r="P542" s="657" t="s">
        <v>40</v>
      </c>
      <c r="Q542" s="658"/>
      <c r="R542" s="658"/>
      <c r="S542" s="658"/>
      <c r="T542" s="658"/>
      <c r="U542" s="658"/>
      <c r="V542" s="659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69" t="s">
        <v>76</v>
      </c>
      <c r="B543" s="669"/>
      <c r="C543" s="669"/>
      <c r="D543" s="669"/>
      <c r="E543" s="669"/>
      <c r="F543" s="669"/>
      <c r="G543" s="669"/>
      <c r="H543" s="669"/>
      <c r="I543" s="669"/>
      <c r="J543" s="669"/>
      <c r="K543" s="669"/>
      <c r="L543" s="669"/>
      <c r="M543" s="669"/>
      <c r="N543" s="669"/>
      <c r="O543" s="669"/>
      <c r="P543" s="669"/>
      <c r="Q543" s="669"/>
      <c r="R543" s="669"/>
      <c r="S543" s="669"/>
      <c r="T543" s="669"/>
      <c r="U543" s="669"/>
      <c r="V543" s="669"/>
      <c r="W543" s="669"/>
      <c r="X543" s="669"/>
      <c r="Y543" s="669"/>
      <c r="Z543" s="669"/>
      <c r="AA543" s="66"/>
      <c r="AB543" s="66"/>
      <c r="AC543" s="80"/>
    </row>
    <row r="544" spans="1:68" ht="27" hidden="1" customHeight="1" x14ac:dyDescent="0.25">
      <c r="A544" s="63" t="s">
        <v>861</v>
      </c>
      <c r="B544" s="63" t="s">
        <v>862</v>
      </c>
      <c r="C544" s="36">
        <v>4301031500</v>
      </c>
      <c r="D544" s="670">
        <v>4640242180595</v>
      </c>
      <c r="E544" s="670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133</v>
      </c>
      <c r="L544" s="37" t="s">
        <v>46</v>
      </c>
      <c r="M544" s="38" t="s">
        <v>80</v>
      </c>
      <c r="N544" s="38"/>
      <c r="O544" s="37">
        <v>40</v>
      </c>
      <c r="P544" s="68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672"/>
      <c r="R544" s="672"/>
      <c r="S544" s="672"/>
      <c r="T544" s="673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IFERROR(IF(Y544=0,"",ROUNDUP(Y544/H544,0)*0.00902),"")</f>
        <v/>
      </c>
      <c r="AA544" s="68" t="s">
        <v>46</v>
      </c>
      <c r="AB544" s="69" t="s">
        <v>46</v>
      </c>
      <c r="AC544" s="646" t="s">
        <v>863</v>
      </c>
      <c r="AG544" s="78"/>
      <c r="AJ544" s="84" t="s">
        <v>46</v>
      </c>
      <c r="AK544" s="84">
        <v>0</v>
      </c>
      <c r="BB544" s="647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60"/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1"/>
      <c r="P545" s="657" t="s">
        <v>40</v>
      </c>
      <c r="Q545" s="658"/>
      <c r="R545" s="658"/>
      <c r="S545" s="658"/>
      <c r="T545" s="658"/>
      <c r="U545" s="658"/>
      <c r="V545" s="659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660"/>
      <c r="B546" s="660"/>
      <c r="C546" s="660"/>
      <c r="D546" s="660"/>
      <c r="E546" s="660"/>
      <c r="F546" s="660"/>
      <c r="G546" s="660"/>
      <c r="H546" s="660"/>
      <c r="I546" s="660"/>
      <c r="J546" s="660"/>
      <c r="K546" s="660"/>
      <c r="L546" s="660"/>
      <c r="M546" s="660"/>
      <c r="N546" s="660"/>
      <c r="O546" s="661"/>
      <c r="P546" s="657" t="s">
        <v>40</v>
      </c>
      <c r="Q546" s="658"/>
      <c r="R546" s="658"/>
      <c r="S546" s="658"/>
      <c r="T546" s="658"/>
      <c r="U546" s="658"/>
      <c r="V546" s="659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669" t="s">
        <v>85</v>
      </c>
      <c r="B547" s="669"/>
      <c r="C547" s="669"/>
      <c r="D547" s="669"/>
      <c r="E547" s="669"/>
      <c r="F547" s="669"/>
      <c r="G547" s="669"/>
      <c r="H547" s="669"/>
      <c r="I547" s="669"/>
      <c r="J547" s="669"/>
      <c r="K547" s="669"/>
      <c r="L547" s="669"/>
      <c r="M547" s="669"/>
      <c r="N547" s="669"/>
      <c r="O547" s="669"/>
      <c r="P547" s="669"/>
      <c r="Q547" s="669"/>
      <c r="R547" s="669"/>
      <c r="S547" s="669"/>
      <c r="T547" s="669"/>
      <c r="U547" s="669"/>
      <c r="V547" s="669"/>
      <c r="W547" s="669"/>
      <c r="X547" s="669"/>
      <c r="Y547" s="669"/>
      <c r="Z547" s="669"/>
      <c r="AA547" s="66"/>
      <c r="AB547" s="66"/>
      <c r="AC547" s="80"/>
    </row>
    <row r="548" spans="1:68" ht="27" hidden="1" customHeight="1" x14ac:dyDescent="0.25">
      <c r="A548" s="63" t="s">
        <v>864</v>
      </c>
      <c r="B548" s="63" t="s">
        <v>865</v>
      </c>
      <c r="C548" s="36">
        <v>4301052282</v>
      </c>
      <c r="D548" s="670">
        <v>4680115889811</v>
      </c>
      <c r="E548" s="670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126</v>
      </c>
      <c r="L548" s="37" t="s">
        <v>46</v>
      </c>
      <c r="M548" s="38" t="s">
        <v>89</v>
      </c>
      <c r="N548" s="38"/>
      <c r="O548" s="37">
        <v>45</v>
      </c>
      <c r="P548" s="67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672"/>
      <c r="R548" s="672"/>
      <c r="S548" s="672"/>
      <c r="T548" s="673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866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60"/>
      <c r="B549" s="660"/>
      <c r="C549" s="660"/>
      <c r="D549" s="660"/>
      <c r="E549" s="660"/>
      <c r="F549" s="660"/>
      <c r="G549" s="660"/>
      <c r="H549" s="660"/>
      <c r="I549" s="660"/>
      <c r="J549" s="660"/>
      <c r="K549" s="660"/>
      <c r="L549" s="660"/>
      <c r="M549" s="660"/>
      <c r="N549" s="660"/>
      <c r="O549" s="661"/>
      <c r="P549" s="657" t="s">
        <v>40</v>
      </c>
      <c r="Q549" s="658"/>
      <c r="R549" s="658"/>
      <c r="S549" s="658"/>
      <c r="T549" s="658"/>
      <c r="U549" s="658"/>
      <c r="V549" s="659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60"/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1"/>
      <c r="P550" s="657" t="s">
        <v>40</v>
      </c>
      <c r="Q550" s="658"/>
      <c r="R550" s="658"/>
      <c r="S550" s="658"/>
      <c r="T550" s="658"/>
      <c r="U550" s="658"/>
      <c r="V550" s="659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669" t="s">
        <v>177</v>
      </c>
      <c r="B551" s="669"/>
      <c r="C551" s="669"/>
      <c r="D551" s="669"/>
      <c r="E551" s="669"/>
      <c r="F551" s="669"/>
      <c r="G551" s="669"/>
      <c r="H551" s="669"/>
      <c r="I551" s="669"/>
      <c r="J551" s="669"/>
      <c r="K551" s="669"/>
      <c r="L551" s="669"/>
      <c r="M551" s="669"/>
      <c r="N551" s="669"/>
      <c r="O551" s="669"/>
      <c r="P551" s="669"/>
      <c r="Q551" s="669"/>
      <c r="R551" s="669"/>
      <c r="S551" s="669"/>
      <c r="T551" s="669"/>
      <c r="U551" s="669"/>
      <c r="V551" s="669"/>
      <c r="W551" s="669"/>
      <c r="X551" s="669"/>
      <c r="Y551" s="669"/>
      <c r="Z551" s="669"/>
      <c r="AA551" s="66"/>
      <c r="AB551" s="66"/>
      <c r="AC551" s="80"/>
    </row>
    <row r="552" spans="1:68" ht="27" hidden="1" customHeight="1" x14ac:dyDescent="0.25">
      <c r="A552" s="63" t="s">
        <v>867</v>
      </c>
      <c r="B552" s="63" t="s">
        <v>868</v>
      </c>
      <c r="C552" s="36">
        <v>4301060543</v>
      </c>
      <c r="D552" s="670">
        <v>4680115889804</v>
      </c>
      <c r="E552" s="670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674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672"/>
      <c r="R552" s="672"/>
      <c r="S552" s="672"/>
      <c r="T552" s="673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869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870</v>
      </c>
      <c r="B553" s="63" t="s">
        <v>871</v>
      </c>
      <c r="C553" s="36">
        <v>4301060544</v>
      </c>
      <c r="D553" s="670">
        <v>4680115889828</v>
      </c>
      <c r="E553" s="670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126</v>
      </c>
      <c r="L553" s="37" t="s">
        <v>46</v>
      </c>
      <c r="M553" s="38" t="s">
        <v>89</v>
      </c>
      <c r="N553" s="38"/>
      <c r="O553" s="37">
        <v>40</v>
      </c>
      <c r="P553" s="67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672"/>
      <c r="R553" s="672"/>
      <c r="S553" s="672"/>
      <c r="T553" s="673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872</v>
      </c>
      <c r="AG553" s="78"/>
      <c r="AJ553" s="84" t="s">
        <v>46</v>
      </c>
      <c r="AK553" s="84">
        <v>0</v>
      </c>
      <c r="BB553" s="653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660"/>
      <c r="B554" s="660"/>
      <c r="C554" s="660"/>
      <c r="D554" s="660"/>
      <c r="E554" s="660"/>
      <c r="F554" s="660"/>
      <c r="G554" s="660"/>
      <c r="H554" s="660"/>
      <c r="I554" s="660"/>
      <c r="J554" s="660"/>
      <c r="K554" s="660"/>
      <c r="L554" s="660"/>
      <c r="M554" s="660"/>
      <c r="N554" s="660"/>
      <c r="O554" s="661"/>
      <c r="P554" s="657" t="s">
        <v>40</v>
      </c>
      <c r="Q554" s="658"/>
      <c r="R554" s="658"/>
      <c r="S554" s="658"/>
      <c r="T554" s="658"/>
      <c r="U554" s="658"/>
      <c r="V554" s="659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660"/>
      <c r="B555" s="660"/>
      <c r="C555" s="660"/>
      <c r="D555" s="660"/>
      <c r="E555" s="660"/>
      <c r="F555" s="660"/>
      <c r="G555" s="660"/>
      <c r="H555" s="660"/>
      <c r="I555" s="660"/>
      <c r="J555" s="660"/>
      <c r="K555" s="660"/>
      <c r="L555" s="660"/>
      <c r="M555" s="660"/>
      <c r="N555" s="660"/>
      <c r="O555" s="661"/>
      <c r="P555" s="657" t="s">
        <v>40</v>
      </c>
      <c r="Q555" s="658"/>
      <c r="R555" s="658"/>
      <c r="S555" s="658"/>
      <c r="T555" s="658"/>
      <c r="U555" s="658"/>
      <c r="V555" s="659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676" t="s">
        <v>873</v>
      </c>
      <c r="B556" s="676"/>
      <c r="C556" s="676"/>
      <c r="D556" s="676"/>
      <c r="E556" s="676"/>
      <c r="F556" s="676"/>
      <c r="G556" s="676"/>
      <c r="H556" s="676"/>
      <c r="I556" s="676"/>
      <c r="J556" s="676"/>
      <c r="K556" s="676"/>
      <c r="L556" s="676"/>
      <c r="M556" s="676"/>
      <c r="N556" s="676"/>
      <c r="O556" s="676"/>
      <c r="P556" s="676"/>
      <c r="Q556" s="676"/>
      <c r="R556" s="676"/>
      <c r="S556" s="676"/>
      <c r="T556" s="676"/>
      <c r="U556" s="676"/>
      <c r="V556" s="676"/>
      <c r="W556" s="676"/>
      <c r="X556" s="676"/>
      <c r="Y556" s="676"/>
      <c r="Z556" s="676"/>
      <c r="AA556" s="65"/>
      <c r="AB556" s="65"/>
      <c r="AC556" s="79"/>
    </row>
    <row r="557" spans="1:68" ht="14.25" hidden="1" customHeight="1" x14ac:dyDescent="0.25">
      <c r="A557" s="669" t="s">
        <v>158</v>
      </c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69"/>
      <c r="P557" s="669"/>
      <c r="Q557" s="669"/>
      <c r="R557" s="669"/>
      <c r="S557" s="669"/>
      <c r="T557" s="669"/>
      <c r="U557" s="669"/>
      <c r="V557" s="669"/>
      <c r="W557" s="669"/>
      <c r="X557" s="669"/>
      <c r="Y557" s="669"/>
      <c r="Z557" s="669"/>
      <c r="AA557" s="66"/>
      <c r="AB557" s="66"/>
      <c r="AC557" s="80"/>
    </row>
    <row r="558" spans="1:68" ht="27" hidden="1" customHeight="1" x14ac:dyDescent="0.25">
      <c r="A558" s="63" t="s">
        <v>874</v>
      </c>
      <c r="B558" s="63" t="s">
        <v>875</v>
      </c>
      <c r="C558" s="36">
        <v>4301020441</v>
      </c>
      <c r="D558" s="670">
        <v>4680115889798</v>
      </c>
      <c r="E558" s="670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126</v>
      </c>
      <c r="L558" s="37" t="s">
        <v>46</v>
      </c>
      <c r="M558" s="38" t="s">
        <v>125</v>
      </c>
      <c r="N558" s="38"/>
      <c r="O558" s="37">
        <v>50</v>
      </c>
      <c r="P558" s="677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672"/>
      <c r="R558" s="672"/>
      <c r="S558" s="672"/>
      <c r="T558" s="673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876</v>
      </c>
      <c r="AG558" s="78"/>
      <c r="AJ558" s="84" t="s">
        <v>46</v>
      </c>
      <c r="AK558" s="84">
        <v>0</v>
      </c>
      <c r="BB558" s="655" t="s">
        <v>67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660"/>
      <c r="B559" s="660"/>
      <c r="C559" s="660"/>
      <c r="D559" s="660"/>
      <c r="E559" s="660"/>
      <c r="F559" s="660"/>
      <c r="G559" s="660"/>
      <c r="H559" s="660"/>
      <c r="I559" s="660"/>
      <c r="J559" s="660"/>
      <c r="K559" s="660"/>
      <c r="L559" s="660"/>
      <c r="M559" s="660"/>
      <c r="N559" s="660"/>
      <c r="O559" s="661"/>
      <c r="P559" s="657" t="s">
        <v>40</v>
      </c>
      <c r="Q559" s="658"/>
      <c r="R559" s="658"/>
      <c r="S559" s="658"/>
      <c r="T559" s="658"/>
      <c r="U559" s="658"/>
      <c r="V559" s="659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660"/>
      <c r="B560" s="660"/>
      <c r="C560" s="660"/>
      <c r="D560" s="660"/>
      <c r="E560" s="660"/>
      <c r="F560" s="660"/>
      <c r="G560" s="660"/>
      <c r="H560" s="660"/>
      <c r="I560" s="660"/>
      <c r="J560" s="660"/>
      <c r="K560" s="660"/>
      <c r="L560" s="660"/>
      <c r="M560" s="660"/>
      <c r="N560" s="660"/>
      <c r="O560" s="661"/>
      <c r="P560" s="657" t="s">
        <v>40</v>
      </c>
      <c r="Q560" s="658"/>
      <c r="R560" s="658"/>
      <c r="S560" s="658"/>
      <c r="T560" s="658"/>
      <c r="U560" s="658"/>
      <c r="V560" s="659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660"/>
      <c r="B561" s="660"/>
      <c r="C561" s="660"/>
      <c r="D561" s="660"/>
      <c r="E561" s="660"/>
      <c r="F561" s="660"/>
      <c r="G561" s="660"/>
      <c r="H561" s="660"/>
      <c r="I561" s="660"/>
      <c r="J561" s="660"/>
      <c r="K561" s="660"/>
      <c r="L561" s="660"/>
      <c r="M561" s="660"/>
      <c r="N561" s="660"/>
      <c r="O561" s="665"/>
      <c r="P561" s="662" t="s">
        <v>33</v>
      </c>
      <c r="Q561" s="663"/>
      <c r="R561" s="663"/>
      <c r="S561" s="663"/>
      <c r="T561" s="663"/>
      <c r="U561" s="663"/>
      <c r="V561" s="664"/>
      <c r="W561" s="42" t="s">
        <v>0</v>
      </c>
      <c r="X561" s="43">
        <f>IFERROR(X25+X33+X43+X52+X65+X73+X78+X84+X93+X100+X113+X121+X128+X132+X138+X143+X148+X158+X162+X170+X175+X189+X195+X199+X203+X215+X220+X238+X250+X256+X260+X266+X271+X282+X297+X302+X313+X317+X321+X325+X335+X342+X351+X356+X363+X374+X384+X391+X397+X404+X410+X416+X422+X429+X442+X448+X454+X459+X465+X469+X475+X486+X491+X496+X502+X516+X522+X532+X538+X542+X546+X550+X555+X560,"0")</f>
        <v>405</v>
      </c>
      <c r="Y561" s="43">
        <f>IFERROR(Y25+Y33+Y43+Y52+Y65+Y73+Y78+Y84+Y93+Y100+Y113+Y121+Y128+Y132+Y138+Y143+Y148+Y158+Y162+Y170+Y175+Y189+Y195+Y199+Y203+Y215+Y220+Y238+Y250+Y256+Y260+Y266+Y271+Y282+Y297+Y302+Y313+Y317+Y321+Y325+Y335+Y342+Y351+Y356+Y363+Y374+Y384+Y391+Y397+Y404+Y410+Y416+Y422+Y429+Y442+Y448+Y454+Y459+Y465+Y469+Y475+Y486+Y491+Y496+Y502+Y516+Y522+Y532+Y538+Y542+Y546+Y550+Y555+Y560,"0")</f>
        <v>405</v>
      </c>
      <c r="Z561" s="42"/>
      <c r="AA561" s="67"/>
      <c r="AB561" s="67"/>
      <c r="AC561" s="67"/>
    </row>
    <row r="562" spans="1:32" x14ac:dyDescent="0.2">
      <c r="A562" s="660"/>
      <c r="B562" s="660"/>
      <c r="C562" s="660"/>
      <c r="D562" s="660"/>
      <c r="E562" s="660"/>
      <c r="F562" s="660"/>
      <c r="G562" s="660"/>
      <c r="H562" s="660"/>
      <c r="I562" s="660"/>
      <c r="J562" s="660"/>
      <c r="K562" s="660"/>
      <c r="L562" s="660"/>
      <c r="M562" s="660"/>
      <c r="N562" s="660"/>
      <c r="O562" s="665"/>
      <c r="P562" s="662" t="s">
        <v>34</v>
      </c>
      <c r="Q562" s="663"/>
      <c r="R562" s="663"/>
      <c r="S562" s="663"/>
      <c r="T562" s="663"/>
      <c r="U562" s="663"/>
      <c r="V562" s="664"/>
      <c r="W562" s="42" t="s">
        <v>0</v>
      </c>
      <c r="X562" s="43">
        <f>IFERROR(SUM(BM22:BM558),"0")</f>
        <v>417.69</v>
      </c>
      <c r="Y562" s="43">
        <f>IFERROR(SUM(BN22:BN558),"0")</f>
        <v>417.69</v>
      </c>
      <c r="Z562" s="42"/>
      <c r="AA562" s="67"/>
      <c r="AB562" s="67"/>
      <c r="AC562" s="67"/>
    </row>
    <row r="563" spans="1:32" x14ac:dyDescent="0.2">
      <c r="A563" s="660"/>
      <c r="B563" s="660"/>
      <c r="C563" s="660"/>
      <c r="D563" s="660"/>
      <c r="E563" s="660"/>
      <c r="F563" s="660"/>
      <c r="G563" s="660"/>
      <c r="H563" s="660"/>
      <c r="I563" s="660"/>
      <c r="J563" s="660"/>
      <c r="K563" s="660"/>
      <c r="L563" s="660"/>
      <c r="M563" s="660"/>
      <c r="N563" s="660"/>
      <c r="O563" s="665"/>
      <c r="P563" s="662" t="s">
        <v>35</v>
      </c>
      <c r="Q563" s="663"/>
      <c r="R563" s="663"/>
      <c r="S563" s="663"/>
      <c r="T563" s="663"/>
      <c r="U563" s="663"/>
      <c r="V563" s="664"/>
      <c r="W563" s="42" t="s">
        <v>20</v>
      </c>
      <c r="X563" s="44">
        <f>ROUNDUP(SUM(BO22:BO558),0)</f>
        <v>1</v>
      </c>
      <c r="Y563" s="44">
        <f>ROUNDUP(SUM(BP22:BP558),0)</f>
        <v>1</v>
      </c>
      <c r="Z563" s="42"/>
      <c r="AA563" s="67"/>
      <c r="AB563" s="67"/>
      <c r="AC563" s="67"/>
    </row>
    <row r="564" spans="1:32" x14ac:dyDescent="0.2">
      <c r="A564" s="660"/>
      <c r="B564" s="660"/>
      <c r="C564" s="660"/>
      <c r="D564" s="660"/>
      <c r="E564" s="660"/>
      <c r="F564" s="660"/>
      <c r="G564" s="660"/>
      <c r="H564" s="660"/>
      <c r="I564" s="660"/>
      <c r="J564" s="660"/>
      <c r="K564" s="660"/>
      <c r="L564" s="660"/>
      <c r="M564" s="660"/>
      <c r="N564" s="660"/>
      <c r="O564" s="665"/>
      <c r="P564" s="662" t="s">
        <v>36</v>
      </c>
      <c r="Q564" s="663"/>
      <c r="R564" s="663"/>
      <c r="S564" s="663"/>
      <c r="T564" s="663"/>
      <c r="U564" s="663"/>
      <c r="V564" s="664"/>
      <c r="W564" s="42" t="s">
        <v>0</v>
      </c>
      <c r="X564" s="43">
        <f>GrossWeightTotal+PalletQtyTotal*25</f>
        <v>442.69</v>
      </c>
      <c r="Y564" s="43">
        <f>GrossWeightTotalR+PalletQtyTotalR*25</f>
        <v>442.69</v>
      </c>
      <c r="Z564" s="42"/>
      <c r="AA564" s="67"/>
      <c r="AB564" s="67"/>
      <c r="AC564" s="67"/>
    </row>
    <row r="565" spans="1:32" x14ac:dyDescent="0.2">
      <c r="A565" s="660"/>
      <c r="B565" s="660"/>
      <c r="C565" s="660"/>
      <c r="D565" s="660"/>
      <c r="E565" s="660"/>
      <c r="F565" s="660"/>
      <c r="G565" s="660"/>
      <c r="H565" s="660"/>
      <c r="I565" s="660"/>
      <c r="J565" s="660"/>
      <c r="K565" s="660"/>
      <c r="L565" s="660"/>
      <c r="M565" s="660"/>
      <c r="N565" s="660"/>
      <c r="O565" s="665"/>
      <c r="P565" s="662" t="s">
        <v>37</v>
      </c>
      <c r="Q565" s="663"/>
      <c r="R565" s="663"/>
      <c r="S565" s="663"/>
      <c r="T565" s="663"/>
      <c r="U565" s="663"/>
      <c r="V565" s="664"/>
      <c r="W565" s="42" t="s">
        <v>20</v>
      </c>
      <c r="X565" s="43">
        <f>IFERROR(X24+X32+X42+X51+X64+X72+X77+X83+X92+X99+X112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549+X554+X559,"0")</f>
        <v>27</v>
      </c>
      <c r="Y565" s="43">
        <f>IFERROR(Y24+Y32+Y42+Y51+Y64+Y72+Y77+Y83+Y92+Y99+Y112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549+Y554+Y559,"0")</f>
        <v>27</v>
      </c>
      <c r="Z565" s="42"/>
      <c r="AA565" s="67"/>
      <c r="AB565" s="67"/>
      <c r="AC565" s="67"/>
    </row>
    <row r="566" spans="1:32" ht="14.25" hidden="1" x14ac:dyDescent="0.2">
      <c r="A566" s="660"/>
      <c r="B566" s="660"/>
      <c r="C566" s="660"/>
      <c r="D566" s="660"/>
      <c r="E566" s="660"/>
      <c r="F566" s="660"/>
      <c r="G566" s="660"/>
      <c r="H566" s="660"/>
      <c r="I566" s="660"/>
      <c r="J566" s="660"/>
      <c r="K566" s="660"/>
      <c r="L566" s="660"/>
      <c r="M566" s="660"/>
      <c r="N566" s="660"/>
      <c r="O566" s="665"/>
      <c r="P566" s="662" t="s">
        <v>38</v>
      </c>
      <c r="Q566" s="663"/>
      <c r="R566" s="663"/>
      <c r="S566" s="663"/>
      <c r="T566" s="663"/>
      <c r="U566" s="663"/>
      <c r="V566" s="664"/>
      <c r="W566" s="45" t="s">
        <v>52</v>
      </c>
      <c r="X566" s="42"/>
      <c r="Y566" s="42"/>
      <c r="Z566" s="42">
        <f>IFERROR(Z24+Z32+Z42+Z51+Z64+Z72+Z77+Z83+Z92+Z99+Z112+Z120+Z127+Z131+Z137+Z142+Z147+Z157+Z161+Z169+Z174+Z188+Z194+Z198+Z202+Z214+Z219+Z237+Z249+Z255+Z259+Z265+Z270+Z281+Z296+Z301+Z312+Z316+Z320+Z324+Z334+Z341+Z350+Z355+Z362+Z373+Z383+Z390+Z396+Z403+Z409+Z415+Z421+Z428+Z441+Z447+Z453+Z458+Z464+Z468+Z474+Z485+Z490+Z495+Z501+Z515+Z521+Z531+Z537+Z541+Z545+Z549+Z554+Z559,"0")</f>
        <v>0.58724999999999994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75</v>
      </c>
      <c r="C568" s="85" t="s">
        <v>45</v>
      </c>
      <c r="D568" s="656" t="s">
        <v>119</v>
      </c>
      <c r="E568" s="656" t="s">
        <v>119</v>
      </c>
      <c r="F568" s="656" t="s">
        <v>119</v>
      </c>
      <c r="G568" s="656" t="s">
        <v>119</v>
      </c>
      <c r="H568" s="656" t="s">
        <v>119</v>
      </c>
      <c r="I568" s="656" t="s">
        <v>119</v>
      </c>
      <c r="J568" s="656" t="s">
        <v>119</v>
      </c>
      <c r="K568" s="656" t="s">
        <v>351</v>
      </c>
      <c r="L568" s="656" t="s">
        <v>351</v>
      </c>
      <c r="M568" s="656" t="s">
        <v>351</v>
      </c>
      <c r="N568" s="666"/>
      <c r="O568" s="656" t="s">
        <v>351</v>
      </c>
      <c r="P568" s="656" t="s">
        <v>351</v>
      </c>
      <c r="Q568" s="656" t="s">
        <v>351</v>
      </c>
      <c r="R568" s="656" t="s">
        <v>351</v>
      </c>
      <c r="S568" s="656" t="s">
        <v>351</v>
      </c>
      <c r="T568" s="656" t="s">
        <v>351</v>
      </c>
      <c r="U568" s="656" t="s">
        <v>351</v>
      </c>
      <c r="V568" s="656" t="s">
        <v>351</v>
      </c>
      <c r="W568" s="656" t="s">
        <v>706</v>
      </c>
      <c r="X568" s="656" t="s">
        <v>706</v>
      </c>
      <c r="Y568" s="656" t="s">
        <v>772</v>
      </c>
      <c r="Z568" s="656" t="s">
        <v>772</v>
      </c>
      <c r="AA568" s="85" t="s">
        <v>808</v>
      </c>
      <c r="AB568" s="656" t="s">
        <v>855</v>
      </c>
      <c r="AC568" s="656" t="s">
        <v>855</v>
      </c>
      <c r="AF568" s="1"/>
    </row>
    <row r="569" spans="1:32" ht="14.25" customHeight="1" thickTop="1" x14ac:dyDescent="0.2">
      <c r="A569" s="667" t="s">
        <v>10</v>
      </c>
      <c r="B569" s="656" t="s">
        <v>75</v>
      </c>
      <c r="C569" s="656" t="s">
        <v>103</v>
      </c>
      <c r="D569" s="656" t="s">
        <v>120</v>
      </c>
      <c r="E569" s="656" t="s">
        <v>136</v>
      </c>
      <c r="F569" s="656" t="s">
        <v>185</v>
      </c>
      <c r="G569" s="656" t="s">
        <v>208</v>
      </c>
      <c r="H569" s="656" t="s">
        <v>254</v>
      </c>
      <c r="I569" s="656" t="s">
        <v>267</v>
      </c>
      <c r="J569" s="656" t="s">
        <v>119</v>
      </c>
      <c r="K569" s="656" t="s">
        <v>352</v>
      </c>
      <c r="L569" s="656" t="s">
        <v>373</v>
      </c>
      <c r="M569" s="656" t="s">
        <v>447</v>
      </c>
      <c r="N569" s="1"/>
      <c r="O569" s="656" t="s">
        <v>515</v>
      </c>
      <c r="P569" s="656" t="s">
        <v>544</v>
      </c>
      <c r="Q569" s="656" t="s">
        <v>564</v>
      </c>
      <c r="R569" s="656" t="s">
        <v>573</v>
      </c>
      <c r="S569" s="656" t="s">
        <v>594</v>
      </c>
      <c r="T569" s="656" t="s">
        <v>603</v>
      </c>
      <c r="U569" s="656" t="s">
        <v>689</v>
      </c>
      <c r="V569" s="656" t="s">
        <v>696</v>
      </c>
      <c r="W569" s="656" t="s">
        <v>707</v>
      </c>
      <c r="X569" s="656" t="s">
        <v>756</v>
      </c>
      <c r="Y569" s="656" t="s">
        <v>773</v>
      </c>
      <c r="Z569" s="656" t="s">
        <v>796</v>
      </c>
      <c r="AA569" s="656" t="s">
        <v>808</v>
      </c>
      <c r="AB569" s="656" t="s">
        <v>855</v>
      </c>
      <c r="AC569" s="656" t="s">
        <v>873</v>
      </c>
      <c r="AF569" s="1"/>
    </row>
    <row r="570" spans="1:32" ht="13.5" thickBot="1" x14ac:dyDescent="0.25">
      <c r="A570" s="668"/>
      <c r="B570" s="656"/>
      <c r="C570" s="656"/>
      <c r="D570" s="656"/>
      <c r="E570" s="656"/>
      <c r="F570" s="656"/>
      <c r="G570" s="656"/>
      <c r="H570" s="656"/>
      <c r="I570" s="656"/>
      <c r="J570" s="656"/>
      <c r="K570" s="656"/>
      <c r="L570" s="656"/>
      <c r="M570" s="656"/>
      <c r="N570" s="1"/>
      <c r="O570" s="656"/>
      <c r="P570" s="656"/>
      <c r="Q570" s="656"/>
      <c r="R570" s="656"/>
      <c r="S570" s="656"/>
      <c r="T570" s="656"/>
      <c r="U570" s="656"/>
      <c r="V570" s="656"/>
      <c r="W570" s="656"/>
      <c r="X570" s="656"/>
      <c r="Y570" s="656"/>
      <c r="Z570" s="656"/>
      <c r="AA570" s="656"/>
      <c r="AB570" s="656"/>
      <c r="AC570" s="656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0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71" s="52">
        <f>IFERROR(Y87*1,"0")+IFERROR(Y88*1,"0")+IFERROR(Y89*1,"0")+IFERROR(Y90*1,"0")+IFERROR(Y91*1,"0")+IFERROR(Y95*1,"0")+IFERROR(Y96*1,"0")+IFERROR(Y97*1,"0")+IFERROR(Y98*1,"0")</f>
        <v>0</v>
      </c>
      <c r="G571" s="52">
        <f>IFERROR(Y103*1,"0")+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130*1,"0")</f>
        <v>0</v>
      </c>
      <c r="H571" s="52">
        <f>IFERROR(Y135*1,"0")+IFERROR(Y136*1,"0")+IFERROR(Y140*1,"0")+IFERROR(Y141*1,"0")+IFERROR(Y145*1,"0")+IFERROR(Y146*1,"0")</f>
        <v>0</v>
      </c>
      <c r="I571" s="52">
        <f>IFERROR(Y151*1,"0")+IFERROR(Y152*1,"0")+IFERROR(Y153*1,"0")+IFERROR(Y154*1,"0")+IFERROR(Y155*1,"0")+IFERROR(Y156*1,"0")+IFERROR(Y160*1,"0")</f>
        <v>0</v>
      </c>
      <c r="J571" s="52">
        <f>IFERROR(Y165*1,"0")+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201*1,"0")</f>
        <v>0</v>
      </c>
      <c r="K571" s="52">
        <f>IFERROR(Y207*1,"0")+IFERROR(Y208*1,"0")+IFERROR(Y209*1,"0")+IFERROR(Y210*1,"0")+IFERROR(Y211*1,"0")+IFERROR(Y212*1,"0")+IFERROR(Y213*1,"0")</f>
        <v>0</v>
      </c>
      <c r="L571" s="52">
        <f>IFERROR(Y218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245*1,"0")+IFERROR(Y246*1,"0")+IFERROR(Y247*1,"0")+IFERROR(Y248*1,"0")+IFERROR(Y252*1,"0")+IFERROR(Y253*1,"0")+IFERROR(Y254*1,"0")+IFERROR(Y258*1,"0")</f>
        <v>0</v>
      </c>
      <c r="M571" s="52">
        <f>IFERROR(Y263*1,"0")+IFERROR(Y264*1,"0")+IFERROR(Y268*1,"0")+IFERROR(Y269*1,"0")+IFERROR(Y273*1,"0")+IFERROR(Y274*1,"0")+IFERROR(Y275*1,"0")+IFERROR(Y276*1,"0")+IFERROR(Y277*1,"0")+IFERROR(Y278*1,"0")+IFERROR(Y279*1,"0")+IFERROR(Y280*1,"0")+IFERROR(Y284*1,"0")+IFERROR(Y285*1,"0")+IFERROR(Y286*1,"0")+IFERROR(Y287*1,"0")+IFERROR(Y288*1,"0")+IFERROR(Y289*1,"0")+IFERROR(Y290*1,"0")+IFERROR(Y291*1,"0")+IFERROR(Y292*1,"0")+IFERROR(Y293*1,"0")+IFERROR(Y294*1,"0")+IFERROR(Y295*1,"0")+IFERROR(Y299*1,"0")+IFERROR(Y300*1,"0")</f>
        <v>0</v>
      </c>
      <c r="N571" s="1"/>
      <c r="O571" s="52">
        <f>IFERROR(Y305*1,"0")+IFERROR(Y306*1,"0")+IFERROR(Y307*1,"0")+IFERROR(Y308*1,"0")+IFERROR(Y309*1,"0")+IFERROR(Y310*1,"0")+IFERROR(Y311*1,"0")+IFERROR(Y315*1,"0")+IFERROR(Y319*1,"0")+IFERROR(Y323*1,"0")</f>
        <v>0</v>
      </c>
      <c r="P571" s="52">
        <f>IFERROR(Y328*1,"0")+IFERROR(Y329*1,"0")+IFERROR(Y330*1,"0")+IFERROR(Y331*1,"0")+IFERROR(Y332*1,"0")+IFERROR(Y333*1,"0")</f>
        <v>0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0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0</v>
      </c>
      <c r="U571" s="52">
        <f>IFERROR(Y419*1,"0")+IFERROR(Y420*1,"0")</f>
        <v>0</v>
      </c>
      <c r="V571" s="52">
        <f>IFERROR(Y425*1,"0")+IFERROR(Y426*1,"0")+IFERROR(Y427*1,"0")</f>
        <v>0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405</v>
      </c>
      <c r="X571" s="52">
        <f>IFERROR(Y462*1,"0")+IFERROR(Y463*1,"0")+IFERROR(Y467*1,"0")+IFERROR(Y471*1,"0")+IFERROR(Y472*1,"0")+IFERROR(Y473*1,"0")</f>
        <v>0</v>
      </c>
      <c r="Y571" s="52">
        <f>IFERROR(Y479*1,"0")+IFERROR(Y480*1,"0")+IFERROR(Y481*1,"0")+IFERROR(Y482*1,"0")+IFERROR(Y483*1,"0")+IFERROR(Y484*1,"0")+IFERROR(Y488*1,"0")+IFERROR(Y489*1,"0")</f>
        <v>0</v>
      </c>
      <c r="Z571" s="52">
        <f>IFERROR(Y494*1,"0")+IFERROR(Y498*1,"0")+IFERROR(Y499*1,"0")+IFERROR(Y500*1,"0")</f>
        <v>0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0</v>
      </c>
      <c r="AB571" s="52">
        <f>IFERROR(Y536*1,"0")+IFERROR(Y540*1,"0")+IFERROR(Y544*1,"0")+IFERROR(Y548*1,"0")+IFERROR(Y552*1,"0")+IFERROR(Y553*1,"0")</f>
        <v>0</v>
      </c>
      <c r="AC571" s="52">
        <f>IFERROR(Y558*1,"0")</f>
        <v>0</v>
      </c>
      <c r="AF571" s="1"/>
    </row>
  </sheetData>
  <sheetProtection algorithmName="SHA-512" hashValue="1m8yPMy5CHAcfn62BHIMRD9LJZB1d3Kf6CpxNNAoFlbLqyRK2mhsz1DPxy4M1XwSr2TGR1kzRiB9eGOh5dFXoQ==" saltValue="J1+Gtbv5KlRhr8TnYWwiAA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05,00"/>
        <filter val="27,00"/>
        <filter val="300,00"/>
        <filter val="405,00"/>
        <filter val="417,69"/>
        <filter val="442,69"/>
      </filters>
    </filterColumn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D156:E156"/>
    <mergeCell ref="P156:T156"/>
    <mergeCell ref="P157:V157"/>
    <mergeCell ref="A157:O158"/>
    <mergeCell ref="P158:V158"/>
    <mergeCell ref="A159:Z159"/>
    <mergeCell ref="D160:E160"/>
    <mergeCell ref="P160:T160"/>
    <mergeCell ref="P161:V161"/>
    <mergeCell ref="A161:O162"/>
    <mergeCell ref="P162:V162"/>
    <mergeCell ref="A163:Z163"/>
    <mergeCell ref="A164:Z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A205:Z205"/>
    <mergeCell ref="A206:Z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A217:Z217"/>
    <mergeCell ref="D218:E218"/>
    <mergeCell ref="P218:T218"/>
    <mergeCell ref="P219:V219"/>
    <mergeCell ref="A219:O220"/>
    <mergeCell ref="P220:V220"/>
    <mergeCell ref="A221:Z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D253:E253"/>
    <mergeCell ref="P253:T253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D269:E269"/>
    <mergeCell ref="P269:T269"/>
    <mergeCell ref="P270:V270"/>
    <mergeCell ref="A270:O271"/>
    <mergeCell ref="P271:V271"/>
    <mergeCell ref="A272:Z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P281:V281"/>
    <mergeCell ref="A281:O282"/>
    <mergeCell ref="P282:V282"/>
    <mergeCell ref="A283:Z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P296:V296"/>
    <mergeCell ref="A296:O297"/>
    <mergeCell ref="P297:V297"/>
    <mergeCell ref="A298:Z298"/>
    <mergeCell ref="D299:E299"/>
    <mergeCell ref="P299:T299"/>
    <mergeCell ref="D300:E300"/>
    <mergeCell ref="P300:T300"/>
    <mergeCell ref="P301:V301"/>
    <mergeCell ref="A301:O302"/>
    <mergeCell ref="P302:V302"/>
    <mergeCell ref="A303:Z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P320:V320"/>
    <mergeCell ref="A320:O321"/>
    <mergeCell ref="P321:V321"/>
    <mergeCell ref="A322:Z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P531:V531"/>
    <mergeCell ref="A531:O532"/>
    <mergeCell ref="P532:V532"/>
    <mergeCell ref="A533:Z533"/>
    <mergeCell ref="A534:Z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P554:V554"/>
    <mergeCell ref="A554:O555"/>
    <mergeCell ref="P555:V555"/>
    <mergeCell ref="A556:Z556"/>
    <mergeCell ref="A557:Z557"/>
    <mergeCell ref="D558:E558"/>
    <mergeCell ref="P558:T558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A569:AA570"/>
    <mergeCell ref="AB569:AB570"/>
    <mergeCell ref="AC569:AC570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8" spans="2:8" x14ac:dyDescent="0.2">
      <c r="B8" s="53" t="s">
        <v>886</v>
      </c>
      <c r="C8" s="53" t="s">
        <v>887</v>
      </c>
      <c r="D8" s="53" t="s">
        <v>888</v>
      </c>
      <c r="E8" s="53" t="s">
        <v>46</v>
      </c>
    </row>
    <row r="9" spans="2:8" x14ac:dyDescent="0.2">
      <c r="B9" s="53" t="s">
        <v>889</v>
      </c>
      <c r="C9" s="53" t="s">
        <v>890</v>
      </c>
      <c r="D9" s="53" t="s">
        <v>891</v>
      </c>
      <c r="E9" s="53" t="s">
        <v>46</v>
      </c>
    </row>
    <row r="10" spans="2:8" x14ac:dyDescent="0.2">
      <c r="B10" s="53" t="s">
        <v>892</v>
      </c>
      <c r="C10" s="53" t="s">
        <v>893</v>
      </c>
      <c r="D10" s="53" t="s">
        <v>894</v>
      </c>
      <c r="E10" s="53" t="s">
        <v>46</v>
      </c>
    </row>
    <row r="11" spans="2:8" x14ac:dyDescent="0.2">
      <c r="B11" s="53" t="s">
        <v>895</v>
      </c>
      <c r="C11" s="53" t="s">
        <v>896</v>
      </c>
      <c r="D11" s="53" t="s">
        <v>897</v>
      </c>
      <c r="E11" s="53" t="s">
        <v>46</v>
      </c>
    </row>
    <row r="12" spans="2:8" x14ac:dyDescent="0.2">
      <c r="B12" s="53" t="s">
        <v>898</v>
      </c>
      <c r="C12" s="53" t="s">
        <v>899</v>
      </c>
      <c r="D12" s="53" t="s">
        <v>900</v>
      </c>
      <c r="E12" s="53" t="s">
        <v>46</v>
      </c>
    </row>
    <row r="13" spans="2:8" x14ac:dyDescent="0.2">
      <c r="B13" s="53" t="s">
        <v>901</v>
      </c>
      <c r="C13" s="53" t="s">
        <v>902</v>
      </c>
      <c r="D13" s="53" t="s">
        <v>126</v>
      </c>
      <c r="E13" s="53" t="s">
        <v>46</v>
      </c>
    </row>
    <row r="15" spans="2:8" x14ac:dyDescent="0.2">
      <c r="B15" s="53" t="s">
        <v>903</v>
      </c>
      <c r="C15" s="53" t="s">
        <v>881</v>
      </c>
      <c r="D15" s="53" t="s">
        <v>46</v>
      </c>
      <c r="E15" s="53" t="s">
        <v>46</v>
      </c>
    </row>
    <row r="17" spans="2:5" x14ac:dyDescent="0.2">
      <c r="B17" s="53" t="s">
        <v>904</v>
      </c>
      <c r="C17" s="53" t="s">
        <v>884</v>
      </c>
      <c r="D17" s="53" t="s">
        <v>46</v>
      </c>
      <c r="E17" s="53" t="s">
        <v>46</v>
      </c>
    </row>
    <row r="19" spans="2:5" x14ac:dyDescent="0.2">
      <c r="B19" s="53" t="s">
        <v>905</v>
      </c>
      <c r="C19" s="53" t="s">
        <v>887</v>
      </c>
      <c r="D19" s="53" t="s">
        <v>46</v>
      </c>
      <c r="E19" s="53" t="s">
        <v>46</v>
      </c>
    </row>
    <row r="21" spans="2:5" x14ac:dyDescent="0.2">
      <c r="B21" s="53" t="s">
        <v>906</v>
      </c>
      <c r="C21" s="53" t="s">
        <v>890</v>
      </c>
      <c r="D21" s="53" t="s">
        <v>46</v>
      </c>
      <c r="E21" s="53" t="s">
        <v>46</v>
      </c>
    </row>
    <row r="23" spans="2:5" x14ac:dyDescent="0.2">
      <c r="B23" s="53" t="s">
        <v>907</v>
      </c>
      <c r="C23" s="53" t="s">
        <v>893</v>
      </c>
      <c r="D23" s="53" t="s">
        <v>46</v>
      </c>
      <c r="E23" s="53" t="s">
        <v>46</v>
      </c>
    </row>
    <row r="25" spans="2:5" x14ac:dyDescent="0.2">
      <c r="B25" s="53" t="s">
        <v>908</v>
      </c>
      <c r="C25" s="53" t="s">
        <v>896</v>
      </c>
      <c r="D25" s="53" t="s">
        <v>46</v>
      </c>
      <c r="E25" s="53" t="s">
        <v>46</v>
      </c>
    </row>
    <row r="27" spans="2:5" x14ac:dyDescent="0.2">
      <c r="B27" s="53" t="s">
        <v>909</v>
      </c>
      <c r="C27" s="53" t="s">
        <v>899</v>
      </c>
      <c r="D27" s="53" t="s">
        <v>46</v>
      </c>
      <c r="E27" s="53" t="s">
        <v>46</v>
      </c>
    </row>
    <row r="29" spans="2:5" x14ac:dyDescent="0.2">
      <c r="B29" s="53" t="s">
        <v>910</v>
      </c>
      <c r="C29" s="53" t="s">
        <v>902</v>
      </c>
      <c r="D29" s="53" t="s">
        <v>46</v>
      </c>
      <c r="E29" s="53" t="s">
        <v>46</v>
      </c>
    </row>
    <row r="31" spans="2:5" x14ac:dyDescent="0.2">
      <c r="B31" s="53" t="s">
        <v>911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912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913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914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915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916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917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918</v>
      </c>
      <c r="C38" s="53" t="s">
        <v>46</v>
      </c>
      <c r="D38" s="53" t="s">
        <v>46</v>
      </c>
      <c r="E38" s="53" t="s">
        <v>46</v>
      </c>
    </row>
    <row r="39" spans="2:5" x14ac:dyDescent="0.2">
      <c r="B39" s="53" t="s">
        <v>919</v>
      </c>
      <c r="C39" s="53" t="s">
        <v>46</v>
      </c>
      <c r="D39" s="53" t="s">
        <v>46</v>
      </c>
      <c r="E39" s="53" t="s">
        <v>46</v>
      </c>
    </row>
    <row r="40" spans="2:5" x14ac:dyDescent="0.2">
      <c r="B40" s="53" t="s">
        <v>920</v>
      </c>
      <c r="C40" s="53" t="s">
        <v>46</v>
      </c>
      <c r="D40" s="53" t="s">
        <v>46</v>
      </c>
      <c r="E40" s="53" t="s">
        <v>46</v>
      </c>
    </row>
    <row r="41" spans="2:5" x14ac:dyDescent="0.2">
      <c r="B41" s="53" t="s">
        <v>921</v>
      </c>
      <c r="C41" s="53" t="s">
        <v>46</v>
      </c>
      <c r="D41" s="53" t="s">
        <v>46</v>
      </c>
      <c r="E41" s="53" t="s">
        <v>46</v>
      </c>
    </row>
  </sheetData>
  <sheetProtection algorithmName="SHA-512" hashValue="mzpiknccSlj94R2BIrWgRMO7y4LKK2SiX6r7GzsQgUAAyFw3hCYLIzUJo54zqJDQJ3P2Jxfk2Y/l3N5W9sFOaA==" saltValue="oeL6XiOXxmZP4nhLyyl17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2026-09-29T12:40:34Z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