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C8345C3D-CBCB-4695-8738-6ECB0327C4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Y501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Z269" i="2"/>
  <c r="Y269" i="2"/>
  <c r="BN269" i="2" s="1"/>
  <c r="P269" i="2"/>
  <c r="BO268" i="2"/>
  <c r="BM268" i="2"/>
  <c r="Y268" i="2"/>
  <c r="BP268" i="2" s="1"/>
  <c r="P268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X563" i="2" l="1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BN511" i="2"/>
  <c r="BP511" i="2"/>
  <c r="BP544" i="2"/>
  <c r="Y546" i="2"/>
  <c r="Z28" i="2"/>
  <c r="BN28" i="2"/>
  <c r="BN29" i="2"/>
  <c r="Y43" i="2"/>
  <c r="BN40" i="2"/>
  <c r="BP49" i="2"/>
  <c r="BN55" i="2"/>
  <c r="Z57" i="2"/>
  <c r="BN57" i="2"/>
  <c r="BN63" i="2"/>
  <c r="Z75" i="2"/>
  <c r="BN75" i="2"/>
  <c r="Y78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Y266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Y453" i="2"/>
  <c r="BP498" i="2"/>
  <c r="BN498" i="2"/>
  <c r="Z498" i="2"/>
  <c r="BP526" i="2"/>
  <c r="BN526" i="2"/>
  <c r="Z526" i="2"/>
  <c r="BP527" i="2"/>
  <c r="BN527" i="2"/>
  <c r="Z527" i="2"/>
  <c r="BN529" i="2"/>
  <c r="Z529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Z72" i="2" s="1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Z362" i="2" s="1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15" i="2" s="1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Z521" i="2" s="1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Z151" i="2"/>
  <c r="Y250" i="2"/>
  <c r="Y301" i="2"/>
  <c r="BP300" i="2"/>
  <c r="BN300" i="2"/>
  <c r="Y397" i="2"/>
  <c r="Y475" i="2"/>
  <c r="BP471" i="2"/>
  <c r="Y474" i="2"/>
  <c r="BN471" i="2"/>
  <c r="Z471" i="2"/>
  <c r="Z474" i="2" s="1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Z554" i="2" s="1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Z421" i="2" s="1"/>
  <c r="BN434" i="2"/>
  <c r="BN444" i="2"/>
  <c r="Y447" i="2"/>
  <c r="BN467" i="2"/>
  <c r="Z479" i="2"/>
  <c r="Z489" i="2"/>
  <c r="Y495" i="2"/>
  <c r="BP506" i="2"/>
  <c r="BN514" i="2"/>
  <c r="Z524" i="2"/>
  <c r="Z531" i="2" s="1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28" i="2" s="1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86" i="2"/>
  <c r="Z210" i="2"/>
  <c r="Z315" i="2"/>
  <c r="Z316" i="2" s="1"/>
  <c r="Z328" i="2"/>
  <c r="Z339" i="2"/>
  <c r="Z341" i="2" s="1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49" i="2" s="1"/>
  <c r="Z274" i="2"/>
  <c r="Z284" i="2"/>
  <c r="Z305" i="2"/>
  <c r="Z345" i="2"/>
  <c r="BP425" i="2"/>
  <c r="AB571" i="2"/>
  <c r="BN166" i="2"/>
  <c r="Z281" i="2" l="1"/>
  <c r="Z169" i="2"/>
  <c r="X564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<sst xmlns="http://schemas.openxmlformats.org/spreadsheetml/2006/main" count="4359" uniqueCount="922">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</sst>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240</v>
      </c>
      <c r="Y436" s="55">
        <f t="shared" si="68"/>
        <v>240</v>
      </c>
      <c r="Z436" s="41">
        <f>IFERROR(IF(Y436=0,"",ROUNDUP(Y436/H436,0)*0.02175),"")</f>
        <v>0.34799999999999998</v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247.52</v>
      </c>
      <c r="BN436" s="78">
        <f t="shared" si="70"/>
        <v>247.52</v>
      </c>
      <c r="BO436" s="78">
        <f t="shared" si="71"/>
        <v>0.33333333333333331</v>
      </c>
      <c r="BP436" s="78">
        <f t="shared" si="72"/>
        <v>0.33333333333333331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16</v>
      </c>
      <c r="Y441" s="43">
        <f>IFERROR(Y433/H433,"0")+IFERROR(Y434/H434,"0")+IFERROR(Y435/H435,"0")+IFERROR(Y436/H436,"0")+IFERROR(Y437/H437,"0")+IFERROR(Y438/H438,"0")+IFERROR(Y439/H439,"0")+IFERROR(Y440/H440,"0")</f>
        <v>16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0.34799999999999998</v>
      </c>
      <c r="AA441" s="67"/>
      <c r="AB441" s="67"/>
      <c r="AC441" s="67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240</v>
      </c>
      <c r="Y442" s="43">
        <f>IFERROR(SUM(Y433:Y440),"0")</f>
        <v>240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240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240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247.52</v>
      </c>
      <c r="Y562" s="43">
        <f>IFERROR(SUM(BN22:BN558),"0")</f>
        <v>247.52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272.52</v>
      </c>
      <c r="Y564" s="43">
        <f>GrossWeightTotalR+PalletQtyTotalR*25</f>
        <v>272.52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16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16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0.34799999999999998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240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6,00"/>
        <filter val="240,00"/>
        <filter val="247,52"/>
        <filter val="272,52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