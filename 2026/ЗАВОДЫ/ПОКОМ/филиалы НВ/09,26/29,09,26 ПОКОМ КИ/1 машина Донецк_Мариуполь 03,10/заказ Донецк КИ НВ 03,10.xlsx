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24D1A9D-90ED-4352-BADA-0EA3DB5567D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1" l="1"/>
  <c r="X559" i="1"/>
  <c r="BO558" i="1"/>
  <c r="BM558" i="1"/>
  <c r="Y558" i="1"/>
  <c r="P558" i="1"/>
  <c r="X555" i="1"/>
  <c r="X554" i="1"/>
  <c r="BO553" i="1"/>
  <c r="BM553" i="1"/>
  <c r="Y553" i="1"/>
  <c r="P553" i="1"/>
  <c r="BO552" i="1"/>
  <c r="BM552" i="1"/>
  <c r="Y552" i="1"/>
  <c r="Y554" i="1" s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AB571" i="1" s="1"/>
  <c r="P536" i="1"/>
  <c r="X532" i="1"/>
  <c r="X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X522" i="1"/>
  <c r="X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X496" i="1"/>
  <c r="X495" i="1"/>
  <c r="BO494" i="1"/>
  <c r="BM494" i="1"/>
  <c r="Y494" i="1"/>
  <c r="P494" i="1"/>
  <c r="X491" i="1"/>
  <c r="X490" i="1"/>
  <c r="BO489" i="1"/>
  <c r="BM489" i="1"/>
  <c r="Y489" i="1"/>
  <c r="P489" i="1"/>
  <c r="BO488" i="1"/>
  <c r="BM488" i="1"/>
  <c r="Y488" i="1"/>
  <c r="P488" i="1"/>
  <c r="X486" i="1"/>
  <c r="X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X475" i="1"/>
  <c r="X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59" i="1"/>
  <c r="Y458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29" i="1"/>
  <c r="X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Y396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5" i="1"/>
  <c r="X324" i="1"/>
  <c r="BO323" i="1"/>
  <c r="BM323" i="1"/>
  <c r="Y323" i="1"/>
  <c r="P323" i="1"/>
  <c r="X321" i="1"/>
  <c r="X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X271" i="1"/>
  <c r="X270" i="1"/>
  <c r="BO269" i="1"/>
  <c r="BM269" i="1"/>
  <c r="Y269" i="1"/>
  <c r="BP269" i="1" s="1"/>
  <c r="P269" i="1"/>
  <c r="BO268" i="1"/>
  <c r="BM268" i="1"/>
  <c r="Y268" i="1"/>
  <c r="P268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O252" i="1"/>
  <c r="BM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X220" i="1"/>
  <c r="Y219" i="1"/>
  <c r="X219" i="1"/>
  <c r="BP218" i="1"/>
  <c r="BO218" i="1"/>
  <c r="BN218" i="1"/>
  <c r="BM218" i="1"/>
  <c r="Z218" i="1"/>
  <c r="Z219" i="1" s="1"/>
  <c r="Y218" i="1"/>
  <c r="P218" i="1"/>
  <c r="X215" i="1"/>
  <c r="X214" i="1"/>
  <c r="BO213" i="1"/>
  <c r="BM213" i="1"/>
  <c r="Y213" i="1"/>
  <c r="BP213" i="1" s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Y198" i="1"/>
  <c r="X198" i="1"/>
  <c r="BP197" i="1"/>
  <c r="BO197" i="1"/>
  <c r="BN197" i="1"/>
  <c r="BM197" i="1"/>
  <c r="Z197" i="1"/>
  <c r="Z198" i="1" s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X162" i="1"/>
  <c r="X161" i="1"/>
  <c r="BO160" i="1"/>
  <c r="BM160" i="1"/>
  <c r="Y160" i="1"/>
  <c r="Y162" i="1" s="1"/>
  <c r="P160" i="1"/>
  <c r="X158" i="1"/>
  <c r="X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BP135" i="1" s="1"/>
  <c r="P135" i="1"/>
  <c r="X132" i="1"/>
  <c r="X131" i="1"/>
  <c r="BO130" i="1"/>
  <c r="BM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Y128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G57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2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71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61" i="1" s="1"/>
  <c r="X24" i="1"/>
  <c r="BP23" i="1"/>
  <c r="BO23" i="1"/>
  <c r="BN23" i="1"/>
  <c r="BM23" i="1"/>
  <c r="Z23" i="1"/>
  <c r="Y23" i="1"/>
  <c r="P23" i="1"/>
  <c r="BO22" i="1"/>
  <c r="BM22" i="1"/>
  <c r="X562" i="1" s="1"/>
  <c r="Y22" i="1"/>
  <c r="P22" i="1"/>
  <c r="H10" i="1"/>
  <c r="A9" i="1"/>
  <c r="F10" i="1" s="1"/>
  <c r="D7" i="1"/>
  <c r="Q6" i="1"/>
  <c r="P2" i="1"/>
  <c r="Y255" i="1" l="1"/>
  <c r="BP295" i="1"/>
  <c r="BN295" i="1"/>
  <c r="Z295" i="1"/>
  <c r="BP310" i="1"/>
  <c r="BN310" i="1"/>
  <c r="Z310" i="1"/>
  <c r="BP338" i="1"/>
  <c r="BN338" i="1"/>
  <c r="Z338" i="1"/>
  <c r="BP353" i="1"/>
  <c r="BN353" i="1"/>
  <c r="Z353" i="1"/>
  <c r="BP371" i="1"/>
  <c r="BN371" i="1"/>
  <c r="Z371" i="1"/>
  <c r="BP387" i="1"/>
  <c r="BN387" i="1"/>
  <c r="Z387" i="1"/>
  <c r="BP401" i="1"/>
  <c r="BN401" i="1"/>
  <c r="Z401" i="1"/>
  <c r="BP427" i="1"/>
  <c r="BN427" i="1"/>
  <c r="Z427" i="1"/>
  <c r="BP439" i="1"/>
  <c r="BN439" i="1"/>
  <c r="Z439" i="1"/>
  <c r="BP472" i="1"/>
  <c r="BN472" i="1"/>
  <c r="Z472" i="1"/>
  <c r="BP488" i="1"/>
  <c r="BN488" i="1"/>
  <c r="Z488" i="1"/>
  <c r="BP511" i="1"/>
  <c r="BN511" i="1"/>
  <c r="Z511" i="1"/>
  <c r="BP527" i="1"/>
  <c r="BN527" i="1"/>
  <c r="Z527" i="1"/>
  <c r="B571" i="1"/>
  <c r="X563" i="1"/>
  <c r="X564" i="1" s="1"/>
  <c r="X565" i="1"/>
  <c r="Z27" i="1"/>
  <c r="BN27" i="1"/>
  <c r="BP27" i="1"/>
  <c r="Z31" i="1"/>
  <c r="BN31" i="1"/>
  <c r="Z39" i="1"/>
  <c r="BN39" i="1"/>
  <c r="Z47" i="1"/>
  <c r="Z51" i="1" s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5" i="1"/>
  <c r="BN95" i="1"/>
  <c r="BP95" i="1"/>
  <c r="Z104" i="1"/>
  <c r="BN104" i="1"/>
  <c r="Z108" i="1"/>
  <c r="BN108" i="1"/>
  <c r="Z116" i="1"/>
  <c r="BN116" i="1"/>
  <c r="Z124" i="1"/>
  <c r="BN124" i="1"/>
  <c r="Z130" i="1"/>
  <c r="Z131" i="1" s="1"/>
  <c r="BN130" i="1"/>
  <c r="BP130" i="1"/>
  <c r="Y131" i="1"/>
  <c r="Z135" i="1"/>
  <c r="BN135" i="1"/>
  <c r="Z145" i="1"/>
  <c r="BN145" i="1"/>
  <c r="BP145" i="1"/>
  <c r="I571" i="1"/>
  <c r="Z154" i="1"/>
  <c r="BN154" i="1"/>
  <c r="Z160" i="1"/>
  <c r="Z161" i="1" s="1"/>
  <c r="BN160" i="1"/>
  <c r="BP160" i="1"/>
  <c r="Y161" i="1"/>
  <c r="Z165" i="1"/>
  <c r="Z169" i="1" s="1"/>
  <c r="BN165" i="1"/>
  <c r="Z173" i="1"/>
  <c r="BN173" i="1"/>
  <c r="Y189" i="1"/>
  <c r="Z179" i="1"/>
  <c r="BN179" i="1"/>
  <c r="Z183" i="1"/>
  <c r="BN183" i="1"/>
  <c r="Z187" i="1"/>
  <c r="BN187" i="1"/>
  <c r="Z193" i="1"/>
  <c r="BN193" i="1"/>
  <c r="Z209" i="1"/>
  <c r="BN209" i="1"/>
  <c r="Z213" i="1"/>
  <c r="BN213" i="1"/>
  <c r="Z224" i="1"/>
  <c r="BN224" i="1"/>
  <c r="Z228" i="1"/>
  <c r="BN228" i="1"/>
  <c r="Z232" i="1"/>
  <c r="BN232" i="1"/>
  <c r="Z236" i="1"/>
  <c r="BN236" i="1"/>
  <c r="Y250" i="1"/>
  <c r="Z242" i="1"/>
  <c r="BN242" i="1"/>
  <c r="Z246" i="1"/>
  <c r="BN246" i="1"/>
  <c r="Z252" i="1"/>
  <c r="BN252" i="1"/>
  <c r="BP252" i="1"/>
  <c r="Z269" i="1"/>
  <c r="BN269" i="1"/>
  <c r="Y281" i="1"/>
  <c r="Z275" i="1"/>
  <c r="BN275" i="1"/>
  <c r="Z279" i="1"/>
  <c r="BN279" i="1"/>
  <c r="Z287" i="1"/>
  <c r="BN287" i="1"/>
  <c r="Z291" i="1"/>
  <c r="BN291" i="1"/>
  <c r="BP306" i="1"/>
  <c r="BN306" i="1"/>
  <c r="Z306" i="1"/>
  <c r="BP331" i="1"/>
  <c r="BN331" i="1"/>
  <c r="Z331" i="1"/>
  <c r="Y341" i="1"/>
  <c r="BP347" i="1"/>
  <c r="BN347" i="1"/>
  <c r="Z347" i="1"/>
  <c r="BP367" i="1"/>
  <c r="BN367" i="1"/>
  <c r="Z367" i="1"/>
  <c r="BP379" i="1"/>
  <c r="BN379" i="1"/>
  <c r="Z379" i="1"/>
  <c r="Y397" i="1"/>
  <c r="BP393" i="1"/>
  <c r="BN393" i="1"/>
  <c r="Z393" i="1"/>
  <c r="BP413" i="1"/>
  <c r="BN413" i="1"/>
  <c r="Z413" i="1"/>
  <c r="BP435" i="1"/>
  <c r="BN435" i="1"/>
  <c r="Z435" i="1"/>
  <c r="BP451" i="1"/>
  <c r="BN451" i="1"/>
  <c r="Z451" i="1"/>
  <c r="BP482" i="1"/>
  <c r="BN482" i="1"/>
  <c r="Z482" i="1"/>
  <c r="BP507" i="1"/>
  <c r="BN507" i="1"/>
  <c r="Z507" i="1"/>
  <c r="BP519" i="1"/>
  <c r="BN519" i="1"/>
  <c r="Z519" i="1"/>
  <c r="BP553" i="1"/>
  <c r="BN553" i="1"/>
  <c r="Z553" i="1"/>
  <c r="AC571" i="1"/>
  <c r="Y559" i="1"/>
  <c r="BP558" i="1"/>
  <c r="BN558" i="1"/>
  <c r="Z558" i="1"/>
  <c r="Z559" i="1" s="1"/>
  <c r="Y301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21" i="1"/>
  <c r="Y127" i="1"/>
  <c r="Y138" i="1"/>
  <c r="Y142" i="1"/>
  <c r="Y148" i="1"/>
  <c r="Y157" i="1"/>
  <c r="Y170" i="1"/>
  <c r="Y175" i="1"/>
  <c r="BP172" i="1"/>
  <c r="BN172" i="1"/>
  <c r="Z172" i="1"/>
  <c r="BP180" i="1"/>
  <c r="BN180" i="1"/>
  <c r="Z180" i="1"/>
  <c r="BP184" i="1"/>
  <c r="BN184" i="1"/>
  <c r="Z184" i="1"/>
  <c r="Y188" i="1"/>
  <c r="BP192" i="1"/>
  <c r="BN192" i="1"/>
  <c r="Z192" i="1"/>
  <c r="Z194" i="1" s="1"/>
  <c r="BP210" i="1"/>
  <c r="BN210" i="1"/>
  <c r="Z210" i="1"/>
  <c r="Y214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BP243" i="1"/>
  <c r="BN243" i="1"/>
  <c r="Z243" i="1"/>
  <c r="BP247" i="1"/>
  <c r="BN247" i="1"/>
  <c r="Z247" i="1"/>
  <c r="BP264" i="1"/>
  <c r="BN264" i="1"/>
  <c r="Z264" i="1"/>
  <c r="Z265" i="1" s="1"/>
  <c r="Y266" i="1"/>
  <c r="Y271" i="1"/>
  <c r="BP268" i="1"/>
  <c r="BN268" i="1"/>
  <c r="Z268" i="1"/>
  <c r="Z270" i="1" s="1"/>
  <c r="BP276" i="1"/>
  <c r="BN276" i="1"/>
  <c r="Z276" i="1"/>
  <c r="BP280" i="1"/>
  <c r="BN280" i="1"/>
  <c r="Z280" i="1"/>
  <c r="Y282" i="1"/>
  <c r="Y297" i="1"/>
  <c r="Y296" i="1"/>
  <c r="BP284" i="1"/>
  <c r="BN284" i="1"/>
  <c r="Z284" i="1"/>
  <c r="BP288" i="1"/>
  <c r="BN288" i="1"/>
  <c r="Z288" i="1"/>
  <c r="BP307" i="1"/>
  <c r="BN307" i="1"/>
  <c r="Z307" i="1"/>
  <c r="BP311" i="1"/>
  <c r="BN311" i="1"/>
  <c r="Z311" i="1"/>
  <c r="Y313" i="1"/>
  <c r="Y316" i="1"/>
  <c r="BP315" i="1"/>
  <c r="BN315" i="1"/>
  <c r="Z315" i="1"/>
  <c r="Z316" i="1" s="1"/>
  <c r="Y317" i="1"/>
  <c r="Y320" i="1"/>
  <c r="BP319" i="1"/>
  <c r="BN319" i="1"/>
  <c r="Z319" i="1"/>
  <c r="Z320" i="1" s="1"/>
  <c r="Y321" i="1"/>
  <c r="Y324" i="1"/>
  <c r="BP323" i="1"/>
  <c r="BN323" i="1"/>
  <c r="Z323" i="1"/>
  <c r="Z324" i="1" s="1"/>
  <c r="Y325" i="1"/>
  <c r="Y335" i="1"/>
  <c r="BP328" i="1"/>
  <c r="BN328" i="1"/>
  <c r="Z328" i="1"/>
  <c r="Y334" i="1"/>
  <c r="BP332" i="1"/>
  <c r="BN332" i="1"/>
  <c r="Z332" i="1"/>
  <c r="BP400" i="1"/>
  <c r="BN400" i="1"/>
  <c r="Z400" i="1"/>
  <c r="Y404" i="1"/>
  <c r="BP408" i="1"/>
  <c r="BN408" i="1"/>
  <c r="Z408" i="1"/>
  <c r="Y410" i="1"/>
  <c r="Y415" i="1"/>
  <c r="BP412" i="1"/>
  <c r="BN412" i="1"/>
  <c r="Z412" i="1"/>
  <c r="Y416" i="1"/>
  <c r="BP426" i="1"/>
  <c r="BN426" i="1"/>
  <c r="Z426" i="1"/>
  <c r="Z428" i="1" s="1"/>
  <c r="Y428" i="1"/>
  <c r="P571" i="1"/>
  <c r="F9" i="1"/>
  <c r="J9" i="1"/>
  <c r="Z22" i="1"/>
  <c r="Z24" i="1" s="1"/>
  <c r="BN22" i="1"/>
  <c r="BP22" i="1"/>
  <c r="Y25" i="1"/>
  <c r="Z28" i="1"/>
  <c r="BN28" i="1"/>
  <c r="Z30" i="1"/>
  <c r="BN30" i="1"/>
  <c r="C571" i="1"/>
  <c r="Z38" i="1"/>
  <c r="Z42" i="1" s="1"/>
  <c r="BN38" i="1"/>
  <c r="Z40" i="1"/>
  <c r="BN40" i="1"/>
  <c r="Y43" i="1"/>
  <c r="D571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71" i="1"/>
  <c r="Z88" i="1"/>
  <c r="Z92" i="1" s="1"/>
  <c r="BN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BN115" i="1"/>
  <c r="BP115" i="1"/>
  <c r="Z117" i="1"/>
  <c r="BN117" i="1"/>
  <c r="Z119" i="1"/>
  <c r="BN119" i="1"/>
  <c r="Z123" i="1"/>
  <c r="BN123" i="1"/>
  <c r="BP123" i="1"/>
  <c r="Z125" i="1"/>
  <c r="BN125" i="1"/>
  <c r="H571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BN151" i="1"/>
  <c r="BP151" i="1"/>
  <c r="Z153" i="1"/>
  <c r="BN153" i="1"/>
  <c r="Z155" i="1"/>
  <c r="BN155" i="1"/>
  <c r="Y158" i="1"/>
  <c r="J571" i="1"/>
  <c r="Y169" i="1"/>
  <c r="Z166" i="1"/>
  <c r="BN166" i="1"/>
  <c r="Z168" i="1"/>
  <c r="BN168" i="1"/>
  <c r="Y174" i="1"/>
  <c r="BP178" i="1"/>
  <c r="BN178" i="1"/>
  <c r="Z178" i="1"/>
  <c r="BP182" i="1"/>
  <c r="BN182" i="1"/>
  <c r="Z182" i="1"/>
  <c r="Z188" i="1" s="1"/>
  <c r="BP186" i="1"/>
  <c r="BN186" i="1"/>
  <c r="Z186" i="1"/>
  <c r="Y195" i="1"/>
  <c r="Y194" i="1"/>
  <c r="BP208" i="1"/>
  <c r="BN208" i="1"/>
  <c r="Z208" i="1"/>
  <c r="BP212" i="1"/>
  <c r="BN212" i="1"/>
  <c r="Z212" i="1"/>
  <c r="Y238" i="1"/>
  <c r="BP225" i="1"/>
  <c r="BN225" i="1"/>
  <c r="Z225" i="1"/>
  <c r="BP229" i="1"/>
  <c r="BN229" i="1"/>
  <c r="Z229" i="1"/>
  <c r="BP233" i="1"/>
  <c r="BN233" i="1"/>
  <c r="Z233" i="1"/>
  <c r="Y237" i="1"/>
  <c r="BP241" i="1"/>
  <c r="BN241" i="1"/>
  <c r="Z241" i="1"/>
  <c r="BP245" i="1"/>
  <c r="BN245" i="1"/>
  <c r="Z245" i="1"/>
  <c r="Z249" i="1" s="1"/>
  <c r="Y249" i="1"/>
  <c r="Z255" i="1"/>
  <c r="BP253" i="1"/>
  <c r="BN253" i="1"/>
  <c r="Z253" i="1"/>
  <c r="Y270" i="1"/>
  <c r="BP274" i="1"/>
  <c r="BN274" i="1"/>
  <c r="Z274" i="1"/>
  <c r="BP278" i="1"/>
  <c r="BN278" i="1"/>
  <c r="Z278" i="1"/>
  <c r="BP286" i="1"/>
  <c r="BN286" i="1"/>
  <c r="Z286" i="1"/>
  <c r="BP290" i="1"/>
  <c r="BN290" i="1"/>
  <c r="Z290" i="1"/>
  <c r="BP294" i="1"/>
  <c r="BN294" i="1"/>
  <c r="Z294" i="1"/>
  <c r="Z301" i="1"/>
  <c r="BP346" i="1"/>
  <c r="BN346" i="1"/>
  <c r="Z346" i="1"/>
  <c r="Y350" i="1"/>
  <c r="BP354" i="1"/>
  <c r="BN354" i="1"/>
  <c r="Z354" i="1"/>
  <c r="Y356" i="1"/>
  <c r="S571" i="1"/>
  <c r="Y362" i="1"/>
  <c r="BP359" i="1"/>
  <c r="BN359" i="1"/>
  <c r="Z359" i="1"/>
  <c r="Y363" i="1"/>
  <c r="BP368" i="1"/>
  <c r="BN368" i="1"/>
  <c r="Z368" i="1"/>
  <c r="BP372" i="1"/>
  <c r="BN372" i="1"/>
  <c r="Z372" i="1"/>
  <c r="Y374" i="1"/>
  <c r="Y383" i="1"/>
  <c r="BP376" i="1"/>
  <c r="BN376" i="1"/>
  <c r="Z376" i="1"/>
  <c r="Y384" i="1"/>
  <c r="BP380" i="1"/>
  <c r="BN380" i="1"/>
  <c r="Z380" i="1"/>
  <c r="BP388" i="1"/>
  <c r="BN388" i="1"/>
  <c r="Z388" i="1"/>
  <c r="BP436" i="1"/>
  <c r="BN436" i="1"/>
  <c r="Z436" i="1"/>
  <c r="K571" i="1"/>
  <c r="Y215" i="1"/>
  <c r="L571" i="1"/>
  <c r="Y220" i="1"/>
  <c r="M571" i="1"/>
  <c r="Y265" i="1"/>
  <c r="BP292" i="1"/>
  <c r="BN292" i="1"/>
  <c r="Z292" i="1"/>
  <c r="BP300" i="1"/>
  <c r="BN300" i="1"/>
  <c r="Z300" i="1"/>
  <c r="Y302" i="1"/>
  <c r="O571" i="1"/>
  <c r="Y312" i="1"/>
  <c r="BP305" i="1"/>
  <c r="BN305" i="1"/>
  <c r="Z305" i="1"/>
  <c r="BP309" i="1"/>
  <c r="BN309" i="1"/>
  <c r="Z309" i="1"/>
  <c r="BP330" i="1"/>
  <c r="BN330" i="1"/>
  <c r="Z330" i="1"/>
  <c r="Z341" i="1"/>
  <c r="BP339" i="1"/>
  <c r="BN339" i="1"/>
  <c r="Z339" i="1"/>
  <c r="BP348" i="1"/>
  <c r="BN348" i="1"/>
  <c r="Z348" i="1"/>
  <c r="Y355" i="1"/>
  <c r="BP361" i="1"/>
  <c r="BN361" i="1"/>
  <c r="Z361" i="1"/>
  <c r="T571" i="1"/>
  <c r="Y373" i="1"/>
  <c r="BP366" i="1"/>
  <c r="BN366" i="1"/>
  <c r="Z366" i="1"/>
  <c r="BP370" i="1"/>
  <c r="BN370" i="1"/>
  <c r="Z370" i="1"/>
  <c r="BP378" i="1"/>
  <c r="BN378" i="1"/>
  <c r="Z378" i="1"/>
  <c r="BP382" i="1"/>
  <c r="BN382" i="1"/>
  <c r="Z382" i="1"/>
  <c r="Y391" i="1"/>
  <c r="BP386" i="1"/>
  <c r="BN386" i="1"/>
  <c r="Z386" i="1"/>
  <c r="Z390" i="1" s="1"/>
  <c r="Y390" i="1"/>
  <c r="Z396" i="1"/>
  <c r="BP394" i="1"/>
  <c r="BN394" i="1"/>
  <c r="Z394" i="1"/>
  <c r="Y403" i="1"/>
  <c r="BP402" i="1"/>
  <c r="BN402" i="1"/>
  <c r="Z402" i="1"/>
  <c r="Y409" i="1"/>
  <c r="BP406" i="1"/>
  <c r="BN406" i="1"/>
  <c r="Z406" i="1"/>
  <c r="BP414" i="1"/>
  <c r="BN414" i="1"/>
  <c r="Z414" i="1"/>
  <c r="U571" i="1"/>
  <c r="Y422" i="1"/>
  <c r="BP419" i="1"/>
  <c r="BN419" i="1"/>
  <c r="Z419" i="1"/>
  <c r="Z421" i="1" s="1"/>
  <c r="BP434" i="1"/>
  <c r="BN434" i="1"/>
  <c r="Z434" i="1"/>
  <c r="BP438" i="1"/>
  <c r="BN438" i="1"/>
  <c r="Z438" i="1"/>
  <c r="BP446" i="1"/>
  <c r="BN446" i="1"/>
  <c r="Z446" i="1"/>
  <c r="Y448" i="1"/>
  <c r="Y453" i="1"/>
  <c r="BP450" i="1"/>
  <c r="BN450" i="1"/>
  <c r="Z450" i="1"/>
  <c r="Y454" i="1"/>
  <c r="BP463" i="1"/>
  <c r="BN463" i="1"/>
  <c r="Z463" i="1"/>
  <c r="Z464" i="1" s="1"/>
  <c r="Y465" i="1"/>
  <c r="Y468" i="1"/>
  <c r="BP467" i="1"/>
  <c r="BN467" i="1"/>
  <c r="Z467" i="1"/>
  <c r="Z468" i="1" s="1"/>
  <c r="Y469" i="1"/>
  <c r="Y474" i="1"/>
  <c r="BP471" i="1"/>
  <c r="BN471" i="1"/>
  <c r="Z471" i="1"/>
  <c r="Y475" i="1"/>
  <c r="BP481" i="1"/>
  <c r="BN481" i="1"/>
  <c r="Z481" i="1"/>
  <c r="Y485" i="1"/>
  <c r="BP489" i="1"/>
  <c r="BN489" i="1"/>
  <c r="Z489" i="1"/>
  <c r="Z490" i="1" s="1"/>
  <c r="Y491" i="1"/>
  <c r="Z571" i="1"/>
  <c r="Y495" i="1"/>
  <c r="BP494" i="1"/>
  <c r="BN494" i="1"/>
  <c r="Z494" i="1"/>
  <c r="Z495" i="1" s="1"/>
  <c r="Y496" i="1"/>
  <c r="Y501" i="1"/>
  <c r="BP498" i="1"/>
  <c r="BN498" i="1"/>
  <c r="Z498" i="1"/>
  <c r="Y502" i="1"/>
  <c r="BP508" i="1"/>
  <c r="BN508" i="1"/>
  <c r="Z508" i="1"/>
  <c r="BP512" i="1"/>
  <c r="BN512" i="1"/>
  <c r="Z512" i="1"/>
  <c r="BP520" i="1"/>
  <c r="BN520" i="1"/>
  <c r="Z520" i="1"/>
  <c r="Y522" i="1"/>
  <c r="Y531" i="1"/>
  <c r="BP524" i="1"/>
  <c r="BN524" i="1"/>
  <c r="Z524" i="1"/>
  <c r="Y532" i="1"/>
  <c r="BP528" i="1"/>
  <c r="BN528" i="1"/>
  <c r="Z528" i="1"/>
  <c r="X571" i="1"/>
  <c r="Q571" i="1"/>
  <c r="Y342" i="1"/>
  <c r="R571" i="1"/>
  <c r="Y351" i="1"/>
  <c r="V571" i="1"/>
  <c r="Y429" i="1"/>
  <c r="W571" i="1"/>
  <c r="Y441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9" i="1"/>
  <c r="BP456" i="1"/>
  <c r="BN456" i="1"/>
  <c r="Z456" i="1"/>
  <c r="Z458" i="1" s="1"/>
  <c r="Y464" i="1"/>
  <c r="BP473" i="1"/>
  <c r="BN473" i="1"/>
  <c r="Z473" i="1"/>
  <c r="Y571" i="1"/>
  <c r="Y486" i="1"/>
  <c r="BP479" i="1"/>
  <c r="BN479" i="1"/>
  <c r="Z479" i="1"/>
  <c r="BP483" i="1"/>
  <c r="BN483" i="1"/>
  <c r="Z483" i="1"/>
  <c r="Y490" i="1"/>
  <c r="BP500" i="1"/>
  <c r="BN500" i="1"/>
  <c r="Z500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BP526" i="1"/>
  <c r="BN526" i="1"/>
  <c r="Z526" i="1"/>
  <c r="BP530" i="1"/>
  <c r="BN530" i="1"/>
  <c r="Z530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Y560" i="1"/>
  <c r="Z237" i="1" l="1"/>
  <c r="Z554" i="1"/>
  <c r="Z521" i="1"/>
  <c r="Z441" i="1"/>
  <c r="Z355" i="1"/>
  <c r="Z350" i="1"/>
  <c r="Z214" i="1"/>
  <c r="Z120" i="1"/>
  <c r="Z112" i="1"/>
  <c r="Z99" i="1"/>
  <c r="Z72" i="1"/>
  <c r="Z64" i="1"/>
  <c r="Z32" i="1"/>
  <c r="Z403" i="1"/>
  <c r="Z174" i="1"/>
  <c r="Z531" i="1"/>
  <c r="Z474" i="1"/>
  <c r="Z453" i="1"/>
  <c r="Z383" i="1"/>
  <c r="Z362" i="1"/>
  <c r="Y563" i="1"/>
  <c r="Z334" i="1"/>
  <c r="Y565" i="1"/>
  <c r="Z515" i="1"/>
  <c r="Z485" i="1"/>
  <c r="Z501" i="1"/>
  <c r="Z409" i="1"/>
  <c r="Z373" i="1"/>
  <c r="Z312" i="1"/>
  <c r="Z281" i="1"/>
  <c r="Z157" i="1"/>
  <c r="Z127" i="1"/>
  <c r="Y561" i="1"/>
  <c r="Y562" i="1"/>
  <c r="Y564" i="1" s="1"/>
  <c r="Z415" i="1"/>
  <c r="Z296" i="1"/>
  <c r="Z566" i="1" l="1"/>
</calcChain>
</file>

<file path=xl/sharedStrings.xml><?xml version="1.0" encoding="utf-8"?>
<sst xmlns="http://schemas.openxmlformats.org/spreadsheetml/2006/main" count="2571" uniqueCount="921">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</sst>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2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topLeftCell="A447" zoomScaleNormal="100" zoomScaleSheetLayoutView="100" workbookViewId="0">
      <selection activeCell="AA567" sqref="AA567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31" t="s">
        <v>0</v>
      </c>
      <c r="E1" s="679"/>
      <c r="F1" s="679"/>
      <c r="G1" s="12" t="s">
        <v>1</v>
      </c>
      <c r="H1" s="731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0"/>
      <c r="Q3" s="660"/>
      <c r="R3" s="660"/>
      <c r="S3" s="660"/>
      <c r="T3" s="660"/>
      <c r="U3" s="660"/>
      <c r="V3" s="660"/>
      <c r="W3" s="660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85" t="s">
        <v>7</v>
      </c>
      <c r="B5" s="702"/>
      <c r="C5" s="703"/>
      <c r="D5" s="736"/>
      <c r="E5" s="737"/>
      <c r="F5" s="971" t="s">
        <v>8</v>
      </c>
      <c r="G5" s="703"/>
      <c r="H5" s="736"/>
      <c r="I5" s="915"/>
      <c r="J5" s="915"/>
      <c r="K5" s="915"/>
      <c r="L5" s="915"/>
      <c r="M5" s="737"/>
      <c r="N5" s="58"/>
      <c r="P5" s="24" t="s">
        <v>9</v>
      </c>
      <c r="Q5" s="989">
        <v>46298</v>
      </c>
      <c r="R5" s="783"/>
      <c r="T5" s="832" t="s">
        <v>10</v>
      </c>
      <c r="U5" s="833"/>
      <c r="V5" s="835" t="s">
        <v>11</v>
      </c>
      <c r="W5" s="783"/>
      <c r="AB5" s="51"/>
      <c r="AC5" s="51"/>
      <c r="AD5" s="51"/>
      <c r="AE5" s="51"/>
    </row>
    <row r="6" spans="1:32" s="641" customFormat="1" ht="24" customHeight="1" x14ac:dyDescent="0.2">
      <c r="A6" s="785" t="s">
        <v>12</v>
      </c>
      <c r="B6" s="702"/>
      <c r="C6" s="703"/>
      <c r="D6" s="918"/>
      <c r="E6" s="919"/>
      <c r="F6" s="919"/>
      <c r="G6" s="919"/>
      <c r="H6" s="919"/>
      <c r="I6" s="919"/>
      <c r="J6" s="919"/>
      <c r="K6" s="919"/>
      <c r="L6" s="919"/>
      <c r="M6" s="783"/>
      <c r="N6" s="59"/>
      <c r="P6" s="24" t="s">
        <v>13</v>
      </c>
      <c r="Q6" s="1002" t="str">
        <f>IF(Q5=0," ",CHOOSE(WEEKDAY(Q5,2),"Понедельник","Вторник","Среда","Четверг","Пятница","Суббота","Воскресенье"))</f>
        <v>Суббота</v>
      </c>
      <c r="R6" s="652"/>
      <c r="T6" s="842" t="s">
        <v>14</v>
      </c>
      <c r="U6" s="833"/>
      <c r="V6" s="899" t="s">
        <v>15</v>
      </c>
      <c r="W6" s="699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14">
        <f>IFERROR(VLOOKUP(DeliveryAddress,Table,3,0),1)</f>
        <v>1</v>
      </c>
      <c r="E7" s="715"/>
      <c r="F7" s="715"/>
      <c r="G7" s="715"/>
      <c r="H7" s="715"/>
      <c r="I7" s="715"/>
      <c r="J7" s="715"/>
      <c r="K7" s="715"/>
      <c r="L7" s="715"/>
      <c r="M7" s="716"/>
      <c r="N7" s="60"/>
      <c r="P7" s="24"/>
      <c r="Q7" s="42"/>
      <c r="R7" s="42"/>
      <c r="T7" s="660"/>
      <c r="U7" s="833"/>
      <c r="V7" s="900"/>
      <c r="W7" s="901"/>
      <c r="AB7" s="51"/>
      <c r="AC7" s="51"/>
      <c r="AD7" s="51"/>
      <c r="AE7" s="51"/>
    </row>
    <row r="8" spans="1:32" s="641" customFormat="1" ht="25.5" customHeight="1" x14ac:dyDescent="0.2">
      <c r="A8" s="1015" t="s">
        <v>16</v>
      </c>
      <c r="B8" s="664"/>
      <c r="C8" s="665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17</v>
      </c>
      <c r="Q8" s="795">
        <v>0.41666666666666669</v>
      </c>
      <c r="R8" s="716"/>
      <c r="T8" s="660"/>
      <c r="U8" s="833"/>
      <c r="V8" s="900"/>
      <c r="W8" s="901"/>
      <c r="AB8" s="51"/>
      <c r="AC8" s="51"/>
      <c r="AD8" s="51"/>
      <c r="AE8" s="51"/>
    </row>
    <row r="9" spans="1:32" s="641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0"/>
      <c r="C9" s="660"/>
      <c r="D9" s="805"/>
      <c r="E9" s="667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0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9"/>
      <c r="P9" s="26" t="s">
        <v>18</v>
      </c>
      <c r="Q9" s="780"/>
      <c r="R9" s="781"/>
      <c r="T9" s="660"/>
      <c r="U9" s="833"/>
      <c r="V9" s="902"/>
      <c r="W9" s="903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0"/>
      <c r="C10" s="660"/>
      <c r="D10" s="805"/>
      <c r="E10" s="667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0"/>
      <c r="H10" s="892" t="str">
        <f>IFERROR(VLOOKUP($D$10,Proxy,2,FALSE),"")</f>
        <v/>
      </c>
      <c r="I10" s="660"/>
      <c r="J10" s="660"/>
      <c r="K10" s="660"/>
      <c r="L10" s="660"/>
      <c r="M10" s="660"/>
      <c r="N10" s="640"/>
      <c r="P10" s="26" t="s">
        <v>19</v>
      </c>
      <c r="Q10" s="843"/>
      <c r="R10" s="844"/>
      <c r="U10" s="24" t="s">
        <v>20</v>
      </c>
      <c r="V10" s="698" t="s">
        <v>21</v>
      </c>
      <c r="W10" s="699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82"/>
      <c r="R11" s="783"/>
      <c r="U11" s="24" t="s">
        <v>24</v>
      </c>
      <c r="V11" s="941" t="s">
        <v>25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29" t="s">
        <v>26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3"/>
      <c r="N12" s="62"/>
      <c r="P12" s="24" t="s">
        <v>27</v>
      </c>
      <c r="Q12" s="795"/>
      <c r="R12" s="716"/>
      <c r="S12" s="23"/>
      <c r="U12" s="24"/>
      <c r="V12" s="679"/>
      <c r="W12" s="660"/>
      <c r="AB12" s="51"/>
      <c r="AC12" s="51"/>
      <c r="AD12" s="51"/>
      <c r="AE12" s="51"/>
    </row>
    <row r="13" spans="1:32" s="641" customFormat="1" ht="23.25" customHeight="1" x14ac:dyDescent="0.2">
      <c r="A13" s="829" t="s">
        <v>28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3"/>
      <c r="N13" s="62"/>
      <c r="O13" s="26"/>
      <c r="P13" s="26" t="s">
        <v>29</v>
      </c>
      <c r="Q13" s="941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29" t="s">
        <v>30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61" t="s">
        <v>31</v>
      </c>
      <c r="B15" s="702"/>
      <c r="C15" s="702"/>
      <c r="D15" s="702"/>
      <c r="E15" s="702"/>
      <c r="F15" s="702"/>
      <c r="G15" s="702"/>
      <c r="H15" s="702"/>
      <c r="I15" s="702"/>
      <c r="J15" s="702"/>
      <c r="K15" s="702"/>
      <c r="L15" s="702"/>
      <c r="M15" s="703"/>
      <c r="N15" s="63"/>
      <c r="P15" s="817" t="s">
        <v>32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8"/>
      <c r="Q16" s="818"/>
      <c r="R16" s="818"/>
      <c r="S16" s="818"/>
      <c r="T16" s="81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3" t="s">
        <v>35</v>
      </c>
      <c r="D17" s="692" t="s">
        <v>36</v>
      </c>
      <c r="E17" s="762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61"/>
      <c r="R17" s="761"/>
      <c r="S17" s="761"/>
      <c r="T17" s="762"/>
      <c r="U17" s="1012" t="s">
        <v>48</v>
      </c>
      <c r="V17" s="703"/>
      <c r="W17" s="692" t="s">
        <v>49</v>
      </c>
      <c r="X17" s="692" t="s">
        <v>50</v>
      </c>
      <c r="Y17" s="1013" t="s">
        <v>51</v>
      </c>
      <c r="Z17" s="913" t="s">
        <v>52</v>
      </c>
      <c r="AA17" s="890" t="s">
        <v>53</v>
      </c>
      <c r="AB17" s="890" t="s">
        <v>54</v>
      </c>
      <c r="AC17" s="890" t="s">
        <v>55</v>
      </c>
      <c r="AD17" s="890" t="s">
        <v>56</v>
      </c>
      <c r="AE17" s="966"/>
      <c r="AF17" s="967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63"/>
      <c r="E18" s="76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3"/>
      <c r="Q18" s="764"/>
      <c r="R18" s="764"/>
      <c r="S18" s="764"/>
      <c r="T18" s="765"/>
      <c r="U18" s="67" t="s">
        <v>58</v>
      </c>
      <c r="V18" s="67" t="s">
        <v>59</v>
      </c>
      <c r="W18" s="693"/>
      <c r="X18" s="693"/>
      <c r="Y18" s="1014"/>
      <c r="Z18" s="914"/>
      <c r="AA18" s="891"/>
      <c r="AB18" s="891"/>
      <c r="AC18" s="891"/>
      <c r="AD18" s="968"/>
      <c r="AE18" s="969"/>
      <c r="AF18" s="970"/>
      <c r="AG18" s="66"/>
      <c r="BD18" s="65"/>
    </row>
    <row r="19" spans="1:68" ht="27.75" hidden="1" customHeight="1" x14ac:dyDescent="0.2">
      <c r="A19" s="661" t="s">
        <v>60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2" t="s">
        <v>60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42"/>
      <c r="AB20" s="642"/>
      <c r="AC20" s="642"/>
    </row>
    <row r="21" spans="1:68" ht="14.25" hidden="1" customHeight="1" x14ac:dyDescent="0.25">
      <c r="A21" s="659" t="s">
        <v>61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1">
        <v>4680115886643</v>
      </c>
      <c r="E22" s="65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1">
        <v>4680115889071</v>
      </c>
      <c r="E23" s="65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8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9"/>
      <c r="P24" s="663" t="s">
        <v>71</v>
      </c>
      <c r="Q24" s="664"/>
      <c r="R24" s="664"/>
      <c r="S24" s="664"/>
      <c r="T24" s="664"/>
      <c r="U24" s="664"/>
      <c r="V24" s="66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9"/>
      <c r="P25" s="663" t="s">
        <v>71</v>
      </c>
      <c r="Q25" s="664"/>
      <c r="R25" s="664"/>
      <c r="S25" s="664"/>
      <c r="T25" s="664"/>
      <c r="U25" s="664"/>
      <c r="V25" s="66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59" t="s">
        <v>73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1">
        <v>4680115885912</v>
      </c>
      <c r="E27" s="65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1">
        <v>4607091388237</v>
      </c>
      <c r="E28" s="65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51">
        <v>4680115887350</v>
      </c>
      <c r="E29" s="65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4"/>
      <c r="V29" s="34"/>
      <c r="W29" s="35" t="s">
        <v>66</v>
      </c>
      <c r="X29" s="647">
        <v>0</v>
      </c>
      <c r="Y29" s="6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1">
        <v>4680115885905</v>
      </c>
      <c r="E30" s="65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1">
        <v>4680115887619</v>
      </c>
      <c r="E31" s="65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8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9"/>
      <c r="P32" s="663" t="s">
        <v>71</v>
      </c>
      <c r="Q32" s="664"/>
      <c r="R32" s="664"/>
      <c r="S32" s="664"/>
      <c r="T32" s="664"/>
      <c r="U32" s="664"/>
      <c r="V32" s="665"/>
      <c r="W32" s="37" t="s">
        <v>72</v>
      </c>
      <c r="X32" s="649">
        <f>IFERROR(X27/H27,"0")+IFERROR(X28/H28,"0")+IFERROR(X29/H29,"0")+IFERROR(X30/H30,"0")+IFERROR(X31/H31,"0")</f>
        <v>0</v>
      </c>
      <c r="Y32" s="649">
        <f>IFERROR(Y27/H27,"0")+IFERROR(Y28/H28,"0")+IFERROR(Y29/H29,"0")+IFERROR(Y30/H30,"0")+IFERROR(Y31/H31,"0")</f>
        <v>0</v>
      </c>
      <c r="Z32" s="649">
        <f>IFERROR(IF(Z27="",0,Z27),"0")+IFERROR(IF(Z28="",0,Z28),"0")+IFERROR(IF(Z29="",0,Z29),"0")+IFERROR(IF(Z30="",0,Z30),"0")+IFERROR(IF(Z31="",0,Z31),"0")</f>
        <v>0</v>
      </c>
      <c r="AA32" s="650"/>
      <c r="AB32" s="650"/>
      <c r="AC32" s="650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9"/>
      <c r="P33" s="663" t="s">
        <v>71</v>
      </c>
      <c r="Q33" s="664"/>
      <c r="R33" s="664"/>
      <c r="S33" s="664"/>
      <c r="T33" s="664"/>
      <c r="U33" s="664"/>
      <c r="V33" s="665"/>
      <c r="W33" s="37" t="s">
        <v>66</v>
      </c>
      <c r="X33" s="649">
        <f>IFERROR(SUM(X27:X31),"0")</f>
        <v>0</v>
      </c>
      <c r="Y33" s="649">
        <f>IFERROR(SUM(Y27:Y31),"0")</f>
        <v>0</v>
      </c>
      <c r="Z33" s="37"/>
      <c r="AA33" s="650"/>
      <c r="AB33" s="650"/>
      <c r="AC33" s="650"/>
    </row>
    <row r="34" spans="1:68" ht="27.75" hidden="1" customHeight="1" x14ac:dyDescent="0.2">
      <c r="A34" s="661" t="s">
        <v>91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2" t="s">
        <v>92</v>
      </c>
      <c r="B35" s="660"/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  <c r="Q35" s="660"/>
      <c r="R35" s="660"/>
      <c r="S35" s="660"/>
      <c r="T35" s="660"/>
      <c r="U35" s="660"/>
      <c r="V35" s="660"/>
      <c r="W35" s="660"/>
      <c r="X35" s="660"/>
      <c r="Y35" s="660"/>
      <c r="Z35" s="660"/>
      <c r="AA35" s="642"/>
      <c r="AB35" s="642"/>
      <c r="AC35" s="642"/>
    </row>
    <row r="36" spans="1:68" ht="14.25" hidden="1" customHeight="1" x14ac:dyDescent="0.25">
      <c r="A36" s="659" t="s">
        <v>73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1">
        <v>4680115889354</v>
      </c>
      <c r="E37" s="65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6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1">
        <v>4680115888463</v>
      </c>
      <c r="E38" s="65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1">
        <v>4680115889590</v>
      </c>
      <c r="E39" s="65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4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4"/>
      <c r="R39" s="654"/>
      <c r="S39" s="654"/>
      <c r="T39" s="655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1">
        <v>4680115888272</v>
      </c>
      <c r="E40" s="65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1">
        <v>4680115888364</v>
      </c>
      <c r="E41" s="65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8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9"/>
      <c r="P42" s="663" t="s">
        <v>71</v>
      </c>
      <c r="Q42" s="664"/>
      <c r="R42" s="664"/>
      <c r="S42" s="664"/>
      <c r="T42" s="664"/>
      <c r="U42" s="664"/>
      <c r="V42" s="66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9"/>
      <c r="P43" s="663" t="s">
        <v>71</v>
      </c>
      <c r="Q43" s="664"/>
      <c r="R43" s="664"/>
      <c r="S43" s="664"/>
      <c r="T43" s="664"/>
      <c r="U43" s="664"/>
      <c r="V43" s="66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61" t="s">
        <v>108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2" t="s">
        <v>109</v>
      </c>
      <c r="B45" s="660"/>
      <c r="C45" s="660"/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660"/>
      <c r="S45" s="660"/>
      <c r="T45" s="660"/>
      <c r="U45" s="660"/>
      <c r="V45" s="660"/>
      <c r="W45" s="660"/>
      <c r="X45" s="660"/>
      <c r="Y45" s="660"/>
      <c r="Z45" s="660"/>
      <c r="AA45" s="642"/>
      <c r="AB45" s="642"/>
      <c r="AC45" s="642"/>
    </row>
    <row r="46" spans="1:68" ht="14.25" hidden="1" customHeight="1" x14ac:dyDescent="0.25">
      <c r="A46" s="659" t="s">
        <v>110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43"/>
      <c r="AB46" s="643"/>
      <c r="AC46" s="643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51">
        <v>4607091385670</v>
      </c>
      <c r="E47" s="65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4"/>
      <c r="V47" s="34"/>
      <c r="W47" s="35" t="s">
        <v>66</v>
      </c>
      <c r="X47" s="647">
        <v>675</v>
      </c>
      <c r="Y47" s="648">
        <f>IFERROR(IF(X47="",0,CEILING((X47/$H47),1)*$H47),"")</f>
        <v>680.40000000000009</v>
      </c>
      <c r="Z47" s="36">
        <f>IFERROR(IF(Y47=0,"",ROUNDUP(Y47/H47,0)*0.01898),"")</f>
        <v>1.19574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700.625</v>
      </c>
      <c r="BN47" s="64">
        <f>IFERROR(Y47*I47/H47,"0")</f>
        <v>706.23000000000013</v>
      </c>
      <c r="BO47" s="64">
        <f>IFERROR(1/J47*(X47/H47),"0")</f>
        <v>0.97656249999999989</v>
      </c>
      <c r="BP47" s="64">
        <f>IFERROR(1/J47*(Y47/H47),"0")</f>
        <v>0.98437500000000011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1">
        <v>4680115887725</v>
      </c>
      <c r="E48" s="65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1">
        <v>4607091385687</v>
      </c>
      <c r="E49" s="65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51">
        <v>4680115882539</v>
      </c>
      <c r="E50" s="65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6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4"/>
      <c r="V50" s="34"/>
      <c r="W50" s="35" t="s">
        <v>66</v>
      </c>
      <c r="X50" s="647">
        <v>0</v>
      </c>
      <c r="Y50" s="648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8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9"/>
      <c r="P51" s="663" t="s">
        <v>71</v>
      </c>
      <c r="Q51" s="664"/>
      <c r="R51" s="664"/>
      <c r="S51" s="664"/>
      <c r="T51" s="664"/>
      <c r="U51" s="664"/>
      <c r="V51" s="665"/>
      <c r="W51" s="37" t="s">
        <v>72</v>
      </c>
      <c r="X51" s="649">
        <f>IFERROR(X47/H47,"0")+IFERROR(X48/H48,"0")+IFERROR(X49/H49,"0")+IFERROR(X50/H50,"0")</f>
        <v>62.499999999999993</v>
      </c>
      <c r="Y51" s="649">
        <f>IFERROR(Y47/H47,"0")+IFERROR(Y48/H48,"0")+IFERROR(Y49/H49,"0")+IFERROR(Y50/H50,"0")</f>
        <v>63.000000000000007</v>
      </c>
      <c r="Z51" s="649">
        <f>IFERROR(IF(Z47="",0,Z47),"0")+IFERROR(IF(Z48="",0,Z48),"0")+IFERROR(IF(Z49="",0,Z49),"0")+IFERROR(IF(Z50="",0,Z50),"0")</f>
        <v>1.19574</v>
      </c>
      <c r="AA51" s="650"/>
      <c r="AB51" s="650"/>
      <c r="AC51" s="650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9"/>
      <c r="P52" s="663" t="s">
        <v>71</v>
      </c>
      <c r="Q52" s="664"/>
      <c r="R52" s="664"/>
      <c r="S52" s="664"/>
      <c r="T52" s="664"/>
      <c r="U52" s="664"/>
      <c r="V52" s="665"/>
      <c r="W52" s="37" t="s">
        <v>66</v>
      </c>
      <c r="X52" s="649">
        <f>IFERROR(SUM(X47:X50),"0")</f>
        <v>675</v>
      </c>
      <c r="Y52" s="649">
        <f>IFERROR(SUM(Y47:Y50),"0")</f>
        <v>680.40000000000009</v>
      </c>
      <c r="Z52" s="37"/>
      <c r="AA52" s="650"/>
      <c r="AB52" s="650"/>
      <c r="AC52" s="650"/>
    </row>
    <row r="53" spans="1:68" ht="16.5" hidden="1" customHeight="1" x14ac:dyDescent="0.25">
      <c r="A53" s="672" t="s">
        <v>125</v>
      </c>
      <c r="B53" s="660"/>
      <c r="C53" s="660"/>
      <c r="D53" s="660"/>
      <c r="E53" s="660"/>
      <c r="F53" s="660"/>
      <c r="G53" s="660"/>
      <c r="H53" s="660"/>
      <c r="I53" s="660"/>
      <c r="J53" s="660"/>
      <c r="K53" s="660"/>
      <c r="L53" s="660"/>
      <c r="M53" s="660"/>
      <c r="N53" s="660"/>
      <c r="O53" s="660"/>
      <c r="P53" s="660"/>
      <c r="Q53" s="660"/>
      <c r="R53" s="660"/>
      <c r="S53" s="660"/>
      <c r="T53" s="660"/>
      <c r="U53" s="660"/>
      <c r="V53" s="660"/>
      <c r="W53" s="660"/>
      <c r="X53" s="660"/>
      <c r="Y53" s="660"/>
      <c r="Z53" s="660"/>
      <c r="AA53" s="642"/>
      <c r="AB53" s="642"/>
      <c r="AC53" s="642"/>
    </row>
    <row r="54" spans="1:68" ht="14.25" hidden="1" customHeight="1" x14ac:dyDescent="0.25">
      <c r="A54" s="659" t="s">
        <v>110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43"/>
      <c r="AB54" s="643"/>
      <c r="AC54" s="643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51">
        <v>4680115885882</v>
      </c>
      <c r="E55" s="65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4"/>
      <c r="R55" s="654"/>
      <c r="S55" s="654"/>
      <c r="T55" s="655"/>
      <c r="U55" s="34"/>
      <c r="V55" s="34"/>
      <c r="W55" s="35" t="s">
        <v>66</v>
      </c>
      <c r="X55" s="647">
        <v>0</v>
      </c>
      <c r="Y55" s="648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1">
        <v>4680115881426</v>
      </c>
      <c r="E56" s="65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4"/>
      <c r="R56" s="654"/>
      <c r="S56" s="654"/>
      <c r="T56" s="655"/>
      <c r="U56" s="34"/>
      <c r="V56" s="34"/>
      <c r="W56" s="35" t="s">
        <v>66</v>
      </c>
      <c r="X56" s="647">
        <v>337</v>
      </c>
      <c r="Y56" s="648">
        <f t="shared" si="0"/>
        <v>345.6</v>
      </c>
      <c r="Z56" s="36">
        <f>IFERROR(IF(Y56=0,"",ROUNDUP(Y56/H56,0)*0.01898),"")</f>
        <v>0.60736000000000001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349.79351851851851</v>
      </c>
      <c r="BN56" s="64">
        <f t="shared" si="2"/>
        <v>358.72</v>
      </c>
      <c r="BO56" s="64">
        <f t="shared" si="3"/>
        <v>0.48755787037037035</v>
      </c>
      <c r="BP56" s="64">
        <f t="shared" si="4"/>
        <v>0.5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1">
        <v>4680115881426</v>
      </c>
      <c r="E57" s="65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4"/>
      <c r="R57" s="654"/>
      <c r="S57" s="654"/>
      <c r="T57" s="655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1">
        <v>4680115880283</v>
      </c>
      <c r="E58" s="65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4"/>
      <c r="R58" s="654"/>
      <c r="S58" s="654"/>
      <c r="T58" s="655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51">
        <v>4680115881525</v>
      </c>
      <c r="E59" s="65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4"/>
      <c r="R59" s="654"/>
      <c r="S59" s="654"/>
      <c r="T59" s="655"/>
      <c r="U59" s="34"/>
      <c r="V59" s="34"/>
      <c r="W59" s="35" t="s">
        <v>66</v>
      </c>
      <c r="X59" s="647">
        <v>4</v>
      </c>
      <c r="Y59" s="648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4.1900000000000004</v>
      </c>
      <c r="BN59" s="64">
        <f t="shared" si="2"/>
        <v>4.1900000000000004</v>
      </c>
      <c r="BO59" s="64">
        <f t="shared" si="3"/>
        <v>7.575757575757576E-3</v>
      </c>
      <c r="BP59" s="64">
        <f t="shared" si="4"/>
        <v>7.575757575757576E-3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1">
        <v>4680115881525</v>
      </c>
      <c r="E60" s="65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1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4"/>
      <c r="R60" s="654"/>
      <c r="S60" s="654"/>
      <c r="T60" s="655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1">
        <v>4680115885899</v>
      </c>
      <c r="E61" s="65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3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51">
        <v>4680115881419</v>
      </c>
      <c r="E62" s="65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4"/>
      <c r="V62" s="34"/>
      <c r="W62" s="35" t="s">
        <v>66</v>
      </c>
      <c r="X62" s="647">
        <v>30</v>
      </c>
      <c r="Y62" s="648">
        <f t="shared" si="0"/>
        <v>31.5</v>
      </c>
      <c r="Z62" s="36">
        <f>IFERROR(IF(Y62=0,"",ROUNDUP(Y62/H62,0)*0.00902),"")</f>
        <v>6.3140000000000002E-2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31.266666666666669</v>
      </c>
      <c r="BN62" s="64">
        <f t="shared" si="2"/>
        <v>32.830000000000005</v>
      </c>
      <c r="BO62" s="64">
        <f t="shared" si="3"/>
        <v>5.0505050505050511E-2</v>
      </c>
      <c r="BP62" s="64">
        <f t="shared" si="4"/>
        <v>5.3030303030303032E-2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1">
        <v>4680115881419</v>
      </c>
      <c r="E63" s="65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6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4"/>
      <c r="R63" s="654"/>
      <c r="S63" s="654"/>
      <c r="T63" s="655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68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9"/>
      <c r="P64" s="663" t="s">
        <v>71</v>
      </c>
      <c r="Q64" s="664"/>
      <c r="R64" s="664"/>
      <c r="S64" s="664"/>
      <c r="T64" s="664"/>
      <c r="U64" s="664"/>
      <c r="V64" s="66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38.870370370370367</v>
      </c>
      <c r="Y64" s="649">
        <f>IFERROR(Y55/H55,"0")+IFERROR(Y56/H56,"0")+IFERROR(Y57/H57,"0")+IFERROR(Y58/H58,"0")+IFERROR(Y59/H59,"0")+IFERROR(Y60/H60,"0")+IFERROR(Y61/H61,"0")+IFERROR(Y62/H62,"0")+IFERROR(Y63/H63,"0")</f>
        <v>40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0.67952000000000001</v>
      </c>
      <c r="AA64" s="650"/>
      <c r="AB64" s="650"/>
      <c r="AC64" s="650"/>
    </row>
    <row r="65" spans="1:68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9"/>
      <c r="P65" s="663" t="s">
        <v>71</v>
      </c>
      <c r="Q65" s="664"/>
      <c r="R65" s="664"/>
      <c r="S65" s="664"/>
      <c r="T65" s="664"/>
      <c r="U65" s="664"/>
      <c r="V65" s="665"/>
      <c r="W65" s="37" t="s">
        <v>66</v>
      </c>
      <c r="X65" s="649">
        <f>IFERROR(SUM(X55:X63),"0")</f>
        <v>371</v>
      </c>
      <c r="Y65" s="649">
        <f>IFERROR(SUM(Y55:Y63),"0")</f>
        <v>381.1</v>
      </c>
      <c r="Z65" s="37"/>
      <c r="AA65" s="650"/>
      <c r="AB65" s="650"/>
      <c r="AC65" s="650"/>
    </row>
    <row r="66" spans="1:68" ht="14.25" hidden="1" customHeight="1" x14ac:dyDescent="0.25">
      <c r="A66" s="659" t="s">
        <v>147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43"/>
      <c r="AB66" s="643"/>
      <c r="AC66" s="643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51">
        <v>4680115881440</v>
      </c>
      <c r="E67" s="65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4"/>
      <c r="R67" s="654"/>
      <c r="S67" s="654"/>
      <c r="T67" s="655"/>
      <c r="U67" s="34"/>
      <c r="V67" s="34"/>
      <c r="W67" s="35" t="s">
        <v>66</v>
      </c>
      <c r="X67" s="647">
        <v>106</v>
      </c>
      <c r="Y67" s="648">
        <f>IFERROR(IF(X67="",0,CEILING((X67/$H67),1)*$H67),"")</f>
        <v>108</v>
      </c>
      <c r="Z67" s="36">
        <f>IFERROR(IF(Y67=0,"",ROUNDUP(Y67/H67,0)*0.01898),"")</f>
        <v>0.1898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110.02407407407406</v>
      </c>
      <c r="BN67" s="64">
        <f>IFERROR(Y67*I67/H67,"0")</f>
        <v>112.1</v>
      </c>
      <c r="BO67" s="64">
        <f>IFERROR(1/J67*(X67/H67),"0")</f>
        <v>0.15335648148148148</v>
      </c>
      <c r="BP67" s="64">
        <f>IFERROR(1/J67*(Y67/H67),"0")</f>
        <v>0.15625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1">
        <v>4680115881440</v>
      </c>
      <c r="E68" s="65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4"/>
      <c r="R68" s="654"/>
      <c r="S68" s="654"/>
      <c r="T68" s="655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1">
        <v>4680115885950</v>
      </c>
      <c r="E69" s="65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4"/>
      <c r="R69" s="654"/>
      <c r="S69" s="654"/>
      <c r="T69" s="655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1">
        <v>4680115887688</v>
      </c>
      <c r="E70" s="65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4"/>
      <c r="R70" s="654"/>
      <c r="S70" s="654"/>
      <c r="T70" s="655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1">
        <v>4680115881433</v>
      </c>
      <c r="E71" s="65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4"/>
      <c r="R71" s="654"/>
      <c r="S71" s="654"/>
      <c r="T71" s="655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68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9"/>
      <c r="P72" s="663" t="s">
        <v>71</v>
      </c>
      <c r="Q72" s="664"/>
      <c r="R72" s="664"/>
      <c r="S72" s="664"/>
      <c r="T72" s="664"/>
      <c r="U72" s="664"/>
      <c r="V72" s="665"/>
      <c r="W72" s="37" t="s">
        <v>72</v>
      </c>
      <c r="X72" s="649">
        <f>IFERROR(X67/H67,"0")+IFERROR(X68/H68,"0")+IFERROR(X69/H69,"0")+IFERROR(X70/H70,"0")+IFERROR(X71/H71,"0")</f>
        <v>9.8148148148148149</v>
      </c>
      <c r="Y72" s="649">
        <f>IFERROR(Y67/H67,"0")+IFERROR(Y68/H68,"0")+IFERROR(Y69/H69,"0")+IFERROR(Y70/H70,"0")+IFERROR(Y71/H71,"0")</f>
        <v>10</v>
      </c>
      <c r="Z72" s="649">
        <f>IFERROR(IF(Z67="",0,Z67),"0")+IFERROR(IF(Z68="",0,Z68),"0")+IFERROR(IF(Z69="",0,Z69),"0")+IFERROR(IF(Z70="",0,Z70),"0")+IFERROR(IF(Z71="",0,Z71),"0")</f>
        <v>0.1898</v>
      </c>
      <c r="AA72" s="650"/>
      <c r="AB72" s="650"/>
      <c r="AC72" s="650"/>
    </row>
    <row r="73" spans="1:68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9"/>
      <c r="P73" s="663" t="s">
        <v>71</v>
      </c>
      <c r="Q73" s="664"/>
      <c r="R73" s="664"/>
      <c r="S73" s="664"/>
      <c r="T73" s="664"/>
      <c r="U73" s="664"/>
      <c r="V73" s="665"/>
      <c r="W73" s="37" t="s">
        <v>66</v>
      </c>
      <c r="X73" s="649">
        <f>IFERROR(SUM(X67:X71),"0")</f>
        <v>106</v>
      </c>
      <c r="Y73" s="649">
        <f>IFERROR(SUM(Y67:Y71),"0")</f>
        <v>108</v>
      </c>
      <c r="Z73" s="37"/>
      <c r="AA73" s="650"/>
      <c r="AB73" s="650"/>
      <c r="AC73" s="650"/>
    </row>
    <row r="74" spans="1:68" ht="14.25" hidden="1" customHeight="1" x14ac:dyDescent="0.25">
      <c r="A74" s="659" t="s">
        <v>73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1">
        <v>4680115884311</v>
      </c>
      <c r="E75" s="65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4"/>
      <c r="R75" s="654"/>
      <c r="S75" s="654"/>
      <c r="T75" s="655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1">
        <v>4680115884403</v>
      </c>
      <c r="E76" s="65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4"/>
      <c r="R76" s="654"/>
      <c r="S76" s="654"/>
      <c r="T76" s="655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68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9"/>
      <c r="P77" s="663" t="s">
        <v>71</v>
      </c>
      <c r="Q77" s="664"/>
      <c r="R77" s="664"/>
      <c r="S77" s="664"/>
      <c r="T77" s="664"/>
      <c r="U77" s="664"/>
      <c r="V77" s="66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9"/>
      <c r="P78" s="663" t="s">
        <v>71</v>
      </c>
      <c r="Q78" s="664"/>
      <c r="R78" s="664"/>
      <c r="S78" s="664"/>
      <c r="T78" s="664"/>
      <c r="U78" s="664"/>
      <c r="V78" s="66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59" t="s">
        <v>166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43"/>
      <c r="AB79" s="643"/>
      <c r="AC79" s="643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51">
        <v>4680115881532</v>
      </c>
      <c r="E80" s="65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91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4"/>
      <c r="R80" s="654"/>
      <c r="S80" s="654"/>
      <c r="T80" s="655"/>
      <c r="U80" s="34"/>
      <c r="V80" s="34"/>
      <c r="W80" s="35" t="s">
        <v>66</v>
      </c>
      <c r="X80" s="647">
        <v>60</v>
      </c>
      <c r="Y80" s="648">
        <f>IFERROR(IF(X80="",0,CEILING((X80/$H80),1)*$H80),"")</f>
        <v>62.4</v>
      </c>
      <c r="Z80" s="36">
        <f>IFERROR(IF(Y80=0,"",ROUNDUP(Y80/H80,0)*0.01898),"")</f>
        <v>0.15184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63.15384615384616</v>
      </c>
      <c r="BN80" s="64">
        <f>IFERROR(Y80*I80/H80,"0")</f>
        <v>65.680000000000007</v>
      </c>
      <c r="BO80" s="64">
        <f>IFERROR(1/J80*(X80/H80),"0")</f>
        <v>0.1201923076923077</v>
      </c>
      <c r="BP80" s="64">
        <f>IFERROR(1/J80*(Y80/H80),"0")</f>
        <v>0.125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1">
        <v>4680115881532</v>
      </c>
      <c r="E81" s="65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4"/>
      <c r="R81" s="654"/>
      <c r="S81" s="654"/>
      <c r="T81" s="655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1">
        <v>4680115881464</v>
      </c>
      <c r="E82" s="65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7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4"/>
      <c r="R82" s="654"/>
      <c r="S82" s="654"/>
      <c r="T82" s="655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68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9"/>
      <c r="P83" s="663" t="s">
        <v>71</v>
      </c>
      <c r="Q83" s="664"/>
      <c r="R83" s="664"/>
      <c r="S83" s="664"/>
      <c r="T83" s="664"/>
      <c r="U83" s="664"/>
      <c r="V83" s="665"/>
      <c r="W83" s="37" t="s">
        <v>72</v>
      </c>
      <c r="X83" s="649">
        <f>IFERROR(X80/H80,"0")+IFERROR(X81/H81,"0")+IFERROR(X82/H82,"0")</f>
        <v>7.6923076923076925</v>
      </c>
      <c r="Y83" s="649">
        <f>IFERROR(Y80/H80,"0")+IFERROR(Y81/H81,"0")+IFERROR(Y82/H82,"0")</f>
        <v>8</v>
      </c>
      <c r="Z83" s="649">
        <f>IFERROR(IF(Z80="",0,Z80),"0")+IFERROR(IF(Z81="",0,Z81),"0")+IFERROR(IF(Z82="",0,Z82),"0")</f>
        <v>0.15184</v>
      </c>
      <c r="AA83" s="650"/>
      <c r="AB83" s="650"/>
      <c r="AC83" s="650"/>
    </row>
    <row r="84" spans="1:68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9"/>
      <c r="P84" s="663" t="s">
        <v>71</v>
      </c>
      <c r="Q84" s="664"/>
      <c r="R84" s="664"/>
      <c r="S84" s="664"/>
      <c r="T84" s="664"/>
      <c r="U84" s="664"/>
      <c r="V84" s="665"/>
      <c r="W84" s="37" t="s">
        <v>66</v>
      </c>
      <c r="X84" s="649">
        <f>IFERROR(SUM(X80:X82),"0")</f>
        <v>60</v>
      </c>
      <c r="Y84" s="649">
        <f>IFERROR(SUM(Y80:Y82),"0")</f>
        <v>62.4</v>
      </c>
      <c r="Z84" s="37"/>
      <c r="AA84" s="650"/>
      <c r="AB84" s="650"/>
      <c r="AC84" s="650"/>
    </row>
    <row r="85" spans="1:68" ht="16.5" hidden="1" customHeight="1" x14ac:dyDescent="0.25">
      <c r="A85" s="672" t="s">
        <v>174</v>
      </c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42"/>
      <c r="AB85" s="642"/>
      <c r="AC85" s="642"/>
    </row>
    <row r="86" spans="1:68" ht="14.25" hidden="1" customHeight="1" x14ac:dyDescent="0.25">
      <c r="A86" s="659" t="s">
        <v>110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1">
        <v>4680115881327</v>
      </c>
      <c r="E87" s="65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4"/>
      <c r="R87" s="654"/>
      <c r="S87" s="654"/>
      <c r="T87" s="655"/>
      <c r="U87" s="34"/>
      <c r="V87" s="34"/>
      <c r="W87" s="35" t="s">
        <v>66</v>
      </c>
      <c r="X87" s="647">
        <v>337</v>
      </c>
      <c r="Y87" s="648">
        <f>IFERROR(IF(X87="",0,CEILING((X87/$H87),1)*$H87),"")</f>
        <v>345.6</v>
      </c>
      <c r="Z87" s="36">
        <f>IFERROR(IF(Y87=0,"",ROUNDUP(Y87/H87,0)*0.01898),"")</f>
        <v>0.60736000000000001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349.79351851851851</v>
      </c>
      <c r="BN87" s="64">
        <f>IFERROR(Y87*I87/H87,"0")</f>
        <v>358.72</v>
      </c>
      <c r="BO87" s="64">
        <f>IFERROR(1/J87*(X87/H87),"0")</f>
        <v>0.48755787037037035</v>
      </c>
      <c r="BP87" s="64">
        <f>IFERROR(1/J87*(Y87/H87),"0")</f>
        <v>0.5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51">
        <v>4680115887732</v>
      </c>
      <c r="E88" s="65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4"/>
      <c r="R88" s="654"/>
      <c r="S88" s="654"/>
      <c r="T88" s="655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51">
        <v>4680115881518</v>
      </c>
      <c r="E89" s="65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4"/>
      <c r="R89" s="654"/>
      <c r="S89" s="654"/>
      <c r="T89" s="655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51">
        <v>4680115881518</v>
      </c>
      <c r="E90" s="65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8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4"/>
      <c r="R90" s="654"/>
      <c r="S90" s="654"/>
      <c r="T90" s="655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184</v>
      </c>
      <c r="B91" s="54" t="s">
        <v>185</v>
      </c>
      <c r="C91" s="31">
        <v>4301012250</v>
      </c>
      <c r="D91" s="651">
        <v>4680115881303</v>
      </c>
      <c r="E91" s="65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4"/>
      <c r="R91" s="654"/>
      <c r="S91" s="654"/>
      <c r="T91" s="655"/>
      <c r="U91" s="34"/>
      <c r="V91" s="34"/>
      <c r="W91" s="35" t="s">
        <v>66</v>
      </c>
      <c r="X91" s="647">
        <v>0</v>
      </c>
      <c r="Y91" s="64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68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9"/>
      <c r="P92" s="663" t="s">
        <v>71</v>
      </c>
      <c r="Q92" s="664"/>
      <c r="R92" s="664"/>
      <c r="S92" s="664"/>
      <c r="T92" s="664"/>
      <c r="U92" s="664"/>
      <c r="V92" s="665"/>
      <c r="W92" s="37" t="s">
        <v>72</v>
      </c>
      <c r="X92" s="649">
        <f>IFERROR(X87/H87,"0")+IFERROR(X88/H88,"0")+IFERROR(X89/H89,"0")+IFERROR(X90/H90,"0")+IFERROR(X91/H91,"0")</f>
        <v>31.203703703703702</v>
      </c>
      <c r="Y92" s="649">
        <f>IFERROR(Y87/H87,"0")+IFERROR(Y88/H88,"0")+IFERROR(Y89/H89,"0")+IFERROR(Y90/H90,"0")+IFERROR(Y91/H91,"0")</f>
        <v>32</v>
      </c>
      <c r="Z92" s="649">
        <f>IFERROR(IF(Z87="",0,Z87),"0")+IFERROR(IF(Z88="",0,Z88),"0")+IFERROR(IF(Z89="",0,Z89),"0")+IFERROR(IF(Z90="",0,Z90),"0")+IFERROR(IF(Z91="",0,Z91),"0")</f>
        <v>0.60736000000000001</v>
      </c>
      <c r="AA92" s="650"/>
      <c r="AB92" s="650"/>
      <c r="AC92" s="650"/>
    </row>
    <row r="93" spans="1:68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9"/>
      <c r="P93" s="663" t="s">
        <v>71</v>
      </c>
      <c r="Q93" s="664"/>
      <c r="R93" s="664"/>
      <c r="S93" s="664"/>
      <c r="T93" s="664"/>
      <c r="U93" s="664"/>
      <c r="V93" s="665"/>
      <c r="W93" s="37" t="s">
        <v>66</v>
      </c>
      <c r="X93" s="649">
        <f>IFERROR(SUM(X87:X91),"0")</f>
        <v>337</v>
      </c>
      <c r="Y93" s="649">
        <f>IFERROR(SUM(Y87:Y91),"0")</f>
        <v>345.6</v>
      </c>
      <c r="Z93" s="37"/>
      <c r="AA93" s="650"/>
      <c r="AB93" s="650"/>
      <c r="AC93" s="650"/>
    </row>
    <row r="94" spans="1:68" ht="14.25" hidden="1" customHeight="1" x14ac:dyDescent="0.25">
      <c r="A94" s="659" t="s">
        <v>73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43"/>
      <c r="AB94" s="643"/>
      <c r="AC94" s="643"/>
    </row>
    <row r="95" spans="1:68" ht="27" hidden="1" customHeight="1" x14ac:dyDescent="0.25">
      <c r="A95" s="54" t="s">
        <v>186</v>
      </c>
      <c r="B95" s="54" t="s">
        <v>187</v>
      </c>
      <c r="C95" s="31">
        <v>4301052101</v>
      </c>
      <c r="D95" s="651">
        <v>4607091386967</v>
      </c>
      <c r="E95" s="65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4"/>
      <c r="R95" s="654"/>
      <c r="S95" s="654"/>
      <c r="T95" s="655"/>
      <c r="U95" s="34"/>
      <c r="V95" s="34"/>
      <c r="W95" s="35" t="s">
        <v>66</v>
      </c>
      <c r="X95" s="647">
        <v>0</v>
      </c>
      <c r="Y95" s="64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51">
        <v>4680115884953</v>
      </c>
      <c r="E96" s="65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8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4"/>
      <c r="R96" s="654"/>
      <c r="S96" s="654"/>
      <c r="T96" s="655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4301052094</v>
      </c>
      <c r="D97" s="651">
        <v>4607091385731</v>
      </c>
      <c r="E97" s="65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5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4"/>
      <c r="R97" s="654"/>
      <c r="S97" s="654"/>
      <c r="T97" s="655"/>
      <c r="U97" s="34"/>
      <c r="V97" s="34"/>
      <c r="W97" s="35" t="s">
        <v>66</v>
      </c>
      <c r="X97" s="647">
        <v>0</v>
      </c>
      <c r="Y97" s="64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51">
        <v>4680115880894</v>
      </c>
      <c r="E98" s="65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4"/>
      <c r="R98" s="654"/>
      <c r="S98" s="654"/>
      <c r="T98" s="655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68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9"/>
      <c r="P99" s="663" t="s">
        <v>71</v>
      </c>
      <c r="Q99" s="664"/>
      <c r="R99" s="664"/>
      <c r="S99" s="664"/>
      <c r="T99" s="664"/>
      <c r="U99" s="664"/>
      <c r="V99" s="665"/>
      <c r="W99" s="37" t="s">
        <v>72</v>
      </c>
      <c r="X99" s="649">
        <f>IFERROR(X95/H95,"0")+IFERROR(X96/H96,"0")+IFERROR(X97/H97,"0")+IFERROR(X98/H98,"0")</f>
        <v>0</v>
      </c>
      <c r="Y99" s="649">
        <f>IFERROR(Y95/H95,"0")+IFERROR(Y96/H96,"0")+IFERROR(Y97/H97,"0")+IFERROR(Y98/H98,"0")</f>
        <v>0</v>
      </c>
      <c r="Z99" s="649">
        <f>IFERROR(IF(Z95="",0,Z95),"0")+IFERROR(IF(Z96="",0,Z96),"0")+IFERROR(IF(Z97="",0,Z97),"0")+IFERROR(IF(Z98="",0,Z98),"0")</f>
        <v>0</v>
      </c>
      <c r="AA99" s="650"/>
      <c r="AB99" s="650"/>
      <c r="AC99" s="650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9"/>
      <c r="P100" s="663" t="s">
        <v>71</v>
      </c>
      <c r="Q100" s="664"/>
      <c r="R100" s="664"/>
      <c r="S100" s="664"/>
      <c r="T100" s="664"/>
      <c r="U100" s="664"/>
      <c r="V100" s="665"/>
      <c r="W100" s="37" t="s">
        <v>66</v>
      </c>
      <c r="X100" s="649">
        <f>IFERROR(SUM(X95:X98),"0")</f>
        <v>0</v>
      </c>
      <c r="Y100" s="649">
        <f>IFERROR(SUM(Y95:Y98),"0")</f>
        <v>0</v>
      </c>
      <c r="Z100" s="37"/>
      <c r="AA100" s="650"/>
      <c r="AB100" s="650"/>
      <c r="AC100" s="650"/>
    </row>
    <row r="101" spans="1:68" ht="16.5" hidden="1" customHeight="1" x14ac:dyDescent="0.25">
      <c r="A101" s="672" t="s">
        <v>197</v>
      </c>
      <c r="B101" s="660"/>
      <c r="C101" s="660"/>
      <c r="D101" s="660"/>
      <c r="E101" s="660"/>
      <c r="F101" s="660"/>
      <c r="G101" s="660"/>
      <c r="H101" s="660"/>
      <c r="I101" s="660"/>
      <c r="J101" s="660"/>
      <c r="K101" s="660"/>
      <c r="L101" s="660"/>
      <c r="M101" s="660"/>
      <c r="N101" s="660"/>
      <c r="O101" s="660"/>
      <c r="P101" s="660"/>
      <c r="Q101" s="660"/>
      <c r="R101" s="660"/>
      <c r="S101" s="660"/>
      <c r="T101" s="660"/>
      <c r="U101" s="660"/>
      <c r="V101" s="660"/>
      <c r="W101" s="660"/>
      <c r="X101" s="660"/>
      <c r="Y101" s="660"/>
      <c r="Z101" s="660"/>
      <c r="AA101" s="642"/>
      <c r="AB101" s="642"/>
      <c r="AC101" s="642"/>
    </row>
    <row r="102" spans="1:68" ht="14.25" hidden="1" customHeight="1" x14ac:dyDescent="0.25">
      <c r="A102" s="659" t="s">
        <v>110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43"/>
      <c r="AB102" s="643"/>
      <c r="AC102" s="643"/>
    </row>
    <row r="103" spans="1:68" ht="37.5" customHeight="1" x14ac:dyDescent="0.25">
      <c r="A103" s="54" t="s">
        <v>198</v>
      </c>
      <c r="B103" s="54" t="s">
        <v>199</v>
      </c>
      <c r="C103" s="31">
        <v>4301011514</v>
      </c>
      <c r="D103" s="651">
        <v>4680115882133</v>
      </c>
      <c r="E103" s="65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7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4"/>
      <c r="R103" s="654"/>
      <c r="S103" s="654"/>
      <c r="T103" s="655"/>
      <c r="U103" s="34"/>
      <c r="V103" s="34"/>
      <c r="W103" s="35" t="s">
        <v>66</v>
      </c>
      <c r="X103" s="647">
        <v>121</v>
      </c>
      <c r="Y103" s="648">
        <f t="shared" ref="Y103:Y111" si="5">IFERROR(IF(X103="",0,CEILING((X103/$H103),1)*$H103),"")</f>
        <v>129.60000000000002</v>
      </c>
      <c r="Z103" s="36">
        <f>IFERROR(IF(Y103=0,"",ROUNDUP(Y103/H103,0)*0.01898),"")</f>
        <v>0.22776000000000002</v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125.59351851851852</v>
      </c>
      <c r="BN103" s="64">
        <f t="shared" ref="BN103:BN111" si="7">IFERROR(Y103*I103/H103,"0")</f>
        <v>134.52000000000001</v>
      </c>
      <c r="BO103" s="64">
        <f t="shared" ref="BO103:BO111" si="8">IFERROR(1/J103*(X103/H103),"0")</f>
        <v>0.17505787037037035</v>
      </c>
      <c r="BP103" s="64">
        <f t="shared" ref="BP103:BP111" si="9">IFERROR(1/J103*(Y103/H103),"0")</f>
        <v>0.18750000000000003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51">
        <v>4680115882133</v>
      </c>
      <c r="E104" s="65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4"/>
      <c r="R104" s="654"/>
      <c r="S104" s="654"/>
      <c r="T104" s="655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203</v>
      </c>
      <c r="B105" s="54" t="s">
        <v>204</v>
      </c>
      <c r="C105" s="31">
        <v>4301012379</v>
      </c>
      <c r="D105" s="651">
        <v>4680115887718</v>
      </c>
      <c r="E105" s="65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5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4"/>
      <c r="R105" s="654"/>
      <c r="S105" s="654"/>
      <c r="T105" s="655"/>
      <c r="U105" s="34"/>
      <c r="V105" s="34"/>
      <c r="W105" s="35" t="s">
        <v>66</v>
      </c>
      <c r="X105" s="647">
        <v>6</v>
      </c>
      <c r="Y105" s="648">
        <f t="shared" si="5"/>
        <v>6.6000000000000005</v>
      </c>
      <c r="Z105" s="36">
        <f>IFERROR(IF(Y105=0,"",ROUNDUP(Y105/H105,0)*0.00726),"")</f>
        <v>7.2599999999999998E-2</v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7.5090909090909079</v>
      </c>
      <c r="BN105" s="64">
        <f t="shared" si="7"/>
        <v>8.26</v>
      </c>
      <c r="BO105" s="64">
        <f t="shared" si="8"/>
        <v>4.7348484848484841E-2</v>
      </c>
      <c r="BP105" s="64">
        <f t="shared" si="9"/>
        <v>5.2083333333333329E-2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51">
        <v>4680115880269</v>
      </c>
      <c r="E106" s="65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9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4"/>
      <c r="R106" s="654"/>
      <c r="S106" s="654"/>
      <c r="T106" s="655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51">
        <v>4680115880269</v>
      </c>
      <c r="E107" s="65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5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4"/>
      <c r="R107" s="654"/>
      <c r="S107" s="654"/>
      <c r="T107" s="655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209</v>
      </c>
      <c r="B108" s="54" t="s">
        <v>210</v>
      </c>
      <c r="C108" s="31">
        <v>4301012254</v>
      </c>
      <c r="D108" s="651">
        <v>4680115880429</v>
      </c>
      <c r="E108" s="65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4"/>
      <c r="R108" s="654"/>
      <c r="S108" s="654"/>
      <c r="T108" s="655"/>
      <c r="U108" s="34"/>
      <c r="V108" s="34"/>
      <c r="W108" s="35" t="s">
        <v>66</v>
      </c>
      <c r="X108" s="647">
        <v>0</v>
      </c>
      <c r="Y108" s="648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51">
        <v>4680115881457</v>
      </c>
      <c r="E109" s="65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4"/>
      <c r="R109" s="654"/>
      <c r="S109" s="654"/>
      <c r="T109" s="655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51">
        <v>4680115881457</v>
      </c>
      <c r="E110" s="65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4"/>
      <c r="R110" s="654"/>
      <c r="S110" s="654"/>
      <c r="T110" s="655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51">
        <v>4680115889477</v>
      </c>
      <c r="E111" s="65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3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4"/>
      <c r="R111" s="654"/>
      <c r="S111" s="654"/>
      <c r="T111" s="655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68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9"/>
      <c r="P112" s="663" t="s">
        <v>71</v>
      </c>
      <c r="Q112" s="664"/>
      <c r="R112" s="664"/>
      <c r="S112" s="664"/>
      <c r="T112" s="664"/>
      <c r="U112" s="664"/>
      <c r="V112" s="66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20.294612794612792</v>
      </c>
      <c r="Y112" s="649">
        <f>IFERROR(Y103/H103,"0")+IFERROR(Y104/H104,"0")+IFERROR(Y105/H105,"0")+IFERROR(Y106/H106,"0")+IFERROR(Y107/H107,"0")+IFERROR(Y108/H108,"0")+IFERROR(Y109/H109,"0")+IFERROR(Y110/H110,"0")+IFERROR(Y111/H111,"0")</f>
        <v>22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0.30036000000000002</v>
      </c>
      <c r="AA112" s="650"/>
      <c r="AB112" s="650"/>
      <c r="AC112" s="650"/>
    </row>
    <row r="113" spans="1:68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9"/>
      <c r="P113" s="663" t="s">
        <v>71</v>
      </c>
      <c r="Q113" s="664"/>
      <c r="R113" s="664"/>
      <c r="S113" s="664"/>
      <c r="T113" s="664"/>
      <c r="U113" s="664"/>
      <c r="V113" s="665"/>
      <c r="W113" s="37" t="s">
        <v>66</v>
      </c>
      <c r="X113" s="649">
        <f>IFERROR(SUM(X103:X111),"0")</f>
        <v>127</v>
      </c>
      <c r="Y113" s="649">
        <f>IFERROR(SUM(Y103:Y111),"0")</f>
        <v>136.20000000000002</v>
      </c>
      <c r="Z113" s="37"/>
      <c r="AA113" s="650"/>
      <c r="AB113" s="650"/>
      <c r="AC113" s="650"/>
    </row>
    <row r="114" spans="1:68" ht="14.25" hidden="1" customHeight="1" x14ac:dyDescent="0.25">
      <c r="A114" s="659" t="s">
        <v>147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43"/>
      <c r="AB114" s="643"/>
      <c r="AC114" s="643"/>
    </row>
    <row r="115" spans="1:68" ht="27" hidden="1" customHeight="1" x14ac:dyDescent="0.25">
      <c r="A115" s="54" t="s">
        <v>217</v>
      </c>
      <c r="B115" s="54" t="s">
        <v>218</v>
      </c>
      <c r="C115" s="31">
        <v>4301020391</v>
      </c>
      <c r="D115" s="651">
        <v>4680115881488</v>
      </c>
      <c r="E115" s="65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4"/>
      <c r="R115" s="654"/>
      <c r="S115" s="654"/>
      <c r="T115" s="655"/>
      <c r="U115" s="34"/>
      <c r="V115" s="34"/>
      <c r="W115" s="35" t="s">
        <v>66</v>
      </c>
      <c r="X115" s="647">
        <v>0</v>
      </c>
      <c r="Y115" s="6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51">
        <v>4680115887664</v>
      </c>
      <c r="E116" s="65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74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4"/>
      <c r="R116" s="654"/>
      <c r="S116" s="654"/>
      <c r="T116" s="655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51">
        <v>4680115887664</v>
      </c>
      <c r="E117" s="65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4"/>
      <c r="R117" s="654"/>
      <c r="S117" s="654"/>
      <c r="T117" s="655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51">
        <v>4680115882775</v>
      </c>
      <c r="E118" s="65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4"/>
      <c r="R118" s="654"/>
      <c r="S118" s="654"/>
      <c r="T118" s="655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228</v>
      </c>
      <c r="B119" s="54" t="s">
        <v>229</v>
      </c>
      <c r="C119" s="31">
        <v>4301020392</v>
      </c>
      <c r="D119" s="651">
        <v>4680115880658</v>
      </c>
      <c r="E119" s="65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7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4"/>
      <c r="R119" s="654"/>
      <c r="S119" s="654"/>
      <c r="T119" s="655"/>
      <c r="U119" s="34"/>
      <c r="V119" s="34"/>
      <c r="W119" s="35" t="s">
        <v>66</v>
      </c>
      <c r="X119" s="647">
        <v>0</v>
      </c>
      <c r="Y119" s="6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68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9"/>
      <c r="P120" s="663" t="s">
        <v>71</v>
      </c>
      <c r="Q120" s="664"/>
      <c r="R120" s="664"/>
      <c r="S120" s="664"/>
      <c r="T120" s="664"/>
      <c r="U120" s="664"/>
      <c r="V120" s="665"/>
      <c r="W120" s="37" t="s">
        <v>72</v>
      </c>
      <c r="X120" s="649">
        <f>IFERROR(X115/H115,"0")+IFERROR(X116/H116,"0")+IFERROR(X117/H117,"0")+IFERROR(X118/H118,"0")+IFERROR(X119/H119,"0")</f>
        <v>0</v>
      </c>
      <c r="Y120" s="649">
        <f>IFERROR(Y115/H115,"0")+IFERROR(Y116/H116,"0")+IFERROR(Y117/H117,"0")+IFERROR(Y118/H118,"0")+IFERROR(Y119/H119,"0")</f>
        <v>0</v>
      </c>
      <c r="Z120" s="649">
        <f>IFERROR(IF(Z115="",0,Z115),"0")+IFERROR(IF(Z116="",0,Z116),"0")+IFERROR(IF(Z117="",0,Z117),"0")+IFERROR(IF(Z118="",0,Z118),"0")+IFERROR(IF(Z119="",0,Z119),"0")</f>
        <v>0</v>
      </c>
      <c r="AA120" s="650"/>
      <c r="AB120" s="650"/>
      <c r="AC120" s="650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9"/>
      <c r="P121" s="663" t="s">
        <v>71</v>
      </c>
      <c r="Q121" s="664"/>
      <c r="R121" s="664"/>
      <c r="S121" s="664"/>
      <c r="T121" s="664"/>
      <c r="U121" s="664"/>
      <c r="V121" s="665"/>
      <c r="W121" s="37" t="s">
        <v>66</v>
      </c>
      <c r="X121" s="649">
        <f>IFERROR(SUM(X115:X119),"0")</f>
        <v>0</v>
      </c>
      <c r="Y121" s="649">
        <f>IFERROR(SUM(Y115:Y119),"0")</f>
        <v>0</v>
      </c>
      <c r="Z121" s="37"/>
      <c r="AA121" s="650"/>
      <c r="AB121" s="650"/>
      <c r="AC121" s="650"/>
    </row>
    <row r="122" spans="1:68" ht="14.25" hidden="1" customHeight="1" x14ac:dyDescent="0.25">
      <c r="A122" s="659" t="s">
        <v>73</v>
      </c>
      <c r="B122" s="660"/>
      <c r="C122" s="660"/>
      <c r="D122" s="660"/>
      <c r="E122" s="660"/>
      <c r="F122" s="660"/>
      <c r="G122" s="660"/>
      <c r="H122" s="660"/>
      <c r="I122" s="660"/>
      <c r="J122" s="660"/>
      <c r="K122" s="660"/>
      <c r="L122" s="660"/>
      <c r="M122" s="660"/>
      <c r="N122" s="660"/>
      <c r="O122" s="660"/>
      <c r="P122" s="660"/>
      <c r="Q122" s="660"/>
      <c r="R122" s="660"/>
      <c r="S122" s="660"/>
      <c r="T122" s="660"/>
      <c r="U122" s="660"/>
      <c r="V122" s="660"/>
      <c r="W122" s="660"/>
      <c r="X122" s="660"/>
      <c r="Y122" s="660"/>
      <c r="Z122" s="660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51">
        <v>4607091385168</v>
      </c>
      <c r="E123" s="65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4"/>
      <c r="R123" s="654"/>
      <c r="S123" s="654"/>
      <c r="T123" s="655"/>
      <c r="U123" s="34"/>
      <c r="V123" s="34"/>
      <c r="W123" s="35" t="s">
        <v>66</v>
      </c>
      <c r="X123" s="647">
        <v>771</v>
      </c>
      <c r="Y123" s="648">
        <f>IFERROR(IF(X123="",0,CEILING((X123/$H123),1)*$H123),"")</f>
        <v>777.59999999999991</v>
      </c>
      <c r="Z123" s="36">
        <f>IFERROR(IF(Y123=0,"",ROUNDUP(Y123/H123,0)*0.01898),"")</f>
        <v>1.8220800000000001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817.45037037037025</v>
      </c>
      <c r="BN123" s="64">
        <f>IFERROR(Y123*I123/H123,"0")</f>
        <v>824.44799999999987</v>
      </c>
      <c r="BO123" s="64">
        <f>IFERROR(1/J123*(X123/H123),"0")</f>
        <v>1.4872685185185186</v>
      </c>
      <c r="BP123" s="64">
        <f>IFERROR(1/J123*(Y123/H123),"0")</f>
        <v>1.5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51">
        <v>4607091383256</v>
      </c>
      <c r="E124" s="65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4"/>
      <c r="R124" s="654"/>
      <c r="S124" s="654"/>
      <c r="T124" s="655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4301052086</v>
      </c>
      <c r="D125" s="651">
        <v>4607091385748</v>
      </c>
      <c r="E125" s="65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4"/>
      <c r="R125" s="654"/>
      <c r="S125" s="654"/>
      <c r="T125" s="655"/>
      <c r="U125" s="34"/>
      <c r="V125" s="34"/>
      <c r="W125" s="35" t="s">
        <v>66</v>
      </c>
      <c r="X125" s="647">
        <v>0</v>
      </c>
      <c r="Y125" s="64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51">
        <v>4680115884533</v>
      </c>
      <c r="E126" s="65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4"/>
      <c r="R126" s="654"/>
      <c r="S126" s="654"/>
      <c r="T126" s="655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68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9"/>
      <c r="P127" s="663" t="s">
        <v>71</v>
      </c>
      <c r="Q127" s="664"/>
      <c r="R127" s="664"/>
      <c r="S127" s="664"/>
      <c r="T127" s="664"/>
      <c r="U127" s="664"/>
      <c r="V127" s="665"/>
      <c r="W127" s="37" t="s">
        <v>72</v>
      </c>
      <c r="X127" s="649">
        <f>IFERROR(X123/H123,"0")+IFERROR(X124/H124,"0")+IFERROR(X125/H125,"0")+IFERROR(X126/H126,"0")</f>
        <v>95.18518518518519</v>
      </c>
      <c r="Y127" s="649">
        <f>IFERROR(Y123/H123,"0")+IFERROR(Y124/H124,"0")+IFERROR(Y125/H125,"0")+IFERROR(Y126/H126,"0")</f>
        <v>96</v>
      </c>
      <c r="Z127" s="649">
        <f>IFERROR(IF(Z123="",0,Z123),"0")+IFERROR(IF(Z124="",0,Z124),"0")+IFERROR(IF(Z125="",0,Z125),"0")+IFERROR(IF(Z126="",0,Z126),"0")</f>
        <v>1.8220800000000001</v>
      </c>
      <c r="AA127" s="650"/>
      <c r="AB127" s="650"/>
      <c r="AC127" s="650"/>
    </row>
    <row r="128" spans="1:68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9"/>
      <c r="P128" s="663" t="s">
        <v>71</v>
      </c>
      <c r="Q128" s="664"/>
      <c r="R128" s="664"/>
      <c r="S128" s="664"/>
      <c r="T128" s="664"/>
      <c r="U128" s="664"/>
      <c r="V128" s="665"/>
      <c r="W128" s="37" t="s">
        <v>66</v>
      </c>
      <c r="X128" s="649">
        <f>IFERROR(SUM(X123:X126),"0")</f>
        <v>771</v>
      </c>
      <c r="Y128" s="649">
        <f>IFERROR(SUM(Y123:Y126),"0")</f>
        <v>777.59999999999991</v>
      </c>
      <c r="Z128" s="37"/>
      <c r="AA128" s="650"/>
      <c r="AB128" s="650"/>
      <c r="AC128" s="650"/>
    </row>
    <row r="129" spans="1:68" ht="14.25" hidden="1" customHeight="1" x14ac:dyDescent="0.25">
      <c r="A129" s="659" t="s">
        <v>166</v>
      </c>
      <c r="B129" s="660"/>
      <c r="C129" s="660"/>
      <c r="D129" s="660"/>
      <c r="E129" s="660"/>
      <c r="F129" s="660"/>
      <c r="G129" s="660"/>
      <c r="H129" s="660"/>
      <c r="I129" s="660"/>
      <c r="J129" s="660"/>
      <c r="K129" s="660"/>
      <c r="L129" s="660"/>
      <c r="M129" s="660"/>
      <c r="N129" s="660"/>
      <c r="O129" s="660"/>
      <c r="P129" s="660"/>
      <c r="Q129" s="660"/>
      <c r="R129" s="660"/>
      <c r="S129" s="660"/>
      <c r="T129" s="660"/>
      <c r="U129" s="660"/>
      <c r="V129" s="660"/>
      <c r="W129" s="660"/>
      <c r="X129" s="660"/>
      <c r="Y129" s="660"/>
      <c r="Z129" s="660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51">
        <v>4680115880238</v>
      </c>
      <c r="E130" s="65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3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4"/>
      <c r="R130" s="654"/>
      <c r="S130" s="654"/>
      <c r="T130" s="655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68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9"/>
      <c r="P131" s="663" t="s">
        <v>71</v>
      </c>
      <c r="Q131" s="664"/>
      <c r="R131" s="664"/>
      <c r="S131" s="664"/>
      <c r="T131" s="664"/>
      <c r="U131" s="664"/>
      <c r="V131" s="66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9"/>
      <c r="P132" s="663" t="s">
        <v>71</v>
      </c>
      <c r="Q132" s="664"/>
      <c r="R132" s="664"/>
      <c r="S132" s="664"/>
      <c r="T132" s="664"/>
      <c r="U132" s="664"/>
      <c r="V132" s="66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72" t="s">
        <v>243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42"/>
      <c r="AB133" s="642"/>
      <c r="AC133" s="642"/>
    </row>
    <row r="134" spans="1:68" ht="14.25" hidden="1" customHeight="1" x14ac:dyDescent="0.25">
      <c r="A134" s="659" t="s">
        <v>110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43"/>
      <c r="AB134" s="643"/>
      <c r="AC134" s="643"/>
    </row>
    <row r="135" spans="1:68" ht="27" hidden="1" customHeight="1" x14ac:dyDescent="0.25">
      <c r="A135" s="54" t="s">
        <v>244</v>
      </c>
      <c r="B135" s="54" t="s">
        <v>245</v>
      </c>
      <c r="C135" s="31">
        <v>4301011562</v>
      </c>
      <c r="D135" s="651">
        <v>4680115882577</v>
      </c>
      <c r="E135" s="65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4"/>
      <c r="R135" s="654"/>
      <c r="S135" s="654"/>
      <c r="T135" s="655"/>
      <c r="U135" s="34"/>
      <c r="V135" s="34"/>
      <c r="W135" s="35" t="s">
        <v>66</v>
      </c>
      <c r="X135" s="647">
        <v>0</v>
      </c>
      <c r="Y135" s="64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51">
        <v>4680115882577</v>
      </c>
      <c r="E136" s="65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4"/>
      <c r="R136" s="654"/>
      <c r="S136" s="654"/>
      <c r="T136" s="655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68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9"/>
      <c r="P137" s="663" t="s">
        <v>71</v>
      </c>
      <c r="Q137" s="664"/>
      <c r="R137" s="664"/>
      <c r="S137" s="664"/>
      <c r="T137" s="664"/>
      <c r="U137" s="664"/>
      <c r="V137" s="665"/>
      <c r="W137" s="37" t="s">
        <v>72</v>
      </c>
      <c r="X137" s="649">
        <f>IFERROR(X135/H135,"0")+IFERROR(X136/H136,"0")</f>
        <v>0</v>
      </c>
      <c r="Y137" s="649">
        <f>IFERROR(Y135/H135,"0")+IFERROR(Y136/H136,"0")</f>
        <v>0</v>
      </c>
      <c r="Z137" s="649">
        <f>IFERROR(IF(Z135="",0,Z135),"0")+IFERROR(IF(Z136="",0,Z136),"0")</f>
        <v>0</v>
      </c>
      <c r="AA137" s="650"/>
      <c r="AB137" s="650"/>
      <c r="AC137" s="650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9"/>
      <c r="P138" s="663" t="s">
        <v>71</v>
      </c>
      <c r="Q138" s="664"/>
      <c r="R138" s="664"/>
      <c r="S138" s="664"/>
      <c r="T138" s="664"/>
      <c r="U138" s="664"/>
      <c r="V138" s="665"/>
      <c r="W138" s="37" t="s">
        <v>66</v>
      </c>
      <c r="X138" s="649">
        <f>IFERROR(SUM(X135:X136),"0")</f>
        <v>0</v>
      </c>
      <c r="Y138" s="649">
        <f>IFERROR(SUM(Y135:Y136),"0")</f>
        <v>0</v>
      </c>
      <c r="Z138" s="37"/>
      <c r="AA138" s="650"/>
      <c r="AB138" s="650"/>
      <c r="AC138" s="650"/>
    </row>
    <row r="139" spans="1:68" ht="14.25" hidden="1" customHeight="1" x14ac:dyDescent="0.25">
      <c r="A139" s="659" t="s">
        <v>61</v>
      </c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0"/>
      <c r="P139" s="660"/>
      <c r="Q139" s="660"/>
      <c r="R139" s="660"/>
      <c r="S139" s="660"/>
      <c r="T139" s="660"/>
      <c r="U139" s="660"/>
      <c r="V139" s="660"/>
      <c r="W139" s="660"/>
      <c r="X139" s="660"/>
      <c r="Y139" s="660"/>
      <c r="Z139" s="660"/>
      <c r="AA139" s="643"/>
      <c r="AB139" s="643"/>
      <c r="AC139" s="643"/>
    </row>
    <row r="140" spans="1:68" ht="27" customHeight="1" x14ac:dyDescent="0.25">
      <c r="A140" s="54" t="s">
        <v>249</v>
      </c>
      <c r="B140" s="54" t="s">
        <v>250</v>
      </c>
      <c r="C140" s="31">
        <v>4301031234</v>
      </c>
      <c r="D140" s="651">
        <v>4680115883444</v>
      </c>
      <c r="E140" s="65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4"/>
      <c r="R140" s="654"/>
      <c r="S140" s="654"/>
      <c r="T140" s="655"/>
      <c r="U140" s="34"/>
      <c r="V140" s="34"/>
      <c r="W140" s="35" t="s">
        <v>66</v>
      </c>
      <c r="X140" s="647">
        <v>11</v>
      </c>
      <c r="Y140" s="648">
        <f>IFERROR(IF(X140="",0,CEILING((X140/$H140),1)*$H140),"")</f>
        <v>11.2</v>
      </c>
      <c r="Z140" s="36">
        <f>IFERROR(IF(Y140=0,"",ROUNDUP(Y140/H140,0)*0.00651),"")</f>
        <v>2.6040000000000001E-2</v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12.052857142857142</v>
      </c>
      <c r="BN140" s="64">
        <f>IFERROR(Y140*I140/H140,"0")</f>
        <v>12.271999999999998</v>
      </c>
      <c r="BO140" s="64">
        <f>IFERROR(1/J140*(X140/H140),"0")</f>
        <v>2.1585557299843017E-2</v>
      </c>
      <c r="BP140" s="64">
        <f>IFERROR(1/J140*(Y140/H140),"0")</f>
        <v>2.197802197802198E-2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51">
        <v>4680115883444</v>
      </c>
      <c r="E141" s="65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4"/>
      <c r="R141" s="654"/>
      <c r="S141" s="654"/>
      <c r="T141" s="655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68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9"/>
      <c r="P142" s="663" t="s">
        <v>71</v>
      </c>
      <c r="Q142" s="664"/>
      <c r="R142" s="664"/>
      <c r="S142" s="664"/>
      <c r="T142" s="664"/>
      <c r="U142" s="664"/>
      <c r="V142" s="665"/>
      <c r="W142" s="37" t="s">
        <v>72</v>
      </c>
      <c r="X142" s="649">
        <f>IFERROR(X140/H140,"0")+IFERROR(X141/H141,"0")</f>
        <v>3.9285714285714288</v>
      </c>
      <c r="Y142" s="649">
        <f>IFERROR(Y140/H140,"0")+IFERROR(Y141/H141,"0")</f>
        <v>4</v>
      </c>
      <c r="Z142" s="649">
        <f>IFERROR(IF(Z140="",0,Z140),"0")+IFERROR(IF(Z141="",0,Z141),"0")</f>
        <v>2.6040000000000001E-2</v>
      </c>
      <c r="AA142" s="650"/>
      <c r="AB142" s="650"/>
      <c r="AC142" s="650"/>
    </row>
    <row r="143" spans="1:68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9"/>
      <c r="P143" s="663" t="s">
        <v>71</v>
      </c>
      <c r="Q143" s="664"/>
      <c r="R143" s="664"/>
      <c r="S143" s="664"/>
      <c r="T143" s="664"/>
      <c r="U143" s="664"/>
      <c r="V143" s="665"/>
      <c r="W143" s="37" t="s">
        <v>66</v>
      </c>
      <c r="X143" s="649">
        <f>IFERROR(SUM(X140:X141),"0")</f>
        <v>11</v>
      </c>
      <c r="Y143" s="649">
        <f>IFERROR(SUM(Y140:Y141),"0")</f>
        <v>11.2</v>
      </c>
      <c r="Z143" s="37"/>
      <c r="AA143" s="650"/>
      <c r="AB143" s="650"/>
      <c r="AC143" s="650"/>
    </row>
    <row r="144" spans="1:68" ht="14.25" hidden="1" customHeight="1" x14ac:dyDescent="0.25">
      <c r="A144" s="659" t="s">
        <v>73</v>
      </c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0"/>
      <c r="P144" s="660"/>
      <c r="Q144" s="660"/>
      <c r="R144" s="660"/>
      <c r="S144" s="660"/>
      <c r="T144" s="660"/>
      <c r="U144" s="660"/>
      <c r="V144" s="660"/>
      <c r="W144" s="660"/>
      <c r="X144" s="660"/>
      <c r="Y144" s="660"/>
      <c r="Z144" s="660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51">
        <v>4680115882584</v>
      </c>
      <c r="E145" s="65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4"/>
      <c r="R145" s="654"/>
      <c r="S145" s="654"/>
      <c r="T145" s="655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51">
        <v>4680115882584</v>
      </c>
      <c r="E146" s="65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4"/>
      <c r="R146" s="654"/>
      <c r="S146" s="654"/>
      <c r="T146" s="655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68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9"/>
      <c r="P147" s="663" t="s">
        <v>71</v>
      </c>
      <c r="Q147" s="664"/>
      <c r="R147" s="664"/>
      <c r="S147" s="664"/>
      <c r="T147" s="664"/>
      <c r="U147" s="664"/>
      <c r="V147" s="66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9"/>
      <c r="P148" s="663" t="s">
        <v>71</v>
      </c>
      <c r="Q148" s="664"/>
      <c r="R148" s="664"/>
      <c r="S148" s="664"/>
      <c r="T148" s="664"/>
      <c r="U148" s="664"/>
      <c r="V148" s="66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72" t="s">
        <v>256</v>
      </c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0"/>
      <c r="T149" s="660"/>
      <c r="U149" s="660"/>
      <c r="V149" s="660"/>
      <c r="W149" s="660"/>
      <c r="X149" s="660"/>
      <c r="Y149" s="660"/>
      <c r="Z149" s="660"/>
      <c r="AA149" s="642"/>
      <c r="AB149" s="642"/>
      <c r="AC149" s="642"/>
    </row>
    <row r="150" spans="1:68" ht="14.25" hidden="1" customHeight="1" x14ac:dyDescent="0.25">
      <c r="A150" s="659" t="s">
        <v>73</v>
      </c>
      <c r="B150" s="660"/>
      <c r="C150" s="660"/>
      <c r="D150" s="660"/>
      <c r="E150" s="660"/>
      <c r="F150" s="660"/>
      <c r="G150" s="660"/>
      <c r="H150" s="660"/>
      <c r="I150" s="660"/>
      <c r="J150" s="660"/>
      <c r="K150" s="660"/>
      <c r="L150" s="660"/>
      <c r="M150" s="660"/>
      <c r="N150" s="660"/>
      <c r="O150" s="660"/>
      <c r="P150" s="660"/>
      <c r="Q150" s="660"/>
      <c r="R150" s="660"/>
      <c r="S150" s="660"/>
      <c r="T150" s="660"/>
      <c r="U150" s="660"/>
      <c r="V150" s="660"/>
      <c r="W150" s="660"/>
      <c r="X150" s="660"/>
      <c r="Y150" s="660"/>
      <c r="Z150" s="660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51">
        <v>4680115888203</v>
      </c>
      <c r="E151" s="65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4"/>
      <c r="R151" s="654"/>
      <c r="S151" s="654"/>
      <c r="T151" s="655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51">
        <v>4680115888180</v>
      </c>
      <c r="E152" s="65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4"/>
      <c r="R152" s="654"/>
      <c r="S152" s="654"/>
      <c r="T152" s="655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51">
        <v>4680115888180</v>
      </c>
      <c r="E153" s="65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4"/>
      <c r="R153" s="654"/>
      <c r="S153" s="654"/>
      <c r="T153" s="655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51">
        <v>4680115888197</v>
      </c>
      <c r="E154" s="65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4"/>
      <c r="R154" s="654"/>
      <c r="S154" s="654"/>
      <c r="T154" s="655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51">
        <v>4680115888210</v>
      </c>
      <c r="E155" s="65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51">
        <v>4680115888210</v>
      </c>
      <c r="E156" s="65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54"/>
      <c r="R156" s="654"/>
      <c r="S156" s="654"/>
      <c r="T156" s="655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68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9"/>
      <c r="P157" s="663" t="s">
        <v>71</v>
      </c>
      <c r="Q157" s="664"/>
      <c r="R157" s="664"/>
      <c r="S157" s="664"/>
      <c r="T157" s="664"/>
      <c r="U157" s="664"/>
      <c r="V157" s="66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9"/>
      <c r="P158" s="663" t="s">
        <v>71</v>
      </c>
      <c r="Q158" s="664"/>
      <c r="R158" s="664"/>
      <c r="S158" s="664"/>
      <c r="T158" s="664"/>
      <c r="U158" s="664"/>
      <c r="V158" s="66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59" t="s">
        <v>271</v>
      </c>
      <c r="B159" s="660"/>
      <c r="C159" s="660"/>
      <c r="D159" s="660"/>
      <c r="E159" s="660"/>
      <c r="F159" s="660"/>
      <c r="G159" s="660"/>
      <c r="H159" s="660"/>
      <c r="I159" s="660"/>
      <c r="J159" s="660"/>
      <c r="K159" s="660"/>
      <c r="L159" s="660"/>
      <c r="M159" s="660"/>
      <c r="N159" s="660"/>
      <c r="O159" s="660"/>
      <c r="P159" s="660"/>
      <c r="Q159" s="660"/>
      <c r="R159" s="660"/>
      <c r="S159" s="660"/>
      <c r="T159" s="660"/>
      <c r="U159" s="660"/>
      <c r="V159" s="660"/>
      <c r="W159" s="660"/>
      <c r="X159" s="660"/>
      <c r="Y159" s="660"/>
      <c r="Z159" s="660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51">
        <v>4680115889132</v>
      </c>
      <c r="E160" s="65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54"/>
      <c r="R160" s="654"/>
      <c r="S160" s="654"/>
      <c r="T160" s="655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68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9"/>
      <c r="P161" s="663" t="s">
        <v>71</v>
      </c>
      <c r="Q161" s="664"/>
      <c r="R161" s="664"/>
      <c r="S161" s="664"/>
      <c r="T161" s="664"/>
      <c r="U161" s="664"/>
      <c r="V161" s="66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9"/>
      <c r="P162" s="663" t="s">
        <v>71</v>
      </c>
      <c r="Q162" s="664"/>
      <c r="R162" s="664"/>
      <c r="S162" s="664"/>
      <c r="T162" s="664"/>
      <c r="U162" s="664"/>
      <c r="V162" s="66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72" t="s">
        <v>108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42"/>
      <c r="AB163" s="642"/>
      <c r="AC163" s="642"/>
    </row>
    <row r="164" spans="1:68" ht="14.25" hidden="1" customHeight="1" x14ac:dyDescent="0.25">
      <c r="A164" s="659" t="s">
        <v>110</v>
      </c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0"/>
      <c r="P164" s="660"/>
      <c r="Q164" s="660"/>
      <c r="R164" s="660"/>
      <c r="S164" s="660"/>
      <c r="T164" s="660"/>
      <c r="U164" s="660"/>
      <c r="V164" s="660"/>
      <c r="W164" s="660"/>
      <c r="X164" s="660"/>
      <c r="Y164" s="660"/>
      <c r="Z164" s="660"/>
      <c r="AA164" s="643"/>
      <c r="AB164" s="643"/>
      <c r="AC164" s="643"/>
    </row>
    <row r="165" spans="1:68" ht="27" customHeight="1" x14ac:dyDescent="0.25">
      <c r="A165" s="54" t="s">
        <v>278</v>
      </c>
      <c r="B165" s="54" t="s">
        <v>279</v>
      </c>
      <c r="C165" s="31">
        <v>4301012338</v>
      </c>
      <c r="D165" s="651">
        <v>4680115887374</v>
      </c>
      <c r="E165" s="65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8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54"/>
      <c r="R165" s="654"/>
      <c r="S165" s="654"/>
      <c r="T165" s="655"/>
      <c r="U165" s="34"/>
      <c r="V165" s="34"/>
      <c r="W165" s="35" t="s">
        <v>66</v>
      </c>
      <c r="X165" s="647">
        <v>9</v>
      </c>
      <c r="Y165" s="648">
        <f>IFERROR(IF(X165="",0,CEILING((X165/$H165),1)*$H165),"")</f>
        <v>12</v>
      </c>
      <c r="Z165" s="36">
        <f>IFERROR(IF(Y165=0,"",ROUNDUP(Y165/H165,0)*0.01196),"")</f>
        <v>2.392E-2</v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9.5250000000000004</v>
      </c>
      <c r="BN165" s="64">
        <f>IFERROR(Y165*I165/H165,"0")</f>
        <v>12.699999999999998</v>
      </c>
      <c r="BO165" s="64">
        <f>IFERROR(1/J165*(X165/H165),"0")</f>
        <v>1.4423076923076924E-2</v>
      </c>
      <c r="BP165" s="64">
        <f>IFERROR(1/J165*(Y165/H165),"0")</f>
        <v>1.9230769230769232E-2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51">
        <v>4607091384604</v>
      </c>
      <c r="E166" s="65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54"/>
      <c r="R166" s="654"/>
      <c r="S166" s="654"/>
      <c r="T166" s="655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51">
        <v>4607091384604</v>
      </c>
      <c r="E167" s="65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8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54"/>
      <c r="R167" s="654"/>
      <c r="S167" s="654"/>
      <c r="T167" s="655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51">
        <v>4680115888876</v>
      </c>
      <c r="E168" s="65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5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54"/>
      <c r="R168" s="654"/>
      <c r="S168" s="654"/>
      <c r="T168" s="655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68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9"/>
      <c r="P169" s="663" t="s">
        <v>71</v>
      </c>
      <c r="Q169" s="664"/>
      <c r="R169" s="664"/>
      <c r="S169" s="664"/>
      <c r="T169" s="664"/>
      <c r="U169" s="664"/>
      <c r="V169" s="665"/>
      <c r="W169" s="37" t="s">
        <v>72</v>
      </c>
      <c r="X169" s="649">
        <f>IFERROR(X165/H165,"0")+IFERROR(X166/H166,"0")+IFERROR(X167/H167,"0")+IFERROR(X168/H168,"0")</f>
        <v>1.5</v>
      </c>
      <c r="Y169" s="649">
        <f>IFERROR(Y165/H165,"0")+IFERROR(Y166/H166,"0")+IFERROR(Y167/H167,"0")+IFERROR(Y168/H168,"0")</f>
        <v>2</v>
      </c>
      <c r="Z169" s="649">
        <f>IFERROR(IF(Z165="",0,Z165),"0")+IFERROR(IF(Z166="",0,Z166),"0")+IFERROR(IF(Z167="",0,Z167),"0")+IFERROR(IF(Z168="",0,Z168),"0")</f>
        <v>2.392E-2</v>
      </c>
      <c r="AA169" s="650"/>
      <c r="AB169" s="650"/>
      <c r="AC169" s="650"/>
    </row>
    <row r="170" spans="1:68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9"/>
      <c r="P170" s="663" t="s">
        <v>71</v>
      </c>
      <c r="Q170" s="664"/>
      <c r="R170" s="664"/>
      <c r="S170" s="664"/>
      <c r="T170" s="664"/>
      <c r="U170" s="664"/>
      <c r="V170" s="665"/>
      <c r="W170" s="37" t="s">
        <v>66</v>
      </c>
      <c r="X170" s="649">
        <f>IFERROR(SUM(X165:X168),"0")</f>
        <v>9</v>
      </c>
      <c r="Y170" s="649">
        <f>IFERROR(SUM(Y165:Y168),"0")</f>
        <v>12</v>
      </c>
      <c r="Z170" s="37"/>
      <c r="AA170" s="650"/>
      <c r="AB170" s="650"/>
      <c r="AC170" s="650"/>
    </row>
    <row r="171" spans="1:68" ht="14.25" hidden="1" customHeight="1" x14ac:dyDescent="0.25">
      <c r="A171" s="659" t="s">
        <v>147</v>
      </c>
      <c r="B171" s="660"/>
      <c r="C171" s="660"/>
      <c r="D171" s="660"/>
      <c r="E171" s="660"/>
      <c r="F171" s="660"/>
      <c r="G171" s="660"/>
      <c r="H171" s="660"/>
      <c r="I171" s="660"/>
      <c r="J171" s="660"/>
      <c r="K171" s="660"/>
      <c r="L171" s="660"/>
      <c r="M171" s="660"/>
      <c r="N171" s="660"/>
      <c r="O171" s="660"/>
      <c r="P171" s="660"/>
      <c r="Q171" s="660"/>
      <c r="R171" s="660"/>
      <c r="S171" s="660"/>
      <c r="T171" s="660"/>
      <c r="U171" s="660"/>
      <c r="V171" s="660"/>
      <c r="W171" s="660"/>
      <c r="X171" s="660"/>
      <c r="Y171" s="660"/>
      <c r="Z171" s="660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51">
        <v>4680115887695</v>
      </c>
      <c r="E172" s="65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54"/>
      <c r="R172" s="654"/>
      <c r="S172" s="654"/>
      <c r="T172" s="655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51">
        <v>4680115889491</v>
      </c>
      <c r="E173" s="65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1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54"/>
      <c r="R173" s="654"/>
      <c r="S173" s="654"/>
      <c r="T173" s="655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68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9"/>
      <c r="P174" s="663" t="s">
        <v>71</v>
      </c>
      <c r="Q174" s="664"/>
      <c r="R174" s="664"/>
      <c r="S174" s="664"/>
      <c r="T174" s="664"/>
      <c r="U174" s="664"/>
      <c r="V174" s="66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9"/>
      <c r="P175" s="663" t="s">
        <v>71</v>
      </c>
      <c r="Q175" s="664"/>
      <c r="R175" s="664"/>
      <c r="S175" s="664"/>
      <c r="T175" s="664"/>
      <c r="U175" s="664"/>
      <c r="V175" s="66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59" t="s">
        <v>61</v>
      </c>
      <c r="B176" s="660"/>
      <c r="C176" s="660"/>
      <c r="D176" s="660"/>
      <c r="E176" s="660"/>
      <c r="F176" s="660"/>
      <c r="G176" s="660"/>
      <c r="H176" s="660"/>
      <c r="I176" s="660"/>
      <c r="J176" s="660"/>
      <c r="K176" s="660"/>
      <c r="L176" s="660"/>
      <c r="M176" s="660"/>
      <c r="N176" s="660"/>
      <c r="O176" s="660"/>
      <c r="P176" s="660"/>
      <c r="Q176" s="660"/>
      <c r="R176" s="660"/>
      <c r="S176" s="660"/>
      <c r="T176" s="660"/>
      <c r="U176" s="660"/>
      <c r="V176" s="660"/>
      <c r="W176" s="660"/>
      <c r="X176" s="660"/>
      <c r="Y176" s="660"/>
      <c r="Z176" s="660"/>
      <c r="AA176" s="643"/>
      <c r="AB176" s="643"/>
      <c r="AC176" s="643"/>
    </row>
    <row r="177" spans="1:68" ht="27" hidden="1" customHeight="1" x14ac:dyDescent="0.25">
      <c r="A177" s="54" t="s">
        <v>294</v>
      </c>
      <c r="B177" s="54" t="s">
        <v>295</v>
      </c>
      <c r="C177" s="31">
        <v>4301031496</v>
      </c>
      <c r="D177" s="651">
        <v>4680115887428</v>
      </c>
      <c r="E177" s="65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2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4"/>
      <c r="R177" s="654"/>
      <c r="S177" s="654"/>
      <c r="T177" s="655"/>
      <c r="U177" s="34"/>
      <c r="V177" s="34"/>
      <c r="W177" s="35" t="s">
        <v>66</v>
      </c>
      <c r="X177" s="647">
        <v>0</v>
      </c>
      <c r="Y177" s="648">
        <f t="shared" ref="Y177:Y187" si="16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0</v>
      </c>
      <c r="BN177" s="64">
        <f t="shared" ref="BN177:BN187" si="18">IFERROR(Y177*I177/H177,"0")</f>
        <v>0</v>
      </c>
      <c r="BO177" s="64">
        <f t="shared" ref="BO177:BO187" si="19">IFERROR(1/J177*(X177/H177),"0")</f>
        <v>0</v>
      </c>
      <c r="BP177" s="64">
        <f t="shared" ref="BP177:BP187" si="20">IFERROR(1/J177*(Y177/H177),"0")</f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51">
        <v>4680115889170</v>
      </c>
      <c r="E178" s="65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4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4"/>
      <c r="R178" s="654"/>
      <c r="S178" s="654"/>
      <c r="T178" s="655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4301031522</v>
      </c>
      <c r="D179" s="651">
        <v>4680115887398</v>
      </c>
      <c r="E179" s="65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4"/>
      <c r="R179" s="654"/>
      <c r="S179" s="654"/>
      <c r="T179" s="655"/>
      <c r="U179" s="34"/>
      <c r="V179" s="34"/>
      <c r="W179" s="35" t="s">
        <v>66</v>
      </c>
      <c r="X179" s="647">
        <v>96</v>
      </c>
      <c r="Y179" s="648">
        <f t="shared" si="16"/>
        <v>98</v>
      </c>
      <c r="Z179" s="36">
        <f>IFERROR(IF(Y179=0,"",ROUNDUP(Y179/H179,0)*0.00902),"")</f>
        <v>0.25256000000000001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101.21142857142857</v>
      </c>
      <c r="BN179" s="64">
        <f t="shared" si="18"/>
        <v>103.32000000000001</v>
      </c>
      <c r="BO179" s="64">
        <f t="shared" si="19"/>
        <v>0.20779220779220778</v>
      </c>
      <c r="BP179" s="64">
        <f t="shared" si="20"/>
        <v>0.21212121212121213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51">
        <v>4680115887336</v>
      </c>
      <c r="E180" s="65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4"/>
      <c r="R180" s="654"/>
      <c r="S180" s="654"/>
      <c r="T180" s="655"/>
      <c r="U180" s="34"/>
      <c r="V180" s="34"/>
      <c r="W180" s="35" t="s">
        <v>66</v>
      </c>
      <c r="X180" s="647">
        <v>121</v>
      </c>
      <c r="Y180" s="648">
        <f t="shared" si="16"/>
        <v>122.5</v>
      </c>
      <c r="Z180" s="36">
        <f>IFERROR(IF(Y180=0,"",ROUNDUP(Y180/H180,0)*0.00902),"")</f>
        <v>0.31569999999999998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127.56857142857143</v>
      </c>
      <c r="BN180" s="64">
        <f t="shared" si="18"/>
        <v>129.15</v>
      </c>
      <c r="BO180" s="64">
        <f t="shared" si="19"/>
        <v>0.26190476190476192</v>
      </c>
      <c r="BP180" s="64">
        <f t="shared" si="20"/>
        <v>0.26515151515151514</v>
      </c>
    </row>
    <row r="181" spans="1:68" ht="16.5" hidden="1" customHeight="1" x14ac:dyDescent="0.25">
      <c r="A181" s="54" t="s">
        <v>306</v>
      </c>
      <c r="B181" s="54" t="s">
        <v>307</v>
      </c>
      <c r="C181" s="31">
        <v>4301032049</v>
      </c>
      <c r="D181" s="651">
        <v>4680115887787</v>
      </c>
      <c r="E181" s="65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8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4"/>
      <c r="R181" s="654"/>
      <c r="S181" s="654"/>
      <c r="T181" s="655"/>
      <c r="U181" s="34"/>
      <c r="V181" s="34"/>
      <c r="W181" s="35" t="s">
        <v>66</v>
      </c>
      <c r="X181" s="647">
        <v>0</v>
      </c>
      <c r="Y181" s="648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51">
        <v>4680115887787</v>
      </c>
      <c r="E182" s="65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54"/>
      <c r="R182" s="654"/>
      <c r="S182" s="654"/>
      <c r="T182" s="655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4301031448</v>
      </c>
      <c r="D183" s="651">
        <v>4680115887503</v>
      </c>
      <c r="E183" s="65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54"/>
      <c r="R183" s="654"/>
      <c r="S183" s="654"/>
      <c r="T183" s="655"/>
      <c r="U183" s="34"/>
      <c r="V183" s="34"/>
      <c r="W183" s="35" t="s">
        <v>66</v>
      </c>
      <c r="X183" s="647">
        <v>54</v>
      </c>
      <c r="Y183" s="648">
        <f t="shared" si="16"/>
        <v>55.44</v>
      </c>
      <c r="Z183" s="36">
        <f>IFERROR(IF(Y183=0,"",ROUNDUP(Y183/H183,0)*0.00502),"")</f>
        <v>0.16566</v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57.214285714285722</v>
      </c>
      <c r="BN183" s="64">
        <f t="shared" si="18"/>
        <v>58.74</v>
      </c>
      <c r="BO183" s="64">
        <f t="shared" si="19"/>
        <v>0.1373626373626374</v>
      </c>
      <c r="BP183" s="64">
        <f t="shared" si="20"/>
        <v>0.14102564102564105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4301031389</v>
      </c>
      <c r="D184" s="651">
        <v>4680115887763</v>
      </c>
      <c r="E184" s="65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4"/>
      <c r="R184" s="654"/>
      <c r="S184" s="654"/>
      <c r="T184" s="655"/>
      <c r="U184" s="34"/>
      <c r="V184" s="34"/>
      <c r="W184" s="35" t="s">
        <v>66</v>
      </c>
      <c r="X184" s="647">
        <v>0</v>
      </c>
      <c r="Y184" s="648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4301031521</v>
      </c>
      <c r="D185" s="651">
        <v>4680115887480</v>
      </c>
      <c r="E185" s="65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4"/>
      <c r="R185" s="654"/>
      <c r="S185" s="654"/>
      <c r="T185" s="655"/>
      <c r="U185" s="34"/>
      <c r="V185" s="34"/>
      <c r="W185" s="35" t="s">
        <v>66</v>
      </c>
      <c r="X185" s="647">
        <v>40</v>
      </c>
      <c r="Y185" s="648">
        <f t="shared" si="16"/>
        <v>40.32</v>
      </c>
      <c r="Z185" s="36">
        <f>IFERROR(IF(Y185=0,"",ROUNDUP(Y185/H185,0)*0.00502),"")</f>
        <v>0.12048</v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42.380952380952387</v>
      </c>
      <c r="BN185" s="64">
        <f t="shared" si="18"/>
        <v>42.72</v>
      </c>
      <c r="BO185" s="64">
        <f t="shared" si="19"/>
        <v>0.10175010175010177</v>
      </c>
      <c r="BP185" s="64">
        <f t="shared" si="20"/>
        <v>0.10256410256410257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51">
        <v>4680115888067</v>
      </c>
      <c r="E186" s="65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4"/>
      <c r="R186" s="654"/>
      <c r="S186" s="654"/>
      <c r="T186" s="655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4301031519</v>
      </c>
      <c r="D187" s="651">
        <v>4680115887435</v>
      </c>
      <c r="E187" s="65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4"/>
      <c r="R187" s="654"/>
      <c r="S187" s="654"/>
      <c r="T187" s="655"/>
      <c r="U187" s="34"/>
      <c r="V187" s="34"/>
      <c r="W187" s="35" t="s">
        <v>66</v>
      </c>
      <c r="X187" s="647">
        <v>40</v>
      </c>
      <c r="Y187" s="648">
        <f t="shared" si="16"/>
        <v>40.32</v>
      </c>
      <c r="Z187" s="36">
        <f>IFERROR(IF(Y187=0,"",ROUNDUP(Y187/H187,0)*0.00502),"")</f>
        <v>0.12048</v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42.380952380952387</v>
      </c>
      <c r="BN187" s="64">
        <f t="shared" si="18"/>
        <v>42.72</v>
      </c>
      <c r="BO187" s="64">
        <f t="shared" si="19"/>
        <v>0.10175010175010177</v>
      </c>
      <c r="BP187" s="64">
        <f t="shared" si="20"/>
        <v>0.10256410256410257</v>
      </c>
    </row>
    <row r="188" spans="1:68" x14ac:dyDescent="0.2">
      <c r="A188" s="668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9"/>
      <c r="P188" s="663" t="s">
        <v>71</v>
      </c>
      <c r="Q188" s="664"/>
      <c r="R188" s="664"/>
      <c r="S188" s="664"/>
      <c r="T188" s="664"/>
      <c r="U188" s="664"/>
      <c r="V188" s="66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141.76190476190476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144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0.97488000000000008</v>
      </c>
      <c r="AA188" s="650"/>
      <c r="AB188" s="650"/>
      <c r="AC188" s="650"/>
    </row>
    <row r="189" spans="1:68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9"/>
      <c r="P189" s="663" t="s">
        <v>71</v>
      </c>
      <c r="Q189" s="664"/>
      <c r="R189" s="664"/>
      <c r="S189" s="664"/>
      <c r="T189" s="664"/>
      <c r="U189" s="664"/>
      <c r="V189" s="665"/>
      <c r="W189" s="37" t="s">
        <v>66</v>
      </c>
      <c r="X189" s="649">
        <f>IFERROR(SUM(X177:X187),"0")</f>
        <v>351</v>
      </c>
      <c r="Y189" s="649">
        <f>IFERROR(SUM(Y177:Y187),"0")</f>
        <v>356.58</v>
      </c>
      <c r="Z189" s="37"/>
      <c r="AA189" s="650"/>
      <c r="AB189" s="650"/>
      <c r="AC189" s="650"/>
    </row>
    <row r="190" spans="1:68" ht="14.25" hidden="1" customHeight="1" x14ac:dyDescent="0.25">
      <c r="A190" s="659" t="s">
        <v>73</v>
      </c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0"/>
      <c r="P190" s="660"/>
      <c r="Q190" s="660"/>
      <c r="R190" s="660"/>
      <c r="S190" s="660"/>
      <c r="T190" s="660"/>
      <c r="U190" s="660"/>
      <c r="V190" s="660"/>
      <c r="W190" s="660"/>
      <c r="X190" s="660"/>
      <c r="Y190" s="660"/>
      <c r="Z190" s="660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51">
        <v>4680115888395</v>
      </c>
      <c r="E191" s="65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4"/>
      <c r="R191" s="654"/>
      <c r="S191" s="654"/>
      <c r="T191" s="655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51">
        <v>4680115888371</v>
      </c>
      <c r="E192" s="65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4"/>
      <c r="R192" s="654"/>
      <c r="S192" s="654"/>
      <c r="T192" s="655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51">
        <v>4680115887459</v>
      </c>
      <c r="E193" s="65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4"/>
      <c r="R193" s="654"/>
      <c r="S193" s="654"/>
      <c r="T193" s="655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68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9"/>
      <c r="P194" s="663" t="s">
        <v>71</v>
      </c>
      <c r="Q194" s="664"/>
      <c r="R194" s="664"/>
      <c r="S194" s="664"/>
      <c r="T194" s="664"/>
      <c r="U194" s="664"/>
      <c r="V194" s="66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9"/>
      <c r="P195" s="663" t="s">
        <v>71</v>
      </c>
      <c r="Q195" s="664"/>
      <c r="R195" s="664"/>
      <c r="S195" s="664"/>
      <c r="T195" s="664"/>
      <c r="U195" s="664"/>
      <c r="V195" s="66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59" t="s">
        <v>271</v>
      </c>
      <c r="B196" s="660"/>
      <c r="C196" s="660"/>
      <c r="D196" s="660"/>
      <c r="E196" s="660"/>
      <c r="F196" s="660"/>
      <c r="G196" s="660"/>
      <c r="H196" s="660"/>
      <c r="I196" s="660"/>
      <c r="J196" s="660"/>
      <c r="K196" s="660"/>
      <c r="L196" s="660"/>
      <c r="M196" s="660"/>
      <c r="N196" s="660"/>
      <c r="O196" s="660"/>
      <c r="P196" s="660"/>
      <c r="Q196" s="660"/>
      <c r="R196" s="660"/>
      <c r="S196" s="660"/>
      <c r="T196" s="660"/>
      <c r="U196" s="660"/>
      <c r="V196" s="660"/>
      <c r="W196" s="660"/>
      <c r="X196" s="660"/>
      <c r="Y196" s="660"/>
      <c r="Z196" s="660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51">
        <v>4680115889026</v>
      </c>
      <c r="E197" s="65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80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4"/>
      <c r="R197" s="654"/>
      <c r="S197" s="654"/>
      <c r="T197" s="655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68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9"/>
      <c r="P198" s="663" t="s">
        <v>71</v>
      </c>
      <c r="Q198" s="664"/>
      <c r="R198" s="664"/>
      <c r="S198" s="664"/>
      <c r="T198" s="664"/>
      <c r="U198" s="664"/>
      <c r="V198" s="66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9"/>
      <c r="P199" s="663" t="s">
        <v>71</v>
      </c>
      <c r="Q199" s="664"/>
      <c r="R199" s="664"/>
      <c r="S199" s="664"/>
      <c r="T199" s="664"/>
      <c r="U199" s="664"/>
      <c r="V199" s="66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59" t="s">
        <v>336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51">
        <v>4680115889033</v>
      </c>
      <c r="E201" s="65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54"/>
      <c r="R201" s="654"/>
      <c r="S201" s="654"/>
      <c r="T201" s="655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68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9"/>
      <c r="P202" s="663" t="s">
        <v>71</v>
      </c>
      <c r="Q202" s="664"/>
      <c r="R202" s="664"/>
      <c r="S202" s="664"/>
      <c r="T202" s="664"/>
      <c r="U202" s="664"/>
      <c r="V202" s="66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9"/>
      <c r="P203" s="663" t="s">
        <v>71</v>
      </c>
      <c r="Q203" s="664"/>
      <c r="R203" s="664"/>
      <c r="S203" s="664"/>
      <c r="T203" s="664"/>
      <c r="U203" s="664"/>
      <c r="V203" s="66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61" t="s">
        <v>340</v>
      </c>
      <c r="B204" s="662"/>
      <c r="C204" s="662"/>
      <c r="D204" s="662"/>
      <c r="E204" s="662"/>
      <c r="F204" s="662"/>
      <c r="G204" s="662"/>
      <c r="H204" s="662"/>
      <c r="I204" s="662"/>
      <c r="J204" s="662"/>
      <c r="K204" s="662"/>
      <c r="L204" s="662"/>
      <c r="M204" s="662"/>
      <c r="N204" s="662"/>
      <c r="O204" s="662"/>
      <c r="P204" s="662"/>
      <c r="Q204" s="662"/>
      <c r="R204" s="662"/>
      <c r="S204" s="662"/>
      <c r="T204" s="662"/>
      <c r="U204" s="662"/>
      <c r="V204" s="662"/>
      <c r="W204" s="662"/>
      <c r="X204" s="662"/>
      <c r="Y204" s="662"/>
      <c r="Z204" s="662"/>
      <c r="AA204" s="48"/>
      <c r="AB204" s="48"/>
      <c r="AC204" s="48"/>
    </row>
    <row r="205" spans="1:68" ht="16.5" hidden="1" customHeight="1" x14ac:dyDescent="0.25">
      <c r="A205" s="672" t="s">
        <v>341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42"/>
      <c r="AB205" s="642"/>
      <c r="AC205" s="642"/>
    </row>
    <row r="206" spans="1:68" ht="14.25" hidden="1" customHeight="1" x14ac:dyDescent="0.25">
      <c r="A206" s="659" t="s">
        <v>110</v>
      </c>
      <c r="B206" s="660"/>
      <c r="C206" s="660"/>
      <c r="D206" s="660"/>
      <c r="E206" s="660"/>
      <c r="F206" s="660"/>
      <c r="G206" s="660"/>
      <c r="H206" s="660"/>
      <c r="I206" s="660"/>
      <c r="J206" s="660"/>
      <c r="K206" s="660"/>
      <c r="L206" s="660"/>
      <c r="M206" s="660"/>
      <c r="N206" s="660"/>
      <c r="O206" s="660"/>
      <c r="P206" s="660"/>
      <c r="Q206" s="660"/>
      <c r="R206" s="660"/>
      <c r="S206" s="660"/>
      <c r="T206" s="660"/>
      <c r="U206" s="660"/>
      <c r="V206" s="660"/>
      <c r="W206" s="660"/>
      <c r="X206" s="660"/>
      <c r="Y206" s="660"/>
      <c r="Z206" s="660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51">
        <v>4607091383423</v>
      </c>
      <c r="E207" s="65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54"/>
      <c r="R207" s="654"/>
      <c r="S207" s="654"/>
      <c r="T207" s="655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51">
        <v>4680115888760</v>
      </c>
      <c r="E208" s="65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54"/>
      <c r="R208" s="654"/>
      <c r="S208" s="654"/>
      <c r="T208" s="655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51">
        <v>4680115888807</v>
      </c>
      <c r="E209" s="65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54"/>
      <c r="R209" s="654"/>
      <c r="S209" s="654"/>
      <c r="T209" s="655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51">
        <v>4680115888852</v>
      </c>
      <c r="E210" s="65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54"/>
      <c r="R210" s="654"/>
      <c r="S210" s="654"/>
      <c r="T210" s="655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51">
        <v>4680115886957</v>
      </c>
      <c r="E211" s="65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54"/>
      <c r="R211" s="654"/>
      <c r="S211" s="654"/>
      <c r="T211" s="655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51">
        <v>4680115885660</v>
      </c>
      <c r="E212" s="65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54"/>
      <c r="R212" s="654"/>
      <c r="S212" s="654"/>
      <c r="T212" s="655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51">
        <v>4680115886773</v>
      </c>
      <c r="E213" s="65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54"/>
      <c r="R213" s="654"/>
      <c r="S213" s="654"/>
      <c r="T213" s="655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68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9"/>
      <c r="P214" s="663" t="s">
        <v>71</v>
      </c>
      <c r="Q214" s="664"/>
      <c r="R214" s="664"/>
      <c r="S214" s="664"/>
      <c r="T214" s="664"/>
      <c r="U214" s="664"/>
      <c r="V214" s="66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9"/>
      <c r="P215" s="663" t="s">
        <v>71</v>
      </c>
      <c r="Q215" s="664"/>
      <c r="R215" s="664"/>
      <c r="S215" s="664"/>
      <c r="T215" s="664"/>
      <c r="U215" s="664"/>
      <c r="V215" s="66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72" t="s">
        <v>362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42"/>
      <c r="AB216" s="642"/>
      <c r="AC216" s="642"/>
    </row>
    <row r="217" spans="1:68" ht="14.25" hidden="1" customHeight="1" x14ac:dyDescent="0.25">
      <c r="A217" s="659" t="s">
        <v>147</v>
      </c>
      <c r="B217" s="660"/>
      <c r="C217" s="660"/>
      <c r="D217" s="660"/>
      <c r="E217" s="660"/>
      <c r="F217" s="660"/>
      <c r="G217" s="660"/>
      <c r="H217" s="660"/>
      <c r="I217" s="660"/>
      <c r="J217" s="660"/>
      <c r="K217" s="660"/>
      <c r="L217" s="660"/>
      <c r="M217" s="660"/>
      <c r="N217" s="660"/>
      <c r="O217" s="660"/>
      <c r="P217" s="660"/>
      <c r="Q217" s="660"/>
      <c r="R217" s="660"/>
      <c r="S217" s="660"/>
      <c r="T217" s="660"/>
      <c r="U217" s="660"/>
      <c r="V217" s="660"/>
      <c r="W217" s="660"/>
      <c r="X217" s="660"/>
      <c r="Y217" s="660"/>
      <c r="Z217" s="660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51">
        <v>4680115886223</v>
      </c>
      <c r="E218" s="65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54"/>
      <c r="R218" s="654"/>
      <c r="S218" s="654"/>
      <c r="T218" s="655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68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9"/>
      <c r="P219" s="663" t="s">
        <v>71</v>
      </c>
      <c r="Q219" s="664"/>
      <c r="R219" s="664"/>
      <c r="S219" s="664"/>
      <c r="T219" s="664"/>
      <c r="U219" s="664"/>
      <c r="V219" s="66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9"/>
      <c r="P220" s="663" t="s">
        <v>71</v>
      </c>
      <c r="Q220" s="664"/>
      <c r="R220" s="664"/>
      <c r="S220" s="664"/>
      <c r="T220" s="664"/>
      <c r="U220" s="664"/>
      <c r="V220" s="66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59" t="s">
        <v>61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51">
        <v>4680115880993</v>
      </c>
      <c r="E222" s="65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54"/>
      <c r="R222" s="654"/>
      <c r="S222" s="654"/>
      <c r="T222" s="655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51">
        <v>4680115881761</v>
      </c>
      <c r="E223" s="65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54"/>
      <c r="R223" s="654"/>
      <c r="S223" s="654"/>
      <c r="T223" s="655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4301031201</v>
      </c>
      <c r="D224" s="651">
        <v>4680115881563</v>
      </c>
      <c r="E224" s="65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54"/>
      <c r="R224" s="654"/>
      <c r="S224" s="654"/>
      <c r="T224" s="655"/>
      <c r="U224" s="34"/>
      <c r="V224" s="34"/>
      <c r="W224" s="35" t="s">
        <v>66</v>
      </c>
      <c r="X224" s="647">
        <v>96</v>
      </c>
      <c r="Y224" s="648">
        <f t="shared" si="27"/>
        <v>96.600000000000009</v>
      </c>
      <c r="Z224" s="36">
        <f>IFERROR(IF(Y224=0,"",ROUNDUP(Y224/H224,0)*0.00902),"")</f>
        <v>0.20746000000000001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100.34285714285713</v>
      </c>
      <c r="BN224" s="64">
        <f t="shared" si="29"/>
        <v>100.97</v>
      </c>
      <c r="BO224" s="64">
        <f t="shared" si="30"/>
        <v>0.17316017316017318</v>
      </c>
      <c r="BP224" s="64">
        <f t="shared" si="31"/>
        <v>0.17424242424242425</v>
      </c>
    </row>
    <row r="225" spans="1:68" ht="37.5" hidden="1" customHeight="1" x14ac:dyDescent="0.25">
      <c r="A225" s="54" t="s">
        <v>375</v>
      </c>
      <c r="B225" s="54" t="s">
        <v>376</v>
      </c>
      <c r="C225" s="31">
        <v>4301031447</v>
      </c>
      <c r="D225" s="651">
        <v>4680115887565</v>
      </c>
      <c r="E225" s="65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1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54"/>
      <c r="R225" s="654"/>
      <c r="S225" s="654"/>
      <c r="T225" s="655"/>
      <c r="U225" s="34"/>
      <c r="V225" s="34"/>
      <c r="W225" s="35" t="s">
        <v>66</v>
      </c>
      <c r="X225" s="647">
        <v>0</v>
      </c>
      <c r="Y225" s="648">
        <f t="shared" si="27"/>
        <v>0</v>
      </c>
      <c r="Z225" s="36" t="str">
        <f>IFERROR(IF(Y225=0,"",ROUNDUP(Y225/H225,0)*0.00556),"")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4301031199</v>
      </c>
      <c r="D226" s="651">
        <v>4680115880986</v>
      </c>
      <c r="E226" s="65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9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54"/>
      <c r="R226" s="654"/>
      <c r="S226" s="654"/>
      <c r="T226" s="655"/>
      <c r="U226" s="34"/>
      <c r="V226" s="34"/>
      <c r="W226" s="35" t="s">
        <v>66</v>
      </c>
      <c r="X226" s="647">
        <v>0</v>
      </c>
      <c r="Y226" s="648">
        <f t="shared" si="27"/>
        <v>0</v>
      </c>
      <c r="Z226" s="36" t="str">
        <f t="shared" ref="Z226:Z231" si="32">IFERROR(IF(Y226=0,"",ROUNDUP(Y226/H226,0)*0.00502),"")</f>
        <v/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51">
        <v>4680115887213</v>
      </c>
      <c r="E227" s="65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54"/>
      <c r="R227" s="654"/>
      <c r="S227" s="654"/>
      <c r="T227" s="655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51">
        <v>4680115881785</v>
      </c>
      <c r="E228" s="65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54"/>
      <c r="R228" s="654"/>
      <c r="S228" s="654"/>
      <c r="T228" s="655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51">
        <v>4680115888432</v>
      </c>
      <c r="E229" s="65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54"/>
      <c r="R229" s="654"/>
      <c r="S229" s="654"/>
      <c r="T229" s="655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51">
        <v>4680115888104</v>
      </c>
      <c r="E230" s="65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54"/>
      <c r="R230" s="654"/>
      <c r="S230" s="654"/>
      <c r="T230" s="655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4301031503</v>
      </c>
      <c r="D231" s="651">
        <v>4680115886537</v>
      </c>
      <c r="E231" s="65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54"/>
      <c r="R231" s="654"/>
      <c r="S231" s="654"/>
      <c r="T231" s="655"/>
      <c r="U231" s="34"/>
      <c r="V231" s="34"/>
      <c r="W231" s="35" t="s">
        <v>66</v>
      </c>
      <c r="X231" s="647">
        <v>0</v>
      </c>
      <c r="Y231" s="648">
        <f t="shared" si="27"/>
        <v>0</v>
      </c>
      <c r="Z231" s="36" t="str">
        <f t="shared" si="32"/>
        <v/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4301031279</v>
      </c>
      <c r="D232" s="651">
        <v>4680115887596</v>
      </c>
      <c r="E232" s="65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54"/>
      <c r="R232" s="654"/>
      <c r="S232" s="654"/>
      <c r="T232" s="655"/>
      <c r="U232" s="34"/>
      <c r="V232" s="34"/>
      <c r="W232" s="35" t="s">
        <v>66</v>
      </c>
      <c r="X232" s="647">
        <v>0</v>
      </c>
      <c r="Y232" s="648">
        <f t="shared" si="27"/>
        <v>0</v>
      </c>
      <c r="Z232" s="36" t="str">
        <f>IFERROR(IF(Y232=0,"",ROUNDUP(Y232/H232,0)*0.00417),"")</f>
        <v/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37.5" customHeight="1" x14ac:dyDescent="0.25">
      <c r="A233" s="54" t="s">
        <v>397</v>
      </c>
      <c r="B233" s="54" t="s">
        <v>398</v>
      </c>
      <c r="C233" s="31">
        <v>4301031530</v>
      </c>
      <c r="D233" s="651">
        <v>4680115881679</v>
      </c>
      <c r="E233" s="65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6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54"/>
      <c r="R233" s="654"/>
      <c r="S233" s="654"/>
      <c r="T233" s="655"/>
      <c r="U233" s="34"/>
      <c r="V233" s="34"/>
      <c r="W233" s="35" t="s">
        <v>66</v>
      </c>
      <c r="X233" s="647">
        <v>20</v>
      </c>
      <c r="Y233" s="648">
        <f t="shared" si="27"/>
        <v>21</v>
      </c>
      <c r="Z233" s="36">
        <f>IFERROR(IF(Y233=0,"",ROUNDUP(Y233/H233,0)*0.00502),"")</f>
        <v>5.0200000000000002E-2</v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20.952380952380953</v>
      </c>
      <c r="BN233" s="64">
        <f t="shared" si="29"/>
        <v>22</v>
      </c>
      <c r="BO233" s="64">
        <f t="shared" si="30"/>
        <v>4.0700040700040706E-2</v>
      </c>
      <c r="BP233" s="64">
        <f t="shared" si="31"/>
        <v>4.2735042735042736E-2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51">
        <v>4680115880191</v>
      </c>
      <c r="E234" s="65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54"/>
      <c r="R234" s="654"/>
      <c r="S234" s="654"/>
      <c r="T234" s="655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51">
        <v>4680115880191</v>
      </c>
      <c r="E235" s="65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7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54"/>
      <c r="R235" s="654"/>
      <c r="S235" s="654"/>
      <c r="T235" s="655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51">
        <v>4680115883963</v>
      </c>
      <c r="E236" s="65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4"/>
      <c r="R236" s="654"/>
      <c r="S236" s="654"/>
      <c r="T236" s="655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68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9"/>
      <c r="P237" s="663" t="s">
        <v>71</v>
      </c>
      <c r="Q237" s="664"/>
      <c r="R237" s="664"/>
      <c r="S237" s="664"/>
      <c r="T237" s="664"/>
      <c r="U237" s="664"/>
      <c r="V237" s="66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32.38095238095238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33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0.25766</v>
      </c>
      <c r="AA237" s="650"/>
      <c r="AB237" s="650"/>
      <c r="AC237" s="650"/>
    </row>
    <row r="238" spans="1:68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9"/>
      <c r="P238" s="663" t="s">
        <v>71</v>
      </c>
      <c r="Q238" s="664"/>
      <c r="R238" s="664"/>
      <c r="S238" s="664"/>
      <c r="T238" s="664"/>
      <c r="U238" s="664"/>
      <c r="V238" s="665"/>
      <c r="W238" s="37" t="s">
        <v>66</v>
      </c>
      <c r="X238" s="649">
        <f>IFERROR(SUM(X222:X236),"0")</f>
        <v>116</v>
      </c>
      <c r="Y238" s="649">
        <f>IFERROR(SUM(Y222:Y236),"0")</f>
        <v>117.60000000000001</v>
      </c>
      <c r="Z238" s="37"/>
      <c r="AA238" s="650"/>
      <c r="AB238" s="650"/>
      <c r="AC238" s="650"/>
    </row>
    <row r="239" spans="1:68" ht="14.25" hidden="1" customHeight="1" x14ac:dyDescent="0.25">
      <c r="A239" s="659" t="s">
        <v>73</v>
      </c>
      <c r="B239" s="660"/>
      <c r="C239" s="660"/>
      <c r="D239" s="660"/>
      <c r="E239" s="660"/>
      <c r="F239" s="660"/>
      <c r="G239" s="660"/>
      <c r="H239" s="660"/>
      <c r="I239" s="660"/>
      <c r="J239" s="660"/>
      <c r="K239" s="660"/>
      <c r="L239" s="660"/>
      <c r="M239" s="660"/>
      <c r="N239" s="660"/>
      <c r="O239" s="660"/>
      <c r="P239" s="660"/>
      <c r="Q239" s="660"/>
      <c r="R239" s="660"/>
      <c r="S239" s="660"/>
      <c r="T239" s="660"/>
      <c r="U239" s="660"/>
      <c r="V239" s="660"/>
      <c r="W239" s="660"/>
      <c r="X239" s="660"/>
      <c r="Y239" s="660"/>
      <c r="Z239" s="660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51">
        <v>4680115888692</v>
      </c>
      <c r="E240" s="65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4"/>
      <c r="R240" s="654"/>
      <c r="S240" s="654"/>
      <c r="T240" s="655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51">
        <v>4680115888692</v>
      </c>
      <c r="E241" s="65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4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54"/>
      <c r="R241" s="654"/>
      <c r="S241" s="654"/>
      <c r="T241" s="655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51">
        <v>4680115888722</v>
      </c>
      <c r="E242" s="65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54"/>
      <c r="R242" s="654"/>
      <c r="S242" s="654"/>
      <c r="T242" s="655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51">
        <v>4680115888722</v>
      </c>
      <c r="E243" s="65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100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54"/>
      <c r="R243" s="654"/>
      <c r="S243" s="654"/>
      <c r="T243" s="655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51">
        <v>4680115888951</v>
      </c>
      <c r="E244" s="65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5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54"/>
      <c r="R244" s="654"/>
      <c r="S244" s="654"/>
      <c r="T244" s="655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51">
        <v>4680115888951</v>
      </c>
      <c r="E245" s="65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54"/>
      <c r="R245" s="654"/>
      <c r="S245" s="654"/>
      <c r="T245" s="655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51">
        <v>4680115888975</v>
      </c>
      <c r="E246" s="65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54"/>
      <c r="R246" s="654"/>
      <c r="S246" s="654"/>
      <c r="T246" s="655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51">
        <v>4680115888982</v>
      </c>
      <c r="E247" s="65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4"/>
      <c r="R247" s="654"/>
      <c r="S247" s="654"/>
      <c r="T247" s="655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51">
        <v>4680115888982</v>
      </c>
      <c r="E248" s="65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54"/>
      <c r="R248" s="654"/>
      <c r="S248" s="654"/>
      <c r="T248" s="655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68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9"/>
      <c r="P249" s="663" t="s">
        <v>71</v>
      </c>
      <c r="Q249" s="664"/>
      <c r="R249" s="664"/>
      <c r="S249" s="664"/>
      <c r="T249" s="664"/>
      <c r="U249" s="664"/>
      <c r="V249" s="66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9"/>
      <c r="P250" s="663" t="s">
        <v>71</v>
      </c>
      <c r="Q250" s="664"/>
      <c r="R250" s="664"/>
      <c r="S250" s="664"/>
      <c r="T250" s="664"/>
      <c r="U250" s="664"/>
      <c r="V250" s="66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59" t="s">
        <v>271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51">
        <v>4680115886780</v>
      </c>
      <c r="E252" s="65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54"/>
      <c r="R252" s="654"/>
      <c r="S252" s="654"/>
      <c r="T252" s="655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428</v>
      </c>
      <c r="B253" s="54" t="s">
        <v>429</v>
      </c>
      <c r="C253" s="31">
        <v>4301032051</v>
      </c>
      <c r="D253" s="651">
        <v>4680115886742</v>
      </c>
      <c r="E253" s="65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54"/>
      <c r="R253" s="654"/>
      <c r="S253" s="654"/>
      <c r="T253" s="655"/>
      <c r="U253" s="34"/>
      <c r="V253" s="34"/>
      <c r="W253" s="35" t="s">
        <v>66</v>
      </c>
      <c r="X253" s="647">
        <v>0</v>
      </c>
      <c r="Y253" s="6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431</v>
      </c>
      <c r="B254" s="54" t="s">
        <v>432</v>
      </c>
      <c r="C254" s="31">
        <v>4301032052</v>
      </c>
      <c r="D254" s="651">
        <v>4680115886766</v>
      </c>
      <c r="E254" s="65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8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54"/>
      <c r="R254" s="654"/>
      <c r="S254" s="654"/>
      <c r="T254" s="655"/>
      <c r="U254" s="34"/>
      <c r="V254" s="34"/>
      <c r="W254" s="35" t="s">
        <v>66</v>
      </c>
      <c r="X254" s="647">
        <v>0</v>
      </c>
      <c r="Y254" s="6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68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9"/>
      <c r="P255" s="663" t="s">
        <v>71</v>
      </c>
      <c r="Q255" s="664"/>
      <c r="R255" s="664"/>
      <c r="S255" s="664"/>
      <c r="T255" s="664"/>
      <c r="U255" s="664"/>
      <c r="V255" s="665"/>
      <c r="W255" s="37" t="s">
        <v>72</v>
      </c>
      <c r="X255" s="649">
        <f>IFERROR(X252/H252,"0")+IFERROR(X253/H253,"0")+IFERROR(X254/H254,"0")</f>
        <v>0</v>
      </c>
      <c r="Y255" s="649">
        <f>IFERROR(Y252/H252,"0")+IFERROR(Y253/H253,"0")+IFERROR(Y254/H254,"0")</f>
        <v>0</v>
      </c>
      <c r="Z255" s="649">
        <f>IFERROR(IF(Z252="",0,Z252),"0")+IFERROR(IF(Z253="",0,Z253),"0")+IFERROR(IF(Z254="",0,Z254),"0")</f>
        <v>0</v>
      </c>
      <c r="AA255" s="650"/>
      <c r="AB255" s="650"/>
      <c r="AC255" s="650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9"/>
      <c r="P256" s="663" t="s">
        <v>71</v>
      </c>
      <c r="Q256" s="664"/>
      <c r="R256" s="664"/>
      <c r="S256" s="664"/>
      <c r="T256" s="664"/>
      <c r="U256" s="664"/>
      <c r="V256" s="665"/>
      <c r="W256" s="37" t="s">
        <v>66</v>
      </c>
      <c r="X256" s="649">
        <f>IFERROR(SUM(X252:X254),"0")</f>
        <v>0</v>
      </c>
      <c r="Y256" s="649">
        <f>IFERROR(SUM(Y252:Y254),"0")</f>
        <v>0</v>
      </c>
      <c r="Z256" s="37"/>
      <c r="AA256" s="650"/>
      <c r="AB256" s="650"/>
      <c r="AC256" s="650"/>
    </row>
    <row r="257" spans="1:68" ht="14.25" hidden="1" customHeight="1" x14ac:dyDescent="0.25">
      <c r="A257" s="659" t="s">
        <v>433</v>
      </c>
      <c r="B257" s="660"/>
      <c r="C257" s="660"/>
      <c r="D257" s="660"/>
      <c r="E257" s="660"/>
      <c r="F257" s="660"/>
      <c r="G257" s="660"/>
      <c r="H257" s="660"/>
      <c r="I257" s="660"/>
      <c r="J257" s="660"/>
      <c r="K257" s="660"/>
      <c r="L257" s="660"/>
      <c r="M257" s="660"/>
      <c r="N257" s="660"/>
      <c r="O257" s="660"/>
      <c r="P257" s="660"/>
      <c r="Q257" s="660"/>
      <c r="R257" s="660"/>
      <c r="S257" s="660"/>
      <c r="T257" s="660"/>
      <c r="U257" s="660"/>
      <c r="V257" s="660"/>
      <c r="W257" s="660"/>
      <c r="X257" s="660"/>
      <c r="Y257" s="660"/>
      <c r="Z257" s="660"/>
      <c r="AA257" s="643"/>
      <c r="AB257" s="643"/>
      <c r="AC257" s="643"/>
    </row>
    <row r="258" spans="1:68" ht="27" hidden="1" customHeight="1" x14ac:dyDescent="0.25">
      <c r="A258" s="54" t="s">
        <v>434</v>
      </c>
      <c r="B258" s="54" t="s">
        <v>435</v>
      </c>
      <c r="C258" s="31">
        <v>4301170013</v>
      </c>
      <c r="D258" s="651">
        <v>4680115886797</v>
      </c>
      <c r="E258" s="65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54"/>
      <c r="R258" s="654"/>
      <c r="S258" s="654"/>
      <c r="T258" s="655"/>
      <c r="U258" s="34"/>
      <c r="V258" s="34"/>
      <c r="W258" s="35" t="s">
        <v>66</v>
      </c>
      <c r="X258" s="647">
        <v>0</v>
      </c>
      <c r="Y258" s="648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8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9"/>
      <c r="P259" s="663" t="s">
        <v>71</v>
      </c>
      <c r="Q259" s="664"/>
      <c r="R259" s="664"/>
      <c r="S259" s="664"/>
      <c r="T259" s="664"/>
      <c r="U259" s="664"/>
      <c r="V259" s="665"/>
      <c r="W259" s="37" t="s">
        <v>72</v>
      </c>
      <c r="X259" s="649">
        <f>IFERROR(X258/H258,"0")</f>
        <v>0</v>
      </c>
      <c r="Y259" s="649">
        <f>IFERROR(Y258/H258,"0")</f>
        <v>0</v>
      </c>
      <c r="Z259" s="649">
        <f>IFERROR(IF(Z258="",0,Z258),"0")</f>
        <v>0</v>
      </c>
      <c r="AA259" s="650"/>
      <c r="AB259" s="650"/>
      <c r="AC259" s="650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9"/>
      <c r="P260" s="663" t="s">
        <v>71</v>
      </c>
      <c r="Q260" s="664"/>
      <c r="R260" s="664"/>
      <c r="S260" s="664"/>
      <c r="T260" s="664"/>
      <c r="U260" s="664"/>
      <c r="V260" s="665"/>
      <c r="W260" s="37" t="s">
        <v>66</v>
      </c>
      <c r="X260" s="649">
        <f>IFERROR(SUM(X258:X258),"0")</f>
        <v>0</v>
      </c>
      <c r="Y260" s="649">
        <f>IFERROR(SUM(Y258:Y258),"0")</f>
        <v>0</v>
      </c>
      <c r="Z260" s="37"/>
      <c r="AA260" s="650"/>
      <c r="AB260" s="650"/>
      <c r="AC260" s="650"/>
    </row>
    <row r="261" spans="1:68" ht="16.5" hidden="1" customHeight="1" x14ac:dyDescent="0.25">
      <c r="A261" s="672" t="s">
        <v>436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42"/>
      <c r="AB261" s="642"/>
      <c r="AC261" s="642"/>
    </row>
    <row r="262" spans="1:68" ht="14.25" hidden="1" customHeight="1" x14ac:dyDescent="0.25">
      <c r="A262" s="659" t="s">
        <v>110</v>
      </c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0"/>
      <c r="P262" s="660"/>
      <c r="Q262" s="660"/>
      <c r="R262" s="660"/>
      <c r="S262" s="660"/>
      <c r="T262" s="660"/>
      <c r="U262" s="660"/>
      <c r="V262" s="660"/>
      <c r="W262" s="660"/>
      <c r="X262" s="660"/>
      <c r="Y262" s="660"/>
      <c r="Z262" s="660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51">
        <v>4680115881402</v>
      </c>
      <c r="E263" s="65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54"/>
      <c r="R263" s="654"/>
      <c r="S263" s="654"/>
      <c r="T263" s="655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51">
        <v>4680115881396</v>
      </c>
      <c r="E264" s="65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54"/>
      <c r="R264" s="654"/>
      <c r="S264" s="654"/>
      <c r="T264" s="655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68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9"/>
      <c r="P265" s="663" t="s">
        <v>71</v>
      </c>
      <c r="Q265" s="664"/>
      <c r="R265" s="664"/>
      <c r="S265" s="664"/>
      <c r="T265" s="664"/>
      <c r="U265" s="664"/>
      <c r="V265" s="66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9"/>
      <c r="P266" s="663" t="s">
        <v>71</v>
      </c>
      <c r="Q266" s="664"/>
      <c r="R266" s="664"/>
      <c r="S266" s="664"/>
      <c r="T266" s="664"/>
      <c r="U266" s="664"/>
      <c r="V266" s="66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59" t="s">
        <v>147</v>
      </c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0"/>
      <c r="P267" s="660"/>
      <c r="Q267" s="660"/>
      <c r="R267" s="660"/>
      <c r="S267" s="660"/>
      <c r="T267" s="660"/>
      <c r="U267" s="660"/>
      <c r="V267" s="660"/>
      <c r="W267" s="660"/>
      <c r="X267" s="660"/>
      <c r="Y267" s="660"/>
      <c r="Z267" s="660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51">
        <v>4680115882935</v>
      </c>
      <c r="E268" s="65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54"/>
      <c r="R268" s="654"/>
      <c r="S268" s="654"/>
      <c r="T268" s="655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51">
        <v>4680115880764</v>
      </c>
      <c r="E269" s="65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9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54"/>
      <c r="R269" s="654"/>
      <c r="S269" s="654"/>
      <c r="T269" s="655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68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9"/>
      <c r="P270" s="663" t="s">
        <v>71</v>
      </c>
      <c r="Q270" s="664"/>
      <c r="R270" s="664"/>
      <c r="S270" s="664"/>
      <c r="T270" s="664"/>
      <c r="U270" s="664"/>
      <c r="V270" s="66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9"/>
      <c r="P271" s="663" t="s">
        <v>71</v>
      </c>
      <c r="Q271" s="664"/>
      <c r="R271" s="664"/>
      <c r="S271" s="664"/>
      <c r="T271" s="664"/>
      <c r="U271" s="664"/>
      <c r="V271" s="66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59" t="s">
        <v>61</v>
      </c>
      <c r="B272" s="660"/>
      <c r="C272" s="660"/>
      <c r="D272" s="660"/>
      <c r="E272" s="660"/>
      <c r="F272" s="660"/>
      <c r="G272" s="660"/>
      <c r="H272" s="660"/>
      <c r="I272" s="660"/>
      <c r="J272" s="660"/>
      <c r="K272" s="660"/>
      <c r="L272" s="660"/>
      <c r="M272" s="660"/>
      <c r="N272" s="660"/>
      <c r="O272" s="660"/>
      <c r="P272" s="660"/>
      <c r="Q272" s="660"/>
      <c r="R272" s="660"/>
      <c r="S272" s="660"/>
      <c r="T272" s="660"/>
      <c r="U272" s="660"/>
      <c r="V272" s="660"/>
      <c r="W272" s="660"/>
      <c r="X272" s="660"/>
      <c r="Y272" s="660"/>
      <c r="Z272" s="660"/>
      <c r="AA272" s="643"/>
      <c r="AB272" s="643"/>
      <c r="AC272" s="643"/>
    </row>
    <row r="273" spans="1:68" ht="27" customHeight="1" x14ac:dyDescent="0.25">
      <c r="A273" s="54" t="s">
        <v>447</v>
      </c>
      <c r="B273" s="54" t="s">
        <v>448</v>
      </c>
      <c r="C273" s="31">
        <v>4301031224</v>
      </c>
      <c r="D273" s="651">
        <v>4680115882683</v>
      </c>
      <c r="E273" s="65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54"/>
      <c r="R273" s="654"/>
      <c r="S273" s="654"/>
      <c r="T273" s="655"/>
      <c r="U273" s="34"/>
      <c r="V273" s="34"/>
      <c r="W273" s="35" t="s">
        <v>66</v>
      </c>
      <c r="X273" s="647">
        <v>45</v>
      </c>
      <c r="Y273" s="648">
        <f t="shared" ref="Y273:Y280" si="38">IFERROR(IF(X273="",0,CEILING((X273/$H273),1)*$H273),"")</f>
        <v>48.6</v>
      </c>
      <c r="Z273" s="36">
        <f>IFERROR(IF(Y273=0,"",ROUNDUP(Y273/H273,0)*0.00902),"")</f>
        <v>8.1180000000000002E-2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46.583333333333329</v>
      </c>
      <c r="BN273" s="64">
        <f t="shared" ref="BN273:BN280" si="40">IFERROR(Y273*I273/H273,"0")</f>
        <v>50.309999999999995</v>
      </c>
      <c r="BO273" s="64">
        <f t="shared" ref="BO273:BO280" si="41">IFERROR(1/J273*(X273/H273),"0")</f>
        <v>6.3131313131313122E-2</v>
      </c>
      <c r="BP273" s="64">
        <f t="shared" ref="BP273:BP280" si="42">IFERROR(1/J273*(Y273/H273),"0")</f>
        <v>6.8181818181818177E-2</v>
      </c>
    </row>
    <row r="274" spans="1:68" ht="27" customHeight="1" x14ac:dyDescent="0.25">
      <c r="A274" s="54" t="s">
        <v>450</v>
      </c>
      <c r="B274" s="54" t="s">
        <v>451</v>
      </c>
      <c r="C274" s="31">
        <v>4301031230</v>
      </c>
      <c r="D274" s="651">
        <v>4680115882690</v>
      </c>
      <c r="E274" s="65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54"/>
      <c r="R274" s="654"/>
      <c r="S274" s="654"/>
      <c r="T274" s="655"/>
      <c r="U274" s="34"/>
      <c r="V274" s="34"/>
      <c r="W274" s="35" t="s">
        <v>66</v>
      </c>
      <c r="X274" s="647">
        <v>87</v>
      </c>
      <c r="Y274" s="648">
        <f t="shared" si="38"/>
        <v>91.800000000000011</v>
      </c>
      <c r="Z274" s="36">
        <f>IFERROR(IF(Y274=0,"",ROUNDUP(Y274/H274,0)*0.00902),"")</f>
        <v>0.15334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90.061111111111103</v>
      </c>
      <c r="BN274" s="64">
        <f t="shared" si="40"/>
        <v>95.03</v>
      </c>
      <c r="BO274" s="64">
        <f t="shared" si="41"/>
        <v>0.12205387205387205</v>
      </c>
      <c r="BP274" s="64">
        <f t="shared" si="42"/>
        <v>0.12878787878787878</v>
      </c>
    </row>
    <row r="275" spans="1:68" ht="27" customHeight="1" x14ac:dyDescent="0.25">
      <c r="A275" s="54" t="s">
        <v>453</v>
      </c>
      <c r="B275" s="54" t="s">
        <v>454</v>
      </c>
      <c r="C275" s="31">
        <v>4301031220</v>
      </c>
      <c r="D275" s="651">
        <v>4680115882669</v>
      </c>
      <c r="E275" s="65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54"/>
      <c r="R275" s="654"/>
      <c r="S275" s="654"/>
      <c r="T275" s="655"/>
      <c r="U275" s="34"/>
      <c r="V275" s="34"/>
      <c r="W275" s="35" t="s">
        <v>66</v>
      </c>
      <c r="X275" s="647">
        <v>121</v>
      </c>
      <c r="Y275" s="648">
        <f t="shared" si="38"/>
        <v>124.2</v>
      </c>
      <c r="Z275" s="36">
        <f>IFERROR(IF(Y275=0,"",ROUNDUP(Y275/H275,0)*0.00902),"")</f>
        <v>0.20746000000000001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125.2574074074074</v>
      </c>
      <c r="BN275" s="64">
        <f t="shared" si="40"/>
        <v>128.57</v>
      </c>
      <c r="BO275" s="64">
        <f t="shared" si="41"/>
        <v>0.16975308641975306</v>
      </c>
      <c r="BP275" s="64">
        <f t="shared" si="42"/>
        <v>0.17424242424242425</v>
      </c>
    </row>
    <row r="276" spans="1:68" ht="27" customHeight="1" x14ac:dyDescent="0.25">
      <c r="A276" s="54" t="s">
        <v>456</v>
      </c>
      <c r="B276" s="54" t="s">
        <v>457</v>
      </c>
      <c r="C276" s="31">
        <v>4301031221</v>
      </c>
      <c r="D276" s="651">
        <v>4680115882676</v>
      </c>
      <c r="E276" s="65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54"/>
      <c r="R276" s="654"/>
      <c r="S276" s="654"/>
      <c r="T276" s="655"/>
      <c r="U276" s="34"/>
      <c r="V276" s="34"/>
      <c r="W276" s="35" t="s">
        <v>66</v>
      </c>
      <c r="X276" s="647">
        <v>100</v>
      </c>
      <c r="Y276" s="648">
        <f t="shared" si="38"/>
        <v>102.60000000000001</v>
      </c>
      <c r="Z276" s="36">
        <f>IFERROR(IF(Y276=0,"",ROUNDUP(Y276/H276,0)*0.00902),"")</f>
        <v>0.17138</v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103.5185185185185</v>
      </c>
      <c r="BN276" s="64">
        <f t="shared" si="40"/>
        <v>106.21</v>
      </c>
      <c r="BO276" s="64">
        <f t="shared" si="41"/>
        <v>0.14029180695847362</v>
      </c>
      <c r="BP276" s="64">
        <f t="shared" si="42"/>
        <v>0.14393939393939395</v>
      </c>
    </row>
    <row r="277" spans="1:68" ht="27" hidden="1" customHeight="1" x14ac:dyDescent="0.25">
      <c r="A277" s="54" t="s">
        <v>459</v>
      </c>
      <c r="B277" s="54" t="s">
        <v>460</v>
      </c>
      <c r="C277" s="31">
        <v>4301031223</v>
      </c>
      <c r="D277" s="651">
        <v>4680115884014</v>
      </c>
      <c r="E277" s="65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54"/>
      <c r="R277" s="654"/>
      <c r="S277" s="654"/>
      <c r="T277" s="655"/>
      <c r="U277" s="34"/>
      <c r="V277" s="34"/>
      <c r="W277" s="35" t="s">
        <v>66</v>
      </c>
      <c r="X277" s="647">
        <v>0</v>
      </c>
      <c r="Y277" s="648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hidden="1" customHeight="1" x14ac:dyDescent="0.25">
      <c r="A278" s="54" t="s">
        <v>461</v>
      </c>
      <c r="B278" s="54" t="s">
        <v>462</v>
      </c>
      <c r="C278" s="31">
        <v>4301031222</v>
      </c>
      <c r="D278" s="651">
        <v>4680115884007</v>
      </c>
      <c r="E278" s="65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54"/>
      <c r="R278" s="654"/>
      <c r="S278" s="654"/>
      <c r="T278" s="655"/>
      <c r="U278" s="34"/>
      <c r="V278" s="34"/>
      <c r="W278" s="35" t="s">
        <v>66</v>
      </c>
      <c r="X278" s="647">
        <v>0</v>
      </c>
      <c r="Y278" s="648">
        <f t="shared" si="38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0</v>
      </c>
      <c r="BN278" s="64">
        <f t="shared" si="40"/>
        <v>0</v>
      </c>
      <c r="BO278" s="64">
        <f t="shared" si="41"/>
        <v>0</v>
      </c>
      <c r="BP278" s="64">
        <f t="shared" si="42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51">
        <v>4680115884038</v>
      </c>
      <c r="E279" s="65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54"/>
      <c r="R279" s="654"/>
      <c r="S279" s="654"/>
      <c r="T279" s="655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4301031225</v>
      </c>
      <c r="D280" s="651">
        <v>4680115884021</v>
      </c>
      <c r="E280" s="65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54"/>
      <c r="R280" s="654"/>
      <c r="S280" s="654"/>
      <c r="T280" s="655"/>
      <c r="U280" s="34"/>
      <c r="V280" s="34"/>
      <c r="W280" s="35" t="s">
        <v>66</v>
      </c>
      <c r="X280" s="647">
        <v>9</v>
      </c>
      <c r="Y280" s="648">
        <f t="shared" si="38"/>
        <v>9</v>
      </c>
      <c r="Z280" s="36">
        <f>IFERROR(IF(Y280=0,"",ROUNDUP(Y280/H280,0)*0.00502),"")</f>
        <v>2.5100000000000001E-2</v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9.4999999999999982</v>
      </c>
      <c r="BN280" s="64">
        <f t="shared" si="40"/>
        <v>9.4999999999999982</v>
      </c>
      <c r="BO280" s="64">
        <f t="shared" si="41"/>
        <v>2.1367521367521368E-2</v>
      </c>
      <c r="BP280" s="64">
        <f t="shared" si="42"/>
        <v>2.1367521367521368E-2</v>
      </c>
    </row>
    <row r="281" spans="1:68" x14ac:dyDescent="0.2">
      <c r="A281" s="668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9"/>
      <c r="P281" s="663" t="s">
        <v>71</v>
      </c>
      <c r="Q281" s="664"/>
      <c r="R281" s="664"/>
      <c r="S281" s="664"/>
      <c r="T281" s="664"/>
      <c r="U281" s="664"/>
      <c r="V281" s="66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70.370370370370367</v>
      </c>
      <c r="Y281" s="649">
        <f>IFERROR(Y273/H273,"0")+IFERROR(Y274/H274,"0")+IFERROR(Y275/H275,"0")+IFERROR(Y276/H276,"0")+IFERROR(Y277/H277,"0")+IFERROR(Y278/H278,"0")+IFERROR(Y279/H279,"0")+IFERROR(Y280/H280,"0")</f>
        <v>73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0.63846000000000003</v>
      </c>
      <c r="AA281" s="650"/>
      <c r="AB281" s="650"/>
      <c r="AC281" s="650"/>
    </row>
    <row r="282" spans="1:68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9"/>
      <c r="P282" s="663" t="s">
        <v>71</v>
      </c>
      <c r="Q282" s="664"/>
      <c r="R282" s="664"/>
      <c r="S282" s="664"/>
      <c r="T282" s="664"/>
      <c r="U282" s="664"/>
      <c r="V282" s="665"/>
      <c r="W282" s="37" t="s">
        <v>66</v>
      </c>
      <c r="X282" s="649">
        <f>IFERROR(SUM(X273:X280),"0")</f>
        <v>362</v>
      </c>
      <c r="Y282" s="649">
        <f>IFERROR(SUM(Y273:Y280),"0")</f>
        <v>376.20000000000005</v>
      </c>
      <c r="Z282" s="37"/>
      <c r="AA282" s="650"/>
      <c r="AB282" s="650"/>
      <c r="AC282" s="650"/>
    </row>
    <row r="283" spans="1:68" ht="14.25" hidden="1" customHeight="1" x14ac:dyDescent="0.25">
      <c r="A283" s="659" t="s">
        <v>73</v>
      </c>
      <c r="B283" s="660"/>
      <c r="C283" s="660"/>
      <c r="D283" s="660"/>
      <c r="E283" s="660"/>
      <c r="F283" s="660"/>
      <c r="G283" s="660"/>
      <c r="H283" s="660"/>
      <c r="I283" s="660"/>
      <c r="J283" s="660"/>
      <c r="K283" s="660"/>
      <c r="L283" s="660"/>
      <c r="M283" s="660"/>
      <c r="N283" s="660"/>
      <c r="O283" s="660"/>
      <c r="P283" s="660"/>
      <c r="Q283" s="660"/>
      <c r="R283" s="660"/>
      <c r="S283" s="660"/>
      <c r="T283" s="660"/>
      <c r="U283" s="660"/>
      <c r="V283" s="660"/>
      <c r="W283" s="660"/>
      <c r="X283" s="660"/>
      <c r="Y283" s="660"/>
      <c r="Z283" s="660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51">
        <v>4680115881594</v>
      </c>
      <c r="E284" s="65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54"/>
      <c r="R284" s="654"/>
      <c r="S284" s="654"/>
      <c r="T284" s="655"/>
      <c r="U284" s="34"/>
      <c r="V284" s="34"/>
      <c r="W284" s="35" t="s">
        <v>66</v>
      </c>
      <c r="X284" s="647">
        <v>145</v>
      </c>
      <c r="Y284" s="648">
        <f t="shared" ref="Y284:Y295" si="43">IFERROR(IF(X284="",0,CEILING((X284/$H284),1)*$H284),"")</f>
        <v>145.79999999999998</v>
      </c>
      <c r="Z284" s="36">
        <f>IFERROR(IF(Y284=0,"",ROUNDUP(Y284/H284,0)*0.01898),"")</f>
        <v>0.34164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153.8432098765432</v>
      </c>
      <c r="BN284" s="64">
        <f t="shared" ref="BN284:BN295" si="45">IFERROR(Y284*I284/H284,"0")</f>
        <v>154.69199999999998</v>
      </c>
      <c r="BO284" s="64">
        <f t="shared" ref="BO284:BO295" si="46">IFERROR(1/J284*(X284/H284),"0")</f>
        <v>0.27970679012345678</v>
      </c>
      <c r="BP284" s="64">
        <f t="shared" ref="BP284:BP295" si="47">IFERROR(1/J284*(Y284/H284),"0")</f>
        <v>0.28125</v>
      </c>
    </row>
    <row r="285" spans="1:68" ht="27" customHeight="1" x14ac:dyDescent="0.25">
      <c r="A285" s="54" t="s">
        <v>470</v>
      </c>
      <c r="B285" s="54" t="s">
        <v>471</v>
      </c>
      <c r="C285" s="31">
        <v>4301051411</v>
      </c>
      <c r="D285" s="651">
        <v>4680115881617</v>
      </c>
      <c r="E285" s="65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54"/>
      <c r="R285" s="654"/>
      <c r="S285" s="654"/>
      <c r="T285" s="655"/>
      <c r="U285" s="34"/>
      <c r="V285" s="34"/>
      <c r="W285" s="35" t="s">
        <v>66</v>
      </c>
      <c r="X285" s="647">
        <v>72</v>
      </c>
      <c r="Y285" s="648">
        <f t="shared" si="43"/>
        <v>72.899999999999991</v>
      </c>
      <c r="Z285" s="36">
        <f>IFERROR(IF(Y285=0,"",ROUNDUP(Y285/H285,0)*0.01898),"")</f>
        <v>0.17082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76.231111111111119</v>
      </c>
      <c r="BN285" s="64">
        <f t="shared" si="45"/>
        <v>77.183999999999997</v>
      </c>
      <c r="BO285" s="64">
        <f t="shared" si="46"/>
        <v>0.1388888888888889</v>
      </c>
      <c r="BP285" s="64">
        <f t="shared" si="47"/>
        <v>0.140625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4301051656</v>
      </c>
      <c r="D286" s="651">
        <v>4680115880573</v>
      </c>
      <c r="E286" s="65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54"/>
      <c r="R286" s="654"/>
      <c r="S286" s="654"/>
      <c r="T286" s="655"/>
      <c r="U286" s="34"/>
      <c r="V286" s="34"/>
      <c r="W286" s="35" t="s">
        <v>66</v>
      </c>
      <c r="X286" s="647">
        <v>0</v>
      </c>
      <c r="Y286" s="648">
        <f t="shared" si="43"/>
        <v>0</v>
      </c>
      <c r="Z286" s="36" t="str">
        <f>IFERROR(IF(Y286=0,"",ROUNDUP(Y286/H286,0)*0.01898),"")</f>
        <v/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4301051407</v>
      </c>
      <c r="D287" s="651">
        <v>4680115882195</v>
      </c>
      <c r="E287" s="65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54"/>
      <c r="R287" s="654"/>
      <c r="S287" s="654"/>
      <c r="T287" s="655"/>
      <c r="U287" s="34"/>
      <c r="V287" s="34"/>
      <c r="W287" s="35" t="s">
        <v>66</v>
      </c>
      <c r="X287" s="647">
        <v>125</v>
      </c>
      <c r="Y287" s="648">
        <f t="shared" si="43"/>
        <v>127.19999999999999</v>
      </c>
      <c r="Z287" s="36">
        <f>IFERROR(IF(Y287=0,"",ROUNDUP(Y287/H287,0)*0.00651),"")</f>
        <v>0.34503</v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139.0625</v>
      </c>
      <c r="BN287" s="64">
        <f t="shared" si="45"/>
        <v>141.51</v>
      </c>
      <c r="BO287" s="64">
        <f t="shared" si="46"/>
        <v>0.28617216117216121</v>
      </c>
      <c r="BP287" s="64">
        <f t="shared" si="47"/>
        <v>0.29120879120879123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51">
        <v>4680115882607</v>
      </c>
      <c r="E288" s="65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54"/>
      <c r="R288" s="654"/>
      <c r="S288" s="654"/>
      <c r="T288" s="655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51">
        <v>4680115882607</v>
      </c>
      <c r="E289" s="65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54"/>
      <c r="R289" s="654"/>
      <c r="S289" s="654"/>
      <c r="T289" s="655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51">
        <v>4680115880092</v>
      </c>
      <c r="E290" s="65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54"/>
      <c r="R290" s="654"/>
      <c r="S290" s="654"/>
      <c r="T290" s="655"/>
      <c r="U290" s="34"/>
      <c r="V290" s="34"/>
      <c r="W290" s="35" t="s">
        <v>66</v>
      </c>
      <c r="X290" s="647">
        <v>96</v>
      </c>
      <c r="Y290" s="648">
        <f t="shared" si="43"/>
        <v>96</v>
      </c>
      <c r="Z290" s="36">
        <f>IFERROR(IF(Y290=0,"",ROUNDUP(Y290/H290,0)*0.00651),"")</f>
        <v>0.26040000000000002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106.08000000000001</v>
      </c>
      <c r="BN290" s="64">
        <f t="shared" si="45"/>
        <v>106.08000000000001</v>
      </c>
      <c r="BO290" s="64">
        <f t="shared" si="46"/>
        <v>0.2197802197802198</v>
      </c>
      <c r="BP290" s="64">
        <f t="shared" si="47"/>
        <v>0.2197802197802198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51">
        <v>4680115889064</v>
      </c>
      <c r="E291" s="65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54"/>
      <c r="R291" s="654"/>
      <c r="S291" s="654"/>
      <c r="T291" s="655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51">
        <v>4680115880221</v>
      </c>
      <c r="E292" s="65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10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54"/>
      <c r="R292" s="654"/>
      <c r="S292" s="654"/>
      <c r="T292" s="655"/>
      <c r="U292" s="34"/>
      <c r="V292" s="34"/>
      <c r="W292" s="35" t="s">
        <v>66</v>
      </c>
      <c r="X292" s="647">
        <v>48</v>
      </c>
      <c r="Y292" s="648">
        <f t="shared" si="43"/>
        <v>48</v>
      </c>
      <c r="Z292" s="36">
        <f>IFERROR(IF(Y292=0,"",ROUNDUP(Y292/H292,0)*0.00651),"")</f>
        <v>0.13020000000000001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53.040000000000006</v>
      </c>
      <c r="BN292" s="64">
        <f t="shared" si="45"/>
        <v>53.040000000000006</v>
      </c>
      <c r="BO292" s="64">
        <f t="shared" si="46"/>
        <v>0.1098901098901099</v>
      </c>
      <c r="BP292" s="64">
        <f t="shared" si="47"/>
        <v>0.1098901098901099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4301051945</v>
      </c>
      <c r="D293" s="651">
        <v>4680115880504</v>
      </c>
      <c r="E293" s="65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10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54"/>
      <c r="R293" s="654"/>
      <c r="S293" s="654"/>
      <c r="T293" s="655"/>
      <c r="U293" s="34"/>
      <c r="V293" s="34"/>
      <c r="W293" s="35" t="s">
        <v>66</v>
      </c>
      <c r="X293" s="647">
        <v>0</v>
      </c>
      <c r="Y293" s="648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ht="27" customHeight="1" x14ac:dyDescent="0.25">
      <c r="A294" s="54" t="s">
        <v>492</v>
      </c>
      <c r="B294" s="54" t="s">
        <v>493</v>
      </c>
      <c r="C294" s="31">
        <v>4301051410</v>
      </c>
      <c r="D294" s="651">
        <v>4680115882164</v>
      </c>
      <c r="E294" s="65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54"/>
      <c r="R294" s="654"/>
      <c r="S294" s="654"/>
      <c r="T294" s="655"/>
      <c r="U294" s="34"/>
      <c r="V294" s="34"/>
      <c r="W294" s="35" t="s">
        <v>66</v>
      </c>
      <c r="X294" s="647">
        <v>5</v>
      </c>
      <c r="Y294" s="648">
        <f t="shared" si="43"/>
        <v>7.1999999999999993</v>
      </c>
      <c r="Z294" s="36">
        <f>IFERROR(IF(Y294=0,"",ROUNDUP(Y294/H294,0)*0.00651),"")</f>
        <v>1.9529999999999999E-2</v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5.5374999999999996</v>
      </c>
      <c r="BN294" s="64">
        <f t="shared" si="45"/>
        <v>7.9740000000000002</v>
      </c>
      <c r="BO294" s="64">
        <f t="shared" si="46"/>
        <v>1.1446886446886448E-2</v>
      </c>
      <c r="BP294" s="64">
        <f t="shared" si="47"/>
        <v>1.6483516483516484E-2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51">
        <v>4680115888340</v>
      </c>
      <c r="E295" s="65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4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54"/>
      <c r="R295" s="654"/>
      <c r="S295" s="654"/>
      <c r="T295" s="655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68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9"/>
      <c r="P296" s="663" t="s">
        <v>71</v>
      </c>
      <c r="Q296" s="664"/>
      <c r="R296" s="664"/>
      <c r="S296" s="664"/>
      <c r="T296" s="664"/>
      <c r="U296" s="664"/>
      <c r="V296" s="66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140.95679012345678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143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1.2676200000000002</v>
      </c>
      <c r="AA296" s="650"/>
      <c r="AB296" s="650"/>
      <c r="AC296" s="650"/>
    </row>
    <row r="297" spans="1:68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9"/>
      <c r="P297" s="663" t="s">
        <v>71</v>
      </c>
      <c r="Q297" s="664"/>
      <c r="R297" s="664"/>
      <c r="S297" s="664"/>
      <c r="T297" s="664"/>
      <c r="U297" s="664"/>
      <c r="V297" s="665"/>
      <c r="W297" s="37" t="s">
        <v>66</v>
      </c>
      <c r="X297" s="649">
        <f>IFERROR(SUM(X284:X295),"0")</f>
        <v>491</v>
      </c>
      <c r="Y297" s="649">
        <f>IFERROR(SUM(Y284:Y295),"0")</f>
        <v>497.09999999999997</v>
      </c>
      <c r="Z297" s="37"/>
      <c r="AA297" s="650"/>
      <c r="AB297" s="650"/>
      <c r="AC297" s="650"/>
    </row>
    <row r="298" spans="1:68" ht="14.25" hidden="1" customHeight="1" x14ac:dyDescent="0.25">
      <c r="A298" s="659" t="s">
        <v>166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43"/>
      <c r="AB298" s="643"/>
      <c r="AC298" s="643"/>
    </row>
    <row r="299" spans="1:68" ht="27" hidden="1" customHeight="1" x14ac:dyDescent="0.25">
      <c r="A299" s="54" t="s">
        <v>498</v>
      </c>
      <c r="B299" s="54" t="s">
        <v>499</v>
      </c>
      <c r="C299" s="31">
        <v>4301060463</v>
      </c>
      <c r="D299" s="651">
        <v>4680115880818</v>
      </c>
      <c r="E299" s="65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54"/>
      <c r="R299" s="654"/>
      <c r="S299" s="654"/>
      <c r="T299" s="655"/>
      <c r="U299" s="34"/>
      <c r="V299" s="34"/>
      <c r="W299" s="35" t="s">
        <v>66</v>
      </c>
      <c r="X299" s="647">
        <v>0</v>
      </c>
      <c r="Y299" s="648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501</v>
      </c>
      <c r="B300" s="54" t="s">
        <v>502</v>
      </c>
      <c r="C300" s="31">
        <v>4301060389</v>
      </c>
      <c r="D300" s="651">
        <v>4680115880801</v>
      </c>
      <c r="E300" s="65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54"/>
      <c r="R300" s="654"/>
      <c r="S300" s="654"/>
      <c r="T300" s="655"/>
      <c r="U300" s="34"/>
      <c r="V300" s="34"/>
      <c r="W300" s="35" t="s">
        <v>66</v>
      </c>
      <c r="X300" s="647">
        <v>0</v>
      </c>
      <c r="Y300" s="648">
        <f>IFERROR(IF(X300="",0,CEILING((X300/$H300),1)*$H300),"")</f>
        <v>0</v>
      </c>
      <c r="Z300" s="36" t="str">
        <f>IFERROR(IF(Y300=0,"",ROUNDUP(Y300/H300,0)*0.00651),"")</f>
        <v/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668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9"/>
      <c r="P301" s="663" t="s">
        <v>71</v>
      </c>
      <c r="Q301" s="664"/>
      <c r="R301" s="664"/>
      <c r="S301" s="664"/>
      <c r="T301" s="664"/>
      <c r="U301" s="664"/>
      <c r="V301" s="665"/>
      <c r="W301" s="37" t="s">
        <v>72</v>
      </c>
      <c r="X301" s="649">
        <f>IFERROR(X299/H299,"0")+IFERROR(X300/H300,"0")</f>
        <v>0</v>
      </c>
      <c r="Y301" s="649">
        <f>IFERROR(Y299/H299,"0")+IFERROR(Y300/H300,"0")</f>
        <v>0</v>
      </c>
      <c r="Z301" s="649">
        <f>IFERROR(IF(Z299="",0,Z299),"0")+IFERROR(IF(Z300="",0,Z300),"0")</f>
        <v>0</v>
      </c>
      <c r="AA301" s="650"/>
      <c r="AB301" s="650"/>
      <c r="AC301" s="650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9"/>
      <c r="P302" s="663" t="s">
        <v>71</v>
      </c>
      <c r="Q302" s="664"/>
      <c r="R302" s="664"/>
      <c r="S302" s="664"/>
      <c r="T302" s="664"/>
      <c r="U302" s="664"/>
      <c r="V302" s="665"/>
      <c r="W302" s="37" t="s">
        <v>66</v>
      </c>
      <c r="X302" s="649">
        <f>IFERROR(SUM(X299:X300),"0")</f>
        <v>0</v>
      </c>
      <c r="Y302" s="649">
        <f>IFERROR(SUM(Y299:Y300),"0")</f>
        <v>0</v>
      </c>
      <c r="Z302" s="37"/>
      <c r="AA302" s="650"/>
      <c r="AB302" s="650"/>
      <c r="AC302" s="650"/>
    </row>
    <row r="303" spans="1:68" ht="16.5" hidden="1" customHeight="1" x14ac:dyDescent="0.25">
      <c r="A303" s="672" t="s">
        <v>504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42"/>
      <c r="AB303" s="642"/>
      <c r="AC303" s="642"/>
    </row>
    <row r="304" spans="1:68" ht="14.25" hidden="1" customHeight="1" x14ac:dyDescent="0.25">
      <c r="A304" s="659" t="s">
        <v>110</v>
      </c>
      <c r="B304" s="660"/>
      <c r="C304" s="660"/>
      <c r="D304" s="660"/>
      <c r="E304" s="660"/>
      <c r="F304" s="660"/>
      <c r="G304" s="660"/>
      <c r="H304" s="660"/>
      <c r="I304" s="660"/>
      <c r="J304" s="660"/>
      <c r="K304" s="660"/>
      <c r="L304" s="660"/>
      <c r="M304" s="660"/>
      <c r="N304" s="660"/>
      <c r="O304" s="660"/>
      <c r="P304" s="660"/>
      <c r="Q304" s="660"/>
      <c r="R304" s="660"/>
      <c r="S304" s="660"/>
      <c r="T304" s="660"/>
      <c r="U304" s="660"/>
      <c r="V304" s="660"/>
      <c r="W304" s="660"/>
      <c r="X304" s="660"/>
      <c r="Y304" s="660"/>
      <c r="Z304" s="660"/>
      <c r="AA304" s="643"/>
      <c r="AB304" s="643"/>
      <c r="AC304" s="643"/>
    </row>
    <row r="305" spans="1:68" ht="27" hidden="1" customHeight="1" x14ac:dyDescent="0.25">
      <c r="A305" s="54" t="s">
        <v>505</v>
      </c>
      <c r="B305" s="54" t="s">
        <v>506</v>
      </c>
      <c r="C305" s="31">
        <v>4301011826</v>
      </c>
      <c r="D305" s="651">
        <v>4680115884137</v>
      </c>
      <c r="E305" s="65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54"/>
      <c r="R305" s="654"/>
      <c r="S305" s="654"/>
      <c r="T305" s="655"/>
      <c r="U305" s="34"/>
      <c r="V305" s="34"/>
      <c r="W305" s="35" t="s">
        <v>66</v>
      </c>
      <c r="X305" s="647">
        <v>0</v>
      </c>
      <c r="Y305" s="648">
        <f t="shared" ref="Y305:Y311" si="48">IFERROR(IF(X305="",0,CEILING((X305/$H305),1)*$H305),"")</f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0</v>
      </c>
      <c r="BN305" s="64">
        <f t="shared" ref="BN305:BN311" si="50">IFERROR(Y305*I305/H305,"0")</f>
        <v>0</v>
      </c>
      <c r="BO305" s="64">
        <f t="shared" ref="BO305:BO311" si="51">IFERROR(1/J305*(X305/H305),"0")</f>
        <v>0</v>
      </c>
      <c r="BP305" s="64">
        <f t="shared" ref="BP305:BP311" si="52">IFERROR(1/J305*(Y305/H305),"0")</f>
        <v>0</v>
      </c>
    </row>
    <row r="306" spans="1:68" ht="27" customHeight="1" x14ac:dyDescent="0.25">
      <c r="A306" s="54" t="s">
        <v>508</v>
      </c>
      <c r="B306" s="54" t="s">
        <v>509</v>
      </c>
      <c r="C306" s="31">
        <v>4301011724</v>
      </c>
      <c r="D306" s="651">
        <v>4680115884236</v>
      </c>
      <c r="E306" s="65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54"/>
      <c r="R306" s="654"/>
      <c r="S306" s="654"/>
      <c r="T306" s="655"/>
      <c r="U306" s="34"/>
      <c r="V306" s="34"/>
      <c r="W306" s="35" t="s">
        <v>66</v>
      </c>
      <c r="X306" s="647">
        <v>4</v>
      </c>
      <c r="Y306" s="648">
        <f t="shared" si="48"/>
        <v>11.6</v>
      </c>
      <c r="Z306" s="36">
        <f>IFERROR(IF(Y306=0,"",ROUNDUP(Y306/H306,0)*0.01898),"")</f>
        <v>1.898E-2</v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4.1413793103448278</v>
      </c>
      <c r="BN306" s="64">
        <f t="shared" si="50"/>
        <v>12.01</v>
      </c>
      <c r="BO306" s="64">
        <f t="shared" si="51"/>
        <v>5.387931034482759E-3</v>
      </c>
      <c r="BP306" s="64">
        <f t="shared" si="52"/>
        <v>1.5625E-2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51">
        <v>4680115884175</v>
      </c>
      <c r="E307" s="65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54"/>
      <c r="R307" s="654"/>
      <c r="S307" s="654"/>
      <c r="T307" s="655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51">
        <v>4680115884144</v>
      </c>
      <c r="E308" s="65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54"/>
      <c r="R308" s="654"/>
      <c r="S308" s="654"/>
      <c r="T308" s="655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51">
        <v>4680115886551</v>
      </c>
      <c r="E309" s="65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54"/>
      <c r="R309" s="654"/>
      <c r="S309" s="654"/>
      <c r="T309" s="655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51">
        <v>4680115887282</v>
      </c>
      <c r="E310" s="65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54"/>
      <c r="R310" s="654"/>
      <c r="S310" s="654"/>
      <c r="T310" s="655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customHeight="1" x14ac:dyDescent="0.25">
      <c r="A311" s="54" t="s">
        <v>521</v>
      </c>
      <c r="B311" s="54" t="s">
        <v>522</v>
      </c>
      <c r="C311" s="31">
        <v>4301011722</v>
      </c>
      <c r="D311" s="651">
        <v>4680115884205</v>
      </c>
      <c r="E311" s="65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54"/>
      <c r="R311" s="654"/>
      <c r="S311" s="654"/>
      <c r="T311" s="655"/>
      <c r="U311" s="34"/>
      <c r="V311" s="34"/>
      <c r="W311" s="35" t="s">
        <v>66</v>
      </c>
      <c r="X311" s="647">
        <v>13</v>
      </c>
      <c r="Y311" s="648">
        <f t="shared" si="48"/>
        <v>16</v>
      </c>
      <c r="Z311" s="36">
        <f>IFERROR(IF(Y311=0,"",ROUNDUP(Y311/H311,0)*0.00902),"")</f>
        <v>3.6080000000000001E-2</v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13.617500000000001</v>
      </c>
      <c r="BN311" s="64">
        <f t="shared" si="50"/>
        <v>16.760000000000002</v>
      </c>
      <c r="BO311" s="64">
        <f t="shared" si="51"/>
        <v>2.462121212121212E-2</v>
      </c>
      <c r="BP311" s="64">
        <f t="shared" si="52"/>
        <v>3.0303030303030304E-2</v>
      </c>
    </row>
    <row r="312" spans="1:68" x14ac:dyDescent="0.2">
      <c r="A312" s="668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9"/>
      <c r="P312" s="663" t="s">
        <v>71</v>
      </c>
      <c r="Q312" s="664"/>
      <c r="R312" s="664"/>
      <c r="S312" s="664"/>
      <c r="T312" s="664"/>
      <c r="U312" s="664"/>
      <c r="V312" s="66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3.5948275862068968</v>
      </c>
      <c r="Y312" s="649">
        <f>IFERROR(Y305/H305,"0")+IFERROR(Y306/H306,"0")+IFERROR(Y307/H307,"0")+IFERROR(Y308/H308,"0")+IFERROR(Y309/H309,"0")+IFERROR(Y310/H310,"0")+IFERROR(Y311/H311,"0")</f>
        <v>5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5.5059999999999998E-2</v>
      </c>
      <c r="AA312" s="650"/>
      <c r="AB312" s="650"/>
      <c r="AC312" s="650"/>
    </row>
    <row r="313" spans="1:68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9"/>
      <c r="P313" s="663" t="s">
        <v>71</v>
      </c>
      <c r="Q313" s="664"/>
      <c r="R313" s="664"/>
      <c r="S313" s="664"/>
      <c r="T313" s="664"/>
      <c r="U313" s="664"/>
      <c r="V313" s="665"/>
      <c r="W313" s="37" t="s">
        <v>66</v>
      </c>
      <c r="X313" s="649">
        <f>IFERROR(SUM(X305:X311),"0")</f>
        <v>17</v>
      </c>
      <c r="Y313" s="649">
        <f>IFERROR(SUM(Y305:Y311),"0")</f>
        <v>27.6</v>
      </c>
      <c r="Z313" s="37"/>
      <c r="AA313" s="650"/>
      <c r="AB313" s="650"/>
      <c r="AC313" s="650"/>
    </row>
    <row r="314" spans="1:68" ht="14.25" hidden="1" customHeight="1" x14ac:dyDescent="0.25">
      <c r="A314" s="659" t="s">
        <v>147</v>
      </c>
      <c r="B314" s="660"/>
      <c r="C314" s="660"/>
      <c r="D314" s="660"/>
      <c r="E314" s="660"/>
      <c r="F314" s="660"/>
      <c r="G314" s="660"/>
      <c r="H314" s="660"/>
      <c r="I314" s="660"/>
      <c r="J314" s="660"/>
      <c r="K314" s="660"/>
      <c r="L314" s="660"/>
      <c r="M314" s="660"/>
      <c r="N314" s="660"/>
      <c r="O314" s="660"/>
      <c r="P314" s="660"/>
      <c r="Q314" s="660"/>
      <c r="R314" s="660"/>
      <c r="S314" s="660"/>
      <c r="T314" s="660"/>
      <c r="U314" s="660"/>
      <c r="V314" s="660"/>
      <c r="W314" s="660"/>
      <c r="X314" s="660"/>
      <c r="Y314" s="660"/>
      <c r="Z314" s="660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51">
        <v>4680115885981</v>
      </c>
      <c r="E315" s="65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54"/>
      <c r="R315" s="654"/>
      <c r="S315" s="654"/>
      <c r="T315" s="655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68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9"/>
      <c r="P316" s="663" t="s">
        <v>71</v>
      </c>
      <c r="Q316" s="664"/>
      <c r="R316" s="664"/>
      <c r="S316" s="664"/>
      <c r="T316" s="664"/>
      <c r="U316" s="664"/>
      <c r="V316" s="66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9"/>
      <c r="P317" s="663" t="s">
        <v>71</v>
      </c>
      <c r="Q317" s="664"/>
      <c r="R317" s="664"/>
      <c r="S317" s="664"/>
      <c r="T317" s="664"/>
      <c r="U317" s="664"/>
      <c r="V317" s="66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59" t="s">
        <v>526</v>
      </c>
      <c r="B318" s="660"/>
      <c r="C318" s="660"/>
      <c r="D318" s="660"/>
      <c r="E318" s="660"/>
      <c r="F318" s="660"/>
      <c r="G318" s="660"/>
      <c r="H318" s="660"/>
      <c r="I318" s="660"/>
      <c r="J318" s="660"/>
      <c r="K318" s="660"/>
      <c r="L318" s="660"/>
      <c r="M318" s="660"/>
      <c r="N318" s="660"/>
      <c r="O318" s="660"/>
      <c r="P318" s="660"/>
      <c r="Q318" s="660"/>
      <c r="R318" s="660"/>
      <c r="S318" s="660"/>
      <c r="T318" s="660"/>
      <c r="U318" s="660"/>
      <c r="V318" s="660"/>
      <c r="W318" s="660"/>
      <c r="X318" s="660"/>
      <c r="Y318" s="660"/>
      <c r="Z318" s="660"/>
      <c r="AA318" s="643"/>
      <c r="AB318" s="643"/>
      <c r="AC318" s="643"/>
    </row>
    <row r="319" spans="1:68" ht="27" hidden="1" customHeight="1" x14ac:dyDescent="0.25">
      <c r="A319" s="54" t="s">
        <v>527</v>
      </c>
      <c r="B319" s="54" t="s">
        <v>528</v>
      </c>
      <c r="C319" s="31">
        <v>4301040362</v>
      </c>
      <c r="D319" s="651">
        <v>4680115886803</v>
      </c>
      <c r="E319" s="65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54"/>
      <c r="R319" s="654"/>
      <c r="S319" s="654"/>
      <c r="T319" s="655"/>
      <c r="U319" s="34"/>
      <c r="V319" s="34"/>
      <c r="W319" s="35" t="s">
        <v>66</v>
      </c>
      <c r="X319" s="647">
        <v>0</v>
      </c>
      <c r="Y319" s="64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8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9"/>
      <c r="P320" s="663" t="s">
        <v>71</v>
      </c>
      <c r="Q320" s="664"/>
      <c r="R320" s="664"/>
      <c r="S320" s="664"/>
      <c r="T320" s="664"/>
      <c r="U320" s="664"/>
      <c r="V320" s="665"/>
      <c r="W320" s="37" t="s">
        <v>72</v>
      </c>
      <c r="X320" s="649">
        <f>IFERROR(X319/H319,"0")</f>
        <v>0</v>
      </c>
      <c r="Y320" s="649">
        <f>IFERROR(Y319/H319,"0")</f>
        <v>0</v>
      </c>
      <c r="Z320" s="649">
        <f>IFERROR(IF(Z319="",0,Z319),"0")</f>
        <v>0</v>
      </c>
      <c r="AA320" s="650"/>
      <c r="AB320" s="650"/>
      <c r="AC320" s="650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9"/>
      <c r="P321" s="663" t="s">
        <v>71</v>
      </c>
      <c r="Q321" s="664"/>
      <c r="R321" s="664"/>
      <c r="S321" s="664"/>
      <c r="T321" s="664"/>
      <c r="U321" s="664"/>
      <c r="V321" s="665"/>
      <c r="W321" s="37" t="s">
        <v>66</v>
      </c>
      <c r="X321" s="649">
        <f>IFERROR(SUM(X319:X319),"0")</f>
        <v>0</v>
      </c>
      <c r="Y321" s="649">
        <f>IFERROR(SUM(Y319:Y319),"0")</f>
        <v>0</v>
      </c>
      <c r="Z321" s="37"/>
      <c r="AA321" s="650"/>
      <c r="AB321" s="650"/>
      <c r="AC321" s="650"/>
    </row>
    <row r="322" spans="1:68" ht="14.25" hidden="1" customHeight="1" x14ac:dyDescent="0.25">
      <c r="A322" s="659" t="s">
        <v>336</v>
      </c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0"/>
      <c r="P322" s="660"/>
      <c r="Q322" s="660"/>
      <c r="R322" s="660"/>
      <c r="S322" s="660"/>
      <c r="T322" s="660"/>
      <c r="U322" s="660"/>
      <c r="V322" s="660"/>
      <c r="W322" s="660"/>
      <c r="X322" s="660"/>
      <c r="Y322" s="660"/>
      <c r="Z322" s="660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51">
        <v>4680115886681</v>
      </c>
      <c r="E323" s="65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54"/>
      <c r="R323" s="654"/>
      <c r="S323" s="654"/>
      <c r="T323" s="655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68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9"/>
      <c r="P324" s="663" t="s">
        <v>71</v>
      </c>
      <c r="Q324" s="664"/>
      <c r="R324" s="664"/>
      <c r="S324" s="664"/>
      <c r="T324" s="664"/>
      <c r="U324" s="664"/>
      <c r="V324" s="66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9"/>
      <c r="P325" s="663" t="s">
        <v>71</v>
      </c>
      <c r="Q325" s="664"/>
      <c r="R325" s="664"/>
      <c r="S325" s="664"/>
      <c r="T325" s="664"/>
      <c r="U325" s="664"/>
      <c r="V325" s="66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72" t="s">
        <v>533</v>
      </c>
      <c r="B326" s="660"/>
      <c r="C326" s="660"/>
      <c r="D326" s="660"/>
      <c r="E326" s="660"/>
      <c r="F326" s="660"/>
      <c r="G326" s="660"/>
      <c r="H326" s="660"/>
      <c r="I326" s="660"/>
      <c r="J326" s="660"/>
      <c r="K326" s="660"/>
      <c r="L326" s="660"/>
      <c r="M326" s="660"/>
      <c r="N326" s="660"/>
      <c r="O326" s="660"/>
      <c r="P326" s="660"/>
      <c r="Q326" s="660"/>
      <c r="R326" s="660"/>
      <c r="S326" s="660"/>
      <c r="T326" s="660"/>
      <c r="U326" s="660"/>
      <c r="V326" s="660"/>
      <c r="W326" s="660"/>
      <c r="X326" s="660"/>
      <c r="Y326" s="660"/>
      <c r="Z326" s="660"/>
      <c r="AA326" s="642"/>
      <c r="AB326" s="642"/>
      <c r="AC326" s="642"/>
    </row>
    <row r="327" spans="1:68" ht="14.25" hidden="1" customHeight="1" x14ac:dyDescent="0.25">
      <c r="A327" s="659" t="s">
        <v>110</v>
      </c>
      <c r="B327" s="660"/>
      <c r="C327" s="660"/>
      <c r="D327" s="660"/>
      <c r="E327" s="660"/>
      <c r="F327" s="660"/>
      <c r="G327" s="660"/>
      <c r="H327" s="660"/>
      <c r="I327" s="660"/>
      <c r="J327" s="660"/>
      <c r="K327" s="660"/>
      <c r="L327" s="660"/>
      <c r="M327" s="660"/>
      <c r="N327" s="660"/>
      <c r="O327" s="660"/>
      <c r="P327" s="660"/>
      <c r="Q327" s="660"/>
      <c r="R327" s="660"/>
      <c r="S327" s="660"/>
      <c r="T327" s="660"/>
      <c r="U327" s="660"/>
      <c r="V327" s="660"/>
      <c r="W327" s="660"/>
      <c r="X327" s="660"/>
      <c r="Y327" s="660"/>
      <c r="Z327" s="660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51">
        <v>4680115889637</v>
      </c>
      <c r="E328" s="65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54"/>
      <c r="R328" s="654"/>
      <c r="S328" s="654"/>
      <c r="T328" s="655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51">
        <v>4680115885837</v>
      </c>
      <c r="E329" s="65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54"/>
      <c r="R329" s="654"/>
      <c r="S329" s="654"/>
      <c r="T329" s="655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51">
        <v>4680115887237</v>
      </c>
      <c r="E330" s="65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54"/>
      <c r="R330" s="654"/>
      <c r="S330" s="654"/>
      <c r="T330" s="655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51">
        <v>4680115885806</v>
      </c>
      <c r="E331" s="65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3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54"/>
      <c r="R331" s="654"/>
      <c r="S331" s="654"/>
      <c r="T331" s="655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51">
        <v>4680115885844</v>
      </c>
      <c r="E332" s="65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54"/>
      <c r="R332" s="654"/>
      <c r="S332" s="654"/>
      <c r="T332" s="655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51">
        <v>4680115885820</v>
      </c>
      <c r="E333" s="65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2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54"/>
      <c r="R333" s="654"/>
      <c r="S333" s="654"/>
      <c r="T333" s="655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68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9"/>
      <c r="P334" s="663" t="s">
        <v>71</v>
      </c>
      <c r="Q334" s="664"/>
      <c r="R334" s="664"/>
      <c r="S334" s="664"/>
      <c r="T334" s="664"/>
      <c r="U334" s="664"/>
      <c r="V334" s="66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9"/>
      <c r="P335" s="663" t="s">
        <v>71</v>
      </c>
      <c r="Q335" s="664"/>
      <c r="R335" s="664"/>
      <c r="S335" s="664"/>
      <c r="T335" s="664"/>
      <c r="U335" s="664"/>
      <c r="V335" s="66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72" t="s">
        <v>553</v>
      </c>
      <c r="B336" s="660"/>
      <c r="C336" s="660"/>
      <c r="D336" s="660"/>
      <c r="E336" s="660"/>
      <c r="F336" s="660"/>
      <c r="G336" s="660"/>
      <c r="H336" s="660"/>
      <c r="I336" s="660"/>
      <c r="J336" s="660"/>
      <c r="K336" s="660"/>
      <c r="L336" s="660"/>
      <c r="M336" s="660"/>
      <c r="N336" s="660"/>
      <c r="O336" s="660"/>
      <c r="P336" s="660"/>
      <c r="Q336" s="660"/>
      <c r="R336" s="660"/>
      <c r="S336" s="660"/>
      <c r="T336" s="660"/>
      <c r="U336" s="660"/>
      <c r="V336" s="660"/>
      <c r="W336" s="660"/>
      <c r="X336" s="660"/>
      <c r="Y336" s="660"/>
      <c r="Z336" s="660"/>
      <c r="AA336" s="642"/>
      <c r="AB336" s="642"/>
      <c r="AC336" s="642"/>
    </row>
    <row r="337" spans="1:68" ht="14.25" hidden="1" customHeight="1" x14ac:dyDescent="0.25">
      <c r="A337" s="659" t="s">
        <v>73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51">
        <v>4680115886186</v>
      </c>
      <c r="E338" s="65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54"/>
      <c r="R338" s="654"/>
      <c r="S338" s="654"/>
      <c r="T338" s="655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51">
        <v>4680115881228</v>
      </c>
      <c r="E339" s="65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54"/>
      <c r="R339" s="654"/>
      <c r="S339" s="654"/>
      <c r="T339" s="655"/>
      <c r="U339" s="34"/>
      <c r="V339" s="34"/>
      <c r="W339" s="35" t="s">
        <v>66</v>
      </c>
      <c r="X339" s="647">
        <v>35</v>
      </c>
      <c r="Y339" s="648">
        <f>IFERROR(IF(X339="",0,CEILING((X339/$H339),1)*$H339),"")</f>
        <v>36</v>
      </c>
      <c r="Z339" s="36">
        <f>IFERROR(IF(Y339=0,"",ROUNDUP(Y339/H339,0)*0.00651),"")</f>
        <v>9.7650000000000001E-2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38.675000000000004</v>
      </c>
      <c r="BN339" s="64">
        <f>IFERROR(Y339*I339/H339,"0")</f>
        <v>39.780000000000008</v>
      </c>
      <c r="BO339" s="64">
        <f>IFERROR(1/J339*(X339/H339),"0")</f>
        <v>8.0128205128205135E-2</v>
      </c>
      <c r="BP339" s="64">
        <f>IFERROR(1/J339*(Y339/H339),"0")</f>
        <v>8.241758241758243E-2</v>
      </c>
    </row>
    <row r="340" spans="1:68" ht="27" customHeight="1" x14ac:dyDescent="0.25">
      <c r="A340" s="54" t="s">
        <v>560</v>
      </c>
      <c r="B340" s="54" t="s">
        <v>561</v>
      </c>
      <c r="C340" s="31">
        <v>4301051388</v>
      </c>
      <c r="D340" s="651">
        <v>4680115881211</v>
      </c>
      <c r="E340" s="65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80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54"/>
      <c r="R340" s="654"/>
      <c r="S340" s="654"/>
      <c r="T340" s="655"/>
      <c r="U340" s="34"/>
      <c r="V340" s="34"/>
      <c r="W340" s="35" t="s">
        <v>66</v>
      </c>
      <c r="X340" s="647">
        <v>77</v>
      </c>
      <c r="Y340" s="648">
        <f>IFERROR(IF(X340="",0,CEILING((X340/$H340),1)*$H340),"")</f>
        <v>79.2</v>
      </c>
      <c r="Z340" s="36">
        <f>IFERROR(IF(Y340=0,"",ROUNDUP(Y340/H340,0)*0.00651),"")</f>
        <v>0.21482999999999999</v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82.775000000000006</v>
      </c>
      <c r="BN340" s="64">
        <f>IFERROR(Y340*I340/H340,"0")</f>
        <v>85.140000000000015</v>
      </c>
      <c r="BO340" s="64">
        <f>IFERROR(1/J340*(X340/H340),"0")</f>
        <v>0.17628205128205132</v>
      </c>
      <c r="BP340" s="64">
        <f>IFERROR(1/J340*(Y340/H340),"0")</f>
        <v>0.18131868131868134</v>
      </c>
    </row>
    <row r="341" spans="1:68" x14ac:dyDescent="0.2">
      <c r="A341" s="668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9"/>
      <c r="P341" s="663" t="s">
        <v>71</v>
      </c>
      <c r="Q341" s="664"/>
      <c r="R341" s="664"/>
      <c r="S341" s="664"/>
      <c r="T341" s="664"/>
      <c r="U341" s="664"/>
      <c r="V341" s="665"/>
      <c r="W341" s="37" t="s">
        <v>72</v>
      </c>
      <c r="X341" s="649">
        <f>IFERROR(X338/H338,"0")+IFERROR(X339/H339,"0")+IFERROR(X340/H340,"0")</f>
        <v>46.666666666666671</v>
      </c>
      <c r="Y341" s="649">
        <f>IFERROR(Y338/H338,"0")+IFERROR(Y339/H339,"0")+IFERROR(Y340/H340,"0")</f>
        <v>48</v>
      </c>
      <c r="Z341" s="649">
        <f>IFERROR(IF(Z338="",0,Z338),"0")+IFERROR(IF(Z339="",0,Z339),"0")+IFERROR(IF(Z340="",0,Z340),"0")</f>
        <v>0.31247999999999998</v>
      </c>
      <c r="AA341" s="650"/>
      <c r="AB341" s="650"/>
      <c r="AC341" s="650"/>
    </row>
    <row r="342" spans="1:68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9"/>
      <c r="P342" s="663" t="s">
        <v>71</v>
      </c>
      <c r="Q342" s="664"/>
      <c r="R342" s="664"/>
      <c r="S342" s="664"/>
      <c r="T342" s="664"/>
      <c r="U342" s="664"/>
      <c r="V342" s="665"/>
      <c r="W342" s="37" t="s">
        <v>66</v>
      </c>
      <c r="X342" s="649">
        <f>IFERROR(SUM(X338:X340),"0")</f>
        <v>112</v>
      </c>
      <c r="Y342" s="649">
        <f>IFERROR(SUM(Y338:Y340),"0")</f>
        <v>115.2</v>
      </c>
      <c r="Z342" s="37"/>
      <c r="AA342" s="650"/>
      <c r="AB342" s="650"/>
      <c r="AC342" s="650"/>
    </row>
    <row r="343" spans="1:68" ht="16.5" hidden="1" customHeight="1" x14ac:dyDescent="0.25">
      <c r="A343" s="672" t="s">
        <v>562</v>
      </c>
      <c r="B343" s="660"/>
      <c r="C343" s="660"/>
      <c r="D343" s="660"/>
      <c r="E343" s="660"/>
      <c r="F343" s="660"/>
      <c r="G343" s="660"/>
      <c r="H343" s="660"/>
      <c r="I343" s="660"/>
      <c r="J343" s="660"/>
      <c r="K343" s="660"/>
      <c r="L343" s="660"/>
      <c r="M343" s="660"/>
      <c r="N343" s="660"/>
      <c r="O343" s="660"/>
      <c r="P343" s="660"/>
      <c r="Q343" s="660"/>
      <c r="R343" s="660"/>
      <c r="S343" s="660"/>
      <c r="T343" s="660"/>
      <c r="U343" s="660"/>
      <c r="V343" s="660"/>
      <c r="W343" s="660"/>
      <c r="X343" s="660"/>
      <c r="Y343" s="660"/>
      <c r="Z343" s="660"/>
      <c r="AA343" s="642"/>
      <c r="AB343" s="642"/>
      <c r="AC343" s="642"/>
    </row>
    <row r="344" spans="1:68" ht="14.25" hidden="1" customHeight="1" x14ac:dyDescent="0.25">
      <c r="A344" s="659" t="s">
        <v>61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51">
        <v>4680115888319</v>
      </c>
      <c r="E345" s="65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54"/>
      <c r="R345" s="654"/>
      <c r="S345" s="654"/>
      <c r="T345" s="655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51">
        <v>4680115884700</v>
      </c>
      <c r="E346" s="65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54"/>
      <c r="R346" s="654"/>
      <c r="S346" s="654"/>
      <c r="T346" s="655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51">
        <v>4680115880344</v>
      </c>
      <c r="E347" s="65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54"/>
      <c r="R347" s="654"/>
      <c r="S347" s="654"/>
      <c r="T347" s="655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51">
        <v>4680115886919</v>
      </c>
      <c r="E348" s="65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54"/>
      <c r="R348" s="654"/>
      <c r="S348" s="654"/>
      <c r="T348" s="655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51">
        <v>4680115883970</v>
      </c>
      <c r="E349" s="65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96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54"/>
      <c r="R349" s="654"/>
      <c r="S349" s="654"/>
      <c r="T349" s="655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8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9"/>
      <c r="P350" s="663" t="s">
        <v>71</v>
      </c>
      <c r="Q350" s="664"/>
      <c r="R350" s="664"/>
      <c r="S350" s="664"/>
      <c r="T350" s="664"/>
      <c r="U350" s="664"/>
      <c r="V350" s="66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9"/>
      <c r="P351" s="663" t="s">
        <v>71</v>
      </c>
      <c r="Q351" s="664"/>
      <c r="R351" s="664"/>
      <c r="S351" s="664"/>
      <c r="T351" s="664"/>
      <c r="U351" s="664"/>
      <c r="V351" s="66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59" t="s">
        <v>73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51">
        <v>4680115884618</v>
      </c>
      <c r="E353" s="65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54"/>
      <c r="R353" s="654"/>
      <c r="S353" s="654"/>
      <c r="T353" s="655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51">
        <v>4680115887114</v>
      </c>
      <c r="E354" s="65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9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54"/>
      <c r="R354" s="654"/>
      <c r="S354" s="654"/>
      <c r="T354" s="655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68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9"/>
      <c r="P355" s="663" t="s">
        <v>71</v>
      </c>
      <c r="Q355" s="664"/>
      <c r="R355" s="664"/>
      <c r="S355" s="664"/>
      <c r="T355" s="664"/>
      <c r="U355" s="664"/>
      <c r="V355" s="66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9"/>
      <c r="P356" s="663" t="s">
        <v>71</v>
      </c>
      <c r="Q356" s="664"/>
      <c r="R356" s="664"/>
      <c r="S356" s="664"/>
      <c r="T356" s="664"/>
      <c r="U356" s="664"/>
      <c r="V356" s="66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72" t="s">
        <v>583</v>
      </c>
      <c r="B357" s="660"/>
      <c r="C357" s="660"/>
      <c r="D357" s="660"/>
      <c r="E357" s="660"/>
      <c r="F357" s="660"/>
      <c r="G357" s="660"/>
      <c r="H357" s="660"/>
      <c r="I357" s="660"/>
      <c r="J357" s="660"/>
      <c r="K357" s="660"/>
      <c r="L357" s="660"/>
      <c r="M357" s="660"/>
      <c r="N357" s="660"/>
      <c r="O357" s="660"/>
      <c r="P357" s="660"/>
      <c r="Q357" s="660"/>
      <c r="R357" s="660"/>
      <c r="S357" s="660"/>
      <c r="T357" s="660"/>
      <c r="U357" s="660"/>
      <c r="V357" s="660"/>
      <c r="W357" s="660"/>
      <c r="X357" s="660"/>
      <c r="Y357" s="660"/>
      <c r="Z357" s="660"/>
      <c r="AA357" s="642"/>
      <c r="AB357" s="642"/>
      <c r="AC357" s="642"/>
    </row>
    <row r="358" spans="1:68" ht="14.25" hidden="1" customHeight="1" x14ac:dyDescent="0.25">
      <c r="A358" s="659" t="s">
        <v>110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51">
        <v>4680115887947</v>
      </c>
      <c r="E359" s="65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54"/>
      <c r="R359" s="654"/>
      <c r="S359" s="654"/>
      <c r="T359" s="655"/>
      <c r="U359" s="34"/>
      <c r="V359" s="34"/>
      <c r="W359" s="35" t="s">
        <v>66</v>
      </c>
      <c r="X359" s="647">
        <v>96</v>
      </c>
      <c r="Y359" s="648">
        <f>IFERROR(IF(X359="",0,CEILING((X359/$H359),1)*$H359),"")</f>
        <v>101.39999999999999</v>
      </c>
      <c r="Z359" s="36">
        <f>IFERROR(IF(Y359=0,"",ROUNDUP(Y359/H359,0)*0.01898),"")</f>
        <v>0.24674000000000001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101.04615384615386</v>
      </c>
      <c r="BN359" s="64">
        <f>IFERROR(Y359*I359/H359,"0")</f>
        <v>106.73</v>
      </c>
      <c r="BO359" s="64">
        <f>IFERROR(1/J359*(X359/H359),"0")</f>
        <v>0.19230769230769232</v>
      </c>
      <c r="BP359" s="64">
        <f>IFERROR(1/J359*(Y359/H359),"0")</f>
        <v>0.203125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51">
        <v>4680115887978</v>
      </c>
      <c r="E360" s="65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54"/>
      <c r="R360" s="654"/>
      <c r="S360" s="654"/>
      <c r="T360" s="655"/>
      <c r="U360" s="34"/>
      <c r="V360" s="34"/>
      <c r="W360" s="35" t="s">
        <v>66</v>
      </c>
      <c r="X360" s="647">
        <v>145</v>
      </c>
      <c r="Y360" s="648">
        <f>IFERROR(IF(X360="",0,CEILING((X360/$H360),1)*$H360),"")</f>
        <v>148.19999999999999</v>
      </c>
      <c r="Z360" s="36">
        <f>IFERROR(IF(Y360=0,"",ROUNDUP(Y360/H360,0)*0.01898),"")</f>
        <v>0.36062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152.62179487179489</v>
      </c>
      <c r="BN360" s="64">
        <f>IFERROR(Y360*I360/H360,"0")</f>
        <v>155.99</v>
      </c>
      <c r="BO360" s="64">
        <f>IFERROR(1/J360*(X360/H360),"0")</f>
        <v>0.29046474358974361</v>
      </c>
      <c r="BP360" s="64">
        <f>IFERROR(1/J360*(Y360/H360),"0")</f>
        <v>0.296875</v>
      </c>
    </row>
    <row r="361" spans="1:68" ht="27" customHeight="1" x14ac:dyDescent="0.25">
      <c r="A361" s="54" t="s">
        <v>589</v>
      </c>
      <c r="B361" s="54" t="s">
        <v>590</v>
      </c>
      <c r="C361" s="31">
        <v>4301012327</v>
      </c>
      <c r="D361" s="651">
        <v>4680115887992</v>
      </c>
      <c r="E361" s="65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54"/>
      <c r="R361" s="654"/>
      <c r="S361" s="654"/>
      <c r="T361" s="655"/>
      <c r="U361" s="34"/>
      <c r="V361" s="34"/>
      <c r="W361" s="35" t="s">
        <v>66</v>
      </c>
      <c r="X361" s="647">
        <v>13</v>
      </c>
      <c r="Y361" s="648">
        <f>IFERROR(IF(X361="",0,CEILING((X361/$H361),1)*$H361),"")</f>
        <v>15.6</v>
      </c>
      <c r="Z361" s="36">
        <f>IFERROR(IF(Y361=0,"",ROUNDUP(Y361/H361,0)*0.01898),"")</f>
        <v>3.7960000000000001E-2</v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13.683333333333335</v>
      </c>
      <c r="BN361" s="64">
        <f>IFERROR(Y361*I361/H361,"0")</f>
        <v>16.420000000000002</v>
      </c>
      <c r="BO361" s="64">
        <f>IFERROR(1/J361*(X361/H361),"0")</f>
        <v>2.6041666666666668E-2</v>
      </c>
      <c r="BP361" s="64">
        <f>IFERROR(1/J361*(Y361/H361),"0")</f>
        <v>3.125E-2</v>
      </c>
    </row>
    <row r="362" spans="1:68" x14ac:dyDescent="0.2">
      <c r="A362" s="668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9"/>
      <c r="P362" s="663" t="s">
        <v>71</v>
      </c>
      <c r="Q362" s="664"/>
      <c r="R362" s="664"/>
      <c r="S362" s="664"/>
      <c r="T362" s="664"/>
      <c r="U362" s="664"/>
      <c r="V362" s="665"/>
      <c r="W362" s="37" t="s">
        <v>72</v>
      </c>
      <c r="X362" s="649">
        <f>IFERROR(X359/H359,"0")+IFERROR(X360/H360,"0")+IFERROR(X361/H361,"0")</f>
        <v>32.564102564102562</v>
      </c>
      <c r="Y362" s="649">
        <f>IFERROR(Y359/H359,"0")+IFERROR(Y360/H360,"0")+IFERROR(Y361/H361,"0")</f>
        <v>34</v>
      </c>
      <c r="Z362" s="649">
        <f>IFERROR(IF(Z359="",0,Z359),"0")+IFERROR(IF(Z360="",0,Z360),"0")+IFERROR(IF(Z361="",0,Z361),"0")</f>
        <v>0.64532</v>
      </c>
      <c r="AA362" s="650"/>
      <c r="AB362" s="650"/>
      <c r="AC362" s="650"/>
    </row>
    <row r="363" spans="1:68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9"/>
      <c r="P363" s="663" t="s">
        <v>71</v>
      </c>
      <c r="Q363" s="664"/>
      <c r="R363" s="664"/>
      <c r="S363" s="664"/>
      <c r="T363" s="664"/>
      <c r="U363" s="664"/>
      <c r="V363" s="665"/>
      <c r="W363" s="37" t="s">
        <v>66</v>
      </c>
      <c r="X363" s="649">
        <f>IFERROR(SUM(X359:X361),"0")</f>
        <v>254</v>
      </c>
      <c r="Y363" s="649">
        <f>IFERROR(SUM(Y359:Y361),"0")</f>
        <v>265.2</v>
      </c>
      <c r="Z363" s="37"/>
      <c r="AA363" s="650"/>
      <c r="AB363" s="650"/>
      <c r="AC363" s="650"/>
    </row>
    <row r="364" spans="1:68" ht="16.5" hidden="1" customHeight="1" x14ac:dyDescent="0.25">
      <c r="A364" s="672" t="s">
        <v>592</v>
      </c>
      <c r="B364" s="660"/>
      <c r="C364" s="660"/>
      <c r="D364" s="660"/>
      <c r="E364" s="660"/>
      <c r="F364" s="660"/>
      <c r="G364" s="660"/>
      <c r="H364" s="660"/>
      <c r="I364" s="660"/>
      <c r="J364" s="660"/>
      <c r="K364" s="660"/>
      <c r="L364" s="660"/>
      <c r="M364" s="660"/>
      <c r="N364" s="660"/>
      <c r="O364" s="660"/>
      <c r="P364" s="660"/>
      <c r="Q364" s="660"/>
      <c r="R364" s="660"/>
      <c r="S364" s="660"/>
      <c r="T364" s="660"/>
      <c r="U364" s="660"/>
      <c r="V364" s="660"/>
      <c r="W364" s="660"/>
      <c r="X364" s="660"/>
      <c r="Y364" s="660"/>
      <c r="Z364" s="660"/>
      <c r="AA364" s="642"/>
      <c r="AB364" s="642"/>
      <c r="AC364" s="642"/>
    </row>
    <row r="365" spans="1:68" ht="14.25" hidden="1" customHeight="1" x14ac:dyDescent="0.25">
      <c r="A365" s="659" t="s">
        <v>110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51">
        <v>4680115889880</v>
      </c>
      <c r="E366" s="65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54"/>
      <c r="R366" s="654"/>
      <c r="S366" s="654"/>
      <c r="T366" s="655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51">
        <v>4680115889293</v>
      </c>
      <c r="E367" s="65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7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4"/>
      <c r="R367" s="654"/>
      <c r="S367" s="654"/>
      <c r="T367" s="655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51">
        <v>4680115887190</v>
      </c>
      <c r="E368" s="65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4"/>
      <c r="R368" s="654"/>
      <c r="S368" s="654"/>
      <c r="T368" s="655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hidden="1" customHeight="1" x14ac:dyDescent="0.25">
      <c r="A369" s="54" t="s">
        <v>601</v>
      </c>
      <c r="B369" s="54" t="s">
        <v>602</v>
      </c>
      <c r="C369" s="31">
        <v>4301012233</v>
      </c>
      <c r="D369" s="651">
        <v>4680115887138</v>
      </c>
      <c r="E369" s="65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54"/>
      <c r="R369" s="654"/>
      <c r="S369" s="654"/>
      <c r="T369" s="655"/>
      <c r="U369" s="34"/>
      <c r="V369" s="34"/>
      <c r="W369" s="35" t="s">
        <v>66</v>
      </c>
      <c r="X369" s="647">
        <v>0</v>
      </c>
      <c r="Y369" s="648">
        <f t="shared" si="58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51">
        <v>4680115885554</v>
      </c>
      <c r="E370" s="65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9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54"/>
      <c r="R370" s="654"/>
      <c r="S370" s="654"/>
      <c r="T370" s="655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51">
        <v>4680115887220</v>
      </c>
      <c r="E371" s="65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8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54"/>
      <c r="R371" s="654"/>
      <c r="S371" s="654"/>
      <c r="T371" s="655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51">
        <v>4680115885608</v>
      </c>
      <c r="E372" s="65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54"/>
      <c r="R372" s="654"/>
      <c r="S372" s="654"/>
      <c r="T372" s="655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hidden="1" x14ac:dyDescent="0.2">
      <c r="A373" s="668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9"/>
      <c r="P373" s="663" t="s">
        <v>71</v>
      </c>
      <c r="Q373" s="664"/>
      <c r="R373" s="664"/>
      <c r="S373" s="664"/>
      <c r="T373" s="664"/>
      <c r="U373" s="664"/>
      <c r="V373" s="66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0</v>
      </c>
      <c r="Y373" s="649">
        <f>IFERROR(Y366/H366,"0")+IFERROR(Y367/H367,"0")+IFERROR(Y368/H368,"0")+IFERROR(Y369/H369,"0")+IFERROR(Y370/H370,"0")+IFERROR(Y371/H371,"0")+IFERROR(Y372/H372,"0")</f>
        <v>0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50"/>
      <c r="AB373" s="650"/>
      <c r="AC373" s="650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9"/>
      <c r="P374" s="663" t="s">
        <v>71</v>
      </c>
      <c r="Q374" s="664"/>
      <c r="R374" s="664"/>
      <c r="S374" s="664"/>
      <c r="T374" s="664"/>
      <c r="U374" s="664"/>
      <c r="V374" s="665"/>
      <c r="W374" s="37" t="s">
        <v>66</v>
      </c>
      <c r="X374" s="649">
        <f>IFERROR(SUM(X366:X372),"0")</f>
        <v>0</v>
      </c>
      <c r="Y374" s="649">
        <f>IFERROR(SUM(Y366:Y372),"0")</f>
        <v>0</v>
      </c>
      <c r="Z374" s="37"/>
      <c r="AA374" s="650"/>
      <c r="AB374" s="650"/>
      <c r="AC374" s="650"/>
    </row>
    <row r="375" spans="1:68" ht="14.25" hidden="1" customHeight="1" x14ac:dyDescent="0.25">
      <c r="A375" s="659" t="s">
        <v>61</v>
      </c>
      <c r="B375" s="660"/>
      <c r="C375" s="660"/>
      <c r="D375" s="660"/>
      <c r="E375" s="660"/>
      <c r="F375" s="660"/>
      <c r="G375" s="660"/>
      <c r="H375" s="660"/>
      <c r="I375" s="660"/>
      <c r="J375" s="660"/>
      <c r="K375" s="660"/>
      <c r="L375" s="660"/>
      <c r="M375" s="660"/>
      <c r="N375" s="660"/>
      <c r="O375" s="660"/>
      <c r="P375" s="660"/>
      <c r="Q375" s="660"/>
      <c r="R375" s="660"/>
      <c r="S375" s="660"/>
      <c r="T375" s="660"/>
      <c r="U375" s="660"/>
      <c r="V375" s="660"/>
      <c r="W375" s="660"/>
      <c r="X375" s="660"/>
      <c r="Y375" s="660"/>
      <c r="Z375" s="660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51">
        <v>4607091387193</v>
      </c>
      <c r="E376" s="65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54"/>
      <c r="R376" s="654"/>
      <c r="S376" s="654"/>
      <c r="T376" s="655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customHeight="1" x14ac:dyDescent="0.25">
      <c r="A377" s="54" t="s">
        <v>615</v>
      </c>
      <c r="B377" s="54" t="s">
        <v>616</v>
      </c>
      <c r="C377" s="31">
        <v>4301031153</v>
      </c>
      <c r="D377" s="651">
        <v>4607091387230</v>
      </c>
      <c r="E377" s="65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54"/>
      <c r="R377" s="654"/>
      <c r="S377" s="654"/>
      <c r="T377" s="655"/>
      <c r="U377" s="34"/>
      <c r="V377" s="34"/>
      <c r="W377" s="35" t="s">
        <v>66</v>
      </c>
      <c r="X377" s="647">
        <v>80</v>
      </c>
      <c r="Y377" s="648">
        <f t="shared" si="63"/>
        <v>84</v>
      </c>
      <c r="Z377" s="36">
        <f>IFERROR(IF(Y377=0,"",ROUNDUP(Y377/H377,0)*0.00902),"")</f>
        <v>0.1804</v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84.761904761904759</v>
      </c>
      <c r="BN377" s="64">
        <f t="shared" si="65"/>
        <v>89</v>
      </c>
      <c r="BO377" s="64">
        <f t="shared" si="66"/>
        <v>0.14430014430014429</v>
      </c>
      <c r="BP377" s="64">
        <f t="shared" si="67"/>
        <v>0.15151515151515152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51">
        <v>4607091387292</v>
      </c>
      <c r="E378" s="65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54"/>
      <c r="R378" s="654"/>
      <c r="S378" s="654"/>
      <c r="T378" s="655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51">
        <v>4607091387285</v>
      </c>
      <c r="E379" s="65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54"/>
      <c r="R379" s="654"/>
      <c r="S379" s="654"/>
      <c r="T379" s="655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51">
        <v>4607091389845</v>
      </c>
      <c r="E380" s="65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54"/>
      <c r="R380" s="654"/>
      <c r="S380" s="654"/>
      <c r="T380" s="655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51">
        <v>4680115887442</v>
      </c>
      <c r="E381" s="65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54"/>
      <c r="R381" s="654"/>
      <c r="S381" s="654"/>
      <c r="T381" s="655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customHeight="1" x14ac:dyDescent="0.25">
      <c r="A382" s="54" t="s">
        <v>628</v>
      </c>
      <c r="B382" s="54" t="s">
        <v>629</v>
      </c>
      <c r="C382" s="31">
        <v>4301031066</v>
      </c>
      <c r="D382" s="651">
        <v>4607091383836</v>
      </c>
      <c r="E382" s="65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54"/>
      <c r="R382" s="654"/>
      <c r="S382" s="654"/>
      <c r="T382" s="655"/>
      <c r="U382" s="34"/>
      <c r="V382" s="34"/>
      <c r="W382" s="35" t="s">
        <v>66</v>
      </c>
      <c r="X382" s="647">
        <v>6</v>
      </c>
      <c r="Y382" s="648">
        <f t="shared" si="63"/>
        <v>7.2</v>
      </c>
      <c r="Z382" s="36">
        <f>IFERROR(IF(Y382=0,"",ROUNDUP(Y382/H382,0)*0.00651),"")</f>
        <v>2.6040000000000001E-2</v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6.76</v>
      </c>
      <c r="BN382" s="64">
        <f t="shared" si="65"/>
        <v>8.1120000000000001</v>
      </c>
      <c r="BO382" s="64">
        <f t="shared" si="66"/>
        <v>1.8315018315018316E-2</v>
      </c>
      <c r="BP382" s="64">
        <f t="shared" si="67"/>
        <v>2.197802197802198E-2</v>
      </c>
    </row>
    <row r="383" spans="1:68" x14ac:dyDescent="0.2">
      <c r="A383" s="668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9"/>
      <c r="P383" s="663" t="s">
        <v>71</v>
      </c>
      <c r="Q383" s="664"/>
      <c r="R383" s="664"/>
      <c r="S383" s="664"/>
      <c r="T383" s="664"/>
      <c r="U383" s="664"/>
      <c r="V383" s="66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22.38095238095238</v>
      </c>
      <c r="Y383" s="649">
        <f>IFERROR(Y376/H376,"0")+IFERROR(Y377/H377,"0")+IFERROR(Y378/H378,"0")+IFERROR(Y379/H379,"0")+IFERROR(Y380/H380,"0")+IFERROR(Y381/H381,"0")+IFERROR(Y382/H382,"0")</f>
        <v>24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0.20644000000000001</v>
      </c>
      <c r="AA383" s="650"/>
      <c r="AB383" s="650"/>
      <c r="AC383" s="650"/>
    </row>
    <row r="384" spans="1:68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9"/>
      <c r="P384" s="663" t="s">
        <v>71</v>
      </c>
      <c r="Q384" s="664"/>
      <c r="R384" s="664"/>
      <c r="S384" s="664"/>
      <c r="T384" s="664"/>
      <c r="U384" s="664"/>
      <c r="V384" s="665"/>
      <c r="W384" s="37" t="s">
        <v>66</v>
      </c>
      <c r="X384" s="649">
        <f>IFERROR(SUM(X376:X382),"0")</f>
        <v>86</v>
      </c>
      <c r="Y384" s="649">
        <f>IFERROR(SUM(Y376:Y382),"0")</f>
        <v>91.2</v>
      </c>
      <c r="Z384" s="37"/>
      <c r="AA384" s="650"/>
      <c r="AB384" s="650"/>
      <c r="AC384" s="650"/>
    </row>
    <row r="385" spans="1:68" ht="14.25" hidden="1" customHeight="1" x14ac:dyDescent="0.25">
      <c r="A385" s="659" t="s">
        <v>73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51">
        <v>4607091387766</v>
      </c>
      <c r="E386" s="65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54"/>
      <c r="R386" s="654"/>
      <c r="S386" s="654"/>
      <c r="T386" s="655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51">
        <v>4607091387957</v>
      </c>
      <c r="E387" s="65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54"/>
      <c r="R387" s="654"/>
      <c r="S387" s="654"/>
      <c r="T387" s="655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51">
        <v>4607091387964</v>
      </c>
      <c r="E388" s="65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54"/>
      <c r="R388" s="654"/>
      <c r="S388" s="654"/>
      <c r="T388" s="655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51">
        <v>4680115884588</v>
      </c>
      <c r="E389" s="65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54"/>
      <c r="R389" s="654"/>
      <c r="S389" s="654"/>
      <c r="T389" s="655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68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9"/>
      <c r="P390" s="663" t="s">
        <v>71</v>
      </c>
      <c r="Q390" s="664"/>
      <c r="R390" s="664"/>
      <c r="S390" s="664"/>
      <c r="T390" s="664"/>
      <c r="U390" s="664"/>
      <c r="V390" s="66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9"/>
      <c r="P391" s="663" t="s">
        <v>71</v>
      </c>
      <c r="Q391" s="664"/>
      <c r="R391" s="664"/>
      <c r="S391" s="664"/>
      <c r="T391" s="664"/>
      <c r="U391" s="664"/>
      <c r="V391" s="66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59" t="s">
        <v>166</v>
      </c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0"/>
      <c r="P392" s="660"/>
      <c r="Q392" s="660"/>
      <c r="R392" s="660"/>
      <c r="S392" s="660"/>
      <c r="T392" s="660"/>
      <c r="U392" s="660"/>
      <c r="V392" s="660"/>
      <c r="W392" s="660"/>
      <c r="X392" s="660"/>
      <c r="Y392" s="660"/>
      <c r="Z392" s="660"/>
      <c r="AA392" s="643"/>
      <c r="AB392" s="643"/>
      <c r="AC392" s="643"/>
    </row>
    <row r="393" spans="1:68" ht="27" hidden="1" customHeight="1" x14ac:dyDescent="0.25">
      <c r="A393" s="54" t="s">
        <v>642</v>
      </c>
      <c r="B393" s="54" t="s">
        <v>643</v>
      </c>
      <c r="C393" s="31">
        <v>4301060387</v>
      </c>
      <c r="D393" s="651">
        <v>4607091380880</v>
      </c>
      <c r="E393" s="65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54"/>
      <c r="R393" s="654"/>
      <c r="S393" s="654"/>
      <c r="T393" s="655"/>
      <c r="U393" s="34"/>
      <c r="V393" s="34"/>
      <c r="W393" s="35" t="s">
        <v>66</v>
      </c>
      <c r="X393" s="647">
        <v>0</v>
      </c>
      <c r="Y393" s="648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51">
        <v>4607091384482</v>
      </c>
      <c r="E394" s="65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54"/>
      <c r="R394" s="654"/>
      <c r="S394" s="654"/>
      <c r="T394" s="655"/>
      <c r="U394" s="34"/>
      <c r="V394" s="34"/>
      <c r="W394" s="35" t="s">
        <v>66</v>
      </c>
      <c r="X394" s="647">
        <v>313</v>
      </c>
      <c r="Y394" s="648">
        <f>IFERROR(IF(X394="",0,CEILING((X394/$H394),1)*$H394),"")</f>
        <v>319.8</v>
      </c>
      <c r="Z394" s="36">
        <f>IFERROR(IF(Y394=0,"",ROUNDUP(Y394/H394,0)*0.01898),"")</f>
        <v>0.77817999999999998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332.82333333333332</v>
      </c>
      <c r="BN394" s="64">
        <f>IFERROR(Y394*I394/H394,"0")</f>
        <v>340.05400000000003</v>
      </c>
      <c r="BO394" s="64">
        <f>IFERROR(1/J394*(X394/H394),"0")</f>
        <v>0.62700320512820518</v>
      </c>
      <c r="BP394" s="64">
        <f>IFERROR(1/J394*(Y394/H394),"0")</f>
        <v>0.640625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4301060484</v>
      </c>
      <c r="D395" s="651">
        <v>4607091380897</v>
      </c>
      <c r="E395" s="65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54"/>
      <c r="R395" s="654"/>
      <c r="S395" s="654"/>
      <c r="T395" s="655"/>
      <c r="U395" s="34"/>
      <c r="V395" s="34"/>
      <c r="W395" s="35" t="s">
        <v>66</v>
      </c>
      <c r="X395" s="647">
        <v>0</v>
      </c>
      <c r="Y395" s="648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8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9"/>
      <c r="P396" s="663" t="s">
        <v>71</v>
      </c>
      <c r="Q396" s="664"/>
      <c r="R396" s="664"/>
      <c r="S396" s="664"/>
      <c r="T396" s="664"/>
      <c r="U396" s="664"/>
      <c r="V396" s="665"/>
      <c r="W396" s="37" t="s">
        <v>72</v>
      </c>
      <c r="X396" s="649">
        <f>IFERROR(X393/H393,"0")+IFERROR(X394/H394,"0")+IFERROR(X395/H395,"0")</f>
        <v>40.128205128205131</v>
      </c>
      <c r="Y396" s="649">
        <f>IFERROR(Y393/H393,"0")+IFERROR(Y394/H394,"0")+IFERROR(Y395/H395,"0")</f>
        <v>41</v>
      </c>
      <c r="Z396" s="649">
        <f>IFERROR(IF(Z393="",0,Z393),"0")+IFERROR(IF(Z394="",0,Z394),"0")+IFERROR(IF(Z395="",0,Z395),"0")</f>
        <v>0.77817999999999998</v>
      </c>
      <c r="AA396" s="650"/>
      <c r="AB396" s="650"/>
      <c r="AC396" s="650"/>
    </row>
    <row r="397" spans="1:68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9"/>
      <c r="P397" s="663" t="s">
        <v>71</v>
      </c>
      <c r="Q397" s="664"/>
      <c r="R397" s="664"/>
      <c r="S397" s="664"/>
      <c r="T397" s="664"/>
      <c r="U397" s="664"/>
      <c r="V397" s="665"/>
      <c r="W397" s="37" t="s">
        <v>66</v>
      </c>
      <c r="X397" s="649">
        <f>IFERROR(SUM(X393:X395),"0")</f>
        <v>313</v>
      </c>
      <c r="Y397" s="649">
        <f>IFERROR(SUM(Y393:Y395),"0")</f>
        <v>319.8</v>
      </c>
      <c r="Z397" s="37"/>
      <c r="AA397" s="650"/>
      <c r="AB397" s="650"/>
      <c r="AC397" s="650"/>
    </row>
    <row r="398" spans="1:68" ht="14.25" hidden="1" customHeight="1" x14ac:dyDescent="0.25">
      <c r="A398" s="659" t="s">
        <v>271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51">
        <v>4607091388381</v>
      </c>
      <c r="E399" s="65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54"/>
      <c r="R399" s="654"/>
      <c r="S399" s="654"/>
      <c r="T399" s="655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4301030232</v>
      </c>
      <c r="D400" s="651">
        <v>4607091388374</v>
      </c>
      <c r="E400" s="65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54"/>
      <c r="R400" s="654"/>
      <c r="S400" s="654"/>
      <c r="T400" s="655"/>
      <c r="U400" s="34"/>
      <c r="V400" s="34"/>
      <c r="W400" s="35" t="s">
        <v>66</v>
      </c>
      <c r="X400" s="647">
        <v>0</v>
      </c>
      <c r="Y400" s="648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4301032015</v>
      </c>
      <c r="D401" s="651">
        <v>4607091383102</v>
      </c>
      <c r="E401" s="65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54"/>
      <c r="R401" s="654"/>
      <c r="S401" s="654"/>
      <c r="T401" s="655"/>
      <c r="U401" s="34"/>
      <c r="V401" s="34"/>
      <c r="W401" s="35" t="s">
        <v>66</v>
      </c>
      <c r="X401" s="647">
        <v>0</v>
      </c>
      <c r="Y401" s="648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658</v>
      </c>
      <c r="B402" s="54" t="s">
        <v>659</v>
      </c>
      <c r="C402" s="31">
        <v>4301030233</v>
      </c>
      <c r="D402" s="651">
        <v>4607091388404</v>
      </c>
      <c r="E402" s="65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54"/>
      <c r="R402" s="654"/>
      <c r="S402" s="654"/>
      <c r="T402" s="655"/>
      <c r="U402" s="34"/>
      <c r="V402" s="34"/>
      <c r="W402" s="35" t="s">
        <v>66</v>
      </c>
      <c r="X402" s="647">
        <v>15</v>
      </c>
      <c r="Y402" s="648">
        <f>IFERROR(IF(X402="",0,CEILING((X402/$H402),1)*$H402),"")</f>
        <v>15.299999999999999</v>
      </c>
      <c r="Z402" s="36">
        <f>IFERROR(IF(Y402=0,"",ROUNDUP(Y402/H402,0)*0.00651),"")</f>
        <v>3.9059999999999997E-2</v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16.941176470588236</v>
      </c>
      <c r="BN402" s="64">
        <f>IFERROR(Y402*I402/H402,"0")</f>
        <v>17.279999999999998</v>
      </c>
      <c r="BO402" s="64">
        <f>IFERROR(1/J402*(X402/H402),"0")</f>
        <v>3.2320620555914677E-2</v>
      </c>
      <c r="BP402" s="64">
        <f>IFERROR(1/J402*(Y402/H402),"0")</f>
        <v>3.2967032967032968E-2</v>
      </c>
    </row>
    <row r="403" spans="1:68" x14ac:dyDescent="0.2">
      <c r="A403" s="668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9"/>
      <c r="P403" s="663" t="s">
        <v>71</v>
      </c>
      <c r="Q403" s="664"/>
      <c r="R403" s="664"/>
      <c r="S403" s="664"/>
      <c r="T403" s="664"/>
      <c r="U403" s="664"/>
      <c r="V403" s="665"/>
      <c r="W403" s="37" t="s">
        <v>72</v>
      </c>
      <c r="X403" s="649">
        <f>IFERROR(X399/H399,"0")+IFERROR(X400/H400,"0")+IFERROR(X401/H401,"0")+IFERROR(X402/H402,"0")</f>
        <v>5.882352941176471</v>
      </c>
      <c r="Y403" s="649">
        <f>IFERROR(Y399/H399,"0")+IFERROR(Y400/H400,"0")+IFERROR(Y401/H401,"0")+IFERROR(Y402/H402,"0")</f>
        <v>6</v>
      </c>
      <c r="Z403" s="649">
        <f>IFERROR(IF(Z399="",0,Z399),"0")+IFERROR(IF(Z400="",0,Z400),"0")+IFERROR(IF(Z401="",0,Z401),"0")+IFERROR(IF(Z402="",0,Z402),"0")</f>
        <v>3.9059999999999997E-2</v>
      </c>
      <c r="AA403" s="650"/>
      <c r="AB403" s="650"/>
      <c r="AC403" s="650"/>
    </row>
    <row r="404" spans="1:68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9"/>
      <c r="P404" s="663" t="s">
        <v>71</v>
      </c>
      <c r="Q404" s="664"/>
      <c r="R404" s="664"/>
      <c r="S404" s="664"/>
      <c r="T404" s="664"/>
      <c r="U404" s="664"/>
      <c r="V404" s="665"/>
      <c r="W404" s="37" t="s">
        <v>66</v>
      </c>
      <c r="X404" s="649">
        <f>IFERROR(SUM(X399:X402),"0")</f>
        <v>15</v>
      </c>
      <c r="Y404" s="649">
        <f>IFERROR(SUM(Y399:Y402),"0")</f>
        <v>15.299999999999999</v>
      </c>
      <c r="Z404" s="37"/>
      <c r="AA404" s="650"/>
      <c r="AB404" s="650"/>
      <c r="AC404" s="650"/>
    </row>
    <row r="405" spans="1:68" ht="14.25" hidden="1" customHeight="1" x14ac:dyDescent="0.25">
      <c r="A405" s="659" t="s">
        <v>660</v>
      </c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0"/>
      <c r="P405" s="660"/>
      <c r="Q405" s="660"/>
      <c r="R405" s="660"/>
      <c r="S405" s="660"/>
      <c r="T405" s="660"/>
      <c r="U405" s="660"/>
      <c r="V405" s="660"/>
      <c r="W405" s="660"/>
      <c r="X405" s="660"/>
      <c r="Y405" s="660"/>
      <c r="Z405" s="660"/>
      <c r="AA405" s="643"/>
      <c r="AB405" s="643"/>
      <c r="AC405" s="643"/>
    </row>
    <row r="406" spans="1:68" ht="16.5" hidden="1" customHeight="1" x14ac:dyDescent="0.25">
      <c r="A406" s="54" t="s">
        <v>661</v>
      </c>
      <c r="B406" s="54" t="s">
        <v>662</v>
      </c>
      <c r="C406" s="31">
        <v>4301180007</v>
      </c>
      <c r="D406" s="651">
        <v>4680115881808</v>
      </c>
      <c r="E406" s="65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54"/>
      <c r="R406" s="654"/>
      <c r="S406" s="654"/>
      <c r="T406" s="655"/>
      <c r="U406" s="34"/>
      <c r="V406" s="34"/>
      <c r="W406" s="35" t="s">
        <v>66</v>
      </c>
      <c r="X406" s="647">
        <v>0</v>
      </c>
      <c r="Y406" s="648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4301180006</v>
      </c>
      <c r="D407" s="651">
        <v>4680115881822</v>
      </c>
      <c r="E407" s="65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54"/>
      <c r="R407" s="654"/>
      <c r="S407" s="654"/>
      <c r="T407" s="655"/>
      <c r="U407" s="34"/>
      <c r="V407" s="34"/>
      <c r="W407" s="35" t="s">
        <v>66</v>
      </c>
      <c r="X407" s="647">
        <v>0</v>
      </c>
      <c r="Y407" s="648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4301180001</v>
      </c>
      <c r="D408" s="651">
        <v>4680115880016</v>
      </c>
      <c r="E408" s="65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54"/>
      <c r="R408" s="654"/>
      <c r="S408" s="654"/>
      <c r="T408" s="655"/>
      <c r="U408" s="34"/>
      <c r="V408" s="34"/>
      <c r="W408" s="35" t="s">
        <v>66</v>
      </c>
      <c r="X408" s="647">
        <v>0</v>
      </c>
      <c r="Y408" s="648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668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9"/>
      <c r="P409" s="663" t="s">
        <v>71</v>
      </c>
      <c r="Q409" s="664"/>
      <c r="R409" s="664"/>
      <c r="S409" s="664"/>
      <c r="T409" s="664"/>
      <c r="U409" s="664"/>
      <c r="V409" s="665"/>
      <c r="W409" s="37" t="s">
        <v>72</v>
      </c>
      <c r="X409" s="649">
        <f>IFERROR(X406/H406,"0")+IFERROR(X407/H407,"0")+IFERROR(X408/H408,"0")</f>
        <v>0</v>
      </c>
      <c r="Y409" s="649">
        <f>IFERROR(Y406/H406,"0")+IFERROR(Y407/H407,"0")+IFERROR(Y408/H408,"0")</f>
        <v>0</v>
      </c>
      <c r="Z409" s="649">
        <f>IFERROR(IF(Z406="",0,Z406),"0")+IFERROR(IF(Z407="",0,Z407),"0")+IFERROR(IF(Z408="",0,Z408),"0")</f>
        <v>0</v>
      </c>
      <c r="AA409" s="650"/>
      <c r="AB409" s="650"/>
      <c r="AC409" s="650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9"/>
      <c r="P410" s="663" t="s">
        <v>71</v>
      </c>
      <c r="Q410" s="664"/>
      <c r="R410" s="664"/>
      <c r="S410" s="664"/>
      <c r="T410" s="664"/>
      <c r="U410" s="664"/>
      <c r="V410" s="665"/>
      <c r="W410" s="37" t="s">
        <v>66</v>
      </c>
      <c r="X410" s="649">
        <f>IFERROR(SUM(X406:X408),"0")</f>
        <v>0</v>
      </c>
      <c r="Y410" s="649">
        <f>IFERROR(SUM(Y406:Y408),"0")</f>
        <v>0</v>
      </c>
      <c r="Z410" s="37"/>
      <c r="AA410" s="650"/>
      <c r="AB410" s="650"/>
      <c r="AC410" s="650"/>
    </row>
    <row r="411" spans="1:68" ht="14.25" hidden="1" customHeight="1" x14ac:dyDescent="0.25">
      <c r="A411" s="659" t="s">
        <v>669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51">
        <v>4680115888678</v>
      </c>
      <c r="E412" s="65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54"/>
      <c r="R412" s="654"/>
      <c r="S412" s="654"/>
      <c r="T412" s="655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51">
        <v>4680115888654</v>
      </c>
      <c r="E413" s="65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54"/>
      <c r="R413" s="654"/>
      <c r="S413" s="654"/>
      <c r="T413" s="655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51">
        <v>4680115888753</v>
      </c>
      <c r="E414" s="65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77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54"/>
      <c r="R414" s="654"/>
      <c r="S414" s="654"/>
      <c r="T414" s="655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68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9"/>
      <c r="P415" s="663" t="s">
        <v>71</v>
      </c>
      <c r="Q415" s="664"/>
      <c r="R415" s="664"/>
      <c r="S415" s="664"/>
      <c r="T415" s="664"/>
      <c r="U415" s="664"/>
      <c r="V415" s="66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9"/>
      <c r="P416" s="663" t="s">
        <v>71</v>
      </c>
      <c r="Q416" s="664"/>
      <c r="R416" s="664"/>
      <c r="S416" s="664"/>
      <c r="T416" s="664"/>
      <c r="U416" s="664"/>
      <c r="V416" s="66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72" t="s">
        <v>678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42"/>
      <c r="AB417" s="642"/>
      <c r="AC417" s="642"/>
    </row>
    <row r="418" spans="1:68" ht="14.25" hidden="1" customHeight="1" x14ac:dyDescent="0.25">
      <c r="A418" s="659" t="s">
        <v>73</v>
      </c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0"/>
      <c r="P418" s="660"/>
      <c r="Q418" s="660"/>
      <c r="R418" s="660"/>
      <c r="S418" s="660"/>
      <c r="T418" s="660"/>
      <c r="U418" s="660"/>
      <c r="V418" s="660"/>
      <c r="W418" s="660"/>
      <c r="X418" s="660"/>
      <c r="Y418" s="660"/>
      <c r="Z418" s="660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51">
        <v>4680115889415</v>
      </c>
      <c r="E419" s="65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1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54"/>
      <c r="R419" s="654"/>
      <c r="S419" s="654"/>
      <c r="T419" s="655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51">
        <v>4680115889422</v>
      </c>
      <c r="E420" s="65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54"/>
      <c r="R420" s="654"/>
      <c r="S420" s="654"/>
      <c r="T420" s="655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8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9"/>
      <c r="P421" s="663" t="s">
        <v>71</v>
      </c>
      <c r="Q421" s="664"/>
      <c r="R421" s="664"/>
      <c r="S421" s="664"/>
      <c r="T421" s="664"/>
      <c r="U421" s="664"/>
      <c r="V421" s="66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9"/>
      <c r="P422" s="663" t="s">
        <v>71</v>
      </c>
      <c r="Q422" s="664"/>
      <c r="R422" s="664"/>
      <c r="S422" s="664"/>
      <c r="T422" s="664"/>
      <c r="U422" s="664"/>
      <c r="V422" s="66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72" t="s">
        <v>685</v>
      </c>
      <c r="B423" s="660"/>
      <c r="C423" s="660"/>
      <c r="D423" s="660"/>
      <c r="E423" s="660"/>
      <c r="F423" s="660"/>
      <c r="G423" s="660"/>
      <c r="H423" s="660"/>
      <c r="I423" s="660"/>
      <c r="J423" s="660"/>
      <c r="K423" s="660"/>
      <c r="L423" s="660"/>
      <c r="M423" s="660"/>
      <c r="N423" s="660"/>
      <c r="O423" s="660"/>
      <c r="P423" s="660"/>
      <c r="Q423" s="660"/>
      <c r="R423" s="660"/>
      <c r="S423" s="660"/>
      <c r="T423" s="660"/>
      <c r="U423" s="660"/>
      <c r="V423" s="660"/>
      <c r="W423" s="660"/>
      <c r="X423" s="660"/>
      <c r="Y423" s="660"/>
      <c r="Z423" s="660"/>
      <c r="AA423" s="642"/>
      <c r="AB423" s="642"/>
      <c r="AC423" s="642"/>
    </row>
    <row r="424" spans="1:68" ht="14.25" hidden="1" customHeight="1" x14ac:dyDescent="0.25">
      <c r="A424" s="659" t="s">
        <v>73</v>
      </c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0"/>
      <c r="P424" s="660"/>
      <c r="Q424" s="660"/>
      <c r="R424" s="660"/>
      <c r="S424" s="660"/>
      <c r="T424" s="660"/>
      <c r="U424" s="660"/>
      <c r="V424" s="660"/>
      <c r="W424" s="660"/>
      <c r="X424" s="660"/>
      <c r="Y424" s="660"/>
      <c r="Z424" s="660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51">
        <v>4607091387919</v>
      </c>
      <c r="E425" s="65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54"/>
      <c r="R425" s="654"/>
      <c r="S425" s="654"/>
      <c r="T425" s="655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4301051461</v>
      </c>
      <c r="D426" s="651">
        <v>4680115883604</v>
      </c>
      <c r="E426" s="65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54"/>
      <c r="R426" s="654"/>
      <c r="S426" s="654"/>
      <c r="T426" s="655"/>
      <c r="U426" s="34"/>
      <c r="V426" s="34"/>
      <c r="W426" s="35" t="s">
        <v>66</v>
      </c>
      <c r="X426" s="647">
        <v>0</v>
      </c>
      <c r="Y426" s="64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4301051864</v>
      </c>
      <c r="D427" s="651">
        <v>4680115883567</v>
      </c>
      <c r="E427" s="65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54"/>
      <c r="R427" s="654"/>
      <c r="S427" s="654"/>
      <c r="T427" s="655"/>
      <c r="U427" s="34"/>
      <c r="V427" s="34"/>
      <c r="W427" s="35" t="s">
        <v>66</v>
      </c>
      <c r="X427" s="647">
        <v>35</v>
      </c>
      <c r="Y427" s="648">
        <f>IFERROR(IF(X427="",0,CEILING((X427/$H427),1)*$H427),"")</f>
        <v>35.700000000000003</v>
      </c>
      <c r="Z427" s="36">
        <f>IFERROR(IF(Y427=0,"",ROUNDUP(Y427/H427,0)*0.00651),"")</f>
        <v>0.11067</v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38.999999999999993</v>
      </c>
      <c r="BN427" s="64">
        <f>IFERROR(Y427*I427/H427,"0")</f>
        <v>39.779999999999994</v>
      </c>
      <c r="BO427" s="64">
        <f>IFERROR(1/J427*(X427/H427),"0")</f>
        <v>9.1575091575091569E-2</v>
      </c>
      <c r="BP427" s="64">
        <f>IFERROR(1/J427*(Y427/H427),"0")</f>
        <v>9.3406593406593408E-2</v>
      </c>
    </row>
    <row r="428" spans="1:68" x14ac:dyDescent="0.2">
      <c r="A428" s="668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9"/>
      <c r="P428" s="663" t="s">
        <v>71</v>
      </c>
      <c r="Q428" s="664"/>
      <c r="R428" s="664"/>
      <c r="S428" s="664"/>
      <c r="T428" s="664"/>
      <c r="U428" s="664"/>
      <c r="V428" s="665"/>
      <c r="W428" s="37" t="s">
        <v>72</v>
      </c>
      <c r="X428" s="649">
        <f>IFERROR(X425/H425,"0")+IFERROR(X426/H426,"0")+IFERROR(X427/H427,"0")</f>
        <v>16.666666666666664</v>
      </c>
      <c r="Y428" s="649">
        <f>IFERROR(Y425/H425,"0")+IFERROR(Y426/H426,"0")+IFERROR(Y427/H427,"0")</f>
        <v>17</v>
      </c>
      <c r="Z428" s="649">
        <f>IFERROR(IF(Z425="",0,Z425),"0")+IFERROR(IF(Z426="",0,Z426),"0")+IFERROR(IF(Z427="",0,Z427),"0")</f>
        <v>0.11067</v>
      </c>
      <c r="AA428" s="650"/>
      <c r="AB428" s="650"/>
      <c r="AC428" s="650"/>
    </row>
    <row r="429" spans="1:68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9"/>
      <c r="P429" s="663" t="s">
        <v>71</v>
      </c>
      <c r="Q429" s="664"/>
      <c r="R429" s="664"/>
      <c r="S429" s="664"/>
      <c r="T429" s="664"/>
      <c r="U429" s="664"/>
      <c r="V429" s="665"/>
      <c r="W429" s="37" t="s">
        <v>66</v>
      </c>
      <c r="X429" s="649">
        <f>IFERROR(SUM(X425:X427),"0")</f>
        <v>35</v>
      </c>
      <c r="Y429" s="649">
        <f>IFERROR(SUM(Y425:Y427),"0")</f>
        <v>35.700000000000003</v>
      </c>
      <c r="Z429" s="37"/>
      <c r="AA429" s="650"/>
      <c r="AB429" s="650"/>
      <c r="AC429" s="650"/>
    </row>
    <row r="430" spans="1:68" ht="27.75" hidden="1" customHeight="1" x14ac:dyDescent="0.2">
      <c r="A430" s="661" t="s">
        <v>695</v>
      </c>
      <c r="B430" s="662"/>
      <c r="C430" s="662"/>
      <c r="D430" s="662"/>
      <c r="E430" s="662"/>
      <c r="F430" s="662"/>
      <c r="G430" s="662"/>
      <c r="H430" s="662"/>
      <c r="I430" s="662"/>
      <c r="J430" s="662"/>
      <c r="K430" s="662"/>
      <c r="L430" s="662"/>
      <c r="M430" s="662"/>
      <c r="N430" s="662"/>
      <c r="O430" s="662"/>
      <c r="P430" s="662"/>
      <c r="Q430" s="662"/>
      <c r="R430" s="662"/>
      <c r="S430" s="662"/>
      <c r="T430" s="662"/>
      <c r="U430" s="662"/>
      <c r="V430" s="662"/>
      <c r="W430" s="662"/>
      <c r="X430" s="662"/>
      <c r="Y430" s="662"/>
      <c r="Z430" s="662"/>
      <c r="AA430" s="48"/>
      <c r="AB430" s="48"/>
      <c r="AC430" s="48"/>
    </row>
    <row r="431" spans="1:68" ht="16.5" hidden="1" customHeight="1" x14ac:dyDescent="0.25">
      <c r="A431" s="672" t="s">
        <v>696</v>
      </c>
      <c r="B431" s="660"/>
      <c r="C431" s="660"/>
      <c r="D431" s="660"/>
      <c r="E431" s="660"/>
      <c r="F431" s="660"/>
      <c r="G431" s="660"/>
      <c r="H431" s="660"/>
      <c r="I431" s="660"/>
      <c r="J431" s="660"/>
      <c r="K431" s="660"/>
      <c r="L431" s="660"/>
      <c r="M431" s="660"/>
      <c r="N431" s="660"/>
      <c r="O431" s="660"/>
      <c r="P431" s="660"/>
      <c r="Q431" s="660"/>
      <c r="R431" s="660"/>
      <c r="S431" s="660"/>
      <c r="T431" s="660"/>
      <c r="U431" s="660"/>
      <c r="V431" s="660"/>
      <c r="W431" s="660"/>
      <c r="X431" s="660"/>
      <c r="Y431" s="660"/>
      <c r="Z431" s="660"/>
      <c r="AA431" s="642"/>
      <c r="AB431" s="642"/>
      <c r="AC431" s="642"/>
    </row>
    <row r="432" spans="1:68" ht="14.25" hidden="1" customHeight="1" x14ac:dyDescent="0.25">
      <c r="A432" s="659" t="s">
        <v>110</v>
      </c>
      <c r="B432" s="660"/>
      <c r="C432" s="660"/>
      <c r="D432" s="660"/>
      <c r="E432" s="660"/>
      <c r="F432" s="660"/>
      <c r="G432" s="660"/>
      <c r="H432" s="660"/>
      <c r="I432" s="660"/>
      <c r="J432" s="660"/>
      <c r="K432" s="660"/>
      <c r="L432" s="660"/>
      <c r="M432" s="660"/>
      <c r="N432" s="660"/>
      <c r="O432" s="660"/>
      <c r="P432" s="660"/>
      <c r="Q432" s="660"/>
      <c r="R432" s="660"/>
      <c r="S432" s="660"/>
      <c r="T432" s="660"/>
      <c r="U432" s="660"/>
      <c r="V432" s="660"/>
      <c r="W432" s="660"/>
      <c r="X432" s="660"/>
      <c r="Y432" s="660"/>
      <c r="Z432" s="660"/>
      <c r="AA432" s="643"/>
      <c r="AB432" s="643"/>
      <c r="AC432" s="643"/>
    </row>
    <row r="433" spans="1:68" ht="27" customHeight="1" x14ac:dyDescent="0.25">
      <c r="A433" s="54" t="s">
        <v>697</v>
      </c>
      <c r="B433" s="54" t="s">
        <v>698</v>
      </c>
      <c r="C433" s="31">
        <v>4301012332</v>
      </c>
      <c r="D433" s="651">
        <v>4680115888401</v>
      </c>
      <c r="E433" s="65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8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54"/>
      <c r="R433" s="654"/>
      <c r="S433" s="654"/>
      <c r="T433" s="655"/>
      <c r="U433" s="34"/>
      <c r="V433" s="34"/>
      <c r="W433" s="35" t="s">
        <v>66</v>
      </c>
      <c r="X433" s="647">
        <v>10</v>
      </c>
      <c r="Y433" s="648">
        <f t="shared" ref="Y433:Y440" si="68">IFERROR(IF(X433="",0,CEILING((X433/$H433),1)*$H433),"")</f>
        <v>15</v>
      </c>
      <c r="Z433" s="36">
        <f>IFERROR(IF(Y433=0,"",ROUNDUP(Y433/H433,0)*0.02175),"")</f>
        <v>2.1749999999999999E-2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10.313333333333334</v>
      </c>
      <c r="BN433" s="64">
        <f t="shared" ref="BN433:BN440" si="70">IFERROR(Y433*I433/H433,"0")</f>
        <v>15.47</v>
      </c>
      <c r="BO433" s="64">
        <f t="shared" ref="BO433:BO440" si="71">IFERROR(1/J433*(X433/H433),"0")</f>
        <v>1.3888888888888888E-2</v>
      </c>
      <c r="BP433" s="64">
        <f t="shared" ref="BP433:BP440" si="72">IFERROR(1/J433*(Y433/H433),"0")</f>
        <v>2.0833333333333332E-2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51">
        <v>4680115884847</v>
      </c>
      <c r="E434" s="65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54"/>
      <c r="R434" s="654"/>
      <c r="S434" s="654"/>
      <c r="T434" s="655"/>
      <c r="U434" s="34"/>
      <c r="V434" s="34"/>
      <c r="W434" s="35" t="s">
        <v>66</v>
      </c>
      <c r="X434" s="647">
        <v>940</v>
      </c>
      <c r="Y434" s="648">
        <f t="shared" si="68"/>
        <v>945</v>
      </c>
      <c r="Z434" s="36">
        <f>IFERROR(IF(Y434=0,"",ROUNDUP(Y434/H434,0)*0.02175),"")</f>
        <v>1.37025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969.45333333333338</v>
      </c>
      <c r="BN434" s="64">
        <f t="shared" si="70"/>
        <v>974.61000000000013</v>
      </c>
      <c r="BO434" s="64">
        <f t="shared" si="71"/>
        <v>1.3055555555555554</v>
      </c>
      <c r="BP434" s="64">
        <f t="shared" si="72"/>
        <v>1.3125</v>
      </c>
    </row>
    <row r="435" spans="1:68" ht="27" customHeight="1" x14ac:dyDescent="0.25">
      <c r="A435" s="54" t="s">
        <v>703</v>
      </c>
      <c r="B435" s="54" t="s">
        <v>704</v>
      </c>
      <c r="C435" s="31">
        <v>4301012083</v>
      </c>
      <c r="D435" s="651">
        <v>4680115884854</v>
      </c>
      <c r="E435" s="65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54"/>
      <c r="R435" s="654"/>
      <c r="S435" s="654"/>
      <c r="T435" s="655"/>
      <c r="U435" s="34"/>
      <c r="V435" s="34"/>
      <c r="W435" s="35" t="s">
        <v>66</v>
      </c>
      <c r="X435" s="647">
        <v>362</v>
      </c>
      <c r="Y435" s="648">
        <f t="shared" si="68"/>
        <v>375</v>
      </c>
      <c r="Z435" s="36">
        <f>IFERROR(IF(Y435=0,"",ROUNDUP(Y435/H435,0)*0.02175),"")</f>
        <v>0.54374999999999996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373.34266666666667</v>
      </c>
      <c r="BN435" s="64">
        <f t="shared" si="70"/>
        <v>386.75</v>
      </c>
      <c r="BO435" s="64">
        <f t="shared" si="71"/>
        <v>0.50277777777777777</v>
      </c>
      <c r="BP435" s="64">
        <f t="shared" si="72"/>
        <v>0.52083333333333326</v>
      </c>
    </row>
    <row r="436" spans="1:68" ht="27" customHeight="1" x14ac:dyDescent="0.25">
      <c r="A436" s="54" t="s">
        <v>706</v>
      </c>
      <c r="B436" s="54" t="s">
        <v>707</v>
      </c>
      <c r="C436" s="31">
        <v>4301011867</v>
      </c>
      <c r="D436" s="651">
        <v>4680115884830</v>
      </c>
      <c r="E436" s="65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54"/>
      <c r="R436" s="654"/>
      <c r="S436" s="654"/>
      <c r="T436" s="655"/>
      <c r="U436" s="34"/>
      <c r="V436" s="34"/>
      <c r="W436" s="35" t="s">
        <v>66</v>
      </c>
      <c r="X436" s="647">
        <v>940</v>
      </c>
      <c r="Y436" s="648">
        <f t="shared" si="68"/>
        <v>945</v>
      </c>
      <c r="Z436" s="36">
        <f>IFERROR(IF(Y436=0,"",ROUNDUP(Y436/H436,0)*0.02175),"")</f>
        <v>1.37025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969.45333333333338</v>
      </c>
      <c r="BN436" s="64">
        <f t="shared" si="70"/>
        <v>974.61000000000013</v>
      </c>
      <c r="BO436" s="64">
        <f t="shared" si="71"/>
        <v>1.3055555555555554</v>
      </c>
      <c r="BP436" s="64">
        <f t="shared" si="72"/>
        <v>1.3125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51">
        <v>4680115889231</v>
      </c>
      <c r="E437" s="65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54"/>
      <c r="R437" s="654"/>
      <c r="S437" s="654"/>
      <c r="T437" s="655"/>
      <c r="U437" s="34"/>
      <c r="V437" s="34"/>
      <c r="W437" s="35" t="s">
        <v>66</v>
      </c>
      <c r="X437" s="647">
        <v>193</v>
      </c>
      <c r="Y437" s="648">
        <f t="shared" si="68"/>
        <v>195</v>
      </c>
      <c r="Z437" s="36">
        <f>IFERROR(IF(Y437=0,"",ROUNDUP(Y437/H437,0)*0.02175),"")</f>
        <v>0.28275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199.04733333333334</v>
      </c>
      <c r="BN437" s="64">
        <f t="shared" si="70"/>
        <v>201.11</v>
      </c>
      <c r="BO437" s="64">
        <f t="shared" si="71"/>
        <v>0.26805555555555555</v>
      </c>
      <c r="BP437" s="64">
        <f t="shared" si="72"/>
        <v>0.27083333333333331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51">
        <v>4680115882638</v>
      </c>
      <c r="E438" s="65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54"/>
      <c r="R438" s="654"/>
      <c r="S438" s="654"/>
      <c r="T438" s="655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51">
        <v>4680115884922</v>
      </c>
      <c r="E439" s="65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54"/>
      <c r="R439" s="654"/>
      <c r="S439" s="654"/>
      <c r="T439" s="655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51">
        <v>4680115884861</v>
      </c>
      <c r="E440" s="65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54"/>
      <c r="R440" s="654"/>
      <c r="S440" s="654"/>
      <c r="T440" s="655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68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9"/>
      <c r="P441" s="663" t="s">
        <v>71</v>
      </c>
      <c r="Q441" s="664"/>
      <c r="R441" s="664"/>
      <c r="S441" s="664"/>
      <c r="T441" s="664"/>
      <c r="U441" s="664"/>
      <c r="V441" s="66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163</v>
      </c>
      <c r="Y441" s="649">
        <f>IFERROR(Y433/H433,"0")+IFERROR(Y434/H434,"0")+IFERROR(Y435/H435,"0")+IFERROR(Y436/H436,"0")+IFERROR(Y437/H437,"0")+IFERROR(Y438/H438,"0")+IFERROR(Y439/H439,"0")+IFERROR(Y440/H440,"0")</f>
        <v>165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3.5887500000000001</v>
      </c>
      <c r="AA441" s="650"/>
      <c r="AB441" s="650"/>
      <c r="AC441" s="650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9"/>
      <c r="P442" s="663" t="s">
        <v>71</v>
      </c>
      <c r="Q442" s="664"/>
      <c r="R442" s="664"/>
      <c r="S442" s="664"/>
      <c r="T442" s="664"/>
      <c r="U442" s="664"/>
      <c r="V442" s="665"/>
      <c r="W442" s="37" t="s">
        <v>66</v>
      </c>
      <c r="X442" s="649">
        <f>IFERROR(SUM(X433:X440),"0")</f>
        <v>2445</v>
      </c>
      <c r="Y442" s="649">
        <f>IFERROR(SUM(Y433:Y440),"0")</f>
        <v>2475</v>
      </c>
      <c r="Z442" s="37"/>
      <c r="AA442" s="650"/>
      <c r="AB442" s="650"/>
      <c r="AC442" s="650"/>
    </row>
    <row r="443" spans="1:68" ht="14.25" hidden="1" customHeight="1" x14ac:dyDescent="0.25">
      <c r="A443" s="659" t="s">
        <v>147</v>
      </c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0"/>
      <c r="P443" s="660"/>
      <c r="Q443" s="660"/>
      <c r="R443" s="660"/>
      <c r="S443" s="660"/>
      <c r="T443" s="660"/>
      <c r="U443" s="660"/>
      <c r="V443" s="660"/>
      <c r="W443" s="660"/>
      <c r="X443" s="660"/>
      <c r="Y443" s="660"/>
      <c r="Z443" s="660"/>
      <c r="AA443" s="643"/>
      <c r="AB443" s="643"/>
      <c r="AC443" s="643"/>
    </row>
    <row r="444" spans="1:68" ht="27" customHeight="1" x14ac:dyDescent="0.25">
      <c r="A444" s="54" t="s">
        <v>721</v>
      </c>
      <c r="B444" s="54" t="s">
        <v>722</v>
      </c>
      <c r="C444" s="31">
        <v>4301020178</v>
      </c>
      <c r="D444" s="651">
        <v>4607091383980</v>
      </c>
      <c r="E444" s="65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54"/>
      <c r="R444" s="654"/>
      <c r="S444" s="654"/>
      <c r="T444" s="655"/>
      <c r="U444" s="34"/>
      <c r="V444" s="34"/>
      <c r="W444" s="35" t="s">
        <v>66</v>
      </c>
      <c r="X444" s="647">
        <v>223</v>
      </c>
      <c r="Y444" s="648">
        <f>IFERROR(IF(X444="",0,CEILING((X444/$H444),1)*$H444),"")</f>
        <v>225</v>
      </c>
      <c r="Z444" s="36">
        <f>IFERROR(IF(Y444=0,"",ROUNDUP(Y444/H444,0)*0.02175),"")</f>
        <v>0.32624999999999998</v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229.98733333333334</v>
      </c>
      <c r="BN444" s="64">
        <f>IFERROR(Y444*I444/H444,"0")</f>
        <v>232.05</v>
      </c>
      <c r="BO444" s="64">
        <f>IFERROR(1/J444*(X444/H444),"0")</f>
        <v>0.30972222222222223</v>
      </c>
      <c r="BP444" s="64">
        <f>IFERROR(1/J444*(Y444/H444),"0")</f>
        <v>0.3125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51">
        <v>4680115888425</v>
      </c>
      <c r="E445" s="65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54"/>
      <c r="R445" s="654"/>
      <c r="S445" s="654"/>
      <c r="T445" s="655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51">
        <v>4607091384178</v>
      </c>
      <c r="E446" s="65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54"/>
      <c r="R446" s="654"/>
      <c r="S446" s="654"/>
      <c r="T446" s="655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68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9"/>
      <c r="P447" s="663" t="s">
        <v>71</v>
      </c>
      <c r="Q447" s="664"/>
      <c r="R447" s="664"/>
      <c r="S447" s="664"/>
      <c r="T447" s="664"/>
      <c r="U447" s="664"/>
      <c r="V447" s="665"/>
      <c r="W447" s="37" t="s">
        <v>72</v>
      </c>
      <c r="X447" s="649">
        <f>IFERROR(X444/H444,"0")+IFERROR(X445/H445,"0")+IFERROR(X446/H446,"0")</f>
        <v>14.866666666666667</v>
      </c>
      <c r="Y447" s="649">
        <f>IFERROR(Y444/H444,"0")+IFERROR(Y445/H445,"0")+IFERROR(Y446/H446,"0")</f>
        <v>15</v>
      </c>
      <c r="Z447" s="649">
        <f>IFERROR(IF(Z444="",0,Z444),"0")+IFERROR(IF(Z445="",0,Z445),"0")+IFERROR(IF(Z446="",0,Z446),"0")</f>
        <v>0.32624999999999998</v>
      </c>
      <c r="AA447" s="650"/>
      <c r="AB447" s="650"/>
      <c r="AC447" s="650"/>
    </row>
    <row r="448" spans="1:68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9"/>
      <c r="P448" s="663" t="s">
        <v>71</v>
      </c>
      <c r="Q448" s="664"/>
      <c r="R448" s="664"/>
      <c r="S448" s="664"/>
      <c r="T448" s="664"/>
      <c r="U448" s="664"/>
      <c r="V448" s="665"/>
      <c r="W448" s="37" t="s">
        <v>66</v>
      </c>
      <c r="X448" s="649">
        <f>IFERROR(SUM(X444:X446),"0")</f>
        <v>223</v>
      </c>
      <c r="Y448" s="649">
        <f>IFERROR(SUM(Y444:Y446),"0")</f>
        <v>225</v>
      </c>
      <c r="Z448" s="37"/>
      <c r="AA448" s="650"/>
      <c r="AB448" s="650"/>
      <c r="AC448" s="650"/>
    </row>
    <row r="449" spans="1:68" ht="14.25" hidden="1" customHeight="1" x14ac:dyDescent="0.25">
      <c r="A449" s="659" t="s">
        <v>73</v>
      </c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0"/>
      <c r="P449" s="660"/>
      <c r="Q449" s="660"/>
      <c r="R449" s="660"/>
      <c r="S449" s="660"/>
      <c r="T449" s="660"/>
      <c r="U449" s="660"/>
      <c r="V449" s="660"/>
      <c r="W449" s="660"/>
      <c r="X449" s="660"/>
      <c r="Y449" s="660"/>
      <c r="Z449" s="660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51">
        <v>4607091383928</v>
      </c>
      <c r="E450" s="65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54"/>
      <c r="R450" s="654"/>
      <c r="S450" s="654"/>
      <c r="T450" s="655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51">
        <v>4607091384260</v>
      </c>
      <c r="E451" s="65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54"/>
      <c r="R451" s="654"/>
      <c r="S451" s="654"/>
      <c r="T451" s="655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51">
        <v>4680115889538</v>
      </c>
      <c r="E452" s="65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54"/>
      <c r="R452" s="654"/>
      <c r="S452" s="654"/>
      <c r="T452" s="655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68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9"/>
      <c r="P453" s="663" t="s">
        <v>71</v>
      </c>
      <c r="Q453" s="664"/>
      <c r="R453" s="664"/>
      <c r="S453" s="664"/>
      <c r="T453" s="664"/>
      <c r="U453" s="664"/>
      <c r="V453" s="66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9"/>
      <c r="P454" s="663" t="s">
        <v>71</v>
      </c>
      <c r="Q454" s="664"/>
      <c r="R454" s="664"/>
      <c r="S454" s="664"/>
      <c r="T454" s="664"/>
      <c r="U454" s="664"/>
      <c r="V454" s="66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59" t="s">
        <v>166</v>
      </c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0"/>
      <c r="P455" s="660"/>
      <c r="Q455" s="660"/>
      <c r="R455" s="660"/>
      <c r="S455" s="660"/>
      <c r="T455" s="660"/>
      <c r="U455" s="660"/>
      <c r="V455" s="660"/>
      <c r="W455" s="660"/>
      <c r="X455" s="660"/>
      <c r="Y455" s="660"/>
      <c r="Z455" s="660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51">
        <v>4680115889545</v>
      </c>
      <c r="E456" s="65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54"/>
      <c r="R456" s="654"/>
      <c r="S456" s="654"/>
      <c r="T456" s="655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hidden="1" customHeight="1" x14ac:dyDescent="0.25">
      <c r="A457" s="54" t="s">
        <v>742</v>
      </c>
      <c r="B457" s="54" t="s">
        <v>743</v>
      </c>
      <c r="C457" s="31">
        <v>4301060524</v>
      </c>
      <c r="D457" s="651">
        <v>4607091384673</v>
      </c>
      <c r="E457" s="65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8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54"/>
      <c r="R457" s="654"/>
      <c r="S457" s="654"/>
      <c r="T457" s="655"/>
      <c r="U457" s="34"/>
      <c r="V457" s="34"/>
      <c r="W457" s="35" t="s">
        <v>66</v>
      </c>
      <c r="X457" s="647">
        <v>0</v>
      </c>
      <c r="Y457" s="648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68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9"/>
      <c r="P458" s="663" t="s">
        <v>71</v>
      </c>
      <c r="Q458" s="664"/>
      <c r="R458" s="664"/>
      <c r="S458" s="664"/>
      <c r="T458" s="664"/>
      <c r="U458" s="664"/>
      <c r="V458" s="665"/>
      <c r="W458" s="37" t="s">
        <v>72</v>
      </c>
      <c r="X458" s="649">
        <f>IFERROR(X456/H456,"0")+IFERROR(X457/H457,"0")</f>
        <v>0</v>
      </c>
      <c r="Y458" s="649">
        <f>IFERROR(Y456/H456,"0")+IFERROR(Y457/H457,"0")</f>
        <v>0</v>
      </c>
      <c r="Z458" s="649">
        <f>IFERROR(IF(Z456="",0,Z456),"0")+IFERROR(IF(Z457="",0,Z457),"0")</f>
        <v>0</v>
      </c>
      <c r="AA458" s="650"/>
      <c r="AB458" s="650"/>
      <c r="AC458" s="650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9"/>
      <c r="P459" s="663" t="s">
        <v>71</v>
      </c>
      <c r="Q459" s="664"/>
      <c r="R459" s="664"/>
      <c r="S459" s="664"/>
      <c r="T459" s="664"/>
      <c r="U459" s="664"/>
      <c r="V459" s="665"/>
      <c r="W459" s="37" t="s">
        <v>66</v>
      </c>
      <c r="X459" s="649">
        <f>IFERROR(SUM(X456:X457),"0")</f>
        <v>0</v>
      </c>
      <c r="Y459" s="649">
        <f>IFERROR(SUM(Y456:Y457),"0")</f>
        <v>0</v>
      </c>
      <c r="Z459" s="37"/>
      <c r="AA459" s="650"/>
      <c r="AB459" s="650"/>
      <c r="AC459" s="650"/>
    </row>
    <row r="460" spans="1:68" ht="16.5" hidden="1" customHeight="1" x14ac:dyDescent="0.25">
      <c r="A460" s="672" t="s">
        <v>745</v>
      </c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0"/>
      <c r="P460" s="660"/>
      <c r="Q460" s="660"/>
      <c r="R460" s="660"/>
      <c r="S460" s="660"/>
      <c r="T460" s="660"/>
      <c r="U460" s="660"/>
      <c r="V460" s="660"/>
      <c r="W460" s="660"/>
      <c r="X460" s="660"/>
      <c r="Y460" s="660"/>
      <c r="Z460" s="660"/>
      <c r="AA460" s="642"/>
      <c r="AB460" s="642"/>
      <c r="AC460" s="642"/>
    </row>
    <row r="461" spans="1:68" ht="14.25" hidden="1" customHeight="1" x14ac:dyDescent="0.25">
      <c r="A461" s="659" t="s">
        <v>110</v>
      </c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0"/>
      <c r="P461" s="660"/>
      <c r="Q461" s="660"/>
      <c r="R461" s="660"/>
      <c r="S461" s="660"/>
      <c r="T461" s="660"/>
      <c r="U461" s="660"/>
      <c r="V461" s="660"/>
      <c r="W461" s="660"/>
      <c r="X461" s="660"/>
      <c r="Y461" s="660"/>
      <c r="Z461" s="660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51">
        <v>4680115884885</v>
      </c>
      <c r="E462" s="65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9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54"/>
      <c r="R462" s="654"/>
      <c r="S462" s="654"/>
      <c r="T462" s="655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51">
        <v>4680115884908</v>
      </c>
      <c r="E463" s="65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54"/>
      <c r="R463" s="654"/>
      <c r="S463" s="654"/>
      <c r="T463" s="655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9"/>
      <c r="P464" s="663" t="s">
        <v>71</v>
      </c>
      <c r="Q464" s="664"/>
      <c r="R464" s="664"/>
      <c r="S464" s="664"/>
      <c r="T464" s="664"/>
      <c r="U464" s="664"/>
      <c r="V464" s="66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9"/>
      <c r="P465" s="663" t="s">
        <v>71</v>
      </c>
      <c r="Q465" s="664"/>
      <c r="R465" s="664"/>
      <c r="S465" s="664"/>
      <c r="T465" s="664"/>
      <c r="U465" s="664"/>
      <c r="V465" s="66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59" t="s">
        <v>61</v>
      </c>
      <c r="B466" s="660"/>
      <c r="C466" s="660"/>
      <c r="D466" s="660"/>
      <c r="E466" s="660"/>
      <c r="F466" s="660"/>
      <c r="G466" s="660"/>
      <c r="H466" s="660"/>
      <c r="I466" s="660"/>
      <c r="J466" s="660"/>
      <c r="K466" s="660"/>
      <c r="L466" s="660"/>
      <c r="M466" s="660"/>
      <c r="N466" s="660"/>
      <c r="O466" s="660"/>
      <c r="P466" s="660"/>
      <c r="Q466" s="660"/>
      <c r="R466" s="660"/>
      <c r="S466" s="660"/>
      <c r="T466" s="660"/>
      <c r="U466" s="660"/>
      <c r="V466" s="660"/>
      <c r="W466" s="660"/>
      <c r="X466" s="660"/>
      <c r="Y466" s="660"/>
      <c r="Z466" s="660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51">
        <v>4607091384802</v>
      </c>
      <c r="E467" s="65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7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54"/>
      <c r="R467" s="654"/>
      <c r="S467" s="654"/>
      <c r="T467" s="655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68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9"/>
      <c r="P468" s="663" t="s">
        <v>71</v>
      </c>
      <c r="Q468" s="664"/>
      <c r="R468" s="664"/>
      <c r="S468" s="664"/>
      <c r="T468" s="664"/>
      <c r="U468" s="664"/>
      <c r="V468" s="66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9"/>
      <c r="P469" s="663" t="s">
        <v>71</v>
      </c>
      <c r="Q469" s="664"/>
      <c r="R469" s="664"/>
      <c r="S469" s="664"/>
      <c r="T469" s="664"/>
      <c r="U469" s="664"/>
      <c r="V469" s="66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59" t="s">
        <v>73</v>
      </c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0"/>
      <c r="P470" s="660"/>
      <c r="Q470" s="660"/>
      <c r="R470" s="660"/>
      <c r="S470" s="660"/>
      <c r="T470" s="660"/>
      <c r="U470" s="660"/>
      <c r="V470" s="660"/>
      <c r="W470" s="660"/>
      <c r="X470" s="660"/>
      <c r="Y470" s="660"/>
      <c r="Z470" s="660"/>
      <c r="AA470" s="643"/>
      <c r="AB470" s="643"/>
      <c r="AC470" s="643"/>
    </row>
    <row r="471" spans="1:68" ht="27" customHeight="1" x14ac:dyDescent="0.25">
      <c r="A471" s="54" t="s">
        <v>754</v>
      </c>
      <c r="B471" s="54" t="s">
        <v>755</v>
      </c>
      <c r="C471" s="31">
        <v>4301051899</v>
      </c>
      <c r="D471" s="651">
        <v>4607091384246</v>
      </c>
      <c r="E471" s="65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54"/>
      <c r="R471" s="654"/>
      <c r="S471" s="654"/>
      <c r="T471" s="655"/>
      <c r="U471" s="34"/>
      <c r="V471" s="34"/>
      <c r="W471" s="35" t="s">
        <v>66</v>
      </c>
      <c r="X471" s="647">
        <v>723</v>
      </c>
      <c r="Y471" s="648">
        <f>IFERROR(IF(X471="",0,CEILING((X471/$H471),1)*$H471),"")</f>
        <v>729</v>
      </c>
      <c r="Z471" s="36">
        <f>IFERROR(IF(Y471=0,"",ROUNDUP(Y471/H471,0)*0.01898),"")</f>
        <v>1.53738</v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762.68466666666666</v>
      </c>
      <c r="BN471" s="64">
        <f>IFERROR(Y471*I471/H471,"0")</f>
        <v>769.01400000000001</v>
      </c>
      <c r="BO471" s="64">
        <f>IFERROR(1/J471*(X471/H471),"0")</f>
        <v>1.2552083333333333</v>
      </c>
      <c r="BP471" s="64">
        <f>IFERROR(1/J471*(Y471/H471),"0")</f>
        <v>1.265625</v>
      </c>
    </row>
    <row r="472" spans="1:68" ht="27" customHeight="1" x14ac:dyDescent="0.25">
      <c r="A472" s="54" t="s">
        <v>757</v>
      </c>
      <c r="B472" s="54" t="s">
        <v>758</v>
      </c>
      <c r="C472" s="31">
        <v>4301051660</v>
      </c>
      <c r="D472" s="651">
        <v>4607091384253</v>
      </c>
      <c r="E472" s="65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8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54"/>
      <c r="R472" s="654"/>
      <c r="S472" s="654"/>
      <c r="T472" s="655"/>
      <c r="U472" s="34"/>
      <c r="V472" s="34"/>
      <c r="W472" s="35" t="s">
        <v>66</v>
      </c>
      <c r="X472" s="647">
        <v>48</v>
      </c>
      <c r="Y472" s="648">
        <f>IFERROR(IF(X472="",0,CEILING((X472/$H472),1)*$H472),"")</f>
        <v>48</v>
      </c>
      <c r="Z472" s="36">
        <f>IFERROR(IF(Y472=0,"",ROUNDUP(Y472/H472,0)*0.00651),"")</f>
        <v>0.13020000000000001</v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53.280000000000008</v>
      </c>
      <c r="BN472" s="64">
        <f>IFERROR(Y472*I472/H472,"0")</f>
        <v>53.280000000000008</v>
      </c>
      <c r="BO472" s="64">
        <f>IFERROR(1/J472*(X472/H472),"0")</f>
        <v>0.1098901098901099</v>
      </c>
      <c r="BP472" s="64">
        <f>IFERROR(1/J472*(Y472/H472),"0")</f>
        <v>0.1098901098901099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51">
        <v>4607091384253</v>
      </c>
      <c r="E473" s="65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54"/>
      <c r="R473" s="654"/>
      <c r="S473" s="654"/>
      <c r="T473" s="655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68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9"/>
      <c r="P474" s="663" t="s">
        <v>71</v>
      </c>
      <c r="Q474" s="664"/>
      <c r="R474" s="664"/>
      <c r="S474" s="664"/>
      <c r="T474" s="664"/>
      <c r="U474" s="664"/>
      <c r="V474" s="665"/>
      <c r="W474" s="37" t="s">
        <v>72</v>
      </c>
      <c r="X474" s="649">
        <f>IFERROR(X471/H471,"0")+IFERROR(X472/H472,"0")+IFERROR(X473/H473,"0")</f>
        <v>100.33333333333333</v>
      </c>
      <c r="Y474" s="649">
        <f>IFERROR(Y471/H471,"0")+IFERROR(Y472/H472,"0")+IFERROR(Y473/H473,"0")</f>
        <v>101</v>
      </c>
      <c r="Z474" s="649">
        <f>IFERROR(IF(Z471="",0,Z471),"0")+IFERROR(IF(Z472="",0,Z472),"0")+IFERROR(IF(Z473="",0,Z473),"0")</f>
        <v>1.6675800000000001</v>
      </c>
      <c r="AA474" s="650"/>
      <c r="AB474" s="650"/>
      <c r="AC474" s="650"/>
    </row>
    <row r="475" spans="1:68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9"/>
      <c r="P475" s="663" t="s">
        <v>71</v>
      </c>
      <c r="Q475" s="664"/>
      <c r="R475" s="664"/>
      <c r="S475" s="664"/>
      <c r="T475" s="664"/>
      <c r="U475" s="664"/>
      <c r="V475" s="665"/>
      <c r="W475" s="37" t="s">
        <v>66</v>
      </c>
      <c r="X475" s="649">
        <f>IFERROR(SUM(X471:X473),"0")</f>
        <v>771</v>
      </c>
      <c r="Y475" s="649">
        <f>IFERROR(SUM(Y471:Y473),"0")</f>
        <v>777</v>
      </c>
      <c r="Z475" s="37"/>
      <c r="AA475" s="650"/>
      <c r="AB475" s="650"/>
      <c r="AC475" s="650"/>
    </row>
    <row r="476" spans="1:68" ht="27.75" hidden="1" customHeight="1" x14ac:dyDescent="0.2">
      <c r="A476" s="661" t="s">
        <v>761</v>
      </c>
      <c r="B476" s="662"/>
      <c r="C476" s="662"/>
      <c r="D476" s="662"/>
      <c r="E476" s="662"/>
      <c r="F476" s="662"/>
      <c r="G476" s="662"/>
      <c r="H476" s="662"/>
      <c r="I476" s="662"/>
      <c r="J476" s="662"/>
      <c r="K476" s="662"/>
      <c r="L476" s="662"/>
      <c r="M476" s="662"/>
      <c r="N476" s="662"/>
      <c r="O476" s="662"/>
      <c r="P476" s="662"/>
      <c r="Q476" s="662"/>
      <c r="R476" s="662"/>
      <c r="S476" s="662"/>
      <c r="T476" s="662"/>
      <c r="U476" s="662"/>
      <c r="V476" s="662"/>
      <c r="W476" s="662"/>
      <c r="X476" s="662"/>
      <c r="Y476" s="662"/>
      <c r="Z476" s="662"/>
      <c r="AA476" s="48"/>
      <c r="AB476" s="48"/>
      <c r="AC476" s="48"/>
    </row>
    <row r="477" spans="1:68" ht="16.5" hidden="1" customHeight="1" x14ac:dyDescent="0.25">
      <c r="A477" s="672" t="s">
        <v>762</v>
      </c>
      <c r="B477" s="660"/>
      <c r="C477" s="660"/>
      <c r="D477" s="660"/>
      <c r="E477" s="660"/>
      <c r="F477" s="660"/>
      <c r="G477" s="660"/>
      <c r="H477" s="660"/>
      <c r="I477" s="660"/>
      <c r="J477" s="660"/>
      <c r="K477" s="660"/>
      <c r="L477" s="660"/>
      <c r="M477" s="660"/>
      <c r="N477" s="660"/>
      <c r="O477" s="660"/>
      <c r="P477" s="660"/>
      <c r="Q477" s="660"/>
      <c r="R477" s="660"/>
      <c r="S477" s="660"/>
      <c r="T477" s="660"/>
      <c r="U477" s="660"/>
      <c r="V477" s="660"/>
      <c r="W477" s="660"/>
      <c r="X477" s="660"/>
      <c r="Y477" s="660"/>
      <c r="Z477" s="660"/>
      <c r="AA477" s="642"/>
      <c r="AB477" s="642"/>
      <c r="AC477" s="642"/>
    </row>
    <row r="478" spans="1:68" ht="14.25" hidden="1" customHeight="1" x14ac:dyDescent="0.25">
      <c r="A478" s="659" t="s">
        <v>61</v>
      </c>
      <c r="B478" s="660"/>
      <c r="C478" s="660"/>
      <c r="D478" s="660"/>
      <c r="E478" s="660"/>
      <c r="F478" s="660"/>
      <c r="G478" s="660"/>
      <c r="H478" s="660"/>
      <c r="I478" s="660"/>
      <c r="J478" s="660"/>
      <c r="K478" s="660"/>
      <c r="L478" s="660"/>
      <c r="M478" s="660"/>
      <c r="N478" s="660"/>
      <c r="O478" s="660"/>
      <c r="P478" s="660"/>
      <c r="Q478" s="660"/>
      <c r="R478" s="660"/>
      <c r="S478" s="660"/>
      <c r="T478" s="660"/>
      <c r="U478" s="660"/>
      <c r="V478" s="660"/>
      <c r="W478" s="660"/>
      <c r="X478" s="660"/>
      <c r="Y478" s="660"/>
      <c r="Z478" s="660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51">
        <v>4680115886100</v>
      </c>
      <c r="E479" s="65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54"/>
      <c r="R479" s="654"/>
      <c r="S479" s="654"/>
      <c r="T479" s="655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51">
        <v>4680115886124</v>
      </c>
      <c r="E480" s="65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54"/>
      <c r="R480" s="654"/>
      <c r="S480" s="654"/>
      <c r="T480" s="655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51">
        <v>4607091384338</v>
      </c>
      <c r="E481" s="65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54"/>
      <c r="R481" s="654"/>
      <c r="S481" s="654"/>
      <c r="T481" s="655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51">
        <v>4680115883161</v>
      </c>
      <c r="E482" s="65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54"/>
      <c r="R482" s="654"/>
      <c r="S482" s="654"/>
      <c r="T482" s="655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51">
        <v>4607091389531</v>
      </c>
      <c r="E483" s="65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54"/>
      <c r="R483" s="654"/>
      <c r="S483" s="654"/>
      <c r="T483" s="655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51">
        <v>4607091384345</v>
      </c>
      <c r="E484" s="65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54"/>
      <c r="R484" s="654"/>
      <c r="S484" s="654"/>
      <c r="T484" s="655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68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9"/>
      <c r="P485" s="663" t="s">
        <v>71</v>
      </c>
      <c r="Q485" s="664"/>
      <c r="R485" s="664"/>
      <c r="S485" s="664"/>
      <c r="T485" s="664"/>
      <c r="U485" s="664"/>
      <c r="V485" s="66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9"/>
      <c r="P486" s="663" t="s">
        <v>71</v>
      </c>
      <c r="Q486" s="664"/>
      <c r="R486" s="664"/>
      <c r="S486" s="664"/>
      <c r="T486" s="664"/>
      <c r="U486" s="664"/>
      <c r="V486" s="66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59" t="s">
        <v>73</v>
      </c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0"/>
      <c r="P487" s="660"/>
      <c r="Q487" s="660"/>
      <c r="R487" s="660"/>
      <c r="S487" s="660"/>
      <c r="T487" s="660"/>
      <c r="U487" s="660"/>
      <c r="V487" s="660"/>
      <c r="W487" s="660"/>
      <c r="X487" s="660"/>
      <c r="Y487" s="660"/>
      <c r="Z487" s="660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51">
        <v>4607091384352</v>
      </c>
      <c r="E488" s="65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54"/>
      <c r="R488" s="654"/>
      <c r="S488" s="654"/>
      <c r="T488" s="655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51">
        <v>4607091389654</v>
      </c>
      <c r="E489" s="65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54"/>
      <c r="R489" s="654"/>
      <c r="S489" s="654"/>
      <c r="T489" s="655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68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9"/>
      <c r="P490" s="663" t="s">
        <v>71</v>
      </c>
      <c r="Q490" s="664"/>
      <c r="R490" s="664"/>
      <c r="S490" s="664"/>
      <c r="T490" s="664"/>
      <c r="U490" s="664"/>
      <c r="V490" s="66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9"/>
      <c r="P491" s="663" t="s">
        <v>71</v>
      </c>
      <c r="Q491" s="664"/>
      <c r="R491" s="664"/>
      <c r="S491" s="664"/>
      <c r="T491" s="664"/>
      <c r="U491" s="664"/>
      <c r="V491" s="66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72" t="s">
        <v>785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642"/>
      <c r="AB492" s="642"/>
      <c r="AC492" s="642"/>
    </row>
    <row r="493" spans="1:68" ht="14.25" hidden="1" customHeight="1" x14ac:dyDescent="0.25">
      <c r="A493" s="659" t="s">
        <v>147</v>
      </c>
      <c r="B493" s="660"/>
      <c r="C493" s="660"/>
      <c r="D493" s="660"/>
      <c r="E493" s="660"/>
      <c r="F493" s="660"/>
      <c r="G493" s="660"/>
      <c r="H493" s="660"/>
      <c r="I493" s="660"/>
      <c r="J493" s="660"/>
      <c r="K493" s="660"/>
      <c r="L493" s="660"/>
      <c r="M493" s="660"/>
      <c r="N493" s="660"/>
      <c r="O493" s="660"/>
      <c r="P493" s="660"/>
      <c r="Q493" s="660"/>
      <c r="R493" s="660"/>
      <c r="S493" s="660"/>
      <c r="T493" s="660"/>
      <c r="U493" s="660"/>
      <c r="V493" s="660"/>
      <c r="W493" s="660"/>
      <c r="X493" s="660"/>
      <c r="Y493" s="660"/>
      <c r="Z493" s="660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51">
        <v>4680115885240</v>
      </c>
      <c r="E494" s="65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54"/>
      <c r="R494" s="654"/>
      <c r="S494" s="654"/>
      <c r="T494" s="655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9"/>
      <c r="P495" s="663" t="s">
        <v>71</v>
      </c>
      <c r="Q495" s="664"/>
      <c r="R495" s="664"/>
      <c r="S495" s="664"/>
      <c r="T495" s="664"/>
      <c r="U495" s="664"/>
      <c r="V495" s="66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9"/>
      <c r="P496" s="663" t="s">
        <v>71</v>
      </c>
      <c r="Q496" s="664"/>
      <c r="R496" s="664"/>
      <c r="S496" s="664"/>
      <c r="T496" s="664"/>
      <c r="U496" s="664"/>
      <c r="V496" s="66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59" t="s">
        <v>61</v>
      </c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0"/>
      <c r="P497" s="660"/>
      <c r="Q497" s="660"/>
      <c r="R497" s="660"/>
      <c r="S497" s="660"/>
      <c r="T497" s="660"/>
      <c r="U497" s="660"/>
      <c r="V497" s="660"/>
      <c r="W497" s="660"/>
      <c r="X497" s="660"/>
      <c r="Y497" s="660"/>
      <c r="Z497" s="660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51">
        <v>4680115886094</v>
      </c>
      <c r="E498" s="65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54"/>
      <c r="R498" s="654"/>
      <c r="S498" s="654"/>
      <c r="T498" s="655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51">
        <v>4680115880771</v>
      </c>
      <c r="E499" s="65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10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54"/>
      <c r="R499" s="654"/>
      <c r="S499" s="654"/>
      <c r="T499" s="655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51">
        <v>4607091389500</v>
      </c>
      <c r="E500" s="65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54"/>
      <c r="R500" s="654"/>
      <c r="S500" s="654"/>
      <c r="T500" s="655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68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9"/>
      <c r="P501" s="663" t="s">
        <v>71</v>
      </c>
      <c r="Q501" s="664"/>
      <c r="R501" s="664"/>
      <c r="S501" s="664"/>
      <c r="T501" s="664"/>
      <c r="U501" s="664"/>
      <c r="V501" s="66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9"/>
      <c r="P502" s="663" t="s">
        <v>71</v>
      </c>
      <c r="Q502" s="664"/>
      <c r="R502" s="664"/>
      <c r="S502" s="664"/>
      <c r="T502" s="664"/>
      <c r="U502" s="664"/>
      <c r="V502" s="66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61" t="s">
        <v>797</v>
      </c>
      <c r="B503" s="662"/>
      <c r="C503" s="662"/>
      <c r="D503" s="662"/>
      <c r="E503" s="662"/>
      <c r="F503" s="662"/>
      <c r="G503" s="662"/>
      <c r="H503" s="662"/>
      <c r="I503" s="662"/>
      <c r="J503" s="662"/>
      <c r="K503" s="662"/>
      <c r="L503" s="662"/>
      <c r="M503" s="662"/>
      <c r="N503" s="662"/>
      <c r="O503" s="662"/>
      <c r="P503" s="662"/>
      <c r="Q503" s="662"/>
      <c r="R503" s="662"/>
      <c r="S503" s="662"/>
      <c r="T503" s="662"/>
      <c r="U503" s="662"/>
      <c r="V503" s="662"/>
      <c r="W503" s="662"/>
      <c r="X503" s="662"/>
      <c r="Y503" s="662"/>
      <c r="Z503" s="662"/>
      <c r="AA503" s="48"/>
      <c r="AB503" s="48"/>
      <c r="AC503" s="48"/>
    </row>
    <row r="504" spans="1:68" ht="16.5" hidden="1" customHeight="1" x14ac:dyDescent="0.25">
      <c r="A504" s="672" t="s">
        <v>797</v>
      </c>
      <c r="B504" s="660"/>
      <c r="C504" s="660"/>
      <c r="D504" s="660"/>
      <c r="E504" s="660"/>
      <c r="F504" s="660"/>
      <c r="G504" s="660"/>
      <c r="H504" s="660"/>
      <c r="I504" s="660"/>
      <c r="J504" s="660"/>
      <c r="K504" s="660"/>
      <c r="L504" s="660"/>
      <c r="M504" s="660"/>
      <c r="N504" s="660"/>
      <c r="O504" s="660"/>
      <c r="P504" s="660"/>
      <c r="Q504" s="660"/>
      <c r="R504" s="660"/>
      <c r="S504" s="660"/>
      <c r="T504" s="660"/>
      <c r="U504" s="660"/>
      <c r="V504" s="660"/>
      <c r="W504" s="660"/>
      <c r="X504" s="660"/>
      <c r="Y504" s="660"/>
      <c r="Z504" s="660"/>
      <c r="AA504" s="642"/>
      <c r="AB504" s="642"/>
      <c r="AC504" s="642"/>
    </row>
    <row r="505" spans="1:68" ht="14.25" hidden="1" customHeight="1" x14ac:dyDescent="0.25">
      <c r="A505" s="659" t="s">
        <v>110</v>
      </c>
      <c r="B505" s="660"/>
      <c r="C505" s="660"/>
      <c r="D505" s="660"/>
      <c r="E505" s="660"/>
      <c r="F505" s="660"/>
      <c r="G505" s="660"/>
      <c r="H505" s="660"/>
      <c r="I505" s="660"/>
      <c r="J505" s="660"/>
      <c r="K505" s="660"/>
      <c r="L505" s="660"/>
      <c r="M505" s="660"/>
      <c r="N505" s="660"/>
      <c r="O505" s="660"/>
      <c r="P505" s="660"/>
      <c r="Q505" s="660"/>
      <c r="R505" s="660"/>
      <c r="S505" s="660"/>
      <c r="T505" s="660"/>
      <c r="U505" s="660"/>
      <c r="V505" s="660"/>
      <c r="W505" s="660"/>
      <c r="X505" s="660"/>
      <c r="Y505" s="660"/>
      <c r="Z505" s="660"/>
      <c r="AA505" s="643"/>
      <c r="AB505" s="643"/>
      <c r="AC505" s="643"/>
    </row>
    <row r="506" spans="1:68" ht="27" customHeight="1" x14ac:dyDescent="0.25">
      <c r="A506" s="54" t="s">
        <v>798</v>
      </c>
      <c r="B506" s="54" t="s">
        <v>799</v>
      </c>
      <c r="C506" s="31">
        <v>4301011769</v>
      </c>
      <c r="D506" s="651">
        <v>4607091389067</v>
      </c>
      <c r="E506" s="65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54"/>
      <c r="R506" s="654"/>
      <c r="S506" s="654"/>
      <c r="T506" s="655"/>
      <c r="U506" s="34"/>
      <c r="V506" s="34"/>
      <c r="W506" s="35" t="s">
        <v>66</v>
      </c>
      <c r="X506" s="647">
        <v>248</v>
      </c>
      <c r="Y506" s="648">
        <f t="shared" ref="Y506:Y514" si="78">IFERROR(IF(X506="",0,CEILING((X506/$H506),1)*$H506),"")</f>
        <v>248.16000000000003</v>
      </c>
      <c r="Z506" s="36">
        <f t="shared" ref="Z506:Z511" si="79">IFERROR(IF(Y506=0,"",ROUNDUP(Y506/H506,0)*0.01196),"")</f>
        <v>0.56211999999999995</v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264.43939393939394</v>
      </c>
      <c r="BN506" s="64">
        <f t="shared" ref="BN506:BN514" si="81">IFERROR(Y506*I506/H506,"0")</f>
        <v>264.61</v>
      </c>
      <c r="BO506" s="64">
        <f t="shared" ref="BO506:BO514" si="82">IFERROR(1/J506*(X506/H506),"0")</f>
        <v>0.45163170163170163</v>
      </c>
      <c r="BP506" s="64">
        <f t="shared" ref="BP506:BP514" si="83">IFERROR(1/J506*(Y506/H506),"0")</f>
        <v>0.45192307692307693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51">
        <v>4680115889576</v>
      </c>
      <c r="E507" s="65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2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54"/>
      <c r="R507" s="654"/>
      <c r="S507" s="654"/>
      <c r="T507" s="655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803</v>
      </c>
      <c r="B508" s="54" t="s">
        <v>804</v>
      </c>
      <c r="C508" s="31">
        <v>4301011961</v>
      </c>
      <c r="D508" s="651">
        <v>4680115885271</v>
      </c>
      <c r="E508" s="65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54"/>
      <c r="R508" s="654"/>
      <c r="S508" s="654"/>
      <c r="T508" s="655"/>
      <c r="U508" s="34"/>
      <c r="V508" s="34"/>
      <c r="W508" s="35" t="s">
        <v>66</v>
      </c>
      <c r="X508" s="647">
        <v>0</v>
      </c>
      <c r="Y508" s="648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4301011369</v>
      </c>
      <c r="D509" s="651">
        <v>4680115885226</v>
      </c>
      <c r="E509" s="65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54"/>
      <c r="R509" s="654"/>
      <c r="S509" s="654"/>
      <c r="T509" s="655"/>
      <c r="U509" s="34"/>
      <c r="V509" s="34"/>
      <c r="W509" s="35" t="s">
        <v>66</v>
      </c>
      <c r="X509" s="647">
        <v>819</v>
      </c>
      <c r="Y509" s="648">
        <f t="shared" si="78"/>
        <v>823.68000000000006</v>
      </c>
      <c r="Z509" s="36">
        <f t="shared" si="79"/>
        <v>1.8657600000000001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873.28977272727275</v>
      </c>
      <c r="BN509" s="64">
        <f t="shared" si="81"/>
        <v>878.28</v>
      </c>
      <c r="BO509" s="64">
        <f t="shared" si="82"/>
        <v>1.4914772727272727</v>
      </c>
      <c r="BP509" s="64">
        <f t="shared" si="83"/>
        <v>1.5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51">
        <v>4680115884502</v>
      </c>
      <c r="E510" s="65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54"/>
      <c r="R510" s="654"/>
      <c r="S510" s="654"/>
      <c r="T510" s="655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812</v>
      </c>
      <c r="B511" s="54" t="s">
        <v>813</v>
      </c>
      <c r="C511" s="31">
        <v>4301011771</v>
      </c>
      <c r="D511" s="651">
        <v>4607091389104</v>
      </c>
      <c r="E511" s="65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54"/>
      <c r="R511" s="654"/>
      <c r="S511" s="654"/>
      <c r="T511" s="655"/>
      <c r="U511" s="34"/>
      <c r="V511" s="34"/>
      <c r="W511" s="35" t="s">
        <v>66</v>
      </c>
      <c r="X511" s="647">
        <v>1687</v>
      </c>
      <c r="Y511" s="648">
        <f t="shared" si="78"/>
        <v>1689.6000000000001</v>
      </c>
      <c r="Z511" s="36">
        <f t="shared" si="79"/>
        <v>3.8271999999999999</v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1798.8276515151513</v>
      </c>
      <c r="BN511" s="64">
        <f t="shared" si="81"/>
        <v>1801.6</v>
      </c>
      <c r="BO511" s="64">
        <f t="shared" si="82"/>
        <v>3.0721882284382285</v>
      </c>
      <c r="BP511" s="64">
        <f t="shared" si="83"/>
        <v>3.0769230769230771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51">
        <v>4680115886391</v>
      </c>
      <c r="E512" s="65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8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54"/>
      <c r="R512" s="654"/>
      <c r="S512" s="654"/>
      <c r="T512" s="655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customHeight="1" x14ac:dyDescent="0.25">
      <c r="A513" s="54" t="s">
        <v>817</v>
      </c>
      <c r="B513" s="54" t="s">
        <v>818</v>
      </c>
      <c r="C513" s="31">
        <v>4301012048</v>
      </c>
      <c r="D513" s="651">
        <v>4680115880603</v>
      </c>
      <c r="E513" s="65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54"/>
      <c r="R513" s="654"/>
      <c r="S513" s="654"/>
      <c r="T513" s="655"/>
      <c r="U513" s="34"/>
      <c r="V513" s="34"/>
      <c r="W513" s="35" t="s">
        <v>66</v>
      </c>
      <c r="X513" s="647">
        <v>347</v>
      </c>
      <c r="Y513" s="648">
        <f t="shared" si="78"/>
        <v>350.4</v>
      </c>
      <c r="Z513" s="36">
        <f>IFERROR(IF(Y513=0,"",ROUNDUP(Y513/H513,0)*0.00902),"")</f>
        <v>0.65846000000000005</v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499.53541666666666</v>
      </c>
      <c r="BN513" s="64">
        <f t="shared" si="81"/>
        <v>504.42999999999995</v>
      </c>
      <c r="BO513" s="64">
        <f t="shared" si="82"/>
        <v>0.54766414141414144</v>
      </c>
      <c r="BP513" s="64">
        <f t="shared" si="83"/>
        <v>0.55303030303030309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51">
        <v>4607091389982</v>
      </c>
      <c r="E514" s="65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54"/>
      <c r="R514" s="654"/>
      <c r="S514" s="654"/>
      <c r="T514" s="655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68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9"/>
      <c r="P515" s="663" t="s">
        <v>71</v>
      </c>
      <c r="Q515" s="664"/>
      <c r="R515" s="664"/>
      <c r="S515" s="664"/>
      <c r="T515" s="664"/>
      <c r="U515" s="664"/>
      <c r="V515" s="66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593.88257575757564</v>
      </c>
      <c r="Y515" s="649">
        <f>IFERROR(Y506/H506,"0")+IFERROR(Y507/H507,"0")+IFERROR(Y508/H508,"0")+IFERROR(Y509/H509,"0")+IFERROR(Y510/H510,"0")+IFERROR(Y511/H511,"0")+IFERROR(Y512/H512,"0")+IFERROR(Y513/H513,"0")+IFERROR(Y514/H514,"0")</f>
        <v>596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6.9135399999999994</v>
      </c>
      <c r="AA515" s="650"/>
      <c r="AB515" s="650"/>
      <c r="AC515" s="650"/>
    </row>
    <row r="516" spans="1:68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9"/>
      <c r="P516" s="663" t="s">
        <v>71</v>
      </c>
      <c r="Q516" s="664"/>
      <c r="R516" s="664"/>
      <c r="S516" s="664"/>
      <c r="T516" s="664"/>
      <c r="U516" s="664"/>
      <c r="V516" s="665"/>
      <c r="W516" s="37" t="s">
        <v>66</v>
      </c>
      <c r="X516" s="649">
        <f>IFERROR(SUM(X506:X514),"0")</f>
        <v>3101</v>
      </c>
      <c r="Y516" s="649">
        <f>IFERROR(SUM(Y506:Y514),"0")</f>
        <v>3111.8400000000006</v>
      </c>
      <c r="Z516" s="37"/>
      <c r="AA516" s="650"/>
      <c r="AB516" s="650"/>
      <c r="AC516" s="650"/>
    </row>
    <row r="517" spans="1:68" ht="14.25" hidden="1" customHeight="1" x14ac:dyDescent="0.25">
      <c r="A517" s="659" t="s">
        <v>147</v>
      </c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0"/>
      <c r="P517" s="660"/>
      <c r="Q517" s="660"/>
      <c r="R517" s="660"/>
      <c r="S517" s="660"/>
      <c r="T517" s="660"/>
      <c r="U517" s="660"/>
      <c r="V517" s="660"/>
      <c r="W517" s="660"/>
      <c r="X517" s="660"/>
      <c r="Y517" s="660"/>
      <c r="Z517" s="660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51">
        <v>4607091388930</v>
      </c>
      <c r="E518" s="65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54"/>
      <c r="R518" s="654"/>
      <c r="S518" s="654"/>
      <c r="T518" s="655"/>
      <c r="U518" s="34"/>
      <c r="V518" s="34"/>
      <c r="W518" s="35" t="s">
        <v>66</v>
      </c>
      <c r="X518" s="647">
        <v>1631</v>
      </c>
      <c r="Y518" s="648">
        <f>IFERROR(IF(X518="",0,CEILING((X518/$H518),1)*$H518),"")</f>
        <v>1631.52</v>
      </c>
      <c r="Z518" s="36">
        <f>IFERROR(IF(Y518=0,"",ROUNDUP(Y518/H518,0)*0.01196),"")</f>
        <v>3.69564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1739.1155303030303</v>
      </c>
      <c r="BN518" s="64">
        <f>IFERROR(Y518*I518/H518,"0")</f>
        <v>1739.6699999999998</v>
      </c>
      <c r="BO518" s="64">
        <f>IFERROR(1/J518*(X518/H518),"0")</f>
        <v>2.9702068764568765</v>
      </c>
      <c r="BP518" s="64">
        <f>IFERROR(1/J518*(Y518/H518),"0")</f>
        <v>2.9711538461538463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51">
        <v>4680115886407</v>
      </c>
      <c r="E519" s="65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54"/>
      <c r="R519" s="654"/>
      <c r="S519" s="654"/>
      <c r="T519" s="655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customHeight="1" x14ac:dyDescent="0.25">
      <c r="A520" s="54" t="s">
        <v>826</v>
      </c>
      <c r="B520" s="54" t="s">
        <v>827</v>
      </c>
      <c r="C520" s="31">
        <v>4301020385</v>
      </c>
      <c r="D520" s="651">
        <v>4680115880054</v>
      </c>
      <c r="E520" s="65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54"/>
      <c r="R520" s="654"/>
      <c r="S520" s="654"/>
      <c r="T520" s="655"/>
      <c r="U520" s="34"/>
      <c r="V520" s="34"/>
      <c r="W520" s="35" t="s">
        <v>66</v>
      </c>
      <c r="X520" s="647">
        <v>347</v>
      </c>
      <c r="Y520" s="648">
        <f>IFERROR(IF(X520="",0,CEILING((X520/$H520),1)*$H520),"")</f>
        <v>350.4</v>
      </c>
      <c r="Z520" s="36">
        <f>IFERROR(IF(Y520=0,"",ROUNDUP(Y520/H520,0)*0.00902),"")</f>
        <v>0.65846000000000005</v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499.53541666666666</v>
      </c>
      <c r="BN520" s="64">
        <f>IFERROR(Y520*I520/H520,"0")</f>
        <v>504.42999999999995</v>
      </c>
      <c r="BO520" s="64">
        <f>IFERROR(1/J520*(X520/H520),"0")</f>
        <v>0.54766414141414144</v>
      </c>
      <c r="BP520" s="64">
        <f>IFERROR(1/J520*(Y520/H520),"0")</f>
        <v>0.55303030303030309</v>
      </c>
    </row>
    <row r="521" spans="1:68" x14ac:dyDescent="0.2">
      <c r="A521" s="668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9"/>
      <c r="P521" s="663" t="s">
        <v>71</v>
      </c>
      <c r="Q521" s="664"/>
      <c r="R521" s="664"/>
      <c r="S521" s="664"/>
      <c r="T521" s="664"/>
      <c r="U521" s="664"/>
      <c r="V521" s="665"/>
      <c r="W521" s="37" t="s">
        <v>72</v>
      </c>
      <c r="X521" s="649">
        <f>IFERROR(X518/H518,"0")+IFERROR(X519/H519,"0")+IFERROR(X520/H520,"0")</f>
        <v>381.19318181818181</v>
      </c>
      <c r="Y521" s="649">
        <f>IFERROR(Y518/H518,"0")+IFERROR(Y519/H519,"0")+IFERROR(Y520/H520,"0")</f>
        <v>382</v>
      </c>
      <c r="Z521" s="649">
        <f>IFERROR(IF(Z518="",0,Z518),"0")+IFERROR(IF(Z519="",0,Z519),"0")+IFERROR(IF(Z520="",0,Z520),"0")</f>
        <v>4.3540999999999999</v>
      </c>
      <c r="AA521" s="650"/>
      <c r="AB521" s="650"/>
      <c r="AC521" s="650"/>
    </row>
    <row r="522" spans="1:68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9"/>
      <c r="P522" s="663" t="s">
        <v>71</v>
      </c>
      <c r="Q522" s="664"/>
      <c r="R522" s="664"/>
      <c r="S522" s="664"/>
      <c r="T522" s="664"/>
      <c r="U522" s="664"/>
      <c r="V522" s="665"/>
      <c r="W522" s="37" t="s">
        <v>66</v>
      </c>
      <c r="X522" s="649">
        <f>IFERROR(SUM(X518:X520),"0")</f>
        <v>1978</v>
      </c>
      <c r="Y522" s="649">
        <f>IFERROR(SUM(Y518:Y520),"0")</f>
        <v>1981.92</v>
      </c>
      <c r="Z522" s="37"/>
      <c r="AA522" s="650"/>
      <c r="AB522" s="650"/>
      <c r="AC522" s="650"/>
    </row>
    <row r="523" spans="1:68" ht="14.25" hidden="1" customHeight="1" x14ac:dyDescent="0.25">
      <c r="A523" s="659" t="s">
        <v>61</v>
      </c>
      <c r="B523" s="660"/>
      <c r="C523" s="660"/>
      <c r="D523" s="660"/>
      <c r="E523" s="660"/>
      <c r="F523" s="660"/>
      <c r="G523" s="660"/>
      <c r="H523" s="660"/>
      <c r="I523" s="660"/>
      <c r="J523" s="660"/>
      <c r="K523" s="660"/>
      <c r="L523" s="660"/>
      <c r="M523" s="660"/>
      <c r="N523" s="660"/>
      <c r="O523" s="660"/>
      <c r="P523" s="660"/>
      <c r="Q523" s="660"/>
      <c r="R523" s="660"/>
      <c r="S523" s="660"/>
      <c r="T523" s="660"/>
      <c r="U523" s="660"/>
      <c r="V523" s="660"/>
      <c r="W523" s="660"/>
      <c r="X523" s="660"/>
      <c r="Y523" s="660"/>
      <c r="Z523" s="660"/>
      <c r="AA523" s="643"/>
      <c r="AB523" s="643"/>
      <c r="AC523" s="643"/>
    </row>
    <row r="524" spans="1:68" ht="27" customHeight="1" x14ac:dyDescent="0.25">
      <c r="A524" s="54" t="s">
        <v>828</v>
      </c>
      <c r="B524" s="54" t="s">
        <v>829</v>
      </c>
      <c r="C524" s="31">
        <v>4301031349</v>
      </c>
      <c r="D524" s="651">
        <v>4680115883116</v>
      </c>
      <c r="E524" s="65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54"/>
      <c r="R524" s="654"/>
      <c r="S524" s="654"/>
      <c r="T524" s="655"/>
      <c r="U524" s="34"/>
      <c r="V524" s="34"/>
      <c r="W524" s="35" t="s">
        <v>66</v>
      </c>
      <c r="X524" s="647">
        <v>72</v>
      </c>
      <c r="Y524" s="648">
        <f t="shared" ref="Y524:Y530" si="84">IFERROR(IF(X524="",0,CEILING((X524/$H524),1)*$H524),"")</f>
        <v>73.92</v>
      </c>
      <c r="Z524" s="36">
        <f>IFERROR(IF(Y524=0,"",ROUNDUP(Y524/H524,0)*0.01196),"")</f>
        <v>0.16744000000000001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76.772727272727266</v>
      </c>
      <c r="BN524" s="64">
        <f t="shared" ref="BN524:BN530" si="86">IFERROR(Y524*I524/H524,"0")</f>
        <v>78.819999999999993</v>
      </c>
      <c r="BO524" s="64">
        <f t="shared" ref="BO524:BO530" si="87">IFERROR(1/J524*(X524/H524),"0")</f>
        <v>0.13111888111888112</v>
      </c>
      <c r="BP524" s="64">
        <f t="shared" ref="BP524:BP530" si="88">IFERROR(1/J524*(Y524/H524),"0")</f>
        <v>0.13461538461538464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51">
        <v>4680115883093</v>
      </c>
      <c r="E525" s="65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54"/>
      <c r="R525" s="654"/>
      <c r="S525" s="654"/>
      <c r="T525" s="655"/>
      <c r="U525" s="34"/>
      <c r="V525" s="34"/>
      <c r="W525" s="35" t="s">
        <v>66</v>
      </c>
      <c r="X525" s="647">
        <v>723</v>
      </c>
      <c r="Y525" s="648">
        <f t="shared" si="84"/>
        <v>723.36</v>
      </c>
      <c r="Z525" s="36">
        <f>IFERROR(IF(Y525=0,"",ROUNDUP(Y525/H525,0)*0.01196),"")</f>
        <v>1.63852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770.92613636363626</v>
      </c>
      <c r="BN525" s="64">
        <f t="shared" si="86"/>
        <v>771.31</v>
      </c>
      <c r="BO525" s="64">
        <f t="shared" si="87"/>
        <v>1.3166520979020979</v>
      </c>
      <c r="BP525" s="64">
        <f t="shared" si="88"/>
        <v>1.3173076923076923</v>
      </c>
    </row>
    <row r="526" spans="1:68" ht="27" customHeight="1" x14ac:dyDescent="0.25">
      <c r="A526" s="54" t="s">
        <v>834</v>
      </c>
      <c r="B526" s="54" t="s">
        <v>835</v>
      </c>
      <c r="C526" s="31">
        <v>4301031353</v>
      </c>
      <c r="D526" s="651">
        <v>4680115883109</v>
      </c>
      <c r="E526" s="65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54"/>
      <c r="R526" s="654"/>
      <c r="S526" s="654"/>
      <c r="T526" s="655"/>
      <c r="U526" s="34"/>
      <c r="V526" s="34"/>
      <c r="W526" s="35" t="s">
        <v>66</v>
      </c>
      <c r="X526" s="647">
        <v>819</v>
      </c>
      <c r="Y526" s="648">
        <f t="shared" si="84"/>
        <v>823.68000000000006</v>
      </c>
      <c r="Z526" s="36">
        <f>IFERROR(IF(Y526=0,"",ROUNDUP(Y526/H526,0)*0.01196),"")</f>
        <v>1.8657600000000001</v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873.28977272727275</v>
      </c>
      <c r="BN526" s="64">
        <f t="shared" si="86"/>
        <v>878.28</v>
      </c>
      <c r="BO526" s="64">
        <f t="shared" si="87"/>
        <v>1.4914772727272727</v>
      </c>
      <c r="BP526" s="64">
        <f t="shared" si="88"/>
        <v>1.5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51">
        <v>4680115882072</v>
      </c>
      <c r="E527" s="65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54"/>
      <c r="R527" s="654"/>
      <c r="S527" s="654"/>
      <c r="T527" s="655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51">
        <v>4680115882102</v>
      </c>
      <c r="E528" s="65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0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54"/>
      <c r="R528" s="654"/>
      <c r="S528" s="654"/>
      <c r="T528" s="655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51">
        <v>4680115882102</v>
      </c>
      <c r="E529" s="65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54"/>
      <c r="R529" s="654"/>
      <c r="S529" s="654"/>
      <c r="T529" s="655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51">
        <v>4680115882096</v>
      </c>
      <c r="E530" s="65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8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54"/>
      <c r="R530" s="654"/>
      <c r="S530" s="654"/>
      <c r="T530" s="655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68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9"/>
      <c r="P531" s="663" t="s">
        <v>71</v>
      </c>
      <c r="Q531" s="664"/>
      <c r="R531" s="664"/>
      <c r="S531" s="664"/>
      <c r="T531" s="664"/>
      <c r="U531" s="664"/>
      <c r="V531" s="66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305.68181818181813</v>
      </c>
      <c r="Y531" s="649">
        <f>IFERROR(Y524/H524,"0")+IFERROR(Y525/H525,"0")+IFERROR(Y526/H526,"0")+IFERROR(Y527/H527,"0")+IFERROR(Y528/H528,"0")+IFERROR(Y529/H529,"0")+IFERROR(Y530/H530,"0")</f>
        <v>307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3.6717200000000001</v>
      </c>
      <c r="AA531" s="650"/>
      <c r="AB531" s="650"/>
      <c r="AC531" s="650"/>
    </row>
    <row r="532" spans="1:68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9"/>
      <c r="P532" s="663" t="s">
        <v>71</v>
      </c>
      <c r="Q532" s="664"/>
      <c r="R532" s="664"/>
      <c r="S532" s="664"/>
      <c r="T532" s="664"/>
      <c r="U532" s="664"/>
      <c r="V532" s="665"/>
      <c r="W532" s="37" t="s">
        <v>66</v>
      </c>
      <c r="X532" s="649">
        <f>IFERROR(SUM(X524:X530),"0")</f>
        <v>1614</v>
      </c>
      <c r="Y532" s="649">
        <f>IFERROR(SUM(Y524:Y530),"0")</f>
        <v>1620.96</v>
      </c>
      <c r="Z532" s="37"/>
      <c r="AA532" s="650"/>
      <c r="AB532" s="650"/>
      <c r="AC532" s="650"/>
    </row>
    <row r="533" spans="1:68" ht="27.75" hidden="1" customHeight="1" x14ac:dyDescent="0.2">
      <c r="A533" s="661" t="s">
        <v>844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48"/>
      <c r="AB533" s="48"/>
      <c r="AC533" s="48"/>
    </row>
    <row r="534" spans="1:68" ht="16.5" hidden="1" customHeight="1" x14ac:dyDescent="0.25">
      <c r="A534" s="672" t="s">
        <v>844</v>
      </c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0"/>
      <c r="P534" s="660"/>
      <c r="Q534" s="660"/>
      <c r="R534" s="660"/>
      <c r="S534" s="660"/>
      <c r="T534" s="660"/>
      <c r="U534" s="660"/>
      <c r="V534" s="660"/>
      <c r="W534" s="660"/>
      <c r="X534" s="660"/>
      <c r="Y534" s="660"/>
      <c r="Z534" s="660"/>
      <c r="AA534" s="642"/>
      <c r="AB534" s="642"/>
      <c r="AC534" s="642"/>
    </row>
    <row r="535" spans="1:68" ht="14.25" hidden="1" customHeight="1" x14ac:dyDescent="0.25">
      <c r="A535" s="659" t="s">
        <v>110</v>
      </c>
      <c r="B535" s="660"/>
      <c r="C535" s="660"/>
      <c r="D535" s="660"/>
      <c r="E535" s="660"/>
      <c r="F535" s="660"/>
      <c r="G535" s="660"/>
      <c r="H535" s="660"/>
      <c r="I535" s="660"/>
      <c r="J535" s="660"/>
      <c r="K535" s="660"/>
      <c r="L535" s="660"/>
      <c r="M535" s="660"/>
      <c r="N535" s="660"/>
      <c r="O535" s="660"/>
      <c r="P535" s="660"/>
      <c r="Q535" s="660"/>
      <c r="R535" s="660"/>
      <c r="S535" s="660"/>
      <c r="T535" s="660"/>
      <c r="U535" s="660"/>
      <c r="V535" s="660"/>
      <c r="W535" s="660"/>
      <c r="X535" s="660"/>
      <c r="Y535" s="660"/>
      <c r="Z535" s="660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51">
        <v>4640242180564</v>
      </c>
      <c r="E536" s="65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54"/>
      <c r="R536" s="654"/>
      <c r="S536" s="654"/>
      <c r="T536" s="655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68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9"/>
      <c r="P537" s="663" t="s">
        <v>71</v>
      </c>
      <c r="Q537" s="664"/>
      <c r="R537" s="664"/>
      <c r="S537" s="664"/>
      <c r="T537" s="664"/>
      <c r="U537" s="664"/>
      <c r="V537" s="66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9"/>
      <c r="P538" s="663" t="s">
        <v>71</v>
      </c>
      <c r="Q538" s="664"/>
      <c r="R538" s="664"/>
      <c r="S538" s="664"/>
      <c r="T538" s="664"/>
      <c r="U538" s="664"/>
      <c r="V538" s="66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59" t="s">
        <v>147</v>
      </c>
      <c r="B539" s="660"/>
      <c r="C539" s="660"/>
      <c r="D539" s="660"/>
      <c r="E539" s="660"/>
      <c r="F539" s="660"/>
      <c r="G539" s="660"/>
      <c r="H539" s="660"/>
      <c r="I539" s="660"/>
      <c r="J539" s="660"/>
      <c r="K539" s="660"/>
      <c r="L539" s="660"/>
      <c r="M539" s="660"/>
      <c r="N539" s="660"/>
      <c r="O539" s="660"/>
      <c r="P539" s="660"/>
      <c r="Q539" s="660"/>
      <c r="R539" s="660"/>
      <c r="S539" s="660"/>
      <c r="T539" s="660"/>
      <c r="U539" s="660"/>
      <c r="V539" s="660"/>
      <c r="W539" s="660"/>
      <c r="X539" s="660"/>
      <c r="Y539" s="660"/>
      <c r="Z539" s="660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51">
        <v>4680115889781</v>
      </c>
      <c r="E540" s="65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54"/>
      <c r="R540" s="654"/>
      <c r="S540" s="654"/>
      <c r="T540" s="655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9"/>
      <c r="P541" s="663" t="s">
        <v>71</v>
      </c>
      <c r="Q541" s="664"/>
      <c r="R541" s="664"/>
      <c r="S541" s="664"/>
      <c r="T541" s="664"/>
      <c r="U541" s="664"/>
      <c r="V541" s="66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9"/>
      <c r="P542" s="663" t="s">
        <v>71</v>
      </c>
      <c r="Q542" s="664"/>
      <c r="R542" s="664"/>
      <c r="S542" s="664"/>
      <c r="T542" s="664"/>
      <c r="U542" s="664"/>
      <c r="V542" s="66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59" t="s">
        <v>61</v>
      </c>
      <c r="B543" s="660"/>
      <c r="C543" s="660"/>
      <c r="D543" s="660"/>
      <c r="E543" s="660"/>
      <c r="F543" s="660"/>
      <c r="G543" s="660"/>
      <c r="H543" s="660"/>
      <c r="I543" s="660"/>
      <c r="J543" s="660"/>
      <c r="K543" s="660"/>
      <c r="L543" s="660"/>
      <c r="M543" s="660"/>
      <c r="N543" s="660"/>
      <c r="O543" s="660"/>
      <c r="P543" s="660"/>
      <c r="Q543" s="660"/>
      <c r="R543" s="660"/>
      <c r="S543" s="660"/>
      <c r="T543" s="660"/>
      <c r="U543" s="660"/>
      <c r="V543" s="660"/>
      <c r="W543" s="660"/>
      <c r="X543" s="660"/>
      <c r="Y543" s="660"/>
      <c r="Z543" s="660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51">
        <v>4640242180595</v>
      </c>
      <c r="E544" s="65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2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54"/>
      <c r="R544" s="654"/>
      <c r="S544" s="654"/>
      <c r="T544" s="655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9"/>
      <c r="P545" s="663" t="s">
        <v>71</v>
      </c>
      <c r="Q545" s="664"/>
      <c r="R545" s="664"/>
      <c r="S545" s="664"/>
      <c r="T545" s="664"/>
      <c r="U545" s="664"/>
      <c r="V545" s="66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9"/>
      <c r="P546" s="663" t="s">
        <v>71</v>
      </c>
      <c r="Q546" s="664"/>
      <c r="R546" s="664"/>
      <c r="S546" s="664"/>
      <c r="T546" s="664"/>
      <c r="U546" s="664"/>
      <c r="V546" s="66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59" t="s">
        <v>73</v>
      </c>
      <c r="B547" s="660"/>
      <c r="C547" s="660"/>
      <c r="D547" s="660"/>
      <c r="E547" s="660"/>
      <c r="F547" s="660"/>
      <c r="G547" s="660"/>
      <c r="H547" s="660"/>
      <c r="I547" s="660"/>
      <c r="J547" s="660"/>
      <c r="K547" s="660"/>
      <c r="L547" s="660"/>
      <c r="M547" s="660"/>
      <c r="N547" s="660"/>
      <c r="O547" s="660"/>
      <c r="P547" s="660"/>
      <c r="Q547" s="660"/>
      <c r="R547" s="660"/>
      <c r="S547" s="660"/>
      <c r="T547" s="660"/>
      <c r="U547" s="660"/>
      <c r="V547" s="660"/>
      <c r="W547" s="660"/>
      <c r="X547" s="660"/>
      <c r="Y547" s="660"/>
      <c r="Z547" s="660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51">
        <v>4680115889811</v>
      </c>
      <c r="E548" s="65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778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54"/>
      <c r="R548" s="654"/>
      <c r="S548" s="654"/>
      <c r="T548" s="655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9"/>
      <c r="P549" s="663" t="s">
        <v>71</v>
      </c>
      <c r="Q549" s="664"/>
      <c r="R549" s="664"/>
      <c r="S549" s="664"/>
      <c r="T549" s="664"/>
      <c r="U549" s="664"/>
      <c r="V549" s="66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9"/>
      <c r="P550" s="663" t="s">
        <v>71</v>
      </c>
      <c r="Q550" s="664"/>
      <c r="R550" s="664"/>
      <c r="S550" s="664"/>
      <c r="T550" s="664"/>
      <c r="U550" s="664"/>
      <c r="V550" s="66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59" t="s">
        <v>166</v>
      </c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0"/>
      <c r="P551" s="660"/>
      <c r="Q551" s="660"/>
      <c r="R551" s="660"/>
      <c r="S551" s="660"/>
      <c r="T551" s="660"/>
      <c r="U551" s="660"/>
      <c r="V551" s="660"/>
      <c r="W551" s="660"/>
      <c r="X551" s="660"/>
      <c r="Y551" s="660"/>
      <c r="Z551" s="660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51">
        <v>4680115889804</v>
      </c>
      <c r="E552" s="65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54"/>
      <c r="R552" s="654"/>
      <c r="S552" s="654"/>
      <c r="T552" s="655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51">
        <v>4680115889828</v>
      </c>
      <c r="E553" s="65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54"/>
      <c r="R553" s="654"/>
      <c r="S553" s="654"/>
      <c r="T553" s="655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68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9"/>
      <c r="P554" s="663" t="s">
        <v>71</v>
      </c>
      <c r="Q554" s="664"/>
      <c r="R554" s="664"/>
      <c r="S554" s="664"/>
      <c r="T554" s="664"/>
      <c r="U554" s="664"/>
      <c r="V554" s="66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9"/>
      <c r="P555" s="663" t="s">
        <v>71</v>
      </c>
      <c r="Q555" s="664"/>
      <c r="R555" s="664"/>
      <c r="S555" s="664"/>
      <c r="T555" s="664"/>
      <c r="U555" s="664"/>
      <c r="V555" s="66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72" t="s">
        <v>862</v>
      </c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0"/>
      <c r="P556" s="660"/>
      <c r="Q556" s="660"/>
      <c r="R556" s="660"/>
      <c r="S556" s="660"/>
      <c r="T556" s="660"/>
      <c r="U556" s="660"/>
      <c r="V556" s="660"/>
      <c r="W556" s="660"/>
      <c r="X556" s="660"/>
      <c r="Y556" s="660"/>
      <c r="Z556" s="660"/>
      <c r="AA556" s="642"/>
      <c r="AB556" s="642"/>
      <c r="AC556" s="642"/>
    </row>
    <row r="557" spans="1:68" ht="14.25" hidden="1" customHeight="1" x14ac:dyDescent="0.25">
      <c r="A557" s="659" t="s">
        <v>147</v>
      </c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0"/>
      <c r="P557" s="660"/>
      <c r="Q557" s="660"/>
      <c r="R557" s="660"/>
      <c r="S557" s="660"/>
      <c r="T557" s="660"/>
      <c r="U557" s="660"/>
      <c r="V557" s="660"/>
      <c r="W557" s="660"/>
      <c r="X557" s="660"/>
      <c r="Y557" s="660"/>
      <c r="Z557" s="660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51">
        <v>4680115889798</v>
      </c>
      <c r="E558" s="65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54"/>
      <c r="R558" s="654"/>
      <c r="S558" s="654"/>
      <c r="T558" s="655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68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9"/>
      <c r="P559" s="663" t="s">
        <v>71</v>
      </c>
      <c r="Q559" s="664"/>
      <c r="R559" s="664"/>
      <c r="S559" s="664"/>
      <c r="T559" s="664"/>
      <c r="U559" s="664"/>
      <c r="V559" s="66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9"/>
      <c r="P560" s="663" t="s">
        <v>71</v>
      </c>
      <c r="Q560" s="664"/>
      <c r="R560" s="664"/>
      <c r="S560" s="664"/>
      <c r="T560" s="664"/>
      <c r="U560" s="664"/>
      <c r="V560" s="66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979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833"/>
      <c r="P561" s="701" t="s">
        <v>866</v>
      </c>
      <c r="Q561" s="702"/>
      <c r="R561" s="702"/>
      <c r="S561" s="702"/>
      <c r="T561" s="702"/>
      <c r="U561" s="702"/>
      <c r="V561" s="703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14751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14923.7</v>
      </c>
      <c r="Z561" s="37"/>
      <c r="AA561" s="650"/>
      <c r="AB561" s="650"/>
      <c r="AC561" s="650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833"/>
      <c r="P562" s="701" t="s">
        <v>867</v>
      </c>
      <c r="Q562" s="702"/>
      <c r="R562" s="702"/>
      <c r="S562" s="702"/>
      <c r="T562" s="702"/>
      <c r="U562" s="702"/>
      <c r="V562" s="703"/>
      <c r="W562" s="37" t="s">
        <v>66</v>
      </c>
      <c r="X562" s="649">
        <f>IFERROR(SUM(BM22:BM558),"0")</f>
        <v>15831.883974911188</v>
      </c>
      <c r="Y562" s="649">
        <f>IFERROR(SUM(BN22:BN558),"0")</f>
        <v>16015.770000000002</v>
      </c>
      <c r="Z562" s="37"/>
      <c r="AA562" s="650"/>
      <c r="AB562" s="650"/>
      <c r="AC562" s="650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833"/>
      <c r="P563" s="701" t="s">
        <v>868</v>
      </c>
      <c r="Q563" s="702"/>
      <c r="R563" s="702"/>
      <c r="S563" s="702"/>
      <c r="T563" s="702"/>
      <c r="U563" s="702"/>
      <c r="V563" s="703"/>
      <c r="W563" s="37" t="s">
        <v>869</v>
      </c>
      <c r="X563" s="38">
        <f>ROUNDUP(SUM(BO22:BO558),0)</f>
        <v>26</v>
      </c>
      <c r="Y563" s="38">
        <f>ROUNDUP(SUM(BP22:BP558),0)</f>
        <v>26</v>
      </c>
      <c r="Z563" s="37"/>
      <c r="AA563" s="650"/>
      <c r="AB563" s="650"/>
      <c r="AC563" s="650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833"/>
      <c r="P564" s="701" t="s">
        <v>870</v>
      </c>
      <c r="Q564" s="702"/>
      <c r="R564" s="702"/>
      <c r="S564" s="702"/>
      <c r="T564" s="702"/>
      <c r="U564" s="702"/>
      <c r="V564" s="703"/>
      <c r="W564" s="37" t="s">
        <v>66</v>
      </c>
      <c r="X564" s="649">
        <f>GrossWeightTotal+PalletQtyTotal*25</f>
        <v>16481.883974911187</v>
      </c>
      <c r="Y564" s="649">
        <f>GrossWeightTotalR+PalletQtyTotalR*25</f>
        <v>16665.770000000004</v>
      </c>
      <c r="Z564" s="37"/>
      <c r="AA564" s="650"/>
      <c r="AB564" s="650"/>
      <c r="AC564" s="650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833"/>
      <c r="P565" s="701" t="s">
        <v>871</v>
      </c>
      <c r="Q565" s="702"/>
      <c r="R565" s="702"/>
      <c r="S565" s="702"/>
      <c r="T565" s="702"/>
      <c r="U565" s="702"/>
      <c r="V565" s="703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2383.3009333178024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2411</v>
      </c>
      <c r="Z565" s="37"/>
      <c r="AA565" s="650"/>
      <c r="AB565" s="650"/>
      <c r="AC565" s="650"/>
    </row>
    <row r="566" spans="1:32" ht="14.25" hidden="1" customHeight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833"/>
      <c r="P566" s="701" t="s">
        <v>872</v>
      </c>
      <c r="Q566" s="702"/>
      <c r="R566" s="702"/>
      <c r="S566" s="702"/>
      <c r="T566" s="702"/>
      <c r="U566" s="702"/>
      <c r="V566" s="703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30.80443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84" t="s">
        <v>108</v>
      </c>
      <c r="E568" s="727"/>
      <c r="F568" s="727"/>
      <c r="G568" s="727"/>
      <c r="H568" s="727"/>
      <c r="I568" s="727"/>
      <c r="J568" s="685"/>
      <c r="K568" s="684" t="s">
        <v>340</v>
      </c>
      <c r="L568" s="727"/>
      <c r="M568" s="727"/>
      <c r="N568" s="727"/>
      <c r="O568" s="727"/>
      <c r="P568" s="727"/>
      <c r="Q568" s="727"/>
      <c r="R568" s="727"/>
      <c r="S568" s="727"/>
      <c r="T568" s="727"/>
      <c r="U568" s="727"/>
      <c r="V568" s="685"/>
      <c r="W568" s="684" t="s">
        <v>695</v>
      </c>
      <c r="X568" s="685"/>
      <c r="Y568" s="684" t="s">
        <v>761</v>
      </c>
      <c r="Z568" s="685"/>
      <c r="AA568" s="644" t="s">
        <v>797</v>
      </c>
      <c r="AB568" s="684" t="s">
        <v>844</v>
      </c>
      <c r="AC568" s="685"/>
      <c r="AF568" s="645"/>
    </row>
    <row r="569" spans="1:32" ht="14.25" customHeight="1" thickTop="1" x14ac:dyDescent="0.2">
      <c r="A569" s="711" t="s">
        <v>875</v>
      </c>
      <c r="B569" s="684" t="s">
        <v>60</v>
      </c>
      <c r="C569" s="684" t="s">
        <v>92</v>
      </c>
      <c r="D569" s="684" t="s">
        <v>109</v>
      </c>
      <c r="E569" s="684" t="s">
        <v>125</v>
      </c>
      <c r="F569" s="684" t="s">
        <v>174</v>
      </c>
      <c r="G569" s="684" t="s">
        <v>197</v>
      </c>
      <c r="H569" s="684" t="s">
        <v>243</v>
      </c>
      <c r="I569" s="684" t="s">
        <v>256</v>
      </c>
      <c r="J569" s="684" t="s">
        <v>108</v>
      </c>
      <c r="K569" s="684" t="s">
        <v>341</v>
      </c>
      <c r="L569" s="684" t="s">
        <v>362</v>
      </c>
      <c r="M569" s="684" t="s">
        <v>436</v>
      </c>
      <c r="N569" s="645"/>
      <c r="O569" s="684" t="s">
        <v>504</v>
      </c>
      <c r="P569" s="684" t="s">
        <v>533</v>
      </c>
      <c r="Q569" s="684" t="s">
        <v>553</v>
      </c>
      <c r="R569" s="684" t="s">
        <v>562</v>
      </c>
      <c r="S569" s="684" t="s">
        <v>583</v>
      </c>
      <c r="T569" s="684" t="s">
        <v>592</v>
      </c>
      <c r="U569" s="684" t="s">
        <v>678</v>
      </c>
      <c r="V569" s="684" t="s">
        <v>685</v>
      </c>
      <c r="W569" s="684" t="s">
        <v>696</v>
      </c>
      <c r="X569" s="684" t="s">
        <v>745</v>
      </c>
      <c r="Y569" s="684" t="s">
        <v>762</v>
      </c>
      <c r="Z569" s="684" t="s">
        <v>785</v>
      </c>
      <c r="AA569" s="684" t="s">
        <v>797</v>
      </c>
      <c r="AB569" s="684" t="s">
        <v>844</v>
      </c>
      <c r="AC569" s="684" t="s">
        <v>862</v>
      </c>
      <c r="AF569" s="645"/>
    </row>
    <row r="570" spans="1:32" ht="13.5" customHeight="1" thickBot="1" x14ac:dyDescent="0.25">
      <c r="A570" s="712"/>
      <c r="B570" s="710"/>
      <c r="C570" s="710"/>
      <c r="D570" s="710"/>
      <c r="E570" s="710"/>
      <c r="F570" s="710"/>
      <c r="G570" s="710"/>
      <c r="H570" s="710"/>
      <c r="I570" s="710"/>
      <c r="J570" s="710"/>
      <c r="K570" s="710"/>
      <c r="L570" s="710"/>
      <c r="M570" s="710"/>
      <c r="N570" s="645"/>
      <c r="O570" s="710"/>
      <c r="P570" s="710"/>
      <c r="Q570" s="710"/>
      <c r="R570" s="710"/>
      <c r="S570" s="710"/>
      <c r="T570" s="710"/>
      <c r="U570" s="710"/>
      <c r="V570" s="710"/>
      <c r="W570" s="710"/>
      <c r="X570" s="710"/>
      <c r="Y570" s="710"/>
      <c r="Z570" s="710"/>
      <c r="AA570" s="710"/>
      <c r="AB570" s="710"/>
      <c r="AC570" s="710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0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680.40000000000009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551.5</v>
      </c>
      <c r="F571" s="46">
        <f>IFERROR(Y87*1,"0")+IFERROR(Y88*1,"0")+IFERROR(Y89*1,"0")+IFERROR(Y90*1,"0")+IFERROR(Y91*1,"0")+IFERROR(Y95*1,"0")+IFERROR(Y96*1,"0")+IFERROR(Y97*1,"0")+IFERROR(Y98*1,"0")</f>
        <v>345.6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913.8</v>
      </c>
      <c r="H571" s="46">
        <f>IFERROR(Y135*1,"0")+IFERROR(Y136*1,"0")+IFERROR(Y140*1,"0")+IFERROR(Y141*1,"0")+IFERROR(Y145*1,"0")+IFERROR(Y146*1,"0")</f>
        <v>11.2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368.58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117.60000000000001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873.3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27.6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115.2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265.2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426.3</v>
      </c>
      <c r="U571" s="46">
        <f>IFERROR(Y419*1,"0")+IFERROR(Y420*1,"0")</f>
        <v>0</v>
      </c>
      <c r="V571" s="46">
        <f>IFERROR(Y425*1,"0")+IFERROR(Y426*1,"0")+IFERROR(Y427*1,"0")</f>
        <v>35.700000000000003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2700</v>
      </c>
      <c r="X571" s="46">
        <f>IFERROR(Y462*1,"0")+IFERROR(Y463*1,"0")+IFERROR(Y467*1,"0")+IFERROR(Y471*1,"0")+IFERROR(Y472*1,"0")+IFERROR(Y473*1,"0")</f>
        <v>777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6714.72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14,00"/>
        <filter val="1 631,00"/>
        <filter val="1 687,00"/>
        <filter val="1 978,00"/>
        <filter val="1,50"/>
        <filter val="10,00"/>
        <filter val="100,00"/>
        <filter val="100,33"/>
        <filter val="106,00"/>
        <filter val="11,00"/>
        <filter val="112,00"/>
        <filter val="116,00"/>
        <filter val="121,00"/>
        <filter val="125,00"/>
        <filter val="127,00"/>
        <filter val="13,00"/>
        <filter val="14 751,00"/>
        <filter val="14,87"/>
        <filter val="140,96"/>
        <filter val="141,76"/>
        <filter val="145,00"/>
        <filter val="15 831,88"/>
        <filter val="15,00"/>
        <filter val="16 481,88"/>
        <filter val="16,67"/>
        <filter val="163,00"/>
        <filter val="17,00"/>
        <filter val="193,00"/>
        <filter val="2 383,30"/>
        <filter val="2 445,00"/>
        <filter val="20,00"/>
        <filter val="20,29"/>
        <filter val="22,38"/>
        <filter val="223,00"/>
        <filter val="248,00"/>
        <filter val="254,00"/>
        <filter val="26"/>
        <filter val="3 101,00"/>
        <filter val="3,59"/>
        <filter val="3,93"/>
        <filter val="30,00"/>
        <filter val="305,68"/>
        <filter val="31,20"/>
        <filter val="313,00"/>
        <filter val="32,38"/>
        <filter val="32,56"/>
        <filter val="337,00"/>
        <filter val="347,00"/>
        <filter val="35,00"/>
        <filter val="351,00"/>
        <filter val="362,00"/>
        <filter val="371,00"/>
        <filter val="38,87"/>
        <filter val="381,19"/>
        <filter val="4,00"/>
        <filter val="40,00"/>
        <filter val="40,13"/>
        <filter val="45,00"/>
        <filter val="46,67"/>
        <filter val="48,00"/>
        <filter val="491,00"/>
        <filter val="5,00"/>
        <filter val="5,88"/>
        <filter val="54,00"/>
        <filter val="593,88"/>
        <filter val="6,00"/>
        <filter val="60,00"/>
        <filter val="62,50"/>
        <filter val="675,00"/>
        <filter val="7,69"/>
        <filter val="70,37"/>
        <filter val="72,00"/>
        <filter val="723,00"/>
        <filter val="77,00"/>
        <filter val="771,00"/>
        <filter val="80,00"/>
        <filter val="819,00"/>
        <filter val="86,00"/>
        <filter val="87,00"/>
        <filter val="9,00"/>
        <filter val="9,81"/>
        <filter val="940,00"/>
        <filter val="95,19"/>
        <filter val="96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Y17:Y18"/>
    <mergeCell ref="D57:E57"/>
    <mergeCell ref="A8:C8"/>
    <mergeCell ref="P124:T124"/>
    <mergeCell ref="D293:E293"/>
    <mergeCell ref="P360:T360"/>
    <mergeCell ref="D268:E268"/>
    <mergeCell ref="P151:T151"/>
    <mergeCell ref="A137:O138"/>
    <mergeCell ref="D395:E395"/>
    <mergeCell ref="P138:V138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W569:W570"/>
    <mergeCell ref="A206:Z206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Q5:R5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Q6:R6"/>
    <mergeCell ref="A267:Z267"/>
    <mergeCell ref="P243:T243"/>
    <mergeCell ref="P436:T436"/>
    <mergeCell ref="V569:V570"/>
    <mergeCell ref="P349:T349"/>
    <mergeCell ref="D243:E243"/>
    <mergeCell ref="X569:X570"/>
    <mergeCell ref="P420:T420"/>
    <mergeCell ref="P78:V78"/>
    <mergeCell ref="D528:E528"/>
    <mergeCell ref="P363:V363"/>
    <mergeCell ref="D310:E310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A561:O566"/>
    <mergeCell ref="D165:E165"/>
    <mergeCell ref="P75:T75"/>
    <mergeCell ref="P2:W3"/>
    <mergeCell ref="D437:E437"/>
    <mergeCell ref="P369:T36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A533:Z533"/>
    <mergeCell ref="P189:V189"/>
    <mergeCell ref="D177:E177"/>
    <mergeCell ref="P281:V281"/>
    <mergeCell ref="P354:T354"/>
    <mergeCell ref="D226:E226"/>
    <mergeCell ref="P183:T183"/>
    <mergeCell ref="D462:E462"/>
    <mergeCell ref="P62:T6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314:Z314"/>
    <mergeCell ref="A114:Z114"/>
    <mergeCell ref="P295:T295"/>
    <mergeCell ref="P178:T178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P49:T49"/>
    <mergeCell ref="A551:Z551"/>
    <mergeCell ref="P278:T278"/>
    <mergeCell ref="P107:T107"/>
    <mergeCell ref="D386:E386"/>
    <mergeCell ref="A255:O256"/>
    <mergeCell ref="D513:E513"/>
    <mergeCell ref="P250:V250"/>
    <mergeCell ref="P194:V194"/>
    <mergeCell ref="D544:E544"/>
    <mergeCell ref="P536:T536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569:P570"/>
    <mergeCell ref="D227:E227"/>
    <mergeCell ref="H569:H570"/>
    <mergeCell ref="D525:E525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A554:O555"/>
    <mergeCell ref="P247:T247"/>
    <mergeCell ref="P241:T241"/>
    <mergeCell ref="M569:M570"/>
    <mergeCell ref="P483:T483"/>
    <mergeCell ref="D155:E155"/>
    <mergeCell ref="P41:T41"/>
    <mergeCell ref="D22:E22"/>
    <mergeCell ref="P399:T399"/>
    <mergeCell ref="P333:T333"/>
    <mergeCell ref="P526:T526"/>
    <mergeCell ref="G17:G18"/>
    <mergeCell ref="P121:V121"/>
    <mergeCell ref="D80:E80"/>
    <mergeCell ref="P42:V42"/>
    <mergeCell ref="A505:Z505"/>
    <mergeCell ref="A541:O542"/>
    <mergeCell ref="A461:Z461"/>
    <mergeCell ref="D288:E288"/>
    <mergeCell ref="P148:V148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D75:E75"/>
    <mergeCell ref="P560:V560"/>
    <mergeCell ref="A66:Z66"/>
    <mergeCell ref="D181:E181"/>
    <mergeCell ref="P91:T91"/>
    <mergeCell ref="P404:V404"/>
    <mergeCell ref="D273:E273"/>
    <mergeCell ref="P156:T156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3:M13"/>
    <mergeCell ref="A94:Z94"/>
    <mergeCell ref="D87:E87"/>
    <mergeCell ref="A417:Z417"/>
    <mergeCell ref="P73:V73"/>
    <mergeCell ref="A196:Z196"/>
    <mergeCell ref="P115:T115"/>
    <mergeCell ref="D254:E254"/>
    <mergeCell ref="D61:E61"/>
    <mergeCell ref="P302:V302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D399:E399"/>
    <mergeCell ref="P89:T89"/>
    <mergeCell ref="P558:T558"/>
    <mergeCell ref="P309:T309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P549:V549"/>
    <mergeCell ref="D438:E438"/>
    <mergeCell ref="D509:E509"/>
    <mergeCell ref="D425:E425"/>
    <mergeCell ref="P531:V531"/>
    <mergeCell ref="P554:V554"/>
    <mergeCell ref="P383:V383"/>
    <mergeCell ref="D371:E371"/>
    <mergeCell ref="A493:Z493"/>
    <mergeCell ref="P84:V84"/>
    <mergeCell ref="P320:V320"/>
    <mergeCell ref="Z569:Z570"/>
    <mergeCell ref="P447:V447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A19:Z19"/>
    <mergeCell ref="P310:T310"/>
    <mergeCell ref="D182:E182"/>
    <mergeCell ref="D480:E480"/>
    <mergeCell ref="D280:E280"/>
    <mergeCell ref="D109:E1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P199:V199"/>
    <mergeCell ref="A251:Z251"/>
    <mergeCell ref="A198:O199"/>
    <mergeCell ref="A322:Z322"/>
    <mergeCell ref="P297:V297"/>
    <mergeCell ref="D328:E328"/>
    <mergeCell ref="P285:T285"/>
    <mergeCell ref="A424:Z424"/>
    <mergeCell ref="P355:V355"/>
    <mergeCell ref="P438:T438"/>
    <mergeCell ref="D444:E444"/>
    <mergeCell ref="D419:E419"/>
    <mergeCell ref="D248:E248"/>
    <mergeCell ref="D275:E275"/>
    <mergeCell ref="D104:E104"/>
    <mergeCell ref="P425:T425"/>
    <mergeCell ref="A79:Z79"/>
    <mergeCell ref="A549:O550"/>
    <mergeCell ref="D340:E340"/>
    <mergeCell ref="P83:V83"/>
    <mergeCell ref="D185:E185"/>
    <mergeCell ref="D277:E277"/>
    <mergeCell ref="AA569:AA570"/>
    <mergeCell ref="P524:T524"/>
    <mergeCell ref="P353:T353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230:E230"/>
    <mergeCell ref="D168:E168"/>
    <mergeCell ref="D180:E180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A559:O560"/>
    <mergeCell ref="P119:T119"/>
    <mergeCell ref="P246:T246"/>
    <mergeCell ref="P127:V127"/>
    <mergeCell ref="P491:V491"/>
    <mergeCell ref="P198:V198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S569:S570"/>
    <mergeCell ref="U569:U570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P414:T414"/>
    <mergeCell ref="P548:T548"/>
    <mergeCell ref="P203:V203"/>
    <mergeCell ref="A326:Z326"/>
    <mergeCell ref="P301:V301"/>
    <mergeCell ref="P498:T498"/>
    <mergeCell ref="D235:E235"/>
    <mergeCell ref="A239:Z239"/>
    <mergeCell ref="P270:V270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112:V112"/>
    <mergeCell ref="A102:Z102"/>
    <mergeCell ref="P284:T284"/>
    <mergeCell ref="A344:Z344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97:T97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P541:V541"/>
    <mergeCell ref="D284:E284"/>
    <mergeCell ref="A74:Z74"/>
    <mergeCell ref="D520:E520"/>
    <mergeCell ref="A503:Z503"/>
    <mergeCell ref="T569:T570"/>
    <mergeCell ref="A237:O238"/>
    <mergeCell ref="A163:Z163"/>
    <mergeCell ref="D28:E28"/>
    <mergeCell ref="A101:Z101"/>
    <mergeCell ref="P184:T184"/>
    <mergeCell ref="A174:O175"/>
    <mergeCell ref="D236:E236"/>
    <mergeCell ref="A301:O302"/>
    <mergeCell ref="D117:E117"/>
    <mergeCell ref="D55:E55"/>
    <mergeCell ref="P413:T413"/>
    <mergeCell ref="P242:T24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31:T31"/>
    <mergeCell ref="P473:T473"/>
    <mergeCell ref="P329:T329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P396:V396"/>
    <mergeCell ref="A392:Z392"/>
    <mergeCell ref="D69:E69"/>
    <mergeCell ref="P175:V175"/>
    <mergeCell ref="D498:E498"/>
    <mergeCell ref="P240:T240"/>
    <mergeCell ref="I569:I570"/>
    <mergeCell ref="W17:W18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33:V33"/>
    <mergeCell ref="P475:V475"/>
    <mergeCell ref="D527:E527"/>
    <mergeCell ref="P93:V93"/>
    <mergeCell ref="A396:O397"/>
    <mergeCell ref="P335:V335"/>
    <mergeCell ref="A216:Z216"/>
    <mergeCell ref="D558:E558"/>
    <mergeCell ref="D287:E287"/>
    <mergeCell ref="P564:V564"/>
    <mergeCell ref="A458:O459"/>
    <mergeCell ref="P145:T145"/>
    <mergeCell ref="P113:V113"/>
    <mergeCell ref="D126:E126"/>
    <mergeCell ref="D197:E197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2026-09-30T11:01:21Z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