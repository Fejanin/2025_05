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EE5084D-1FE5-4ED8-BB03-919C5409A5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Sheet!$A$3:$Z$127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7" i="1" l="1"/>
  <c r="S127" i="1"/>
  <c r="W127" i="1" s="1"/>
  <c r="L127" i="1"/>
  <c r="U126" i="1"/>
  <c r="S126" i="1"/>
  <c r="W126" i="1" s="1"/>
  <c r="L126" i="1"/>
  <c r="U125" i="1"/>
  <c r="S125" i="1"/>
  <c r="W125" i="1" s="1"/>
  <c r="L125" i="1"/>
  <c r="Z124" i="1"/>
  <c r="S124" i="1"/>
  <c r="L124" i="1"/>
  <c r="Z123" i="1"/>
  <c r="U123" i="1"/>
  <c r="S123" i="1"/>
  <c r="W123" i="1" s="1"/>
  <c r="L123" i="1"/>
  <c r="Z122" i="1"/>
  <c r="U122" i="1"/>
  <c r="S122" i="1"/>
  <c r="W122" i="1" s="1"/>
  <c r="L122" i="1"/>
  <c r="Z121" i="1"/>
  <c r="U121" i="1"/>
  <c r="S121" i="1"/>
  <c r="W121" i="1" s="1"/>
  <c r="L121" i="1"/>
  <c r="Z120" i="1"/>
  <c r="U120" i="1"/>
  <c r="S120" i="1"/>
  <c r="W120" i="1" s="1"/>
  <c r="L120" i="1"/>
  <c r="Z119" i="1"/>
  <c r="U119" i="1"/>
  <c r="S119" i="1"/>
  <c r="W119" i="1" s="1"/>
  <c r="L119" i="1"/>
  <c r="Z118" i="1"/>
  <c r="S118" i="1"/>
  <c r="V118" i="1" s="1"/>
  <c r="L118" i="1"/>
  <c r="S117" i="1"/>
  <c r="W117" i="1" s="1"/>
  <c r="L117" i="1"/>
  <c r="U116" i="1"/>
  <c r="S116" i="1"/>
  <c r="W116" i="1" s="1"/>
  <c r="L116" i="1"/>
  <c r="U115" i="1"/>
  <c r="S115" i="1"/>
  <c r="W115" i="1" s="1"/>
  <c r="L115" i="1"/>
  <c r="U114" i="1"/>
  <c r="S114" i="1"/>
  <c r="W114" i="1" s="1"/>
  <c r="L114" i="1"/>
  <c r="W113" i="1"/>
  <c r="S113" i="1"/>
  <c r="T113" i="1" s="1"/>
  <c r="U113" i="1" s="1"/>
  <c r="L113" i="1"/>
  <c r="U112" i="1"/>
  <c r="Z112" i="1" s="1"/>
  <c r="S112" i="1"/>
  <c r="W112" i="1" s="1"/>
  <c r="L112" i="1"/>
  <c r="U111" i="1"/>
  <c r="Z111" i="1" s="1"/>
  <c r="S111" i="1"/>
  <c r="W111" i="1" s="1"/>
  <c r="L111" i="1"/>
  <c r="U110" i="1"/>
  <c r="Z110" i="1" s="1"/>
  <c r="S110" i="1"/>
  <c r="W110" i="1" s="1"/>
  <c r="L110" i="1"/>
  <c r="U109" i="1"/>
  <c r="Z109" i="1" s="1"/>
  <c r="S109" i="1"/>
  <c r="W109" i="1" s="1"/>
  <c r="L109" i="1"/>
  <c r="U108" i="1"/>
  <c r="Z108" i="1" s="1"/>
  <c r="S108" i="1"/>
  <c r="W108" i="1" s="1"/>
  <c r="L108" i="1"/>
  <c r="U107" i="1"/>
  <c r="Z107" i="1" s="1"/>
  <c r="S107" i="1"/>
  <c r="W107" i="1" s="1"/>
  <c r="L107" i="1"/>
  <c r="U106" i="1"/>
  <c r="Z106" i="1" s="1"/>
  <c r="S106" i="1"/>
  <c r="W106" i="1" s="1"/>
  <c r="L106" i="1"/>
  <c r="U105" i="1"/>
  <c r="Z105" i="1" s="1"/>
  <c r="S105" i="1"/>
  <c r="W105" i="1" s="1"/>
  <c r="L105" i="1"/>
  <c r="U104" i="1"/>
  <c r="Z104" i="1" s="1"/>
  <c r="S104" i="1"/>
  <c r="W104" i="1" s="1"/>
  <c r="L104" i="1"/>
  <c r="U103" i="1"/>
  <c r="Z103" i="1" s="1"/>
  <c r="S103" i="1"/>
  <c r="W103" i="1" s="1"/>
  <c r="L103" i="1"/>
  <c r="U102" i="1"/>
  <c r="Z102" i="1" s="1"/>
  <c r="S102" i="1"/>
  <c r="W102" i="1" s="1"/>
  <c r="L102" i="1"/>
  <c r="U101" i="1"/>
  <c r="Z101" i="1" s="1"/>
  <c r="S101" i="1"/>
  <c r="W101" i="1" s="1"/>
  <c r="L101" i="1"/>
  <c r="U100" i="1"/>
  <c r="Z100" i="1" s="1"/>
  <c r="S100" i="1"/>
  <c r="W100" i="1" s="1"/>
  <c r="L100" i="1"/>
  <c r="Z99" i="1"/>
  <c r="V99" i="1"/>
  <c r="S99" i="1"/>
  <c r="W99" i="1" s="1"/>
  <c r="L99" i="1"/>
  <c r="U98" i="1"/>
  <c r="S98" i="1"/>
  <c r="W98" i="1" s="1"/>
  <c r="L98" i="1"/>
  <c r="U97" i="1"/>
  <c r="S97" i="1"/>
  <c r="W97" i="1" s="1"/>
  <c r="L97" i="1"/>
  <c r="U96" i="1"/>
  <c r="S96" i="1"/>
  <c r="W96" i="1" s="1"/>
  <c r="L96" i="1"/>
  <c r="U95" i="1"/>
  <c r="S95" i="1"/>
  <c r="W95" i="1" s="1"/>
  <c r="L95" i="1"/>
  <c r="U94" i="1"/>
  <c r="S94" i="1"/>
  <c r="W94" i="1" s="1"/>
  <c r="L94" i="1"/>
  <c r="U93" i="1"/>
  <c r="S93" i="1"/>
  <c r="W93" i="1" s="1"/>
  <c r="L93" i="1"/>
  <c r="U92" i="1"/>
  <c r="S92" i="1"/>
  <c r="W92" i="1" s="1"/>
  <c r="L92" i="1"/>
  <c r="U91" i="1"/>
  <c r="S91" i="1"/>
  <c r="W91" i="1" s="1"/>
  <c r="L91" i="1"/>
  <c r="U90" i="1"/>
  <c r="S90" i="1"/>
  <c r="W90" i="1" s="1"/>
  <c r="L90" i="1"/>
  <c r="U89" i="1"/>
  <c r="S89" i="1"/>
  <c r="W89" i="1" s="1"/>
  <c r="L89" i="1"/>
  <c r="Z88" i="1"/>
  <c r="W88" i="1"/>
  <c r="S88" i="1"/>
  <c r="V88" i="1" s="1"/>
  <c r="L88" i="1"/>
  <c r="U87" i="1"/>
  <c r="Z87" i="1" s="1"/>
  <c r="S87" i="1"/>
  <c r="W87" i="1" s="1"/>
  <c r="L87" i="1"/>
  <c r="U86" i="1"/>
  <c r="Z86" i="1" s="1"/>
  <c r="S86" i="1"/>
  <c r="W86" i="1" s="1"/>
  <c r="L86" i="1"/>
  <c r="U85" i="1"/>
  <c r="Z85" i="1" s="1"/>
  <c r="S85" i="1"/>
  <c r="W85" i="1" s="1"/>
  <c r="L85" i="1"/>
  <c r="S84" i="1"/>
  <c r="W84" i="1" s="1"/>
  <c r="L84" i="1"/>
  <c r="U83" i="1"/>
  <c r="S83" i="1"/>
  <c r="W83" i="1" s="1"/>
  <c r="L83" i="1"/>
  <c r="U82" i="1"/>
  <c r="S82" i="1"/>
  <c r="W82" i="1" s="1"/>
  <c r="L82" i="1"/>
  <c r="U81" i="1"/>
  <c r="S81" i="1"/>
  <c r="W81" i="1" s="1"/>
  <c r="L81" i="1"/>
  <c r="U80" i="1"/>
  <c r="S80" i="1"/>
  <c r="W80" i="1" s="1"/>
  <c r="L80" i="1"/>
  <c r="U79" i="1"/>
  <c r="S79" i="1"/>
  <c r="W79" i="1" s="1"/>
  <c r="L79" i="1"/>
  <c r="U78" i="1"/>
  <c r="S78" i="1"/>
  <c r="W78" i="1" s="1"/>
  <c r="L78" i="1"/>
  <c r="U77" i="1"/>
  <c r="S77" i="1"/>
  <c r="W77" i="1" s="1"/>
  <c r="L77" i="1"/>
  <c r="U76" i="1"/>
  <c r="S76" i="1"/>
  <c r="W76" i="1" s="1"/>
  <c r="L76" i="1"/>
  <c r="U75" i="1"/>
  <c r="S75" i="1"/>
  <c r="W75" i="1" s="1"/>
  <c r="L75" i="1"/>
  <c r="U74" i="1"/>
  <c r="S74" i="1"/>
  <c r="W74" i="1" s="1"/>
  <c r="L74" i="1"/>
  <c r="U73" i="1"/>
  <c r="S73" i="1"/>
  <c r="W73" i="1" s="1"/>
  <c r="L73" i="1"/>
  <c r="U72" i="1"/>
  <c r="S72" i="1"/>
  <c r="W72" i="1" s="1"/>
  <c r="L72" i="1"/>
  <c r="U71" i="1"/>
  <c r="S71" i="1"/>
  <c r="W71" i="1" s="1"/>
  <c r="L71" i="1"/>
  <c r="U70" i="1"/>
  <c r="S70" i="1"/>
  <c r="W70" i="1" s="1"/>
  <c r="L70" i="1"/>
  <c r="U69" i="1"/>
  <c r="S69" i="1"/>
  <c r="W69" i="1" s="1"/>
  <c r="L69" i="1"/>
  <c r="U68" i="1"/>
  <c r="S68" i="1"/>
  <c r="W68" i="1" s="1"/>
  <c r="L68" i="1"/>
  <c r="U67" i="1"/>
  <c r="S67" i="1"/>
  <c r="W67" i="1" s="1"/>
  <c r="L67" i="1"/>
  <c r="U66" i="1"/>
  <c r="S66" i="1"/>
  <c r="W66" i="1" s="1"/>
  <c r="L66" i="1"/>
  <c r="U65" i="1"/>
  <c r="S65" i="1"/>
  <c r="W65" i="1" s="1"/>
  <c r="L65" i="1"/>
  <c r="U64" i="1"/>
  <c r="S64" i="1"/>
  <c r="W64" i="1" s="1"/>
  <c r="L64" i="1"/>
  <c r="U63" i="1"/>
  <c r="S63" i="1"/>
  <c r="W63" i="1" s="1"/>
  <c r="L63" i="1"/>
  <c r="U62" i="1"/>
  <c r="S62" i="1"/>
  <c r="W62" i="1" s="1"/>
  <c r="L62" i="1"/>
  <c r="U61" i="1"/>
  <c r="S61" i="1"/>
  <c r="W61" i="1" s="1"/>
  <c r="L61" i="1"/>
  <c r="U60" i="1"/>
  <c r="S60" i="1"/>
  <c r="W60" i="1" s="1"/>
  <c r="L60" i="1"/>
  <c r="U59" i="1"/>
  <c r="S59" i="1"/>
  <c r="W59" i="1" s="1"/>
  <c r="L59" i="1"/>
  <c r="U58" i="1"/>
  <c r="S58" i="1"/>
  <c r="W58" i="1" s="1"/>
  <c r="L58" i="1"/>
  <c r="U57" i="1"/>
  <c r="S57" i="1"/>
  <c r="W57" i="1" s="1"/>
  <c r="L57" i="1"/>
  <c r="U56" i="1"/>
  <c r="S56" i="1"/>
  <c r="W56" i="1" s="1"/>
  <c r="L56" i="1"/>
  <c r="U55" i="1"/>
  <c r="Z55" i="1" s="1"/>
  <c r="F55" i="1"/>
  <c r="E55" i="1"/>
  <c r="S55" i="1" s="1"/>
  <c r="U54" i="1"/>
  <c r="S54" i="1"/>
  <c r="W54" i="1" s="1"/>
  <c r="L54" i="1"/>
  <c r="U53" i="1"/>
  <c r="S53" i="1"/>
  <c r="W53" i="1" s="1"/>
  <c r="L53" i="1"/>
  <c r="U52" i="1"/>
  <c r="S52" i="1"/>
  <c r="W52" i="1" s="1"/>
  <c r="L52" i="1"/>
  <c r="U51" i="1"/>
  <c r="S51" i="1"/>
  <c r="W51" i="1" s="1"/>
  <c r="L51" i="1"/>
  <c r="U50" i="1"/>
  <c r="S50" i="1"/>
  <c r="W50" i="1" s="1"/>
  <c r="L50" i="1"/>
  <c r="U49" i="1"/>
  <c r="S49" i="1"/>
  <c r="W49" i="1" s="1"/>
  <c r="L49" i="1"/>
  <c r="U48" i="1"/>
  <c r="S48" i="1"/>
  <c r="W48" i="1" s="1"/>
  <c r="L48" i="1"/>
  <c r="U47" i="1"/>
  <c r="S47" i="1"/>
  <c r="T47" i="1" s="1"/>
  <c r="L47" i="1"/>
  <c r="U46" i="1"/>
  <c r="Z46" i="1" s="1"/>
  <c r="S46" i="1"/>
  <c r="W46" i="1" s="1"/>
  <c r="L46" i="1"/>
  <c r="U45" i="1"/>
  <c r="Z45" i="1" s="1"/>
  <c r="S45" i="1"/>
  <c r="W45" i="1" s="1"/>
  <c r="L45" i="1"/>
  <c r="U44" i="1"/>
  <c r="Z44" i="1" s="1"/>
  <c r="S44" i="1"/>
  <c r="W44" i="1" s="1"/>
  <c r="L44" i="1"/>
  <c r="U43" i="1"/>
  <c r="Z43" i="1" s="1"/>
  <c r="S43" i="1"/>
  <c r="W43" i="1" s="1"/>
  <c r="L43" i="1"/>
  <c r="U42" i="1"/>
  <c r="Z42" i="1" s="1"/>
  <c r="S42" i="1"/>
  <c r="W42" i="1" s="1"/>
  <c r="L42" i="1"/>
  <c r="U41" i="1"/>
  <c r="Z41" i="1" s="1"/>
  <c r="S41" i="1"/>
  <c r="W41" i="1" s="1"/>
  <c r="L41" i="1"/>
  <c r="U40" i="1"/>
  <c r="Z40" i="1" s="1"/>
  <c r="S40" i="1"/>
  <c r="W40" i="1" s="1"/>
  <c r="L40" i="1"/>
  <c r="U39" i="1"/>
  <c r="Z39" i="1" s="1"/>
  <c r="S39" i="1"/>
  <c r="W39" i="1" s="1"/>
  <c r="L39" i="1"/>
  <c r="U38" i="1"/>
  <c r="Z38" i="1" s="1"/>
  <c r="S38" i="1"/>
  <c r="W38" i="1" s="1"/>
  <c r="L38" i="1"/>
  <c r="U37" i="1"/>
  <c r="Z37" i="1" s="1"/>
  <c r="S37" i="1"/>
  <c r="W37" i="1" s="1"/>
  <c r="L37" i="1"/>
  <c r="U36" i="1"/>
  <c r="Z36" i="1" s="1"/>
  <c r="S36" i="1"/>
  <c r="W36" i="1" s="1"/>
  <c r="L36" i="1"/>
  <c r="Z35" i="1"/>
  <c r="U35" i="1"/>
  <c r="S35" i="1"/>
  <c r="W35" i="1" s="1"/>
  <c r="L35" i="1"/>
  <c r="Z34" i="1"/>
  <c r="U34" i="1"/>
  <c r="S34" i="1"/>
  <c r="W34" i="1" s="1"/>
  <c r="L34" i="1"/>
  <c r="Z33" i="1"/>
  <c r="U33" i="1"/>
  <c r="S33" i="1"/>
  <c r="W33" i="1" s="1"/>
  <c r="L33" i="1"/>
  <c r="Z32" i="1"/>
  <c r="U32" i="1"/>
  <c r="S32" i="1"/>
  <c r="W32" i="1" s="1"/>
  <c r="L32" i="1"/>
  <c r="Z31" i="1"/>
  <c r="U31" i="1"/>
  <c r="S31" i="1"/>
  <c r="W31" i="1" s="1"/>
  <c r="L31" i="1"/>
  <c r="Z30" i="1"/>
  <c r="U30" i="1"/>
  <c r="S30" i="1"/>
  <c r="W30" i="1" s="1"/>
  <c r="L30" i="1"/>
  <c r="Z29" i="1"/>
  <c r="U29" i="1"/>
  <c r="S29" i="1"/>
  <c r="W29" i="1" s="1"/>
  <c r="L29" i="1"/>
  <c r="Z28" i="1"/>
  <c r="U28" i="1"/>
  <c r="S28" i="1"/>
  <c r="W28" i="1" s="1"/>
  <c r="L28" i="1"/>
  <c r="Z27" i="1"/>
  <c r="U27" i="1"/>
  <c r="S27" i="1"/>
  <c r="W27" i="1" s="1"/>
  <c r="L27" i="1"/>
  <c r="Z26" i="1"/>
  <c r="U26" i="1"/>
  <c r="S26" i="1"/>
  <c r="W26" i="1" s="1"/>
  <c r="L26" i="1"/>
  <c r="Z25" i="1"/>
  <c r="U25" i="1"/>
  <c r="S25" i="1"/>
  <c r="W25" i="1" s="1"/>
  <c r="L25" i="1"/>
  <c r="Z24" i="1"/>
  <c r="U24" i="1"/>
  <c r="S24" i="1"/>
  <c r="W24" i="1" s="1"/>
  <c r="L24" i="1"/>
  <c r="Z23" i="1"/>
  <c r="U23" i="1"/>
  <c r="S23" i="1"/>
  <c r="W23" i="1" s="1"/>
  <c r="L23" i="1"/>
  <c r="Z22" i="1"/>
  <c r="U22" i="1"/>
  <c r="S22" i="1"/>
  <c r="W22" i="1" s="1"/>
  <c r="L22" i="1"/>
  <c r="Z21" i="1"/>
  <c r="U21" i="1"/>
  <c r="S21" i="1"/>
  <c r="W21" i="1" s="1"/>
  <c r="L21" i="1"/>
  <c r="T20" i="1"/>
  <c r="U20" i="1" s="1"/>
  <c r="S20" i="1"/>
  <c r="W20" i="1" s="1"/>
  <c r="L20" i="1"/>
  <c r="U19" i="1"/>
  <c r="Z19" i="1" s="1"/>
  <c r="S19" i="1"/>
  <c r="W19" i="1" s="1"/>
  <c r="L19" i="1"/>
  <c r="U18" i="1"/>
  <c r="Z18" i="1" s="1"/>
  <c r="S18" i="1"/>
  <c r="W18" i="1" s="1"/>
  <c r="L18" i="1"/>
  <c r="S17" i="1"/>
  <c r="T17" i="1" s="1"/>
  <c r="L17" i="1"/>
  <c r="U16" i="1"/>
  <c r="Z16" i="1" s="1"/>
  <c r="S16" i="1"/>
  <c r="W16" i="1" s="1"/>
  <c r="L16" i="1"/>
  <c r="U15" i="1"/>
  <c r="Z15" i="1" s="1"/>
  <c r="S15" i="1"/>
  <c r="W15" i="1" s="1"/>
  <c r="L15" i="1"/>
  <c r="U14" i="1"/>
  <c r="Z14" i="1" s="1"/>
  <c r="S14" i="1"/>
  <c r="W14" i="1" s="1"/>
  <c r="L14" i="1"/>
  <c r="U13" i="1"/>
  <c r="Z13" i="1" s="1"/>
  <c r="S13" i="1"/>
  <c r="W13" i="1" s="1"/>
  <c r="L13" i="1"/>
  <c r="U12" i="1"/>
  <c r="Z12" i="1" s="1"/>
  <c r="S12" i="1"/>
  <c r="W12" i="1" s="1"/>
  <c r="L12" i="1"/>
  <c r="U11" i="1"/>
  <c r="Z11" i="1" s="1"/>
  <c r="S11" i="1"/>
  <c r="W11" i="1" s="1"/>
  <c r="L11" i="1"/>
  <c r="U10" i="1"/>
  <c r="Z10" i="1" s="1"/>
  <c r="S10" i="1"/>
  <c r="W10" i="1" s="1"/>
  <c r="L10" i="1"/>
  <c r="U9" i="1"/>
  <c r="Z9" i="1" s="1"/>
  <c r="S9" i="1"/>
  <c r="W9" i="1" s="1"/>
  <c r="L9" i="1"/>
  <c r="U8" i="1"/>
  <c r="Z8" i="1" s="1"/>
  <c r="S8" i="1"/>
  <c r="W8" i="1" s="1"/>
  <c r="L8" i="1"/>
  <c r="U7" i="1"/>
  <c r="Z7" i="1" s="1"/>
  <c r="S7" i="1"/>
  <c r="W7" i="1" s="1"/>
  <c r="L7" i="1"/>
  <c r="S6" i="1"/>
  <c r="L6" i="1"/>
  <c r="X5" i="1"/>
  <c r="R5" i="1"/>
  <c r="Q5" i="1"/>
  <c r="P5" i="1"/>
  <c r="O5" i="1"/>
  <c r="N5" i="1"/>
  <c r="M5" i="1"/>
  <c r="K5" i="1"/>
  <c r="F5" i="1"/>
  <c r="W6" i="1" l="1"/>
  <c r="T6" i="1"/>
  <c r="U6" i="1" s="1"/>
  <c r="W55" i="1"/>
  <c r="T84" i="1"/>
  <c r="U84" i="1" s="1"/>
  <c r="V84" i="1" s="1"/>
  <c r="T117" i="1"/>
  <c r="U117" i="1" s="1"/>
  <c r="Z6" i="1"/>
  <c r="V6" i="1"/>
  <c r="U17" i="1"/>
  <c r="Z20" i="1"/>
  <c r="V20" i="1"/>
  <c r="V7" i="1"/>
  <c r="V8" i="1"/>
  <c r="V9" i="1"/>
  <c r="V10" i="1"/>
  <c r="V11" i="1"/>
  <c r="V12" i="1"/>
  <c r="V13" i="1"/>
  <c r="V14" i="1"/>
  <c r="V15" i="1"/>
  <c r="V16" i="1"/>
  <c r="W17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8" i="1"/>
  <c r="V40" i="1"/>
  <c r="V42" i="1"/>
  <c r="V44" i="1"/>
  <c r="V46" i="1"/>
  <c r="Z47" i="1"/>
  <c r="V47" i="1"/>
  <c r="Z48" i="1"/>
  <c r="V48" i="1"/>
  <c r="Z49" i="1"/>
  <c r="V49" i="1"/>
  <c r="Z50" i="1"/>
  <c r="V50" i="1"/>
  <c r="Z51" i="1"/>
  <c r="V51" i="1"/>
  <c r="Z52" i="1"/>
  <c r="V52" i="1"/>
  <c r="Z53" i="1"/>
  <c r="V53" i="1"/>
  <c r="Z54" i="1"/>
  <c r="V54" i="1"/>
  <c r="L55" i="1"/>
  <c r="L5" i="1" s="1"/>
  <c r="Z75" i="1"/>
  <c r="V75" i="1"/>
  <c r="Z76" i="1"/>
  <c r="V76" i="1"/>
  <c r="Z77" i="1"/>
  <c r="V77" i="1"/>
  <c r="Z78" i="1"/>
  <c r="V78" i="1"/>
  <c r="Z79" i="1"/>
  <c r="V79" i="1"/>
  <c r="Z80" i="1"/>
  <c r="V80" i="1"/>
  <c r="Z81" i="1"/>
  <c r="V81" i="1"/>
  <c r="Z82" i="1"/>
  <c r="V82" i="1"/>
  <c r="Z83" i="1"/>
  <c r="V83" i="1"/>
  <c r="V87" i="1"/>
  <c r="Z89" i="1"/>
  <c r="V89" i="1"/>
  <c r="Z90" i="1"/>
  <c r="V90" i="1"/>
  <c r="Z91" i="1"/>
  <c r="V91" i="1"/>
  <c r="Z92" i="1"/>
  <c r="V92" i="1"/>
  <c r="Z93" i="1"/>
  <c r="V93" i="1"/>
  <c r="Z94" i="1"/>
  <c r="V94" i="1"/>
  <c r="Z95" i="1"/>
  <c r="V95" i="1"/>
  <c r="Z96" i="1"/>
  <c r="V96" i="1"/>
  <c r="Z97" i="1"/>
  <c r="V97" i="1"/>
  <c r="Z98" i="1"/>
  <c r="V98" i="1"/>
  <c r="V103" i="1"/>
  <c r="V107" i="1"/>
  <c r="V111" i="1"/>
  <c r="V120" i="1"/>
  <c r="V124" i="1"/>
  <c r="W124" i="1"/>
  <c r="E5" i="1"/>
  <c r="S5" i="1"/>
  <c r="V18" i="1"/>
  <c r="V19" i="1"/>
  <c r="V37" i="1"/>
  <c r="V39" i="1"/>
  <c r="V41" i="1"/>
  <c r="V43" i="1"/>
  <c r="V45" i="1"/>
  <c r="W47" i="1"/>
  <c r="V55" i="1"/>
  <c r="Z56" i="1"/>
  <c r="V56" i="1"/>
  <c r="Z57" i="1"/>
  <c r="V57" i="1"/>
  <c r="Z58" i="1"/>
  <c r="V58" i="1"/>
  <c r="Z59" i="1"/>
  <c r="V59" i="1"/>
  <c r="Z60" i="1"/>
  <c r="V60" i="1"/>
  <c r="Z61" i="1"/>
  <c r="V61" i="1"/>
  <c r="Z62" i="1"/>
  <c r="V62" i="1"/>
  <c r="Z63" i="1"/>
  <c r="V63" i="1"/>
  <c r="Z64" i="1"/>
  <c r="V64" i="1"/>
  <c r="Z65" i="1"/>
  <c r="V65" i="1"/>
  <c r="Z66" i="1"/>
  <c r="V66" i="1"/>
  <c r="Z67" i="1"/>
  <c r="V67" i="1"/>
  <c r="Z68" i="1"/>
  <c r="V68" i="1"/>
  <c r="Z69" i="1"/>
  <c r="V69" i="1"/>
  <c r="Z70" i="1"/>
  <c r="V70" i="1"/>
  <c r="Z71" i="1"/>
  <c r="V71" i="1"/>
  <c r="Z72" i="1"/>
  <c r="V72" i="1"/>
  <c r="Z73" i="1"/>
  <c r="V73" i="1"/>
  <c r="Z74" i="1"/>
  <c r="V74" i="1"/>
  <c r="Z84" i="1"/>
  <c r="V85" i="1"/>
  <c r="V101" i="1"/>
  <c r="V105" i="1"/>
  <c r="V109" i="1"/>
  <c r="Z113" i="1"/>
  <c r="V113" i="1"/>
  <c r="V122" i="1"/>
  <c r="V86" i="1"/>
  <c r="V100" i="1"/>
  <c r="V102" i="1"/>
  <c r="V104" i="1"/>
  <c r="V106" i="1"/>
  <c r="V108" i="1"/>
  <c r="V110" i="1"/>
  <c r="V112" i="1"/>
  <c r="Z114" i="1"/>
  <c r="V114" i="1"/>
  <c r="Z115" i="1"/>
  <c r="V115" i="1"/>
  <c r="Z116" i="1"/>
  <c r="V116" i="1"/>
  <c r="W118" i="1"/>
  <c r="T118" i="1"/>
  <c r="T5" i="1" s="1"/>
  <c r="V119" i="1"/>
  <c r="V121" i="1"/>
  <c r="V123" i="1"/>
  <c r="Z125" i="1"/>
  <c r="V125" i="1"/>
  <c r="Z126" i="1"/>
  <c r="V126" i="1"/>
  <c r="Z127" i="1"/>
  <c r="V127" i="1"/>
  <c r="Z117" i="1" l="1"/>
  <c r="V117" i="1"/>
  <c r="Z17" i="1"/>
  <c r="V17" i="1"/>
  <c r="Z5" i="1"/>
  <c r="U5" i="1"/>
</calcChain>
</file>

<file path=xl/sharedStrings.xml><?xml version="1.0" encoding="utf-8"?>
<sst xmlns="http://schemas.openxmlformats.org/spreadsheetml/2006/main" count="546" uniqueCount="281">
  <si>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</si>
  <si>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</si>
  <si>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</si>
  <si>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</si>
  <si>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</si>
  <si>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</si>
  <si>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</si>
  <si>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</si>
  <si>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</si>
  <si>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</si>
  <si>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</si>
  <si>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</si>
  <si>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</si>
  <si>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</si>
  <si>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</si>
  <si>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</si>
  <si>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</si>
  <si>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</si>
  <si>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</si>
  <si>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</si>
  <si>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</si>
  <si>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</si>
  <si>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</si>
  <si>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</si>
  <si>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</si>
  <si>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</si>
  <si>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</si>
  <si>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27,09,</t>
  </si>
  <si>
    <t>24,09,</t>
  </si>
  <si>
    <t>29,09,</t>
  </si>
  <si>
    <t>нет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</si>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</sst>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4" fillId="0" borderId="1" xfId="1" applyNumberFormat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5" fillId="6" borderId="1" xfId="1" applyNumberFormat="1" applyFont="1" applyFill="1"/>
    <xf numFmtId="164" fontId="1" fillId="0" borderId="1" xfId="1" applyNumberFormat="1" applyFont="1"/>
    <xf numFmtId="0" fontId="0" fillId="0" borderId="1" xfId="0"/>
    <xf numFmtId="164" fontId="1" fillId="7" borderId="2" xfId="1" applyNumberFormat="1" applyFont="1" applyFill="1" applyBorder="1"/>
    <xf numFmtId="165" fontId="1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3" sqref="AC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7" width="7" style="15" customWidth="1"/>
    <col min="18" max="21" width="7" customWidth="1"/>
    <col min="22" max="23" width="5" customWidth="1"/>
    <col min="24" max="24" width="6" customWidth="1"/>
    <col min="25" max="25" width="33.5703125" customWidth="1"/>
    <col min="26" max="26" width="7" customWidth="1"/>
  </cols>
  <sheetData>
    <row r="1" spans="1:27" x14ac:dyDescent="0.25">
      <c r="A1" s="14"/>
      <c r="B1" s="14"/>
      <c r="C1" s="14"/>
      <c r="D1" s="14"/>
      <c r="E1" s="14"/>
      <c r="F1" s="14"/>
      <c r="G1" s="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7">
        <v>2</v>
      </c>
      <c r="V1" s="14"/>
      <c r="W1" s="14"/>
      <c r="X1" s="14"/>
      <c r="Y1" s="14"/>
      <c r="Z1" s="14"/>
    </row>
    <row r="2" spans="1:27" x14ac:dyDescent="0.25">
      <c r="A2" s="14"/>
      <c r="B2" s="14"/>
      <c r="C2" s="14"/>
      <c r="D2" s="14"/>
      <c r="E2" s="14"/>
      <c r="F2" s="14"/>
      <c r="G2" s="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0</v>
      </c>
      <c r="V2" s="14"/>
      <c r="W2" s="14"/>
      <c r="X2" s="14"/>
      <c r="Y2" s="14"/>
      <c r="Z2" s="14"/>
    </row>
    <row r="3" spans="1:2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16</v>
      </c>
      <c r="T3" s="2" t="s">
        <v>17</v>
      </c>
      <c r="U3" s="2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</row>
    <row r="4" spans="1:27" x14ac:dyDescent="0.25">
      <c r="A4" s="14"/>
      <c r="B4" s="14"/>
      <c r="C4" s="14"/>
      <c r="D4" s="14"/>
      <c r="E4" s="14"/>
      <c r="F4" s="14"/>
      <c r="G4" s="6"/>
      <c r="H4" s="14"/>
      <c r="I4" s="14"/>
      <c r="J4" s="14"/>
      <c r="K4" s="14"/>
      <c r="L4" s="14"/>
      <c r="M4" s="14"/>
      <c r="N4" s="14"/>
      <c r="O4" s="8" t="s">
        <v>24</v>
      </c>
      <c r="P4" s="14" t="s">
        <v>25</v>
      </c>
      <c r="Q4" s="14" t="s">
        <v>26</v>
      </c>
      <c r="R4" s="8" t="s">
        <v>27</v>
      </c>
      <c r="S4" s="14" t="s">
        <v>28</v>
      </c>
      <c r="T4" s="14"/>
      <c r="U4" s="14" t="s">
        <v>29</v>
      </c>
      <c r="V4" s="14"/>
      <c r="W4" s="14"/>
      <c r="X4" s="8" t="s">
        <v>30</v>
      </c>
      <c r="Y4" s="14"/>
      <c r="Z4" s="14"/>
    </row>
    <row r="5" spans="1:27" x14ac:dyDescent="0.25">
      <c r="A5" s="14"/>
      <c r="B5" s="14"/>
      <c r="C5" s="14"/>
      <c r="D5" s="14"/>
      <c r="E5" s="3">
        <f>SUM(E6:E472)</f>
        <v>5860.6889999999994</v>
      </c>
      <c r="F5" s="3">
        <f>SUM(F6:F472)</f>
        <v>6481.4619999999986</v>
      </c>
      <c r="G5" s="6"/>
      <c r="H5" s="14"/>
      <c r="I5" s="14"/>
      <c r="J5" s="14"/>
      <c r="K5" s="3">
        <f>SUM(K6:K472)</f>
        <v>8991.8599999999988</v>
      </c>
      <c r="L5" s="3">
        <f>SUM(L6:L472)</f>
        <v>-3131.1709999999994</v>
      </c>
      <c r="M5" s="3">
        <f>SUM(M6:M472)</f>
        <v>0</v>
      </c>
      <c r="N5" s="3">
        <f>SUM(N6:N472)</f>
        <v>0</v>
      </c>
      <c r="O5" s="3">
        <f>SUM(O6:O472)</f>
        <v>12160.493840000001</v>
      </c>
      <c r="P5" s="3">
        <f>SUM(P6:P499)</f>
        <v>-1557.9</v>
      </c>
      <c r="Q5" s="3">
        <f>SUM(Q6:Q499)</f>
        <v>1560</v>
      </c>
      <c r="R5" s="3">
        <f>SUM(R6:R472)</f>
        <v>5719.2397073431584</v>
      </c>
      <c r="S5" s="3">
        <f>SUM(S6:S472)</f>
        <v>1172.1378</v>
      </c>
      <c r="T5" s="3">
        <f>SUM(T6:T472)</f>
        <v>3164.3540793737225</v>
      </c>
      <c r="U5" s="3">
        <f>SUM(U6:U472)</f>
        <v>4608.5156793737242</v>
      </c>
      <c r="V5" s="14"/>
      <c r="W5" s="14"/>
      <c r="X5" s="3">
        <f>SUM(X6:X472)</f>
        <v>0</v>
      </c>
      <c r="Y5" s="14"/>
      <c r="Z5" s="3">
        <f>SUM(Z6:Z472)</f>
        <v>4022</v>
      </c>
    </row>
    <row r="6" spans="1:27" x14ac:dyDescent="0.25">
      <c r="A6" s="14" t="s">
        <v>31</v>
      </c>
      <c r="B6" s="14" t="s">
        <v>32</v>
      </c>
      <c r="C6" s="14"/>
      <c r="D6" s="14">
        <v>140.25200000000001</v>
      </c>
      <c r="E6" s="14">
        <v>133.946</v>
      </c>
      <c r="F6" s="14">
        <v>0.40100000000000002</v>
      </c>
      <c r="G6" s="6">
        <v>1</v>
      </c>
      <c r="H6" s="14">
        <v>50</v>
      </c>
      <c r="I6" s="14" t="s">
        <v>33</v>
      </c>
      <c r="J6" s="14"/>
      <c r="K6" s="14">
        <v>133.69999999999999</v>
      </c>
      <c r="L6" s="14">
        <f t="shared" ref="L6:L37" si="0">E6-K6</f>
        <v>0.24600000000000932</v>
      </c>
      <c r="M6" s="14"/>
      <c r="N6" s="14"/>
      <c r="O6" s="14">
        <v>150</v>
      </c>
      <c r="P6" s="14"/>
      <c r="Q6" s="14"/>
      <c r="R6" s="14">
        <v>0</v>
      </c>
      <c r="S6" s="14">
        <f t="shared" ref="S6:S37" si="1">E6/5</f>
        <v>26.789200000000001</v>
      </c>
      <c r="T6" s="4">
        <f>12*S6-R6-Q6-P6-O6-F6</f>
        <v>171.06940000000003</v>
      </c>
      <c r="U6" s="4">
        <f>T6+S6*$U$1</f>
        <v>224.64780000000002</v>
      </c>
      <c r="V6" s="14">
        <f t="shared" ref="V6:V37" si="2">(F6+O6+P6+Q6+R6+U6)/S6</f>
        <v>14</v>
      </c>
      <c r="W6" s="14">
        <f t="shared" ref="W6:W37" si="3">(F6+O6+P6+Q6+R6)/S6</f>
        <v>5.6142400668926289</v>
      </c>
      <c r="X6" s="14">
        <v>0</v>
      </c>
      <c r="Y6" s="14"/>
      <c r="Z6" s="14">
        <f t="shared" ref="Z6:Z37" si="4">ROUND(G6*U6,0)</f>
        <v>225</v>
      </c>
      <c r="AA6" t="s">
        <v>34</v>
      </c>
    </row>
    <row r="7" spans="1:27" x14ac:dyDescent="0.25">
      <c r="A7" s="14" t="s">
        <v>35</v>
      </c>
      <c r="B7" s="14" t="s">
        <v>32</v>
      </c>
      <c r="C7" s="14"/>
      <c r="D7" s="14">
        <v>220.70400000000001</v>
      </c>
      <c r="E7" s="14">
        <v>108.44499999999999</v>
      </c>
      <c r="F7" s="14">
        <v>141.66</v>
      </c>
      <c r="G7" s="6">
        <v>1</v>
      </c>
      <c r="H7" s="14">
        <v>45</v>
      </c>
      <c r="I7" s="14" t="s">
        <v>33</v>
      </c>
      <c r="J7" s="14"/>
      <c r="K7" s="14">
        <v>58.1</v>
      </c>
      <c r="L7" s="14">
        <f t="shared" si="0"/>
        <v>50.344999999999992</v>
      </c>
      <c r="M7" s="14"/>
      <c r="N7" s="14"/>
      <c r="O7" s="14">
        <v>370.68672000000032</v>
      </c>
      <c r="P7" s="14"/>
      <c r="Q7" s="14"/>
      <c r="R7" s="14">
        <v>73.584519631732064</v>
      </c>
      <c r="S7" s="14">
        <f t="shared" si="1"/>
        <v>21.689</v>
      </c>
      <c r="T7" s="4"/>
      <c r="U7" s="4">
        <f t="shared" ref="U7:U12" si="5">T7</f>
        <v>0</v>
      </c>
      <c r="V7" s="14">
        <f t="shared" si="2"/>
        <v>27.015133921883553</v>
      </c>
      <c r="W7" s="14">
        <f t="shared" si="3"/>
        <v>27.015133921883553</v>
      </c>
      <c r="X7" s="14">
        <v>0</v>
      </c>
      <c r="Y7" s="14"/>
      <c r="Z7" s="14">
        <f t="shared" si="4"/>
        <v>0</v>
      </c>
      <c r="AA7" t="s">
        <v>36</v>
      </c>
    </row>
    <row r="8" spans="1:27" x14ac:dyDescent="0.25">
      <c r="A8" s="14" t="s">
        <v>37</v>
      </c>
      <c r="B8" s="14" t="s">
        <v>32</v>
      </c>
      <c r="C8" s="14"/>
      <c r="D8" s="14">
        <v>312.66000000000003</v>
      </c>
      <c r="E8" s="14">
        <v>105.697</v>
      </c>
      <c r="F8" s="14">
        <v>212.46</v>
      </c>
      <c r="G8" s="6">
        <v>1</v>
      </c>
      <c r="H8" s="14">
        <v>45</v>
      </c>
      <c r="I8" s="14" t="s">
        <v>33</v>
      </c>
      <c r="J8" s="14"/>
      <c r="K8" s="14">
        <v>77.8</v>
      </c>
      <c r="L8" s="14">
        <f t="shared" si="0"/>
        <v>27.897000000000006</v>
      </c>
      <c r="M8" s="14"/>
      <c r="N8" s="14"/>
      <c r="O8" s="14"/>
      <c r="P8" s="14"/>
      <c r="Q8" s="14"/>
      <c r="R8" s="14">
        <v>98.832299555938491</v>
      </c>
      <c r="S8" s="14">
        <f t="shared" si="1"/>
        <v>21.139400000000002</v>
      </c>
      <c r="T8" s="4"/>
      <c r="U8" s="4">
        <f t="shared" si="5"/>
        <v>0</v>
      </c>
      <c r="V8" s="14">
        <f t="shared" si="2"/>
        <v>14.725692288141502</v>
      </c>
      <c r="W8" s="14">
        <f t="shared" si="3"/>
        <v>14.725692288141502</v>
      </c>
      <c r="X8" s="14">
        <v>0</v>
      </c>
      <c r="Y8" s="14"/>
      <c r="Z8" s="14">
        <f t="shared" si="4"/>
        <v>0</v>
      </c>
      <c r="AA8" t="s">
        <v>38</v>
      </c>
    </row>
    <row r="9" spans="1:27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33</v>
      </c>
      <c r="J9" s="10"/>
      <c r="K9" s="10"/>
      <c r="L9" s="10">
        <f t="shared" si="0"/>
        <v>0</v>
      </c>
      <c r="M9" s="10"/>
      <c r="N9" s="10"/>
      <c r="O9" s="10"/>
      <c r="P9" s="10"/>
      <c r="Q9" s="10"/>
      <c r="R9" s="10"/>
      <c r="S9" s="10">
        <f t="shared" si="1"/>
        <v>0</v>
      </c>
      <c r="T9" s="12"/>
      <c r="U9" s="4">
        <f t="shared" si="5"/>
        <v>0</v>
      </c>
      <c r="V9" s="14" t="e">
        <f t="shared" si="2"/>
        <v>#DIV/0!</v>
      </c>
      <c r="W9" s="10" t="e">
        <f t="shared" si="3"/>
        <v>#DIV/0!</v>
      </c>
      <c r="X9" s="10">
        <v>0</v>
      </c>
      <c r="Y9" s="10" t="s">
        <v>41</v>
      </c>
      <c r="Z9" s="14">
        <f t="shared" si="4"/>
        <v>0</v>
      </c>
      <c r="AA9" t="s">
        <v>42</v>
      </c>
    </row>
    <row r="10" spans="1:27" x14ac:dyDescent="0.25">
      <c r="A10" s="14" t="s">
        <v>43</v>
      </c>
      <c r="B10" s="14" t="s">
        <v>40</v>
      </c>
      <c r="C10" s="14"/>
      <c r="D10" s="14">
        <v>120</v>
      </c>
      <c r="E10" s="14">
        <v>-3</v>
      </c>
      <c r="F10" s="14">
        <v>120</v>
      </c>
      <c r="G10" s="6">
        <v>0.45</v>
      </c>
      <c r="H10" s="14">
        <v>45</v>
      </c>
      <c r="I10" s="14" t="s">
        <v>33</v>
      </c>
      <c r="J10" s="14"/>
      <c r="K10" s="14">
        <v>265</v>
      </c>
      <c r="L10" s="14">
        <f t="shared" si="0"/>
        <v>-268</v>
      </c>
      <c r="M10" s="14"/>
      <c r="N10" s="14"/>
      <c r="O10" s="14"/>
      <c r="P10" s="14"/>
      <c r="Q10" s="14"/>
      <c r="R10" s="14">
        <v>500</v>
      </c>
      <c r="S10" s="14">
        <f t="shared" si="1"/>
        <v>-0.6</v>
      </c>
      <c r="T10" s="4"/>
      <c r="U10" s="4">
        <f t="shared" si="5"/>
        <v>0</v>
      </c>
      <c r="V10" s="14">
        <f t="shared" si="2"/>
        <v>-1033.3333333333335</v>
      </c>
      <c r="W10" s="14">
        <f t="shared" si="3"/>
        <v>-1033.3333333333335</v>
      </c>
      <c r="X10" s="14">
        <v>0</v>
      </c>
      <c r="Y10" s="14"/>
      <c r="Z10" s="14">
        <f t="shared" si="4"/>
        <v>0</v>
      </c>
      <c r="AA10" t="s">
        <v>44</v>
      </c>
    </row>
    <row r="11" spans="1:27" x14ac:dyDescent="0.25">
      <c r="A11" s="14" t="s">
        <v>45</v>
      </c>
      <c r="B11" s="14" t="s">
        <v>40</v>
      </c>
      <c r="C11" s="14"/>
      <c r="D11" s="14">
        <v>840</v>
      </c>
      <c r="E11" s="14">
        <v>292</v>
      </c>
      <c r="F11" s="14">
        <v>582</v>
      </c>
      <c r="G11" s="6">
        <v>0.45</v>
      </c>
      <c r="H11" s="14">
        <v>45</v>
      </c>
      <c r="I11" s="14" t="s">
        <v>33</v>
      </c>
      <c r="J11" s="14"/>
      <c r="K11" s="14">
        <v>222</v>
      </c>
      <c r="L11" s="14">
        <f t="shared" si="0"/>
        <v>70</v>
      </c>
      <c r="M11" s="14"/>
      <c r="N11" s="14"/>
      <c r="O11" s="14"/>
      <c r="P11" s="14"/>
      <c r="Q11" s="14"/>
      <c r="R11" s="14">
        <v>481.9070569366479</v>
      </c>
      <c r="S11" s="14">
        <f t="shared" si="1"/>
        <v>58.4</v>
      </c>
      <c r="T11" s="4"/>
      <c r="U11" s="4">
        <f t="shared" si="5"/>
        <v>0</v>
      </c>
      <c r="V11" s="14">
        <f t="shared" si="2"/>
        <v>18.217586591380957</v>
      </c>
      <c r="W11" s="14">
        <f t="shared" si="3"/>
        <v>18.217586591380957</v>
      </c>
      <c r="X11" s="14">
        <v>0</v>
      </c>
      <c r="Y11" s="14"/>
      <c r="Z11" s="14">
        <f t="shared" si="4"/>
        <v>0</v>
      </c>
      <c r="AA11" t="s">
        <v>46</v>
      </c>
    </row>
    <row r="12" spans="1:27" x14ac:dyDescent="0.25">
      <c r="A12" s="14" t="s">
        <v>47</v>
      </c>
      <c r="B12" s="14" t="s">
        <v>40</v>
      </c>
      <c r="C12" s="14"/>
      <c r="D12" s="14">
        <v>17</v>
      </c>
      <c r="E12" s="14">
        <v>24</v>
      </c>
      <c r="F12" s="14">
        <v>2</v>
      </c>
      <c r="G12" s="6">
        <v>0.17</v>
      </c>
      <c r="H12" s="14">
        <v>180</v>
      </c>
      <c r="I12" s="14" t="s">
        <v>33</v>
      </c>
      <c r="J12" s="14"/>
      <c r="K12" s="14">
        <v>37</v>
      </c>
      <c r="L12" s="14">
        <f t="shared" si="0"/>
        <v>-13</v>
      </c>
      <c r="M12" s="14"/>
      <c r="N12" s="14"/>
      <c r="O12" s="14">
        <v>60</v>
      </c>
      <c r="P12" s="14"/>
      <c r="Q12" s="14"/>
      <c r="R12" s="14">
        <v>86.1311203319502</v>
      </c>
      <c r="S12" s="14">
        <f t="shared" si="1"/>
        <v>4.8</v>
      </c>
      <c r="T12" s="4"/>
      <c r="U12" s="4">
        <f t="shared" si="5"/>
        <v>0</v>
      </c>
      <c r="V12" s="14">
        <f t="shared" si="2"/>
        <v>30.860650069156293</v>
      </c>
      <c r="W12" s="14">
        <f t="shared" si="3"/>
        <v>30.860650069156293</v>
      </c>
      <c r="X12" s="14">
        <v>0</v>
      </c>
      <c r="Y12" s="14"/>
      <c r="Z12" s="14">
        <f t="shared" si="4"/>
        <v>0</v>
      </c>
      <c r="AA12" t="s">
        <v>48</v>
      </c>
    </row>
    <row r="13" spans="1:27" x14ac:dyDescent="0.25">
      <c r="A13" s="14" t="s">
        <v>49</v>
      </c>
      <c r="B13" s="14" t="s">
        <v>40</v>
      </c>
      <c r="C13" s="14"/>
      <c r="D13" s="14"/>
      <c r="E13" s="14"/>
      <c r="F13" s="14"/>
      <c r="G13" s="6">
        <v>0.3</v>
      </c>
      <c r="H13" s="14">
        <v>40</v>
      </c>
      <c r="I13" s="9" t="s">
        <v>50</v>
      </c>
      <c r="J13" s="14"/>
      <c r="K13" s="14">
        <v>8</v>
      </c>
      <c r="L13" s="14">
        <f t="shared" si="0"/>
        <v>-8</v>
      </c>
      <c r="M13" s="14"/>
      <c r="N13" s="14"/>
      <c r="O13" s="14">
        <v>60</v>
      </c>
      <c r="P13" s="14"/>
      <c r="Q13" s="14"/>
      <c r="R13" s="14">
        <v>18.691099476439788</v>
      </c>
      <c r="S13" s="14">
        <f t="shared" si="1"/>
        <v>0</v>
      </c>
      <c r="T13" s="4"/>
      <c r="U13" s="4">
        <f>T13*1.2</f>
        <v>0</v>
      </c>
      <c r="V13" s="14" t="e">
        <f t="shared" si="2"/>
        <v>#DIV/0!</v>
      </c>
      <c r="W13" s="14" t="e">
        <f t="shared" si="3"/>
        <v>#DIV/0!</v>
      </c>
      <c r="X13" s="14">
        <v>0</v>
      </c>
      <c r="Y13" s="14"/>
      <c r="Z13" s="14">
        <f t="shared" si="4"/>
        <v>0</v>
      </c>
      <c r="AA13" t="s">
        <v>51</v>
      </c>
    </row>
    <row r="14" spans="1:27" x14ac:dyDescent="0.25">
      <c r="A14" s="14" t="s">
        <v>52</v>
      </c>
      <c r="B14" s="14" t="s">
        <v>40</v>
      </c>
      <c r="C14" s="14"/>
      <c r="D14" s="14">
        <v>287</v>
      </c>
      <c r="E14" s="14">
        <v>64</v>
      </c>
      <c r="F14" s="14">
        <v>226</v>
      </c>
      <c r="G14" s="6">
        <v>0.17</v>
      </c>
      <c r="H14" s="14">
        <v>180</v>
      </c>
      <c r="I14" s="14" t="s">
        <v>33</v>
      </c>
      <c r="J14" s="14"/>
      <c r="K14" s="14">
        <v>50</v>
      </c>
      <c r="L14" s="14">
        <f t="shared" si="0"/>
        <v>14</v>
      </c>
      <c r="M14" s="14"/>
      <c r="N14" s="14"/>
      <c r="O14" s="14">
        <v>100</v>
      </c>
      <c r="P14" s="14"/>
      <c r="Q14" s="14"/>
      <c r="R14" s="14">
        <v>0</v>
      </c>
      <c r="S14" s="14">
        <f t="shared" si="1"/>
        <v>12.8</v>
      </c>
      <c r="T14" s="4"/>
      <c r="U14" s="4">
        <f>T14</f>
        <v>0</v>
      </c>
      <c r="V14" s="14">
        <f t="shared" si="2"/>
        <v>25.46875</v>
      </c>
      <c r="W14" s="14">
        <f t="shared" si="3"/>
        <v>25.46875</v>
      </c>
      <c r="X14" s="14">
        <v>0</v>
      </c>
      <c r="Y14" s="14"/>
      <c r="Z14" s="14">
        <f t="shared" si="4"/>
        <v>0</v>
      </c>
      <c r="AA14" t="s">
        <v>53</v>
      </c>
    </row>
    <row r="15" spans="1:27" x14ac:dyDescent="0.25">
      <c r="A15" s="14" t="s">
        <v>54</v>
      </c>
      <c r="B15" s="14" t="s">
        <v>32</v>
      </c>
      <c r="C15" s="14"/>
      <c r="D15" s="14">
        <v>209.50899999999999</v>
      </c>
      <c r="E15" s="14">
        <v>270.07</v>
      </c>
      <c r="F15" s="14">
        <v>-45.234999999999999</v>
      </c>
      <c r="G15" s="6">
        <v>1</v>
      </c>
      <c r="H15" s="14">
        <v>70</v>
      </c>
      <c r="I15" s="9" t="s">
        <v>50</v>
      </c>
      <c r="J15" s="14"/>
      <c r="K15" s="14">
        <v>213.3</v>
      </c>
      <c r="L15" s="14">
        <f t="shared" si="0"/>
        <v>56.769999999999982</v>
      </c>
      <c r="M15" s="14"/>
      <c r="N15" s="14"/>
      <c r="O15" s="14">
        <v>270</v>
      </c>
      <c r="P15" s="14"/>
      <c r="Q15" s="14"/>
      <c r="R15" s="14">
        <v>179.0189117186876</v>
      </c>
      <c r="S15" s="14">
        <f t="shared" si="1"/>
        <v>54.013999999999996</v>
      </c>
      <c r="T15" s="4">
        <v>200</v>
      </c>
      <c r="U15" s="4">
        <f>T15*1.2</f>
        <v>240</v>
      </c>
      <c r="V15" s="14">
        <f t="shared" si="2"/>
        <v>11.918834222954931</v>
      </c>
      <c r="W15" s="14">
        <f t="shared" si="3"/>
        <v>7.4755417432274527</v>
      </c>
      <c r="X15" s="14">
        <v>0</v>
      </c>
      <c r="Y15" s="14"/>
      <c r="Z15" s="14">
        <f t="shared" si="4"/>
        <v>240</v>
      </c>
      <c r="AA15" t="s">
        <v>55</v>
      </c>
    </row>
    <row r="16" spans="1:27" x14ac:dyDescent="0.25">
      <c r="A16" s="14" t="s">
        <v>56</v>
      </c>
      <c r="B16" s="14" t="s">
        <v>32</v>
      </c>
      <c r="C16" s="14"/>
      <c r="D16" s="14">
        <v>1818.71</v>
      </c>
      <c r="E16" s="14">
        <v>651.471</v>
      </c>
      <c r="F16" s="14">
        <v>965.82899999999995</v>
      </c>
      <c r="G16" s="6">
        <v>1</v>
      </c>
      <c r="H16" s="14">
        <v>50</v>
      </c>
      <c r="I16" s="14" t="s">
        <v>33</v>
      </c>
      <c r="J16" s="14"/>
      <c r="K16" s="14">
        <v>797.6</v>
      </c>
      <c r="L16" s="14">
        <f t="shared" si="0"/>
        <v>-146.12900000000002</v>
      </c>
      <c r="M16" s="14"/>
      <c r="N16" s="14"/>
      <c r="O16" s="14">
        <v>787.5626400000001</v>
      </c>
      <c r="P16" s="14"/>
      <c r="Q16" s="14">
        <v>510</v>
      </c>
      <c r="R16" s="14">
        <v>500</v>
      </c>
      <c r="S16" s="14">
        <f t="shared" si="1"/>
        <v>130.29419999999999</v>
      </c>
      <c r="T16" s="4"/>
      <c r="U16" s="4">
        <f>T16</f>
        <v>0</v>
      </c>
      <c r="V16" s="14">
        <f t="shared" si="2"/>
        <v>21.208861484241048</v>
      </c>
      <c r="W16" s="14">
        <f t="shared" si="3"/>
        <v>21.208861484241048</v>
      </c>
      <c r="X16" s="14">
        <v>0</v>
      </c>
      <c r="Y16" s="14"/>
      <c r="Z16" s="14">
        <f t="shared" si="4"/>
        <v>0</v>
      </c>
      <c r="AA16" t="s">
        <v>57</v>
      </c>
    </row>
    <row r="17" spans="1:27" x14ac:dyDescent="0.25">
      <c r="A17" s="14" t="s">
        <v>58</v>
      </c>
      <c r="B17" s="14" t="s">
        <v>32</v>
      </c>
      <c r="C17" s="14"/>
      <c r="D17" s="14">
        <v>121.006</v>
      </c>
      <c r="E17" s="14">
        <v>48.103000000000002</v>
      </c>
      <c r="F17" s="14">
        <v>74.054000000000002</v>
      </c>
      <c r="G17" s="6">
        <v>1</v>
      </c>
      <c r="H17" s="14">
        <v>60</v>
      </c>
      <c r="I17" s="14" t="s">
        <v>33</v>
      </c>
      <c r="J17" s="14"/>
      <c r="K17" s="14">
        <v>30.5</v>
      </c>
      <c r="L17" s="14">
        <f t="shared" si="0"/>
        <v>17.603000000000002</v>
      </c>
      <c r="M17" s="14"/>
      <c r="N17" s="14"/>
      <c r="O17" s="14"/>
      <c r="P17" s="14"/>
      <c r="Q17" s="14"/>
      <c r="R17" s="14">
        <v>0</v>
      </c>
      <c r="S17" s="14">
        <f t="shared" si="1"/>
        <v>9.6205999999999996</v>
      </c>
      <c r="T17" s="4">
        <f>12*S17-R17-F17</f>
        <v>41.393199999999993</v>
      </c>
      <c r="U17" s="4">
        <f>T17+S17*$U$1</f>
        <v>60.634399999999992</v>
      </c>
      <c r="V17" s="14">
        <f t="shared" si="2"/>
        <v>14</v>
      </c>
      <c r="W17" s="14">
        <f t="shared" si="3"/>
        <v>7.6974409080514734</v>
      </c>
      <c r="X17" s="14">
        <v>0</v>
      </c>
      <c r="Y17" s="14"/>
      <c r="Z17" s="14">
        <f t="shared" si="4"/>
        <v>61</v>
      </c>
      <c r="AA17" t="s">
        <v>59</v>
      </c>
    </row>
    <row r="18" spans="1:27" x14ac:dyDescent="0.25">
      <c r="A18" s="14" t="s">
        <v>60</v>
      </c>
      <c r="B18" s="14" t="s">
        <v>32</v>
      </c>
      <c r="C18" s="14"/>
      <c r="D18" s="14">
        <v>42.561</v>
      </c>
      <c r="E18" s="14">
        <v>30.262</v>
      </c>
      <c r="F18" s="14">
        <v>8.2520000000000007</v>
      </c>
      <c r="G18" s="6">
        <v>1</v>
      </c>
      <c r="H18" s="14">
        <v>60</v>
      </c>
      <c r="I18" s="9" t="s">
        <v>50</v>
      </c>
      <c r="J18" s="14"/>
      <c r="K18" s="14">
        <v>26.6</v>
      </c>
      <c r="L18" s="14">
        <f t="shared" si="0"/>
        <v>3.661999999999999</v>
      </c>
      <c r="M18" s="14"/>
      <c r="N18" s="14"/>
      <c r="O18" s="14"/>
      <c r="P18" s="14"/>
      <c r="Q18" s="14"/>
      <c r="R18" s="14">
        <v>0</v>
      </c>
      <c r="S18" s="14">
        <f t="shared" si="1"/>
        <v>6.0524000000000004</v>
      </c>
      <c r="T18" s="4">
        <v>40</v>
      </c>
      <c r="U18" s="4">
        <f>T18*1.2</f>
        <v>48</v>
      </c>
      <c r="V18" s="14">
        <f t="shared" si="2"/>
        <v>9.2941642984601138</v>
      </c>
      <c r="W18" s="14">
        <f t="shared" si="3"/>
        <v>1.3634260789108452</v>
      </c>
      <c r="X18" s="14">
        <v>0</v>
      </c>
      <c r="Y18" s="14"/>
      <c r="Z18" s="14">
        <f t="shared" si="4"/>
        <v>48</v>
      </c>
      <c r="AA18" t="s">
        <v>61</v>
      </c>
    </row>
    <row r="19" spans="1:27" x14ac:dyDescent="0.25">
      <c r="A19" s="14" t="s">
        <v>62</v>
      </c>
      <c r="B19" s="14" t="s">
        <v>32</v>
      </c>
      <c r="C19" s="14"/>
      <c r="D19" s="14">
        <v>35.552999999999997</v>
      </c>
      <c r="E19" s="14">
        <v>2.1640000000000001</v>
      </c>
      <c r="F19" s="14">
        <v>33.39</v>
      </c>
      <c r="G19" s="6">
        <v>1</v>
      </c>
      <c r="H19" s="14">
        <v>180</v>
      </c>
      <c r="I19" s="14" t="s">
        <v>33</v>
      </c>
      <c r="J19" s="14"/>
      <c r="K19" s="14">
        <v>1.93</v>
      </c>
      <c r="L19" s="14">
        <f t="shared" si="0"/>
        <v>0.23400000000000021</v>
      </c>
      <c r="M19" s="14"/>
      <c r="N19" s="14"/>
      <c r="O19" s="14">
        <v>35</v>
      </c>
      <c r="P19" s="14"/>
      <c r="Q19" s="14"/>
      <c r="R19" s="14">
        <v>0</v>
      </c>
      <c r="S19" s="14">
        <f t="shared" si="1"/>
        <v>0.43280000000000002</v>
      </c>
      <c r="T19" s="4"/>
      <c r="U19" s="4">
        <f>T19</f>
        <v>0</v>
      </c>
      <c r="V19" s="14">
        <f t="shared" si="2"/>
        <v>158.01756007393715</v>
      </c>
      <c r="W19" s="14">
        <f t="shared" si="3"/>
        <v>158.01756007393715</v>
      </c>
      <c r="X19" s="14">
        <v>0</v>
      </c>
      <c r="Y19" s="14"/>
      <c r="Z19" s="14">
        <f t="shared" si="4"/>
        <v>0</v>
      </c>
      <c r="AA19" t="s">
        <v>63</v>
      </c>
    </row>
    <row r="20" spans="1:27" x14ac:dyDescent="0.25">
      <c r="A20" s="14" t="s">
        <v>64</v>
      </c>
      <c r="B20" s="14" t="s">
        <v>32</v>
      </c>
      <c r="C20" s="14"/>
      <c r="D20" s="14">
        <v>258.60399999999998</v>
      </c>
      <c r="E20" s="14">
        <v>261.60899999999998</v>
      </c>
      <c r="F20" s="14">
        <v>27.667000000000002</v>
      </c>
      <c r="G20" s="6">
        <v>1</v>
      </c>
      <c r="H20" s="14">
        <v>60</v>
      </c>
      <c r="I20" s="14" t="s">
        <v>33</v>
      </c>
      <c r="J20" s="14"/>
      <c r="K20" s="14">
        <v>172</v>
      </c>
      <c r="L20" s="14">
        <f t="shared" si="0"/>
        <v>89.60899999999998</v>
      </c>
      <c r="M20" s="14"/>
      <c r="N20" s="14"/>
      <c r="O20" s="14"/>
      <c r="P20" s="14"/>
      <c r="Q20" s="14"/>
      <c r="R20" s="14">
        <v>178.22202467941159</v>
      </c>
      <c r="S20" s="14">
        <f t="shared" si="1"/>
        <v>52.321799999999996</v>
      </c>
      <c r="T20" s="4">
        <f>12*S20-R20-F20</f>
        <v>421.97257532058836</v>
      </c>
      <c r="U20" s="4">
        <f>T20+S20*$U$1</f>
        <v>526.61617532058835</v>
      </c>
      <c r="V20" s="14">
        <f t="shared" si="2"/>
        <v>14</v>
      </c>
      <c r="W20" s="14">
        <f t="shared" si="3"/>
        <v>3.9350524003266631</v>
      </c>
      <c r="X20" s="14">
        <v>0</v>
      </c>
      <c r="Y20" s="14"/>
      <c r="Z20" s="14">
        <f t="shared" si="4"/>
        <v>527</v>
      </c>
      <c r="AA20" t="s">
        <v>65</v>
      </c>
    </row>
    <row r="21" spans="1:27" x14ac:dyDescent="0.25">
      <c r="A21" s="14" t="s">
        <v>66</v>
      </c>
      <c r="B21" s="14" t="s">
        <v>32</v>
      </c>
      <c r="C21" s="14"/>
      <c r="D21" s="14">
        <v>27.324000000000002</v>
      </c>
      <c r="E21" s="14">
        <v>24.713000000000001</v>
      </c>
      <c r="F21" s="14">
        <v>1.74</v>
      </c>
      <c r="G21" s="6">
        <v>1</v>
      </c>
      <c r="H21" s="14">
        <v>70</v>
      </c>
      <c r="I21" s="14" t="s">
        <v>33</v>
      </c>
      <c r="J21" s="14"/>
      <c r="K21" s="14">
        <v>54.2</v>
      </c>
      <c r="L21" s="14">
        <f t="shared" si="0"/>
        <v>-29.487000000000002</v>
      </c>
      <c r="M21" s="14"/>
      <c r="N21" s="14"/>
      <c r="O21" s="14">
        <v>140</v>
      </c>
      <c r="P21" s="14"/>
      <c r="Q21" s="14"/>
      <c r="R21" s="14">
        <v>20</v>
      </c>
      <c r="S21" s="14">
        <f t="shared" si="1"/>
        <v>4.9426000000000005</v>
      </c>
      <c r="T21" s="4"/>
      <c r="U21" s="4">
        <f>T21</f>
        <v>0</v>
      </c>
      <c r="V21" s="14">
        <f t="shared" si="2"/>
        <v>32.723667705256339</v>
      </c>
      <c r="W21" s="14">
        <f t="shared" si="3"/>
        <v>32.723667705256339</v>
      </c>
      <c r="X21" s="14">
        <v>0</v>
      </c>
      <c r="Y21" s="14"/>
      <c r="Z21" s="14">
        <f t="shared" si="4"/>
        <v>0</v>
      </c>
      <c r="AA21" t="s">
        <v>67</v>
      </c>
    </row>
    <row r="22" spans="1:27" x14ac:dyDescent="0.25">
      <c r="A22" s="14" t="s">
        <v>68</v>
      </c>
      <c r="B22" s="14" t="s">
        <v>32</v>
      </c>
      <c r="C22" s="14"/>
      <c r="D22" s="14">
        <v>140.38499999999999</v>
      </c>
      <c r="E22" s="14">
        <v>114.57</v>
      </c>
      <c r="F22" s="14">
        <v>4.17</v>
      </c>
      <c r="G22" s="6">
        <v>1</v>
      </c>
      <c r="H22" s="14">
        <v>70</v>
      </c>
      <c r="I22" s="9" t="s">
        <v>50</v>
      </c>
      <c r="J22" s="14"/>
      <c r="K22" s="14">
        <v>117.4</v>
      </c>
      <c r="L22" s="14">
        <f t="shared" si="0"/>
        <v>-2.8300000000000125</v>
      </c>
      <c r="M22" s="14"/>
      <c r="N22" s="14"/>
      <c r="O22" s="14">
        <v>100</v>
      </c>
      <c r="P22" s="14"/>
      <c r="Q22" s="14"/>
      <c r="R22" s="14">
        <v>0</v>
      </c>
      <c r="S22" s="14">
        <f t="shared" si="1"/>
        <v>22.913999999999998</v>
      </c>
      <c r="T22" s="4">
        <v>150</v>
      </c>
      <c r="U22" s="4">
        <f>T22*1.2</f>
        <v>180</v>
      </c>
      <c r="V22" s="14">
        <f t="shared" si="2"/>
        <v>12.401588548485643</v>
      </c>
      <c r="W22" s="14">
        <f t="shared" si="3"/>
        <v>4.5461290041022959</v>
      </c>
      <c r="X22" s="14">
        <v>0</v>
      </c>
      <c r="Y22" s="14" t="s">
        <v>69</v>
      </c>
      <c r="Z22" s="14">
        <f t="shared" si="4"/>
        <v>180</v>
      </c>
      <c r="AA22" t="s">
        <v>70</v>
      </c>
    </row>
    <row r="23" spans="1:27" x14ac:dyDescent="0.25">
      <c r="A23" s="14" t="s">
        <v>71</v>
      </c>
      <c r="B23" s="14" t="s">
        <v>32</v>
      </c>
      <c r="C23" s="14"/>
      <c r="D23" s="14">
        <v>34.311</v>
      </c>
      <c r="E23" s="14">
        <v>1.7210000000000001</v>
      </c>
      <c r="F23" s="14">
        <v>30.832999999999998</v>
      </c>
      <c r="G23" s="6">
        <v>1</v>
      </c>
      <c r="H23" s="14">
        <v>180</v>
      </c>
      <c r="I23" s="14" t="s">
        <v>33</v>
      </c>
      <c r="J23" s="14"/>
      <c r="K23" s="14">
        <v>1.53</v>
      </c>
      <c r="L23" s="14">
        <f t="shared" si="0"/>
        <v>0.19100000000000006</v>
      </c>
      <c r="M23" s="14"/>
      <c r="N23" s="14"/>
      <c r="O23" s="14">
        <v>35</v>
      </c>
      <c r="P23" s="14"/>
      <c r="Q23" s="14"/>
      <c r="R23" s="14">
        <v>0</v>
      </c>
      <c r="S23" s="14">
        <f t="shared" si="1"/>
        <v>0.34420000000000001</v>
      </c>
      <c r="T23" s="4"/>
      <c r="U23" s="4">
        <f>T23</f>
        <v>0</v>
      </c>
      <c r="V23" s="14">
        <f t="shared" si="2"/>
        <v>191.26380011621148</v>
      </c>
      <c r="W23" s="14">
        <f t="shared" si="3"/>
        <v>191.26380011621148</v>
      </c>
      <c r="X23" s="14">
        <v>0</v>
      </c>
      <c r="Y23" s="14"/>
      <c r="Z23" s="14">
        <f t="shared" si="4"/>
        <v>0</v>
      </c>
      <c r="AA23" t="s">
        <v>72</v>
      </c>
    </row>
    <row r="24" spans="1:27" x14ac:dyDescent="0.25">
      <c r="A24" s="14" t="s">
        <v>73</v>
      </c>
      <c r="B24" s="14" t="s">
        <v>32</v>
      </c>
      <c r="C24" s="14"/>
      <c r="D24" s="14">
        <v>75.703000000000003</v>
      </c>
      <c r="E24" s="14">
        <v>90.846000000000004</v>
      </c>
      <c r="F24" s="14">
        <v>1.5269999999999999</v>
      </c>
      <c r="G24" s="6">
        <v>1</v>
      </c>
      <c r="H24" s="14">
        <v>70</v>
      </c>
      <c r="I24" s="9" t="s">
        <v>50</v>
      </c>
      <c r="J24" s="14"/>
      <c r="K24" s="14">
        <v>144.1</v>
      </c>
      <c r="L24" s="14">
        <f t="shared" si="0"/>
        <v>-53.253999999999991</v>
      </c>
      <c r="M24" s="14"/>
      <c r="N24" s="14"/>
      <c r="O24" s="14">
        <v>303.96300000000002</v>
      </c>
      <c r="P24" s="14"/>
      <c r="Q24" s="14"/>
      <c r="R24" s="14">
        <v>0</v>
      </c>
      <c r="S24" s="14">
        <f t="shared" si="1"/>
        <v>18.1692</v>
      </c>
      <c r="T24" s="4">
        <v>100</v>
      </c>
      <c r="U24" s="4">
        <f>T24*1.2</f>
        <v>120</v>
      </c>
      <c r="V24" s="14">
        <f t="shared" si="2"/>
        <v>23.418202232349252</v>
      </c>
      <c r="W24" s="14">
        <f t="shared" si="3"/>
        <v>16.813618651344033</v>
      </c>
      <c r="X24" s="14">
        <v>0</v>
      </c>
      <c r="Y24" s="14" t="s">
        <v>69</v>
      </c>
      <c r="Z24" s="14">
        <f t="shared" si="4"/>
        <v>120</v>
      </c>
      <c r="AA24" t="s">
        <v>74</v>
      </c>
    </row>
    <row r="25" spans="1:27" x14ac:dyDescent="0.25">
      <c r="A25" s="10" t="s">
        <v>75</v>
      </c>
      <c r="B25" s="10" t="s">
        <v>32</v>
      </c>
      <c r="C25" s="10"/>
      <c r="D25" s="10"/>
      <c r="E25" s="10"/>
      <c r="F25" s="10"/>
      <c r="G25" s="11">
        <v>0</v>
      </c>
      <c r="H25" s="10"/>
      <c r="I25" s="10" t="s">
        <v>33</v>
      </c>
      <c r="J25" s="10"/>
      <c r="K25" s="10"/>
      <c r="L25" s="10">
        <f t="shared" si="0"/>
        <v>0</v>
      </c>
      <c r="M25" s="10"/>
      <c r="N25" s="10"/>
      <c r="O25" s="10"/>
      <c r="P25" s="10"/>
      <c r="Q25" s="10"/>
      <c r="R25" s="10"/>
      <c r="S25" s="10">
        <f t="shared" si="1"/>
        <v>0</v>
      </c>
      <c r="T25" s="12"/>
      <c r="U25" s="4">
        <f>T25</f>
        <v>0</v>
      </c>
      <c r="V25" s="14" t="e">
        <f t="shared" si="2"/>
        <v>#DIV/0!</v>
      </c>
      <c r="W25" s="10" t="e">
        <f t="shared" si="3"/>
        <v>#DIV/0!</v>
      </c>
      <c r="X25" s="10">
        <v>0</v>
      </c>
      <c r="Y25" s="10" t="s">
        <v>41</v>
      </c>
      <c r="Z25" s="14">
        <f t="shared" si="4"/>
        <v>0</v>
      </c>
      <c r="AA25" t="s">
        <v>76</v>
      </c>
    </row>
    <row r="26" spans="1:27" x14ac:dyDescent="0.25">
      <c r="A26" s="14" t="s">
        <v>77</v>
      </c>
      <c r="B26" s="14" t="s">
        <v>32</v>
      </c>
      <c r="C26" s="14"/>
      <c r="D26" s="14">
        <v>16.323</v>
      </c>
      <c r="E26" s="14">
        <v>6.8259999999999996</v>
      </c>
      <c r="F26" s="14">
        <v>14.98</v>
      </c>
      <c r="G26" s="6">
        <v>1</v>
      </c>
      <c r="H26" s="14"/>
      <c r="I26" s="9" t="s">
        <v>50</v>
      </c>
      <c r="J26" s="14"/>
      <c r="K26" s="14">
        <v>1.3</v>
      </c>
      <c r="L26" s="14">
        <f t="shared" si="0"/>
        <v>5.5259999999999998</v>
      </c>
      <c r="M26" s="14"/>
      <c r="N26" s="14"/>
      <c r="O26" s="14">
        <v>26.337299999999999</v>
      </c>
      <c r="P26" s="14"/>
      <c r="Q26" s="14"/>
      <c r="R26" s="14">
        <v>17.848212968935901</v>
      </c>
      <c r="S26" s="14">
        <f t="shared" si="1"/>
        <v>1.3652</v>
      </c>
      <c r="T26" s="4"/>
      <c r="U26" s="4">
        <f>T26*1.2</f>
        <v>0</v>
      </c>
      <c r="V26" s="14">
        <f t="shared" si="2"/>
        <v>43.338348204611705</v>
      </c>
      <c r="W26" s="14">
        <f t="shared" si="3"/>
        <v>43.338348204611705</v>
      </c>
      <c r="X26" s="14">
        <v>0</v>
      </c>
      <c r="Y26" s="14"/>
      <c r="Z26" s="14">
        <f t="shared" si="4"/>
        <v>0</v>
      </c>
      <c r="AA26" t="s">
        <v>78</v>
      </c>
    </row>
    <row r="27" spans="1:27" x14ac:dyDescent="0.25">
      <c r="A27" s="14" t="s">
        <v>79</v>
      </c>
      <c r="B27" s="14" t="s">
        <v>32</v>
      </c>
      <c r="C27" s="14"/>
      <c r="D27" s="14"/>
      <c r="E27" s="14"/>
      <c r="F27" s="14"/>
      <c r="G27" s="6">
        <v>1</v>
      </c>
      <c r="H27" s="14">
        <v>40</v>
      </c>
      <c r="I27" s="9" t="s">
        <v>50</v>
      </c>
      <c r="J27" s="14"/>
      <c r="K27" s="14"/>
      <c r="L27" s="14">
        <f t="shared" si="0"/>
        <v>0</v>
      </c>
      <c r="M27" s="14"/>
      <c r="N27" s="14"/>
      <c r="O27" s="14">
        <v>80</v>
      </c>
      <c r="P27" s="14">
        <v>-81</v>
      </c>
      <c r="Q27" s="14"/>
      <c r="R27" s="14">
        <v>10</v>
      </c>
      <c r="S27" s="14">
        <f t="shared" si="1"/>
        <v>0</v>
      </c>
      <c r="T27" s="4">
        <v>4</v>
      </c>
      <c r="U27" s="4">
        <f>T27*1.2</f>
        <v>4.8</v>
      </c>
      <c r="V27" s="14" t="e">
        <f t="shared" si="2"/>
        <v>#DIV/0!</v>
      </c>
      <c r="W27" s="14" t="e">
        <f t="shared" si="3"/>
        <v>#DIV/0!</v>
      </c>
      <c r="X27" s="14">
        <v>0</v>
      </c>
      <c r="Y27" s="14"/>
      <c r="Z27" s="14">
        <f t="shared" si="4"/>
        <v>5</v>
      </c>
      <c r="AA27" t="s">
        <v>80</v>
      </c>
    </row>
    <row r="28" spans="1:27" x14ac:dyDescent="0.25">
      <c r="A28" s="14" t="s">
        <v>81</v>
      </c>
      <c r="B28" s="14" t="s">
        <v>32</v>
      </c>
      <c r="C28" s="14"/>
      <c r="D28" s="14">
        <v>57.13</v>
      </c>
      <c r="E28" s="14">
        <v>6.9</v>
      </c>
      <c r="F28" s="14">
        <v>35.314</v>
      </c>
      <c r="G28" s="6">
        <v>1</v>
      </c>
      <c r="H28" s="14">
        <v>30</v>
      </c>
      <c r="I28" s="9" t="s">
        <v>50</v>
      </c>
      <c r="J28" s="14"/>
      <c r="K28" s="14">
        <v>26</v>
      </c>
      <c r="L28" s="14">
        <f t="shared" si="0"/>
        <v>-19.100000000000001</v>
      </c>
      <c r="M28" s="14"/>
      <c r="N28" s="14"/>
      <c r="O28" s="14">
        <v>300</v>
      </c>
      <c r="P28" s="14"/>
      <c r="Q28" s="14"/>
      <c r="R28" s="14">
        <v>0</v>
      </c>
      <c r="S28" s="14">
        <f t="shared" si="1"/>
        <v>1.3800000000000001</v>
      </c>
      <c r="T28" s="4"/>
      <c r="U28" s="4">
        <f>T28*1.2</f>
        <v>0</v>
      </c>
      <c r="V28" s="14">
        <f t="shared" si="2"/>
        <v>242.98115942028986</v>
      </c>
      <c r="W28" s="14">
        <f t="shared" si="3"/>
        <v>242.98115942028986</v>
      </c>
      <c r="X28" s="14">
        <v>0</v>
      </c>
      <c r="Y28" s="14"/>
      <c r="Z28" s="14">
        <f t="shared" si="4"/>
        <v>0</v>
      </c>
      <c r="AA28" t="s">
        <v>82</v>
      </c>
    </row>
    <row r="29" spans="1:27" x14ac:dyDescent="0.25">
      <c r="A29" s="14" t="s">
        <v>83</v>
      </c>
      <c r="B29" s="14" t="s">
        <v>32</v>
      </c>
      <c r="C29" s="14"/>
      <c r="D29" s="14">
        <v>354.01600000000002</v>
      </c>
      <c r="E29" s="14">
        <v>302.00799999999998</v>
      </c>
      <c r="F29" s="14">
        <v>23.661999999999999</v>
      </c>
      <c r="G29" s="6">
        <v>1</v>
      </c>
      <c r="H29" s="14">
        <v>40</v>
      </c>
      <c r="I29" s="9" t="s">
        <v>50</v>
      </c>
      <c r="J29" s="14"/>
      <c r="K29" s="14">
        <v>428.3</v>
      </c>
      <c r="L29" s="14">
        <f t="shared" si="0"/>
        <v>-126.29200000000003</v>
      </c>
      <c r="M29" s="14"/>
      <c r="N29" s="14"/>
      <c r="O29" s="14">
        <v>300</v>
      </c>
      <c r="P29" s="14"/>
      <c r="Q29" s="14"/>
      <c r="R29" s="14">
        <v>0</v>
      </c>
      <c r="S29" s="14">
        <f t="shared" si="1"/>
        <v>60.401599999999995</v>
      </c>
      <c r="T29" s="4">
        <v>350</v>
      </c>
      <c r="U29" s="4">
        <f>T29*1.2</f>
        <v>420</v>
      </c>
      <c r="V29" s="14">
        <f t="shared" si="2"/>
        <v>12.311958623612622</v>
      </c>
      <c r="W29" s="14">
        <f t="shared" si="3"/>
        <v>5.3585004370745146</v>
      </c>
      <c r="X29" s="14">
        <v>0</v>
      </c>
      <c r="Y29" s="14"/>
      <c r="Z29" s="14">
        <f t="shared" si="4"/>
        <v>420</v>
      </c>
      <c r="AA29" t="s">
        <v>84</v>
      </c>
    </row>
    <row r="30" spans="1:27" x14ac:dyDescent="0.25">
      <c r="A30" s="14" t="s">
        <v>85</v>
      </c>
      <c r="B30" s="14" t="s">
        <v>32</v>
      </c>
      <c r="C30" s="14"/>
      <c r="D30" s="14"/>
      <c r="E30" s="14"/>
      <c r="F30" s="14"/>
      <c r="G30" s="6">
        <v>1</v>
      </c>
      <c r="H30" s="14">
        <v>40</v>
      </c>
      <c r="I30" s="9" t="s">
        <v>50</v>
      </c>
      <c r="J30" s="14"/>
      <c r="K30" s="14"/>
      <c r="L30" s="14">
        <f t="shared" si="0"/>
        <v>0</v>
      </c>
      <c r="M30" s="14"/>
      <c r="N30" s="14"/>
      <c r="O30" s="14">
        <v>57.9636</v>
      </c>
      <c r="P30" s="14">
        <v>-63</v>
      </c>
      <c r="Q30" s="14"/>
      <c r="R30" s="14">
        <v>33.232019954732323</v>
      </c>
      <c r="S30" s="14">
        <f t="shared" si="1"/>
        <v>0</v>
      </c>
      <c r="T30" s="4"/>
      <c r="U30" s="4">
        <f>T30*1.2</f>
        <v>0</v>
      </c>
      <c r="V30" s="14" t="e">
        <f t="shared" si="2"/>
        <v>#DIV/0!</v>
      </c>
      <c r="W30" s="14" t="e">
        <f t="shared" si="3"/>
        <v>#DIV/0!</v>
      </c>
      <c r="X30" s="14">
        <v>0</v>
      </c>
      <c r="Y30" s="14"/>
      <c r="Z30" s="14">
        <f t="shared" si="4"/>
        <v>0</v>
      </c>
      <c r="AA30" t="s">
        <v>86</v>
      </c>
    </row>
    <row r="31" spans="1:27" x14ac:dyDescent="0.25">
      <c r="A31" s="14" t="s">
        <v>87</v>
      </c>
      <c r="B31" s="14" t="s">
        <v>32</v>
      </c>
      <c r="C31" s="14"/>
      <c r="D31" s="14">
        <v>40.838999999999999</v>
      </c>
      <c r="E31" s="14"/>
      <c r="F31" s="14">
        <v>40.838999999999999</v>
      </c>
      <c r="G31" s="6">
        <v>1</v>
      </c>
      <c r="H31" s="14">
        <v>30</v>
      </c>
      <c r="I31" s="14" t="s">
        <v>33</v>
      </c>
      <c r="J31" s="14"/>
      <c r="K31" s="14">
        <v>1.3</v>
      </c>
      <c r="L31" s="14">
        <f t="shared" si="0"/>
        <v>-1.3</v>
      </c>
      <c r="M31" s="14"/>
      <c r="N31" s="14"/>
      <c r="O31" s="14"/>
      <c r="P31" s="14"/>
      <c r="Q31" s="14"/>
      <c r="R31" s="14">
        <v>20</v>
      </c>
      <c r="S31" s="14">
        <f t="shared" si="1"/>
        <v>0</v>
      </c>
      <c r="T31" s="4"/>
      <c r="U31" s="4">
        <f>T31</f>
        <v>0</v>
      </c>
      <c r="V31" s="14" t="e">
        <f t="shared" si="2"/>
        <v>#DIV/0!</v>
      </c>
      <c r="W31" s="14" t="e">
        <f t="shared" si="3"/>
        <v>#DIV/0!</v>
      </c>
      <c r="X31" s="14">
        <v>0</v>
      </c>
      <c r="Y31" s="14"/>
      <c r="Z31" s="14">
        <f t="shared" si="4"/>
        <v>0</v>
      </c>
      <c r="AA31" t="s">
        <v>88</v>
      </c>
    </row>
    <row r="32" spans="1:27" x14ac:dyDescent="0.25">
      <c r="A32" s="14" t="s">
        <v>89</v>
      </c>
      <c r="B32" s="14" t="s">
        <v>32</v>
      </c>
      <c r="C32" s="14"/>
      <c r="D32" s="14"/>
      <c r="E32" s="14">
        <v>-0.88200000000000001</v>
      </c>
      <c r="F32" s="14"/>
      <c r="G32" s="6">
        <v>1</v>
      </c>
      <c r="H32" s="14">
        <v>50</v>
      </c>
      <c r="I32" s="9" t="s">
        <v>50</v>
      </c>
      <c r="J32" s="14"/>
      <c r="K32" s="14">
        <v>3.3</v>
      </c>
      <c r="L32" s="14">
        <f t="shared" si="0"/>
        <v>-4.1819999999999995</v>
      </c>
      <c r="M32" s="14"/>
      <c r="N32" s="14"/>
      <c r="O32" s="14">
        <v>225</v>
      </c>
      <c r="P32" s="14"/>
      <c r="Q32" s="14"/>
      <c r="R32" s="14">
        <v>0</v>
      </c>
      <c r="S32" s="14">
        <f t="shared" si="1"/>
        <v>-0.1764</v>
      </c>
      <c r="T32" s="4">
        <v>10</v>
      </c>
      <c r="U32" s="4">
        <f>T32*1.2</f>
        <v>12</v>
      </c>
      <c r="V32" s="14">
        <f t="shared" si="2"/>
        <v>-1343.5374149659863</v>
      </c>
      <c r="W32" s="14">
        <f t="shared" si="3"/>
        <v>-1275.5102040816325</v>
      </c>
      <c r="X32" s="14">
        <v>0</v>
      </c>
      <c r="Y32" s="14" t="s">
        <v>69</v>
      </c>
      <c r="Z32" s="14">
        <f t="shared" si="4"/>
        <v>12</v>
      </c>
      <c r="AA32" t="s">
        <v>90</v>
      </c>
    </row>
    <row r="33" spans="1:27" x14ac:dyDescent="0.25">
      <c r="A33" s="14" t="s">
        <v>91</v>
      </c>
      <c r="B33" s="14" t="s">
        <v>32</v>
      </c>
      <c r="C33" s="14"/>
      <c r="D33" s="14"/>
      <c r="E33" s="14">
        <v>1.8260000000000001</v>
      </c>
      <c r="F33" s="14"/>
      <c r="G33" s="6">
        <v>1</v>
      </c>
      <c r="H33" s="14">
        <v>50</v>
      </c>
      <c r="I33" s="9" t="s">
        <v>50</v>
      </c>
      <c r="J33" s="14"/>
      <c r="K33" s="14">
        <v>7.7</v>
      </c>
      <c r="L33" s="14">
        <f t="shared" si="0"/>
        <v>-5.8740000000000006</v>
      </c>
      <c r="M33" s="14"/>
      <c r="N33" s="14"/>
      <c r="O33" s="14">
        <v>90</v>
      </c>
      <c r="P33" s="14"/>
      <c r="Q33" s="14"/>
      <c r="R33" s="14">
        <v>9.6470405530934649</v>
      </c>
      <c r="S33" s="14">
        <f t="shared" si="1"/>
        <v>0.36520000000000002</v>
      </c>
      <c r="T33" s="4"/>
      <c r="U33" s="4">
        <f>T33*1.2</f>
        <v>0</v>
      </c>
      <c r="V33" s="14">
        <f t="shared" si="2"/>
        <v>272.85608037539282</v>
      </c>
      <c r="W33" s="14">
        <f t="shared" si="3"/>
        <v>272.85608037539282</v>
      </c>
      <c r="X33" s="14">
        <v>0</v>
      </c>
      <c r="Y33" s="14"/>
      <c r="Z33" s="14">
        <f t="shared" si="4"/>
        <v>0</v>
      </c>
      <c r="AA33" t="s">
        <v>92</v>
      </c>
    </row>
    <row r="34" spans="1:27" x14ac:dyDescent="0.25">
      <c r="A34" s="14" t="s">
        <v>93</v>
      </c>
      <c r="B34" s="14" t="s">
        <v>40</v>
      </c>
      <c r="C34" s="14"/>
      <c r="D34" s="14">
        <v>379</v>
      </c>
      <c r="E34" s="14">
        <v>195</v>
      </c>
      <c r="F34" s="14">
        <v>123</v>
      </c>
      <c r="G34" s="6">
        <v>0.4</v>
      </c>
      <c r="H34" s="14">
        <v>45</v>
      </c>
      <c r="I34" s="9" t="s">
        <v>50</v>
      </c>
      <c r="J34" s="14"/>
      <c r="K34" s="14">
        <v>524</v>
      </c>
      <c r="L34" s="14">
        <f t="shared" si="0"/>
        <v>-329</v>
      </c>
      <c r="M34" s="14"/>
      <c r="N34" s="14"/>
      <c r="O34" s="14">
        <v>600</v>
      </c>
      <c r="P34" s="14"/>
      <c r="Q34" s="14"/>
      <c r="R34" s="14">
        <v>451.36414048059152</v>
      </c>
      <c r="S34" s="14">
        <f t="shared" si="1"/>
        <v>39</v>
      </c>
      <c r="T34" s="4">
        <v>50</v>
      </c>
      <c r="U34" s="4">
        <f>T34*1.2</f>
        <v>60</v>
      </c>
      <c r="V34" s="14">
        <f t="shared" si="2"/>
        <v>31.650362576425422</v>
      </c>
      <c r="W34" s="14">
        <f t="shared" si="3"/>
        <v>30.111901037963882</v>
      </c>
      <c r="X34" s="14">
        <v>0</v>
      </c>
      <c r="Y34" s="14"/>
      <c r="Z34" s="14">
        <f t="shared" si="4"/>
        <v>24</v>
      </c>
      <c r="AA34" t="s">
        <v>94</v>
      </c>
    </row>
    <row r="35" spans="1:27" x14ac:dyDescent="0.25">
      <c r="A35" s="14" t="s">
        <v>95</v>
      </c>
      <c r="B35" s="14" t="s">
        <v>40</v>
      </c>
      <c r="C35" s="14"/>
      <c r="D35" s="14">
        <v>676</v>
      </c>
      <c r="E35" s="14">
        <v>123</v>
      </c>
      <c r="F35" s="14">
        <v>550</v>
      </c>
      <c r="G35" s="6">
        <v>0.45</v>
      </c>
      <c r="H35" s="14">
        <v>50</v>
      </c>
      <c r="I35" s="14" t="s">
        <v>33</v>
      </c>
      <c r="J35" s="14"/>
      <c r="K35" s="14">
        <v>116</v>
      </c>
      <c r="L35" s="14">
        <f t="shared" si="0"/>
        <v>7</v>
      </c>
      <c r="M35" s="14"/>
      <c r="N35" s="14"/>
      <c r="O35" s="14"/>
      <c r="P35" s="14"/>
      <c r="Q35" s="14"/>
      <c r="R35" s="14">
        <v>0</v>
      </c>
      <c r="S35" s="14">
        <f t="shared" si="1"/>
        <v>24.6</v>
      </c>
      <c r="T35" s="4"/>
      <c r="U35" s="4">
        <f>T35</f>
        <v>0</v>
      </c>
      <c r="V35" s="14">
        <f t="shared" si="2"/>
        <v>22.35772357723577</v>
      </c>
      <c r="W35" s="14">
        <f t="shared" si="3"/>
        <v>22.35772357723577</v>
      </c>
      <c r="X35" s="14">
        <v>0</v>
      </c>
      <c r="Y35" s="14"/>
      <c r="Z35" s="14">
        <f t="shared" si="4"/>
        <v>0</v>
      </c>
      <c r="AA35" t="s">
        <v>96</v>
      </c>
    </row>
    <row r="36" spans="1:27" x14ac:dyDescent="0.25">
      <c r="A36" s="14" t="s">
        <v>97</v>
      </c>
      <c r="B36" s="14" t="s">
        <v>40</v>
      </c>
      <c r="C36" s="14"/>
      <c r="D36" s="14">
        <v>170</v>
      </c>
      <c r="E36" s="14">
        <v>165</v>
      </c>
      <c r="F36" s="14">
        <v>-1</v>
      </c>
      <c r="G36" s="6">
        <v>0.4</v>
      </c>
      <c r="H36" s="14">
        <v>45</v>
      </c>
      <c r="I36" s="9" t="s">
        <v>50</v>
      </c>
      <c r="J36" s="14"/>
      <c r="K36" s="14">
        <v>371</v>
      </c>
      <c r="L36" s="14">
        <f t="shared" si="0"/>
        <v>-206</v>
      </c>
      <c r="M36" s="14"/>
      <c r="N36" s="14"/>
      <c r="O36" s="14">
        <v>150</v>
      </c>
      <c r="P36" s="14"/>
      <c r="Q36" s="14"/>
      <c r="R36" s="14">
        <v>100</v>
      </c>
      <c r="S36" s="14">
        <f t="shared" si="1"/>
        <v>33</v>
      </c>
      <c r="T36" s="4">
        <v>150</v>
      </c>
      <c r="U36" s="4">
        <f>T36*1.2</f>
        <v>180</v>
      </c>
      <c r="V36" s="14">
        <f t="shared" si="2"/>
        <v>13</v>
      </c>
      <c r="W36" s="14">
        <f t="shared" si="3"/>
        <v>7.5454545454545459</v>
      </c>
      <c r="X36" s="14">
        <v>0</v>
      </c>
      <c r="Y36" s="14"/>
      <c r="Z36" s="14">
        <f t="shared" si="4"/>
        <v>72</v>
      </c>
      <c r="AA36" t="s">
        <v>98</v>
      </c>
    </row>
    <row r="37" spans="1:27" x14ac:dyDescent="0.25">
      <c r="A37" s="14" t="s">
        <v>99</v>
      </c>
      <c r="B37" s="14" t="s">
        <v>40</v>
      </c>
      <c r="C37" s="14"/>
      <c r="D37" s="14"/>
      <c r="E37" s="14"/>
      <c r="F37" s="14"/>
      <c r="G37" s="6">
        <v>0.4</v>
      </c>
      <c r="H37" s="14">
        <v>40</v>
      </c>
      <c r="I37" s="9" t="s">
        <v>50</v>
      </c>
      <c r="J37" s="14"/>
      <c r="K37" s="14">
        <v>126</v>
      </c>
      <c r="L37" s="14">
        <f t="shared" si="0"/>
        <v>-126</v>
      </c>
      <c r="M37" s="14"/>
      <c r="N37" s="14"/>
      <c r="O37" s="14">
        <v>150</v>
      </c>
      <c r="P37" s="14"/>
      <c r="Q37" s="14"/>
      <c r="R37" s="14">
        <v>24.418604651162791</v>
      </c>
      <c r="S37" s="14">
        <f t="shared" si="1"/>
        <v>0</v>
      </c>
      <c r="T37" s="4">
        <v>50</v>
      </c>
      <c r="U37" s="4">
        <f>T37*1.2</f>
        <v>60</v>
      </c>
      <c r="V37" s="14" t="e">
        <f t="shared" si="2"/>
        <v>#DIV/0!</v>
      </c>
      <c r="W37" s="14" t="e">
        <f t="shared" si="3"/>
        <v>#DIV/0!</v>
      </c>
      <c r="X37" s="14">
        <v>0</v>
      </c>
      <c r="Y37" s="14"/>
      <c r="Z37" s="14">
        <f t="shared" si="4"/>
        <v>24</v>
      </c>
      <c r="AA37" t="s">
        <v>100</v>
      </c>
    </row>
    <row r="38" spans="1:27" x14ac:dyDescent="0.25">
      <c r="A38" s="14" t="s">
        <v>101</v>
      </c>
      <c r="B38" s="14" t="s">
        <v>32</v>
      </c>
      <c r="C38" s="14"/>
      <c r="D38" s="14">
        <v>34.137999999999998</v>
      </c>
      <c r="E38" s="14">
        <v>4.3079999999999998</v>
      </c>
      <c r="F38" s="14">
        <v>34.137999999999998</v>
      </c>
      <c r="G38" s="6">
        <v>1</v>
      </c>
      <c r="H38" s="14">
        <v>45</v>
      </c>
      <c r="I38" s="9" t="s">
        <v>50</v>
      </c>
      <c r="J38" s="14"/>
      <c r="K38" s="14"/>
      <c r="L38" s="14">
        <f t="shared" ref="L38:L69" si="6">E38-K38</f>
        <v>4.3079999999999998</v>
      </c>
      <c r="M38" s="14"/>
      <c r="N38" s="14"/>
      <c r="O38" s="14">
        <v>14.50770000000001</v>
      </c>
      <c r="P38" s="14"/>
      <c r="Q38" s="14"/>
      <c r="R38" s="14">
        <v>2.4824768348877129</v>
      </c>
      <c r="S38" s="14">
        <f t="shared" ref="S38:S69" si="7">E38/5</f>
        <v>0.86159999999999992</v>
      </c>
      <c r="T38" s="4"/>
      <c r="U38" s="4">
        <f>T38*1.2</f>
        <v>0</v>
      </c>
      <c r="V38" s="14">
        <f t="shared" ref="V38:V69" si="8">(F38+O38+P38+Q38+R38+U38)/S38</f>
        <v>59.340966614307945</v>
      </c>
      <c r="W38" s="14">
        <f t="shared" ref="W38:W69" si="9">(F38+O38+P38+Q38+R38)/S38</f>
        <v>59.340966614307945</v>
      </c>
      <c r="X38" s="14">
        <v>0</v>
      </c>
      <c r="Y38" s="14" t="s">
        <v>69</v>
      </c>
      <c r="Z38" s="14">
        <f t="shared" ref="Z38:Z69" si="10">ROUND(G38*U38,0)</f>
        <v>0</v>
      </c>
      <c r="AA38" t="s">
        <v>102</v>
      </c>
    </row>
    <row r="39" spans="1:27" x14ac:dyDescent="0.25">
      <c r="A39" s="14" t="s">
        <v>103</v>
      </c>
      <c r="B39" s="14" t="s">
        <v>40</v>
      </c>
      <c r="C39" s="14"/>
      <c r="D39" s="14">
        <v>166</v>
      </c>
      <c r="E39" s="14">
        <v>33</v>
      </c>
      <c r="F39" s="14">
        <v>130</v>
      </c>
      <c r="G39" s="6">
        <v>0.1</v>
      </c>
      <c r="H39" s="14">
        <v>731</v>
      </c>
      <c r="I39" s="14" t="s">
        <v>33</v>
      </c>
      <c r="J39" s="14"/>
      <c r="K39" s="14">
        <v>34</v>
      </c>
      <c r="L39" s="14">
        <f t="shared" si="6"/>
        <v>-1</v>
      </c>
      <c r="M39" s="14"/>
      <c r="N39" s="14"/>
      <c r="O39" s="14">
        <v>200</v>
      </c>
      <c r="P39" s="14"/>
      <c r="Q39" s="14"/>
      <c r="R39" s="14">
        <v>61.323671497584563</v>
      </c>
      <c r="S39" s="14">
        <f t="shared" si="7"/>
        <v>6.6</v>
      </c>
      <c r="T39" s="4"/>
      <c r="U39" s="4">
        <f>T39</f>
        <v>0</v>
      </c>
      <c r="V39" s="14">
        <f t="shared" si="8"/>
        <v>59.291465378421904</v>
      </c>
      <c r="W39" s="14">
        <f t="shared" si="9"/>
        <v>59.291465378421904</v>
      </c>
      <c r="X39" s="14">
        <v>0</v>
      </c>
      <c r="Y39" s="14" t="s">
        <v>69</v>
      </c>
      <c r="Z39" s="14">
        <f t="shared" si="10"/>
        <v>0</v>
      </c>
      <c r="AA39" t="s">
        <v>104</v>
      </c>
    </row>
    <row r="40" spans="1:27" x14ac:dyDescent="0.25">
      <c r="A40" s="14" t="s">
        <v>105</v>
      </c>
      <c r="B40" s="14" t="s">
        <v>40</v>
      </c>
      <c r="C40" s="14"/>
      <c r="D40" s="14"/>
      <c r="E40" s="14">
        <v>1</v>
      </c>
      <c r="F40" s="14"/>
      <c r="G40" s="6">
        <v>0.35</v>
      </c>
      <c r="H40" s="14">
        <v>40</v>
      </c>
      <c r="I40" s="9" t="s">
        <v>50</v>
      </c>
      <c r="J40" s="14"/>
      <c r="K40" s="14">
        <v>2</v>
      </c>
      <c r="L40" s="14">
        <f t="shared" si="6"/>
        <v>-1</v>
      </c>
      <c r="M40" s="14"/>
      <c r="N40" s="14"/>
      <c r="O40" s="14">
        <v>130</v>
      </c>
      <c r="P40" s="14">
        <v>-132</v>
      </c>
      <c r="Q40" s="14"/>
      <c r="R40" s="14">
        <v>0</v>
      </c>
      <c r="S40" s="14">
        <f t="shared" si="7"/>
        <v>0.2</v>
      </c>
      <c r="T40" s="4">
        <v>4</v>
      </c>
      <c r="U40" s="4">
        <f>T40*1.2</f>
        <v>4.8</v>
      </c>
      <c r="V40" s="14">
        <f t="shared" si="8"/>
        <v>13.999999999999998</v>
      </c>
      <c r="W40" s="14">
        <f t="shared" si="9"/>
        <v>-10</v>
      </c>
      <c r="X40" s="14">
        <v>0</v>
      </c>
      <c r="Y40" s="14"/>
      <c r="Z40" s="14">
        <f t="shared" si="10"/>
        <v>2</v>
      </c>
      <c r="AA40" t="s">
        <v>106</v>
      </c>
    </row>
    <row r="41" spans="1:27" x14ac:dyDescent="0.25">
      <c r="A41" s="14" t="s">
        <v>107</v>
      </c>
      <c r="B41" s="14" t="s">
        <v>32</v>
      </c>
      <c r="C41" s="14"/>
      <c r="D41" s="14"/>
      <c r="E41" s="14"/>
      <c r="F41" s="14"/>
      <c r="G41" s="6">
        <v>1</v>
      </c>
      <c r="H41" s="14">
        <v>40</v>
      </c>
      <c r="I41" s="9" t="s">
        <v>50</v>
      </c>
      <c r="J41" s="14"/>
      <c r="K41" s="14">
        <v>34.6</v>
      </c>
      <c r="L41" s="14">
        <f t="shared" si="6"/>
        <v>-34.6</v>
      </c>
      <c r="M41" s="14"/>
      <c r="N41" s="14"/>
      <c r="O41" s="14">
        <v>50</v>
      </c>
      <c r="P41" s="14"/>
      <c r="Q41" s="14"/>
      <c r="R41" s="14">
        <v>15.599855395932231</v>
      </c>
      <c r="S41" s="14">
        <f t="shared" si="7"/>
        <v>0</v>
      </c>
      <c r="T41" s="4">
        <v>40</v>
      </c>
      <c r="U41" s="4">
        <f>T41*1.2</f>
        <v>48</v>
      </c>
      <c r="V41" s="14" t="e">
        <f t="shared" si="8"/>
        <v>#DIV/0!</v>
      </c>
      <c r="W41" s="14" t="e">
        <f t="shared" si="9"/>
        <v>#DIV/0!</v>
      </c>
      <c r="X41" s="14">
        <v>0</v>
      </c>
      <c r="Y41" s="14" t="s">
        <v>69</v>
      </c>
      <c r="Z41" s="14">
        <f t="shared" si="10"/>
        <v>48</v>
      </c>
      <c r="AA41" t="s">
        <v>108</v>
      </c>
    </row>
    <row r="42" spans="1:27" x14ac:dyDescent="0.25">
      <c r="A42" s="14" t="s">
        <v>109</v>
      </c>
      <c r="B42" s="14" t="s">
        <v>40</v>
      </c>
      <c r="C42" s="14"/>
      <c r="D42" s="14">
        <v>60</v>
      </c>
      <c r="E42" s="14">
        <v>56</v>
      </c>
      <c r="F42" s="14">
        <v>2</v>
      </c>
      <c r="G42" s="6">
        <v>0.4</v>
      </c>
      <c r="H42" s="14">
        <v>40</v>
      </c>
      <c r="I42" s="9" t="s">
        <v>50</v>
      </c>
      <c r="J42" s="14"/>
      <c r="K42" s="14">
        <v>199</v>
      </c>
      <c r="L42" s="14">
        <f t="shared" si="6"/>
        <v>-143</v>
      </c>
      <c r="M42" s="14"/>
      <c r="N42" s="14"/>
      <c r="O42" s="14"/>
      <c r="P42" s="14"/>
      <c r="Q42" s="14"/>
      <c r="R42" s="14">
        <v>84.703832752613238</v>
      </c>
      <c r="S42" s="14">
        <f t="shared" si="7"/>
        <v>11.2</v>
      </c>
      <c r="T42" s="4">
        <v>150</v>
      </c>
      <c r="U42" s="4">
        <f>T42*1.2</f>
        <v>180</v>
      </c>
      <c r="V42" s="14">
        <f t="shared" si="8"/>
        <v>23.812842210054757</v>
      </c>
      <c r="W42" s="14">
        <f t="shared" si="9"/>
        <v>7.7414136386261827</v>
      </c>
      <c r="X42" s="14">
        <v>0</v>
      </c>
      <c r="Y42" s="14"/>
      <c r="Z42" s="14">
        <f t="shared" si="10"/>
        <v>72</v>
      </c>
      <c r="AA42" t="s">
        <v>110</v>
      </c>
    </row>
    <row r="43" spans="1:27" x14ac:dyDescent="0.25">
      <c r="A43" s="14" t="s">
        <v>111</v>
      </c>
      <c r="B43" s="14" t="s">
        <v>40</v>
      </c>
      <c r="C43" s="14"/>
      <c r="D43" s="14">
        <v>80</v>
      </c>
      <c r="E43" s="14">
        <v>68</v>
      </c>
      <c r="F43" s="14">
        <v>2</v>
      </c>
      <c r="G43" s="6">
        <v>0.4</v>
      </c>
      <c r="H43" s="14">
        <v>45</v>
      </c>
      <c r="I43" s="14" t="s">
        <v>33</v>
      </c>
      <c r="J43" s="14"/>
      <c r="K43" s="14">
        <v>168</v>
      </c>
      <c r="L43" s="14">
        <f t="shared" si="6"/>
        <v>-100</v>
      </c>
      <c r="M43" s="14"/>
      <c r="N43" s="14"/>
      <c r="O43" s="14"/>
      <c r="P43" s="14"/>
      <c r="Q43" s="14"/>
      <c r="R43" s="14">
        <v>174.48979591836741</v>
      </c>
      <c r="S43" s="14">
        <f t="shared" si="7"/>
        <v>13.6</v>
      </c>
      <c r="T43" s="4">
        <v>30</v>
      </c>
      <c r="U43" s="4">
        <f>T43</f>
        <v>30</v>
      </c>
      <c r="V43" s="14">
        <f t="shared" si="8"/>
        <v>15.183073229291722</v>
      </c>
      <c r="W43" s="14">
        <f t="shared" si="9"/>
        <v>12.977190876350544</v>
      </c>
      <c r="X43" s="14">
        <v>0</v>
      </c>
      <c r="Y43" s="14"/>
      <c r="Z43" s="14">
        <f t="shared" si="10"/>
        <v>12</v>
      </c>
      <c r="AA43" t="s">
        <v>112</v>
      </c>
    </row>
    <row r="44" spans="1:27" x14ac:dyDescent="0.25">
      <c r="A44" s="14" t="s">
        <v>113</v>
      </c>
      <c r="B44" s="14" t="s">
        <v>32</v>
      </c>
      <c r="C44" s="14"/>
      <c r="D44" s="14"/>
      <c r="E44" s="14"/>
      <c r="F44" s="14"/>
      <c r="G44" s="6">
        <v>1</v>
      </c>
      <c r="H44" s="14">
        <v>40</v>
      </c>
      <c r="I44" s="9" t="s">
        <v>50</v>
      </c>
      <c r="J44" s="14"/>
      <c r="K44" s="14">
        <v>60.9</v>
      </c>
      <c r="L44" s="14">
        <f t="shared" si="6"/>
        <v>-60.9</v>
      </c>
      <c r="M44" s="14"/>
      <c r="N44" s="14"/>
      <c r="O44" s="14">
        <v>100</v>
      </c>
      <c r="P44" s="14"/>
      <c r="Q44" s="14"/>
      <c r="R44" s="14">
        <v>0</v>
      </c>
      <c r="S44" s="14">
        <f t="shared" si="7"/>
        <v>0</v>
      </c>
      <c r="T44" s="4">
        <v>50</v>
      </c>
      <c r="U44" s="4">
        <f>T44*1.2</f>
        <v>60</v>
      </c>
      <c r="V44" s="14" t="e">
        <f t="shared" si="8"/>
        <v>#DIV/0!</v>
      </c>
      <c r="W44" s="14" t="e">
        <f t="shared" si="9"/>
        <v>#DIV/0!</v>
      </c>
      <c r="X44" s="14">
        <v>0</v>
      </c>
      <c r="Y44" s="14" t="s">
        <v>69</v>
      </c>
      <c r="Z44" s="14">
        <f t="shared" si="10"/>
        <v>60</v>
      </c>
      <c r="AA44" t="s">
        <v>114</v>
      </c>
    </row>
    <row r="45" spans="1:27" x14ac:dyDescent="0.25">
      <c r="A45" s="14" t="s">
        <v>115</v>
      </c>
      <c r="B45" s="14" t="s">
        <v>40</v>
      </c>
      <c r="C45" s="14"/>
      <c r="D45" s="14"/>
      <c r="E45" s="14">
        <v>1</v>
      </c>
      <c r="F45" s="14"/>
      <c r="G45" s="6">
        <v>0.35</v>
      </c>
      <c r="H45" s="14">
        <v>40</v>
      </c>
      <c r="I45" s="9" t="s">
        <v>50</v>
      </c>
      <c r="J45" s="14"/>
      <c r="K45" s="14">
        <v>38</v>
      </c>
      <c r="L45" s="14">
        <f t="shared" si="6"/>
        <v>-37</v>
      </c>
      <c r="M45" s="14"/>
      <c r="N45" s="14"/>
      <c r="O45" s="14">
        <v>300</v>
      </c>
      <c r="P45" s="14"/>
      <c r="Q45" s="14"/>
      <c r="R45" s="14">
        <v>45.484949832775918</v>
      </c>
      <c r="S45" s="14">
        <f t="shared" si="7"/>
        <v>0.2</v>
      </c>
      <c r="T45" s="4"/>
      <c r="U45" s="4">
        <f>T45*1.2</f>
        <v>0</v>
      </c>
      <c r="V45" s="14">
        <f t="shared" si="8"/>
        <v>1727.4247491638794</v>
      </c>
      <c r="W45" s="14">
        <f t="shared" si="9"/>
        <v>1727.4247491638794</v>
      </c>
      <c r="X45" s="14">
        <v>0</v>
      </c>
      <c r="Y45" s="14"/>
      <c r="Z45" s="14">
        <f t="shared" si="10"/>
        <v>0</v>
      </c>
      <c r="AA45" t="s">
        <v>116</v>
      </c>
    </row>
    <row r="46" spans="1:27" x14ac:dyDescent="0.25">
      <c r="A46" s="14" t="s">
        <v>117</v>
      </c>
      <c r="B46" s="14" t="s">
        <v>40</v>
      </c>
      <c r="C46" s="14"/>
      <c r="D46" s="14">
        <v>494</v>
      </c>
      <c r="E46" s="14">
        <v>108</v>
      </c>
      <c r="F46" s="14">
        <v>346</v>
      </c>
      <c r="G46" s="6">
        <v>0.4</v>
      </c>
      <c r="H46" s="14">
        <v>40</v>
      </c>
      <c r="I46" s="9" t="s">
        <v>50</v>
      </c>
      <c r="J46" s="14"/>
      <c r="K46" s="14">
        <v>135</v>
      </c>
      <c r="L46" s="14">
        <f t="shared" si="6"/>
        <v>-27</v>
      </c>
      <c r="M46" s="14"/>
      <c r="N46" s="14"/>
      <c r="O46" s="14"/>
      <c r="P46" s="14"/>
      <c r="Q46" s="14"/>
      <c r="R46" s="14">
        <v>0</v>
      </c>
      <c r="S46" s="14">
        <f t="shared" si="7"/>
        <v>21.6</v>
      </c>
      <c r="T46" s="4"/>
      <c r="U46" s="4">
        <f>T46*1.2</f>
        <v>0</v>
      </c>
      <c r="V46" s="14">
        <f t="shared" si="8"/>
        <v>16.018518518518519</v>
      </c>
      <c r="W46" s="14">
        <f t="shared" si="9"/>
        <v>16.018518518518519</v>
      </c>
      <c r="X46" s="14">
        <v>0</v>
      </c>
      <c r="Y46" s="14"/>
      <c r="Z46" s="14">
        <f t="shared" si="10"/>
        <v>0</v>
      </c>
      <c r="AA46" t="s">
        <v>118</v>
      </c>
    </row>
    <row r="47" spans="1:27" x14ac:dyDescent="0.25">
      <c r="A47" s="14" t="s">
        <v>119</v>
      </c>
      <c r="B47" s="14" t="s">
        <v>32</v>
      </c>
      <c r="C47" s="14"/>
      <c r="D47" s="14">
        <v>32.228000000000002</v>
      </c>
      <c r="E47" s="14">
        <v>51.171999999999997</v>
      </c>
      <c r="F47" s="14">
        <v>-4.0789999999999997</v>
      </c>
      <c r="G47" s="6">
        <v>1</v>
      </c>
      <c r="H47" s="14">
        <v>50</v>
      </c>
      <c r="I47" s="14" t="s">
        <v>33</v>
      </c>
      <c r="J47" s="14"/>
      <c r="K47" s="14">
        <v>50</v>
      </c>
      <c r="L47" s="14">
        <f t="shared" si="6"/>
        <v>1.171999999999997</v>
      </c>
      <c r="M47" s="14"/>
      <c r="N47" s="14"/>
      <c r="O47" s="14"/>
      <c r="P47" s="14"/>
      <c r="Q47" s="14"/>
      <c r="R47" s="14">
        <v>21.273088969871559</v>
      </c>
      <c r="S47" s="14">
        <f t="shared" si="7"/>
        <v>10.234399999999999</v>
      </c>
      <c r="T47" s="4">
        <f>12*S47-R47-F47</f>
        <v>105.61871103012841</v>
      </c>
      <c r="U47" s="4">
        <f>T47+S47*$U$1</f>
        <v>126.08751103012841</v>
      </c>
      <c r="V47" s="14">
        <f t="shared" si="8"/>
        <v>13.999999999999998</v>
      </c>
      <c r="W47" s="14">
        <f t="shared" si="9"/>
        <v>1.6800290168325998</v>
      </c>
      <c r="X47" s="14">
        <v>0</v>
      </c>
      <c r="Y47" s="14"/>
      <c r="Z47" s="14">
        <f t="shared" si="10"/>
        <v>126</v>
      </c>
      <c r="AA47" t="s">
        <v>120</v>
      </c>
    </row>
    <row r="48" spans="1:27" x14ac:dyDescent="0.25">
      <c r="A48" s="14" t="s">
        <v>121</v>
      </c>
      <c r="B48" s="14" t="s">
        <v>32</v>
      </c>
      <c r="C48" s="14"/>
      <c r="D48" s="14">
        <v>31.942</v>
      </c>
      <c r="E48" s="14">
        <v>18.678000000000001</v>
      </c>
      <c r="F48" s="14">
        <v>-0.08</v>
      </c>
      <c r="G48" s="6">
        <v>1</v>
      </c>
      <c r="H48" s="14">
        <v>50</v>
      </c>
      <c r="I48" s="14" t="s">
        <v>33</v>
      </c>
      <c r="J48" s="14"/>
      <c r="K48" s="14">
        <v>46.1</v>
      </c>
      <c r="L48" s="14">
        <f t="shared" si="6"/>
        <v>-27.422000000000001</v>
      </c>
      <c r="M48" s="14"/>
      <c r="N48" s="14"/>
      <c r="O48" s="14">
        <v>119.06156</v>
      </c>
      <c r="P48" s="14"/>
      <c r="Q48" s="14"/>
      <c r="R48" s="14">
        <v>0</v>
      </c>
      <c r="S48" s="14">
        <f t="shared" si="7"/>
        <v>3.7356000000000003</v>
      </c>
      <c r="T48" s="4"/>
      <c r="U48" s="4">
        <f>T48</f>
        <v>0</v>
      </c>
      <c r="V48" s="14">
        <f t="shared" si="8"/>
        <v>31.850722775457758</v>
      </c>
      <c r="W48" s="14">
        <f t="shared" si="9"/>
        <v>31.850722775457758</v>
      </c>
      <c r="X48" s="14">
        <v>0</v>
      </c>
      <c r="Y48" s="14" t="s">
        <v>69</v>
      </c>
      <c r="Z48" s="14">
        <f t="shared" si="10"/>
        <v>0</v>
      </c>
      <c r="AA48" t="s">
        <v>122</v>
      </c>
    </row>
    <row r="49" spans="1:27" x14ac:dyDescent="0.25">
      <c r="A49" s="14" t="s">
        <v>123</v>
      </c>
      <c r="B49" s="14" t="s">
        <v>32</v>
      </c>
      <c r="C49" s="14"/>
      <c r="D49" s="14"/>
      <c r="E49" s="14"/>
      <c r="F49" s="14"/>
      <c r="G49" s="6">
        <v>1</v>
      </c>
      <c r="H49" s="14">
        <v>45</v>
      </c>
      <c r="I49" s="9" t="s">
        <v>50</v>
      </c>
      <c r="J49" s="14"/>
      <c r="K49" s="14"/>
      <c r="L49" s="14">
        <f t="shared" si="6"/>
        <v>0</v>
      </c>
      <c r="M49" s="14"/>
      <c r="N49" s="14"/>
      <c r="O49" s="14">
        <v>150</v>
      </c>
      <c r="P49" s="14"/>
      <c r="Q49" s="14"/>
      <c r="R49" s="14">
        <v>0</v>
      </c>
      <c r="S49" s="14">
        <f t="shared" si="7"/>
        <v>0</v>
      </c>
      <c r="T49" s="4"/>
      <c r="U49" s="4">
        <f>T49*1.2</f>
        <v>0</v>
      </c>
      <c r="V49" s="14" t="e">
        <f t="shared" si="8"/>
        <v>#DIV/0!</v>
      </c>
      <c r="W49" s="14" t="e">
        <f t="shared" si="9"/>
        <v>#DIV/0!</v>
      </c>
      <c r="X49" s="14">
        <v>0</v>
      </c>
      <c r="Y49" s="14"/>
      <c r="Z49" s="14">
        <f t="shared" si="10"/>
        <v>0</v>
      </c>
      <c r="AA49" t="s">
        <v>124</v>
      </c>
    </row>
    <row r="50" spans="1:27" x14ac:dyDescent="0.25">
      <c r="A50" s="14" t="s">
        <v>125</v>
      </c>
      <c r="B50" s="14" t="s">
        <v>40</v>
      </c>
      <c r="C50" s="14"/>
      <c r="D50" s="14">
        <v>220</v>
      </c>
      <c r="E50" s="14">
        <v>48</v>
      </c>
      <c r="F50" s="14">
        <v>161</v>
      </c>
      <c r="G50" s="6">
        <v>0.45</v>
      </c>
      <c r="H50" s="14">
        <v>50</v>
      </c>
      <c r="I50" s="14" t="s">
        <v>33</v>
      </c>
      <c r="J50" s="14"/>
      <c r="K50" s="14">
        <v>53</v>
      </c>
      <c r="L50" s="14">
        <f t="shared" si="6"/>
        <v>-5</v>
      </c>
      <c r="M50" s="14"/>
      <c r="N50" s="14"/>
      <c r="O50" s="14">
        <v>100</v>
      </c>
      <c r="P50" s="14"/>
      <c r="Q50" s="14"/>
      <c r="R50" s="14">
        <v>0</v>
      </c>
      <c r="S50" s="14">
        <f t="shared" si="7"/>
        <v>9.6</v>
      </c>
      <c r="T50" s="4"/>
      <c r="U50" s="4">
        <f>T50</f>
        <v>0</v>
      </c>
      <c r="V50" s="14">
        <f t="shared" si="8"/>
        <v>27.1875</v>
      </c>
      <c r="W50" s="14">
        <f t="shared" si="9"/>
        <v>27.1875</v>
      </c>
      <c r="X50" s="14">
        <v>0</v>
      </c>
      <c r="Y50" s="14"/>
      <c r="Z50" s="14">
        <f t="shared" si="10"/>
        <v>0</v>
      </c>
      <c r="AA50" t="s">
        <v>126</v>
      </c>
    </row>
    <row r="51" spans="1:27" x14ac:dyDescent="0.25">
      <c r="A51" s="14" t="s">
        <v>127</v>
      </c>
      <c r="B51" s="14" t="s">
        <v>40</v>
      </c>
      <c r="C51" s="14"/>
      <c r="D51" s="14">
        <v>320</v>
      </c>
      <c r="E51" s="14">
        <v>106</v>
      </c>
      <c r="F51" s="14">
        <v>232</v>
      </c>
      <c r="G51" s="6">
        <v>0.45</v>
      </c>
      <c r="H51" s="14">
        <v>50</v>
      </c>
      <c r="I51" s="14" t="s">
        <v>33</v>
      </c>
      <c r="J51" s="14"/>
      <c r="K51" s="14">
        <v>80</v>
      </c>
      <c r="L51" s="14">
        <f t="shared" si="6"/>
        <v>26</v>
      </c>
      <c r="M51" s="14"/>
      <c r="N51" s="14"/>
      <c r="O51" s="14"/>
      <c r="P51" s="14"/>
      <c r="Q51" s="14"/>
      <c r="R51" s="14">
        <v>76.688372093023276</v>
      </c>
      <c r="S51" s="14">
        <f t="shared" si="7"/>
        <v>21.2</v>
      </c>
      <c r="T51" s="4"/>
      <c r="U51" s="4">
        <f>T51</f>
        <v>0</v>
      </c>
      <c r="V51" s="14">
        <f t="shared" si="8"/>
        <v>14.560772268538836</v>
      </c>
      <c r="W51" s="14">
        <f t="shared" si="9"/>
        <v>14.560772268538836</v>
      </c>
      <c r="X51" s="14">
        <v>0</v>
      </c>
      <c r="Y51" s="14"/>
      <c r="Z51" s="14">
        <f t="shared" si="10"/>
        <v>0</v>
      </c>
      <c r="AA51" t="s">
        <v>128</v>
      </c>
    </row>
    <row r="52" spans="1:27" x14ac:dyDescent="0.25">
      <c r="A52" s="14" t="s">
        <v>129</v>
      </c>
      <c r="B52" s="14" t="s">
        <v>40</v>
      </c>
      <c r="C52" s="14"/>
      <c r="D52" s="14"/>
      <c r="E52" s="14"/>
      <c r="F52" s="14"/>
      <c r="G52" s="6">
        <v>0.4</v>
      </c>
      <c r="H52" s="14">
        <v>40</v>
      </c>
      <c r="I52" s="9" t="s">
        <v>50</v>
      </c>
      <c r="J52" s="14"/>
      <c r="K52" s="14">
        <v>4</v>
      </c>
      <c r="L52" s="14">
        <f t="shared" si="6"/>
        <v>-4</v>
      </c>
      <c r="M52" s="14"/>
      <c r="N52" s="14"/>
      <c r="O52" s="14">
        <v>45</v>
      </c>
      <c r="P52" s="14">
        <v>-47.999999999999993</v>
      </c>
      <c r="Q52" s="14"/>
      <c r="R52" s="14">
        <v>4.7719298245614032</v>
      </c>
      <c r="S52" s="14">
        <f t="shared" si="7"/>
        <v>0</v>
      </c>
      <c r="T52" s="4">
        <v>8</v>
      </c>
      <c r="U52" s="4">
        <f>T52*1.2</f>
        <v>9.6</v>
      </c>
      <c r="V52" s="14" t="e">
        <f t="shared" si="8"/>
        <v>#DIV/0!</v>
      </c>
      <c r="W52" s="14" t="e">
        <f t="shared" si="9"/>
        <v>#DIV/0!</v>
      </c>
      <c r="X52" s="14">
        <v>0</v>
      </c>
      <c r="Y52" s="14"/>
      <c r="Z52" s="14">
        <f t="shared" si="10"/>
        <v>4</v>
      </c>
      <c r="AA52" t="s">
        <v>130</v>
      </c>
    </row>
    <row r="53" spans="1:27" x14ac:dyDescent="0.25">
      <c r="A53" s="14" t="s">
        <v>131</v>
      </c>
      <c r="B53" s="14" t="s">
        <v>40</v>
      </c>
      <c r="C53" s="14"/>
      <c r="D53" s="14"/>
      <c r="E53" s="14"/>
      <c r="F53" s="14"/>
      <c r="G53" s="6">
        <v>0.4</v>
      </c>
      <c r="H53" s="14">
        <v>40</v>
      </c>
      <c r="I53" s="9" t="s">
        <v>50</v>
      </c>
      <c r="J53" s="14"/>
      <c r="K53" s="14">
        <v>11</v>
      </c>
      <c r="L53" s="14">
        <f t="shared" si="6"/>
        <v>-11</v>
      </c>
      <c r="M53" s="14"/>
      <c r="N53" s="14"/>
      <c r="O53" s="14"/>
      <c r="P53" s="14"/>
      <c r="Q53" s="14"/>
      <c r="R53" s="14">
        <v>13</v>
      </c>
      <c r="S53" s="14">
        <f t="shared" si="7"/>
        <v>0</v>
      </c>
      <c r="T53" s="4">
        <v>8</v>
      </c>
      <c r="U53" s="4">
        <f>T53*1.2</f>
        <v>9.6</v>
      </c>
      <c r="V53" s="14" t="e">
        <f t="shared" si="8"/>
        <v>#DIV/0!</v>
      </c>
      <c r="W53" s="14" t="e">
        <f t="shared" si="9"/>
        <v>#DIV/0!</v>
      </c>
      <c r="X53" s="14">
        <v>0</v>
      </c>
      <c r="Y53" s="14"/>
      <c r="Z53" s="14">
        <f t="shared" si="10"/>
        <v>4</v>
      </c>
      <c r="AA53" t="s">
        <v>132</v>
      </c>
    </row>
    <row r="54" spans="1:27" x14ac:dyDescent="0.25">
      <c r="A54" s="14" t="s">
        <v>133</v>
      </c>
      <c r="B54" s="14" t="s">
        <v>32</v>
      </c>
      <c r="C54" s="14"/>
      <c r="D54" s="14">
        <v>32.389000000000003</v>
      </c>
      <c r="E54" s="14">
        <v>35.084000000000003</v>
      </c>
      <c r="F54" s="14">
        <v>4.0590000000000002</v>
      </c>
      <c r="G54" s="6">
        <v>1</v>
      </c>
      <c r="H54" s="14">
        <v>50</v>
      </c>
      <c r="I54" s="14" t="s">
        <v>33</v>
      </c>
      <c r="J54" s="14"/>
      <c r="K54" s="14">
        <v>50.7</v>
      </c>
      <c r="L54" s="14">
        <f t="shared" si="6"/>
        <v>-15.616</v>
      </c>
      <c r="M54" s="14"/>
      <c r="N54" s="14"/>
      <c r="O54" s="14">
        <v>150</v>
      </c>
      <c r="P54" s="14"/>
      <c r="Q54" s="14"/>
      <c r="R54" s="14">
        <v>0</v>
      </c>
      <c r="S54" s="14">
        <f t="shared" si="7"/>
        <v>7.0168000000000008</v>
      </c>
      <c r="T54" s="4"/>
      <c r="U54" s="4">
        <f t="shared" ref="U54:U59" si="11">T54</f>
        <v>0</v>
      </c>
      <c r="V54" s="14">
        <f t="shared" si="8"/>
        <v>21.955734807889634</v>
      </c>
      <c r="W54" s="14">
        <f t="shared" si="9"/>
        <v>21.955734807889634</v>
      </c>
      <c r="X54" s="14">
        <v>0</v>
      </c>
      <c r="Y54" s="14" t="s">
        <v>69</v>
      </c>
      <c r="Z54" s="14">
        <f t="shared" si="10"/>
        <v>0</v>
      </c>
      <c r="AA54" t="s">
        <v>134</v>
      </c>
    </row>
    <row r="55" spans="1:27" x14ac:dyDescent="0.25">
      <c r="A55" s="14" t="s">
        <v>135</v>
      </c>
      <c r="B55" s="14" t="s">
        <v>40</v>
      </c>
      <c r="C55" s="14"/>
      <c r="D55" s="14">
        <v>206</v>
      </c>
      <c r="E55" s="13">
        <f>16+E127</f>
        <v>29</v>
      </c>
      <c r="F55" s="13">
        <f>179+F127</f>
        <v>165</v>
      </c>
      <c r="G55" s="6">
        <v>0.1</v>
      </c>
      <c r="H55" s="14">
        <v>731</v>
      </c>
      <c r="I55" s="14" t="s">
        <v>33</v>
      </c>
      <c r="J55" s="14"/>
      <c r="K55" s="14">
        <v>25</v>
      </c>
      <c r="L55" s="14">
        <f t="shared" si="6"/>
        <v>4</v>
      </c>
      <c r="M55" s="14"/>
      <c r="N55" s="14"/>
      <c r="O55" s="14"/>
      <c r="P55" s="14"/>
      <c r="Q55" s="14"/>
      <c r="R55" s="14">
        <v>51.074947368421057</v>
      </c>
      <c r="S55" s="14">
        <f t="shared" si="7"/>
        <v>5.8</v>
      </c>
      <c r="T55" s="4"/>
      <c r="U55" s="4">
        <f t="shared" si="11"/>
        <v>0</v>
      </c>
      <c r="V55" s="14">
        <f t="shared" si="8"/>
        <v>37.254301270417422</v>
      </c>
      <c r="W55" s="14">
        <f t="shared" si="9"/>
        <v>37.254301270417422</v>
      </c>
      <c r="X55" s="14">
        <v>0</v>
      </c>
      <c r="Y55" s="14" t="s">
        <v>69</v>
      </c>
      <c r="Z55" s="14">
        <f t="shared" si="10"/>
        <v>0</v>
      </c>
      <c r="AA55" t="s">
        <v>136</v>
      </c>
    </row>
    <row r="56" spans="1:27" x14ac:dyDescent="0.25">
      <c r="A56" s="14" t="s">
        <v>137</v>
      </c>
      <c r="B56" s="14" t="s">
        <v>32</v>
      </c>
      <c r="C56" s="14"/>
      <c r="D56" s="14">
        <v>42.781999999999996</v>
      </c>
      <c r="E56" s="14">
        <v>64.305000000000007</v>
      </c>
      <c r="F56" s="14">
        <v>-3.9390000000000001</v>
      </c>
      <c r="G56" s="6">
        <v>1</v>
      </c>
      <c r="H56" s="14">
        <v>50</v>
      </c>
      <c r="I56" s="14" t="s">
        <v>33</v>
      </c>
      <c r="J56" s="14"/>
      <c r="K56" s="14">
        <v>78.7</v>
      </c>
      <c r="L56" s="14">
        <f t="shared" si="6"/>
        <v>-14.394999999999996</v>
      </c>
      <c r="M56" s="14"/>
      <c r="N56" s="14"/>
      <c r="O56" s="14">
        <v>142.58860000000001</v>
      </c>
      <c r="P56" s="14"/>
      <c r="Q56" s="14"/>
      <c r="R56" s="14">
        <v>93.94464965612103</v>
      </c>
      <c r="S56" s="14">
        <f t="shared" si="7"/>
        <v>12.861000000000001</v>
      </c>
      <c r="T56" s="4"/>
      <c r="U56" s="4">
        <f t="shared" si="11"/>
        <v>0</v>
      </c>
      <c r="V56" s="14">
        <f t="shared" si="8"/>
        <v>18.085238290655553</v>
      </c>
      <c r="W56" s="14">
        <f t="shared" si="9"/>
        <v>18.085238290655553</v>
      </c>
      <c r="X56" s="14">
        <v>0</v>
      </c>
      <c r="Y56" s="14" t="s">
        <v>69</v>
      </c>
      <c r="Z56" s="14">
        <f t="shared" si="10"/>
        <v>0</v>
      </c>
      <c r="AA56" t="s">
        <v>138</v>
      </c>
    </row>
    <row r="57" spans="1:27" x14ac:dyDescent="0.25">
      <c r="A57" s="14" t="s">
        <v>139</v>
      </c>
      <c r="B57" s="14" t="s">
        <v>32</v>
      </c>
      <c r="C57" s="14"/>
      <c r="D57" s="14"/>
      <c r="E57" s="14">
        <v>2.7170000000000001</v>
      </c>
      <c r="F57" s="14"/>
      <c r="G57" s="6">
        <v>1</v>
      </c>
      <c r="H57" s="14">
        <v>55</v>
      </c>
      <c r="I57" s="14" t="s">
        <v>33</v>
      </c>
      <c r="J57" s="14"/>
      <c r="K57" s="14">
        <v>11.7</v>
      </c>
      <c r="L57" s="14">
        <f t="shared" si="6"/>
        <v>-8.9829999999999988</v>
      </c>
      <c r="M57" s="14"/>
      <c r="N57" s="14"/>
      <c r="O57" s="14"/>
      <c r="P57" s="14"/>
      <c r="Q57" s="14"/>
      <c r="R57" s="14">
        <v>15.006689053055741</v>
      </c>
      <c r="S57" s="14">
        <f t="shared" si="7"/>
        <v>0.54339999999999999</v>
      </c>
      <c r="T57" s="4">
        <v>4</v>
      </c>
      <c r="U57" s="4">
        <f t="shared" si="11"/>
        <v>4</v>
      </c>
      <c r="V57" s="14">
        <f t="shared" si="8"/>
        <v>34.977344595244276</v>
      </c>
      <c r="W57" s="14">
        <f t="shared" si="9"/>
        <v>27.61628460260534</v>
      </c>
      <c r="X57" s="14">
        <v>0</v>
      </c>
      <c r="Y57" s="14"/>
      <c r="Z57" s="14">
        <f t="shared" si="10"/>
        <v>4</v>
      </c>
      <c r="AA57" t="s">
        <v>140</v>
      </c>
    </row>
    <row r="58" spans="1:27" x14ac:dyDescent="0.25">
      <c r="A58" s="14" t="s">
        <v>141</v>
      </c>
      <c r="B58" s="14" t="s">
        <v>40</v>
      </c>
      <c r="C58" s="14"/>
      <c r="D58" s="14">
        <v>248</v>
      </c>
      <c r="E58" s="14">
        <v>16</v>
      </c>
      <c r="F58" s="14">
        <v>219</v>
      </c>
      <c r="G58" s="6">
        <v>0.1</v>
      </c>
      <c r="H58" s="14">
        <v>731</v>
      </c>
      <c r="I58" s="14" t="s">
        <v>33</v>
      </c>
      <c r="J58" s="14"/>
      <c r="K58" s="14">
        <v>27</v>
      </c>
      <c r="L58" s="14">
        <f t="shared" si="6"/>
        <v>-11</v>
      </c>
      <c r="M58" s="14"/>
      <c r="N58" s="14"/>
      <c r="O58" s="14"/>
      <c r="P58" s="14"/>
      <c r="Q58" s="14"/>
      <c r="R58" s="14">
        <v>13.332023575638511</v>
      </c>
      <c r="S58" s="14">
        <f t="shared" si="7"/>
        <v>3.2</v>
      </c>
      <c r="T58" s="4"/>
      <c r="U58" s="4">
        <f t="shared" si="11"/>
        <v>0</v>
      </c>
      <c r="V58" s="14">
        <f t="shared" si="8"/>
        <v>72.603757367387033</v>
      </c>
      <c r="W58" s="14">
        <f t="shared" si="9"/>
        <v>72.603757367387033</v>
      </c>
      <c r="X58" s="14">
        <v>0</v>
      </c>
      <c r="Y58" s="14" t="s">
        <v>69</v>
      </c>
      <c r="Z58" s="14">
        <f t="shared" si="10"/>
        <v>0</v>
      </c>
      <c r="AA58" t="s">
        <v>142</v>
      </c>
    </row>
    <row r="59" spans="1:27" x14ac:dyDescent="0.25">
      <c r="A59" s="14" t="s">
        <v>143</v>
      </c>
      <c r="B59" s="14" t="s">
        <v>40</v>
      </c>
      <c r="C59" s="14"/>
      <c r="D59" s="14"/>
      <c r="E59" s="14"/>
      <c r="F59" s="14"/>
      <c r="G59" s="6">
        <v>0.4</v>
      </c>
      <c r="H59" s="14">
        <v>50</v>
      </c>
      <c r="I59" s="14" t="s">
        <v>33</v>
      </c>
      <c r="J59" s="14"/>
      <c r="K59" s="14">
        <v>4</v>
      </c>
      <c r="L59" s="14">
        <f t="shared" si="6"/>
        <v>-4</v>
      </c>
      <c r="M59" s="14"/>
      <c r="N59" s="14"/>
      <c r="O59" s="14">
        <v>17.2</v>
      </c>
      <c r="P59" s="14"/>
      <c r="Q59" s="14"/>
      <c r="R59" s="14">
        <v>0</v>
      </c>
      <c r="S59" s="14">
        <f t="shared" si="7"/>
        <v>0</v>
      </c>
      <c r="T59" s="4"/>
      <c r="U59" s="4">
        <f t="shared" si="11"/>
        <v>0</v>
      </c>
      <c r="V59" s="14" t="e">
        <f t="shared" si="8"/>
        <v>#DIV/0!</v>
      </c>
      <c r="W59" s="14" t="e">
        <f t="shared" si="9"/>
        <v>#DIV/0!</v>
      </c>
      <c r="X59" s="14">
        <v>0</v>
      </c>
      <c r="Y59" s="14"/>
      <c r="Z59" s="14">
        <f t="shared" si="10"/>
        <v>0</v>
      </c>
      <c r="AA59" t="s">
        <v>144</v>
      </c>
    </row>
    <row r="60" spans="1:27" x14ac:dyDescent="0.25">
      <c r="A60" s="14" t="s">
        <v>145</v>
      </c>
      <c r="B60" s="14" t="s">
        <v>32</v>
      </c>
      <c r="C60" s="14"/>
      <c r="D60" s="14">
        <v>39.963999999999999</v>
      </c>
      <c r="E60" s="14">
        <v>39.951999999999998</v>
      </c>
      <c r="F60" s="14">
        <v>1.2E-2</v>
      </c>
      <c r="G60" s="6">
        <v>1</v>
      </c>
      <c r="H60" s="14">
        <v>40</v>
      </c>
      <c r="I60" s="9" t="s">
        <v>50</v>
      </c>
      <c r="J60" s="14"/>
      <c r="K60" s="14">
        <v>50</v>
      </c>
      <c r="L60" s="14">
        <f t="shared" si="6"/>
        <v>-10.048000000000002</v>
      </c>
      <c r="M60" s="14"/>
      <c r="N60" s="14"/>
      <c r="O60" s="14"/>
      <c r="P60" s="14"/>
      <c r="Q60" s="14"/>
      <c r="R60" s="14">
        <v>19.025626359039741</v>
      </c>
      <c r="S60" s="14">
        <f t="shared" si="7"/>
        <v>7.9903999999999993</v>
      </c>
      <c r="T60" s="4">
        <v>40</v>
      </c>
      <c r="U60" s="4">
        <f>T60*1.2</f>
        <v>48</v>
      </c>
      <c r="V60" s="14">
        <f t="shared" si="8"/>
        <v>8.3897710201040923</v>
      </c>
      <c r="W60" s="14">
        <f t="shared" si="9"/>
        <v>2.3825623697236362</v>
      </c>
      <c r="X60" s="14">
        <v>0</v>
      </c>
      <c r="Y60" s="14"/>
      <c r="Z60" s="14">
        <f t="shared" si="10"/>
        <v>48</v>
      </c>
      <c r="AA60" t="s">
        <v>146</v>
      </c>
    </row>
    <row r="61" spans="1:27" x14ac:dyDescent="0.25">
      <c r="A61" s="14" t="s">
        <v>147</v>
      </c>
      <c r="B61" s="14" t="s">
        <v>32</v>
      </c>
      <c r="C61" s="14"/>
      <c r="D61" s="14"/>
      <c r="E61" s="14">
        <v>1.3220000000000001</v>
      </c>
      <c r="F61" s="14"/>
      <c r="G61" s="6">
        <v>1</v>
      </c>
      <c r="H61" s="14">
        <v>40</v>
      </c>
      <c r="I61" s="9" t="s">
        <v>50</v>
      </c>
      <c r="J61" s="14"/>
      <c r="K61" s="14"/>
      <c r="L61" s="14">
        <f t="shared" si="6"/>
        <v>1.3220000000000001</v>
      </c>
      <c r="M61" s="14"/>
      <c r="N61" s="14"/>
      <c r="O61" s="14">
        <v>150</v>
      </c>
      <c r="P61" s="14">
        <v>-153.9</v>
      </c>
      <c r="Q61" s="14"/>
      <c r="R61" s="14">
        <v>12.270811380400421</v>
      </c>
      <c r="S61" s="14">
        <f t="shared" si="7"/>
        <v>0.26440000000000002</v>
      </c>
      <c r="T61" s="4">
        <v>4</v>
      </c>
      <c r="U61" s="4">
        <f>T61*1.2</f>
        <v>4.8</v>
      </c>
      <c r="V61" s="14">
        <f t="shared" si="8"/>
        <v>49.813961347959207</v>
      </c>
      <c r="W61" s="14">
        <f t="shared" si="9"/>
        <v>31.659649698942566</v>
      </c>
      <c r="X61" s="14">
        <v>0</v>
      </c>
      <c r="Y61" s="14"/>
      <c r="Z61" s="14">
        <f t="shared" si="10"/>
        <v>5</v>
      </c>
      <c r="AA61" t="s">
        <v>148</v>
      </c>
    </row>
    <row r="62" spans="1:27" x14ac:dyDescent="0.25">
      <c r="A62" s="14" t="s">
        <v>149</v>
      </c>
      <c r="B62" s="14" t="s">
        <v>40</v>
      </c>
      <c r="C62" s="14"/>
      <c r="D62" s="14">
        <v>84</v>
      </c>
      <c r="E62" s="14">
        <v>79</v>
      </c>
      <c r="F62" s="14">
        <v>6</v>
      </c>
      <c r="G62" s="6">
        <v>0.4</v>
      </c>
      <c r="H62" s="14">
        <v>40</v>
      </c>
      <c r="I62" s="9" t="s">
        <v>50</v>
      </c>
      <c r="J62" s="14"/>
      <c r="K62" s="14">
        <v>178</v>
      </c>
      <c r="L62" s="14">
        <f t="shared" si="6"/>
        <v>-99</v>
      </c>
      <c r="M62" s="14"/>
      <c r="N62" s="14"/>
      <c r="O62" s="14">
        <v>450</v>
      </c>
      <c r="P62" s="14"/>
      <c r="Q62" s="14"/>
      <c r="R62" s="14">
        <v>35.735080058224163</v>
      </c>
      <c r="S62" s="14">
        <f t="shared" si="7"/>
        <v>15.8</v>
      </c>
      <c r="T62" s="4"/>
      <c r="U62" s="4">
        <f>T62*1.2</f>
        <v>0</v>
      </c>
      <c r="V62" s="14">
        <f t="shared" si="8"/>
        <v>31.122473421406593</v>
      </c>
      <c r="W62" s="14">
        <f t="shared" si="9"/>
        <v>31.122473421406593</v>
      </c>
      <c r="X62" s="14">
        <v>0</v>
      </c>
      <c r="Y62" s="14"/>
      <c r="Z62" s="14">
        <f t="shared" si="10"/>
        <v>0</v>
      </c>
      <c r="AA62" t="s">
        <v>150</v>
      </c>
    </row>
    <row r="63" spans="1:27" x14ac:dyDescent="0.25">
      <c r="A63" s="14" t="s">
        <v>151</v>
      </c>
      <c r="B63" s="14" t="s">
        <v>40</v>
      </c>
      <c r="C63" s="14"/>
      <c r="D63" s="14"/>
      <c r="E63" s="14"/>
      <c r="F63" s="14"/>
      <c r="G63" s="6">
        <v>0.4</v>
      </c>
      <c r="H63" s="14">
        <v>40</v>
      </c>
      <c r="I63" s="14" t="s">
        <v>33</v>
      </c>
      <c r="J63" s="14"/>
      <c r="K63" s="14">
        <v>137</v>
      </c>
      <c r="L63" s="14">
        <f t="shared" si="6"/>
        <v>-137</v>
      </c>
      <c r="M63" s="14"/>
      <c r="N63" s="14"/>
      <c r="O63" s="14"/>
      <c r="P63" s="14"/>
      <c r="Q63" s="14"/>
      <c r="R63" s="14">
        <v>59.617321248741192</v>
      </c>
      <c r="S63" s="14">
        <f t="shared" si="7"/>
        <v>0</v>
      </c>
      <c r="T63" s="4">
        <v>40</v>
      </c>
      <c r="U63" s="4">
        <f>T63</f>
        <v>40</v>
      </c>
      <c r="V63" s="14" t="e">
        <f t="shared" si="8"/>
        <v>#DIV/0!</v>
      </c>
      <c r="W63" s="14" t="e">
        <f t="shared" si="9"/>
        <v>#DIV/0!</v>
      </c>
      <c r="X63" s="14">
        <v>0</v>
      </c>
      <c r="Y63" s="14"/>
      <c r="Z63" s="14">
        <f t="shared" si="10"/>
        <v>16</v>
      </c>
      <c r="AA63" t="s">
        <v>152</v>
      </c>
    </row>
    <row r="64" spans="1:27" x14ac:dyDescent="0.25">
      <c r="A64" s="14" t="s">
        <v>153</v>
      </c>
      <c r="B64" s="14" t="s">
        <v>32</v>
      </c>
      <c r="C64" s="14"/>
      <c r="D64" s="14">
        <v>38.326000000000001</v>
      </c>
      <c r="E64" s="14">
        <v>26.306000000000001</v>
      </c>
      <c r="F64" s="14">
        <v>6.5410000000000004</v>
      </c>
      <c r="G64" s="6">
        <v>1</v>
      </c>
      <c r="H64" s="14">
        <v>40</v>
      </c>
      <c r="I64" s="9" t="s">
        <v>50</v>
      </c>
      <c r="J64" s="14"/>
      <c r="K64" s="14">
        <v>39.9</v>
      </c>
      <c r="L64" s="14">
        <f t="shared" si="6"/>
        <v>-13.593999999999998</v>
      </c>
      <c r="M64" s="14"/>
      <c r="N64" s="14"/>
      <c r="O64" s="14">
        <v>75</v>
      </c>
      <c r="P64" s="14"/>
      <c r="Q64" s="14"/>
      <c r="R64" s="14">
        <v>18.27250411257809</v>
      </c>
      <c r="S64" s="14">
        <f t="shared" si="7"/>
        <v>5.2612000000000005</v>
      </c>
      <c r="T64" s="4">
        <v>10</v>
      </c>
      <c r="U64" s="4">
        <f>T64*1.2</f>
        <v>12</v>
      </c>
      <c r="V64" s="14">
        <f t="shared" si="8"/>
        <v>21.252471700862554</v>
      </c>
      <c r="W64" s="14">
        <f t="shared" si="9"/>
        <v>18.971623225229621</v>
      </c>
      <c r="X64" s="14">
        <v>0</v>
      </c>
      <c r="Y64" s="14"/>
      <c r="Z64" s="14">
        <f t="shared" si="10"/>
        <v>12</v>
      </c>
      <c r="AA64" t="s">
        <v>154</v>
      </c>
    </row>
    <row r="65" spans="1:27" x14ac:dyDescent="0.25">
      <c r="A65" s="14" t="s">
        <v>155</v>
      </c>
      <c r="B65" s="14" t="s">
        <v>32</v>
      </c>
      <c r="C65" s="14"/>
      <c r="D65" s="14"/>
      <c r="E65" s="14"/>
      <c r="F65" s="14"/>
      <c r="G65" s="6">
        <v>1</v>
      </c>
      <c r="H65" s="14">
        <v>40</v>
      </c>
      <c r="I65" s="9" t="s">
        <v>50</v>
      </c>
      <c r="J65" s="14"/>
      <c r="K65" s="14">
        <v>1.6</v>
      </c>
      <c r="L65" s="14">
        <f t="shared" si="6"/>
        <v>-1.6</v>
      </c>
      <c r="M65" s="14"/>
      <c r="N65" s="14"/>
      <c r="O65" s="14">
        <v>100</v>
      </c>
      <c r="P65" s="14"/>
      <c r="Q65" s="14"/>
      <c r="R65" s="14">
        <v>19.493231364275669</v>
      </c>
      <c r="S65" s="14">
        <f t="shared" si="7"/>
        <v>0</v>
      </c>
      <c r="T65" s="4"/>
      <c r="U65" s="4">
        <f>T65*1.2</f>
        <v>0</v>
      </c>
      <c r="V65" s="14" t="e">
        <f t="shared" si="8"/>
        <v>#DIV/0!</v>
      </c>
      <c r="W65" s="14" t="e">
        <f t="shared" si="9"/>
        <v>#DIV/0!</v>
      </c>
      <c r="X65" s="14">
        <v>0</v>
      </c>
      <c r="Y65" s="14"/>
      <c r="Z65" s="14">
        <f t="shared" si="10"/>
        <v>0</v>
      </c>
      <c r="AA65" t="s">
        <v>156</v>
      </c>
    </row>
    <row r="66" spans="1:27" x14ac:dyDescent="0.25">
      <c r="A66" s="14" t="s">
        <v>157</v>
      </c>
      <c r="B66" s="14" t="s">
        <v>32</v>
      </c>
      <c r="C66" s="14"/>
      <c r="D66" s="14">
        <v>143.631</v>
      </c>
      <c r="E66" s="14">
        <v>119.164</v>
      </c>
      <c r="F66" s="14">
        <v>6.2809999999999997</v>
      </c>
      <c r="G66" s="6">
        <v>1</v>
      </c>
      <c r="H66" s="14">
        <v>40</v>
      </c>
      <c r="I66" s="9" t="s">
        <v>50</v>
      </c>
      <c r="J66" s="14"/>
      <c r="K66" s="14">
        <v>139.5</v>
      </c>
      <c r="L66" s="14">
        <f t="shared" si="6"/>
        <v>-20.335999999999999</v>
      </c>
      <c r="M66" s="14"/>
      <c r="N66" s="14"/>
      <c r="O66" s="14"/>
      <c r="P66" s="14"/>
      <c r="Q66" s="14"/>
      <c r="R66" s="14">
        <v>64.557483857380348</v>
      </c>
      <c r="S66" s="14">
        <f t="shared" si="7"/>
        <v>23.832799999999999</v>
      </c>
      <c r="T66" s="4">
        <v>150</v>
      </c>
      <c r="U66" s="4">
        <f>T66*1.2</f>
        <v>180</v>
      </c>
      <c r="V66" s="14">
        <f t="shared" si="8"/>
        <v>10.524927153224983</v>
      </c>
      <c r="W66" s="14">
        <f t="shared" si="9"/>
        <v>2.9723105911760412</v>
      </c>
      <c r="X66" s="14">
        <v>0</v>
      </c>
      <c r="Y66" s="14"/>
      <c r="Z66" s="14">
        <f t="shared" si="10"/>
        <v>180</v>
      </c>
      <c r="AA66" t="s">
        <v>158</v>
      </c>
    </row>
    <row r="67" spans="1:27" x14ac:dyDescent="0.25">
      <c r="A67" s="14" t="s">
        <v>159</v>
      </c>
      <c r="B67" s="14" t="s">
        <v>32</v>
      </c>
      <c r="C67" s="14"/>
      <c r="D67" s="14"/>
      <c r="E67" s="14"/>
      <c r="F67" s="14"/>
      <c r="G67" s="6">
        <v>1</v>
      </c>
      <c r="H67" s="14">
        <v>40</v>
      </c>
      <c r="I67" s="9" t="s">
        <v>50</v>
      </c>
      <c r="J67" s="14"/>
      <c r="K67" s="14"/>
      <c r="L67" s="14">
        <f t="shared" si="6"/>
        <v>0</v>
      </c>
      <c r="M67" s="14"/>
      <c r="N67" s="14"/>
      <c r="O67" s="14">
        <v>100</v>
      </c>
      <c r="P67" s="14"/>
      <c r="Q67" s="14"/>
      <c r="R67" s="14">
        <v>41.768911473925193</v>
      </c>
      <c r="S67" s="14">
        <f t="shared" si="7"/>
        <v>0</v>
      </c>
      <c r="T67" s="4"/>
      <c r="U67" s="4">
        <f>T67*1.2</f>
        <v>0</v>
      </c>
      <c r="V67" s="14" t="e">
        <f t="shared" si="8"/>
        <v>#DIV/0!</v>
      </c>
      <c r="W67" s="14" t="e">
        <f t="shared" si="9"/>
        <v>#DIV/0!</v>
      </c>
      <c r="X67" s="14">
        <v>0</v>
      </c>
      <c r="Y67" s="14"/>
      <c r="Z67" s="14">
        <f t="shared" si="10"/>
        <v>0</v>
      </c>
      <c r="AA67" t="s">
        <v>160</v>
      </c>
    </row>
    <row r="68" spans="1:27" x14ac:dyDescent="0.25">
      <c r="A68" s="10" t="s">
        <v>161</v>
      </c>
      <c r="B68" s="10" t="s">
        <v>40</v>
      </c>
      <c r="C68" s="10"/>
      <c r="D68" s="10"/>
      <c r="E68" s="10"/>
      <c r="F68" s="10"/>
      <c r="G68" s="11">
        <v>0</v>
      </c>
      <c r="H68" s="10"/>
      <c r="I68" s="10" t="s">
        <v>33</v>
      </c>
      <c r="J68" s="10"/>
      <c r="K68" s="10"/>
      <c r="L68" s="10">
        <f t="shared" si="6"/>
        <v>0</v>
      </c>
      <c r="M68" s="10"/>
      <c r="N68" s="10"/>
      <c r="O68" s="10"/>
      <c r="P68" s="10"/>
      <c r="Q68" s="10"/>
      <c r="R68" s="10"/>
      <c r="S68" s="10">
        <f t="shared" si="7"/>
        <v>0</v>
      </c>
      <c r="T68" s="12"/>
      <c r="U68" s="4">
        <f>T68</f>
        <v>0</v>
      </c>
      <c r="V68" s="14" t="e">
        <f t="shared" si="8"/>
        <v>#DIV/0!</v>
      </c>
      <c r="W68" s="10" t="e">
        <f t="shared" si="9"/>
        <v>#DIV/0!</v>
      </c>
      <c r="X68" s="10">
        <v>0</v>
      </c>
      <c r="Y68" s="10" t="s">
        <v>41</v>
      </c>
      <c r="Z68" s="14">
        <f t="shared" si="10"/>
        <v>0</v>
      </c>
      <c r="AA68" t="s">
        <v>162</v>
      </c>
    </row>
    <row r="69" spans="1:27" x14ac:dyDescent="0.25">
      <c r="A69" s="14" t="s">
        <v>163</v>
      </c>
      <c r="B69" s="14" t="s">
        <v>32</v>
      </c>
      <c r="C69" s="14"/>
      <c r="D69" s="14">
        <v>23.431999999999999</v>
      </c>
      <c r="E69" s="14">
        <v>22.872</v>
      </c>
      <c r="F69" s="14">
        <v>0.02</v>
      </c>
      <c r="G69" s="6">
        <v>1</v>
      </c>
      <c r="H69" s="14">
        <v>30</v>
      </c>
      <c r="I69" s="9" t="s">
        <v>50</v>
      </c>
      <c r="J69" s="14"/>
      <c r="K69" s="14">
        <v>40.700000000000003</v>
      </c>
      <c r="L69" s="14">
        <f t="shared" si="6"/>
        <v>-17.828000000000003</v>
      </c>
      <c r="M69" s="14"/>
      <c r="N69" s="14"/>
      <c r="O69" s="14"/>
      <c r="P69" s="14"/>
      <c r="Q69" s="14"/>
      <c r="R69" s="14">
        <v>6.9587635964735233</v>
      </c>
      <c r="S69" s="14">
        <f t="shared" si="7"/>
        <v>4.5743999999999998</v>
      </c>
      <c r="T69" s="4">
        <v>40</v>
      </c>
      <c r="U69" s="4">
        <f>T69*1.2</f>
        <v>48</v>
      </c>
      <c r="V69" s="14">
        <f t="shared" si="8"/>
        <v>12.018792321719465</v>
      </c>
      <c r="W69" s="14">
        <f t="shared" si="9"/>
        <v>1.5256128883511548</v>
      </c>
      <c r="X69" s="14">
        <v>0</v>
      </c>
      <c r="Y69" s="14"/>
      <c r="Z69" s="14">
        <f t="shared" si="10"/>
        <v>48</v>
      </c>
      <c r="AA69" t="s">
        <v>164</v>
      </c>
    </row>
    <row r="70" spans="1:27" x14ac:dyDescent="0.25">
      <c r="A70" s="14" t="s">
        <v>165</v>
      </c>
      <c r="B70" s="14" t="s">
        <v>40</v>
      </c>
      <c r="C70" s="14"/>
      <c r="D70" s="14">
        <v>204</v>
      </c>
      <c r="E70" s="14">
        <v>35</v>
      </c>
      <c r="F70" s="14">
        <v>179</v>
      </c>
      <c r="G70" s="6">
        <v>0.6</v>
      </c>
      <c r="H70" s="14">
        <v>60</v>
      </c>
      <c r="I70" s="14" t="s">
        <v>33</v>
      </c>
      <c r="J70" s="14"/>
      <c r="K70" s="14">
        <v>18</v>
      </c>
      <c r="L70" s="14">
        <f t="shared" ref="L70:L101" si="12">E70-K70</f>
        <v>17</v>
      </c>
      <c r="M70" s="14"/>
      <c r="N70" s="14"/>
      <c r="O70" s="14"/>
      <c r="P70" s="14"/>
      <c r="Q70" s="14"/>
      <c r="R70" s="14">
        <v>148.90212765957449</v>
      </c>
      <c r="S70" s="14">
        <f t="shared" ref="S70:S101" si="13">E70/5</f>
        <v>7</v>
      </c>
      <c r="T70" s="4"/>
      <c r="U70" s="4">
        <f>T70</f>
        <v>0</v>
      </c>
      <c r="V70" s="14">
        <f t="shared" ref="V70:V101" si="14">(F70+O70+P70+Q70+R70+U70)/S70</f>
        <v>46.843161094224925</v>
      </c>
      <c r="W70" s="14">
        <f t="shared" ref="W70:W101" si="15">(F70+O70+P70+Q70+R70)/S70</f>
        <v>46.843161094224925</v>
      </c>
      <c r="X70" s="14">
        <v>0</v>
      </c>
      <c r="Y70" s="14"/>
      <c r="Z70" s="14">
        <f t="shared" ref="Z70:Z101" si="16">ROUND(G70*U70,0)</f>
        <v>0</v>
      </c>
      <c r="AA70" t="s">
        <v>166</v>
      </c>
    </row>
    <row r="71" spans="1:27" x14ac:dyDescent="0.25">
      <c r="A71" s="14" t="s">
        <v>167</v>
      </c>
      <c r="B71" s="14" t="s">
        <v>40</v>
      </c>
      <c r="C71" s="14"/>
      <c r="D71" s="14">
        <v>148</v>
      </c>
      <c r="E71" s="14">
        <v>53</v>
      </c>
      <c r="F71" s="14">
        <v>105</v>
      </c>
      <c r="G71" s="6">
        <v>0.6</v>
      </c>
      <c r="H71" s="14">
        <v>60</v>
      </c>
      <c r="I71" s="14" t="s">
        <v>33</v>
      </c>
      <c r="J71" s="14"/>
      <c r="K71" s="14">
        <v>36</v>
      </c>
      <c r="L71" s="14">
        <f t="shared" si="12"/>
        <v>17</v>
      </c>
      <c r="M71" s="14"/>
      <c r="N71" s="14"/>
      <c r="O71" s="14"/>
      <c r="P71" s="14"/>
      <c r="Q71" s="14"/>
      <c r="R71" s="14">
        <v>175.2630136986302</v>
      </c>
      <c r="S71" s="14">
        <f t="shared" si="13"/>
        <v>10.6</v>
      </c>
      <c r="T71" s="4"/>
      <c r="U71" s="4">
        <f>T71</f>
        <v>0</v>
      </c>
      <c r="V71" s="14">
        <f t="shared" si="14"/>
        <v>26.439906952700962</v>
      </c>
      <c r="W71" s="14">
        <f t="shared" si="15"/>
        <v>26.439906952700962</v>
      </c>
      <c r="X71" s="14">
        <v>0</v>
      </c>
      <c r="Y71" s="14"/>
      <c r="Z71" s="14">
        <f t="shared" si="16"/>
        <v>0</v>
      </c>
      <c r="AA71" t="s">
        <v>168</v>
      </c>
    </row>
    <row r="72" spans="1:27" x14ac:dyDescent="0.25">
      <c r="A72" s="14" t="s">
        <v>169</v>
      </c>
      <c r="B72" s="14" t="s">
        <v>40</v>
      </c>
      <c r="C72" s="14"/>
      <c r="D72" s="14">
        <v>16</v>
      </c>
      <c r="E72" s="14">
        <v>27</v>
      </c>
      <c r="F72" s="14"/>
      <c r="G72" s="6">
        <v>0.4</v>
      </c>
      <c r="H72" s="14">
        <v>90</v>
      </c>
      <c r="I72" s="9" t="s">
        <v>50</v>
      </c>
      <c r="J72" s="14"/>
      <c r="K72" s="14">
        <v>37</v>
      </c>
      <c r="L72" s="14">
        <f t="shared" si="12"/>
        <v>-10</v>
      </c>
      <c r="M72" s="14"/>
      <c r="N72" s="14"/>
      <c r="O72" s="14">
        <v>144</v>
      </c>
      <c r="P72" s="14"/>
      <c r="Q72" s="14"/>
      <c r="R72" s="14">
        <v>19.781818181818181</v>
      </c>
      <c r="S72" s="14">
        <f t="shared" si="13"/>
        <v>5.4</v>
      </c>
      <c r="T72" s="4"/>
      <c r="U72" s="4">
        <f>T72*1.2</f>
        <v>0</v>
      </c>
      <c r="V72" s="14">
        <f t="shared" si="14"/>
        <v>30.329966329966329</v>
      </c>
      <c r="W72" s="14">
        <f t="shared" si="15"/>
        <v>30.329966329966329</v>
      </c>
      <c r="X72" s="14">
        <v>0</v>
      </c>
      <c r="Y72" s="14"/>
      <c r="Z72" s="14">
        <f t="shared" si="16"/>
        <v>0</v>
      </c>
      <c r="AA72" t="s">
        <v>170</v>
      </c>
    </row>
    <row r="73" spans="1:27" x14ac:dyDescent="0.25">
      <c r="A73" s="14" t="s">
        <v>171</v>
      </c>
      <c r="B73" s="14" t="s">
        <v>40</v>
      </c>
      <c r="C73" s="14"/>
      <c r="D73" s="14">
        <v>48</v>
      </c>
      <c r="E73" s="14">
        <v>36</v>
      </c>
      <c r="F73" s="14">
        <v>-3</v>
      </c>
      <c r="G73" s="6">
        <v>0.33</v>
      </c>
      <c r="H73" s="14">
        <v>60</v>
      </c>
      <c r="I73" s="9" t="s">
        <v>50</v>
      </c>
      <c r="J73" s="14"/>
      <c r="K73" s="14">
        <v>64</v>
      </c>
      <c r="L73" s="14">
        <f t="shared" si="12"/>
        <v>-28</v>
      </c>
      <c r="M73" s="14"/>
      <c r="N73" s="14"/>
      <c r="O73" s="14">
        <v>184</v>
      </c>
      <c r="P73" s="14"/>
      <c r="Q73" s="14"/>
      <c r="R73" s="14">
        <v>34.416326530612253</v>
      </c>
      <c r="S73" s="14">
        <f t="shared" si="13"/>
        <v>7.2</v>
      </c>
      <c r="T73" s="4"/>
      <c r="U73" s="4">
        <f>T73*1.2</f>
        <v>0</v>
      </c>
      <c r="V73" s="14">
        <f t="shared" si="14"/>
        <v>29.918934240362812</v>
      </c>
      <c r="W73" s="14">
        <f t="shared" si="15"/>
        <v>29.918934240362812</v>
      </c>
      <c r="X73" s="14">
        <v>0</v>
      </c>
      <c r="Y73" s="14"/>
      <c r="Z73" s="14">
        <f t="shared" si="16"/>
        <v>0</v>
      </c>
      <c r="AA73" t="s">
        <v>172</v>
      </c>
    </row>
    <row r="74" spans="1:27" x14ac:dyDescent="0.25">
      <c r="A74" s="14" t="s">
        <v>173</v>
      </c>
      <c r="B74" s="14" t="s">
        <v>40</v>
      </c>
      <c r="C74" s="14"/>
      <c r="D74" s="14">
        <v>24</v>
      </c>
      <c r="E74" s="14">
        <v>29</v>
      </c>
      <c r="F74" s="14"/>
      <c r="G74" s="6">
        <v>0.35</v>
      </c>
      <c r="H74" s="14">
        <v>90</v>
      </c>
      <c r="I74" s="9" t="s">
        <v>50</v>
      </c>
      <c r="J74" s="14"/>
      <c r="K74" s="14">
        <v>51</v>
      </c>
      <c r="L74" s="14">
        <f t="shared" si="12"/>
        <v>-22</v>
      </c>
      <c r="M74" s="14"/>
      <c r="N74" s="14"/>
      <c r="O74" s="14">
        <v>224</v>
      </c>
      <c r="P74" s="14"/>
      <c r="Q74" s="14"/>
      <c r="R74" s="14">
        <v>40.832535885167466</v>
      </c>
      <c r="S74" s="14">
        <f t="shared" si="13"/>
        <v>5.8</v>
      </c>
      <c r="T74" s="4"/>
      <c r="U74" s="4">
        <f>T74*1.2</f>
        <v>0</v>
      </c>
      <c r="V74" s="14">
        <f t="shared" si="14"/>
        <v>45.660782049166812</v>
      </c>
      <c r="W74" s="14">
        <f t="shared" si="15"/>
        <v>45.660782049166812</v>
      </c>
      <c r="X74" s="14">
        <v>0</v>
      </c>
      <c r="Y74" s="14"/>
      <c r="Z74" s="14">
        <f t="shared" si="16"/>
        <v>0</v>
      </c>
      <c r="AA74" t="s">
        <v>174</v>
      </c>
    </row>
    <row r="75" spans="1:27" x14ac:dyDescent="0.25">
      <c r="A75" s="14" t="s">
        <v>175</v>
      </c>
      <c r="B75" s="14" t="s">
        <v>40</v>
      </c>
      <c r="C75" s="14"/>
      <c r="D75" s="14"/>
      <c r="E75" s="14"/>
      <c r="F75" s="14"/>
      <c r="G75" s="6">
        <v>0.37</v>
      </c>
      <c r="H75" s="14"/>
      <c r="I75" s="14" t="s">
        <v>33</v>
      </c>
      <c r="J75" s="14"/>
      <c r="K75" s="14">
        <v>4</v>
      </c>
      <c r="L75" s="14">
        <f t="shared" si="12"/>
        <v>-4</v>
      </c>
      <c r="M75" s="14"/>
      <c r="N75" s="14"/>
      <c r="O75" s="14">
        <v>20.399999999999999</v>
      </c>
      <c r="P75" s="14"/>
      <c r="Q75" s="14"/>
      <c r="R75" s="14">
        <v>0</v>
      </c>
      <c r="S75" s="14">
        <f t="shared" si="13"/>
        <v>0</v>
      </c>
      <c r="T75" s="4"/>
      <c r="U75" s="4">
        <f>T75</f>
        <v>0</v>
      </c>
      <c r="V75" s="14" t="e">
        <f t="shared" si="14"/>
        <v>#DIV/0!</v>
      </c>
      <c r="W75" s="14" t="e">
        <f t="shared" si="15"/>
        <v>#DIV/0!</v>
      </c>
      <c r="X75" s="14">
        <v>0</v>
      </c>
      <c r="Y75" s="14"/>
      <c r="Z75" s="14">
        <f t="shared" si="16"/>
        <v>0</v>
      </c>
      <c r="AA75" t="s">
        <v>176</v>
      </c>
    </row>
    <row r="76" spans="1:27" x14ac:dyDescent="0.25">
      <c r="A76" s="14" t="s">
        <v>177</v>
      </c>
      <c r="B76" s="14" t="s">
        <v>40</v>
      </c>
      <c r="C76" s="14"/>
      <c r="D76" s="14">
        <v>139.19999999999999</v>
      </c>
      <c r="E76" s="14">
        <v>38</v>
      </c>
      <c r="F76" s="14">
        <v>109.2</v>
      </c>
      <c r="G76" s="6">
        <v>0.6</v>
      </c>
      <c r="H76" s="14">
        <v>70</v>
      </c>
      <c r="I76" s="14" t="s">
        <v>33</v>
      </c>
      <c r="J76" s="14"/>
      <c r="K76" s="14">
        <v>21</v>
      </c>
      <c r="L76" s="14">
        <f t="shared" si="12"/>
        <v>17</v>
      </c>
      <c r="M76" s="14"/>
      <c r="N76" s="14"/>
      <c r="O76" s="14"/>
      <c r="P76" s="14"/>
      <c r="Q76" s="14"/>
      <c r="R76" s="14">
        <v>151.29803921568629</v>
      </c>
      <c r="S76" s="14">
        <f t="shared" si="13"/>
        <v>7.6</v>
      </c>
      <c r="T76" s="4"/>
      <c r="U76" s="4">
        <f>T76</f>
        <v>0</v>
      </c>
      <c r="V76" s="14">
        <f t="shared" si="14"/>
        <v>34.276057791537667</v>
      </c>
      <c r="W76" s="14">
        <f t="shared" si="15"/>
        <v>34.276057791537667</v>
      </c>
      <c r="X76" s="14">
        <v>0</v>
      </c>
      <c r="Y76" s="14"/>
      <c r="Z76" s="14">
        <f t="shared" si="16"/>
        <v>0</v>
      </c>
      <c r="AA76" t="s">
        <v>178</v>
      </c>
    </row>
    <row r="77" spans="1:27" x14ac:dyDescent="0.25">
      <c r="A77" s="14" t="s">
        <v>179</v>
      </c>
      <c r="B77" s="14" t="s">
        <v>40</v>
      </c>
      <c r="C77" s="14"/>
      <c r="D77" s="14"/>
      <c r="E77" s="14">
        <v>-3</v>
      </c>
      <c r="F77" s="14"/>
      <c r="G77" s="6">
        <v>0.33</v>
      </c>
      <c r="H77" s="14">
        <v>40</v>
      </c>
      <c r="I77" s="14" t="s">
        <v>33</v>
      </c>
      <c r="J77" s="14"/>
      <c r="K77" s="14">
        <v>24</v>
      </c>
      <c r="L77" s="14">
        <f t="shared" si="12"/>
        <v>-27</v>
      </c>
      <c r="M77" s="14"/>
      <c r="N77" s="14"/>
      <c r="O77" s="14">
        <v>24.800000000000011</v>
      </c>
      <c r="P77" s="14"/>
      <c r="Q77" s="14"/>
      <c r="R77" s="14">
        <v>10.21834061135371</v>
      </c>
      <c r="S77" s="14">
        <f t="shared" si="13"/>
        <v>-0.6</v>
      </c>
      <c r="T77" s="4">
        <v>10</v>
      </c>
      <c r="U77" s="4">
        <f>T77</f>
        <v>10</v>
      </c>
      <c r="V77" s="14">
        <f t="shared" si="14"/>
        <v>-75.030567685589546</v>
      </c>
      <c r="W77" s="14">
        <f t="shared" si="15"/>
        <v>-58.363901018922874</v>
      </c>
      <c r="X77" s="14">
        <v>0</v>
      </c>
      <c r="Y77" s="14"/>
      <c r="Z77" s="14">
        <f t="shared" si="16"/>
        <v>3</v>
      </c>
      <c r="AA77" t="s">
        <v>180</v>
      </c>
    </row>
    <row r="78" spans="1:27" x14ac:dyDescent="0.25">
      <c r="A78" s="14" t="s">
        <v>181</v>
      </c>
      <c r="B78" s="14" t="s">
        <v>40</v>
      </c>
      <c r="C78" s="14"/>
      <c r="D78" s="14">
        <v>24</v>
      </c>
      <c r="E78" s="14">
        <v>3</v>
      </c>
      <c r="F78" s="14">
        <v>21</v>
      </c>
      <c r="G78" s="6">
        <v>0.4</v>
      </c>
      <c r="H78" s="14">
        <v>55</v>
      </c>
      <c r="I78" s="14" t="s">
        <v>33</v>
      </c>
      <c r="J78" s="14"/>
      <c r="K78" s="14">
        <v>1</v>
      </c>
      <c r="L78" s="14">
        <f t="shared" si="12"/>
        <v>2</v>
      </c>
      <c r="M78" s="14"/>
      <c r="N78" s="14"/>
      <c r="O78" s="14">
        <v>29.599999999999991</v>
      </c>
      <c r="P78" s="14"/>
      <c r="Q78" s="14"/>
      <c r="R78" s="14">
        <v>0</v>
      </c>
      <c r="S78" s="14">
        <f t="shared" si="13"/>
        <v>0.6</v>
      </c>
      <c r="T78" s="4"/>
      <c r="U78" s="4">
        <f>T78</f>
        <v>0</v>
      </c>
      <c r="V78" s="14">
        <f t="shared" si="14"/>
        <v>84.333333333333329</v>
      </c>
      <c r="W78" s="14">
        <f t="shared" si="15"/>
        <v>84.333333333333329</v>
      </c>
      <c r="X78" s="14">
        <v>0</v>
      </c>
      <c r="Y78" s="14"/>
      <c r="Z78" s="14">
        <f t="shared" si="16"/>
        <v>0</v>
      </c>
      <c r="AA78" t="s">
        <v>182</v>
      </c>
    </row>
    <row r="79" spans="1:27" x14ac:dyDescent="0.25">
      <c r="A79" s="14" t="s">
        <v>183</v>
      </c>
      <c r="B79" s="14" t="s">
        <v>40</v>
      </c>
      <c r="C79" s="14"/>
      <c r="D79" s="14"/>
      <c r="E79" s="14">
        <v>2</v>
      </c>
      <c r="F79" s="14">
        <v>-2</v>
      </c>
      <c r="G79" s="6">
        <v>0.35</v>
      </c>
      <c r="H79" s="14">
        <v>40</v>
      </c>
      <c r="I79" s="9" t="s">
        <v>50</v>
      </c>
      <c r="J79" s="14"/>
      <c r="K79" s="14">
        <v>6</v>
      </c>
      <c r="L79" s="14">
        <f t="shared" si="12"/>
        <v>-4</v>
      </c>
      <c r="M79" s="14"/>
      <c r="N79" s="14"/>
      <c r="O79" s="14">
        <v>30</v>
      </c>
      <c r="P79" s="14"/>
      <c r="Q79" s="14"/>
      <c r="R79" s="14">
        <v>0</v>
      </c>
      <c r="S79" s="14">
        <f t="shared" si="13"/>
        <v>0.4</v>
      </c>
      <c r="T79" s="4"/>
      <c r="U79" s="4">
        <f>T79*1.2</f>
        <v>0</v>
      </c>
      <c r="V79" s="14">
        <f t="shared" si="14"/>
        <v>70</v>
      </c>
      <c r="W79" s="14">
        <f t="shared" si="15"/>
        <v>70</v>
      </c>
      <c r="X79" s="14">
        <v>0</v>
      </c>
      <c r="Y79" s="14"/>
      <c r="Z79" s="14">
        <f t="shared" si="16"/>
        <v>0</v>
      </c>
      <c r="AA79" t="s">
        <v>184</v>
      </c>
    </row>
    <row r="80" spans="1:27" x14ac:dyDescent="0.25">
      <c r="A80" s="14" t="s">
        <v>185</v>
      </c>
      <c r="B80" s="14" t="s">
        <v>40</v>
      </c>
      <c r="C80" s="14"/>
      <c r="D80" s="14"/>
      <c r="E80" s="14">
        <v>-2</v>
      </c>
      <c r="F80" s="14"/>
      <c r="G80" s="6">
        <v>0.35</v>
      </c>
      <c r="H80" s="14">
        <v>45</v>
      </c>
      <c r="I80" s="9" t="s">
        <v>50</v>
      </c>
      <c r="J80" s="14"/>
      <c r="K80" s="14">
        <v>29</v>
      </c>
      <c r="L80" s="14">
        <f t="shared" si="12"/>
        <v>-31</v>
      </c>
      <c r="M80" s="14"/>
      <c r="N80" s="14"/>
      <c r="O80" s="14">
        <v>15</v>
      </c>
      <c r="P80" s="14"/>
      <c r="Q80" s="14"/>
      <c r="R80" s="14">
        <v>18.251082251082249</v>
      </c>
      <c r="S80" s="14">
        <f t="shared" si="13"/>
        <v>-0.4</v>
      </c>
      <c r="T80" s="4">
        <v>10</v>
      </c>
      <c r="U80" s="4">
        <f>T80*1.2</f>
        <v>12</v>
      </c>
      <c r="V80" s="14">
        <f t="shared" si="14"/>
        <v>-113.12770562770562</v>
      </c>
      <c r="W80" s="14">
        <f t="shared" si="15"/>
        <v>-83.127705627705623</v>
      </c>
      <c r="X80" s="14">
        <v>0</v>
      </c>
      <c r="Y80" s="14"/>
      <c r="Z80" s="14">
        <f t="shared" si="16"/>
        <v>4</v>
      </c>
      <c r="AA80" t="s">
        <v>186</v>
      </c>
    </row>
    <row r="81" spans="1:27" x14ac:dyDescent="0.25">
      <c r="A81" s="10" t="s">
        <v>187</v>
      </c>
      <c r="B81" s="10" t="s">
        <v>40</v>
      </c>
      <c r="C81" s="10"/>
      <c r="D81" s="10"/>
      <c r="E81" s="10"/>
      <c r="F81" s="10"/>
      <c r="G81" s="11">
        <v>0</v>
      </c>
      <c r="H81" s="10"/>
      <c r="I81" s="10" t="s">
        <v>33</v>
      </c>
      <c r="J81" s="10"/>
      <c r="K81" s="10"/>
      <c r="L81" s="10">
        <f t="shared" si="12"/>
        <v>0</v>
      </c>
      <c r="M81" s="10"/>
      <c r="N81" s="10"/>
      <c r="O81" s="10"/>
      <c r="P81" s="10"/>
      <c r="Q81" s="10"/>
      <c r="R81" s="10"/>
      <c r="S81" s="10">
        <f t="shared" si="13"/>
        <v>0</v>
      </c>
      <c r="T81" s="12"/>
      <c r="U81" s="4">
        <f>T81</f>
        <v>0</v>
      </c>
      <c r="V81" s="14" t="e">
        <f t="shared" si="14"/>
        <v>#DIV/0!</v>
      </c>
      <c r="W81" s="10" t="e">
        <f t="shared" si="15"/>
        <v>#DIV/0!</v>
      </c>
      <c r="X81" s="10">
        <v>0</v>
      </c>
      <c r="Y81" s="10" t="s">
        <v>41</v>
      </c>
      <c r="Z81" s="14">
        <f t="shared" si="16"/>
        <v>0</v>
      </c>
      <c r="AA81" t="s">
        <v>188</v>
      </c>
    </row>
    <row r="82" spans="1:27" x14ac:dyDescent="0.25">
      <c r="A82" s="10" t="s">
        <v>189</v>
      </c>
      <c r="B82" s="10" t="s">
        <v>32</v>
      </c>
      <c r="C82" s="10"/>
      <c r="D82" s="10"/>
      <c r="E82" s="10"/>
      <c r="F82" s="10"/>
      <c r="G82" s="11">
        <v>0</v>
      </c>
      <c r="H82" s="10"/>
      <c r="I82" s="10" t="s">
        <v>33</v>
      </c>
      <c r="J82" s="10"/>
      <c r="K82" s="10"/>
      <c r="L82" s="10">
        <f t="shared" si="12"/>
        <v>0</v>
      </c>
      <c r="M82" s="10"/>
      <c r="N82" s="10"/>
      <c r="O82" s="10"/>
      <c r="P82" s="10"/>
      <c r="Q82" s="10"/>
      <c r="R82" s="10"/>
      <c r="S82" s="10">
        <f t="shared" si="13"/>
        <v>0</v>
      </c>
      <c r="T82" s="12"/>
      <c r="U82" s="4">
        <f>T82</f>
        <v>0</v>
      </c>
      <c r="V82" s="14" t="e">
        <f t="shared" si="14"/>
        <v>#DIV/0!</v>
      </c>
      <c r="W82" s="10" t="e">
        <f t="shared" si="15"/>
        <v>#DIV/0!</v>
      </c>
      <c r="X82" s="10">
        <v>0</v>
      </c>
      <c r="Y82" s="10" t="s">
        <v>41</v>
      </c>
      <c r="Z82" s="14">
        <f t="shared" si="16"/>
        <v>0</v>
      </c>
      <c r="AA82" t="s">
        <v>190</v>
      </c>
    </row>
    <row r="83" spans="1:27" x14ac:dyDescent="0.25">
      <c r="A83" s="10" t="s">
        <v>191</v>
      </c>
      <c r="B83" s="10" t="s">
        <v>32</v>
      </c>
      <c r="C83" s="10"/>
      <c r="D83" s="10"/>
      <c r="E83" s="10"/>
      <c r="F83" s="10"/>
      <c r="G83" s="11">
        <v>0</v>
      </c>
      <c r="H83" s="10"/>
      <c r="I83" s="10" t="s">
        <v>33</v>
      </c>
      <c r="J83" s="10"/>
      <c r="K83" s="10"/>
      <c r="L83" s="10">
        <f t="shared" si="12"/>
        <v>0</v>
      </c>
      <c r="M83" s="10"/>
      <c r="N83" s="10"/>
      <c r="O83" s="10"/>
      <c r="P83" s="10"/>
      <c r="Q83" s="10"/>
      <c r="R83" s="10"/>
      <c r="S83" s="10">
        <f t="shared" si="13"/>
        <v>0</v>
      </c>
      <c r="T83" s="12"/>
      <c r="U83" s="4">
        <f>T83</f>
        <v>0</v>
      </c>
      <c r="V83" s="14" t="e">
        <f t="shared" si="14"/>
        <v>#DIV/0!</v>
      </c>
      <c r="W83" s="10" t="e">
        <f t="shared" si="15"/>
        <v>#DIV/0!</v>
      </c>
      <c r="X83" s="10">
        <v>0</v>
      </c>
      <c r="Y83" s="10" t="s">
        <v>41</v>
      </c>
      <c r="Z83" s="14">
        <f t="shared" si="16"/>
        <v>0</v>
      </c>
      <c r="AA83" t="s">
        <v>192</v>
      </c>
    </row>
    <row r="84" spans="1:27" x14ac:dyDescent="0.25">
      <c r="A84" s="14" t="s">
        <v>193</v>
      </c>
      <c r="B84" s="14" t="s">
        <v>32</v>
      </c>
      <c r="C84" s="14"/>
      <c r="D84" s="14">
        <v>83.471000000000004</v>
      </c>
      <c r="E84" s="14">
        <v>97.584999999999994</v>
      </c>
      <c r="F84" s="14">
        <v>1.0429999999999999</v>
      </c>
      <c r="G84" s="6">
        <v>1</v>
      </c>
      <c r="H84" s="14">
        <v>60</v>
      </c>
      <c r="I84" s="14" t="s">
        <v>33</v>
      </c>
      <c r="J84" s="14"/>
      <c r="K84" s="14">
        <v>105.8</v>
      </c>
      <c r="L84" s="14">
        <f t="shared" si="12"/>
        <v>-8.2150000000000034</v>
      </c>
      <c r="M84" s="14"/>
      <c r="N84" s="14"/>
      <c r="O84" s="14"/>
      <c r="P84" s="14"/>
      <c r="Q84" s="14"/>
      <c r="R84" s="14">
        <v>63.058645274866727</v>
      </c>
      <c r="S84" s="14">
        <f t="shared" si="13"/>
        <v>19.516999999999999</v>
      </c>
      <c r="T84" s="4">
        <f>12*S84-R84-F84</f>
        <v>170.10235472513327</v>
      </c>
      <c r="U84" s="4">
        <f>T84+S84*$U$1</f>
        <v>209.13635472513326</v>
      </c>
      <c r="V84" s="14">
        <f t="shared" si="14"/>
        <v>14</v>
      </c>
      <c r="W84" s="14">
        <f t="shared" si="15"/>
        <v>3.2844005367047564</v>
      </c>
      <c r="X84" s="14">
        <v>0</v>
      </c>
      <c r="Y84" s="14"/>
      <c r="Z84" s="14">
        <f t="shared" si="16"/>
        <v>209</v>
      </c>
      <c r="AA84" t="s">
        <v>194</v>
      </c>
    </row>
    <row r="85" spans="1:27" x14ac:dyDescent="0.25">
      <c r="A85" s="10" t="s">
        <v>195</v>
      </c>
      <c r="B85" s="10" t="s">
        <v>40</v>
      </c>
      <c r="C85" s="10"/>
      <c r="D85" s="10"/>
      <c r="E85" s="10"/>
      <c r="F85" s="10"/>
      <c r="G85" s="11">
        <v>0</v>
      </c>
      <c r="H85" s="10"/>
      <c r="I85" s="10" t="s">
        <v>33</v>
      </c>
      <c r="J85" s="10"/>
      <c r="K85" s="10"/>
      <c r="L85" s="10">
        <f t="shared" si="12"/>
        <v>0</v>
      </c>
      <c r="M85" s="10"/>
      <c r="N85" s="10"/>
      <c r="O85" s="10"/>
      <c r="P85" s="10"/>
      <c r="Q85" s="10"/>
      <c r="R85" s="10"/>
      <c r="S85" s="10">
        <f t="shared" si="13"/>
        <v>0</v>
      </c>
      <c r="T85" s="12"/>
      <c r="U85" s="4">
        <f>T85</f>
        <v>0</v>
      </c>
      <c r="V85" s="14" t="e">
        <f t="shared" si="14"/>
        <v>#DIV/0!</v>
      </c>
      <c r="W85" s="10" t="e">
        <f t="shared" si="15"/>
        <v>#DIV/0!</v>
      </c>
      <c r="X85" s="10">
        <v>0</v>
      </c>
      <c r="Y85" s="10" t="s">
        <v>41</v>
      </c>
      <c r="Z85" s="14">
        <f t="shared" si="16"/>
        <v>0</v>
      </c>
      <c r="AA85" t="s">
        <v>196</v>
      </c>
    </row>
    <row r="86" spans="1:27" x14ac:dyDescent="0.25">
      <c r="A86" s="14" t="s">
        <v>197</v>
      </c>
      <c r="B86" s="14" t="s">
        <v>32</v>
      </c>
      <c r="C86" s="14"/>
      <c r="D86" s="14">
        <v>1030.604</v>
      </c>
      <c r="E86" s="14">
        <v>339.839</v>
      </c>
      <c r="F86" s="14">
        <v>627.51499999999999</v>
      </c>
      <c r="G86" s="6">
        <v>1</v>
      </c>
      <c r="H86" s="14">
        <v>60</v>
      </c>
      <c r="I86" s="14" t="s">
        <v>33</v>
      </c>
      <c r="J86" s="14"/>
      <c r="K86" s="14">
        <v>340</v>
      </c>
      <c r="L86" s="14">
        <f t="shared" si="12"/>
        <v>-0.16100000000000136</v>
      </c>
      <c r="M86" s="14"/>
      <c r="N86" s="14"/>
      <c r="O86" s="14">
        <v>593.96328000000005</v>
      </c>
      <c r="P86" s="14"/>
      <c r="Q86" s="14">
        <v>390</v>
      </c>
      <c r="R86" s="14">
        <v>173.17776939927509</v>
      </c>
      <c r="S86" s="14">
        <f t="shared" si="13"/>
        <v>67.967799999999997</v>
      </c>
      <c r="T86" s="4"/>
      <c r="U86" s="4">
        <f>T86</f>
        <v>0</v>
      </c>
      <c r="V86" s="14">
        <f t="shared" si="14"/>
        <v>26.257375542525654</v>
      </c>
      <c r="W86" s="14">
        <f t="shared" si="15"/>
        <v>26.257375542525654</v>
      </c>
      <c r="X86" s="14">
        <v>0</v>
      </c>
      <c r="Y86" s="14"/>
      <c r="Z86" s="14">
        <f t="shared" si="16"/>
        <v>0</v>
      </c>
      <c r="AA86" t="s">
        <v>198</v>
      </c>
    </row>
    <row r="87" spans="1:27" x14ac:dyDescent="0.25">
      <c r="A87" s="14" t="s">
        <v>199</v>
      </c>
      <c r="B87" s="14" t="s">
        <v>32</v>
      </c>
      <c r="C87" s="14"/>
      <c r="D87" s="14">
        <v>135.69999999999999</v>
      </c>
      <c r="E87" s="14">
        <v>130.43299999999999</v>
      </c>
      <c r="F87" s="14">
        <v>14.818</v>
      </c>
      <c r="G87" s="6">
        <v>1</v>
      </c>
      <c r="H87" s="14">
        <v>60</v>
      </c>
      <c r="I87" s="14" t="s">
        <v>33</v>
      </c>
      <c r="J87" s="14"/>
      <c r="K87" s="14">
        <v>215</v>
      </c>
      <c r="L87" s="14">
        <f t="shared" si="12"/>
        <v>-84.567000000000007</v>
      </c>
      <c r="M87" s="14"/>
      <c r="N87" s="14"/>
      <c r="O87" s="14">
        <v>411.12504000000001</v>
      </c>
      <c r="P87" s="14"/>
      <c r="Q87" s="14">
        <v>360</v>
      </c>
      <c r="R87" s="14">
        <v>325.01202334177719</v>
      </c>
      <c r="S87" s="14">
        <f t="shared" si="13"/>
        <v>26.086599999999997</v>
      </c>
      <c r="T87" s="4"/>
      <c r="U87" s="4">
        <f>T87</f>
        <v>0</v>
      </c>
      <c r="V87" s="14">
        <f t="shared" si="14"/>
        <v>42.587192786402873</v>
      </c>
      <c r="W87" s="14">
        <f t="shared" si="15"/>
        <v>42.587192786402873</v>
      </c>
      <c r="X87" s="14">
        <v>0</v>
      </c>
      <c r="Y87" s="14"/>
      <c r="Z87" s="14">
        <f t="shared" si="16"/>
        <v>0</v>
      </c>
      <c r="AA87" t="s">
        <v>200</v>
      </c>
    </row>
    <row r="88" spans="1:27" x14ac:dyDescent="0.25">
      <c r="A88" s="14" t="s">
        <v>201</v>
      </c>
      <c r="B88" s="14" t="s">
        <v>32</v>
      </c>
      <c r="C88" s="14"/>
      <c r="D88" s="14">
        <v>830.702</v>
      </c>
      <c r="E88" s="14">
        <v>547.06200000000001</v>
      </c>
      <c r="F88" s="14">
        <v>20.850999999999999</v>
      </c>
      <c r="G88" s="6">
        <v>1</v>
      </c>
      <c r="H88" s="14">
        <v>60</v>
      </c>
      <c r="I88" s="14" t="s">
        <v>33</v>
      </c>
      <c r="J88" s="14"/>
      <c r="K88" s="14">
        <v>995</v>
      </c>
      <c r="L88" s="14">
        <f t="shared" si="12"/>
        <v>-447.93799999999999</v>
      </c>
      <c r="M88" s="14"/>
      <c r="N88" s="14"/>
      <c r="O88" s="14">
        <v>1000</v>
      </c>
      <c r="P88" s="14"/>
      <c r="Q88" s="14">
        <v>300</v>
      </c>
      <c r="R88" s="14">
        <v>67.546547689190845</v>
      </c>
      <c r="S88" s="14">
        <f t="shared" si="13"/>
        <v>109.41240000000001</v>
      </c>
      <c r="T88" s="16"/>
      <c r="U88" s="4">
        <v>400</v>
      </c>
      <c r="V88" s="14">
        <f t="shared" si="14"/>
        <v>16.34547407505174</v>
      </c>
      <c r="W88" s="14">
        <f t="shared" si="15"/>
        <v>12.689581324321475</v>
      </c>
      <c r="X88" s="14">
        <v>0</v>
      </c>
      <c r="Y88" s="14"/>
      <c r="Z88" s="14">
        <f t="shared" si="16"/>
        <v>400</v>
      </c>
      <c r="AA88" t="s">
        <v>202</v>
      </c>
    </row>
    <row r="89" spans="1:27" x14ac:dyDescent="0.25">
      <c r="A89" s="10" t="s">
        <v>203</v>
      </c>
      <c r="B89" s="10" t="s">
        <v>32</v>
      </c>
      <c r="C89" s="10"/>
      <c r="D89" s="10"/>
      <c r="E89" s="10"/>
      <c r="F89" s="10"/>
      <c r="G89" s="11">
        <v>0</v>
      </c>
      <c r="H89" s="10"/>
      <c r="I89" s="10" t="s">
        <v>33</v>
      </c>
      <c r="J89" s="10"/>
      <c r="K89" s="10"/>
      <c r="L89" s="10">
        <f t="shared" si="12"/>
        <v>0</v>
      </c>
      <c r="M89" s="10"/>
      <c r="N89" s="10"/>
      <c r="O89" s="10"/>
      <c r="P89" s="10"/>
      <c r="Q89" s="10"/>
      <c r="R89" s="10"/>
      <c r="S89" s="10">
        <f t="shared" si="13"/>
        <v>0</v>
      </c>
      <c r="T89" s="12"/>
      <c r="U89" s="4">
        <f>T89</f>
        <v>0</v>
      </c>
      <c r="V89" s="14" t="e">
        <f t="shared" si="14"/>
        <v>#DIV/0!</v>
      </c>
      <c r="W89" s="10" t="e">
        <f t="shared" si="15"/>
        <v>#DIV/0!</v>
      </c>
      <c r="X89" s="10">
        <v>0</v>
      </c>
      <c r="Y89" s="10" t="s">
        <v>41</v>
      </c>
      <c r="Z89" s="14">
        <f t="shared" si="16"/>
        <v>0</v>
      </c>
      <c r="AA89" t="s">
        <v>204</v>
      </c>
    </row>
    <row r="90" spans="1:27" x14ac:dyDescent="0.25">
      <c r="A90" s="14" t="s">
        <v>205</v>
      </c>
      <c r="B90" s="14" t="s">
        <v>40</v>
      </c>
      <c r="C90" s="14"/>
      <c r="D90" s="14"/>
      <c r="E90" s="14"/>
      <c r="F90" s="14"/>
      <c r="G90" s="6">
        <v>0.3</v>
      </c>
      <c r="H90" s="14">
        <v>40</v>
      </c>
      <c r="I90" s="9" t="s">
        <v>50</v>
      </c>
      <c r="J90" s="14"/>
      <c r="K90" s="14">
        <v>1</v>
      </c>
      <c r="L90" s="14">
        <f t="shared" si="12"/>
        <v>-1</v>
      </c>
      <c r="M90" s="14"/>
      <c r="N90" s="14"/>
      <c r="O90" s="14">
        <v>30</v>
      </c>
      <c r="P90" s="14"/>
      <c r="Q90" s="14"/>
      <c r="R90" s="14">
        <v>0</v>
      </c>
      <c r="S90" s="14">
        <f t="shared" si="13"/>
        <v>0</v>
      </c>
      <c r="T90" s="4"/>
      <c r="U90" s="4">
        <f>T90*1.2</f>
        <v>0</v>
      </c>
      <c r="V90" s="14" t="e">
        <f t="shared" si="14"/>
        <v>#DIV/0!</v>
      </c>
      <c r="W90" s="14" t="e">
        <f t="shared" si="15"/>
        <v>#DIV/0!</v>
      </c>
      <c r="X90" s="14">
        <v>0</v>
      </c>
      <c r="Y90" s="14"/>
      <c r="Z90" s="14">
        <f t="shared" si="16"/>
        <v>0</v>
      </c>
      <c r="AA90" t="s">
        <v>206</v>
      </c>
    </row>
    <row r="91" spans="1:27" x14ac:dyDescent="0.25">
      <c r="A91" s="10" t="s">
        <v>207</v>
      </c>
      <c r="B91" s="10" t="s">
        <v>40</v>
      </c>
      <c r="C91" s="10"/>
      <c r="D91" s="10"/>
      <c r="E91" s="10"/>
      <c r="F91" s="10"/>
      <c r="G91" s="11">
        <v>0</v>
      </c>
      <c r="H91" s="10"/>
      <c r="I91" s="10" t="s">
        <v>33</v>
      </c>
      <c r="J91" s="10"/>
      <c r="K91" s="10"/>
      <c r="L91" s="10">
        <f t="shared" si="12"/>
        <v>0</v>
      </c>
      <c r="M91" s="10"/>
      <c r="N91" s="10"/>
      <c r="O91" s="10"/>
      <c r="P91" s="10"/>
      <c r="Q91" s="10"/>
      <c r="R91" s="10"/>
      <c r="S91" s="10">
        <f t="shared" si="13"/>
        <v>0</v>
      </c>
      <c r="T91" s="12"/>
      <c r="U91" s="4">
        <f>T91</f>
        <v>0</v>
      </c>
      <c r="V91" s="14" t="e">
        <f t="shared" si="14"/>
        <v>#DIV/0!</v>
      </c>
      <c r="W91" s="10" t="e">
        <f t="shared" si="15"/>
        <v>#DIV/0!</v>
      </c>
      <c r="X91" s="10">
        <v>0</v>
      </c>
      <c r="Y91" s="10" t="s">
        <v>41</v>
      </c>
      <c r="Z91" s="14">
        <f t="shared" si="16"/>
        <v>0</v>
      </c>
      <c r="AA91" t="s">
        <v>208</v>
      </c>
    </row>
    <row r="92" spans="1:27" x14ac:dyDescent="0.25">
      <c r="A92" s="14" t="s">
        <v>209</v>
      </c>
      <c r="B92" s="14" t="s">
        <v>40</v>
      </c>
      <c r="C92" s="14"/>
      <c r="D92" s="14"/>
      <c r="E92" s="14"/>
      <c r="F92" s="14"/>
      <c r="G92" s="6">
        <v>7.0000000000000007E-2</v>
      </c>
      <c r="H92" s="14">
        <v>90</v>
      </c>
      <c r="I92" s="9" t="s">
        <v>50</v>
      </c>
      <c r="J92" s="14"/>
      <c r="K92" s="14">
        <v>12</v>
      </c>
      <c r="L92" s="14">
        <f t="shared" si="12"/>
        <v>-12</v>
      </c>
      <c r="M92" s="14"/>
      <c r="N92" s="14"/>
      <c r="O92" s="14">
        <v>90</v>
      </c>
      <c r="P92" s="14"/>
      <c r="Q92" s="14"/>
      <c r="R92" s="14">
        <v>14.34375</v>
      </c>
      <c r="S92" s="14">
        <f t="shared" si="13"/>
        <v>0</v>
      </c>
      <c r="T92" s="4"/>
      <c r="U92" s="4">
        <f>T92*1.2</f>
        <v>0</v>
      </c>
      <c r="V92" s="14" t="e">
        <f t="shared" si="14"/>
        <v>#DIV/0!</v>
      </c>
      <c r="W92" s="14" t="e">
        <f t="shared" si="15"/>
        <v>#DIV/0!</v>
      </c>
      <c r="X92" s="14">
        <v>0</v>
      </c>
      <c r="Y92" s="14"/>
      <c r="Z92" s="14">
        <f t="shared" si="16"/>
        <v>0</v>
      </c>
      <c r="AA92" t="s">
        <v>210</v>
      </c>
    </row>
    <row r="93" spans="1:27" x14ac:dyDescent="0.25">
      <c r="A93" s="14" t="s">
        <v>211</v>
      </c>
      <c r="B93" s="14" t="s">
        <v>40</v>
      </c>
      <c r="C93" s="14"/>
      <c r="D93" s="14"/>
      <c r="E93" s="14"/>
      <c r="F93" s="14"/>
      <c r="G93" s="6">
        <v>7.0000000000000007E-2</v>
      </c>
      <c r="H93" s="14">
        <v>90</v>
      </c>
      <c r="I93" s="9" t="s">
        <v>50</v>
      </c>
      <c r="J93" s="14"/>
      <c r="K93" s="14">
        <v>19</v>
      </c>
      <c r="L93" s="14">
        <f t="shared" si="12"/>
        <v>-19</v>
      </c>
      <c r="M93" s="14"/>
      <c r="N93" s="14"/>
      <c r="O93" s="14">
        <v>60</v>
      </c>
      <c r="P93" s="14">
        <v>-72</v>
      </c>
      <c r="Q93" s="14"/>
      <c r="R93" s="14">
        <v>10.279069767441859</v>
      </c>
      <c r="S93" s="14">
        <f t="shared" si="13"/>
        <v>0</v>
      </c>
      <c r="T93" s="4">
        <v>20</v>
      </c>
      <c r="U93" s="4">
        <f>T93*1.2</f>
        <v>24</v>
      </c>
      <c r="V93" s="14" t="e">
        <f t="shared" si="14"/>
        <v>#DIV/0!</v>
      </c>
      <c r="W93" s="14" t="e">
        <f t="shared" si="15"/>
        <v>#DIV/0!</v>
      </c>
      <c r="X93" s="14">
        <v>0</v>
      </c>
      <c r="Y93" s="14"/>
      <c r="Z93" s="14">
        <f t="shared" si="16"/>
        <v>2</v>
      </c>
      <c r="AA93" t="s">
        <v>212</v>
      </c>
    </row>
    <row r="94" spans="1:27" x14ac:dyDescent="0.25">
      <c r="A94" s="14" t="s">
        <v>213</v>
      </c>
      <c r="B94" s="14" t="s">
        <v>40</v>
      </c>
      <c r="C94" s="14"/>
      <c r="D94" s="14"/>
      <c r="E94" s="14">
        <v>4</v>
      </c>
      <c r="F94" s="14"/>
      <c r="G94" s="6">
        <v>7.0000000000000007E-2</v>
      </c>
      <c r="H94" s="14">
        <v>90</v>
      </c>
      <c r="I94" s="9" t="s">
        <v>50</v>
      </c>
      <c r="J94" s="14"/>
      <c r="K94" s="14">
        <v>11</v>
      </c>
      <c r="L94" s="14">
        <f t="shared" si="12"/>
        <v>-7</v>
      </c>
      <c r="M94" s="14"/>
      <c r="N94" s="14"/>
      <c r="O94" s="14">
        <v>75</v>
      </c>
      <c r="P94" s="14"/>
      <c r="Q94" s="14"/>
      <c r="R94" s="14">
        <v>11.281105990783409</v>
      </c>
      <c r="S94" s="14">
        <f t="shared" si="13"/>
        <v>0.8</v>
      </c>
      <c r="T94" s="4"/>
      <c r="U94" s="4">
        <f>T94*1.2</f>
        <v>0</v>
      </c>
      <c r="V94" s="14">
        <f t="shared" si="14"/>
        <v>107.85138248847925</v>
      </c>
      <c r="W94" s="14">
        <f t="shared" si="15"/>
        <v>107.85138248847925</v>
      </c>
      <c r="X94" s="14">
        <v>0</v>
      </c>
      <c r="Y94" s="14"/>
      <c r="Z94" s="14">
        <f t="shared" si="16"/>
        <v>0</v>
      </c>
      <c r="AA94" t="s">
        <v>214</v>
      </c>
    </row>
    <row r="95" spans="1:27" x14ac:dyDescent="0.25">
      <c r="A95" s="14" t="s">
        <v>215</v>
      </c>
      <c r="B95" s="14" t="s">
        <v>40</v>
      </c>
      <c r="C95" s="14"/>
      <c r="D95" s="14">
        <v>60</v>
      </c>
      <c r="E95" s="14"/>
      <c r="F95" s="14">
        <v>51</v>
      </c>
      <c r="G95" s="6">
        <v>0.3</v>
      </c>
      <c r="H95" s="14"/>
      <c r="I95" s="14" t="s">
        <v>33</v>
      </c>
      <c r="J95" s="14"/>
      <c r="K95" s="14"/>
      <c r="L95" s="14">
        <f t="shared" si="12"/>
        <v>0</v>
      </c>
      <c r="M95" s="14"/>
      <c r="N95" s="14"/>
      <c r="O95" s="14"/>
      <c r="P95" s="14"/>
      <c r="Q95" s="14"/>
      <c r="R95" s="14">
        <v>10</v>
      </c>
      <c r="S95" s="14">
        <f t="shared" si="13"/>
        <v>0</v>
      </c>
      <c r="T95" s="4"/>
      <c r="U95" s="4">
        <f>T95</f>
        <v>0</v>
      </c>
      <c r="V95" s="14" t="e">
        <f t="shared" si="14"/>
        <v>#DIV/0!</v>
      </c>
      <c r="W95" s="14" t="e">
        <f t="shared" si="15"/>
        <v>#DIV/0!</v>
      </c>
      <c r="X95" s="14">
        <v>0</v>
      </c>
      <c r="Y95" s="14"/>
      <c r="Z95" s="14">
        <f t="shared" si="16"/>
        <v>0</v>
      </c>
      <c r="AA95" t="s">
        <v>216</v>
      </c>
    </row>
    <row r="96" spans="1:27" x14ac:dyDescent="0.25">
      <c r="A96" s="14" t="s">
        <v>217</v>
      </c>
      <c r="B96" s="14" t="s">
        <v>32</v>
      </c>
      <c r="C96" s="14"/>
      <c r="D96" s="14">
        <v>24.245000000000001</v>
      </c>
      <c r="E96" s="14">
        <v>2.004</v>
      </c>
      <c r="F96" s="14">
        <v>22.241</v>
      </c>
      <c r="G96" s="6">
        <v>1</v>
      </c>
      <c r="H96" s="14">
        <v>55</v>
      </c>
      <c r="I96" s="9" t="s">
        <v>50</v>
      </c>
      <c r="J96" s="14"/>
      <c r="K96" s="14">
        <v>2.6</v>
      </c>
      <c r="L96" s="14">
        <f t="shared" si="12"/>
        <v>-0.59600000000000009</v>
      </c>
      <c r="M96" s="14"/>
      <c r="N96" s="14"/>
      <c r="O96" s="14"/>
      <c r="P96" s="14"/>
      <c r="Q96" s="14"/>
      <c r="R96" s="14">
        <v>13</v>
      </c>
      <c r="S96" s="14">
        <f t="shared" si="13"/>
        <v>0.40079999999999999</v>
      </c>
      <c r="T96" s="4"/>
      <c r="U96" s="4">
        <f>T96*1.2</f>
        <v>0</v>
      </c>
      <c r="V96" s="14">
        <f t="shared" si="14"/>
        <v>87.926646706586823</v>
      </c>
      <c r="W96" s="14">
        <f t="shared" si="15"/>
        <v>87.926646706586823</v>
      </c>
      <c r="X96" s="14">
        <v>0</v>
      </c>
      <c r="Y96" s="14"/>
      <c r="Z96" s="14">
        <f t="shared" si="16"/>
        <v>0</v>
      </c>
      <c r="AA96" t="s">
        <v>218</v>
      </c>
    </row>
    <row r="97" spans="1:27" x14ac:dyDescent="0.25">
      <c r="A97" s="14" t="s">
        <v>219</v>
      </c>
      <c r="B97" s="14" t="s">
        <v>40</v>
      </c>
      <c r="C97" s="14"/>
      <c r="D97" s="14">
        <v>106</v>
      </c>
      <c r="E97" s="14">
        <v>10</v>
      </c>
      <c r="F97" s="14">
        <v>96</v>
      </c>
      <c r="G97" s="6">
        <v>0.11</v>
      </c>
      <c r="H97" s="14">
        <v>30</v>
      </c>
      <c r="I97" s="14" t="s">
        <v>33</v>
      </c>
      <c r="J97" s="14"/>
      <c r="K97" s="14">
        <v>51</v>
      </c>
      <c r="L97" s="14">
        <f t="shared" si="12"/>
        <v>-41</v>
      </c>
      <c r="M97" s="14"/>
      <c r="N97" s="14"/>
      <c r="O97" s="14"/>
      <c r="P97" s="14"/>
      <c r="Q97" s="14"/>
      <c r="R97" s="14">
        <v>0</v>
      </c>
      <c r="S97" s="14">
        <f t="shared" si="13"/>
        <v>2</v>
      </c>
      <c r="T97" s="4"/>
      <c r="U97" s="4">
        <f>T97</f>
        <v>0</v>
      </c>
      <c r="V97" s="14">
        <f t="shared" si="14"/>
        <v>48</v>
      </c>
      <c r="W97" s="14">
        <f t="shared" si="15"/>
        <v>48</v>
      </c>
      <c r="X97" s="14">
        <v>0</v>
      </c>
      <c r="Y97" s="14"/>
      <c r="Z97" s="14">
        <f t="shared" si="16"/>
        <v>0</v>
      </c>
      <c r="AA97" t="s">
        <v>220</v>
      </c>
    </row>
    <row r="98" spans="1:27" x14ac:dyDescent="0.25">
      <c r="A98" s="10" t="s">
        <v>221</v>
      </c>
      <c r="B98" s="10" t="s">
        <v>40</v>
      </c>
      <c r="C98" s="10"/>
      <c r="D98" s="10"/>
      <c r="E98" s="10"/>
      <c r="F98" s="10"/>
      <c r="G98" s="11">
        <v>0</v>
      </c>
      <c r="H98" s="10"/>
      <c r="I98" s="10" t="s">
        <v>33</v>
      </c>
      <c r="J98" s="10"/>
      <c r="K98" s="10"/>
      <c r="L98" s="10">
        <f t="shared" si="12"/>
        <v>0</v>
      </c>
      <c r="M98" s="10"/>
      <c r="N98" s="10"/>
      <c r="O98" s="10"/>
      <c r="P98" s="10"/>
      <c r="Q98" s="10"/>
      <c r="R98" s="10"/>
      <c r="S98" s="10">
        <f t="shared" si="13"/>
        <v>0</v>
      </c>
      <c r="T98" s="12"/>
      <c r="U98" s="4">
        <f>T98</f>
        <v>0</v>
      </c>
      <c r="V98" s="14" t="e">
        <f t="shared" si="14"/>
        <v>#DIV/0!</v>
      </c>
      <c r="W98" s="10" t="e">
        <f t="shared" si="15"/>
        <v>#DIV/0!</v>
      </c>
      <c r="X98" s="10">
        <v>0</v>
      </c>
      <c r="Y98" s="10" t="s">
        <v>41</v>
      </c>
      <c r="Z98" s="14">
        <f t="shared" si="16"/>
        <v>0</v>
      </c>
      <c r="AA98" t="s">
        <v>222</v>
      </c>
    </row>
    <row r="99" spans="1:27" x14ac:dyDescent="0.25">
      <c r="A99" s="14" t="s">
        <v>223</v>
      </c>
      <c r="B99" s="14" t="s">
        <v>40</v>
      </c>
      <c r="C99" s="14"/>
      <c r="D99" s="14"/>
      <c r="E99" s="14">
        <v>-1</v>
      </c>
      <c r="F99" s="14"/>
      <c r="G99" s="6">
        <v>0.08</v>
      </c>
      <c r="H99" s="14">
        <v>45</v>
      </c>
      <c r="I99" s="14" t="s">
        <v>33</v>
      </c>
      <c r="J99" s="14"/>
      <c r="K99" s="14">
        <v>51</v>
      </c>
      <c r="L99" s="14">
        <f t="shared" si="12"/>
        <v>-52</v>
      </c>
      <c r="M99" s="14"/>
      <c r="N99" s="14"/>
      <c r="O99" s="14"/>
      <c r="P99" s="14"/>
      <c r="Q99" s="14"/>
      <c r="R99" s="14">
        <v>33.014051522248259</v>
      </c>
      <c r="S99" s="14">
        <f t="shared" si="13"/>
        <v>-0.2</v>
      </c>
      <c r="T99" s="4">
        <v>30</v>
      </c>
      <c r="U99" s="4">
        <v>40</v>
      </c>
      <c r="V99" s="14">
        <f t="shared" si="14"/>
        <v>-365.07025761124123</v>
      </c>
      <c r="W99" s="14">
        <f t="shared" si="15"/>
        <v>-165.07025761124129</v>
      </c>
      <c r="X99" s="14">
        <v>0</v>
      </c>
      <c r="Y99" s="14"/>
      <c r="Z99" s="14">
        <f t="shared" si="16"/>
        <v>3</v>
      </c>
      <c r="AA99" t="s">
        <v>224</v>
      </c>
    </row>
    <row r="100" spans="1:27" x14ac:dyDescent="0.25">
      <c r="A100" s="14" t="s">
        <v>225</v>
      </c>
      <c r="B100" s="14" t="s">
        <v>40</v>
      </c>
      <c r="C100" s="14"/>
      <c r="D100" s="14">
        <v>40</v>
      </c>
      <c r="E100" s="14">
        <v>5</v>
      </c>
      <c r="F100" s="14">
        <v>28</v>
      </c>
      <c r="G100" s="6">
        <v>0.08</v>
      </c>
      <c r="H100" s="14">
        <v>45</v>
      </c>
      <c r="I100" s="14" t="s">
        <v>33</v>
      </c>
      <c r="J100" s="14"/>
      <c r="K100" s="14">
        <v>29</v>
      </c>
      <c r="L100" s="14">
        <f t="shared" si="12"/>
        <v>-24</v>
      </c>
      <c r="M100" s="14"/>
      <c r="N100" s="14"/>
      <c r="O100" s="14">
        <v>50</v>
      </c>
      <c r="P100" s="14"/>
      <c r="Q100" s="14"/>
      <c r="R100" s="14">
        <v>24.82431610942249</v>
      </c>
      <c r="S100" s="14">
        <f t="shared" si="13"/>
        <v>1</v>
      </c>
      <c r="T100" s="4"/>
      <c r="U100" s="4">
        <f>T100</f>
        <v>0</v>
      </c>
      <c r="V100" s="14">
        <f t="shared" si="14"/>
        <v>102.82431610942248</v>
      </c>
      <c r="W100" s="14">
        <f t="shared" si="15"/>
        <v>102.82431610942248</v>
      </c>
      <c r="X100" s="14">
        <v>0</v>
      </c>
      <c r="Y100" s="14"/>
      <c r="Z100" s="14">
        <f t="shared" si="16"/>
        <v>0</v>
      </c>
      <c r="AA100" t="s">
        <v>226</v>
      </c>
    </row>
    <row r="101" spans="1:27" x14ac:dyDescent="0.25">
      <c r="A101" s="14" t="s">
        <v>227</v>
      </c>
      <c r="B101" s="14" t="s">
        <v>40</v>
      </c>
      <c r="C101" s="14"/>
      <c r="D101" s="14"/>
      <c r="E101" s="14"/>
      <c r="F101" s="14"/>
      <c r="G101" s="6">
        <v>0.17</v>
      </c>
      <c r="H101" s="14">
        <v>30</v>
      </c>
      <c r="I101" s="14" t="s">
        <v>33</v>
      </c>
      <c r="J101" s="14"/>
      <c r="K101" s="14">
        <v>10</v>
      </c>
      <c r="L101" s="14">
        <f t="shared" si="12"/>
        <v>-10</v>
      </c>
      <c r="M101" s="14"/>
      <c r="N101" s="14"/>
      <c r="O101" s="14"/>
      <c r="P101" s="14"/>
      <c r="Q101" s="14"/>
      <c r="R101" s="14">
        <v>20</v>
      </c>
      <c r="S101" s="14">
        <f t="shared" si="13"/>
        <v>0</v>
      </c>
      <c r="T101" s="4">
        <v>10</v>
      </c>
      <c r="U101" s="4">
        <f>T101</f>
        <v>10</v>
      </c>
      <c r="V101" s="14" t="e">
        <f t="shared" si="14"/>
        <v>#DIV/0!</v>
      </c>
      <c r="W101" s="14" t="e">
        <f t="shared" si="15"/>
        <v>#DIV/0!</v>
      </c>
      <c r="X101" s="14">
        <v>0</v>
      </c>
      <c r="Y101" s="14"/>
      <c r="Z101" s="14">
        <f t="shared" si="16"/>
        <v>2</v>
      </c>
      <c r="AA101" t="s">
        <v>228</v>
      </c>
    </row>
    <row r="102" spans="1:27" x14ac:dyDescent="0.25">
      <c r="A102" s="14" t="s">
        <v>229</v>
      </c>
      <c r="B102" s="14" t="s">
        <v>32</v>
      </c>
      <c r="C102" s="14"/>
      <c r="D102" s="14"/>
      <c r="E102" s="14"/>
      <c r="F102" s="14"/>
      <c r="G102" s="6">
        <v>1</v>
      </c>
      <c r="H102" s="14">
        <v>40</v>
      </c>
      <c r="I102" s="9" t="s">
        <v>50</v>
      </c>
      <c r="J102" s="14"/>
      <c r="K102" s="14">
        <v>25.2</v>
      </c>
      <c r="L102" s="14">
        <f t="shared" ref="L102:L133" si="17">E102-K102</f>
        <v>-25.2</v>
      </c>
      <c r="M102" s="14"/>
      <c r="N102" s="14"/>
      <c r="O102" s="14">
        <v>250</v>
      </c>
      <c r="P102" s="14">
        <v>-252</v>
      </c>
      <c r="Q102" s="14"/>
      <c r="R102" s="14">
        <v>23.76225260242148</v>
      </c>
      <c r="S102" s="14">
        <f t="shared" ref="S102:S127" si="18">E102/5</f>
        <v>0</v>
      </c>
      <c r="T102" s="4">
        <v>15</v>
      </c>
      <c r="U102" s="4">
        <f>T102*1.2</f>
        <v>18</v>
      </c>
      <c r="V102" s="14" t="e">
        <f t="shared" ref="V102:V133" si="19">(F102+O102+P102+Q102+R102+U102)/S102</f>
        <v>#DIV/0!</v>
      </c>
      <c r="W102" s="14" t="e">
        <f t="shared" ref="W102:W127" si="20">(F102+O102+P102+Q102+R102)/S102</f>
        <v>#DIV/0!</v>
      </c>
      <c r="X102" s="14">
        <v>0</v>
      </c>
      <c r="Y102" s="14"/>
      <c r="Z102" s="14">
        <f t="shared" ref="Z102:Z127" si="21">ROUND(G102*U102,0)</f>
        <v>18</v>
      </c>
      <c r="AA102" t="s">
        <v>230</v>
      </c>
    </row>
    <row r="103" spans="1:27" x14ac:dyDescent="0.25">
      <c r="A103" s="14" t="s">
        <v>231</v>
      </c>
      <c r="B103" s="14" t="s">
        <v>32</v>
      </c>
      <c r="C103" s="14"/>
      <c r="D103" s="14"/>
      <c r="E103" s="14"/>
      <c r="F103" s="14"/>
      <c r="G103" s="6">
        <v>1</v>
      </c>
      <c r="H103" s="14">
        <v>40</v>
      </c>
      <c r="I103" s="9" t="s">
        <v>50</v>
      </c>
      <c r="J103" s="14"/>
      <c r="K103" s="14">
        <v>4.0999999999999996</v>
      </c>
      <c r="L103" s="14">
        <f t="shared" si="17"/>
        <v>-4.0999999999999996</v>
      </c>
      <c r="M103" s="14"/>
      <c r="N103" s="14"/>
      <c r="O103" s="14">
        <v>250</v>
      </c>
      <c r="P103" s="14"/>
      <c r="Q103" s="14"/>
      <c r="R103" s="14">
        <v>10.95701306120533</v>
      </c>
      <c r="S103" s="14">
        <f t="shared" si="18"/>
        <v>0</v>
      </c>
      <c r="T103" s="4"/>
      <c r="U103" s="4">
        <f>T103*1.2</f>
        <v>0</v>
      </c>
      <c r="V103" s="14" t="e">
        <f t="shared" si="19"/>
        <v>#DIV/0!</v>
      </c>
      <c r="W103" s="14" t="e">
        <f t="shared" si="20"/>
        <v>#DIV/0!</v>
      </c>
      <c r="X103" s="14">
        <v>0</v>
      </c>
      <c r="Y103" s="14"/>
      <c r="Z103" s="14">
        <f t="shared" si="21"/>
        <v>0</v>
      </c>
      <c r="AA103" t="s">
        <v>232</v>
      </c>
    </row>
    <row r="104" spans="1:27" x14ac:dyDescent="0.25">
      <c r="A104" s="14" t="s">
        <v>233</v>
      </c>
      <c r="B104" s="14" t="s">
        <v>32</v>
      </c>
      <c r="C104" s="14"/>
      <c r="D104" s="14"/>
      <c r="E104" s="14">
        <v>-0.72</v>
      </c>
      <c r="F104" s="14"/>
      <c r="G104" s="6">
        <v>1</v>
      </c>
      <c r="H104" s="14">
        <v>40</v>
      </c>
      <c r="I104" s="9" t="s">
        <v>50</v>
      </c>
      <c r="J104" s="14"/>
      <c r="K104" s="14">
        <v>2.2000000000000002</v>
      </c>
      <c r="L104" s="14">
        <f t="shared" si="17"/>
        <v>-2.92</v>
      </c>
      <c r="M104" s="14"/>
      <c r="N104" s="14"/>
      <c r="O104" s="14">
        <v>250</v>
      </c>
      <c r="P104" s="14">
        <v>-252</v>
      </c>
      <c r="Q104" s="14"/>
      <c r="R104" s="14">
        <v>11.824383352850431</v>
      </c>
      <c r="S104" s="14">
        <f t="shared" si="18"/>
        <v>-0.14399999999999999</v>
      </c>
      <c r="T104" s="4">
        <v>4</v>
      </c>
      <c r="U104" s="4">
        <f>T104*1.2</f>
        <v>4.8</v>
      </c>
      <c r="V104" s="14">
        <f t="shared" si="19"/>
        <v>-101.55821772812799</v>
      </c>
      <c r="W104" s="14">
        <f t="shared" si="20"/>
        <v>-68.224884394794657</v>
      </c>
      <c r="X104" s="14">
        <v>0</v>
      </c>
      <c r="Y104" s="14"/>
      <c r="Z104" s="14">
        <f t="shared" si="21"/>
        <v>5</v>
      </c>
      <c r="AA104" t="s">
        <v>234</v>
      </c>
    </row>
    <row r="105" spans="1:27" x14ac:dyDescent="0.25">
      <c r="A105" s="10" t="s">
        <v>235</v>
      </c>
      <c r="B105" s="10" t="s">
        <v>40</v>
      </c>
      <c r="C105" s="10"/>
      <c r="D105" s="10"/>
      <c r="E105" s="10"/>
      <c r="F105" s="10"/>
      <c r="G105" s="11">
        <v>0</v>
      </c>
      <c r="H105" s="10"/>
      <c r="I105" s="10" t="s">
        <v>33</v>
      </c>
      <c r="J105" s="10"/>
      <c r="K105" s="10"/>
      <c r="L105" s="10">
        <f t="shared" si="17"/>
        <v>0</v>
      </c>
      <c r="M105" s="10"/>
      <c r="N105" s="10"/>
      <c r="O105" s="10"/>
      <c r="P105" s="10"/>
      <c r="Q105" s="10"/>
      <c r="R105" s="10"/>
      <c r="S105" s="10">
        <f t="shared" si="18"/>
        <v>0</v>
      </c>
      <c r="T105" s="12"/>
      <c r="U105" s="4">
        <f>T105</f>
        <v>0</v>
      </c>
      <c r="V105" s="14" t="e">
        <f t="shared" si="19"/>
        <v>#DIV/0!</v>
      </c>
      <c r="W105" s="10" t="e">
        <f t="shared" si="20"/>
        <v>#DIV/0!</v>
      </c>
      <c r="X105" s="10">
        <v>0</v>
      </c>
      <c r="Y105" s="10" t="s">
        <v>41</v>
      </c>
      <c r="Z105" s="14">
        <f t="shared" si="21"/>
        <v>0</v>
      </c>
      <c r="AA105" t="s">
        <v>236</v>
      </c>
    </row>
    <row r="106" spans="1:27" x14ac:dyDescent="0.25">
      <c r="A106" s="10" t="s">
        <v>237</v>
      </c>
      <c r="B106" s="10" t="s">
        <v>32</v>
      </c>
      <c r="C106" s="10"/>
      <c r="D106" s="10"/>
      <c r="E106" s="10"/>
      <c r="F106" s="10"/>
      <c r="G106" s="11">
        <v>0</v>
      </c>
      <c r="H106" s="10"/>
      <c r="I106" s="10" t="s">
        <v>33</v>
      </c>
      <c r="J106" s="10"/>
      <c r="K106" s="10"/>
      <c r="L106" s="10">
        <f t="shared" si="17"/>
        <v>0</v>
      </c>
      <c r="M106" s="10"/>
      <c r="N106" s="10"/>
      <c r="O106" s="10"/>
      <c r="P106" s="10"/>
      <c r="Q106" s="10"/>
      <c r="R106" s="10"/>
      <c r="S106" s="10">
        <f t="shared" si="18"/>
        <v>0</v>
      </c>
      <c r="T106" s="12"/>
      <c r="U106" s="4">
        <f>T106</f>
        <v>0</v>
      </c>
      <c r="V106" s="14" t="e">
        <f t="shared" si="19"/>
        <v>#DIV/0!</v>
      </c>
      <c r="W106" s="10" t="e">
        <f t="shared" si="20"/>
        <v>#DIV/0!</v>
      </c>
      <c r="X106" s="10">
        <v>0</v>
      </c>
      <c r="Y106" s="10" t="s">
        <v>41</v>
      </c>
      <c r="Z106" s="14">
        <f t="shared" si="21"/>
        <v>0</v>
      </c>
      <c r="AA106" t="s">
        <v>238</v>
      </c>
    </row>
    <row r="107" spans="1:27" x14ac:dyDescent="0.25">
      <c r="A107" s="14" t="s">
        <v>239</v>
      </c>
      <c r="B107" s="14" t="s">
        <v>40</v>
      </c>
      <c r="C107" s="14"/>
      <c r="D107" s="14"/>
      <c r="E107" s="14">
        <v>-2</v>
      </c>
      <c r="F107" s="14"/>
      <c r="G107" s="6">
        <v>0.28000000000000003</v>
      </c>
      <c r="H107" s="14">
        <v>40</v>
      </c>
      <c r="I107" s="9" t="s">
        <v>50</v>
      </c>
      <c r="J107" s="14"/>
      <c r="K107" s="14">
        <v>81</v>
      </c>
      <c r="L107" s="14">
        <f t="shared" si="17"/>
        <v>-83</v>
      </c>
      <c r="M107" s="14"/>
      <c r="N107" s="14"/>
      <c r="O107" s="14">
        <v>250</v>
      </c>
      <c r="P107" s="14">
        <v>-252</v>
      </c>
      <c r="Q107" s="14"/>
      <c r="R107" s="14">
        <v>74.605714285714285</v>
      </c>
      <c r="S107" s="14">
        <f t="shared" si="18"/>
        <v>-0.4</v>
      </c>
      <c r="T107" s="4">
        <v>40</v>
      </c>
      <c r="U107" s="4">
        <f>T107*1.2</f>
        <v>48</v>
      </c>
      <c r="V107" s="14">
        <f t="shared" si="19"/>
        <v>-301.51428571428568</v>
      </c>
      <c r="W107" s="14">
        <f t="shared" si="20"/>
        <v>-181.51428571428571</v>
      </c>
      <c r="X107" s="14">
        <v>0</v>
      </c>
      <c r="Y107" s="14"/>
      <c r="Z107" s="14">
        <f t="shared" si="21"/>
        <v>13</v>
      </c>
      <c r="AA107" t="s">
        <v>240</v>
      </c>
    </row>
    <row r="108" spans="1:27" x14ac:dyDescent="0.25">
      <c r="A108" s="14" t="s">
        <v>241</v>
      </c>
      <c r="B108" s="14" t="s">
        <v>40</v>
      </c>
      <c r="C108" s="14"/>
      <c r="D108" s="14"/>
      <c r="E108" s="14"/>
      <c r="F108" s="14"/>
      <c r="G108" s="6">
        <v>0.28000000000000003</v>
      </c>
      <c r="H108" s="14">
        <v>40</v>
      </c>
      <c r="I108" s="9" t="s">
        <v>50</v>
      </c>
      <c r="J108" s="14"/>
      <c r="K108" s="14">
        <v>105</v>
      </c>
      <c r="L108" s="14">
        <f t="shared" si="17"/>
        <v>-105</v>
      </c>
      <c r="M108" s="14"/>
      <c r="N108" s="14"/>
      <c r="O108" s="14">
        <v>250</v>
      </c>
      <c r="P108" s="14"/>
      <c r="Q108" s="14"/>
      <c r="R108" s="14">
        <v>0</v>
      </c>
      <c r="S108" s="14">
        <f t="shared" si="18"/>
        <v>0</v>
      </c>
      <c r="T108" s="4">
        <v>50</v>
      </c>
      <c r="U108" s="4">
        <f>T108*1.2</f>
        <v>60</v>
      </c>
      <c r="V108" s="14" t="e">
        <f t="shared" si="19"/>
        <v>#DIV/0!</v>
      </c>
      <c r="W108" s="14" t="e">
        <f t="shared" si="20"/>
        <v>#DIV/0!</v>
      </c>
      <c r="X108" s="14">
        <v>0</v>
      </c>
      <c r="Y108" s="14"/>
      <c r="Z108" s="14">
        <f t="shared" si="21"/>
        <v>17</v>
      </c>
      <c r="AA108" t="s">
        <v>242</v>
      </c>
    </row>
    <row r="109" spans="1:27" x14ac:dyDescent="0.25">
      <c r="A109" s="14" t="s">
        <v>243</v>
      </c>
      <c r="B109" s="14" t="s">
        <v>40</v>
      </c>
      <c r="C109" s="14"/>
      <c r="D109" s="14"/>
      <c r="E109" s="14"/>
      <c r="F109" s="14"/>
      <c r="G109" s="6">
        <v>0.28000000000000003</v>
      </c>
      <c r="H109" s="14">
        <v>40</v>
      </c>
      <c r="I109" s="9" t="s">
        <v>50</v>
      </c>
      <c r="J109" s="14"/>
      <c r="K109" s="14">
        <v>82</v>
      </c>
      <c r="L109" s="14">
        <f t="shared" si="17"/>
        <v>-82</v>
      </c>
      <c r="M109" s="14"/>
      <c r="N109" s="14"/>
      <c r="O109" s="14">
        <v>250</v>
      </c>
      <c r="P109" s="14">
        <v>-252</v>
      </c>
      <c r="Q109" s="14"/>
      <c r="R109" s="14">
        <v>36.61538461538462</v>
      </c>
      <c r="S109" s="14">
        <f t="shared" si="18"/>
        <v>0</v>
      </c>
      <c r="T109" s="4">
        <v>40</v>
      </c>
      <c r="U109" s="4">
        <f>T109*1.2</f>
        <v>48</v>
      </c>
      <c r="V109" s="14" t="e">
        <f t="shared" si="19"/>
        <v>#DIV/0!</v>
      </c>
      <c r="W109" s="14" t="e">
        <f t="shared" si="20"/>
        <v>#DIV/0!</v>
      </c>
      <c r="X109" s="14">
        <v>0</v>
      </c>
      <c r="Y109" s="14"/>
      <c r="Z109" s="14">
        <f t="shared" si="21"/>
        <v>13</v>
      </c>
      <c r="AA109" t="s">
        <v>244</v>
      </c>
    </row>
    <row r="110" spans="1:27" x14ac:dyDescent="0.25">
      <c r="A110" s="14" t="s">
        <v>245</v>
      </c>
      <c r="B110" s="14" t="s">
        <v>40</v>
      </c>
      <c r="C110" s="14"/>
      <c r="D110" s="14">
        <v>30</v>
      </c>
      <c r="E110" s="14">
        <v>4</v>
      </c>
      <c r="F110" s="14">
        <v>28</v>
      </c>
      <c r="G110" s="6">
        <v>0.09</v>
      </c>
      <c r="H110" s="14">
        <v>45</v>
      </c>
      <c r="I110" s="14" t="s">
        <v>33</v>
      </c>
      <c r="J110" s="14"/>
      <c r="K110" s="14">
        <v>2</v>
      </c>
      <c r="L110" s="14">
        <f t="shared" si="17"/>
        <v>2</v>
      </c>
      <c r="M110" s="14"/>
      <c r="N110" s="14"/>
      <c r="O110" s="14"/>
      <c r="P110" s="14"/>
      <c r="Q110" s="14"/>
      <c r="R110" s="14">
        <v>5.9665271966527156</v>
      </c>
      <c r="S110" s="14">
        <f t="shared" si="18"/>
        <v>0.8</v>
      </c>
      <c r="T110" s="4"/>
      <c r="U110" s="4">
        <f>T110</f>
        <v>0</v>
      </c>
      <c r="V110" s="14">
        <f t="shared" si="19"/>
        <v>42.458158995815886</v>
      </c>
      <c r="W110" s="14">
        <f t="shared" si="20"/>
        <v>42.458158995815886</v>
      </c>
      <c r="X110" s="14">
        <v>0</v>
      </c>
      <c r="Y110" s="14"/>
      <c r="Z110" s="14">
        <f t="shared" si="21"/>
        <v>0</v>
      </c>
      <c r="AA110" t="s">
        <v>246</v>
      </c>
    </row>
    <row r="111" spans="1:27" x14ac:dyDescent="0.25">
      <c r="A111" s="14" t="s">
        <v>247</v>
      </c>
      <c r="B111" s="14" t="s">
        <v>32</v>
      </c>
      <c r="C111" s="14"/>
      <c r="D111" s="14"/>
      <c r="E111" s="14"/>
      <c r="F111" s="14"/>
      <c r="G111" s="6">
        <v>1</v>
      </c>
      <c r="H111" s="14">
        <v>60</v>
      </c>
      <c r="I111" s="14" t="s">
        <v>33</v>
      </c>
      <c r="J111" s="14"/>
      <c r="K111" s="14">
        <v>25</v>
      </c>
      <c r="L111" s="14">
        <f t="shared" si="17"/>
        <v>-25</v>
      </c>
      <c r="M111" s="14"/>
      <c r="N111" s="14"/>
      <c r="O111" s="14">
        <v>18.379400000000011</v>
      </c>
      <c r="P111" s="14"/>
      <c r="Q111" s="14"/>
      <c r="R111" s="14">
        <v>0</v>
      </c>
      <c r="S111" s="14">
        <f t="shared" si="18"/>
        <v>0</v>
      </c>
      <c r="T111" s="4"/>
      <c r="U111" s="4">
        <f>T111</f>
        <v>0</v>
      </c>
      <c r="V111" s="14" t="e">
        <f t="shared" si="19"/>
        <v>#DIV/0!</v>
      </c>
      <c r="W111" s="14" t="e">
        <f t="shared" si="20"/>
        <v>#DIV/0!</v>
      </c>
      <c r="X111" s="14">
        <v>0</v>
      </c>
      <c r="Y111" s="14"/>
      <c r="Z111" s="14">
        <f t="shared" si="21"/>
        <v>0</v>
      </c>
      <c r="AA111" t="s">
        <v>248</v>
      </c>
    </row>
    <row r="112" spans="1:27" x14ac:dyDescent="0.25">
      <c r="A112" s="14" t="s">
        <v>249</v>
      </c>
      <c r="B112" s="14" t="s">
        <v>32</v>
      </c>
      <c r="C112" s="14"/>
      <c r="D112" s="14"/>
      <c r="E112" s="14"/>
      <c r="F112" s="14"/>
      <c r="G112" s="6">
        <v>1</v>
      </c>
      <c r="H112" s="14">
        <v>50</v>
      </c>
      <c r="I112" s="14" t="s">
        <v>33</v>
      </c>
      <c r="J112" s="14"/>
      <c r="K112" s="14">
        <v>2.5</v>
      </c>
      <c r="L112" s="14">
        <f t="shared" si="17"/>
        <v>-2.5</v>
      </c>
      <c r="M112" s="14"/>
      <c r="N112" s="14"/>
      <c r="O112" s="14">
        <v>47.601800000000019</v>
      </c>
      <c r="P112" s="14"/>
      <c r="Q112" s="14"/>
      <c r="R112" s="14">
        <v>0</v>
      </c>
      <c r="S112" s="14">
        <f t="shared" si="18"/>
        <v>0</v>
      </c>
      <c r="T112" s="4"/>
      <c r="U112" s="4">
        <f>T112</f>
        <v>0</v>
      </c>
      <c r="V112" s="14" t="e">
        <f t="shared" si="19"/>
        <v>#DIV/0!</v>
      </c>
      <c r="W112" s="14" t="e">
        <f t="shared" si="20"/>
        <v>#DIV/0!</v>
      </c>
      <c r="X112" s="14">
        <v>0</v>
      </c>
      <c r="Y112" s="14"/>
      <c r="Z112" s="14">
        <f t="shared" si="21"/>
        <v>0</v>
      </c>
      <c r="AA112" t="s">
        <v>250</v>
      </c>
    </row>
    <row r="113" spans="1:27" x14ac:dyDescent="0.25">
      <c r="A113" s="14" t="s">
        <v>251</v>
      </c>
      <c r="B113" s="14" t="s">
        <v>40</v>
      </c>
      <c r="C113" s="14"/>
      <c r="D113" s="14">
        <v>30</v>
      </c>
      <c r="E113" s="14">
        <v>23</v>
      </c>
      <c r="F113" s="14">
        <v>9</v>
      </c>
      <c r="G113" s="6">
        <v>0.09</v>
      </c>
      <c r="H113" s="14">
        <v>45</v>
      </c>
      <c r="I113" s="14" t="s">
        <v>33</v>
      </c>
      <c r="J113" s="14"/>
      <c r="K113" s="14">
        <v>21</v>
      </c>
      <c r="L113" s="14">
        <f t="shared" si="17"/>
        <v>2</v>
      </c>
      <c r="M113" s="14"/>
      <c r="N113" s="14"/>
      <c r="O113" s="14"/>
      <c r="P113" s="14"/>
      <c r="Q113" s="14"/>
      <c r="R113" s="14">
        <v>9.2393617021276633</v>
      </c>
      <c r="S113" s="14">
        <f t="shared" si="18"/>
        <v>4.5999999999999996</v>
      </c>
      <c r="T113" s="4">
        <f>12*S113-R113-F113</f>
        <v>36.960638297872336</v>
      </c>
      <c r="U113" s="4">
        <f>T113+S113*$U$1</f>
        <v>46.160638297872339</v>
      </c>
      <c r="V113" s="14">
        <f t="shared" si="19"/>
        <v>14.000000000000002</v>
      </c>
      <c r="W113" s="14">
        <f t="shared" si="20"/>
        <v>3.9650786308973185</v>
      </c>
      <c r="X113" s="14">
        <v>0</v>
      </c>
      <c r="Y113" s="14"/>
      <c r="Z113" s="14">
        <f t="shared" si="21"/>
        <v>4</v>
      </c>
      <c r="AA113" t="s">
        <v>252</v>
      </c>
    </row>
    <row r="114" spans="1:27" x14ac:dyDescent="0.25">
      <c r="A114" s="14" t="s">
        <v>253</v>
      </c>
      <c r="B114" s="14" t="s">
        <v>40</v>
      </c>
      <c r="C114" s="14"/>
      <c r="D114" s="14">
        <v>30</v>
      </c>
      <c r="E114" s="14">
        <v>3</v>
      </c>
      <c r="F114" s="14">
        <v>29</v>
      </c>
      <c r="G114" s="6">
        <v>0.09</v>
      </c>
      <c r="H114" s="14">
        <v>45</v>
      </c>
      <c r="I114" s="14" t="s">
        <v>33</v>
      </c>
      <c r="J114" s="14"/>
      <c r="K114" s="14">
        <v>1</v>
      </c>
      <c r="L114" s="14">
        <f t="shared" si="17"/>
        <v>2</v>
      </c>
      <c r="M114" s="14"/>
      <c r="N114" s="14"/>
      <c r="O114" s="14"/>
      <c r="P114" s="14"/>
      <c r="Q114" s="14"/>
      <c r="R114" s="14">
        <v>5.5317073170731712</v>
      </c>
      <c r="S114" s="14">
        <f t="shared" si="18"/>
        <v>0.6</v>
      </c>
      <c r="T114" s="4"/>
      <c r="U114" s="4">
        <f>T114</f>
        <v>0</v>
      </c>
      <c r="V114" s="14">
        <f t="shared" si="19"/>
        <v>57.552845528455286</v>
      </c>
      <c r="W114" s="14">
        <f t="shared" si="20"/>
        <v>57.552845528455286</v>
      </c>
      <c r="X114" s="14">
        <v>0</v>
      </c>
      <c r="Y114" s="14"/>
      <c r="Z114" s="14">
        <f t="shared" si="21"/>
        <v>0</v>
      </c>
      <c r="AA114" t="s">
        <v>254</v>
      </c>
    </row>
    <row r="115" spans="1:27" x14ac:dyDescent="0.25">
      <c r="A115" s="14" t="s">
        <v>255</v>
      </c>
      <c r="B115" s="14" t="s">
        <v>32</v>
      </c>
      <c r="C115" s="14"/>
      <c r="D115" s="14">
        <v>41.22</v>
      </c>
      <c r="E115" s="14">
        <v>14.879</v>
      </c>
      <c r="F115" s="14">
        <v>27.521999999999998</v>
      </c>
      <c r="G115" s="6">
        <v>1</v>
      </c>
      <c r="H115" s="14">
        <v>60</v>
      </c>
      <c r="I115" s="14" t="s">
        <v>33</v>
      </c>
      <c r="J115" s="14"/>
      <c r="K115" s="14">
        <v>14.3</v>
      </c>
      <c r="L115" s="14">
        <f t="shared" si="17"/>
        <v>0.57899999999999885</v>
      </c>
      <c r="M115" s="14"/>
      <c r="N115" s="14"/>
      <c r="O115" s="14"/>
      <c r="P115" s="14"/>
      <c r="Q115" s="14"/>
      <c r="R115" s="14">
        <v>19.292426544190839</v>
      </c>
      <c r="S115" s="14">
        <f t="shared" si="18"/>
        <v>2.9758</v>
      </c>
      <c r="T115" s="4"/>
      <c r="U115" s="4">
        <f>T115</f>
        <v>0</v>
      </c>
      <c r="V115" s="14">
        <f t="shared" si="19"/>
        <v>15.731711319373224</v>
      </c>
      <c r="W115" s="14">
        <f t="shared" si="20"/>
        <v>15.731711319373224</v>
      </c>
      <c r="X115" s="14">
        <v>0</v>
      </c>
      <c r="Y115" s="14"/>
      <c r="Z115" s="14">
        <f t="shared" si="21"/>
        <v>0</v>
      </c>
      <c r="AA115" t="s">
        <v>256</v>
      </c>
    </row>
    <row r="116" spans="1:27" x14ac:dyDescent="0.25">
      <c r="A116" s="14" t="s">
        <v>257</v>
      </c>
      <c r="B116" s="14" t="s">
        <v>32</v>
      </c>
      <c r="C116" s="14"/>
      <c r="D116" s="14">
        <v>166.393</v>
      </c>
      <c r="E116" s="14">
        <v>8.1259999999999994</v>
      </c>
      <c r="F116" s="14">
        <v>141.60300000000001</v>
      </c>
      <c r="G116" s="6">
        <v>1</v>
      </c>
      <c r="H116" s="14">
        <v>60</v>
      </c>
      <c r="I116" s="14" t="s">
        <v>33</v>
      </c>
      <c r="J116" s="14"/>
      <c r="K116" s="14">
        <v>29.9</v>
      </c>
      <c r="L116" s="14">
        <f t="shared" si="17"/>
        <v>-21.774000000000001</v>
      </c>
      <c r="M116" s="14"/>
      <c r="N116" s="14"/>
      <c r="O116" s="14"/>
      <c r="P116" s="14"/>
      <c r="Q116" s="14"/>
      <c r="R116" s="14">
        <v>50</v>
      </c>
      <c r="S116" s="14">
        <f t="shared" si="18"/>
        <v>1.6252</v>
      </c>
      <c r="T116" s="4"/>
      <c r="U116" s="4">
        <f>T116</f>
        <v>0</v>
      </c>
      <c r="V116" s="14">
        <f t="shared" si="19"/>
        <v>117.89502830420872</v>
      </c>
      <c r="W116" s="14">
        <f t="shared" si="20"/>
        <v>117.89502830420872</v>
      </c>
      <c r="X116" s="14">
        <v>0</v>
      </c>
      <c r="Y116" s="14"/>
      <c r="Z116" s="14">
        <f t="shared" si="21"/>
        <v>0</v>
      </c>
      <c r="AA116" t="s">
        <v>258</v>
      </c>
    </row>
    <row r="117" spans="1:27" x14ac:dyDescent="0.25">
      <c r="A117" s="14" t="s">
        <v>259</v>
      </c>
      <c r="B117" s="14" t="s">
        <v>32</v>
      </c>
      <c r="C117" s="14"/>
      <c r="D117" s="14">
        <v>16.323</v>
      </c>
      <c r="E117" s="14">
        <v>9.5549999999999997</v>
      </c>
      <c r="F117" s="14">
        <v>6.7679999999999998</v>
      </c>
      <c r="G117" s="6">
        <v>1</v>
      </c>
      <c r="H117" s="14">
        <v>60</v>
      </c>
      <c r="I117" s="14" t="s">
        <v>33</v>
      </c>
      <c r="J117" s="14"/>
      <c r="K117" s="14">
        <v>10.4</v>
      </c>
      <c r="L117" s="14">
        <f t="shared" si="17"/>
        <v>-0.84500000000000064</v>
      </c>
      <c r="M117" s="14"/>
      <c r="N117" s="14"/>
      <c r="O117" s="14">
        <v>12.7532</v>
      </c>
      <c r="P117" s="14"/>
      <c r="Q117" s="14"/>
      <c r="R117" s="14">
        <v>0</v>
      </c>
      <c r="S117" s="14">
        <f t="shared" si="18"/>
        <v>1.911</v>
      </c>
      <c r="T117" s="4">
        <f>12*S117-R117-Q117-P117-O117-F117</f>
        <v>3.4108000000000027</v>
      </c>
      <c r="U117" s="4">
        <f>T117+S117*$U$1</f>
        <v>7.2328000000000028</v>
      </c>
      <c r="V117" s="14">
        <f t="shared" si="19"/>
        <v>14.000000000000002</v>
      </c>
      <c r="W117" s="14">
        <f t="shared" si="20"/>
        <v>10.215175300889587</v>
      </c>
      <c r="X117" s="14">
        <v>0</v>
      </c>
      <c r="Y117" s="14"/>
      <c r="Z117" s="14">
        <f t="shared" si="21"/>
        <v>7</v>
      </c>
      <c r="AA117" t="s">
        <v>260</v>
      </c>
    </row>
    <row r="118" spans="1:27" x14ac:dyDescent="0.25">
      <c r="A118" s="14" t="s">
        <v>261</v>
      </c>
      <c r="B118" s="14" t="s">
        <v>32</v>
      </c>
      <c r="C118" s="14"/>
      <c r="D118" s="14">
        <v>727.12800000000004</v>
      </c>
      <c r="E118" s="14">
        <v>453.28699999999998</v>
      </c>
      <c r="F118" s="14">
        <v>12.404999999999999</v>
      </c>
      <c r="G118" s="6">
        <v>1</v>
      </c>
      <c r="H118" s="14">
        <v>60</v>
      </c>
      <c r="I118" s="14" t="s">
        <v>33</v>
      </c>
      <c r="J118" s="14"/>
      <c r="K118" s="14">
        <v>665.1</v>
      </c>
      <c r="L118" s="14">
        <f t="shared" si="17"/>
        <v>-211.81300000000005</v>
      </c>
      <c r="M118" s="14"/>
      <c r="N118" s="14"/>
      <c r="O118" s="14">
        <v>500</v>
      </c>
      <c r="P118" s="14"/>
      <c r="Q118" s="14"/>
      <c r="R118" s="14">
        <v>200</v>
      </c>
      <c r="S118" s="14">
        <f t="shared" si="18"/>
        <v>90.657399999999996</v>
      </c>
      <c r="T118" s="16">
        <f>11*S118-R118-Q118-P118-O118-F118</f>
        <v>284.82639999999992</v>
      </c>
      <c r="U118" s="4">
        <v>700</v>
      </c>
      <c r="V118" s="14">
        <f t="shared" si="19"/>
        <v>15.579588649133992</v>
      </c>
      <c r="W118" s="14">
        <f t="shared" si="20"/>
        <v>7.8582112436491673</v>
      </c>
      <c r="X118" s="14">
        <v>0</v>
      </c>
      <c r="Y118" s="14"/>
      <c r="Z118" s="14">
        <f t="shared" si="21"/>
        <v>700</v>
      </c>
      <c r="AA118" t="s">
        <v>262</v>
      </c>
    </row>
    <row r="119" spans="1:27" x14ac:dyDescent="0.25">
      <c r="A119" s="14" t="s">
        <v>263</v>
      </c>
      <c r="B119" s="14" t="s">
        <v>40</v>
      </c>
      <c r="C119" s="14"/>
      <c r="D119" s="14">
        <v>228</v>
      </c>
      <c r="E119" s="14">
        <v>3</v>
      </c>
      <c r="F119" s="14">
        <v>228</v>
      </c>
      <c r="G119" s="6">
        <v>0.25</v>
      </c>
      <c r="H119" s="14">
        <v>1096</v>
      </c>
      <c r="I119" s="14" t="s">
        <v>33</v>
      </c>
      <c r="J119" s="14"/>
      <c r="K119" s="14">
        <v>10</v>
      </c>
      <c r="L119" s="14">
        <f t="shared" si="17"/>
        <v>-7</v>
      </c>
      <c r="M119" s="14"/>
      <c r="N119" s="14"/>
      <c r="O119" s="14"/>
      <c r="P119" s="14"/>
      <c r="Q119" s="14"/>
      <c r="R119" s="14">
        <v>50</v>
      </c>
      <c r="S119" s="14">
        <f t="shared" si="18"/>
        <v>0.6</v>
      </c>
      <c r="T119" s="4"/>
      <c r="U119" s="4">
        <f>T119</f>
        <v>0</v>
      </c>
      <c r="V119" s="14">
        <f t="shared" si="19"/>
        <v>463.33333333333337</v>
      </c>
      <c r="W119" s="14">
        <f t="shared" si="20"/>
        <v>463.33333333333337</v>
      </c>
      <c r="X119" s="14">
        <v>0</v>
      </c>
      <c r="Y119" s="14"/>
      <c r="Z119" s="14">
        <f t="shared" si="21"/>
        <v>0</v>
      </c>
      <c r="AA119" t="s">
        <v>264</v>
      </c>
    </row>
    <row r="120" spans="1:27" x14ac:dyDescent="0.25">
      <c r="A120" s="14" t="s">
        <v>265</v>
      </c>
      <c r="B120" s="14" t="s">
        <v>40</v>
      </c>
      <c r="C120" s="14"/>
      <c r="D120" s="14">
        <v>144</v>
      </c>
      <c r="E120" s="14">
        <v>17</v>
      </c>
      <c r="F120" s="14">
        <v>129</v>
      </c>
      <c r="G120" s="6">
        <v>0.32500000000000001</v>
      </c>
      <c r="H120" s="14">
        <v>1096</v>
      </c>
      <c r="I120" s="14" t="s">
        <v>33</v>
      </c>
      <c r="J120" s="14"/>
      <c r="K120" s="14">
        <v>15</v>
      </c>
      <c r="L120" s="14">
        <f t="shared" si="17"/>
        <v>2</v>
      </c>
      <c r="M120" s="14"/>
      <c r="N120" s="14"/>
      <c r="O120" s="14"/>
      <c r="P120" s="14"/>
      <c r="Q120" s="14"/>
      <c r="R120" s="14">
        <v>0</v>
      </c>
      <c r="S120" s="14">
        <f t="shared" si="18"/>
        <v>3.4</v>
      </c>
      <c r="T120" s="4"/>
      <c r="U120" s="4">
        <f>T120</f>
        <v>0</v>
      </c>
      <c r="V120" s="14">
        <f t="shared" si="19"/>
        <v>37.941176470588239</v>
      </c>
      <c r="W120" s="14">
        <f t="shared" si="20"/>
        <v>37.941176470588239</v>
      </c>
      <c r="X120" s="14">
        <v>0</v>
      </c>
      <c r="Y120" s="14"/>
      <c r="Z120" s="14">
        <f t="shared" si="21"/>
        <v>0</v>
      </c>
      <c r="AA120" t="s">
        <v>266</v>
      </c>
    </row>
    <row r="121" spans="1:27" x14ac:dyDescent="0.25">
      <c r="A121" s="14" t="s">
        <v>267</v>
      </c>
      <c r="B121" s="14" t="s">
        <v>40</v>
      </c>
      <c r="C121" s="14"/>
      <c r="D121" s="14">
        <v>144</v>
      </c>
      <c r="E121" s="14">
        <v>12</v>
      </c>
      <c r="F121" s="14">
        <v>134</v>
      </c>
      <c r="G121" s="6">
        <v>0.25</v>
      </c>
      <c r="H121" s="14">
        <v>1096</v>
      </c>
      <c r="I121" s="14" t="s">
        <v>33</v>
      </c>
      <c r="J121" s="14"/>
      <c r="K121" s="14">
        <v>10</v>
      </c>
      <c r="L121" s="14">
        <f t="shared" si="17"/>
        <v>2</v>
      </c>
      <c r="M121" s="14"/>
      <c r="N121" s="14"/>
      <c r="O121" s="14"/>
      <c r="P121" s="14"/>
      <c r="Q121" s="14"/>
      <c r="R121" s="14">
        <v>0</v>
      </c>
      <c r="S121" s="14">
        <f t="shared" si="18"/>
        <v>2.4</v>
      </c>
      <c r="T121" s="4"/>
      <c r="U121" s="4">
        <f>T121</f>
        <v>0</v>
      </c>
      <c r="V121" s="14">
        <f t="shared" si="19"/>
        <v>55.833333333333336</v>
      </c>
      <c r="W121" s="14">
        <f t="shared" si="20"/>
        <v>55.833333333333336</v>
      </c>
      <c r="X121" s="14">
        <v>0</v>
      </c>
      <c r="Y121" s="14"/>
      <c r="Z121" s="14">
        <f t="shared" si="21"/>
        <v>0</v>
      </c>
      <c r="AA121" t="s">
        <v>268</v>
      </c>
    </row>
    <row r="122" spans="1:27" x14ac:dyDescent="0.25">
      <c r="A122" s="14" t="s">
        <v>269</v>
      </c>
      <c r="B122" s="14" t="s">
        <v>40</v>
      </c>
      <c r="C122" s="14"/>
      <c r="D122" s="14"/>
      <c r="E122" s="14">
        <v>-1</v>
      </c>
      <c r="F122" s="14"/>
      <c r="G122" s="6">
        <v>0.3</v>
      </c>
      <c r="H122" s="14">
        <v>40</v>
      </c>
      <c r="I122" s="9" t="s">
        <v>50</v>
      </c>
      <c r="J122" s="14"/>
      <c r="K122" s="14">
        <v>1</v>
      </c>
      <c r="L122" s="14">
        <f t="shared" si="17"/>
        <v>-2</v>
      </c>
      <c r="M122" s="14"/>
      <c r="N122" s="14"/>
      <c r="O122" s="14">
        <v>150</v>
      </c>
      <c r="P122" s="14"/>
      <c r="Q122" s="14"/>
      <c r="R122" s="14">
        <v>20.332225913621262</v>
      </c>
      <c r="S122" s="14">
        <f t="shared" si="18"/>
        <v>-0.2</v>
      </c>
      <c r="T122" s="4">
        <v>8</v>
      </c>
      <c r="U122" s="4">
        <f>T122*1.2</f>
        <v>9.6</v>
      </c>
      <c r="V122" s="14">
        <f t="shared" si="19"/>
        <v>-899.66112956810628</v>
      </c>
      <c r="W122" s="14">
        <f t="shared" si="20"/>
        <v>-851.66112956810628</v>
      </c>
      <c r="X122" s="14">
        <v>0</v>
      </c>
      <c r="Y122" s="14"/>
      <c r="Z122" s="14">
        <f t="shared" si="21"/>
        <v>3</v>
      </c>
      <c r="AA122" t="s">
        <v>270</v>
      </c>
    </row>
    <row r="123" spans="1:27" x14ac:dyDescent="0.25">
      <c r="A123" s="14" t="s">
        <v>271</v>
      </c>
      <c r="B123" s="14" t="s">
        <v>40</v>
      </c>
      <c r="C123" s="14"/>
      <c r="D123" s="14"/>
      <c r="E123" s="14"/>
      <c r="F123" s="14"/>
      <c r="G123" s="6">
        <v>0.3</v>
      </c>
      <c r="H123" s="14">
        <v>40</v>
      </c>
      <c r="I123" s="9" t="s">
        <v>50</v>
      </c>
      <c r="J123" s="14"/>
      <c r="K123" s="14">
        <v>1</v>
      </c>
      <c r="L123" s="14">
        <f t="shared" si="17"/>
        <v>-1</v>
      </c>
      <c r="M123" s="14"/>
      <c r="N123" s="14"/>
      <c r="O123" s="14">
        <v>90</v>
      </c>
      <c r="P123" s="14"/>
      <c r="Q123" s="14"/>
      <c r="R123" s="14">
        <v>35.172413793103452</v>
      </c>
      <c r="S123" s="14">
        <f t="shared" si="18"/>
        <v>0</v>
      </c>
      <c r="T123" s="4"/>
      <c r="U123" s="4">
        <f>T123*1.2</f>
        <v>0</v>
      </c>
      <c r="V123" s="14" t="e">
        <f t="shared" si="19"/>
        <v>#DIV/0!</v>
      </c>
      <c r="W123" s="14" t="e">
        <f t="shared" si="20"/>
        <v>#DIV/0!</v>
      </c>
      <c r="X123" s="14">
        <v>0</v>
      </c>
      <c r="Y123" s="14"/>
      <c r="Z123" s="14">
        <f t="shared" si="21"/>
        <v>0</v>
      </c>
      <c r="AA123" t="s">
        <v>272</v>
      </c>
    </row>
    <row r="124" spans="1:27" x14ac:dyDescent="0.25">
      <c r="A124" s="14" t="s">
        <v>273</v>
      </c>
      <c r="B124" s="14" t="s">
        <v>32</v>
      </c>
      <c r="C124" s="14"/>
      <c r="D124" s="14"/>
      <c r="E124" s="14">
        <v>-0.53600000000000003</v>
      </c>
      <c r="F124" s="14"/>
      <c r="G124" s="6">
        <v>1</v>
      </c>
      <c r="H124" s="14">
        <v>50</v>
      </c>
      <c r="I124" s="14" t="s">
        <v>33</v>
      </c>
      <c r="J124" s="14"/>
      <c r="K124" s="14">
        <v>11.7</v>
      </c>
      <c r="L124" s="14">
        <f t="shared" si="17"/>
        <v>-12.235999999999999</v>
      </c>
      <c r="M124" s="14"/>
      <c r="N124" s="14"/>
      <c r="O124" s="14"/>
      <c r="P124" s="14"/>
      <c r="Q124" s="14"/>
      <c r="R124" s="14">
        <v>10</v>
      </c>
      <c r="S124" s="14">
        <f t="shared" si="18"/>
        <v>-0.1072</v>
      </c>
      <c r="T124" s="4">
        <v>10</v>
      </c>
      <c r="U124" s="4">
        <v>20</v>
      </c>
      <c r="V124" s="14">
        <f t="shared" si="19"/>
        <v>-279.85074626865674</v>
      </c>
      <c r="W124" s="14">
        <f t="shared" si="20"/>
        <v>-93.28358208955224</v>
      </c>
      <c r="X124" s="14">
        <v>0</v>
      </c>
      <c r="Y124" s="14"/>
      <c r="Z124" s="14">
        <f t="shared" si="21"/>
        <v>20</v>
      </c>
      <c r="AA124" t="s">
        <v>274</v>
      </c>
    </row>
    <row r="125" spans="1:27" x14ac:dyDescent="0.25">
      <c r="A125" s="14" t="s">
        <v>275</v>
      </c>
      <c r="B125" s="14" t="s">
        <v>40</v>
      </c>
      <c r="C125" s="14"/>
      <c r="D125" s="14"/>
      <c r="E125" s="14"/>
      <c r="F125" s="14"/>
      <c r="G125" s="6">
        <v>0.3</v>
      </c>
      <c r="H125" s="14">
        <v>40</v>
      </c>
      <c r="I125" s="9" t="s">
        <v>50</v>
      </c>
      <c r="J125" s="14"/>
      <c r="K125" s="14"/>
      <c r="L125" s="14">
        <f t="shared" si="17"/>
        <v>0</v>
      </c>
      <c r="M125" s="14"/>
      <c r="N125" s="14"/>
      <c r="O125" s="14">
        <v>60</v>
      </c>
      <c r="P125" s="14"/>
      <c r="Q125" s="14"/>
      <c r="R125" s="14">
        <v>25</v>
      </c>
      <c r="S125" s="14">
        <f t="shared" si="18"/>
        <v>0</v>
      </c>
      <c r="T125" s="4"/>
      <c r="U125" s="4">
        <f>T125*1.2</f>
        <v>0</v>
      </c>
      <c r="V125" s="14" t="e">
        <f t="shared" si="19"/>
        <v>#DIV/0!</v>
      </c>
      <c r="W125" s="14" t="e">
        <f t="shared" si="20"/>
        <v>#DIV/0!</v>
      </c>
      <c r="X125" s="14">
        <v>0</v>
      </c>
      <c r="Y125" s="14"/>
      <c r="Z125" s="14">
        <f t="shared" si="21"/>
        <v>0</v>
      </c>
      <c r="AA125" t="s">
        <v>276</v>
      </c>
    </row>
    <row r="126" spans="1:27" x14ac:dyDescent="0.25">
      <c r="A126" s="14" t="s">
        <v>277</v>
      </c>
      <c r="B126" s="14" t="s">
        <v>40</v>
      </c>
      <c r="C126" s="14"/>
      <c r="D126" s="14"/>
      <c r="E126" s="14"/>
      <c r="F126" s="14"/>
      <c r="G126" s="6">
        <v>0.12</v>
      </c>
      <c r="H126" s="14">
        <v>45</v>
      </c>
      <c r="I126" s="9" t="s">
        <v>50</v>
      </c>
      <c r="J126" s="14"/>
      <c r="K126" s="14">
        <v>7</v>
      </c>
      <c r="L126" s="14">
        <f t="shared" si="17"/>
        <v>-7</v>
      </c>
      <c r="M126" s="14"/>
      <c r="N126" s="14"/>
      <c r="O126" s="14">
        <v>15</v>
      </c>
      <c r="P126" s="14"/>
      <c r="Q126" s="14"/>
      <c r="R126" s="14">
        <v>12.66666666666667</v>
      </c>
      <c r="S126" s="14">
        <f t="shared" si="18"/>
        <v>0</v>
      </c>
      <c r="T126" s="4"/>
      <c r="U126" s="4">
        <f>T126*1.2</f>
        <v>0</v>
      </c>
      <c r="V126" s="14" t="e">
        <f t="shared" si="19"/>
        <v>#DIV/0!</v>
      </c>
      <c r="W126" s="14" t="e">
        <f t="shared" si="20"/>
        <v>#DIV/0!</v>
      </c>
      <c r="X126" s="14">
        <v>0</v>
      </c>
      <c r="Y126" s="14"/>
      <c r="Z126" s="14">
        <f t="shared" si="21"/>
        <v>0</v>
      </c>
      <c r="AA126" t="s">
        <v>278</v>
      </c>
    </row>
    <row r="127" spans="1:27" x14ac:dyDescent="0.25">
      <c r="A127" s="10" t="s">
        <v>279</v>
      </c>
      <c r="B127" s="10" t="s">
        <v>40</v>
      </c>
      <c r="C127" s="10"/>
      <c r="D127" s="10">
        <v>4</v>
      </c>
      <c r="E127" s="13">
        <v>13</v>
      </c>
      <c r="F127" s="13">
        <v>-14</v>
      </c>
      <c r="G127" s="11">
        <v>0</v>
      </c>
      <c r="H127" s="10"/>
      <c r="I127" s="10" t="s">
        <v>280</v>
      </c>
      <c r="J127" s="10" t="s">
        <v>135</v>
      </c>
      <c r="K127" s="10">
        <v>17</v>
      </c>
      <c r="L127" s="10">
        <f t="shared" si="17"/>
        <v>-4</v>
      </c>
      <c r="M127" s="10"/>
      <c r="N127" s="10"/>
      <c r="O127" s="10"/>
      <c r="P127" s="10"/>
      <c r="Q127" s="10"/>
      <c r="R127" s="10"/>
      <c r="S127" s="10">
        <f t="shared" si="18"/>
        <v>2.6</v>
      </c>
      <c r="T127" s="12"/>
      <c r="U127" s="4">
        <f>T127</f>
        <v>0</v>
      </c>
      <c r="V127" s="14">
        <f t="shared" si="19"/>
        <v>-5.3846153846153841</v>
      </c>
      <c r="W127" s="10">
        <f t="shared" si="20"/>
        <v>-5.3846153846153841</v>
      </c>
      <c r="X127" s="10">
        <v>0</v>
      </c>
      <c r="Y127" s="10"/>
      <c r="Z127" s="14">
        <f t="shared" si="21"/>
        <v>0</v>
      </c>
    </row>
    <row r="128" spans="1:27" x14ac:dyDescent="0.25">
      <c r="A128" s="14"/>
      <c r="B128" s="14"/>
      <c r="C128" s="14"/>
      <c r="D128" s="14"/>
      <c r="E128" s="14"/>
      <c r="F128" s="14"/>
      <c r="G128" s="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25">
      <c r="A129" s="14"/>
      <c r="B129" s="14"/>
      <c r="C129" s="14"/>
      <c r="D129" s="14"/>
      <c r="E129" s="14"/>
      <c r="F129" s="14"/>
      <c r="G129" s="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25">
      <c r="A130" s="14"/>
      <c r="B130" s="14"/>
      <c r="C130" s="14"/>
      <c r="D130" s="14"/>
      <c r="E130" s="14"/>
      <c r="F130" s="14"/>
      <c r="G130" s="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25">
      <c r="A131" s="14"/>
      <c r="B131" s="14"/>
      <c r="C131" s="14"/>
      <c r="D131" s="14"/>
      <c r="E131" s="14"/>
      <c r="F131" s="14"/>
      <c r="G131" s="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25">
      <c r="A132" s="14"/>
      <c r="B132" s="14"/>
      <c r="C132" s="14"/>
      <c r="D132" s="14"/>
      <c r="E132" s="14"/>
      <c r="F132" s="14"/>
      <c r="G132" s="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25">
      <c r="A133" s="14"/>
      <c r="B133" s="14"/>
      <c r="C133" s="14"/>
      <c r="D133" s="14"/>
      <c r="E133" s="14"/>
      <c r="F133" s="14"/>
      <c r="G133" s="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25">
      <c r="A134" s="14"/>
      <c r="B134" s="14"/>
      <c r="C134" s="14"/>
      <c r="D134" s="14"/>
      <c r="E134" s="14"/>
      <c r="F134" s="14"/>
      <c r="G134" s="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25">
      <c r="A135" s="14"/>
      <c r="B135" s="14"/>
      <c r="C135" s="14"/>
      <c r="D135" s="14"/>
      <c r="E135" s="14"/>
      <c r="F135" s="14"/>
      <c r="G135" s="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25">
      <c r="A136" s="14"/>
      <c r="B136" s="14"/>
      <c r="C136" s="14"/>
      <c r="D136" s="14"/>
      <c r="E136" s="14"/>
      <c r="F136" s="14"/>
      <c r="G136" s="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25">
      <c r="A137" s="14"/>
      <c r="B137" s="14"/>
      <c r="C137" s="14"/>
      <c r="D137" s="14"/>
      <c r="E137" s="14"/>
      <c r="F137" s="14"/>
      <c r="G137" s="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25">
      <c r="A138" s="14"/>
      <c r="B138" s="14"/>
      <c r="C138" s="14"/>
      <c r="D138" s="14"/>
      <c r="E138" s="14"/>
      <c r="F138" s="14"/>
      <c r="G138" s="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25">
      <c r="A139" s="14"/>
      <c r="B139" s="14"/>
      <c r="C139" s="14"/>
      <c r="D139" s="14"/>
      <c r="E139" s="14"/>
      <c r="F139" s="14"/>
      <c r="G139" s="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25">
      <c r="A140" s="14"/>
      <c r="B140" s="14"/>
      <c r="C140" s="14"/>
      <c r="D140" s="14"/>
      <c r="E140" s="14"/>
      <c r="F140" s="14"/>
      <c r="G140" s="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25">
      <c r="A141" s="14"/>
      <c r="B141" s="14"/>
      <c r="C141" s="14"/>
      <c r="D141" s="14"/>
      <c r="E141" s="14"/>
      <c r="F141" s="14"/>
      <c r="G141" s="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25">
      <c r="A142" s="14"/>
      <c r="B142" s="14"/>
      <c r="C142" s="14"/>
      <c r="D142" s="14"/>
      <c r="E142" s="14"/>
      <c r="F142" s="14"/>
      <c r="G142" s="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25">
      <c r="A143" s="14"/>
      <c r="B143" s="14"/>
      <c r="C143" s="14"/>
      <c r="D143" s="14"/>
      <c r="E143" s="14"/>
      <c r="F143" s="14"/>
      <c r="G143" s="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25">
      <c r="A144" s="14"/>
      <c r="B144" s="14"/>
      <c r="C144" s="14"/>
      <c r="D144" s="14"/>
      <c r="E144" s="14"/>
      <c r="F144" s="14"/>
      <c r="G144" s="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25">
      <c r="A145" s="14"/>
      <c r="B145" s="14"/>
      <c r="C145" s="14"/>
      <c r="D145" s="14"/>
      <c r="E145" s="14"/>
      <c r="F145" s="14"/>
      <c r="G145" s="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25">
      <c r="A146" s="14"/>
      <c r="B146" s="14"/>
      <c r="C146" s="14"/>
      <c r="D146" s="14"/>
      <c r="E146" s="14"/>
      <c r="F146" s="14"/>
      <c r="G146" s="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25">
      <c r="A147" s="14"/>
      <c r="B147" s="14"/>
      <c r="C147" s="14"/>
      <c r="D147" s="14"/>
      <c r="E147" s="14"/>
      <c r="F147" s="14"/>
      <c r="G147" s="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25">
      <c r="A148" s="14"/>
      <c r="B148" s="14"/>
      <c r="C148" s="14"/>
      <c r="D148" s="14"/>
      <c r="E148" s="14"/>
      <c r="F148" s="14"/>
      <c r="G148" s="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25">
      <c r="A149" s="14"/>
      <c r="B149" s="14"/>
      <c r="C149" s="14"/>
      <c r="D149" s="14"/>
      <c r="E149" s="14"/>
      <c r="F149" s="14"/>
      <c r="G149" s="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25">
      <c r="A150" s="14"/>
      <c r="B150" s="14"/>
      <c r="C150" s="14"/>
      <c r="D150" s="14"/>
      <c r="E150" s="14"/>
      <c r="F150" s="14"/>
      <c r="G150" s="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25">
      <c r="A151" s="14"/>
      <c r="B151" s="14"/>
      <c r="C151" s="14"/>
      <c r="D151" s="14"/>
      <c r="E151" s="14"/>
      <c r="F151" s="14"/>
      <c r="G151" s="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25">
      <c r="A152" s="14"/>
      <c r="B152" s="14"/>
      <c r="C152" s="14"/>
      <c r="D152" s="14"/>
      <c r="E152" s="14"/>
      <c r="F152" s="14"/>
      <c r="G152" s="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25">
      <c r="A153" s="14"/>
      <c r="B153" s="14"/>
      <c r="C153" s="14"/>
      <c r="D153" s="14"/>
      <c r="E153" s="14"/>
      <c r="F153" s="14"/>
      <c r="G153" s="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25">
      <c r="A154" s="14"/>
      <c r="B154" s="14"/>
      <c r="C154" s="14"/>
      <c r="D154" s="14"/>
      <c r="E154" s="14"/>
      <c r="F154" s="14"/>
      <c r="G154" s="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25">
      <c r="A155" s="14"/>
      <c r="B155" s="14"/>
      <c r="C155" s="14"/>
      <c r="D155" s="14"/>
      <c r="E155" s="14"/>
      <c r="F155" s="14"/>
      <c r="G155" s="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25">
      <c r="A156" s="14"/>
      <c r="B156" s="14"/>
      <c r="C156" s="14"/>
      <c r="D156" s="14"/>
      <c r="E156" s="14"/>
      <c r="F156" s="14"/>
      <c r="G156" s="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25">
      <c r="A157" s="14"/>
      <c r="B157" s="14"/>
      <c r="C157" s="14"/>
      <c r="D157" s="14"/>
      <c r="E157" s="14"/>
      <c r="F157" s="14"/>
      <c r="G157" s="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25">
      <c r="A158" s="14"/>
      <c r="B158" s="14"/>
      <c r="C158" s="14"/>
      <c r="D158" s="14"/>
      <c r="E158" s="14"/>
      <c r="F158" s="14"/>
      <c r="G158" s="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25">
      <c r="A159" s="14"/>
      <c r="B159" s="14"/>
      <c r="C159" s="14"/>
      <c r="D159" s="14"/>
      <c r="E159" s="14"/>
      <c r="F159" s="14"/>
      <c r="G159" s="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25">
      <c r="A160" s="14"/>
      <c r="B160" s="14"/>
      <c r="C160" s="14"/>
      <c r="D160" s="14"/>
      <c r="E160" s="14"/>
      <c r="F160" s="14"/>
      <c r="G160" s="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25">
      <c r="A161" s="14"/>
      <c r="B161" s="14"/>
      <c r="C161" s="14"/>
      <c r="D161" s="14"/>
      <c r="E161" s="14"/>
      <c r="F161" s="14"/>
      <c r="G161" s="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25">
      <c r="A162" s="14"/>
      <c r="B162" s="14"/>
      <c r="C162" s="14"/>
      <c r="D162" s="14"/>
      <c r="E162" s="14"/>
      <c r="F162" s="14"/>
      <c r="G162" s="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25">
      <c r="A163" s="14"/>
      <c r="B163" s="14"/>
      <c r="C163" s="14"/>
      <c r="D163" s="14"/>
      <c r="E163" s="14"/>
      <c r="F163" s="14"/>
      <c r="G163" s="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25">
      <c r="A164" s="14"/>
      <c r="B164" s="14"/>
      <c r="C164" s="14"/>
      <c r="D164" s="14"/>
      <c r="E164" s="14"/>
      <c r="F164" s="14"/>
      <c r="G164" s="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25">
      <c r="A165" s="14"/>
      <c r="B165" s="14"/>
      <c r="C165" s="14"/>
      <c r="D165" s="14"/>
      <c r="E165" s="14"/>
      <c r="F165" s="14"/>
      <c r="G165" s="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25">
      <c r="A166" s="14"/>
      <c r="B166" s="14"/>
      <c r="C166" s="14"/>
      <c r="D166" s="14"/>
      <c r="E166" s="14"/>
      <c r="F166" s="14"/>
      <c r="G166" s="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25">
      <c r="A167" s="14"/>
      <c r="B167" s="14"/>
      <c r="C167" s="14"/>
      <c r="D167" s="14"/>
      <c r="E167" s="14"/>
      <c r="F167" s="14"/>
      <c r="G167" s="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25">
      <c r="A168" s="14"/>
      <c r="B168" s="14"/>
      <c r="C168" s="14"/>
      <c r="D168" s="14"/>
      <c r="E168" s="14"/>
      <c r="F168" s="14"/>
      <c r="G168" s="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25">
      <c r="A169" s="14"/>
      <c r="B169" s="14"/>
      <c r="C169" s="14"/>
      <c r="D169" s="14"/>
      <c r="E169" s="14"/>
      <c r="F169" s="14"/>
      <c r="G169" s="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25">
      <c r="A170" s="14"/>
      <c r="B170" s="14"/>
      <c r="C170" s="14"/>
      <c r="D170" s="14"/>
      <c r="E170" s="14"/>
      <c r="F170" s="14"/>
      <c r="G170" s="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25">
      <c r="A171" s="14"/>
      <c r="B171" s="14"/>
      <c r="C171" s="14"/>
      <c r="D171" s="14"/>
      <c r="E171" s="14"/>
      <c r="F171" s="14"/>
      <c r="G171" s="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25">
      <c r="A172" s="14"/>
      <c r="B172" s="14"/>
      <c r="C172" s="14"/>
      <c r="D172" s="14"/>
      <c r="E172" s="14"/>
      <c r="F172" s="14"/>
      <c r="G172" s="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25">
      <c r="A173" s="14"/>
      <c r="B173" s="14"/>
      <c r="C173" s="14"/>
      <c r="D173" s="14"/>
      <c r="E173" s="14"/>
      <c r="F173" s="14"/>
      <c r="G173" s="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25">
      <c r="A174" s="14"/>
      <c r="B174" s="14"/>
      <c r="C174" s="14"/>
      <c r="D174" s="14"/>
      <c r="E174" s="14"/>
      <c r="F174" s="14"/>
      <c r="G174" s="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25">
      <c r="A175" s="14"/>
      <c r="B175" s="14"/>
      <c r="C175" s="14"/>
      <c r="D175" s="14"/>
      <c r="E175" s="14"/>
      <c r="F175" s="14"/>
      <c r="G175" s="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25">
      <c r="A176" s="14"/>
      <c r="B176" s="14"/>
      <c r="C176" s="14"/>
      <c r="D176" s="14"/>
      <c r="E176" s="14"/>
      <c r="F176" s="14"/>
      <c r="G176" s="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25">
      <c r="A177" s="14"/>
      <c r="B177" s="14"/>
      <c r="C177" s="14"/>
      <c r="D177" s="14"/>
      <c r="E177" s="14"/>
      <c r="F177" s="14"/>
      <c r="G177" s="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25">
      <c r="A178" s="14"/>
      <c r="B178" s="14"/>
      <c r="C178" s="14"/>
      <c r="D178" s="14"/>
      <c r="E178" s="14"/>
      <c r="F178" s="14"/>
      <c r="G178" s="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25">
      <c r="A179" s="14"/>
      <c r="B179" s="14"/>
      <c r="C179" s="14"/>
      <c r="D179" s="14"/>
      <c r="E179" s="14"/>
      <c r="F179" s="14"/>
      <c r="G179" s="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25">
      <c r="A180" s="14"/>
      <c r="B180" s="14"/>
      <c r="C180" s="14"/>
      <c r="D180" s="14"/>
      <c r="E180" s="14"/>
      <c r="F180" s="14"/>
      <c r="G180" s="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25">
      <c r="A181" s="14"/>
      <c r="B181" s="14"/>
      <c r="C181" s="14"/>
      <c r="D181" s="14"/>
      <c r="E181" s="14"/>
      <c r="F181" s="14"/>
      <c r="G181" s="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25">
      <c r="A182" s="14"/>
      <c r="B182" s="14"/>
      <c r="C182" s="14"/>
      <c r="D182" s="14"/>
      <c r="E182" s="14"/>
      <c r="F182" s="14"/>
      <c r="G182" s="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25">
      <c r="A183" s="14"/>
      <c r="B183" s="14"/>
      <c r="C183" s="14"/>
      <c r="D183" s="14"/>
      <c r="E183" s="14"/>
      <c r="F183" s="14"/>
      <c r="G183" s="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25">
      <c r="A184" s="14"/>
      <c r="B184" s="14"/>
      <c r="C184" s="14"/>
      <c r="D184" s="14"/>
      <c r="E184" s="14"/>
      <c r="F184" s="14"/>
      <c r="G184" s="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25">
      <c r="A185" s="14"/>
      <c r="B185" s="14"/>
      <c r="C185" s="14"/>
      <c r="D185" s="14"/>
      <c r="E185" s="14"/>
      <c r="F185" s="14"/>
      <c r="G185" s="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25">
      <c r="A186" s="14"/>
      <c r="B186" s="14"/>
      <c r="C186" s="14"/>
      <c r="D186" s="14"/>
      <c r="E186" s="14"/>
      <c r="F186" s="14"/>
      <c r="G186" s="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25">
      <c r="A187" s="14"/>
      <c r="B187" s="14"/>
      <c r="C187" s="14"/>
      <c r="D187" s="14"/>
      <c r="E187" s="14"/>
      <c r="F187" s="14"/>
      <c r="G187" s="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25">
      <c r="A188" s="14"/>
      <c r="B188" s="14"/>
      <c r="C188" s="14"/>
      <c r="D188" s="14"/>
      <c r="E188" s="14"/>
      <c r="F188" s="14"/>
      <c r="G188" s="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25">
      <c r="A189" s="14"/>
      <c r="B189" s="14"/>
      <c r="C189" s="14"/>
      <c r="D189" s="14"/>
      <c r="E189" s="14"/>
      <c r="F189" s="14"/>
      <c r="G189" s="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25">
      <c r="A190" s="14"/>
      <c r="B190" s="14"/>
      <c r="C190" s="14"/>
      <c r="D190" s="14"/>
      <c r="E190" s="14"/>
      <c r="F190" s="14"/>
      <c r="G190" s="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25">
      <c r="A191" s="14"/>
      <c r="B191" s="14"/>
      <c r="C191" s="14"/>
      <c r="D191" s="14"/>
      <c r="E191" s="14"/>
      <c r="F191" s="14"/>
      <c r="G191" s="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25">
      <c r="A192" s="14"/>
      <c r="B192" s="14"/>
      <c r="C192" s="14"/>
      <c r="D192" s="14"/>
      <c r="E192" s="14"/>
      <c r="F192" s="14"/>
      <c r="G192" s="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25">
      <c r="A193" s="14"/>
      <c r="B193" s="14"/>
      <c r="C193" s="14"/>
      <c r="D193" s="14"/>
      <c r="E193" s="14"/>
      <c r="F193" s="14"/>
      <c r="G193" s="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25">
      <c r="A194" s="14"/>
      <c r="B194" s="14"/>
      <c r="C194" s="14"/>
      <c r="D194" s="14"/>
      <c r="E194" s="14"/>
      <c r="F194" s="14"/>
      <c r="G194" s="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25">
      <c r="A195" s="14"/>
      <c r="B195" s="14"/>
      <c r="C195" s="14"/>
      <c r="D195" s="14"/>
      <c r="E195" s="14"/>
      <c r="F195" s="14"/>
      <c r="G195" s="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25">
      <c r="A196" s="14"/>
      <c r="B196" s="14"/>
      <c r="C196" s="14"/>
      <c r="D196" s="14"/>
      <c r="E196" s="14"/>
      <c r="F196" s="14"/>
      <c r="G196" s="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25">
      <c r="A197" s="14"/>
      <c r="B197" s="14"/>
      <c r="C197" s="14"/>
      <c r="D197" s="14"/>
      <c r="E197" s="14"/>
      <c r="F197" s="14"/>
      <c r="G197" s="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25">
      <c r="A198" s="14"/>
      <c r="B198" s="14"/>
      <c r="C198" s="14"/>
      <c r="D198" s="14"/>
      <c r="E198" s="14"/>
      <c r="F198" s="14"/>
      <c r="G198" s="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25">
      <c r="A199" s="14"/>
      <c r="B199" s="14"/>
      <c r="C199" s="14"/>
      <c r="D199" s="14"/>
      <c r="E199" s="14"/>
      <c r="F199" s="14"/>
      <c r="G199" s="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25">
      <c r="A200" s="14"/>
      <c r="B200" s="14"/>
      <c r="C200" s="14"/>
      <c r="D200" s="14"/>
      <c r="E200" s="14"/>
      <c r="F200" s="14"/>
      <c r="G200" s="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25">
      <c r="A201" s="14"/>
      <c r="B201" s="14"/>
      <c r="C201" s="14"/>
      <c r="D201" s="14"/>
      <c r="E201" s="14"/>
      <c r="F201" s="14"/>
      <c r="G201" s="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25">
      <c r="A202" s="14"/>
      <c r="B202" s="14"/>
      <c r="C202" s="14"/>
      <c r="D202" s="14"/>
      <c r="E202" s="14"/>
      <c r="F202" s="14"/>
      <c r="G202" s="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25">
      <c r="A203" s="14"/>
      <c r="B203" s="14"/>
      <c r="C203" s="14"/>
      <c r="D203" s="14"/>
      <c r="E203" s="14"/>
      <c r="F203" s="14"/>
      <c r="G203" s="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25">
      <c r="A204" s="14"/>
      <c r="B204" s="14"/>
      <c r="C204" s="14"/>
      <c r="D204" s="14"/>
      <c r="E204" s="14"/>
      <c r="F204" s="14"/>
      <c r="G204" s="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25">
      <c r="A205" s="14"/>
      <c r="B205" s="14"/>
      <c r="C205" s="14"/>
      <c r="D205" s="14"/>
      <c r="E205" s="14"/>
      <c r="F205" s="14"/>
      <c r="G205" s="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25">
      <c r="A206" s="14"/>
      <c r="B206" s="14"/>
      <c r="C206" s="14"/>
      <c r="D206" s="14"/>
      <c r="E206" s="14"/>
      <c r="F206" s="14"/>
      <c r="G206" s="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25">
      <c r="A207" s="14"/>
      <c r="B207" s="14"/>
      <c r="C207" s="14"/>
      <c r="D207" s="14"/>
      <c r="E207" s="14"/>
      <c r="F207" s="14"/>
      <c r="G207" s="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25">
      <c r="A208" s="14"/>
      <c r="B208" s="14"/>
      <c r="C208" s="14"/>
      <c r="D208" s="14"/>
      <c r="E208" s="14"/>
      <c r="F208" s="14"/>
      <c r="G208" s="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25">
      <c r="A209" s="14"/>
      <c r="B209" s="14"/>
      <c r="C209" s="14"/>
      <c r="D209" s="14"/>
      <c r="E209" s="14"/>
      <c r="F209" s="14"/>
      <c r="G209" s="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25">
      <c r="A210" s="14"/>
      <c r="B210" s="14"/>
      <c r="C210" s="14"/>
      <c r="D210" s="14"/>
      <c r="E210" s="14"/>
      <c r="F210" s="14"/>
      <c r="G210" s="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25">
      <c r="A211" s="14"/>
      <c r="B211" s="14"/>
      <c r="C211" s="14"/>
      <c r="D211" s="14"/>
      <c r="E211" s="14"/>
      <c r="F211" s="14"/>
      <c r="G211" s="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25">
      <c r="A212" s="14"/>
      <c r="B212" s="14"/>
      <c r="C212" s="14"/>
      <c r="D212" s="14"/>
      <c r="E212" s="14"/>
      <c r="F212" s="14"/>
      <c r="G212" s="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25">
      <c r="A213" s="14"/>
      <c r="B213" s="14"/>
      <c r="C213" s="14"/>
      <c r="D213" s="14"/>
      <c r="E213" s="14"/>
      <c r="F213" s="14"/>
      <c r="G213" s="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25">
      <c r="A214" s="14"/>
      <c r="B214" s="14"/>
      <c r="C214" s="14"/>
      <c r="D214" s="14"/>
      <c r="E214" s="14"/>
      <c r="F214" s="14"/>
      <c r="G214" s="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25">
      <c r="A215" s="14"/>
      <c r="B215" s="14"/>
      <c r="C215" s="14"/>
      <c r="D215" s="14"/>
      <c r="E215" s="14"/>
      <c r="F215" s="14"/>
      <c r="G215" s="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25">
      <c r="A216" s="14"/>
      <c r="B216" s="14"/>
      <c r="C216" s="14"/>
      <c r="D216" s="14"/>
      <c r="E216" s="14"/>
      <c r="F216" s="14"/>
      <c r="G216" s="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25">
      <c r="A217" s="14"/>
      <c r="B217" s="14"/>
      <c r="C217" s="14"/>
      <c r="D217" s="14"/>
      <c r="E217" s="14"/>
      <c r="F217" s="14"/>
      <c r="G217" s="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25">
      <c r="A218" s="14"/>
      <c r="B218" s="14"/>
      <c r="C218" s="14"/>
      <c r="D218" s="14"/>
      <c r="E218" s="14"/>
      <c r="F218" s="14"/>
      <c r="G218" s="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25">
      <c r="A219" s="14"/>
      <c r="B219" s="14"/>
      <c r="C219" s="14"/>
      <c r="D219" s="14"/>
      <c r="E219" s="14"/>
      <c r="F219" s="14"/>
      <c r="G219" s="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25">
      <c r="A220" s="14"/>
      <c r="B220" s="14"/>
      <c r="C220" s="14"/>
      <c r="D220" s="14"/>
      <c r="E220" s="14"/>
      <c r="F220" s="14"/>
      <c r="G220" s="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25">
      <c r="A221" s="14"/>
      <c r="B221" s="14"/>
      <c r="C221" s="14"/>
      <c r="D221" s="14"/>
      <c r="E221" s="14"/>
      <c r="F221" s="14"/>
      <c r="G221" s="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25">
      <c r="A222" s="14"/>
      <c r="B222" s="14"/>
      <c r="C222" s="14"/>
      <c r="D222" s="14"/>
      <c r="E222" s="14"/>
      <c r="F222" s="14"/>
      <c r="G222" s="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25">
      <c r="A223" s="14"/>
      <c r="B223" s="14"/>
      <c r="C223" s="14"/>
      <c r="D223" s="14"/>
      <c r="E223" s="14"/>
      <c r="F223" s="14"/>
      <c r="G223" s="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25">
      <c r="A224" s="14"/>
      <c r="B224" s="14"/>
      <c r="C224" s="14"/>
      <c r="D224" s="14"/>
      <c r="E224" s="14"/>
      <c r="F224" s="14"/>
      <c r="G224" s="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25">
      <c r="A225" s="14"/>
      <c r="B225" s="14"/>
      <c r="C225" s="14"/>
      <c r="D225" s="14"/>
      <c r="E225" s="14"/>
      <c r="F225" s="14"/>
      <c r="G225" s="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25">
      <c r="A226" s="14"/>
      <c r="B226" s="14"/>
      <c r="C226" s="14"/>
      <c r="D226" s="14"/>
      <c r="E226" s="14"/>
      <c r="F226" s="14"/>
      <c r="G226" s="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25">
      <c r="A227" s="14"/>
      <c r="B227" s="14"/>
      <c r="C227" s="14"/>
      <c r="D227" s="14"/>
      <c r="E227" s="14"/>
      <c r="F227" s="14"/>
      <c r="G227" s="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25">
      <c r="A228" s="14"/>
      <c r="B228" s="14"/>
      <c r="C228" s="14"/>
      <c r="D228" s="14"/>
      <c r="E228" s="14"/>
      <c r="F228" s="14"/>
      <c r="G228" s="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25">
      <c r="A229" s="14"/>
      <c r="B229" s="14"/>
      <c r="C229" s="14"/>
      <c r="D229" s="14"/>
      <c r="E229" s="14"/>
      <c r="F229" s="14"/>
      <c r="G229" s="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25">
      <c r="A230" s="14"/>
      <c r="B230" s="14"/>
      <c r="C230" s="14"/>
      <c r="D230" s="14"/>
      <c r="E230" s="14"/>
      <c r="F230" s="14"/>
      <c r="G230" s="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25">
      <c r="A231" s="14"/>
      <c r="B231" s="14"/>
      <c r="C231" s="14"/>
      <c r="D231" s="14"/>
      <c r="E231" s="14"/>
      <c r="F231" s="14"/>
      <c r="G231" s="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25">
      <c r="A232" s="14"/>
      <c r="B232" s="14"/>
      <c r="C232" s="14"/>
      <c r="D232" s="14"/>
      <c r="E232" s="14"/>
      <c r="F232" s="14"/>
      <c r="G232" s="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25">
      <c r="A233" s="14"/>
      <c r="B233" s="14"/>
      <c r="C233" s="14"/>
      <c r="D233" s="14"/>
      <c r="E233" s="14"/>
      <c r="F233" s="14"/>
      <c r="G233" s="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25">
      <c r="A234" s="14"/>
      <c r="B234" s="14"/>
      <c r="C234" s="14"/>
      <c r="D234" s="14"/>
      <c r="E234" s="14"/>
      <c r="F234" s="14"/>
      <c r="G234" s="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25">
      <c r="A235" s="14"/>
      <c r="B235" s="14"/>
      <c r="C235" s="14"/>
      <c r="D235" s="14"/>
      <c r="E235" s="14"/>
      <c r="F235" s="14"/>
      <c r="G235" s="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25">
      <c r="A236" s="14"/>
      <c r="B236" s="14"/>
      <c r="C236" s="14"/>
      <c r="D236" s="14"/>
      <c r="E236" s="14"/>
      <c r="F236" s="14"/>
      <c r="G236" s="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25">
      <c r="A237" s="14"/>
      <c r="B237" s="14"/>
      <c r="C237" s="14"/>
      <c r="D237" s="14"/>
      <c r="E237" s="14"/>
      <c r="F237" s="14"/>
      <c r="G237" s="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25">
      <c r="A238" s="14"/>
      <c r="B238" s="14"/>
      <c r="C238" s="14"/>
      <c r="D238" s="14"/>
      <c r="E238" s="14"/>
      <c r="F238" s="14"/>
      <c r="G238" s="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25">
      <c r="A239" s="14"/>
      <c r="B239" s="14"/>
      <c r="C239" s="14"/>
      <c r="D239" s="14"/>
      <c r="E239" s="14"/>
      <c r="F239" s="14"/>
      <c r="G239" s="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25">
      <c r="A240" s="14"/>
      <c r="B240" s="14"/>
      <c r="C240" s="14"/>
      <c r="D240" s="14"/>
      <c r="E240" s="14"/>
      <c r="F240" s="14"/>
      <c r="G240" s="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25">
      <c r="A241" s="14"/>
      <c r="B241" s="14"/>
      <c r="C241" s="14"/>
      <c r="D241" s="14"/>
      <c r="E241" s="14"/>
      <c r="F241" s="14"/>
      <c r="G241" s="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25">
      <c r="A242" s="14"/>
      <c r="B242" s="14"/>
      <c r="C242" s="14"/>
      <c r="D242" s="14"/>
      <c r="E242" s="14"/>
      <c r="F242" s="14"/>
      <c r="G242" s="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25">
      <c r="A243" s="14"/>
      <c r="B243" s="14"/>
      <c r="C243" s="14"/>
      <c r="D243" s="14"/>
      <c r="E243" s="14"/>
      <c r="F243" s="14"/>
      <c r="G243" s="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25">
      <c r="A244" s="14"/>
      <c r="B244" s="14"/>
      <c r="C244" s="14"/>
      <c r="D244" s="14"/>
      <c r="E244" s="14"/>
      <c r="F244" s="14"/>
      <c r="G244" s="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25">
      <c r="A245" s="14"/>
      <c r="B245" s="14"/>
      <c r="C245" s="14"/>
      <c r="D245" s="14"/>
      <c r="E245" s="14"/>
      <c r="F245" s="14"/>
      <c r="G245" s="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25">
      <c r="A246" s="14"/>
      <c r="B246" s="14"/>
      <c r="C246" s="14"/>
      <c r="D246" s="14"/>
      <c r="E246" s="14"/>
      <c r="F246" s="14"/>
      <c r="G246" s="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25">
      <c r="A247" s="14"/>
      <c r="B247" s="14"/>
      <c r="C247" s="14"/>
      <c r="D247" s="14"/>
      <c r="E247" s="14"/>
      <c r="F247" s="14"/>
      <c r="G247" s="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25">
      <c r="A248" s="14"/>
      <c r="B248" s="14"/>
      <c r="C248" s="14"/>
      <c r="D248" s="14"/>
      <c r="E248" s="14"/>
      <c r="F248" s="14"/>
      <c r="G248" s="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25">
      <c r="A249" s="14"/>
      <c r="B249" s="14"/>
      <c r="C249" s="14"/>
      <c r="D249" s="14"/>
      <c r="E249" s="14"/>
      <c r="F249" s="14"/>
      <c r="G249" s="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25">
      <c r="A250" s="14"/>
      <c r="B250" s="14"/>
      <c r="C250" s="14"/>
      <c r="D250" s="14"/>
      <c r="E250" s="14"/>
      <c r="F250" s="14"/>
      <c r="G250" s="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25">
      <c r="A251" s="14"/>
      <c r="B251" s="14"/>
      <c r="C251" s="14"/>
      <c r="D251" s="14"/>
      <c r="E251" s="14"/>
      <c r="F251" s="14"/>
      <c r="G251" s="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25">
      <c r="A252" s="14"/>
      <c r="B252" s="14"/>
      <c r="C252" s="14"/>
      <c r="D252" s="14"/>
      <c r="E252" s="14"/>
      <c r="F252" s="14"/>
      <c r="G252" s="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25">
      <c r="A253" s="14"/>
      <c r="B253" s="14"/>
      <c r="C253" s="14"/>
      <c r="D253" s="14"/>
      <c r="E253" s="14"/>
      <c r="F253" s="14"/>
      <c r="G253" s="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25">
      <c r="A254" s="14"/>
      <c r="B254" s="14"/>
      <c r="C254" s="14"/>
      <c r="D254" s="14"/>
      <c r="E254" s="14"/>
      <c r="F254" s="14"/>
      <c r="G254" s="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25">
      <c r="A255" s="14"/>
      <c r="B255" s="14"/>
      <c r="C255" s="14"/>
      <c r="D255" s="14"/>
      <c r="E255" s="14"/>
      <c r="F255" s="14"/>
      <c r="G255" s="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25">
      <c r="A256" s="14"/>
      <c r="B256" s="14"/>
      <c r="C256" s="14"/>
      <c r="D256" s="14"/>
      <c r="E256" s="14"/>
      <c r="F256" s="14"/>
      <c r="G256" s="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25">
      <c r="A257" s="14"/>
      <c r="B257" s="14"/>
      <c r="C257" s="14"/>
      <c r="D257" s="14"/>
      <c r="E257" s="14"/>
      <c r="F257" s="14"/>
      <c r="G257" s="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25">
      <c r="A258" s="14"/>
      <c r="B258" s="14"/>
      <c r="C258" s="14"/>
      <c r="D258" s="14"/>
      <c r="E258" s="14"/>
      <c r="F258" s="14"/>
      <c r="G258" s="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25">
      <c r="A259" s="14"/>
      <c r="B259" s="14"/>
      <c r="C259" s="14"/>
      <c r="D259" s="14"/>
      <c r="E259" s="14"/>
      <c r="F259" s="14"/>
      <c r="G259" s="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25">
      <c r="A260" s="14"/>
      <c r="B260" s="14"/>
      <c r="C260" s="14"/>
      <c r="D260" s="14"/>
      <c r="E260" s="14"/>
      <c r="F260" s="14"/>
      <c r="G260" s="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25">
      <c r="A261" s="14"/>
      <c r="B261" s="14"/>
      <c r="C261" s="14"/>
      <c r="D261" s="14"/>
      <c r="E261" s="14"/>
      <c r="F261" s="14"/>
      <c r="G261" s="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25">
      <c r="A262" s="14"/>
      <c r="B262" s="14"/>
      <c r="C262" s="14"/>
      <c r="D262" s="14"/>
      <c r="E262" s="14"/>
      <c r="F262" s="14"/>
      <c r="G262" s="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25">
      <c r="A263" s="14"/>
      <c r="B263" s="14"/>
      <c r="C263" s="14"/>
      <c r="D263" s="14"/>
      <c r="E263" s="14"/>
      <c r="F263" s="14"/>
      <c r="G263" s="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5">
      <c r="A264" s="14"/>
      <c r="B264" s="14"/>
      <c r="C264" s="14"/>
      <c r="D264" s="14"/>
      <c r="E264" s="14"/>
      <c r="F264" s="14"/>
      <c r="G264" s="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5">
      <c r="A265" s="14"/>
      <c r="B265" s="14"/>
      <c r="C265" s="14"/>
      <c r="D265" s="14"/>
      <c r="E265" s="14"/>
      <c r="F265" s="14"/>
      <c r="G265" s="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5">
      <c r="A266" s="14"/>
      <c r="B266" s="14"/>
      <c r="C266" s="14"/>
      <c r="D266" s="14"/>
      <c r="E266" s="14"/>
      <c r="F266" s="14"/>
      <c r="G266" s="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5">
      <c r="A267" s="14"/>
      <c r="B267" s="14"/>
      <c r="C267" s="14"/>
      <c r="D267" s="14"/>
      <c r="E267" s="14"/>
      <c r="F267" s="14"/>
      <c r="G267" s="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5">
      <c r="A268" s="14"/>
      <c r="B268" s="14"/>
      <c r="C268" s="14"/>
      <c r="D268" s="14"/>
      <c r="E268" s="14"/>
      <c r="F268" s="14"/>
      <c r="G268" s="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5">
      <c r="A269" s="14"/>
      <c r="B269" s="14"/>
      <c r="C269" s="14"/>
      <c r="D269" s="14"/>
      <c r="E269" s="14"/>
      <c r="F269" s="14"/>
      <c r="G269" s="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5">
      <c r="A270" s="14"/>
      <c r="B270" s="14"/>
      <c r="C270" s="14"/>
      <c r="D270" s="14"/>
      <c r="E270" s="14"/>
      <c r="F270" s="14"/>
      <c r="G270" s="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5">
      <c r="A271" s="14"/>
      <c r="B271" s="14"/>
      <c r="C271" s="14"/>
      <c r="D271" s="14"/>
      <c r="E271" s="14"/>
      <c r="F271" s="14"/>
      <c r="G271" s="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5">
      <c r="A272" s="14"/>
      <c r="B272" s="14"/>
      <c r="C272" s="14"/>
      <c r="D272" s="14"/>
      <c r="E272" s="14"/>
      <c r="F272" s="14"/>
      <c r="G272" s="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5">
      <c r="A273" s="14"/>
      <c r="B273" s="14"/>
      <c r="C273" s="14"/>
      <c r="D273" s="14"/>
      <c r="E273" s="14"/>
      <c r="F273" s="14"/>
      <c r="G273" s="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5">
      <c r="A274" s="14"/>
      <c r="B274" s="14"/>
      <c r="C274" s="14"/>
      <c r="D274" s="14"/>
      <c r="E274" s="14"/>
      <c r="F274" s="14"/>
      <c r="G274" s="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5">
      <c r="A275" s="14"/>
      <c r="B275" s="14"/>
      <c r="C275" s="14"/>
      <c r="D275" s="14"/>
      <c r="E275" s="14"/>
      <c r="F275" s="14"/>
      <c r="G275" s="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5">
      <c r="A276" s="14"/>
      <c r="B276" s="14"/>
      <c r="C276" s="14"/>
      <c r="D276" s="14"/>
      <c r="E276" s="14"/>
      <c r="F276" s="14"/>
      <c r="G276" s="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5">
      <c r="A277" s="14"/>
      <c r="B277" s="14"/>
      <c r="C277" s="14"/>
      <c r="D277" s="14"/>
      <c r="E277" s="14"/>
      <c r="F277" s="14"/>
      <c r="G277" s="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5">
      <c r="A278" s="14"/>
      <c r="B278" s="14"/>
      <c r="C278" s="14"/>
      <c r="D278" s="14"/>
      <c r="E278" s="14"/>
      <c r="F278" s="14"/>
      <c r="G278" s="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5">
      <c r="A279" s="14"/>
      <c r="B279" s="14"/>
      <c r="C279" s="14"/>
      <c r="D279" s="14"/>
      <c r="E279" s="14"/>
      <c r="F279" s="14"/>
      <c r="G279" s="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5">
      <c r="A280" s="14"/>
      <c r="B280" s="14"/>
      <c r="C280" s="14"/>
      <c r="D280" s="14"/>
      <c r="E280" s="14"/>
      <c r="F280" s="14"/>
      <c r="G280" s="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5">
      <c r="A281" s="14"/>
      <c r="B281" s="14"/>
      <c r="C281" s="14"/>
      <c r="D281" s="14"/>
      <c r="E281" s="14"/>
      <c r="F281" s="14"/>
      <c r="G281" s="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5">
      <c r="A282" s="14"/>
      <c r="B282" s="14"/>
      <c r="C282" s="14"/>
      <c r="D282" s="14"/>
      <c r="E282" s="14"/>
      <c r="F282" s="14"/>
      <c r="G282" s="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5">
      <c r="A283" s="14"/>
      <c r="B283" s="14"/>
      <c r="C283" s="14"/>
      <c r="D283" s="14"/>
      <c r="E283" s="14"/>
      <c r="F283" s="14"/>
      <c r="G283" s="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5">
      <c r="A284" s="14"/>
      <c r="B284" s="14"/>
      <c r="C284" s="14"/>
      <c r="D284" s="14"/>
      <c r="E284" s="14"/>
      <c r="F284" s="14"/>
      <c r="G284" s="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5">
      <c r="A285" s="14"/>
      <c r="B285" s="14"/>
      <c r="C285" s="14"/>
      <c r="D285" s="14"/>
      <c r="E285" s="14"/>
      <c r="F285" s="14"/>
      <c r="G285" s="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5">
      <c r="A286" s="14"/>
      <c r="B286" s="14"/>
      <c r="C286" s="14"/>
      <c r="D286" s="14"/>
      <c r="E286" s="14"/>
      <c r="F286" s="14"/>
      <c r="G286" s="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5">
      <c r="A287" s="14"/>
      <c r="B287" s="14"/>
      <c r="C287" s="14"/>
      <c r="D287" s="14"/>
      <c r="E287" s="14"/>
      <c r="F287" s="14"/>
      <c r="G287" s="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5">
      <c r="A288" s="14"/>
      <c r="B288" s="14"/>
      <c r="C288" s="14"/>
      <c r="D288" s="14"/>
      <c r="E288" s="14"/>
      <c r="F288" s="14"/>
      <c r="G288" s="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5">
      <c r="A289" s="14"/>
      <c r="B289" s="14"/>
      <c r="C289" s="14"/>
      <c r="D289" s="14"/>
      <c r="E289" s="14"/>
      <c r="F289" s="14"/>
      <c r="G289" s="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5">
      <c r="A290" s="14"/>
      <c r="B290" s="14"/>
      <c r="C290" s="14"/>
      <c r="D290" s="14"/>
      <c r="E290" s="14"/>
      <c r="F290" s="14"/>
      <c r="G290" s="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5">
      <c r="A291" s="14"/>
      <c r="B291" s="14"/>
      <c r="C291" s="14"/>
      <c r="D291" s="14"/>
      <c r="E291" s="14"/>
      <c r="F291" s="14"/>
      <c r="G291" s="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5">
      <c r="A292" s="14"/>
      <c r="B292" s="14"/>
      <c r="C292" s="14"/>
      <c r="D292" s="14"/>
      <c r="E292" s="14"/>
      <c r="F292" s="14"/>
      <c r="G292" s="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5">
      <c r="A293" s="14"/>
      <c r="B293" s="14"/>
      <c r="C293" s="14"/>
      <c r="D293" s="14"/>
      <c r="E293" s="14"/>
      <c r="F293" s="14"/>
      <c r="G293" s="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5">
      <c r="A294" s="14"/>
      <c r="B294" s="14"/>
      <c r="C294" s="14"/>
      <c r="D294" s="14"/>
      <c r="E294" s="14"/>
      <c r="F294" s="14"/>
      <c r="G294" s="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5">
      <c r="A295" s="14"/>
      <c r="B295" s="14"/>
      <c r="C295" s="14"/>
      <c r="D295" s="14"/>
      <c r="E295" s="14"/>
      <c r="F295" s="14"/>
      <c r="G295" s="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5">
      <c r="A296" s="14"/>
      <c r="B296" s="14"/>
      <c r="C296" s="14"/>
      <c r="D296" s="14"/>
      <c r="E296" s="14"/>
      <c r="F296" s="14"/>
      <c r="G296" s="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5">
      <c r="A297" s="14"/>
      <c r="B297" s="14"/>
      <c r="C297" s="14"/>
      <c r="D297" s="14"/>
      <c r="E297" s="14"/>
      <c r="F297" s="14"/>
      <c r="G297" s="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5">
      <c r="A298" s="14"/>
      <c r="B298" s="14"/>
      <c r="C298" s="14"/>
      <c r="D298" s="14"/>
      <c r="E298" s="14"/>
      <c r="F298" s="14"/>
      <c r="G298" s="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5">
      <c r="A299" s="14"/>
      <c r="B299" s="14"/>
      <c r="C299" s="14"/>
      <c r="D299" s="14"/>
      <c r="E299" s="14"/>
      <c r="F299" s="14"/>
      <c r="G299" s="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5">
      <c r="A300" s="14"/>
      <c r="B300" s="14"/>
      <c r="C300" s="14"/>
      <c r="D300" s="14"/>
      <c r="E300" s="14"/>
      <c r="F300" s="14"/>
      <c r="G300" s="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5">
      <c r="A301" s="14"/>
      <c r="B301" s="14"/>
      <c r="C301" s="14"/>
      <c r="D301" s="14"/>
      <c r="E301" s="14"/>
      <c r="F301" s="14"/>
      <c r="G301" s="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5">
      <c r="A302" s="14"/>
      <c r="B302" s="14"/>
      <c r="C302" s="14"/>
      <c r="D302" s="14"/>
      <c r="E302" s="14"/>
      <c r="F302" s="14"/>
      <c r="G302" s="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5">
      <c r="A303" s="14"/>
      <c r="B303" s="14"/>
      <c r="C303" s="14"/>
      <c r="D303" s="14"/>
      <c r="E303" s="14"/>
      <c r="F303" s="14"/>
      <c r="G303" s="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5">
      <c r="A304" s="14"/>
      <c r="B304" s="14"/>
      <c r="C304" s="14"/>
      <c r="D304" s="14"/>
      <c r="E304" s="14"/>
      <c r="F304" s="14"/>
      <c r="G304" s="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5">
      <c r="A305" s="14"/>
      <c r="B305" s="14"/>
      <c r="C305" s="14"/>
      <c r="D305" s="14"/>
      <c r="E305" s="14"/>
      <c r="F305" s="14"/>
      <c r="G305" s="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5">
      <c r="A306" s="14"/>
      <c r="B306" s="14"/>
      <c r="C306" s="14"/>
      <c r="D306" s="14"/>
      <c r="E306" s="14"/>
      <c r="F306" s="14"/>
      <c r="G306" s="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5">
      <c r="A307" s="14"/>
      <c r="B307" s="14"/>
      <c r="C307" s="14"/>
      <c r="D307" s="14"/>
      <c r="E307" s="14"/>
      <c r="F307" s="14"/>
      <c r="G307" s="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5">
      <c r="A308" s="14"/>
      <c r="B308" s="14"/>
      <c r="C308" s="14"/>
      <c r="D308" s="14"/>
      <c r="E308" s="14"/>
      <c r="F308" s="14"/>
      <c r="G308" s="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5">
      <c r="A309" s="14"/>
      <c r="B309" s="14"/>
      <c r="C309" s="14"/>
      <c r="D309" s="14"/>
      <c r="E309" s="14"/>
      <c r="F309" s="14"/>
      <c r="G309" s="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5">
      <c r="A310" s="14"/>
      <c r="B310" s="14"/>
      <c r="C310" s="14"/>
      <c r="D310" s="14"/>
      <c r="E310" s="14"/>
      <c r="F310" s="14"/>
      <c r="G310" s="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5">
      <c r="A311" s="14"/>
      <c r="B311" s="14"/>
      <c r="C311" s="14"/>
      <c r="D311" s="14"/>
      <c r="E311" s="14"/>
      <c r="F311" s="14"/>
      <c r="G311" s="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5">
      <c r="A312" s="14"/>
      <c r="B312" s="14"/>
      <c r="C312" s="14"/>
      <c r="D312" s="14"/>
      <c r="E312" s="14"/>
      <c r="F312" s="14"/>
      <c r="G312" s="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5">
      <c r="A313" s="14"/>
      <c r="B313" s="14"/>
      <c r="C313" s="14"/>
      <c r="D313" s="14"/>
      <c r="E313" s="14"/>
      <c r="F313" s="14"/>
      <c r="G313" s="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5">
      <c r="A314" s="14"/>
      <c r="B314" s="14"/>
      <c r="C314" s="14"/>
      <c r="D314" s="14"/>
      <c r="E314" s="14"/>
      <c r="F314" s="14"/>
      <c r="G314" s="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5">
      <c r="A315" s="14"/>
      <c r="B315" s="14"/>
      <c r="C315" s="14"/>
      <c r="D315" s="14"/>
      <c r="E315" s="14"/>
      <c r="F315" s="14"/>
      <c r="G315" s="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5">
      <c r="A316" s="14"/>
      <c r="B316" s="14"/>
      <c r="C316" s="14"/>
      <c r="D316" s="14"/>
      <c r="E316" s="14"/>
      <c r="F316" s="14"/>
      <c r="G316" s="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5">
      <c r="A317" s="14"/>
      <c r="B317" s="14"/>
      <c r="C317" s="14"/>
      <c r="D317" s="14"/>
      <c r="E317" s="14"/>
      <c r="F317" s="14"/>
      <c r="G317" s="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5">
      <c r="A318" s="14"/>
      <c r="B318" s="14"/>
      <c r="C318" s="14"/>
      <c r="D318" s="14"/>
      <c r="E318" s="14"/>
      <c r="F318" s="14"/>
      <c r="G318" s="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5">
      <c r="A319" s="14"/>
      <c r="B319" s="14"/>
      <c r="C319" s="14"/>
      <c r="D319" s="14"/>
      <c r="E319" s="14"/>
      <c r="F319" s="14"/>
      <c r="G319" s="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5">
      <c r="A320" s="14"/>
      <c r="B320" s="14"/>
      <c r="C320" s="14"/>
      <c r="D320" s="14"/>
      <c r="E320" s="14"/>
      <c r="F320" s="14"/>
      <c r="G320" s="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5">
      <c r="A321" s="14"/>
      <c r="B321" s="14"/>
      <c r="C321" s="14"/>
      <c r="D321" s="14"/>
      <c r="E321" s="14"/>
      <c r="F321" s="14"/>
      <c r="G321" s="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5">
      <c r="A322" s="14"/>
      <c r="B322" s="14"/>
      <c r="C322" s="14"/>
      <c r="D322" s="14"/>
      <c r="E322" s="14"/>
      <c r="F322" s="14"/>
      <c r="G322" s="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5">
      <c r="A323" s="14"/>
      <c r="B323" s="14"/>
      <c r="C323" s="14"/>
      <c r="D323" s="14"/>
      <c r="E323" s="14"/>
      <c r="F323" s="14"/>
      <c r="G323" s="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5">
      <c r="A324" s="14"/>
      <c r="B324" s="14"/>
      <c r="C324" s="14"/>
      <c r="D324" s="14"/>
      <c r="E324" s="14"/>
      <c r="F324" s="14"/>
      <c r="G324" s="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5">
      <c r="A325" s="14"/>
      <c r="B325" s="14"/>
      <c r="C325" s="14"/>
      <c r="D325" s="14"/>
      <c r="E325" s="14"/>
      <c r="F325" s="14"/>
      <c r="G325" s="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5">
      <c r="A326" s="14"/>
      <c r="B326" s="14"/>
      <c r="C326" s="14"/>
      <c r="D326" s="14"/>
      <c r="E326" s="14"/>
      <c r="F326" s="14"/>
      <c r="G326" s="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5">
      <c r="A327" s="14"/>
      <c r="B327" s="14"/>
      <c r="C327" s="14"/>
      <c r="D327" s="14"/>
      <c r="E327" s="14"/>
      <c r="F327" s="14"/>
      <c r="G327" s="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5">
      <c r="A328" s="14"/>
      <c r="B328" s="14"/>
      <c r="C328" s="14"/>
      <c r="D328" s="14"/>
      <c r="E328" s="14"/>
      <c r="F328" s="14"/>
      <c r="G328" s="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5">
      <c r="A329" s="14"/>
      <c r="B329" s="14"/>
      <c r="C329" s="14"/>
      <c r="D329" s="14"/>
      <c r="E329" s="14"/>
      <c r="F329" s="14"/>
      <c r="G329" s="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x14ac:dyDescent="0.25">
      <c r="A330" s="14"/>
      <c r="B330" s="14"/>
      <c r="C330" s="14"/>
      <c r="D330" s="14"/>
      <c r="E330" s="14"/>
      <c r="F330" s="14"/>
      <c r="G330" s="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x14ac:dyDescent="0.25">
      <c r="A331" s="14"/>
      <c r="B331" s="14"/>
      <c r="C331" s="14"/>
      <c r="D331" s="14"/>
      <c r="E331" s="14"/>
      <c r="F331" s="14"/>
      <c r="G331" s="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x14ac:dyDescent="0.25">
      <c r="A332" s="14"/>
      <c r="B332" s="14"/>
      <c r="C332" s="14"/>
      <c r="D332" s="14"/>
      <c r="E332" s="14"/>
      <c r="F332" s="14"/>
      <c r="G332" s="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x14ac:dyDescent="0.25">
      <c r="A333" s="14"/>
      <c r="B333" s="14"/>
      <c r="C333" s="14"/>
      <c r="D333" s="14"/>
      <c r="E333" s="14"/>
      <c r="F333" s="14"/>
      <c r="G333" s="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x14ac:dyDescent="0.25">
      <c r="A334" s="14"/>
      <c r="B334" s="14"/>
      <c r="C334" s="14"/>
      <c r="D334" s="14"/>
      <c r="E334" s="14"/>
      <c r="F334" s="14"/>
      <c r="G334" s="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x14ac:dyDescent="0.25">
      <c r="A335" s="14"/>
      <c r="B335" s="14"/>
      <c r="C335" s="14"/>
      <c r="D335" s="14"/>
      <c r="E335" s="14"/>
      <c r="F335" s="14"/>
      <c r="G335" s="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x14ac:dyDescent="0.25">
      <c r="A336" s="14"/>
      <c r="B336" s="14"/>
      <c r="C336" s="14"/>
      <c r="D336" s="14"/>
      <c r="E336" s="14"/>
      <c r="F336" s="14"/>
      <c r="G336" s="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x14ac:dyDescent="0.25">
      <c r="A337" s="14"/>
      <c r="B337" s="14"/>
      <c r="C337" s="14"/>
      <c r="D337" s="14"/>
      <c r="E337" s="14"/>
      <c r="F337" s="14"/>
      <c r="G337" s="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x14ac:dyDescent="0.25">
      <c r="A338" s="14"/>
      <c r="B338" s="14"/>
      <c r="C338" s="14"/>
      <c r="D338" s="14"/>
      <c r="E338" s="14"/>
      <c r="F338" s="14"/>
      <c r="G338" s="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x14ac:dyDescent="0.25">
      <c r="A339" s="14"/>
      <c r="B339" s="14"/>
      <c r="C339" s="14"/>
      <c r="D339" s="14"/>
      <c r="E339" s="14"/>
      <c r="F339" s="14"/>
      <c r="G339" s="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x14ac:dyDescent="0.25">
      <c r="A340" s="14"/>
      <c r="B340" s="14"/>
      <c r="C340" s="14"/>
      <c r="D340" s="14"/>
      <c r="E340" s="14"/>
      <c r="F340" s="14"/>
      <c r="G340" s="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x14ac:dyDescent="0.25">
      <c r="A341" s="14"/>
      <c r="B341" s="14"/>
      <c r="C341" s="14"/>
      <c r="D341" s="14"/>
      <c r="E341" s="14"/>
      <c r="F341" s="14"/>
      <c r="G341" s="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25">
      <c r="A342" s="14"/>
      <c r="B342" s="14"/>
      <c r="C342" s="14"/>
      <c r="D342" s="14"/>
      <c r="E342" s="14"/>
      <c r="F342" s="14"/>
      <c r="G342" s="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x14ac:dyDescent="0.25">
      <c r="A343" s="14"/>
      <c r="B343" s="14"/>
      <c r="C343" s="14"/>
      <c r="D343" s="14"/>
      <c r="E343" s="14"/>
      <c r="F343" s="14"/>
      <c r="G343" s="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x14ac:dyDescent="0.25">
      <c r="A344" s="14"/>
      <c r="B344" s="14"/>
      <c r="C344" s="14"/>
      <c r="D344" s="14"/>
      <c r="E344" s="14"/>
      <c r="F344" s="14"/>
      <c r="G344" s="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x14ac:dyDescent="0.25">
      <c r="A345" s="14"/>
      <c r="B345" s="14"/>
      <c r="C345" s="14"/>
      <c r="D345" s="14"/>
      <c r="E345" s="14"/>
      <c r="F345" s="14"/>
      <c r="G345" s="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x14ac:dyDescent="0.25">
      <c r="A346" s="14"/>
      <c r="B346" s="14"/>
      <c r="C346" s="14"/>
      <c r="D346" s="14"/>
      <c r="E346" s="14"/>
      <c r="F346" s="14"/>
      <c r="G346" s="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x14ac:dyDescent="0.25">
      <c r="A347" s="14"/>
      <c r="B347" s="14"/>
      <c r="C347" s="14"/>
      <c r="D347" s="14"/>
      <c r="E347" s="14"/>
      <c r="F347" s="14"/>
      <c r="G347" s="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x14ac:dyDescent="0.25">
      <c r="A348" s="14"/>
      <c r="B348" s="14"/>
      <c r="C348" s="14"/>
      <c r="D348" s="14"/>
      <c r="E348" s="14"/>
      <c r="F348" s="14"/>
      <c r="G348" s="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x14ac:dyDescent="0.25">
      <c r="A349" s="14"/>
      <c r="B349" s="14"/>
      <c r="C349" s="14"/>
      <c r="D349" s="14"/>
      <c r="E349" s="14"/>
      <c r="F349" s="14"/>
      <c r="G349" s="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x14ac:dyDescent="0.25">
      <c r="A350" s="14"/>
      <c r="B350" s="14"/>
      <c r="C350" s="14"/>
      <c r="D350" s="14"/>
      <c r="E350" s="14"/>
      <c r="F350" s="14"/>
      <c r="G350" s="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x14ac:dyDescent="0.25">
      <c r="A351" s="14"/>
      <c r="B351" s="14"/>
      <c r="C351" s="14"/>
      <c r="D351" s="14"/>
      <c r="E351" s="14"/>
      <c r="F351" s="14"/>
      <c r="G351" s="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x14ac:dyDescent="0.25">
      <c r="A352" s="14"/>
      <c r="B352" s="14"/>
      <c r="C352" s="14"/>
      <c r="D352" s="14"/>
      <c r="E352" s="14"/>
      <c r="F352" s="14"/>
      <c r="G352" s="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x14ac:dyDescent="0.25">
      <c r="A353" s="14"/>
      <c r="B353" s="14"/>
      <c r="C353" s="14"/>
      <c r="D353" s="14"/>
      <c r="E353" s="14"/>
      <c r="F353" s="14"/>
      <c r="G353" s="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x14ac:dyDescent="0.25">
      <c r="A354" s="14"/>
      <c r="B354" s="14"/>
      <c r="C354" s="14"/>
      <c r="D354" s="14"/>
      <c r="E354" s="14"/>
      <c r="F354" s="14"/>
      <c r="G354" s="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x14ac:dyDescent="0.25">
      <c r="A355" s="14"/>
      <c r="B355" s="14"/>
      <c r="C355" s="14"/>
      <c r="D355" s="14"/>
      <c r="E355" s="14"/>
      <c r="F355" s="14"/>
      <c r="G355" s="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x14ac:dyDescent="0.25">
      <c r="A356" s="14"/>
      <c r="B356" s="14"/>
      <c r="C356" s="14"/>
      <c r="D356" s="14"/>
      <c r="E356" s="14"/>
      <c r="F356" s="14"/>
      <c r="G356" s="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x14ac:dyDescent="0.25">
      <c r="A357" s="14"/>
      <c r="B357" s="14"/>
      <c r="C357" s="14"/>
      <c r="D357" s="14"/>
      <c r="E357" s="14"/>
      <c r="F357" s="14"/>
      <c r="G357" s="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x14ac:dyDescent="0.25">
      <c r="A358" s="14"/>
      <c r="B358" s="14"/>
      <c r="C358" s="14"/>
      <c r="D358" s="14"/>
      <c r="E358" s="14"/>
      <c r="F358" s="14"/>
      <c r="G358" s="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x14ac:dyDescent="0.25">
      <c r="A359" s="14"/>
      <c r="B359" s="14"/>
      <c r="C359" s="14"/>
      <c r="D359" s="14"/>
      <c r="E359" s="14"/>
      <c r="F359" s="14"/>
      <c r="G359" s="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x14ac:dyDescent="0.25">
      <c r="A360" s="14"/>
      <c r="B360" s="14"/>
      <c r="C360" s="14"/>
      <c r="D360" s="14"/>
      <c r="E360" s="14"/>
      <c r="F360" s="14"/>
      <c r="G360" s="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x14ac:dyDescent="0.25">
      <c r="A361" s="14"/>
      <c r="B361" s="14"/>
      <c r="C361" s="14"/>
      <c r="D361" s="14"/>
      <c r="E361" s="14"/>
      <c r="F361" s="14"/>
      <c r="G361" s="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x14ac:dyDescent="0.25">
      <c r="A362" s="14"/>
      <c r="B362" s="14"/>
      <c r="C362" s="14"/>
      <c r="D362" s="14"/>
      <c r="E362" s="14"/>
      <c r="F362" s="14"/>
      <c r="G362" s="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x14ac:dyDescent="0.25">
      <c r="A363" s="14"/>
      <c r="B363" s="14"/>
      <c r="C363" s="14"/>
      <c r="D363" s="14"/>
      <c r="E363" s="14"/>
      <c r="F363" s="14"/>
      <c r="G363" s="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x14ac:dyDescent="0.25">
      <c r="A364" s="14"/>
      <c r="B364" s="14"/>
      <c r="C364" s="14"/>
      <c r="D364" s="14"/>
      <c r="E364" s="14"/>
      <c r="F364" s="14"/>
      <c r="G364" s="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x14ac:dyDescent="0.25">
      <c r="A365" s="14"/>
      <c r="B365" s="14"/>
      <c r="C365" s="14"/>
      <c r="D365" s="14"/>
      <c r="E365" s="14"/>
      <c r="F365" s="14"/>
      <c r="G365" s="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x14ac:dyDescent="0.25">
      <c r="A366" s="14"/>
      <c r="B366" s="14"/>
      <c r="C366" s="14"/>
      <c r="D366" s="14"/>
      <c r="E366" s="14"/>
      <c r="F366" s="14"/>
      <c r="G366" s="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x14ac:dyDescent="0.25">
      <c r="A367" s="14"/>
      <c r="B367" s="14"/>
      <c r="C367" s="14"/>
      <c r="D367" s="14"/>
      <c r="E367" s="14"/>
      <c r="F367" s="14"/>
      <c r="G367" s="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x14ac:dyDescent="0.25">
      <c r="A368" s="14"/>
      <c r="B368" s="14"/>
      <c r="C368" s="14"/>
      <c r="D368" s="14"/>
      <c r="E368" s="14"/>
      <c r="F368" s="14"/>
      <c r="G368" s="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x14ac:dyDescent="0.25">
      <c r="A369" s="14"/>
      <c r="B369" s="14"/>
      <c r="C369" s="14"/>
      <c r="D369" s="14"/>
      <c r="E369" s="14"/>
      <c r="F369" s="14"/>
      <c r="G369" s="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x14ac:dyDescent="0.25">
      <c r="A370" s="14"/>
      <c r="B370" s="14"/>
      <c r="C370" s="14"/>
      <c r="D370" s="14"/>
      <c r="E370" s="14"/>
      <c r="F370" s="14"/>
      <c r="G370" s="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x14ac:dyDescent="0.25">
      <c r="A371" s="14"/>
      <c r="B371" s="14"/>
      <c r="C371" s="14"/>
      <c r="D371" s="14"/>
      <c r="E371" s="14"/>
      <c r="F371" s="14"/>
      <c r="G371" s="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x14ac:dyDescent="0.25">
      <c r="A372" s="14"/>
      <c r="B372" s="14"/>
      <c r="C372" s="14"/>
      <c r="D372" s="14"/>
      <c r="E372" s="14"/>
      <c r="F372" s="14"/>
      <c r="G372" s="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x14ac:dyDescent="0.25">
      <c r="A373" s="14"/>
      <c r="B373" s="14"/>
      <c r="C373" s="14"/>
      <c r="D373" s="14"/>
      <c r="E373" s="14"/>
      <c r="F373" s="14"/>
      <c r="G373" s="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x14ac:dyDescent="0.25">
      <c r="A374" s="14"/>
      <c r="B374" s="14"/>
      <c r="C374" s="14"/>
      <c r="D374" s="14"/>
      <c r="E374" s="14"/>
      <c r="F374" s="14"/>
      <c r="G374" s="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x14ac:dyDescent="0.25">
      <c r="A375" s="14"/>
      <c r="B375" s="14"/>
      <c r="C375" s="14"/>
      <c r="D375" s="14"/>
      <c r="E375" s="14"/>
      <c r="F375" s="14"/>
      <c r="G375" s="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x14ac:dyDescent="0.25">
      <c r="A376" s="14"/>
      <c r="B376" s="14"/>
      <c r="C376" s="14"/>
      <c r="D376" s="14"/>
      <c r="E376" s="14"/>
      <c r="F376" s="14"/>
      <c r="G376" s="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x14ac:dyDescent="0.25">
      <c r="A377" s="14"/>
      <c r="B377" s="14"/>
      <c r="C377" s="14"/>
      <c r="D377" s="14"/>
      <c r="E377" s="14"/>
      <c r="F377" s="14"/>
      <c r="G377" s="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x14ac:dyDescent="0.25">
      <c r="A378" s="14"/>
      <c r="B378" s="14"/>
      <c r="C378" s="14"/>
      <c r="D378" s="14"/>
      <c r="E378" s="14"/>
      <c r="F378" s="14"/>
      <c r="G378" s="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x14ac:dyDescent="0.25">
      <c r="A379" s="14"/>
      <c r="B379" s="14"/>
      <c r="C379" s="14"/>
      <c r="D379" s="14"/>
      <c r="E379" s="14"/>
      <c r="F379" s="14"/>
      <c r="G379" s="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x14ac:dyDescent="0.25">
      <c r="A380" s="14"/>
      <c r="B380" s="14"/>
      <c r="C380" s="14"/>
      <c r="D380" s="14"/>
      <c r="E380" s="14"/>
      <c r="F380" s="14"/>
      <c r="G380" s="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x14ac:dyDescent="0.25">
      <c r="A381" s="14"/>
      <c r="B381" s="14"/>
      <c r="C381" s="14"/>
      <c r="D381" s="14"/>
      <c r="E381" s="14"/>
      <c r="F381" s="14"/>
      <c r="G381" s="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x14ac:dyDescent="0.25">
      <c r="A382" s="14"/>
      <c r="B382" s="14"/>
      <c r="C382" s="14"/>
      <c r="D382" s="14"/>
      <c r="E382" s="14"/>
      <c r="F382" s="14"/>
      <c r="G382" s="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x14ac:dyDescent="0.25">
      <c r="A383" s="14"/>
      <c r="B383" s="14"/>
      <c r="C383" s="14"/>
      <c r="D383" s="14"/>
      <c r="E383" s="14"/>
      <c r="F383" s="14"/>
      <c r="G383" s="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x14ac:dyDescent="0.25">
      <c r="A384" s="14"/>
      <c r="B384" s="14"/>
      <c r="C384" s="14"/>
      <c r="D384" s="14"/>
      <c r="E384" s="14"/>
      <c r="F384" s="14"/>
      <c r="G384" s="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x14ac:dyDescent="0.25">
      <c r="A385" s="14"/>
      <c r="B385" s="14"/>
      <c r="C385" s="14"/>
      <c r="D385" s="14"/>
      <c r="E385" s="14"/>
      <c r="F385" s="14"/>
      <c r="G385" s="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x14ac:dyDescent="0.25">
      <c r="A386" s="14"/>
      <c r="B386" s="14"/>
      <c r="C386" s="14"/>
      <c r="D386" s="14"/>
      <c r="E386" s="14"/>
      <c r="F386" s="14"/>
      <c r="G386" s="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x14ac:dyDescent="0.25">
      <c r="A387" s="14"/>
      <c r="B387" s="14"/>
      <c r="C387" s="14"/>
      <c r="D387" s="14"/>
      <c r="E387" s="14"/>
      <c r="F387" s="14"/>
      <c r="G387" s="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x14ac:dyDescent="0.25">
      <c r="A388" s="14"/>
      <c r="B388" s="14"/>
      <c r="C388" s="14"/>
      <c r="D388" s="14"/>
      <c r="E388" s="14"/>
      <c r="F388" s="14"/>
      <c r="G388" s="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x14ac:dyDescent="0.25">
      <c r="A389" s="14"/>
      <c r="B389" s="14"/>
      <c r="C389" s="14"/>
      <c r="D389" s="14"/>
      <c r="E389" s="14"/>
      <c r="F389" s="14"/>
      <c r="G389" s="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x14ac:dyDescent="0.25">
      <c r="A390" s="14"/>
      <c r="B390" s="14"/>
      <c r="C390" s="14"/>
      <c r="D390" s="14"/>
      <c r="E390" s="14"/>
      <c r="F390" s="14"/>
      <c r="G390" s="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x14ac:dyDescent="0.25">
      <c r="A391" s="14"/>
      <c r="B391" s="14"/>
      <c r="C391" s="14"/>
      <c r="D391" s="14"/>
      <c r="E391" s="14"/>
      <c r="F391" s="14"/>
      <c r="G391" s="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x14ac:dyDescent="0.25">
      <c r="A392" s="14"/>
      <c r="B392" s="14"/>
      <c r="C392" s="14"/>
      <c r="D392" s="14"/>
      <c r="E392" s="14"/>
      <c r="F392" s="14"/>
      <c r="G392" s="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x14ac:dyDescent="0.25">
      <c r="A393" s="14"/>
      <c r="B393" s="14"/>
      <c r="C393" s="14"/>
      <c r="D393" s="14"/>
      <c r="E393" s="14"/>
      <c r="F393" s="14"/>
      <c r="G393" s="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x14ac:dyDescent="0.25">
      <c r="A394" s="14"/>
      <c r="B394" s="14"/>
      <c r="C394" s="14"/>
      <c r="D394" s="14"/>
      <c r="E394" s="14"/>
      <c r="F394" s="14"/>
      <c r="G394" s="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x14ac:dyDescent="0.25">
      <c r="A395" s="14"/>
      <c r="B395" s="14"/>
      <c r="C395" s="14"/>
      <c r="D395" s="14"/>
      <c r="E395" s="14"/>
      <c r="F395" s="14"/>
      <c r="G395" s="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x14ac:dyDescent="0.25">
      <c r="A396" s="14"/>
      <c r="B396" s="14"/>
      <c r="C396" s="14"/>
      <c r="D396" s="14"/>
      <c r="E396" s="14"/>
      <c r="F396" s="14"/>
      <c r="G396" s="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x14ac:dyDescent="0.25">
      <c r="A397" s="14"/>
      <c r="B397" s="14"/>
      <c r="C397" s="14"/>
      <c r="D397" s="14"/>
      <c r="E397" s="14"/>
      <c r="F397" s="14"/>
      <c r="G397" s="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x14ac:dyDescent="0.25">
      <c r="A398" s="14"/>
      <c r="B398" s="14"/>
      <c r="C398" s="14"/>
      <c r="D398" s="14"/>
      <c r="E398" s="14"/>
      <c r="F398" s="14"/>
      <c r="G398" s="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x14ac:dyDescent="0.25">
      <c r="A399" s="14"/>
      <c r="B399" s="14"/>
      <c r="C399" s="14"/>
      <c r="D399" s="14"/>
      <c r="E399" s="14"/>
      <c r="F399" s="14"/>
      <c r="G399" s="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x14ac:dyDescent="0.25">
      <c r="A400" s="14"/>
      <c r="B400" s="14"/>
      <c r="C400" s="14"/>
      <c r="D400" s="14"/>
      <c r="E400" s="14"/>
      <c r="F400" s="14"/>
      <c r="G400" s="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x14ac:dyDescent="0.25">
      <c r="A401" s="14"/>
      <c r="B401" s="14"/>
      <c r="C401" s="14"/>
      <c r="D401" s="14"/>
      <c r="E401" s="14"/>
      <c r="F401" s="14"/>
      <c r="G401" s="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x14ac:dyDescent="0.25">
      <c r="A402" s="14"/>
      <c r="B402" s="14"/>
      <c r="C402" s="14"/>
      <c r="D402" s="14"/>
      <c r="E402" s="14"/>
      <c r="F402" s="14"/>
      <c r="G402" s="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x14ac:dyDescent="0.25">
      <c r="A403" s="14"/>
      <c r="B403" s="14"/>
      <c r="C403" s="14"/>
      <c r="D403" s="14"/>
      <c r="E403" s="14"/>
      <c r="F403" s="14"/>
      <c r="G403" s="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x14ac:dyDescent="0.25">
      <c r="A404" s="14"/>
      <c r="B404" s="14"/>
      <c r="C404" s="14"/>
      <c r="D404" s="14"/>
      <c r="E404" s="14"/>
      <c r="F404" s="14"/>
      <c r="G404" s="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x14ac:dyDescent="0.25">
      <c r="A405" s="14"/>
      <c r="B405" s="14"/>
      <c r="C405" s="14"/>
      <c r="D405" s="14"/>
      <c r="E405" s="14"/>
      <c r="F405" s="14"/>
      <c r="G405" s="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x14ac:dyDescent="0.25">
      <c r="A406" s="14"/>
      <c r="B406" s="14"/>
      <c r="C406" s="14"/>
      <c r="D406" s="14"/>
      <c r="E406" s="14"/>
      <c r="F406" s="14"/>
      <c r="G406" s="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x14ac:dyDescent="0.25">
      <c r="A407" s="14"/>
      <c r="B407" s="14"/>
      <c r="C407" s="14"/>
      <c r="D407" s="14"/>
      <c r="E407" s="14"/>
      <c r="F407" s="14"/>
      <c r="G407" s="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x14ac:dyDescent="0.25">
      <c r="A408" s="14"/>
      <c r="B408" s="14"/>
      <c r="C408" s="14"/>
      <c r="D408" s="14"/>
      <c r="E408" s="14"/>
      <c r="F408" s="14"/>
      <c r="G408" s="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x14ac:dyDescent="0.25">
      <c r="A409" s="14"/>
      <c r="B409" s="14"/>
      <c r="C409" s="14"/>
      <c r="D409" s="14"/>
      <c r="E409" s="14"/>
      <c r="F409" s="14"/>
      <c r="G409" s="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x14ac:dyDescent="0.25">
      <c r="A410" s="14"/>
      <c r="B410" s="14"/>
      <c r="C410" s="14"/>
      <c r="D410" s="14"/>
      <c r="E410" s="14"/>
      <c r="F410" s="14"/>
      <c r="G410" s="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x14ac:dyDescent="0.25">
      <c r="A411" s="14"/>
      <c r="B411" s="14"/>
      <c r="C411" s="14"/>
      <c r="D411" s="14"/>
      <c r="E411" s="14"/>
      <c r="F411" s="14"/>
      <c r="G411" s="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x14ac:dyDescent="0.25">
      <c r="A412" s="14"/>
      <c r="B412" s="14"/>
      <c r="C412" s="14"/>
      <c r="D412" s="14"/>
      <c r="E412" s="14"/>
      <c r="F412" s="14"/>
      <c r="G412" s="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x14ac:dyDescent="0.25">
      <c r="A413" s="14"/>
      <c r="B413" s="14"/>
      <c r="C413" s="14"/>
      <c r="D413" s="14"/>
      <c r="E413" s="14"/>
      <c r="F413" s="14"/>
      <c r="G413" s="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x14ac:dyDescent="0.25">
      <c r="A414" s="14"/>
      <c r="B414" s="14"/>
      <c r="C414" s="14"/>
      <c r="D414" s="14"/>
      <c r="E414" s="14"/>
      <c r="F414" s="14"/>
      <c r="G414" s="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x14ac:dyDescent="0.25">
      <c r="A415" s="14"/>
      <c r="B415" s="14"/>
      <c r="C415" s="14"/>
      <c r="D415" s="14"/>
      <c r="E415" s="14"/>
      <c r="F415" s="14"/>
      <c r="G415" s="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x14ac:dyDescent="0.25">
      <c r="A416" s="14"/>
      <c r="B416" s="14"/>
      <c r="C416" s="14"/>
      <c r="D416" s="14"/>
      <c r="E416" s="14"/>
      <c r="F416" s="14"/>
      <c r="G416" s="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x14ac:dyDescent="0.25">
      <c r="A417" s="14"/>
      <c r="B417" s="14"/>
      <c r="C417" s="14"/>
      <c r="D417" s="14"/>
      <c r="E417" s="14"/>
      <c r="F417" s="14"/>
      <c r="G417" s="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x14ac:dyDescent="0.25">
      <c r="A418" s="14"/>
      <c r="B418" s="14"/>
      <c r="C418" s="14"/>
      <c r="D418" s="14"/>
      <c r="E418" s="14"/>
      <c r="F418" s="14"/>
      <c r="G418" s="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x14ac:dyDescent="0.25">
      <c r="A419" s="14"/>
      <c r="B419" s="14"/>
      <c r="C419" s="14"/>
      <c r="D419" s="14"/>
      <c r="E419" s="14"/>
      <c r="F419" s="14"/>
      <c r="G419" s="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x14ac:dyDescent="0.25">
      <c r="A420" s="14"/>
      <c r="B420" s="14"/>
      <c r="C420" s="14"/>
      <c r="D420" s="14"/>
      <c r="E420" s="14"/>
      <c r="F420" s="14"/>
      <c r="G420" s="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x14ac:dyDescent="0.25">
      <c r="A421" s="14"/>
      <c r="B421" s="14"/>
      <c r="C421" s="14"/>
      <c r="D421" s="14"/>
      <c r="E421" s="14"/>
      <c r="F421" s="14"/>
      <c r="G421" s="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x14ac:dyDescent="0.25">
      <c r="A422" s="14"/>
      <c r="B422" s="14"/>
      <c r="C422" s="14"/>
      <c r="D422" s="14"/>
      <c r="E422" s="14"/>
      <c r="F422" s="14"/>
      <c r="G422" s="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x14ac:dyDescent="0.25">
      <c r="A423" s="14"/>
      <c r="B423" s="14"/>
      <c r="C423" s="14"/>
      <c r="D423" s="14"/>
      <c r="E423" s="14"/>
      <c r="F423" s="14"/>
      <c r="G423" s="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x14ac:dyDescent="0.25">
      <c r="A424" s="14"/>
      <c r="B424" s="14"/>
      <c r="C424" s="14"/>
      <c r="D424" s="14"/>
      <c r="E424" s="14"/>
      <c r="F424" s="14"/>
      <c r="G424" s="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x14ac:dyDescent="0.25">
      <c r="A425" s="14"/>
      <c r="B425" s="14"/>
      <c r="C425" s="14"/>
      <c r="D425" s="14"/>
      <c r="E425" s="14"/>
      <c r="F425" s="14"/>
      <c r="G425" s="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x14ac:dyDescent="0.25">
      <c r="A426" s="14"/>
      <c r="B426" s="14"/>
      <c r="C426" s="14"/>
      <c r="D426" s="14"/>
      <c r="E426" s="14"/>
      <c r="F426" s="14"/>
      <c r="G426" s="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x14ac:dyDescent="0.25">
      <c r="A427" s="14"/>
      <c r="B427" s="14"/>
      <c r="C427" s="14"/>
      <c r="D427" s="14"/>
      <c r="E427" s="14"/>
      <c r="F427" s="14"/>
      <c r="G427" s="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x14ac:dyDescent="0.25">
      <c r="A428" s="14"/>
      <c r="B428" s="14"/>
      <c r="C428" s="14"/>
      <c r="D428" s="14"/>
      <c r="E428" s="14"/>
      <c r="F428" s="14"/>
      <c r="G428" s="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x14ac:dyDescent="0.25">
      <c r="A429" s="14"/>
      <c r="B429" s="14"/>
      <c r="C429" s="14"/>
      <c r="D429" s="14"/>
      <c r="E429" s="14"/>
      <c r="F429" s="14"/>
      <c r="G429" s="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x14ac:dyDescent="0.25">
      <c r="A430" s="14"/>
      <c r="B430" s="14"/>
      <c r="C430" s="14"/>
      <c r="D430" s="14"/>
      <c r="E430" s="14"/>
      <c r="F430" s="14"/>
      <c r="G430" s="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x14ac:dyDescent="0.25">
      <c r="A431" s="14"/>
      <c r="B431" s="14"/>
      <c r="C431" s="14"/>
      <c r="D431" s="14"/>
      <c r="E431" s="14"/>
      <c r="F431" s="14"/>
      <c r="G431" s="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x14ac:dyDescent="0.25">
      <c r="A432" s="14"/>
      <c r="B432" s="14"/>
      <c r="C432" s="14"/>
      <c r="D432" s="14"/>
      <c r="E432" s="14"/>
      <c r="F432" s="14"/>
      <c r="G432" s="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x14ac:dyDescent="0.25">
      <c r="A433" s="14"/>
      <c r="B433" s="14"/>
      <c r="C433" s="14"/>
      <c r="D433" s="14"/>
      <c r="E433" s="14"/>
      <c r="F433" s="14"/>
      <c r="G433" s="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x14ac:dyDescent="0.25">
      <c r="A434" s="14"/>
      <c r="B434" s="14"/>
      <c r="C434" s="14"/>
      <c r="D434" s="14"/>
      <c r="E434" s="14"/>
      <c r="F434" s="14"/>
      <c r="G434" s="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x14ac:dyDescent="0.25">
      <c r="A435" s="14"/>
      <c r="B435" s="14"/>
      <c r="C435" s="14"/>
      <c r="D435" s="14"/>
      <c r="E435" s="14"/>
      <c r="F435" s="14"/>
      <c r="G435" s="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x14ac:dyDescent="0.25">
      <c r="A436" s="14"/>
      <c r="B436" s="14"/>
      <c r="C436" s="14"/>
      <c r="D436" s="14"/>
      <c r="E436" s="14"/>
      <c r="F436" s="14"/>
      <c r="G436" s="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x14ac:dyDescent="0.25">
      <c r="A437" s="14"/>
      <c r="B437" s="14"/>
      <c r="C437" s="14"/>
      <c r="D437" s="14"/>
      <c r="E437" s="14"/>
      <c r="F437" s="14"/>
      <c r="G437" s="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x14ac:dyDescent="0.25">
      <c r="A438" s="14"/>
      <c r="B438" s="14"/>
      <c r="C438" s="14"/>
      <c r="D438" s="14"/>
      <c r="E438" s="14"/>
      <c r="F438" s="14"/>
      <c r="G438" s="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x14ac:dyDescent="0.25">
      <c r="A439" s="14"/>
      <c r="B439" s="14"/>
      <c r="C439" s="14"/>
      <c r="D439" s="14"/>
      <c r="E439" s="14"/>
      <c r="F439" s="14"/>
      <c r="G439" s="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x14ac:dyDescent="0.25">
      <c r="A440" s="14"/>
      <c r="B440" s="14"/>
      <c r="C440" s="14"/>
      <c r="D440" s="14"/>
      <c r="E440" s="14"/>
      <c r="F440" s="14"/>
      <c r="G440" s="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x14ac:dyDescent="0.25">
      <c r="A441" s="14"/>
      <c r="B441" s="14"/>
      <c r="C441" s="14"/>
      <c r="D441" s="14"/>
      <c r="E441" s="14"/>
      <c r="F441" s="14"/>
      <c r="G441" s="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x14ac:dyDescent="0.25">
      <c r="A442" s="14"/>
      <c r="B442" s="14"/>
      <c r="C442" s="14"/>
      <c r="D442" s="14"/>
      <c r="E442" s="14"/>
      <c r="F442" s="14"/>
      <c r="G442" s="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x14ac:dyDescent="0.25">
      <c r="A443" s="14"/>
      <c r="B443" s="14"/>
      <c r="C443" s="14"/>
      <c r="D443" s="14"/>
      <c r="E443" s="14"/>
      <c r="F443" s="14"/>
      <c r="G443" s="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x14ac:dyDescent="0.25">
      <c r="A444" s="14"/>
      <c r="B444" s="14"/>
      <c r="C444" s="14"/>
      <c r="D444" s="14"/>
      <c r="E444" s="14"/>
      <c r="F444" s="14"/>
      <c r="G444" s="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x14ac:dyDescent="0.25">
      <c r="A445" s="14"/>
      <c r="B445" s="14"/>
      <c r="C445" s="14"/>
      <c r="D445" s="14"/>
      <c r="E445" s="14"/>
      <c r="F445" s="14"/>
      <c r="G445" s="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x14ac:dyDescent="0.25">
      <c r="A446" s="14"/>
      <c r="B446" s="14"/>
      <c r="C446" s="14"/>
      <c r="D446" s="14"/>
      <c r="E446" s="14"/>
      <c r="F446" s="14"/>
      <c r="G446" s="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x14ac:dyDescent="0.25">
      <c r="A447" s="14"/>
      <c r="B447" s="14"/>
      <c r="C447" s="14"/>
      <c r="D447" s="14"/>
      <c r="E447" s="14"/>
      <c r="F447" s="14"/>
      <c r="G447" s="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x14ac:dyDescent="0.25">
      <c r="A448" s="14"/>
      <c r="B448" s="14"/>
      <c r="C448" s="14"/>
      <c r="D448" s="14"/>
      <c r="E448" s="14"/>
      <c r="F448" s="14"/>
      <c r="G448" s="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x14ac:dyDescent="0.25">
      <c r="A449" s="14"/>
      <c r="B449" s="14"/>
      <c r="C449" s="14"/>
      <c r="D449" s="14"/>
      <c r="E449" s="14"/>
      <c r="F449" s="14"/>
      <c r="G449" s="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x14ac:dyDescent="0.25">
      <c r="A450" s="14"/>
      <c r="B450" s="14"/>
      <c r="C450" s="14"/>
      <c r="D450" s="14"/>
      <c r="E450" s="14"/>
      <c r="F450" s="14"/>
      <c r="G450" s="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x14ac:dyDescent="0.25">
      <c r="A451" s="14"/>
      <c r="B451" s="14"/>
      <c r="C451" s="14"/>
      <c r="D451" s="14"/>
      <c r="E451" s="14"/>
      <c r="F451" s="14"/>
      <c r="G451" s="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x14ac:dyDescent="0.25">
      <c r="A452" s="14"/>
      <c r="B452" s="14"/>
      <c r="C452" s="14"/>
      <c r="D452" s="14"/>
      <c r="E452" s="14"/>
      <c r="F452" s="14"/>
      <c r="G452" s="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x14ac:dyDescent="0.25">
      <c r="A453" s="14"/>
      <c r="B453" s="14"/>
      <c r="C453" s="14"/>
      <c r="D453" s="14"/>
      <c r="E453" s="14"/>
      <c r="F453" s="14"/>
      <c r="G453" s="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x14ac:dyDescent="0.25">
      <c r="A454" s="14"/>
      <c r="B454" s="14"/>
      <c r="C454" s="14"/>
      <c r="D454" s="14"/>
      <c r="E454" s="14"/>
      <c r="F454" s="14"/>
      <c r="G454" s="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x14ac:dyDescent="0.25">
      <c r="A455" s="14"/>
      <c r="B455" s="14"/>
      <c r="C455" s="14"/>
      <c r="D455" s="14"/>
      <c r="E455" s="14"/>
      <c r="F455" s="14"/>
      <c r="G455" s="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x14ac:dyDescent="0.25">
      <c r="A456" s="14"/>
      <c r="B456" s="14"/>
      <c r="C456" s="14"/>
      <c r="D456" s="14"/>
      <c r="E456" s="14"/>
      <c r="F456" s="14"/>
      <c r="G456" s="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x14ac:dyDescent="0.25">
      <c r="A457" s="14"/>
      <c r="B457" s="14"/>
      <c r="C457" s="14"/>
      <c r="D457" s="14"/>
      <c r="E457" s="14"/>
      <c r="F457" s="14"/>
      <c r="G457" s="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x14ac:dyDescent="0.25">
      <c r="A458" s="14"/>
      <c r="B458" s="14"/>
      <c r="C458" s="14"/>
      <c r="D458" s="14"/>
      <c r="E458" s="14"/>
      <c r="F458" s="14"/>
      <c r="G458" s="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x14ac:dyDescent="0.25">
      <c r="A459" s="14"/>
      <c r="B459" s="14"/>
      <c r="C459" s="14"/>
      <c r="D459" s="14"/>
      <c r="E459" s="14"/>
      <c r="F459" s="14"/>
      <c r="G459" s="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x14ac:dyDescent="0.25">
      <c r="A460" s="14"/>
      <c r="B460" s="14"/>
      <c r="C460" s="14"/>
      <c r="D460" s="14"/>
      <c r="E460" s="14"/>
      <c r="F460" s="14"/>
      <c r="G460" s="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x14ac:dyDescent="0.25">
      <c r="A461" s="14"/>
      <c r="B461" s="14"/>
      <c r="C461" s="14"/>
      <c r="D461" s="14"/>
      <c r="E461" s="14"/>
      <c r="F461" s="14"/>
      <c r="G461" s="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x14ac:dyDescent="0.25">
      <c r="A462" s="14"/>
      <c r="B462" s="14"/>
      <c r="C462" s="14"/>
      <c r="D462" s="14"/>
      <c r="E462" s="14"/>
      <c r="F462" s="14"/>
      <c r="G462" s="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x14ac:dyDescent="0.25">
      <c r="A463" s="14"/>
      <c r="B463" s="14"/>
      <c r="C463" s="14"/>
      <c r="D463" s="14"/>
      <c r="E463" s="14"/>
      <c r="F463" s="14"/>
      <c r="G463" s="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x14ac:dyDescent="0.25">
      <c r="A464" s="14"/>
      <c r="B464" s="14"/>
      <c r="C464" s="14"/>
      <c r="D464" s="14"/>
      <c r="E464" s="14"/>
      <c r="F464" s="14"/>
      <c r="G464" s="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x14ac:dyDescent="0.25">
      <c r="A465" s="14"/>
      <c r="B465" s="14"/>
      <c r="C465" s="14"/>
      <c r="D465" s="14"/>
      <c r="E465" s="14"/>
      <c r="F465" s="14"/>
      <c r="G465" s="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x14ac:dyDescent="0.25">
      <c r="A466" s="14"/>
      <c r="B466" s="14"/>
      <c r="C466" s="14"/>
      <c r="D466" s="14"/>
      <c r="E466" s="14"/>
      <c r="F466" s="14"/>
      <c r="G466" s="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x14ac:dyDescent="0.25">
      <c r="A467" s="14"/>
      <c r="B467" s="14"/>
      <c r="C467" s="14"/>
      <c r="D467" s="14"/>
      <c r="E467" s="14"/>
      <c r="F467" s="14"/>
      <c r="G467" s="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x14ac:dyDescent="0.25">
      <c r="A468" s="14"/>
      <c r="B468" s="14"/>
      <c r="C468" s="14"/>
      <c r="D468" s="14"/>
      <c r="E468" s="14"/>
      <c r="F468" s="14"/>
      <c r="G468" s="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x14ac:dyDescent="0.25">
      <c r="A469" s="14"/>
      <c r="B469" s="14"/>
      <c r="C469" s="14"/>
      <c r="D469" s="14"/>
      <c r="E469" s="14"/>
      <c r="F469" s="14"/>
      <c r="G469" s="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x14ac:dyDescent="0.25">
      <c r="A470" s="14"/>
      <c r="B470" s="14"/>
      <c r="C470" s="14"/>
      <c r="D470" s="14"/>
      <c r="E470" s="14"/>
      <c r="F470" s="14"/>
      <c r="G470" s="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x14ac:dyDescent="0.25">
      <c r="A471" s="14"/>
      <c r="B471" s="14"/>
      <c r="C471" s="14"/>
      <c r="D471" s="14"/>
      <c r="E471" s="14"/>
      <c r="F471" s="14"/>
      <c r="G471" s="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x14ac:dyDescent="0.25">
      <c r="A472" s="14"/>
      <c r="B472" s="14"/>
      <c r="C472" s="14"/>
      <c r="D472" s="14"/>
      <c r="E472" s="14"/>
      <c r="F472" s="14"/>
      <c r="G472" s="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</sheetData>
  <autoFilter ref="A3:Z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2026-09-24T16:42:52Z</dcterms:created>
  <dcterms:modified xsi:type="dcterms:W3CDTF">2026-09-29T08:31:13Z</dcterms:modified>
</cp:coreProperties>
</file>