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4285DA54-A6C1-4A81-BF92-E2C1D6E027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4" i="1" s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20" i="1" l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Z556" i="1" s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Y24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BP422" i="1"/>
  <c r="BN422" i="1"/>
  <c r="Z422" i="1"/>
  <c r="Z424" i="1" s="1"/>
  <c r="Y424" i="1"/>
  <c r="P568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5" i="1" s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Z386" i="1" s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7" i="1"/>
  <c r="Z369" i="1" l="1"/>
  <c r="Z108" i="1"/>
  <c r="Z42" i="1"/>
  <c r="Z399" i="1"/>
  <c r="Z517" i="1"/>
  <c r="Z437" i="1"/>
  <c r="Z338" i="1"/>
  <c r="Z138" i="1"/>
  <c r="Z116" i="1"/>
  <c r="Z91" i="1"/>
  <c r="Z69" i="1"/>
  <c r="Z62" i="1"/>
  <c r="Z32" i="1"/>
  <c r="Z322" i="1"/>
  <c r="Z292" i="1"/>
  <c r="Z497" i="1"/>
  <c r="Z379" i="1"/>
  <c r="Z233" i="1"/>
  <c r="Y560" i="1"/>
  <c r="Z277" i="1"/>
  <c r="Z251" i="1"/>
  <c r="Y562" i="1"/>
  <c r="Z511" i="1"/>
  <c r="Z481" i="1"/>
  <c r="Z443" i="1"/>
  <c r="Z527" i="1"/>
  <c r="Z470" i="1"/>
  <c r="Z449" i="1"/>
  <c r="Z331" i="1"/>
  <c r="Z308" i="1"/>
  <c r="Z184" i="1"/>
  <c r="Z153" i="1"/>
  <c r="Z123" i="1"/>
  <c r="Z98" i="1"/>
  <c r="Y558" i="1"/>
  <c r="Y559" i="1"/>
  <c r="Y561" i="1" s="1"/>
  <c r="Z411" i="1"/>
  <c r="Z347" i="1"/>
  <c r="Z245" i="1"/>
  <c r="Z210" i="1"/>
  <c r="Z563" i="1" l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<sst xmlns="http://schemas.openxmlformats.org/spreadsheetml/2006/main" count="2540" uniqueCount="914">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</sst>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1538</v>
      </c>
      <c r="Y47" s="642">
        <f>IFERROR(IF(X47="",0,CEILING((X47/$H47),1)*$H47),"")</f>
        <v>1544.4</v>
      </c>
      <c r="Z47" s="36">
        <f>IFERROR(IF(Y47=0,"",ROUNDUP(Y47/H47,0)*0.01898),"")</f>
        <v>2.71414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1596.3870370370369</v>
      </c>
      <c r="BN47" s="64">
        <f>IFERROR(Y47*I47/H47,"0")</f>
        <v>1603.03</v>
      </c>
      <c r="BO47" s="64">
        <f>IFERROR(1/J47*(X47/H47),"0")</f>
        <v>2.2251157407407405</v>
      </c>
      <c r="BP47" s="64">
        <f>IFERROR(1/J47*(Y47/H47),"0")</f>
        <v>2.234375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108</v>
      </c>
      <c r="Y50" s="642">
        <f>IFERROR(IF(X50="",0,CEILING((X50/$H50),1)*$H50),"")</f>
        <v>111</v>
      </c>
      <c r="Z50" s="36">
        <f>IFERROR(IF(Y50=0,"",ROUNDUP(Y50/H50,0)*0.00902),"")</f>
        <v>0.27060000000000001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113.54594594594595</v>
      </c>
      <c r="BN50" s="64">
        <f>IFERROR(Y50*I50/H50,"0")</f>
        <v>116.7</v>
      </c>
      <c r="BO50" s="64">
        <f>IFERROR(1/J50*(X50/H50),"0")</f>
        <v>0.22113022113022113</v>
      </c>
      <c r="BP50" s="64">
        <f>IFERROR(1/J50*(Y50/H50),"0")</f>
        <v>0.22727272727272729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171.59659659659658</v>
      </c>
      <c r="Y51" s="643">
        <f>IFERROR(Y47/H47,"0")+IFERROR(Y48/H48,"0")+IFERROR(Y49/H49,"0")+IFERROR(Y50/H50,"0")</f>
        <v>173</v>
      </c>
      <c r="Z51" s="643">
        <f>IFERROR(IF(Z47="",0,Z47),"0")+IFERROR(IF(Z48="",0,Z48),"0")+IFERROR(IF(Z49="",0,Z49),"0")+IFERROR(IF(Z50="",0,Z50),"0")</f>
        <v>2.9847399999999999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1646</v>
      </c>
      <c r="Y52" s="643">
        <f>IFERROR(SUM(Y47:Y50),"0")</f>
        <v>1655.4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188</v>
      </c>
      <c r="Y55" s="642">
        <f t="shared" ref="Y55:Y61" si="0">IFERROR(IF(X55="",0,CEILING((X55/$H55),1)*$H55),"")</f>
        <v>190.39999999999998</v>
      </c>
      <c r="Z55" s="36">
        <f>IFERROR(IF(Y55=0,"",ROUNDUP(Y55/H55,0)*0.01898),"")</f>
        <v>0.32266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194.88214285714287</v>
      </c>
      <c r="BN55" s="64">
        <f t="shared" ref="BN55:BN61" si="2">IFERROR(Y55*I55/H55,"0")</f>
        <v>197.36999999999995</v>
      </c>
      <c r="BO55" s="64">
        <f t="shared" ref="BO55:BO61" si="3">IFERROR(1/J55*(X55/H55),"0")</f>
        <v>0.26227678571428575</v>
      </c>
      <c r="BP55" s="64">
        <f t="shared" ref="BP55:BP61" si="4">IFERROR(1/J55*(Y55/H55),"0")</f>
        <v>0.265625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53</v>
      </c>
      <c r="Y61" s="642">
        <f t="shared" si="0"/>
        <v>54</v>
      </c>
      <c r="Z61" s="36">
        <f>IFERROR(IF(Y61=0,"",ROUNDUP(Y61/H61,0)*0.00902),"")</f>
        <v>0.10824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55.237777777777779</v>
      </c>
      <c r="BN61" s="64">
        <f t="shared" si="2"/>
        <v>56.28</v>
      </c>
      <c r="BO61" s="64">
        <f t="shared" si="3"/>
        <v>8.9225589225589236E-2</v>
      </c>
      <c r="BP61" s="64">
        <f t="shared" si="4"/>
        <v>9.0909090909090912E-2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28.563492063492067</v>
      </c>
      <c r="Y62" s="643">
        <f>IFERROR(Y55/H55,"0")+IFERROR(Y56/H56,"0")+IFERROR(Y57/H57,"0")+IFERROR(Y58/H58,"0")+IFERROR(Y59/H59,"0")+IFERROR(Y60/H60,"0")+IFERROR(Y61/H61,"0")</f>
        <v>29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0.43090000000000001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241</v>
      </c>
      <c r="Y63" s="643">
        <f>IFERROR(SUM(Y55:Y61),"0")</f>
        <v>244.39999999999998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216</v>
      </c>
      <c r="Y65" s="642">
        <f>IFERROR(IF(X65="",0,CEILING((X65/$H65),1)*$H65),"")</f>
        <v>216</v>
      </c>
      <c r="Z65" s="36">
        <f>IFERROR(IF(Y65=0,"",ROUNDUP(Y65/H65,0)*0.01898),"")</f>
        <v>0.37959999999999999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224.2</v>
      </c>
      <c r="BN65" s="64">
        <f>IFERROR(Y65*I65/H65,"0")</f>
        <v>224.2</v>
      </c>
      <c r="BO65" s="64">
        <f>IFERROR(1/J65*(X65/H65),"0")</f>
        <v>0.3125</v>
      </c>
      <c r="BP65" s="64">
        <f>IFERROR(1/J65*(Y65/H65),"0")</f>
        <v>0.3125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20</v>
      </c>
      <c r="Y69" s="643">
        <f>IFERROR(Y65/H65,"0")+IFERROR(Y66/H66,"0")+IFERROR(Y67/H67,"0")+IFERROR(Y68/H68,"0")</f>
        <v>20</v>
      </c>
      <c r="Z69" s="643">
        <f>IFERROR(IF(Z65="",0,Z65),"0")+IFERROR(IF(Z66="",0,Z66),"0")+IFERROR(IF(Z67="",0,Z67),"0")+IFERROR(IF(Z68="",0,Z68),"0")</f>
        <v>0.37959999999999999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216</v>
      </c>
      <c r="Y70" s="643">
        <f>IFERROR(SUM(Y65:Y68),"0")</f>
        <v>216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94</v>
      </c>
      <c r="Y78" s="642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98.941025641025661</v>
      </c>
      <c r="BN78" s="64">
        <f>IFERROR(Y78*I78/H78,"0")</f>
        <v>106.73</v>
      </c>
      <c r="BO78" s="64">
        <f>IFERROR(1/J78*(X78/H78),"0")</f>
        <v>0.18830128205128205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12.051282051282051</v>
      </c>
      <c r="Y81" s="643">
        <f>IFERROR(Y78/H78,"0")+IFERROR(Y79/H79,"0")+IFERROR(Y80/H80,"0")</f>
        <v>13</v>
      </c>
      <c r="Z81" s="643">
        <f>IFERROR(IF(Z78="",0,Z78),"0")+IFERROR(IF(Z79="",0,Z79),"0")+IFERROR(IF(Z80="",0,Z80),"0")</f>
        <v>0.24674000000000001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94</v>
      </c>
      <c r="Y82" s="643">
        <f>IFERROR(SUM(Y78:Y80),"0")</f>
        <v>101.39999999999999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139</v>
      </c>
      <c r="Y85" s="642">
        <f t="shared" ref="Y85:Y90" si="5"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144.27685185185186</v>
      </c>
      <c r="BN85" s="64">
        <f t="shared" ref="BN85:BN90" si="7">IFERROR(Y85*I85/H85,"0")</f>
        <v>145.73000000000002</v>
      </c>
      <c r="BO85" s="64">
        <f t="shared" ref="BO85:BO90" si="8">IFERROR(1/J85*(X85/H85),"0")</f>
        <v>0.20109953703703703</v>
      </c>
      <c r="BP85" s="64">
        <f t="shared" ref="BP85:BP90" si="9">IFERROR(1/J85*(Y85/H85),"0")</f>
        <v>0.203125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12.87037037037037</v>
      </c>
      <c r="Y91" s="643">
        <f>IFERROR(Y85/H85,"0")+IFERROR(Y86/H86,"0")+IFERROR(Y87/H87,"0")+IFERROR(Y88/H88,"0")+IFERROR(Y89/H89,"0")+IFERROR(Y90/H90,"0")</f>
        <v>13</v>
      </c>
      <c r="Z91" s="643">
        <f>IFERROR(IF(Z85="",0,Z85),"0")+IFERROR(IF(Z86="",0,Z86),"0")+IFERROR(IF(Z87="",0,Z87),"0")+IFERROR(IF(Z88="",0,Z88),"0")+IFERROR(IF(Z89="",0,Z89),"0")+IFERROR(IF(Z90="",0,Z90),"0")</f>
        <v>0.24674000000000001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139</v>
      </c>
      <c r="Y92" s="643">
        <f>IFERROR(SUM(Y85:Y90),"0")</f>
        <v>140.4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210</v>
      </c>
      <c r="Y96" s="642">
        <f>IFERROR(IF(X96="",0,CEILING((X96/$H96),1)*$H96),"")</f>
        <v>210.60000000000002</v>
      </c>
      <c r="Z96" s="36">
        <f>IFERROR(IF(Y96=0,"",ROUNDUP(Y96/H96,0)*0.00651),"")</f>
        <v>0.50778000000000001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229.59999999999997</v>
      </c>
      <c r="BN96" s="64">
        <f>IFERROR(Y96*I96/H96,"0")</f>
        <v>230.25600000000003</v>
      </c>
      <c r="BO96" s="64">
        <f>IFERROR(1/J96*(X96/H96),"0")</f>
        <v>0.42735042735042733</v>
      </c>
      <c r="BP96" s="64">
        <f>IFERROR(1/J96*(Y96/H96),"0")</f>
        <v>0.4285714285714286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77.777777777777771</v>
      </c>
      <c r="Y98" s="643">
        <f>IFERROR(Y94/H94,"0")+IFERROR(Y95/H95,"0")+IFERROR(Y96/H96,"0")+IFERROR(Y97/H97,"0")</f>
        <v>78</v>
      </c>
      <c r="Z98" s="643">
        <f>IFERROR(IF(Z94="",0,Z94),"0")+IFERROR(IF(Z95="",0,Z95),"0")+IFERROR(IF(Z96="",0,Z96),"0")+IFERROR(IF(Z97="",0,Z97),"0")</f>
        <v>0.50778000000000001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210</v>
      </c>
      <c r="Y99" s="643">
        <f>IFERROR(SUM(Y94:Y97),"0")</f>
        <v>210.60000000000002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209</v>
      </c>
      <c r="Y102" s="642">
        <f t="shared" ref="Y102:Y107" si="10">IFERROR(IF(X102="",0,CEILING((X102/$H102),1)*$H102),"")</f>
        <v>216</v>
      </c>
      <c r="Z102" s="36">
        <f>IFERROR(IF(Y102=0,"",ROUNDUP(Y102/H102,0)*0.01898),"")</f>
        <v>0.37959999999999999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216.93425925925928</v>
      </c>
      <c r="BN102" s="64">
        <f t="shared" ref="BN102:BN107" si="12">IFERROR(Y102*I102/H102,"0")</f>
        <v>224.2</v>
      </c>
      <c r="BO102" s="64">
        <f t="shared" ref="BO102:BO107" si="13">IFERROR(1/J102*(X102/H102),"0")</f>
        <v>0.30237268518518517</v>
      </c>
      <c r="BP102" s="64">
        <f t="shared" ref="BP102:BP107" si="14">IFERROR(1/J102*(Y102/H102),"0")</f>
        <v>0.3125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101</v>
      </c>
      <c r="Y105" s="642">
        <f t="shared" si="10"/>
        <v>103.5</v>
      </c>
      <c r="Z105" s="36">
        <f>IFERROR(IF(Y105=0,"",ROUNDUP(Y105/H105,0)*0.00902),"")</f>
        <v>0.20746000000000001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105.26444444444445</v>
      </c>
      <c r="BN105" s="64">
        <f t="shared" si="12"/>
        <v>107.87</v>
      </c>
      <c r="BO105" s="64">
        <f t="shared" si="13"/>
        <v>0.17003367003367004</v>
      </c>
      <c r="BP105" s="64">
        <f t="shared" si="14"/>
        <v>0.17424242424242425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41.796296296296291</v>
      </c>
      <c r="Y108" s="643">
        <f>IFERROR(Y102/H102,"0")+IFERROR(Y103/H103,"0")+IFERROR(Y104/H104,"0")+IFERROR(Y105/H105,"0")+IFERROR(Y106/H106,"0")+IFERROR(Y107/H107,"0")</f>
        <v>43</v>
      </c>
      <c r="Z108" s="643">
        <f>IFERROR(IF(Z102="",0,Z102),"0")+IFERROR(IF(Z103="",0,Z103),"0")+IFERROR(IF(Z104="",0,Z104),"0")+IFERROR(IF(Z105="",0,Z105),"0")+IFERROR(IF(Z106="",0,Z106),"0")+IFERROR(IF(Z107="",0,Z107),"0")</f>
        <v>0.58706000000000003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310</v>
      </c>
      <c r="Y109" s="643">
        <f>IFERROR(SUM(Y102:Y107),"0")</f>
        <v>319.5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13</v>
      </c>
      <c r="Y111" s="642">
        <f>IFERROR(IF(X111="",0,CEILING((X111/$H111),1)*$H111),"")</f>
        <v>21.6</v>
      </c>
      <c r="Z111" s="36">
        <f>IFERROR(IF(Y111=0,"",ROUNDUP(Y111/H111,0)*0.01898),"")</f>
        <v>3.7960000000000001E-2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13.493518518518519</v>
      </c>
      <c r="BN111" s="64">
        <f>IFERROR(Y111*I111/H111,"0")</f>
        <v>22.42</v>
      </c>
      <c r="BO111" s="64">
        <f>IFERROR(1/J111*(X111/H111),"0")</f>
        <v>1.8807870370370371E-2</v>
      </c>
      <c r="BP111" s="64">
        <f>IFERROR(1/J111*(Y111/H111),"0")</f>
        <v>3.125E-2</v>
      </c>
    </row>
    <row r="112" spans="1:68" ht="27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1</v>
      </c>
      <c r="Y112" s="642">
        <f>IFERROR(IF(X112="",0,CEILING((X112/$H112),1)*$H112),"")</f>
        <v>1</v>
      </c>
      <c r="Z112" s="36">
        <f>IFERROR(IF(Y112=0,"",ROUNDUP(Y112/H112,0)*0.00358),"")</f>
        <v>3.5799999999999998E-3</v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1.21</v>
      </c>
      <c r="BN112" s="64">
        <f>IFERROR(Y112*I112/H112,"0")</f>
        <v>1.21</v>
      </c>
      <c r="BO112" s="64">
        <f>IFERROR(1/J112*(X112/H112),"0")</f>
        <v>2.5510204081632651E-3</v>
      </c>
      <c r="BP112" s="64">
        <f>IFERROR(1/J112*(Y112/H112),"0")</f>
        <v>2.5510204081632651E-3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60</v>
      </c>
      <c r="Y115" s="642">
        <f>IFERROR(IF(X115="",0,CEILING((X115/$H115),1)*$H115),"")</f>
        <v>60</v>
      </c>
      <c r="Z115" s="36">
        <f>IFERROR(IF(Y115=0,"",ROUNDUP(Y115/H115,0)*0.00651),"")</f>
        <v>0.16275000000000001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64.500000000000014</v>
      </c>
      <c r="BN115" s="64">
        <f>IFERROR(Y115*I115/H115,"0")</f>
        <v>64.500000000000014</v>
      </c>
      <c r="BO115" s="64">
        <f>IFERROR(1/J115*(X115/H115),"0")</f>
        <v>0.13736263736263737</v>
      </c>
      <c r="BP115" s="64">
        <f>IFERROR(1/J115*(Y115/H115),"0")</f>
        <v>0.13736263736263737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27.203703703703702</v>
      </c>
      <c r="Y116" s="643">
        <f>IFERROR(Y111/H111,"0")+IFERROR(Y112/H112,"0")+IFERROR(Y113/H113,"0")+IFERROR(Y114/H114,"0")+IFERROR(Y115/H115,"0")</f>
        <v>28</v>
      </c>
      <c r="Z116" s="643">
        <f>IFERROR(IF(Z111="",0,Z111),"0")+IFERROR(IF(Z112="",0,Z112),"0")+IFERROR(IF(Z113="",0,Z113),"0")+IFERROR(IF(Z114="",0,Z114),"0")+IFERROR(IF(Z115="",0,Z115),"0")</f>
        <v>0.20429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74</v>
      </c>
      <c r="Y117" s="643">
        <f>IFERROR(SUM(Y111:Y115),"0")</f>
        <v>82.6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283</v>
      </c>
      <c r="Y119" s="642">
        <f>IFERROR(IF(X119="",0,CEILING((X119/$H119),1)*$H119),"")</f>
        <v>283.5</v>
      </c>
      <c r="Z119" s="36">
        <f>IFERROR(IF(Y119=0,"",ROUNDUP(Y119/H119,0)*0.01898),"")</f>
        <v>0.6643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300.0498765432099</v>
      </c>
      <c r="BN119" s="64">
        <f>IFERROR(Y119*I119/H119,"0")</f>
        <v>300.58</v>
      </c>
      <c r="BO119" s="64">
        <f>IFERROR(1/J119*(X119/H119),"0")</f>
        <v>0.5459104938271605</v>
      </c>
      <c r="BP119" s="64">
        <f>IFERROR(1/J119*(Y119/H119),"0")</f>
        <v>0.546875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120</v>
      </c>
      <c r="Y121" s="642">
        <f>IFERROR(IF(X121="",0,CEILING((X121/$H121),1)*$H121),"")</f>
        <v>121.50000000000001</v>
      </c>
      <c r="Z121" s="36">
        <f>IFERROR(IF(Y121=0,"",ROUNDUP(Y121/H121,0)*0.00651),"")</f>
        <v>0.29294999999999999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131.19999999999999</v>
      </c>
      <c r="BN121" s="64">
        <f>IFERROR(Y121*I121/H121,"0")</f>
        <v>132.84</v>
      </c>
      <c r="BO121" s="64">
        <f>IFERROR(1/J121*(X121/H121),"0")</f>
        <v>0.24420024420024422</v>
      </c>
      <c r="BP121" s="64">
        <f>IFERROR(1/J121*(Y121/H121),"0")</f>
        <v>0.24725274725274726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79.382716049382708</v>
      </c>
      <c r="Y123" s="643">
        <f>IFERROR(Y119/H119,"0")+IFERROR(Y120/H120,"0")+IFERROR(Y121/H121,"0")+IFERROR(Y122/H122,"0")</f>
        <v>80</v>
      </c>
      <c r="Z123" s="643">
        <f>IFERROR(IF(Z119="",0,Z119),"0")+IFERROR(IF(Z120="",0,Z120),"0")+IFERROR(IF(Z121="",0,Z121),"0")+IFERROR(IF(Z122="",0,Z122),"0")</f>
        <v>0.95724999999999993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403</v>
      </c>
      <c r="Y124" s="643">
        <f>IFERROR(SUM(Y119:Y122),"0")</f>
        <v>405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6</v>
      </c>
      <c r="Y126" s="642">
        <f>IFERROR(IF(X126="",0,CEILING((X126/$H126),1)*$H126),"")</f>
        <v>7.92</v>
      </c>
      <c r="Z126" s="36">
        <f>IFERROR(IF(Y126=0,"",ROUNDUP(Y126/H126,0)*0.00651),"")</f>
        <v>2.6040000000000001E-2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6.7818181818181822</v>
      </c>
      <c r="BN126" s="64">
        <f>IFERROR(Y126*I126/H126,"0")</f>
        <v>8.952</v>
      </c>
      <c r="BO126" s="64">
        <f>IFERROR(1/J126*(X126/H126),"0")</f>
        <v>1.6650016650016652E-2</v>
      </c>
      <c r="BP126" s="64">
        <f>IFERROR(1/J126*(Y126/H126),"0")</f>
        <v>2.197802197802198E-2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3.0303030303030303</v>
      </c>
      <c r="Y127" s="643">
        <f>IFERROR(Y126/H126,"0")</f>
        <v>4</v>
      </c>
      <c r="Z127" s="643">
        <f>IFERROR(IF(Z126="",0,Z126),"0")</f>
        <v>2.6040000000000001E-2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6</v>
      </c>
      <c r="Y128" s="643">
        <f>IFERROR(SUM(Y126:Y126),"0")</f>
        <v>7.92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20</v>
      </c>
      <c r="Y131" s="642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21.124999999999996</v>
      </c>
      <c r="BN131" s="64">
        <f>IFERROR(Y131*I131/H131,"0")</f>
        <v>23.66</v>
      </c>
      <c r="BO131" s="64">
        <f>IFERROR(1/J131*(X131/H131),"0")</f>
        <v>3.4340659340659344E-2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6.25</v>
      </c>
      <c r="Y133" s="643">
        <f>IFERROR(Y131/H131,"0")+IFERROR(Y132/H132,"0")</f>
        <v>7</v>
      </c>
      <c r="Z133" s="643">
        <f>IFERROR(IF(Z131="",0,Z131),"0")+IFERROR(IF(Z132="",0,Z132),"0")</f>
        <v>4.5569999999999999E-2</v>
      </c>
      <c r="AA133" s="644"/>
      <c r="AB133" s="644"/>
      <c r="AC133" s="644"/>
    </row>
    <row r="134" spans="1:68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20</v>
      </c>
      <c r="Y134" s="643">
        <f>IFERROR(SUM(Y131:Y132),"0")</f>
        <v>22.400000000000002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35</v>
      </c>
      <c r="Y136" s="642">
        <f>IFERROR(IF(X136="",0,CEILING((X136/$H136),1)*$H136),"")</f>
        <v>36.4</v>
      </c>
      <c r="Z136" s="36">
        <f>IFERROR(IF(Y136=0,"",ROUNDUP(Y136/H136,0)*0.00651),"")</f>
        <v>8.4629999999999997E-2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38.35</v>
      </c>
      <c r="BN136" s="64">
        <f>IFERROR(Y136*I136/H136,"0")</f>
        <v>39.884</v>
      </c>
      <c r="BO136" s="64">
        <f>IFERROR(1/J136*(X136/H136),"0")</f>
        <v>6.8681318681318687E-2</v>
      </c>
      <c r="BP136" s="64">
        <f>IFERROR(1/J136*(Y136/H136),"0")</f>
        <v>7.1428571428571438E-2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12.5</v>
      </c>
      <c r="Y138" s="643">
        <f>IFERROR(Y136/H136,"0")+IFERROR(Y137/H137,"0")</f>
        <v>13</v>
      </c>
      <c r="Z138" s="643">
        <f>IFERROR(IF(Z136="",0,Z136),"0")+IFERROR(IF(Z137="",0,Z137),"0")</f>
        <v>8.4629999999999997E-2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35</v>
      </c>
      <c r="Y139" s="643">
        <f>IFERROR(SUM(Y136:Y137),"0")</f>
        <v>36.4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43</v>
      </c>
      <c r="Y141" s="642">
        <f>IFERROR(IF(X141="",0,CEILING((X141/$H141),1)*$H141),"")</f>
        <v>44.88</v>
      </c>
      <c r="Z141" s="36">
        <f>IFERROR(IF(Y141=0,"",ROUNDUP(Y141/H141,0)*0.00651),"")</f>
        <v>0.11067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47.36515151515151</v>
      </c>
      <c r="BN141" s="64">
        <f>IFERROR(Y141*I141/H141,"0")</f>
        <v>49.436</v>
      </c>
      <c r="BO141" s="64">
        <f>IFERROR(1/J141*(X141/H141),"0")</f>
        <v>8.9493839493839489E-2</v>
      </c>
      <c r="BP141" s="64">
        <f>IFERROR(1/J141*(Y141/H141),"0")</f>
        <v>9.3406593406593408E-2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16.287878787878785</v>
      </c>
      <c r="Y143" s="643">
        <f>IFERROR(Y141/H141,"0")+IFERROR(Y142/H142,"0")</f>
        <v>17</v>
      </c>
      <c r="Z143" s="643">
        <f>IFERROR(IF(Z141="",0,Z141),"0")+IFERROR(IF(Z142="",0,Z142),"0")</f>
        <v>0.11067</v>
      </c>
      <c r="AA143" s="644"/>
      <c r="AB143" s="644"/>
      <c r="AC143" s="644"/>
    </row>
    <row r="144" spans="1:68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43</v>
      </c>
      <c r="Y144" s="643">
        <f>IFERROR(SUM(Y141:Y142),"0")</f>
        <v>44.88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200</v>
      </c>
      <c r="Y172" s="642">
        <f t="shared" ref="Y172:Y183" si="21">IFERROR(IF(X172="",0,CEILING((X172/$H172),1)*$H172),"")</f>
        <v>203</v>
      </c>
      <c r="Z172" s="36">
        <f>IFERROR(IF(Y172=0,"",ROUNDUP(Y172/H172,0)*0.00902),"")</f>
        <v>0.52316000000000007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210.85714285714286</v>
      </c>
      <c r="BN172" s="64">
        <f t="shared" ref="BN172:BN183" si="23">IFERROR(Y172*I172/H172,"0")</f>
        <v>214.01999999999998</v>
      </c>
      <c r="BO172" s="64">
        <f t="shared" ref="BO172:BO183" si="24">IFERROR(1/J172*(X172/H172),"0")</f>
        <v>0.43290043290043295</v>
      </c>
      <c r="BP172" s="64">
        <f t="shared" ref="BP172:BP183" si="25">IFERROR(1/J172*(Y172/H172),"0")</f>
        <v>0.43939393939393939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700</v>
      </c>
      <c r="Y174" s="642">
        <f t="shared" si="21"/>
        <v>700</v>
      </c>
      <c r="Z174" s="36">
        <f>IFERROR(IF(Y174=0,"",ROUNDUP(Y174/H174,0)*0.00902),"")</f>
        <v>1.804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738</v>
      </c>
      <c r="BN174" s="64">
        <f t="shared" si="23"/>
        <v>738</v>
      </c>
      <c r="BO174" s="64">
        <f t="shared" si="24"/>
        <v>1.5151515151515151</v>
      </c>
      <c r="BP174" s="64">
        <f t="shared" si="25"/>
        <v>1.5151515151515151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400</v>
      </c>
      <c r="Y176" s="642">
        <f t="shared" si="21"/>
        <v>402.5</v>
      </c>
      <c r="Z176" s="36">
        <f>IFERROR(IF(Y176=0,"",ROUNDUP(Y176/H176,0)*0.00902),"")</f>
        <v>1.0373000000000001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421.71428571428572</v>
      </c>
      <c r="BN176" s="64">
        <f t="shared" si="23"/>
        <v>424.34999999999997</v>
      </c>
      <c r="BO176" s="64">
        <f t="shared" si="24"/>
        <v>0.8658008658008659</v>
      </c>
      <c r="BP176" s="64">
        <f t="shared" si="25"/>
        <v>0.87121212121212122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11</v>
      </c>
      <c r="Y177" s="642">
        <f t="shared" si="21"/>
        <v>11.700000000000001</v>
      </c>
      <c r="Z177" s="36">
        <f>IFERROR(IF(Y177=0,"",ROUNDUP(Y177/H177,0)*0.00417),"")</f>
        <v>5.4210000000000001E-2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13.566666666666666</v>
      </c>
      <c r="BN177" s="64">
        <f t="shared" si="23"/>
        <v>14.430000000000001</v>
      </c>
      <c r="BO177" s="64">
        <f t="shared" si="24"/>
        <v>3.6375661375661374E-2</v>
      </c>
      <c r="BP177" s="64">
        <f t="shared" si="25"/>
        <v>3.8690476190476192E-2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56</v>
      </c>
      <c r="Y179" s="642">
        <f t="shared" si="21"/>
        <v>57.12</v>
      </c>
      <c r="Z179" s="36">
        <f>IFERROR(IF(Y179=0,"",ROUNDUP(Y179/H179,0)*0.00502),"")</f>
        <v>0.17068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59.333333333333343</v>
      </c>
      <c r="BN179" s="64">
        <f t="shared" si="23"/>
        <v>60.519999999999996</v>
      </c>
      <c r="BO179" s="64">
        <f t="shared" si="24"/>
        <v>0.14245014245014248</v>
      </c>
      <c r="BP179" s="64">
        <f t="shared" si="25"/>
        <v>0.14529914529914531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5</v>
      </c>
      <c r="Y180" s="642">
        <f t="shared" si="21"/>
        <v>5.4</v>
      </c>
      <c r="Z180" s="36">
        <f>IFERROR(IF(Y180=0,"",ROUNDUP(Y180/H180,0)*0.00417),"")</f>
        <v>2.5020000000000001E-2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6.166666666666667</v>
      </c>
      <c r="BN180" s="64">
        <f t="shared" si="23"/>
        <v>6.66</v>
      </c>
      <c r="BO180" s="64">
        <f t="shared" si="24"/>
        <v>1.6534391534391533E-2</v>
      </c>
      <c r="BP180" s="64">
        <f t="shared" si="25"/>
        <v>1.7857142857142856E-2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439.20634920634922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443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3.6997100000000001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1400</v>
      </c>
      <c r="Y185" s="643">
        <f>IFERROR(SUM(Y172:Y183),"0")</f>
        <v>1408.28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30</v>
      </c>
      <c r="Y218" s="642">
        <f t="shared" ref="Y218:Y232" si="32">IFERROR(IF(X218="",0,CEILING((X218/$H218),1)*$H218),"")</f>
        <v>33.6</v>
      </c>
      <c r="Z218" s="36">
        <f>IFERROR(IF(Y218=0,"",ROUNDUP(Y218/H218,0)*0.00902),"")</f>
        <v>7.2160000000000002E-2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31.785714285714285</v>
      </c>
      <c r="BN218" s="64">
        <f t="shared" ref="BN218:BN232" si="34">IFERROR(Y218*I218/H218,"0")</f>
        <v>35.6</v>
      </c>
      <c r="BO218" s="64">
        <f t="shared" ref="BO218:BO232" si="35">IFERROR(1/J218*(X218/H218),"0")</f>
        <v>5.4112554112554112E-2</v>
      </c>
      <c r="BP218" s="64">
        <f t="shared" ref="BP218:BP232" si="36">IFERROR(1/J218*(Y218/H218),"0")</f>
        <v>6.0606060606060608E-2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250</v>
      </c>
      <c r="Y220" s="642">
        <f t="shared" si="32"/>
        <v>252</v>
      </c>
      <c r="Z220" s="36">
        <f>IFERROR(IF(Y220=0,"",ROUNDUP(Y220/H220,0)*0.00902),"")</f>
        <v>0.54120000000000001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261.3095238095238</v>
      </c>
      <c r="BN220" s="64">
        <f t="shared" si="34"/>
        <v>263.39999999999998</v>
      </c>
      <c r="BO220" s="64">
        <f t="shared" si="35"/>
        <v>0.45093795093795092</v>
      </c>
      <c r="BP220" s="64">
        <f t="shared" si="36"/>
        <v>0.45454545454545459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8</v>
      </c>
      <c r="Y221" s="642">
        <f t="shared" si="32"/>
        <v>8</v>
      </c>
      <c r="Z221" s="36">
        <f>IFERROR(IF(Y221=0,"",ROUNDUP(Y221/H221,0)*0.00556),"")</f>
        <v>5.5599999999999997E-2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9.3000000000000007</v>
      </c>
      <c r="BN221" s="64">
        <f t="shared" si="34"/>
        <v>9.3000000000000007</v>
      </c>
      <c r="BO221" s="64">
        <f t="shared" si="35"/>
        <v>3.968253968253968E-2</v>
      </c>
      <c r="BP221" s="64">
        <f t="shared" si="36"/>
        <v>3.968253968253968E-2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88</v>
      </c>
      <c r="Y222" s="642">
        <f t="shared" si="32"/>
        <v>88.2</v>
      </c>
      <c r="Z222" s="36">
        <f t="shared" ref="Z222:Z227" si="37">IFERROR(IF(Y222=0,"",ROUNDUP(Y222/H222,0)*0.00502),"")</f>
        <v>0.21084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93.447619047619042</v>
      </c>
      <c r="BN222" s="64">
        <f t="shared" si="34"/>
        <v>93.66</v>
      </c>
      <c r="BO222" s="64">
        <f t="shared" si="35"/>
        <v>0.17908017908017909</v>
      </c>
      <c r="BP222" s="64">
        <f t="shared" si="36"/>
        <v>0.17948717948717952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30</v>
      </c>
      <c r="Y227" s="642">
        <f t="shared" si="32"/>
        <v>30.6</v>
      </c>
      <c r="Z227" s="36">
        <f t="shared" si="37"/>
        <v>8.5339999999999999E-2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32.166666666666664</v>
      </c>
      <c r="BN227" s="64">
        <f t="shared" si="34"/>
        <v>32.81</v>
      </c>
      <c r="BO227" s="64">
        <f t="shared" si="35"/>
        <v>7.122507122507124E-2</v>
      </c>
      <c r="BP227" s="64">
        <f t="shared" si="36"/>
        <v>7.2649572649572655E-2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441</v>
      </c>
      <c r="Y229" s="642">
        <f t="shared" si="32"/>
        <v>441</v>
      </c>
      <c r="Z229" s="36">
        <f>IFERROR(IF(Y229=0,"",ROUNDUP(Y229/H229,0)*0.00502),"")</f>
        <v>1.0542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462</v>
      </c>
      <c r="BN229" s="64">
        <f t="shared" si="34"/>
        <v>462</v>
      </c>
      <c r="BO229" s="64">
        <f t="shared" si="35"/>
        <v>0.89743589743589758</v>
      </c>
      <c r="BP229" s="64">
        <f t="shared" si="36"/>
        <v>0.89743589743589758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345.23809523809518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347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2.0193400000000001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847</v>
      </c>
      <c r="Y234" s="643">
        <f>IFERROR(SUM(Y218:Y232),"0")</f>
        <v>853.40000000000009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4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3.1746031746031744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4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200</v>
      </c>
      <c r="Y269" s="642">
        <f t="shared" ref="Y269:Y276" si="43">IFERROR(IF(X269="",0,CEILING((X269/$H269),1)*$H269),"")</f>
        <v>205.20000000000002</v>
      </c>
      <c r="Z269" s="36">
        <f>IFERROR(IF(Y269=0,"",ROUNDUP(Y269/H269,0)*0.00902),"")</f>
        <v>0.34276000000000001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207.03703703703701</v>
      </c>
      <c r="BN269" s="64">
        <f t="shared" ref="BN269:BN276" si="45">IFERROR(Y269*I269/H269,"0")</f>
        <v>212.42</v>
      </c>
      <c r="BO269" s="64">
        <f t="shared" ref="BO269:BO276" si="46">IFERROR(1/J269*(X269/H269),"0")</f>
        <v>0.28058361391694725</v>
      </c>
      <c r="BP269" s="64">
        <f t="shared" ref="BP269:BP276" si="47">IFERROR(1/J269*(Y269/H269),"0")</f>
        <v>0.2878787878787879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200</v>
      </c>
      <c r="Y271" s="642">
        <f t="shared" si="43"/>
        <v>205.20000000000002</v>
      </c>
      <c r="Z271" s="36">
        <f>IFERROR(IF(Y271=0,"",ROUNDUP(Y271/H271,0)*0.00902),"")</f>
        <v>0.34276000000000001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207.03703703703701</v>
      </c>
      <c r="BN271" s="64">
        <f t="shared" si="45"/>
        <v>212.42</v>
      </c>
      <c r="BO271" s="64">
        <f t="shared" si="46"/>
        <v>0.28058361391694725</v>
      </c>
      <c r="BP271" s="64">
        <f t="shared" si="47"/>
        <v>0.2878787878787879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150</v>
      </c>
      <c r="Y272" s="642">
        <f t="shared" si="43"/>
        <v>151.20000000000002</v>
      </c>
      <c r="Z272" s="36">
        <f>IFERROR(IF(Y272=0,"",ROUNDUP(Y272/H272,0)*0.00902),"")</f>
        <v>0.25256000000000001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155.27777777777777</v>
      </c>
      <c r="BN272" s="64">
        <f t="shared" si="45"/>
        <v>156.52000000000001</v>
      </c>
      <c r="BO272" s="64">
        <f t="shared" si="46"/>
        <v>0.21043771043771042</v>
      </c>
      <c r="BP272" s="64">
        <f t="shared" si="47"/>
        <v>0.21212121212121213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15</v>
      </c>
      <c r="Y273" s="642">
        <f t="shared" si="43"/>
        <v>16.2</v>
      </c>
      <c r="Z273" s="36">
        <f>IFERROR(IF(Y273=0,"",ROUNDUP(Y273/H273,0)*0.00502),"")</f>
        <v>4.5179999999999998E-2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16.083333333333332</v>
      </c>
      <c r="BN273" s="64">
        <f t="shared" si="45"/>
        <v>17.369999999999997</v>
      </c>
      <c r="BO273" s="64">
        <f t="shared" si="46"/>
        <v>3.561253561253562E-2</v>
      </c>
      <c r="BP273" s="64">
        <f t="shared" si="47"/>
        <v>3.8461538461538464E-2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15</v>
      </c>
      <c r="Y274" s="642">
        <f t="shared" si="4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15.833333333333332</v>
      </c>
      <c r="BN274" s="64">
        <f t="shared" si="45"/>
        <v>17.099999999999998</v>
      </c>
      <c r="BO274" s="64">
        <f t="shared" si="46"/>
        <v>3.561253561253562E-2</v>
      </c>
      <c r="BP274" s="64">
        <f t="shared" si="47"/>
        <v>3.8461538461538464E-2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137.03703703703704</v>
      </c>
      <c r="Y277" s="643">
        <f>IFERROR(Y269/H269,"0")+IFERROR(Y270/H270,"0")+IFERROR(Y271/H271,"0")+IFERROR(Y272/H272,"0")+IFERROR(Y273/H273,"0")+IFERROR(Y274/H274,"0")+IFERROR(Y275/H275,"0")+IFERROR(Y276/H276,"0")</f>
        <v>141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1.1998199999999999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680</v>
      </c>
      <c r="Y278" s="643">
        <f>IFERROR(SUM(Y269:Y276),"0")</f>
        <v>696.60000000000014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270</v>
      </c>
      <c r="Y281" s="642">
        <f t="shared" si="48"/>
        <v>275.39999999999998</v>
      </c>
      <c r="Z281" s="36">
        <f>IFERROR(IF(Y281=0,"",ROUNDUP(Y281/H281,0)*0.01898),"")</f>
        <v>0.64532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285.86666666666667</v>
      </c>
      <c r="BN281" s="64">
        <f t="shared" si="50"/>
        <v>291.584</v>
      </c>
      <c r="BO281" s="64">
        <f t="shared" si="51"/>
        <v>0.52083333333333337</v>
      </c>
      <c r="BP281" s="64">
        <f t="shared" si="52"/>
        <v>0.53125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1600</v>
      </c>
      <c r="Y286" s="642">
        <f t="shared" si="48"/>
        <v>1600.8</v>
      </c>
      <c r="Z286" s="36">
        <f>IFERROR(IF(Y286=0,"",ROUNDUP(Y286/H286,0)*0.00651),"")</f>
        <v>4.3421700000000003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1768</v>
      </c>
      <c r="BN286" s="64">
        <f t="shared" si="50"/>
        <v>1768.8840000000002</v>
      </c>
      <c r="BO286" s="64">
        <f t="shared" si="51"/>
        <v>3.6630036630036638</v>
      </c>
      <c r="BP286" s="64">
        <f t="shared" si="52"/>
        <v>3.6648351648351651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240</v>
      </c>
      <c r="Y288" s="642">
        <f t="shared" si="48"/>
        <v>240</v>
      </c>
      <c r="Z288" s="36">
        <f>IFERROR(IF(Y288=0,"",ROUNDUP(Y288/H288,0)*0.00651),"")</f>
        <v>0.65100000000000002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265.20000000000005</v>
      </c>
      <c r="BN288" s="64">
        <f t="shared" si="50"/>
        <v>265.20000000000005</v>
      </c>
      <c r="BO288" s="64">
        <f t="shared" si="51"/>
        <v>0.5494505494505495</v>
      </c>
      <c r="BP288" s="64">
        <f t="shared" si="52"/>
        <v>0.5494505494505495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60</v>
      </c>
      <c r="Y289" s="642">
        <f t="shared" si="48"/>
        <v>60</v>
      </c>
      <c r="Z289" s="36">
        <f>IFERROR(IF(Y289=0,"",ROUNDUP(Y289/H289,0)*0.00651),"")</f>
        <v>0.16275000000000001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66.300000000000011</v>
      </c>
      <c r="BN289" s="64">
        <f t="shared" si="50"/>
        <v>66.300000000000011</v>
      </c>
      <c r="BO289" s="64">
        <f t="shared" si="51"/>
        <v>0.13736263736263737</v>
      </c>
      <c r="BP289" s="64">
        <f t="shared" si="52"/>
        <v>0.13736263736263737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256</v>
      </c>
      <c r="Y290" s="642">
        <f t="shared" si="48"/>
        <v>256.8</v>
      </c>
      <c r="Z290" s="36">
        <f>IFERROR(IF(Y290=0,"",ROUNDUP(Y290/H290,0)*0.00651),"")</f>
        <v>0.69657000000000002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283.52</v>
      </c>
      <c r="BN290" s="64">
        <f t="shared" si="50"/>
        <v>284.40600000000001</v>
      </c>
      <c r="BO290" s="64">
        <f t="shared" si="51"/>
        <v>0.58608058608058611</v>
      </c>
      <c r="BP290" s="64">
        <f t="shared" si="52"/>
        <v>0.58791208791208804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933.9655172413793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936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6.5547500000000003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2446</v>
      </c>
      <c r="Y293" s="643">
        <f>IFERROR(SUM(Y280:Y291),"0")</f>
        <v>2459.1000000000004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8</v>
      </c>
      <c r="Y295" s="642">
        <f>IFERROR(IF(X295="",0,CEILING((X295/$H295),1)*$H295),"")</f>
        <v>9.6</v>
      </c>
      <c r="Z295" s="36">
        <f>IFERROR(IF(Y295=0,"",ROUNDUP(Y295/H295,0)*0.00651),"")</f>
        <v>2.6040000000000001E-2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8.8400000000000016</v>
      </c>
      <c r="BN295" s="64">
        <f>IFERROR(Y295*I295/H295,"0")</f>
        <v>10.608000000000001</v>
      </c>
      <c r="BO295" s="64">
        <f>IFERROR(1/J295*(X295/H295),"0")</f>
        <v>1.8315018315018316E-2</v>
      </c>
      <c r="BP295" s="64">
        <f>IFERROR(1/J295*(Y295/H295),"0")</f>
        <v>2.197802197802198E-2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11.666666666666668</v>
      </c>
      <c r="Y297" s="643">
        <f>IFERROR(Y295/H295,"0")+IFERROR(Y296/H296,"0")</f>
        <v>13</v>
      </c>
      <c r="Z297" s="643">
        <f>IFERROR(IF(Z295="",0,Z295),"0")+IFERROR(IF(Z296="",0,Z296),"0")</f>
        <v>8.4630000000000011E-2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28</v>
      </c>
      <c r="Y298" s="643">
        <f>IFERROR(SUM(Y295:Y296),"0")</f>
        <v>31.199999999999996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18</v>
      </c>
      <c r="Y302" s="642">
        <f t="shared" si="53"/>
        <v>23.2</v>
      </c>
      <c r="Z302" s="36">
        <f>IFERROR(IF(Y302=0,"",ROUNDUP(Y302/H302,0)*0.01898),"")</f>
        <v>3.7960000000000001E-2</v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18.636206896551727</v>
      </c>
      <c r="BN302" s="64">
        <f t="shared" si="55"/>
        <v>24.02</v>
      </c>
      <c r="BO302" s="64">
        <f t="shared" si="56"/>
        <v>2.4245689655172414E-2</v>
      </c>
      <c r="BP302" s="64">
        <f t="shared" si="57"/>
        <v>3.125E-2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1.5517241379310345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44"/>
      <c r="AB308" s="644"/>
      <c r="AC308" s="644"/>
    </row>
    <row r="309" spans="1:68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18</v>
      </c>
      <c r="Y309" s="643">
        <f>IFERROR(SUM(Y301:Y307),"0")</f>
        <v>23.2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237</v>
      </c>
      <c r="Y336" s="642">
        <f>IFERROR(IF(X336="",0,CEILING((X336/$H336),1)*$H336),"")</f>
        <v>237.6</v>
      </c>
      <c r="Z336" s="36">
        <f>IFERROR(IF(Y336=0,"",ROUNDUP(Y336/H336,0)*0.00651),"")</f>
        <v>0.64449000000000001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261.88499999999999</v>
      </c>
      <c r="BN336" s="64">
        <f>IFERROR(Y336*I336/H336,"0")</f>
        <v>262.54800000000006</v>
      </c>
      <c r="BO336" s="64">
        <f>IFERROR(1/J336*(X336/H336),"0")</f>
        <v>0.54258241758241765</v>
      </c>
      <c r="BP336" s="64">
        <f>IFERROR(1/J336*(Y336/H336),"0")</f>
        <v>0.54395604395604402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60</v>
      </c>
      <c r="Y337" s="642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64.500000000000014</v>
      </c>
      <c r="BN337" s="64">
        <f>IFERROR(Y337*I337/H337,"0")</f>
        <v>64.500000000000014</v>
      </c>
      <c r="BO337" s="64">
        <f>IFERROR(1/J337*(X337/H337),"0")</f>
        <v>0.13736263736263737</v>
      </c>
      <c r="BP337" s="64">
        <f>IFERROR(1/J337*(Y337/H337),"0")</f>
        <v>0.13736263736263737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123.75</v>
      </c>
      <c r="Y338" s="643">
        <f>IFERROR(Y335/H335,"0")+IFERROR(Y336/H336,"0")+IFERROR(Y337/H337,"0")</f>
        <v>124</v>
      </c>
      <c r="Z338" s="643">
        <f>IFERROR(IF(Z335="",0,Z335),"0")+IFERROR(IF(Z336="",0,Z336),"0")+IFERROR(IF(Z337="",0,Z337),"0")</f>
        <v>0.80723999999999996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297</v>
      </c>
      <c r="Y339" s="643">
        <f>IFERROR(SUM(Y335:Y337),"0")</f>
        <v>297.60000000000002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260</v>
      </c>
      <c r="Y356" s="642">
        <f>IFERROR(IF(X356="",0,CEILING((X356/$H356),1)*$H356),"")</f>
        <v>265.2</v>
      </c>
      <c r="Z356" s="36">
        <f>IFERROR(IF(Y356=0,"",ROUNDUP(Y356/H356,0)*0.01898),"")</f>
        <v>0.64532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273.66666666666674</v>
      </c>
      <c r="BN356" s="64">
        <f>IFERROR(Y356*I356/H356,"0")</f>
        <v>279.14</v>
      </c>
      <c r="BO356" s="64">
        <f>IFERROR(1/J356*(X356/H356),"0")</f>
        <v>0.52083333333333337</v>
      </c>
      <c r="BP356" s="64">
        <f>IFERROR(1/J356*(Y356/H356),"0")</f>
        <v>0.53125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324</v>
      </c>
      <c r="Y357" s="642">
        <f>IFERROR(IF(X357="",0,CEILING((X357/$H357),1)*$H357),"")</f>
        <v>327.59999999999997</v>
      </c>
      <c r="Z357" s="36">
        <f>IFERROR(IF(Y357=0,"",ROUNDUP(Y357/H357,0)*0.01898),"")</f>
        <v>0.79715999999999998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341.03076923076929</v>
      </c>
      <c r="BN357" s="64">
        <f>IFERROR(Y357*I357/H357,"0")</f>
        <v>344.82</v>
      </c>
      <c r="BO357" s="64">
        <f>IFERROR(1/J357*(X357/H357),"0")</f>
        <v>0.64903846153846156</v>
      </c>
      <c r="BP357" s="64">
        <f>IFERROR(1/J357*(Y357/H357),"0")</f>
        <v>0.65625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191</v>
      </c>
      <c r="Y358" s="642">
        <f>IFERROR(IF(X358="",0,CEILING((X358/$H358),1)*$H358),"")</f>
        <v>195</v>
      </c>
      <c r="Z358" s="36">
        <f>IFERROR(IF(Y358=0,"",ROUNDUP(Y358/H358,0)*0.01898),"")</f>
        <v>0.47450000000000003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201.03974358974361</v>
      </c>
      <c r="BN358" s="64">
        <f>IFERROR(Y358*I358/H358,"0")</f>
        <v>205.25000000000003</v>
      </c>
      <c r="BO358" s="64">
        <f>IFERROR(1/J358*(X358/H358),"0")</f>
        <v>0.38261217948717952</v>
      </c>
      <c r="BP358" s="64">
        <f>IFERROR(1/J358*(Y358/H358),"0")</f>
        <v>0.390625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99.358974358974365</v>
      </c>
      <c r="Y359" s="643">
        <f>IFERROR(Y356/H356,"0")+IFERROR(Y357/H357,"0")+IFERROR(Y358/H358,"0")</f>
        <v>101</v>
      </c>
      <c r="Z359" s="643">
        <f>IFERROR(IF(Z356="",0,Z356),"0")+IFERROR(IF(Z357="",0,Z357),"0")+IFERROR(IF(Z358="",0,Z358),"0")</f>
        <v>1.9169800000000001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775</v>
      </c>
      <c r="Y360" s="643">
        <f>IFERROR(SUM(Y356:Y358),"0")</f>
        <v>787.8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28</v>
      </c>
      <c r="Y365" s="642">
        <f t="shared" si="58"/>
        <v>32.400000000000006</v>
      </c>
      <c r="Z365" s="36">
        <f>IFERROR(IF(Y365=0,"",ROUNDUP(Y365/H365,0)*0.01898),"")</f>
        <v>5.6940000000000004E-2</v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29.06296296296296</v>
      </c>
      <c r="BN365" s="64">
        <f t="shared" si="60"/>
        <v>33.630000000000003</v>
      </c>
      <c r="BO365" s="64">
        <f t="shared" si="61"/>
        <v>4.0509259259259259E-2</v>
      </c>
      <c r="BP365" s="64">
        <f t="shared" si="62"/>
        <v>4.6875000000000007E-2</v>
      </c>
    </row>
    <row r="366" spans="1:68" ht="27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48</v>
      </c>
      <c r="Y366" s="642">
        <f t="shared" si="58"/>
        <v>54</v>
      </c>
      <c r="Z366" s="36">
        <f>IFERROR(IF(Y366=0,"",ROUNDUP(Y366/H366,0)*0.01898),"")</f>
        <v>9.4899999999999998E-2</v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49.822222222222223</v>
      </c>
      <c r="BN366" s="64">
        <f t="shared" si="60"/>
        <v>56.05</v>
      </c>
      <c r="BO366" s="64">
        <f t="shared" si="61"/>
        <v>6.9444444444444434E-2</v>
      </c>
      <c r="BP366" s="64">
        <f t="shared" si="62"/>
        <v>7.8125E-2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7.0370370370370363</v>
      </c>
      <c r="Y369" s="643">
        <f>IFERROR(Y363/H363,"0")+IFERROR(Y364/H364,"0")+IFERROR(Y365/H365,"0")+IFERROR(Y366/H366,"0")+IFERROR(Y367/H367,"0")+IFERROR(Y368/H368,"0")</f>
        <v>8</v>
      </c>
      <c r="Z369" s="643">
        <f>IFERROR(IF(Z363="",0,Z363),"0")+IFERROR(IF(Z364="",0,Z364),"0")+IFERROR(IF(Z365="",0,Z365),"0")+IFERROR(IF(Z366="",0,Z366),"0")+IFERROR(IF(Z367="",0,Z367),"0")+IFERROR(IF(Z368="",0,Z368),"0")</f>
        <v>0.15184</v>
      </c>
      <c r="AA369" s="644"/>
      <c r="AB369" s="644"/>
      <c r="AC369" s="644"/>
    </row>
    <row r="370" spans="1:68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76</v>
      </c>
      <c r="Y370" s="643">
        <f>IFERROR(SUM(Y363:Y368),"0")</f>
        <v>86.4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169</v>
      </c>
      <c r="Y373" s="642">
        <f t="shared" si="63"/>
        <v>172.20000000000002</v>
      </c>
      <c r="Z373" s="36">
        <f>IFERROR(IF(Y373=0,"",ROUNDUP(Y373/H373,0)*0.00902),"")</f>
        <v>0.36982000000000004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179.05952380952382</v>
      </c>
      <c r="BN373" s="64">
        <f t="shared" si="65"/>
        <v>182.45000000000002</v>
      </c>
      <c r="BO373" s="64">
        <f t="shared" si="66"/>
        <v>0.30483405483405479</v>
      </c>
      <c r="BP373" s="64">
        <f t="shared" si="67"/>
        <v>0.31060606060606061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30</v>
      </c>
      <c r="Y378" s="642">
        <f t="shared" si="63"/>
        <v>30.6</v>
      </c>
      <c r="Z378" s="36">
        <f>IFERROR(IF(Y378=0,"",ROUNDUP(Y378/H378,0)*0.00651),"")</f>
        <v>0.11067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33.800000000000004</v>
      </c>
      <c r="BN378" s="64">
        <f t="shared" si="65"/>
        <v>34.475999999999999</v>
      </c>
      <c r="BO378" s="64">
        <f t="shared" si="66"/>
        <v>9.1575091575091583E-2</v>
      </c>
      <c r="BP378" s="64">
        <f t="shared" si="67"/>
        <v>9.3406593406593408E-2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56.904761904761898</v>
      </c>
      <c r="Y379" s="643">
        <f>IFERROR(Y372/H372,"0")+IFERROR(Y373/H373,"0")+IFERROR(Y374/H374,"0")+IFERROR(Y375/H375,"0")+IFERROR(Y376/H376,"0")+IFERROR(Y377/H377,"0")+IFERROR(Y378/H378,"0")</f>
        <v>58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0.48049000000000003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199</v>
      </c>
      <c r="Y380" s="643">
        <f>IFERROR(SUM(Y372:Y378),"0")</f>
        <v>202.8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84</v>
      </c>
      <c r="Y389" s="642">
        <f>IFERROR(IF(X389="",0,CEILING((X389/$H389),1)*$H389),"")</f>
        <v>84</v>
      </c>
      <c r="Z389" s="36">
        <f>IFERROR(IF(Y389=0,"",ROUNDUP(Y389/H389,0)*0.01898),"")</f>
        <v>0.1898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88.94</v>
      </c>
      <c r="BN389" s="64">
        <f>IFERROR(Y389*I389/H389,"0")</f>
        <v>88.94</v>
      </c>
      <c r="BO389" s="64">
        <f>IFERROR(1/J389*(X389/H389),"0")</f>
        <v>0.15625</v>
      </c>
      <c r="BP389" s="64">
        <f>IFERROR(1/J389*(Y389/H389),"0")</f>
        <v>0.15625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1005</v>
      </c>
      <c r="Y390" s="642">
        <f>IFERROR(IF(X390="",0,CEILING((X390/$H390),1)*$H390),"")</f>
        <v>1006.1999999999999</v>
      </c>
      <c r="Z390" s="36">
        <f>IFERROR(IF(Y390=0,"",ROUNDUP(Y390/H390,0)*0.01898),"")</f>
        <v>2.44842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1068.6500000000001</v>
      </c>
      <c r="BN390" s="64">
        <f>IFERROR(Y390*I390/H390,"0")</f>
        <v>1069.9260000000002</v>
      </c>
      <c r="BO390" s="64">
        <f>IFERROR(1/J390*(X390/H390),"0")</f>
        <v>2.0132211538461537</v>
      </c>
      <c r="BP390" s="64">
        <f>IFERROR(1/J390*(Y390/H390),"0")</f>
        <v>2.015625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104</v>
      </c>
      <c r="Y391" s="642">
        <f>IFERROR(IF(X391="",0,CEILING((X391/$H391),1)*$H391),"")</f>
        <v>109.2</v>
      </c>
      <c r="Z391" s="36">
        <f>IFERROR(IF(Y391=0,"",ROUNDUP(Y391/H391,0)*0.01898),"")</f>
        <v>0.24674000000000001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110.11619047619047</v>
      </c>
      <c r="BN391" s="64">
        <f>IFERROR(Y391*I391/H391,"0")</f>
        <v>115.622</v>
      </c>
      <c r="BO391" s="64">
        <f>IFERROR(1/J391*(X391/H391),"0")</f>
        <v>0.19345238095238093</v>
      </c>
      <c r="BP391" s="64">
        <f>IFERROR(1/J391*(Y391/H391),"0")</f>
        <v>0.203125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151.22710622710622</v>
      </c>
      <c r="Y392" s="643">
        <f>IFERROR(Y389/H389,"0")+IFERROR(Y390/H390,"0")+IFERROR(Y391/H391,"0")</f>
        <v>152</v>
      </c>
      <c r="Z392" s="643">
        <f>IFERROR(IF(Z389="",0,Z389),"0")+IFERROR(IF(Z390="",0,Z390),"0")+IFERROR(IF(Z391="",0,Z391),"0")</f>
        <v>2.88496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1193</v>
      </c>
      <c r="Y393" s="643">
        <f>IFERROR(SUM(Y389:Y391),"0")</f>
        <v>1199.3999999999999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9</v>
      </c>
      <c r="Y396" s="642">
        <f>IFERROR(IF(X396="",0,CEILING((X396/$H396),1)*$H396),"")</f>
        <v>9.120000000000001</v>
      </c>
      <c r="Z396" s="36">
        <f>IFERROR(IF(Y396=0,"",ROUNDUP(Y396/H396,0)*0.00902),"")</f>
        <v>2.7060000000000001E-2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9.6809210526315788</v>
      </c>
      <c r="BN396" s="64">
        <f>IFERROR(Y396*I396/H396,"0")</f>
        <v>9.81</v>
      </c>
      <c r="BO396" s="64">
        <f>IFERROR(1/J396*(X396/H396),"0")</f>
        <v>2.2428229665071769E-2</v>
      </c>
      <c r="BP396" s="64">
        <f>IFERROR(1/J396*(Y396/H396),"0")</f>
        <v>2.2727272727272731E-2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25</v>
      </c>
      <c r="Y398" s="642">
        <f>IFERROR(IF(X398="",0,CEILING((X398/$H398),1)*$H398),"")</f>
        <v>25.5</v>
      </c>
      <c r="Z398" s="36">
        <f>IFERROR(IF(Y398=0,"",ROUNDUP(Y398/H398,0)*0.00651),"")</f>
        <v>6.5100000000000005E-2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28.235294117647062</v>
      </c>
      <c r="BN398" s="64">
        <f>IFERROR(Y398*I398/H398,"0")</f>
        <v>28.8</v>
      </c>
      <c r="BO398" s="64">
        <f>IFERROR(1/J398*(X398/H398),"0")</f>
        <v>5.3867700926524466E-2</v>
      </c>
      <c r="BP398" s="64">
        <f>IFERROR(1/J398*(Y398/H398),"0")</f>
        <v>5.4945054945054951E-2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12.764447884416924</v>
      </c>
      <c r="Y399" s="643">
        <f>IFERROR(Y395/H395,"0")+IFERROR(Y396/H396,"0")+IFERROR(Y397/H397,"0")+IFERROR(Y398/H398,"0")</f>
        <v>13</v>
      </c>
      <c r="Z399" s="643">
        <f>IFERROR(IF(Z395="",0,Z395),"0")+IFERROR(IF(Z396="",0,Z396),"0")+IFERROR(IF(Z397="",0,Z397),"0")+IFERROR(IF(Z398="",0,Z398),"0")</f>
        <v>9.2160000000000006E-2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34</v>
      </c>
      <c r="Y400" s="643">
        <f>IFERROR(SUM(Y395:Y398),"0")</f>
        <v>34.620000000000005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29</v>
      </c>
      <c r="Y402" s="642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32.480000000000004</v>
      </c>
      <c r="BN402" s="64">
        <f>IFERROR(Y402*I402/H402,"0")</f>
        <v>33.6</v>
      </c>
      <c r="BO402" s="64">
        <f>IFERROR(1/J402*(X402/H402),"0")</f>
        <v>6.0924369747899158E-2</v>
      </c>
      <c r="BP402" s="64">
        <f>IFERROR(1/J402*(Y402/H402),"0")</f>
        <v>6.3025210084033612E-2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19</v>
      </c>
      <c r="Y403" s="642">
        <f>IFERROR(IF(X403="",0,CEILING((X403/$H403),1)*$H403),"")</f>
        <v>20</v>
      </c>
      <c r="Z403" s="36">
        <f>IFERROR(IF(Y403=0,"",ROUNDUP(Y403/H403,0)*0.00474),"")</f>
        <v>4.7400000000000005E-2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21.28</v>
      </c>
      <c r="BN403" s="64">
        <f>IFERROR(Y403*I403/H403,"0")</f>
        <v>22.400000000000002</v>
      </c>
      <c r="BO403" s="64">
        <f>IFERROR(1/J403*(X403/H403),"0")</f>
        <v>3.9915966386554619E-2</v>
      </c>
      <c r="BP403" s="64">
        <f>IFERROR(1/J403*(Y403/H403),"0")</f>
        <v>4.2016806722689072E-2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30</v>
      </c>
      <c r="Y404" s="642">
        <f>IFERROR(IF(X404="",0,CEILING((X404/$H404),1)*$H404),"")</f>
        <v>30</v>
      </c>
      <c r="Z404" s="36">
        <f>IFERROR(IF(Y404=0,"",ROUNDUP(Y404/H404,0)*0.00474),"")</f>
        <v>7.110000000000001E-2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33.6</v>
      </c>
      <c r="BN404" s="64">
        <f>IFERROR(Y404*I404/H404,"0")</f>
        <v>33.6</v>
      </c>
      <c r="BO404" s="64">
        <f>IFERROR(1/J404*(X404/H404),"0")</f>
        <v>6.3025210084033612E-2</v>
      </c>
      <c r="BP404" s="64">
        <f>IFERROR(1/J404*(Y404/H404),"0")</f>
        <v>6.3025210084033612E-2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39</v>
      </c>
      <c r="Y405" s="643">
        <f>IFERROR(Y402/H402,"0")+IFERROR(Y403/H403,"0")+IFERROR(Y404/H404,"0")</f>
        <v>40</v>
      </c>
      <c r="Z405" s="643">
        <f>IFERROR(IF(Z402="",0,Z402),"0")+IFERROR(IF(Z403="",0,Z403),"0")+IFERROR(IF(Z404="",0,Z404),"0")</f>
        <v>0.18960000000000005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78</v>
      </c>
      <c r="Y406" s="643">
        <f>IFERROR(SUM(Y402:Y404),"0")</f>
        <v>80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35</v>
      </c>
      <c r="Y423" s="642">
        <f>IFERROR(IF(X423="",0,CEILING((X423/$H423),1)*$H423),"")</f>
        <v>35.700000000000003</v>
      </c>
      <c r="Z423" s="36">
        <f>IFERROR(IF(Y423=0,"",ROUNDUP(Y423/H423,0)*0.00651),"")</f>
        <v>0.11067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38.999999999999993</v>
      </c>
      <c r="BN423" s="64">
        <f>IFERROR(Y423*I423/H423,"0")</f>
        <v>39.779999999999994</v>
      </c>
      <c r="BO423" s="64">
        <f>IFERROR(1/J423*(X423/H423),"0")</f>
        <v>9.1575091575091569E-2</v>
      </c>
      <c r="BP423" s="64">
        <f>IFERROR(1/J423*(Y423/H423),"0")</f>
        <v>9.3406593406593408E-2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16.666666666666664</v>
      </c>
      <c r="Y424" s="643">
        <f>IFERROR(Y421/H421,"0")+IFERROR(Y422/H422,"0")+IFERROR(Y423/H423,"0")</f>
        <v>17</v>
      </c>
      <c r="Z424" s="643">
        <f>IFERROR(IF(Z421="",0,Z421),"0")+IFERROR(IF(Z422="",0,Z422),"0")+IFERROR(IF(Z423="",0,Z423),"0")</f>
        <v>0.11067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35</v>
      </c>
      <c r="Y425" s="643">
        <f>IFERROR(SUM(Y421:Y423),"0")</f>
        <v>35.700000000000003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673</v>
      </c>
      <c r="Y430" s="642">
        <f t="shared" si="68"/>
        <v>675</v>
      </c>
      <c r="Z430" s="36">
        <f>IFERROR(IF(Y430=0,"",ROUNDUP(Y430/H430,0)*0.02175),"")</f>
        <v>0.9787499999999999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694.08733333333339</v>
      </c>
      <c r="BN430" s="64">
        <f t="shared" si="70"/>
        <v>696.15</v>
      </c>
      <c r="BO430" s="64">
        <f t="shared" si="71"/>
        <v>0.93472222222222223</v>
      </c>
      <c r="BP430" s="64">
        <f t="shared" si="72"/>
        <v>0.9375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805</v>
      </c>
      <c r="Y431" s="642">
        <f t="shared" si="68"/>
        <v>810</v>
      </c>
      <c r="Z431" s="36">
        <f>IFERROR(IF(Y431=0,"",ROUNDUP(Y431/H431,0)*0.02175),"")</f>
        <v>1.1744999999999999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830.22333333333336</v>
      </c>
      <c r="BN431" s="64">
        <f t="shared" si="70"/>
        <v>835.38</v>
      </c>
      <c r="BO431" s="64">
        <f t="shared" si="71"/>
        <v>1.1180555555555554</v>
      </c>
      <c r="BP431" s="64">
        <f t="shared" si="72"/>
        <v>1.125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1372</v>
      </c>
      <c r="Y432" s="642">
        <f t="shared" si="68"/>
        <v>1380</v>
      </c>
      <c r="Z432" s="36">
        <f>IFERROR(IF(Y432=0,"",ROUNDUP(Y432/H432,0)*0.02175),"")</f>
        <v>2.0009999999999999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1414.9893333333334</v>
      </c>
      <c r="BN432" s="64">
        <f t="shared" si="70"/>
        <v>1423.2400000000002</v>
      </c>
      <c r="BO432" s="64">
        <f t="shared" si="71"/>
        <v>1.9055555555555554</v>
      </c>
      <c r="BP432" s="64">
        <f t="shared" si="72"/>
        <v>1.9166666666666665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665</v>
      </c>
      <c r="Y433" s="642">
        <f t="shared" si="68"/>
        <v>675</v>
      </c>
      <c r="Z433" s="36">
        <f>IFERROR(IF(Y433=0,"",ROUNDUP(Y433/H433,0)*0.02175),"")</f>
        <v>0.9787499999999999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685.8366666666667</v>
      </c>
      <c r="BN433" s="64">
        <f t="shared" si="70"/>
        <v>696.15</v>
      </c>
      <c r="BO433" s="64">
        <f t="shared" si="71"/>
        <v>0.92361111111111116</v>
      </c>
      <c r="BP433" s="64">
        <f t="shared" si="72"/>
        <v>0.9375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234.33333333333334</v>
      </c>
      <c r="Y437" s="643">
        <f>IFERROR(Y429/H429,"0")+IFERROR(Y430/H430,"0")+IFERROR(Y431/H431,"0")+IFERROR(Y432/H432,"0")+IFERROR(Y433/H433,"0")+IFERROR(Y434/H434,"0")+IFERROR(Y435/H435,"0")+IFERROR(Y436/H436,"0")</f>
        <v>236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5.1329999999999991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3515</v>
      </c>
      <c r="Y438" s="643">
        <f>IFERROR(SUM(Y429:Y436),"0")</f>
        <v>3540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915</v>
      </c>
      <c r="Y440" s="642">
        <f>IFERROR(IF(X440="",0,CEILING((X440/$H440),1)*$H440),"")</f>
        <v>915</v>
      </c>
      <c r="Z440" s="36">
        <f>IFERROR(IF(Y440=0,"",ROUNDUP(Y440/H440,0)*0.02175),"")</f>
        <v>1.3267499999999999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943.67000000000007</v>
      </c>
      <c r="BN440" s="64">
        <f>IFERROR(Y440*I440/H440,"0")</f>
        <v>943.67000000000007</v>
      </c>
      <c r="BO440" s="64">
        <f>IFERROR(1/J440*(X440/H440),"0")</f>
        <v>1.2708333333333333</v>
      </c>
      <c r="BP440" s="64">
        <f>IFERROR(1/J440*(Y440/H440),"0")</f>
        <v>1.2708333333333333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61</v>
      </c>
      <c r="Y443" s="643">
        <f>IFERROR(Y440/H440,"0")+IFERROR(Y441/H441,"0")+IFERROR(Y442/H442,"0")</f>
        <v>61</v>
      </c>
      <c r="Z443" s="643">
        <f>IFERROR(IF(Z440="",0,Z440),"0")+IFERROR(IF(Z441="",0,Z441),"0")+IFERROR(IF(Z442="",0,Z442),"0")</f>
        <v>1.3267499999999999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915</v>
      </c>
      <c r="Y444" s="643">
        <f>IFERROR(SUM(Y440:Y442),"0")</f>
        <v>915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20</v>
      </c>
      <c r="Y453" s="642">
        <f>IFERROR(IF(X453="",0,CEILING((X453/$H453),1)*$H453),"")</f>
        <v>27</v>
      </c>
      <c r="Z453" s="36">
        <f>IFERROR(IF(Y453=0,"",ROUNDUP(Y453/H453,0)*0.01898),"")</f>
        <v>5.6940000000000004E-2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21.097777777777779</v>
      </c>
      <c r="BN453" s="64">
        <f>IFERROR(Y453*I453/H453,"0")</f>
        <v>28.481999999999996</v>
      </c>
      <c r="BO453" s="64">
        <f>IFERROR(1/J453*(X453/H453),"0")</f>
        <v>3.4722222222222224E-2</v>
      </c>
      <c r="BP453" s="64">
        <f>IFERROR(1/J453*(Y453/H453),"0")</f>
        <v>4.6875E-2</v>
      </c>
    </row>
    <row r="454" spans="1:68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2.2222222222222223</v>
      </c>
      <c r="Y454" s="643">
        <f>IFERROR(Y452/H452,"0")+IFERROR(Y453/H453,"0")</f>
        <v>3</v>
      </c>
      <c r="Z454" s="643">
        <f>IFERROR(IF(Z452="",0,Z452),"0")+IFERROR(IF(Z453="",0,Z453),"0")</f>
        <v>5.6940000000000004E-2</v>
      </c>
      <c r="AA454" s="644"/>
      <c r="AB454" s="644"/>
      <c r="AC454" s="644"/>
    </row>
    <row r="455" spans="1:68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20</v>
      </c>
      <c r="Y455" s="643">
        <f>IFERROR(SUM(Y452:Y453),"0")</f>
        <v>27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687</v>
      </c>
      <c r="Y467" s="642">
        <f>IFERROR(IF(X467="",0,CEILING((X467/$H467),1)*$H467),"")</f>
        <v>693</v>
      </c>
      <c r="Z467" s="36">
        <f>IFERROR(IF(Y467=0,"",ROUNDUP(Y467/H467,0)*0.01898),"")</f>
        <v>1.46146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724.70866666666666</v>
      </c>
      <c r="BN467" s="64">
        <f>IFERROR(Y467*I467/H467,"0")</f>
        <v>731.03800000000001</v>
      </c>
      <c r="BO467" s="64">
        <f>IFERROR(1/J467*(X467/H467),"0")</f>
        <v>1.1927083333333333</v>
      </c>
      <c r="BP467" s="64">
        <f>IFERROR(1/J467*(Y467/H467),"0")</f>
        <v>1.203125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12</v>
      </c>
      <c r="Y468" s="642">
        <f>IFERROR(IF(X468="",0,CEILING((X468/$H468),1)*$H468),"")</f>
        <v>12</v>
      </c>
      <c r="Z468" s="36">
        <f>IFERROR(IF(Y468=0,"",ROUNDUP(Y468/H468,0)*0.00651),"")</f>
        <v>3.2550000000000003E-2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13.320000000000002</v>
      </c>
      <c r="BN468" s="64">
        <f>IFERROR(Y468*I468/H468,"0")</f>
        <v>13.320000000000002</v>
      </c>
      <c r="BO468" s="64">
        <f>IFERROR(1/J468*(X468/H468),"0")</f>
        <v>2.7472527472527476E-2</v>
      </c>
      <c r="BP468" s="64">
        <f>IFERROR(1/J468*(Y468/H468),"0")</f>
        <v>2.7472527472527476E-2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81.333333333333329</v>
      </c>
      <c r="Y470" s="643">
        <f>IFERROR(Y467/H467,"0")+IFERROR(Y468/H468,"0")+IFERROR(Y469/H469,"0")</f>
        <v>82</v>
      </c>
      <c r="Z470" s="643">
        <f>IFERROR(IF(Z467="",0,Z467),"0")+IFERROR(IF(Z468="",0,Z468),"0")+IFERROR(IF(Z469="",0,Z469),"0")</f>
        <v>1.4940100000000001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699</v>
      </c>
      <c r="Y471" s="643">
        <f>IFERROR(SUM(Y467:Y469),"0")</f>
        <v>705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16</v>
      </c>
      <c r="Y502" s="642">
        <f t="shared" ref="Y502:Y510" si="78">IFERROR(IF(X502="",0,CEILING((X502/$H502),1)*$H502),"")</f>
        <v>21.12</v>
      </c>
      <c r="Z502" s="36">
        <f t="shared" ref="Z502:Z507" si="79">IFERROR(IF(Y502=0,"",ROUNDUP(Y502/H502,0)*0.01196),"")</f>
        <v>4.7840000000000001E-2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17.060606060606059</v>
      </c>
      <c r="BN502" s="64">
        <f t="shared" ref="BN502:BN510" si="81">IFERROR(Y502*I502/H502,"0")</f>
        <v>22.52</v>
      </c>
      <c r="BO502" s="64">
        <f t="shared" ref="BO502:BO510" si="82">IFERROR(1/J502*(X502/H502),"0")</f>
        <v>2.913752913752914E-2</v>
      </c>
      <c r="BP502" s="64">
        <f t="shared" ref="BP502:BP510" si="83">IFERROR(1/J502*(Y502/H502),"0")</f>
        <v>3.8461538461538464E-2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217</v>
      </c>
      <c r="Y505" s="642">
        <f t="shared" si="78"/>
        <v>221.76000000000002</v>
      </c>
      <c r="Z505" s="36">
        <f t="shared" si="79"/>
        <v>0.50231999999999999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231.38446969696969</v>
      </c>
      <c r="BN505" s="64">
        <f t="shared" si="81"/>
        <v>236.46</v>
      </c>
      <c r="BO505" s="64">
        <f t="shared" si="82"/>
        <v>0.39517773892773889</v>
      </c>
      <c r="BP505" s="64">
        <f t="shared" si="83"/>
        <v>0.40384615384615385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317</v>
      </c>
      <c r="Y507" s="642">
        <f t="shared" si="78"/>
        <v>322.08000000000004</v>
      </c>
      <c r="Z507" s="36">
        <f t="shared" si="79"/>
        <v>0.72955999999999999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338.01325757575756</v>
      </c>
      <c r="BN507" s="64">
        <f t="shared" si="81"/>
        <v>343.43000000000006</v>
      </c>
      <c r="BO507" s="64">
        <f t="shared" si="82"/>
        <v>0.577287296037296</v>
      </c>
      <c r="BP507" s="64">
        <f t="shared" si="83"/>
        <v>0.58653846153846168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17</v>
      </c>
      <c r="Y509" s="642">
        <f t="shared" si="78"/>
        <v>19.2</v>
      </c>
      <c r="Z509" s="36">
        <f>IFERROR(IF(Y509=0,"",ROUNDUP(Y509/H509,0)*0.00902),"")</f>
        <v>3.6080000000000001E-2</v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24.472916666666666</v>
      </c>
      <c r="BN509" s="64">
        <f t="shared" si="81"/>
        <v>27.64</v>
      </c>
      <c r="BO509" s="64">
        <f t="shared" si="82"/>
        <v>2.6830808080808084E-2</v>
      </c>
      <c r="BP509" s="64">
        <f t="shared" si="83"/>
        <v>3.0303030303030304E-2</v>
      </c>
    </row>
    <row r="510" spans="1:68" ht="27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17</v>
      </c>
      <c r="Y510" s="642">
        <f t="shared" si="78"/>
        <v>19.2</v>
      </c>
      <c r="Z510" s="36">
        <f>IFERROR(IF(Y510=0,"",ROUNDUP(Y510/H510,0)*0.00902),"")</f>
        <v>3.6080000000000001E-2</v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24.472916666666666</v>
      </c>
      <c r="BN510" s="64">
        <f t="shared" si="81"/>
        <v>27.64</v>
      </c>
      <c r="BO510" s="64">
        <f t="shared" si="82"/>
        <v>2.6830808080808084E-2</v>
      </c>
      <c r="BP510" s="64">
        <f t="shared" si="83"/>
        <v>3.0303030303030304E-2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111.25</v>
      </c>
      <c r="Y511" s="643">
        <f>IFERROR(Y502/H502,"0")+IFERROR(Y503/H503,"0")+IFERROR(Y504/H504,"0")+IFERROR(Y505/H505,"0")+IFERROR(Y506/H506,"0")+IFERROR(Y507/H507,"0")+IFERROR(Y508/H508,"0")+IFERROR(Y509/H509,"0")+IFERROR(Y510/H510,"0")</f>
        <v>115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1.35188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584</v>
      </c>
      <c r="Y512" s="643">
        <f>IFERROR(SUM(Y502:Y510),"0")</f>
        <v>603.36000000000013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38</v>
      </c>
      <c r="Y514" s="642">
        <f>IFERROR(IF(X514="",0,CEILING((X514/$H514),1)*$H514),"")</f>
        <v>42.24</v>
      </c>
      <c r="Z514" s="36">
        <f>IFERROR(IF(Y514=0,"",ROUNDUP(Y514/H514,0)*0.01196),"")</f>
        <v>9.5680000000000001E-2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40.518939393939391</v>
      </c>
      <c r="BN514" s="64">
        <f>IFERROR(Y514*I514/H514,"0")</f>
        <v>45.04</v>
      </c>
      <c r="BO514" s="64">
        <f>IFERROR(1/J514*(X514/H514),"0")</f>
        <v>6.9201631701631697E-2</v>
      </c>
      <c r="BP514" s="64">
        <f>IFERROR(1/J514*(Y514/H514),"0")</f>
        <v>7.6923076923076927E-2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125</v>
      </c>
      <c r="Y516" s="642">
        <f>IFERROR(IF(X516="",0,CEILING((X516/$H516),1)*$H516),"")</f>
        <v>129.6</v>
      </c>
      <c r="Z516" s="36">
        <f>IFERROR(IF(Y516=0,"",ROUNDUP(Y516/H516,0)*0.00902),"")</f>
        <v>0.24354000000000001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179.94791666666669</v>
      </c>
      <c r="BN516" s="64">
        <f>IFERROR(Y516*I516/H516,"0")</f>
        <v>186.57</v>
      </c>
      <c r="BO516" s="64">
        <f>IFERROR(1/J516*(X516/H516),"0")</f>
        <v>0.19728535353535356</v>
      </c>
      <c r="BP516" s="64">
        <f>IFERROR(1/J516*(Y516/H516),"0")</f>
        <v>0.20454545454545456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33.238636363636367</v>
      </c>
      <c r="Y517" s="643">
        <f>IFERROR(Y514/H514,"0")+IFERROR(Y515/H515,"0")+IFERROR(Y516/H516,"0")</f>
        <v>35</v>
      </c>
      <c r="Z517" s="643">
        <f>IFERROR(IF(Z514="",0,Z514),"0")+IFERROR(IF(Z515="",0,Z515),"0")+IFERROR(IF(Z516="",0,Z516),"0")</f>
        <v>0.33922000000000002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163</v>
      </c>
      <c r="Y518" s="643">
        <f>IFERROR(SUM(Y514:Y516),"0")</f>
        <v>171.84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134</v>
      </c>
      <c r="Y520" s="642">
        <f t="shared" ref="Y520:Y526" si="84">IFERROR(IF(X520="",0,CEILING((X520/$H520),1)*$H520),"")</f>
        <v>137.28</v>
      </c>
      <c r="Z520" s="36">
        <f>IFERROR(IF(Y520=0,"",ROUNDUP(Y520/H520,0)*0.01196),"")</f>
        <v>0.31096000000000001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142.88257575757575</v>
      </c>
      <c r="BN520" s="64">
        <f t="shared" ref="BN520:BN526" si="86">IFERROR(Y520*I520/H520,"0")</f>
        <v>146.38</v>
      </c>
      <c r="BO520" s="64">
        <f t="shared" ref="BO520:BO526" si="87">IFERROR(1/J520*(X520/H520),"0")</f>
        <v>0.24402680652680653</v>
      </c>
      <c r="BP520" s="64">
        <f t="shared" ref="BP520:BP526" si="88">IFERROR(1/J520*(Y520/H520),"0")</f>
        <v>0.25</v>
      </c>
    </row>
    <row r="521" spans="1:68" ht="27" hidden="1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0</v>
      </c>
      <c r="Y521" s="642">
        <f t="shared" si="84"/>
        <v>0</v>
      </c>
      <c r="Z521" s="36" t="str">
        <f>IFERROR(IF(Y521=0,"",ROUNDUP(Y521/H521,0)*0.01196),"")</f>
        <v/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0</v>
      </c>
      <c r="Y522" s="642">
        <f t="shared" si="84"/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25.378787878787879</v>
      </c>
      <c r="Y527" s="643">
        <f>IFERROR(Y520/H520,"0")+IFERROR(Y521/H521,"0")+IFERROR(Y522/H522,"0")+IFERROR(Y523/H523,"0")+IFERROR(Y524/H524,"0")+IFERROR(Y525/H525,"0")+IFERROR(Y526/H526,"0")</f>
        <v>26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0.31096000000000001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134</v>
      </c>
      <c r="Y528" s="643">
        <f>IFERROR(SUM(Y520:Y526),"0")</f>
        <v>137.28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10</v>
      </c>
      <c r="Y544" s="642">
        <f>IFERROR(IF(X544="",0,CEILING((X544/$H544),1)*$H544),"")</f>
        <v>18</v>
      </c>
      <c r="Z544" s="36">
        <f>IFERROR(IF(Y544=0,"",ROUNDUP(Y544/H544,0)*0.01898),"")</f>
        <v>3.7960000000000001E-2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10.548888888888889</v>
      </c>
      <c r="BN544" s="64">
        <f>IFERROR(Y544*I544/H544,"0")</f>
        <v>18.988</v>
      </c>
      <c r="BO544" s="64">
        <f>IFERROR(1/J544*(X544/H544),"0")</f>
        <v>1.7361111111111112E-2</v>
      </c>
      <c r="BP544" s="64">
        <f>IFERROR(1/J544*(Y544/H544),"0")</f>
        <v>3.125E-2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1.1111111111111112</v>
      </c>
      <c r="Y545" s="643">
        <f>IFERROR(Y544/H544,"0")</f>
        <v>2</v>
      </c>
      <c r="Z545" s="643">
        <f>IFERROR(IF(Z544="",0,Z544),"0")</f>
        <v>3.7960000000000001E-2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10</v>
      </c>
      <c r="Y546" s="643">
        <f>IFERROR(SUM(Y544:Y544),"0")</f>
        <v>18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17589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17809.12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18626.927189732454</v>
      </c>
      <c r="Y559" s="643">
        <f>IFERROR(SUM(BN22:BN555),"0")</f>
        <v>18862.540000000005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32</v>
      </c>
      <c r="Y560" s="38">
        <f>ROUNDUP(SUM(BP22:BP555),0)</f>
        <v>32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19426.927189732454</v>
      </c>
      <c r="Y561" s="643">
        <f>GrossWeightTotalR+PalletQtyTotalR*25</f>
        <v>19662.540000000005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3438.837938861644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3479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37.128279999999997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1655.4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561.79999999999995</v>
      </c>
      <c r="F568" s="46">
        <f>IFERROR(Y85*1,"0")+IFERROR(Y86*1,"0")+IFERROR(Y87*1,"0")+IFERROR(Y88*1,"0")+IFERROR(Y89*1,"0")+IFERROR(Y90*1,"0")+IFERROR(Y94*1,"0")+IFERROR(Y95*1,"0")+IFERROR(Y96*1,"0")+IFERROR(Y97*1,"0")</f>
        <v>351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815.02</v>
      </c>
      <c r="H568" s="46">
        <f>IFERROR(Y131*1,"0")+IFERROR(Y132*1,"0")+IFERROR(Y136*1,"0")+IFERROR(Y137*1,"0")+IFERROR(Y141*1,"0")+IFERROR(Y142*1,"0")</f>
        <v>103.68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1408.28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858.44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3186.9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297.60000000000002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787.8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1603.22</v>
      </c>
      <c r="U568" s="46">
        <f>IFERROR(Y415*1,"0")+IFERROR(Y416*1,"0")</f>
        <v>0</v>
      </c>
      <c r="V568" s="46">
        <f>IFERROR(Y421*1,"0")+IFERROR(Y422*1,"0")+IFERROR(Y423*1,"0")</f>
        <v>35.700000000000003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4482</v>
      </c>
      <c r="X568" s="46">
        <f>IFERROR(Y458*1,"0")+IFERROR(Y459*1,"0")+IFERROR(Y463*1,"0")+IFERROR(Y467*1,"0")+IFERROR(Y468*1,"0")+IFERROR(Y469*1,"0")</f>
        <v>705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912.48000000000013</v>
      </c>
      <c r="AB568" s="46">
        <f>IFERROR(Y532*1,"0")+IFERROR(Y536*1,"0")+IFERROR(Y540*1,"0")+IFERROR(Y544*1,"0")+IFERROR(Y548*1,"0")+IFERROR(Y549*1,"0")</f>
        <v>18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193,00"/>
        <filter val="1 372,00"/>
        <filter val="1 400,00"/>
        <filter val="1 538,00"/>
        <filter val="1 600,00"/>
        <filter val="1 646,00"/>
        <filter val="1,00"/>
        <filter val="1,11"/>
        <filter val="1,55"/>
        <filter val="10,00"/>
        <filter val="100,00"/>
        <filter val="101,00"/>
        <filter val="104,00"/>
        <filter val="108,00"/>
        <filter val="11,00"/>
        <filter val="11,67"/>
        <filter val="111,25"/>
        <filter val="12,00"/>
        <filter val="12,05"/>
        <filter val="12,50"/>
        <filter val="12,76"/>
        <filter val="12,87"/>
        <filter val="120,00"/>
        <filter val="123,75"/>
        <filter val="125,00"/>
        <filter val="13,00"/>
        <filter val="134,00"/>
        <filter val="137,04"/>
        <filter val="139,00"/>
        <filter val="15,00"/>
        <filter val="150,00"/>
        <filter val="151,23"/>
        <filter val="16,00"/>
        <filter val="16,29"/>
        <filter val="16,67"/>
        <filter val="163,00"/>
        <filter val="169,00"/>
        <filter val="17 589,00"/>
        <filter val="17,00"/>
        <filter val="171,60"/>
        <filter val="18 626,93"/>
        <filter val="18,00"/>
        <filter val="188,00"/>
        <filter val="19 426,93"/>
        <filter val="19,00"/>
        <filter val="191,00"/>
        <filter val="199,00"/>
        <filter val="2 446,00"/>
        <filter val="2,00"/>
        <filter val="2,22"/>
        <filter val="20,00"/>
        <filter val="200,00"/>
        <filter val="209,00"/>
        <filter val="210,00"/>
        <filter val="216,00"/>
        <filter val="217,00"/>
        <filter val="234,33"/>
        <filter val="237,00"/>
        <filter val="240,00"/>
        <filter val="241,00"/>
        <filter val="25,00"/>
        <filter val="25,38"/>
        <filter val="250,00"/>
        <filter val="256,00"/>
        <filter val="260,00"/>
        <filter val="27,20"/>
        <filter val="270,00"/>
        <filter val="28,00"/>
        <filter val="28,56"/>
        <filter val="283,00"/>
        <filter val="29,00"/>
        <filter val="297,00"/>
        <filter val="3 438,84"/>
        <filter val="3 515,00"/>
        <filter val="3,03"/>
        <filter val="3,17"/>
        <filter val="30,00"/>
        <filter val="310,00"/>
        <filter val="317,00"/>
        <filter val="32"/>
        <filter val="324,00"/>
        <filter val="33,24"/>
        <filter val="34,00"/>
        <filter val="345,24"/>
        <filter val="35,00"/>
        <filter val="38,00"/>
        <filter val="39,00"/>
        <filter val="4,00"/>
        <filter val="400,00"/>
        <filter val="403,00"/>
        <filter val="41,80"/>
        <filter val="43,00"/>
        <filter val="439,21"/>
        <filter val="441,00"/>
        <filter val="48,00"/>
        <filter val="5,00"/>
        <filter val="53,00"/>
        <filter val="56,00"/>
        <filter val="56,90"/>
        <filter val="584,00"/>
        <filter val="6,00"/>
        <filter val="6,25"/>
        <filter val="60,00"/>
        <filter val="61,00"/>
        <filter val="665,00"/>
        <filter val="673,00"/>
        <filter val="680,00"/>
        <filter val="687,00"/>
        <filter val="699,00"/>
        <filter val="7,04"/>
        <filter val="700,00"/>
        <filter val="74,00"/>
        <filter val="76,00"/>
        <filter val="77,78"/>
        <filter val="775,00"/>
        <filter val="78,00"/>
        <filter val="79,38"/>
        <filter val="8,00"/>
        <filter val="805,00"/>
        <filter val="81,33"/>
        <filter val="84,00"/>
        <filter val="847,00"/>
        <filter val="88,00"/>
        <filter val="9,00"/>
        <filter val="915,00"/>
        <filter val="933,97"/>
        <filter val="94,00"/>
        <filter val="99,36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