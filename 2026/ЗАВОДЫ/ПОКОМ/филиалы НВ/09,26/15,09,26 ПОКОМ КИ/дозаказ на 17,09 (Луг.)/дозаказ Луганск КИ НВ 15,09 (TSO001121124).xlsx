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5,09,26 ПОКОМ КИ\дозаказ на 17,09 (Луг.)\"/>
    </mc:Choice>
  </mc:AlternateContent>
  <xr:revisionPtr revIDLastSave="0" documentId="13_ncr:1_{F42EE09A-DBF2-446C-8EDA-97025593A0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Y531" i="2"/>
  <c r="X531" i="2"/>
  <c r="X530" i="2"/>
  <c r="BO529" i="2"/>
  <c r="BM529" i="2"/>
  <c r="Y529" i="2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P519" i="2"/>
  <c r="BP518" i="2"/>
  <c r="BO518" i="2"/>
  <c r="BN518" i="2"/>
  <c r="BM518" i="2"/>
  <c r="Z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N507" i="2" s="1"/>
  <c r="P507" i="2"/>
  <c r="BO506" i="2"/>
  <c r="BM506" i="2"/>
  <c r="Y506" i="2"/>
  <c r="P506" i="2"/>
  <c r="BO505" i="2"/>
  <c r="BM505" i="2"/>
  <c r="Y505" i="2"/>
  <c r="P505" i="2"/>
  <c r="BP504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P473" i="2"/>
  <c r="BO473" i="2"/>
  <c r="BN473" i="2"/>
  <c r="BM473" i="2"/>
  <c r="Z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P456" i="2"/>
  <c r="BO456" i="2"/>
  <c r="BM456" i="2"/>
  <c r="Y456" i="2"/>
  <c r="BN456" i="2" s="1"/>
  <c r="P456" i="2"/>
  <c r="BO455" i="2"/>
  <c r="BN455" i="2"/>
  <c r="BM455" i="2"/>
  <c r="Z455" i="2"/>
  <c r="Y455" i="2"/>
  <c r="Y458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P439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Y440" i="2" s="1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Y415" i="2"/>
  <c r="X415" i="2"/>
  <c r="Y414" i="2"/>
  <c r="X414" i="2"/>
  <c r="BP413" i="2"/>
  <c r="BO413" i="2"/>
  <c r="BN413" i="2"/>
  <c r="BM413" i="2"/>
  <c r="Z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P401" i="2" s="1"/>
  <c r="P401" i="2"/>
  <c r="BO400" i="2"/>
  <c r="BM400" i="2"/>
  <c r="Y400" i="2"/>
  <c r="Y402" i="2" s="1"/>
  <c r="P400" i="2"/>
  <c r="BP399" i="2"/>
  <c r="BO399" i="2"/>
  <c r="BN399" i="2"/>
  <c r="BM399" i="2"/>
  <c r="Z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P340" i="2"/>
  <c r="BO340" i="2"/>
  <c r="BN340" i="2"/>
  <c r="BM340" i="2"/>
  <c r="Z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P300" i="2"/>
  <c r="BO300" i="2"/>
  <c r="BN300" i="2"/>
  <c r="BM300" i="2"/>
  <c r="Z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P278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P269" i="2"/>
  <c r="BO269" i="2"/>
  <c r="BN269" i="2"/>
  <c r="BM269" i="2"/>
  <c r="Z269" i="2"/>
  <c r="Y269" i="2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N256" i="2"/>
  <c r="BM256" i="2"/>
  <c r="Z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Z238" i="2"/>
  <c r="Y238" i="2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Z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Z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P218" i="2"/>
  <c r="BO218" i="2"/>
  <c r="BM218" i="2"/>
  <c r="Y218" i="2"/>
  <c r="P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P205" i="2"/>
  <c r="BO205" i="2"/>
  <c r="BN205" i="2"/>
  <c r="BM205" i="2"/>
  <c r="Z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Z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Z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P173" i="2"/>
  <c r="BO173" i="2"/>
  <c r="BN173" i="2"/>
  <c r="BM173" i="2"/>
  <c r="Z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P162" i="2"/>
  <c r="BO162" i="2"/>
  <c r="BM162" i="2"/>
  <c r="Y162" i="2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Z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Z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Z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Y25" i="2" s="1"/>
  <c r="P23" i="2"/>
  <c r="BO22" i="2"/>
  <c r="X556" i="2" s="1"/>
  <c r="BM22" i="2"/>
  <c r="Z22" i="2"/>
  <c r="Y22" i="2"/>
  <c r="P22" i="2"/>
  <c r="H10" i="2"/>
  <c r="A9" i="2"/>
  <c r="F10" i="2" s="1"/>
  <c r="D7" i="2"/>
  <c r="Q6" i="2"/>
  <c r="P2" i="2"/>
  <c r="Y109" i="2" l="1"/>
  <c r="X558" i="2"/>
  <c r="Z27" i="2"/>
  <c r="BN27" i="2"/>
  <c r="Y32" i="2"/>
  <c r="Z48" i="2"/>
  <c r="BN48" i="2"/>
  <c r="Z49" i="2"/>
  <c r="BN49" i="2"/>
  <c r="Z66" i="2"/>
  <c r="Z69" i="2" s="1"/>
  <c r="Z78" i="2"/>
  <c r="BN78" i="2"/>
  <c r="Z79" i="2"/>
  <c r="Z113" i="2"/>
  <c r="BN113" i="2"/>
  <c r="Z114" i="2"/>
  <c r="BN114" i="2"/>
  <c r="Z115" i="2"/>
  <c r="BN115" i="2"/>
  <c r="Z133" i="2"/>
  <c r="Z134" i="2" s="1"/>
  <c r="Z151" i="2"/>
  <c r="BN151" i="2"/>
  <c r="Z177" i="2"/>
  <c r="Z180" i="2"/>
  <c r="BN180" i="2"/>
  <c r="BP181" i="2"/>
  <c r="Z189" i="2"/>
  <c r="BN189" i="2"/>
  <c r="Z203" i="2"/>
  <c r="BN203" i="2"/>
  <c r="Z215" i="2"/>
  <c r="BN215" i="2"/>
  <c r="Z221" i="2"/>
  <c r="Z225" i="2"/>
  <c r="BN225" i="2"/>
  <c r="Z226" i="2"/>
  <c r="BN226" i="2"/>
  <c r="Z236" i="2"/>
  <c r="BN236" i="2"/>
  <c r="Z251" i="2"/>
  <c r="Z252" i="2" s="1"/>
  <c r="BP273" i="2"/>
  <c r="BP312" i="2"/>
  <c r="Z325" i="2"/>
  <c r="BN325" i="2"/>
  <c r="Z331" i="2"/>
  <c r="Z352" i="2"/>
  <c r="Z355" i="2" s="1"/>
  <c r="BN352" i="2"/>
  <c r="Y356" i="2"/>
  <c r="Z362" i="2"/>
  <c r="Z386" i="2"/>
  <c r="BN386" i="2"/>
  <c r="Z388" i="2"/>
  <c r="BN388" i="2"/>
  <c r="Y389" i="2"/>
  <c r="BP393" i="2"/>
  <c r="Y403" i="2"/>
  <c r="Z445" i="2"/>
  <c r="BN445" i="2"/>
  <c r="Z450" i="2"/>
  <c r="Z460" i="2"/>
  <c r="Z461" i="2" s="1"/>
  <c r="Z500" i="2"/>
  <c r="Z507" i="2"/>
  <c r="Z437" i="2"/>
  <c r="BP88" i="2"/>
  <c r="BN116" i="2"/>
  <c r="Y166" i="2"/>
  <c r="BP174" i="2"/>
  <c r="BN178" i="2"/>
  <c r="BN188" i="2"/>
  <c r="Y191" i="2"/>
  <c r="BP211" i="2"/>
  <c r="Y212" i="2"/>
  <c r="BN237" i="2"/>
  <c r="BN270" i="2"/>
  <c r="BP270" i="2"/>
  <c r="BN282" i="2"/>
  <c r="BN301" i="2"/>
  <c r="BP301" i="2"/>
  <c r="BN321" i="2"/>
  <c r="BN323" i="2"/>
  <c r="BP323" i="2"/>
  <c r="BN324" i="2"/>
  <c r="BP324" i="2"/>
  <c r="BP341" i="2"/>
  <c r="BN341" i="2"/>
  <c r="Z341" i="2"/>
  <c r="BP342" i="2"/>
  <c r="Z342" i="2"/>
  <c r="BP360" i="2"/>
  <c r="BN360" i="2"/>
  <c r="Z360" i="2"/>
  <c r="BN372" i="2"/>
  <c r="Z372" i="2"/>
  <c r="BN375" i="2"/>
  <c r="BP375" i="2"/>
  <c r="Y384" i="2"/>
  <c r="Y383" i="2"/>
  <c r="BP380" i="2"/>
  <c r="BN380" i="2"/>
  <c r="Z380" i="2"/>
  <c r="BN394" i="2"/>
  <c r="BP394" i="2"/>
  <c r="BN395" i="2"/>
  <c r="Z395" i="2"/>
  <c r="BN428" i="2"/>
  <c r="BP428" i="2"/>
  <c r="BN430" i="2"/>
  <c r="BP430" i="2"/>
  <c r="BP432" i="2"/>
  <c r="BN432" i="2"/>
  <c r="Z432" i="2"/>
  <c r="BN433" i="2"/>
  <c r="BP433" i="2"/>
  <c r="Z443" i="2"/>
  <c r="Y447" i="2"/>
  <c r="Y446" i="2"/>
  <c r="BN443" i="2"/>
  <c r="BP443" i="2"/>
  <c r="BN444" i="2"/>
  <c r="Z444" i="2"/>
  <c r="BN475" i="2"/>
  <c r="Z475" i="2"/>
  <c r="BP522" i="2"/>
  <c r="Z522" i="2"/>
  <c r="BN30" i="2"/>
  <c r="BP30" i="2"/>
  <c r="BN55" i="2"/>
  <c r="BN67" i="2"/>
  <c r="BP67" i="2"/>
  <c r="BP94" i="2"/>
  <c r="Y124" i="2"/>
  <c r="Y125" i="2"/>
  <c r="Y154" i="2"/>
  <c r="BN163" i="2"/>
  <c r="BN168" i="2"/>
  <c r="Y192" i="2"/>
  <c r="X555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BN68" i="2"/>
  <c r="Z73" i="2"/>
  <c r="BN73" i="2"/>
  <c r="Z80" i="2"/>
  <c r="Z81" i="2" s="1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194" i="2"/>
  <c r="Y195" i="2"/>
  <c r="BP200" i="2"/>
  <c r="Z204" i="2"/>
  <c r="BN204" i="2"/>
  <c r="Z211" i="2"/>
  <c r="Z212" i="2" s="1"/>
  <c r="Y213" i="2"/>
  <c r="Y230" i="2"/>
  <c r="BP216" i="2"/>
  <c r="BP221" i="2"/>
  <c r="Z224" i="2"/>
  <c r="BN224" i="2"/>
  <c r="Z227" i="2"/>
  <c r="BN227" i="2"/>
  <c r="Z234" i="2"/>
  <c r="BN234" i="2"/>
  <c r="BN235" i="2"/>
  <c r="BP235" i="2"/>
  <c r="BP240" i="2"/>
  <c r="BN241" i="2"/>
  <c r="Z246" i="2"/>
  <c r="BN246" i="2"/>
  <c r="BP251" i="2"/>
  <c r="Y252" i="2"/>
  <c r="Y253" i="2"/>
  <c r="Y259" i="2"/>
  <c r="BN257" i="2"/>
  <c r="BP257" i="2"/>
  <c r="Y258" i="2"/>
  <c r="BP262" i="2"/>
  <c r="Z267" i="2"/>
  <c r="BN267" i="2"/>
  <c r="Z277" i="2"/>
  <c r="BN277" i="2"/>
  <c r="Z279" i="2"/>
  <c r="BN279" i="2"/>
  <c r="BN284" i="2"/>
  <c r="Z285" i="2"/>
  <c r="BN285" i="2"/>
  <c r="Z286" i="2"/>
  <c r="BN286" i="2"/>
  <c r="BP287" i="2"/>
  <c r="BN292" i="2"/>
  <c r="Z298" i="2"/>
  <c r="Y306" i="2"/>
  <c r="BN298" i="2"/>
  <c r="BP298" i="2"/>
  <c r="BP299" i="2"/>
  <c r="BN299" i="2"/>
  <c r="Z299" i="2"/>
  <c r="BP354" i="2"/>
  <c r="BN354" i="2"/>
  <c r="Z354" i="2"/>
  <c r="BP372" i="2"/>
  <c r="BN374" i="2"/>
  <c r="Z374" i="2"/>
  <c r="BN401" i="2"/>
  <c r="Z401" i="2"/>
  <c r="BN418" i="2"/>
  <c r="BP418" i="2"/>
  <c r="BP420" i="2"/>
  <c r="BN420" i="2"/>
  <c r="Z420" i="2"/>
  <c r="BN427" i="2"/>
  <c r="Z427" i="2"/>
  <c r="BP475" i="2"/>
  <c r="BN481" i="2"/>
  <c r="Z481" i="2"/>
  <c r="Z491" i="2"/>
  <c r="Y495" i="2"/>
  <c r="BN491" i="2"/>
  <c r="BP491" i="2"/>
  <c r="BP493" i="2"/>
  <c r="BN493" i="2"/>
  <c r="Z493" i="2"/>
  <c r="BP505" i="2"/>
  <c r="BN505" i="2"/>
  <c r="Z505" i="2"/>
  <c r="BP506" i="2"/>
  <c r="BN506" i="2"/>
  <c r="Z506" i="2"/>
  <c r="Y509" i="2"/>
  <c r="BN513" i="2"/>
  <c r="BP513" i="2"/>
  <c r="BN520" i="2"/>
  <c r="Z520" i="2"/>
  <c r="Z537" i="2"/>
  <c r="Z538" i="2" s="1"/>
  <c r="Y539" i="2"/>
  <c r="BN537" i="2"/>
  <c r="BP537" i="2"/>
  <c r="Y538" i="2"/>
  <c r="BN308" i="2"/>
  <c r="BP308" i="2"/>
  <c r="Y309" i="2"/>
  <c r="Y310" i="2"/>
  <c r="Y335" i="2"/>
  <c r="BN338" i="2"/>
  <c r="BP338" i="2"/>
  <c r="BP362" i="2"/>
  <c r="BN365" i="2"/>
  <c r="BP365" i="2"/>
  <c r="BP382" i="2"/>
  <c r="BN392" i="2"/>
  <c r="BP392" i="2"/>
  <c r="BN407" i="2"/>
  <c r="BP407" i="2"/>
  <c r="BP437" i="2"/>
  <c r="BN438" i="2"/>
  <c r="BP438" i="2"/>
  <c r="BP450" i="2"/>
  <c r="Y451" i="2"/>
  <c r="BP460" i="2"/>
  <c r="Y461" i="2"/>
  <c r="Y462" i="2"/>
  <c r="BN466" i="2"/>
  <c r="BP466" i="2"/>
  <c r="BP500" i="2"/>
  <c r="BN503" i="2"/>
  <c r="BP503" i="2"/>
  <c r="BP507" i="2"/>
  <c r="BN523" i="2"/>
  <c r="BP523" i="2"/>
  <c r="BN546" i="2"/>
  <c r="X557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Z62" i="2" s="1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124" i="2" l="1"/>
  <c r="Z478" i="2"/>
  <c r="Z230" i="2"/>
  <c r="Z185" i="2"/>
  <c r="Z51" i="2"/>
  <c r="Z248" i="2"/>
  <c r="Z343" i="2"/>
  <c r="Z494" i="2"/>
  <c r="Z139" i="2"/>
  <c r="Z97" i="2"/>
  <c r="Z117" i="2"/>
  <c r="Y554" i="2"/>
  <c r="Z289" i="2"/>
  <c r="Z242" i="2"/>
  <c r="Y555" i="2"/>
  <c r="Z376" i="2"/>
  <c r="Z32" i="2"/>
  <c r="Z514" i="2"/>
  <c r="Z334" i="2"/>
  <c r="Z524" i="2"/>
  <c r="Z154" i="2"/>
  <c r="Z305" i="2"/>
  <c r="Z446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Z274" i="2"/>
  <c r="Z434" i="2"/>
  <c r="Y557" i="2" l="1"/>
  <c r="Z559" i="2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<sst xmlns="http://schemas.openxmlformats.org/spreadsheetml/2006/main" count="4296" uniqueCount="915">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</sst>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46286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/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Понедельник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210</v>
      </c>
      <c r="Y427" s="55">
        <f t="shared" si="68"/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216.58</v>
      </c>
      <c r="BN427" s="78">
        <f t="shared" si="70"/>
        <v>216.58</v>
      </c>
      <c r="BO427" s="78">
        <f t="shared" si="71"/>
        <v>0.29166666666666663</v>
      </c>
      <c r="BP427" s="78">
        <f t="shared" si="72"/>
        <v>0.29166666666666663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210</v>
      </c>
      <c r="Y428" s="55">
        <f t="shared" si="68"/>
        <v>210</v>
      </c>
      <c r="Z428" s="41">
        <f>IFERROR(IF(Y428=0,"",ROUNDUP(Y428/H428,0)*0.02175),"")</f>
        <v>0.30449999999999999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216.58</v>
      </c>
      <c r="BN428" s="78">
        <f t="shared" si="70"/>
        <v>216.58</v>
      </c>
      <c r="BO428" s="78">
        <f t="shared" si="71"/>
        <v>0.29166666666666663</v>
      </c>
      <c r="BP428" s="78">
        <f t="shared" si="72"/>
        <v>0.29166666666666663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210</v>
      </c>
      <c r="Y429" s="55">
        <f t="shared" si="68"/>
        <v>210</v>
      </c>
      <c r="Z429" s="41">
        <f>IFERROR(IF(Y429=0,"",ROUNDUP(Y429/H429,0)*0.02175),"")</f>
        <v>0.30449999999999999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216.58</v>
      </c>
      <c r="BN429" s="78">
        <f t="shared" si="70"/>
        <v>216.58</v>
      </c>
      <c r="BO429" s="78">
        <f t="shared" si="71"/>
        <v>0.29166666666666663</v>
      </c>
      <c r="BP429" s="78">
        <f t="shared" si="72"/>
        <v>0.29166666666666663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165</v>
      </c>
      <c r="Y430" s="55">
        <f t="shared" si="68"/>
        <v>165</v>
      </c>
      <c r="Z430" s="41">
        <f>IFERROR(IF(Y430=0,"",ROUNDUP(Y430/H430,0)*0.02175),"")</f>
        <v>0.23924999999999999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170.17000000000002</v>
      </c>
      <c r="BN430" s="78">
        <f t="shared" si="70"/>
        <v>170.17000000000002</v>
      </c>
      <c r="BO430" s="78">
        <f t="shared" si="71"/>
        <v>0.22916666666666666</v>
      </c>
      <c r="BP430" s="78">
        <f t="shared" si="72"/>
        <v>0.22916666666666666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53</v>
      </c>
      <c r="Y434" s="43">
        <f>IFERROR(Y426/H426,"0")+IFERROR(Y427/H427,"0")+IFERROR(Y428/H428,"0")+IFERROR(Y429/H429,"0")+IFERROR(Y430/H430,"0")+IFERROR(Y431/H431,"0")+IFERROR(Y432/H432,"0")+IFERROR(Y433/H433,"0")</f>
        <v>53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1.1527499999999999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795</v>
      </c>
      <c r="Y435" s="43">
        <f>IFERROR(SUM(Y426:Y433),"0")</f>
        <v>795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210</v>
      </c>
      <c r="Y437" s="55">
        <f>IFERROR(IF(X437="",0,CEILING((X437/$H437),1)*$H437),"")</f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216.58</v>
      </c>
      <c r="BN437" s="78">
        <f>IFERROR(Y437*I437/H437,"0")</f>
        <v>216.58</v>
      </c>
      <c r="BO437" s="78">
        <f>IFERROR(1/J437*(X437/H437),"0")</f>
        <v>0.29166666666666663</v>
      </c>
      <c r="BP437" s="78">
        <f>IFERROR(1/J437*(Y437/H437),"0")</f>
        <v>0.29166666666666663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14</v>
      </c>
      <c r="Y440" s="43">
        <f>IFERROR(Y437/H437,"0")+IFERROR(Y438/H438,"0")+IFERROR(Y439/H439,"0")</f>
        <v>14</v>
      </c>
      <c r="Z440" s="43">
        <f>IFERROR(IF(Z437="",0,Z437),"0")+IFERROR(IF(Z438="",0,Z438),"0")+IFERROR(IF(Z439="",0,Z439),"0")</f>
        <v>0.30449999999999999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210</v>
      </c>
      <c r="Y441" s="43">
        <f>IFERROR(SUM(Y437:Y439),"0")</f>
        <v>210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1005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1005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1036.49</v>
      </c>
      <c r="Y555" s="43">
        <f>IFERROR(SUM(BN22:BN551),"0")</f>
        <v>1036.49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1086.49</v>
      </c>
      <c r="Y557" s="43">
        <f>GrossWeightTotalR+PalletQtyTotalR*25</f>
        <v>1086.49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67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67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1.4572499999999999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1005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036,49"/>
        <filter val="1 086,49"/>
        <filter val="14,00"/>
        <filter val="165,00"/>
        <filter val="2"/>
        <filter val="210,00"/>
        <filter val="53,00"/>
        <filter val="67,00"/>
        <filter val="795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