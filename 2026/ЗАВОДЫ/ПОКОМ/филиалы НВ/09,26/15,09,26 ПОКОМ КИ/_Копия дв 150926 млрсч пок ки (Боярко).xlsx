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Заказы\"/>
    </mc:Choice>
  </mc:AlternateContent>
  <bookViews>
    <workbookView xWindow="0" yWindow="0" windowWidth="19200" windowHeight="6760"/>
  </bookViews>
  <sheets>
    <sheet name="Sheet" sheetId="1" r:id="rId1"/>
  </sheets>
  <definedNames>
    <definedName name="_xlnm._FilterDatabase" localSheetId="0" hidden="1">Sheet!$A$3:$AL$134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2" i="1" l="1"/>
  <c r="V91" i="1"/>
  <c r="V90" i="1"/>
  <c r="V16" i="1"/>
  <c r="U15" i="1" l="1"/>
  <c r="AL115" i="1"/>
  <c r="AL109" i="1"/>
  <c r="AL97" i="1"/>
  <c r="AL82" i="1"/>
  <c r="AL68" i="1"/>
  <c r="AL52" i="1"/>
  <c r="AL43" i="1"/>
  <c r="AL35" i="1"/>
  <c r="U134" i="1"/>
  <c r="Z134" i="1" s="1"/>
  <c r="L134" i="1"/>
  <c r="Y133" i="1"/>
  <c r="U133" i="1"/>
  <c r="Z133" i="1" s="1"/>
  <c r="L133" i="1"/>
  <c r="U132" i="1"/>
  <c r="L132" i="1"/>
  <c r="AL131" i="1"/>
  <c r="U131" i="1"/>
  <c r="Z131" i="1" s="1"/>
  <c r="L131" i="1"/>
  <c r="U130" i="1"/>
  <c r="L130" i="1"/>
  <c r="U129" i="1"/>
  <c r="Z129" i="1" s="1"/>
  <c r="L129" i="1"/>
  <c r="U128" i="1"/>
  <c r="L128" i="1"/>
  <c r="U127" i="1"/>
  <c r="Z127" i="1" s="1"/>
  <c r="L127" i="1"/>
  <c r="U126" i="1"/>
  <c r="L126" i="1"/>
  <c r="F126" i="1"/>
  <c r="U125" i="1"/>
  <c r="V125" i="1" s="1"/>
  <c r="AL125" i="1" s="1"/>
  <c r="L125" i="1"/>
  <c r="U124" i="1"/>
  <c r="L124" i="1"/>
  <c r="U123" i="1"/>
  <c r="AL123" i="1" s="1"/>
  <c r="L123" i="1"/>
  <c r="U122" i="1"/>
  <c r="L122" i="1"/>
  <c r="U121" i="1"/>
  <c r="AL121" i="1" s="1"/>
  <c r="L121" i="1"/>
  <c r="U120" i="1"/>
  <c r="Y120" i="1" s="1"/>
  <c r="L120" i="1"/>
  <c r="U119" i="1"/>
  <c r="L119" i="1"/>
  <c r="U118" i="1"/>
  <c r="AL118" i="1" s="1"/>
  <c r="L118" i="1"/>
  <c r="U117" i="1"/>
  <c r="Z117" i="1" s="1"/>
  <c r="L117" i="1"/>
  <c r="U116" i="1"/>
  <c r="Z116" i="1" s="1"/>
  <c r="L116" i="1"/>
  <c r="U115" i="1"/>
  <c r="L115" i="1"/>
  <c r="U114" i="1"/>
  <c r="L114" i="1"/>
  <c r="U113" i="1"/>
  <c r="L113" i="1"/>
  <c r="U112" i="1"/>
  <c r="Y112" i="1" s="1"/>
  <c r="L112" i="1"/>
  <c r="U111" i="1"/>
  <c r="Y111" i="1" s="1"/>
  <c r="L111" i="1"/>
  <c r="U110" i="1"/>
  <c r="Z110" i="1" s="1"/>
  <c r="L110" i="1"/>
  <c r="U109" i="1"/>
  <c r="Z109" i="1" s="1"/>
  <c r="L109" i="1"/>
  <c r="U108" i="1"/>
  <c r="L108" i="1"/>
  <c r="U107" i="1"/>
  <c r="Z107" i="1" s="1"/>
  <c r="L107" i="1"/>
  <c r="U106" i="1"/>
  <c r="L106" i="1"/>
  <c r="U105" i="1"/>
  <c r="L105" i="1"/>
  <c r="U104" i="1"/>
  <c r="Z104" i="1" s="1"/>
  <c r="L104" i="1"/>
  <c r="U103" i="1"/>
  <c r="Z103" i="1" s="1"/>
  <c r="L103" i="1"/>
  <c r="U102" i="1"/>
  <c r="Z102" i="1" s="1"/>
  <c r="L102" i="1"/>
  <c r="U101" i="1"/>
  <c r="V101" i="1" s="1"/>
  <c r="AL101" i="1" s="1"/>
  <c r="L101" i="1"/>
  <c r="U100" i="1"/>
  <c r="Y100" i="1" s="1"/>
  <c r="L100" i="1"/>
  <c r="U99" i="1"/>
  <c r="L99" i="1"/>
  <c r="U98" i="1"/>
  <c r="L98" i="1"/>
  <c r="U97" i="1"/>
  <c r="Z97" i="1" s="1"/>
  <c r="L97" i="1"/>
  <c r="U96" i="1"/>
  <c r="Z96" i="1" s="1"/>
  <c r="L96" i="1"/>
  <c r="U95" i="1"/>
  <c r="Z95" i="1" s="1"/>
  <c r="L95" i="1"/>
  <c r="U94" i="1"/>
  <c r="L94" i="1"/>
  <c r="U93" i="1"/>
  <c r="Z93" i="1" s="1"/>
  <c r="L93" i="1"/>
  <c r="U92" i="1"/>
  <c r="L92" i="1"/>
  <c r="U91" i="1"/>
  <c r="L91" i="1"/>
  <c r="U90" i="1"/>
  <c r="AL90" i="1" s="1"/>
  <c r="L90" i="1"/>
  <c r="U89" i="1"/>
  <c r="L89" i="1"/>
  <c r="U88" i="1"/>
  <c r="L88" i="1"/>
  <c r="U87" i="1"/>
  <c r="L87" i="1"/>
  <c r="U86" i="1"/>
  <c r="Y86" i="1" s="1"/>
  <c r="L86" i="1"/>
  <c r="U85" i="1"/>
  <c r="Y85" i="1" s="1"/>
  <c r="L85" i="1"/>
  <c r="U84" i="1"/>
  <c r="Y84" i="1" s="1"/>
  <c r="L84" i="1"/>
  <c r="U83" i="1"/>
  <c r="Z83" i="1" s="1"/>
  <c r="L83" i="1"/>
  <c r="U82" i="1"/>
  <c r="L82" i="1"/>
  <c r="U81" i="1"/>
  <c r="Z81" i="1" s="1"/>
  <c r="L81" i="1"/>
  <c r="U80" i="1"/>
  <c r="AL80" i="1" s="1"/>
  <c r="L80" i="1"/>
  <c r="U79" i="1"/>
  <c r="Y79" i="1" s="1"/>
  <c r="L79" i="1"/>
  <c r="U78" i="1"/>
  <c r="Z78" i="1" s="1"/>
  <c r="L78" i="1"/>
  <c r="U77" i="1"/>
  <c r="V77" i="1" s="1"/>
  <c r="AL77" i="1" s="1"/>
  <c r="L77" i="1"/>
  <c r="U76" i="1"/>
  <c r="Z76" i="1" s="1"/>
  <c r="L76" i="1"/>
  <c r="U75" i="1"/>
  <c r="Z75" i="1" s="1"/>
  <c r="L75" i="1"/>
  <c r="U74" i="1"/>
  <c r="L74" i="1"/>
  <c r="U73" i="1"/>
  <c r="Z73" i="1" s="1"/>
  <c r="L73" i="1"/>
  <c r="U72" i="1"/>
  <c r="AL72" i="1" s="1"/>
  <c r="L72" i="1"/>
  <c r="U71" i="1"/>
  <c r="L71" i="1"/>
  <c r="U70" i="1"/>
  <c r="L70" i="1"/>
  <c r="U69" i="1"/>
  <c r="L69" i="1"/>
  <c r="U68" i="1"/>
  <c r="L68" i="1"/>
  <c r="U67" i="1"/>
  <c r="L67" i="1"/>
  <c r="U66" i="1"/>
  <c r="AL66" i="1" s="1"/>
  <c r="L66" i="1"/>
  <c r="U65" i="1"/>
  <c r="L65" i="1"/>
  <c r="U64" i="1"/>
  <c r="AL64" i="1" s="1"/>
  <c r="L64" i="1"/>
  <c r="U63" i="1"/>
  <c r="L63" i="1"/>
  <c r="U62" i="1"/>
  <c r="L62" i="1"/>
  <c r="U61" i="1"/>
  <c r="L61" i="1"/>
  <c r="U60" i="1"/>
  <c r="V60" i="1" s="1"/>
  <c r="AL60" i="1" s="1"/>
  <c r="L60" i="1"/>
  <c r="U59" i="1"/>
  <c r="L59" i="1"/>
  <c r="F58" i="1"/>
  <c r="E58" i="1"/>
  <c r="L58" i="1" s="1"/>
  <c r="U57" i="1"/>
  <c r="L57" i="1"/>
  <c r="U56" i="1"/>
  <c r="V56" i="1" s="1"/>
  <c r="AL56" i="1" s="1"/>
  <c r="L56" i="1"/>
  <c r="U55" i="1"/>
  <c r="L55" i="1"/>
  <c r="U54" i="1"/>
  <c r="AL54" i="1" s="1"/>
  <c r="L54" i="1"/>
  <c r="U53" i="1"/>
  <c r="L53" i="1"/>
  <c r="U52" i="1"/>
  <c r="Z52" i="1" s="1"/>
  <c r="L52" i="1"/>
  <c r="U51" i="1"/>
  <c r="L51" i="1"/>
  <c r="U50" i="1"/>
  <c r="L50" i="1"/>
  <c r="U49" i="1"/>
  <c r="L49" i="1"/>
  <c r="U48" i="1"/>
  <c r="L48" i="1"/>
  <c r="U47" i="1"/>
  <c r="L47" i="1"/>
  <c r="U46" i="1"/>
  <c r="Z46" i="1" s="1"/>
  <c r="L46" i="1"/>
  <c r="U45" i="1"/>
  <c r="V45" i="1" s="1"/>
  <c r="AL45" i="1" s="1"/>
  <c r="L45" i="1"/>
  <c r="U44" i="1"/>
  <c r="L44" i="1"/>
  <c r="U43" i="1"/>
  <c r="L43" i="1"/>
  <c r="U42" i="1"/>
  <c r="L42" i="1"/>
  <c r="U41" i="1"/>
  <c r="L41" i="1"/>
  <c r="U40" i="1"/>
  <c r="L40" i="1"/>
  <c r="AL39" i="1"/>
  <c r="U39" i="1"/>
  <c r="L39" i="1"/>
  <c r="U38" i="1"/>
  <c r="L38" i="1"/>
  <c r="U37" i="1"/>
  <c r="AL37" i="1" s="1"/>
  <c r="L37" i="1"/>
  <c r="U36" i="1"/>
  <c r="L36" i="1"/>
  <c r="U35" i="1"/>
  <c r="L35" i="1"/>
  <c r="U34" i="1"/>
  <c r="Y34" i="1" s="1"/>
  <c r="L34" i="1"/>
  <c r="U33" i="1"/>
  <c r="L33" i="1"/>
  <c r="U32" i="1"/>
  <c r="L32" i="1"/>
  <c r="U31" i="1"/>
  <c r="L31" i="1"/>
  <c r="AL30" i="1"/>
  <c r="U30" i="1"/>
  <c r="L30" i="1"/>
  <c r="U29" i="1"/>
  <c r="L29" i="1"/>
  <c r="U28" i="1"/>
  <c r="AL28" i="1" s="1"/>
  <c r="L28" i="1"/>
  <c r="U27" i="1"/>
  <c r="L27" i="1"/>
  <c r="U26" i="1"/>
  <c r="Z26" i="1" s="1"/>
  <c r="L26" i="1"/>
  <c r="U25" i="1"/>
  <c r="Z25" i="1" s="1"/>
  <c r="L25" i="1"/>
  <c r="AL24" i="1"/>
  <c r="U24" i="1"/>
  <c r="L24" i="1"/>
  <c r="U23" i="1"/>
  <c r="L23" i="1"/>
  <c r="U22" i="1"/>
  <c r="V22" i="1" s="1"/>
  <c r="AL22" i="1" s="1"/>
  <c r="L22" i="1"/>
  <c r="U21" i="1"/>
  <c r="L21" i="1"/>
  <c r="U20" i="1"/>
  <c r="Z20" i="1" s="1"/>
  <c r="L20" i="1"/>
  <c r="U19" i="1"/>
  <c r="L19" i="1"/>
  <c r="U18" i="1"/>
  <c r="AL18" i="1" s="1"/>
  <c r="L18" i="1"/>
  <c r="U17" i="1"/>
  <c r="L17" i="1"/>
  <c r="U16" i="1"/>
  <c r="Z16" i="1" s="1"/>
  <c r="L16" i="1"/>
  <c r="L15" i="1"/>
  <c r="U14" i="1"/>
  <c r="V14" i="1" s="1"/>
  <c r="AL14" i="1" s="1"/>
  <c r="L14" i="1"/>
  <c r="U13" i="1"/>
  <c r="L13" i="1"/>
  <c r="U12" i="1"/>
  <c r="Z12" i="1" s="1"/>
  <c r="L12" i="1"/>
  <c r="U11" i="1"/>
  <c r="AL11" i="1" s="1"/>
  <c r="L11" i="1"/>
  <c r="U10" i="1"/>
  <c r="L10" i="1"/>
  <c r="U9" i="1"/>
  <c r="AL9" i="1" s="1"/>
  <c r="L9" i="1"/>
  <c r="U8" i="1"/>
  <c r="L8" i="1"/>
  <c r="U7" i="1"/>
  <c r="AL7" i="1" s="1"/>
  <c r="L7" i="1"/>
  <c r="U6" i="1"/>
  <c r="L6" i="1"/>
  <c r="AJ5" i="1"/>
  <c r="AI5" i="1"/>
  <c r="AH5" i="1"/>
  <c r="AG5" i="1"/>
  <c r="AF5" i="1"/>
  <c r="AE5" i="1"/>
  <c r="AD5" i="1"/>
  <c r="AC5" i="1"/>
  <c r="AB5" i="1"/>
  <c r="AA5" i="1"/>
  <c r="T5" i="1"/>
  <c r="S5" i="1"/>
  <c r="R5" i="1"/>
  <c r="Q5" i="1"/>
  <c r="P5" i="1"/>
  <c r="O5" i="1"/>
  <c r="N5" i="1"/>
  <c r="M5" i="1"/>
  <c r="K5" i="1"/>
  <c r="E5" i="1" l="1"/>
  <c r="Z56" i="1"/>
  <c r="F5" i="1"/>
  <c r="Z77" i="1"/>
  <c r="Z111" i="1"/>
  <c r="Y129" i="1"/>
  <c r="Z14" i="1"/>
  <c r="Z18" i="1"/>
  <c r="Z79" i="1"/>
  <c r="Y103" i="1"/>
  <c r="AL126" i="1"/>
  <c r="V95" i="1"/>
  <c r="AL95" i="1" s="1"/>
  <c r="Z15" i="1"/>
  <c r="Z19" i="1"/>
  <c r="Z23" i="1"/>
  <c r="AL23" i="1"/>
  <c r="Z29" i="1"/>
  <c r="V29" i="1"/>
  <c r="AL29" i="1" s="1"/>
  <c r="Z31" i="1"/>
  <c r="V31" i="1"/>
  <c r="Z33" i="1"/>
  <c r="AL33" i="1"/>
  <c r="Z38" i="1"/>
  <c r="AL38" i="1"/>
  <c r="Z40" i="1"/>
  <c r="V40" i="1"/>
  <c r="Z42" i="1"/>
  <c r="AL42" i="1"/>
  <c r="Z47" i="1"/>
  <c r="Z49" i="1"/>
  <c r="AL49" i="1"/>
  <c r="Z53" i="1"/>
  <c r="V53" i="1"/>
  <c r="Z57" i="1"/>
  <c r="Z63" i="1"/>
  <c r="Z71" i="1"/>
  <c r="Z87" i="1"/>
  <c r="Y89" i="1"/>
  <c r="Z89" i="1"/>
  <c r="Z94" i="1"/>
  <c r="Y99" i="1"/>
  <c r="Z99" i="1"/>
  <c r="Z108" i="1"/>
  <c r="Z122" i="1"/>
  <c r="V122" i="1"/>
  <c r="AL122" i="1" s="1"/>
  <c r="Y128" i="1"/>
  <c r="AL128" i="1"/>
  <c r="Y132" i="1"/>
  <c r="AL132" i="1"/>
  <c r="AL16" i="1"/>
  <c r="V20" i="1"/>
  <c r="AL20" i="1" s="1"/>
  <c r="AL48" i="1"/>
  <c r="Z6" i="1"/>
  <c r="V6" i="1"/>
  <c r="Z8" i="1"/>
  <c r="AL8" i="1"/>
  <c r="Z10" i="1"/>
  <c r="Y11" i="1"/>
  <c r="Z13" i="1"/>
  <c r="V13" i="1"/>
  <c r="Z17" i="1"/>
  <c r="V17" i="1"/>
  <c r="Z21" i="1"/>
  <c r="V21" i="1"/>
  <c r="Y25" i="1"/>
  <c r="Z27" i="1"/>
  <c r="Y35" i="1"/>
  <c r="Z36" i="1"/>
  <c r="Y43" i="1"/>
  <c r="Z44" i="1"/>
  <c r="V44" i="1"/>
  <c r="Z51" i="1"/>
  <c r="V51" i="1"/>
  <c r="Z54" i="1"/>
  <c r="Z55" i="1"/>
  <c r="Z59" i="1"/>
  <c r="Y60" i="1"/>
  <c r="Z61" i="1"/>
  <c r="AL61" i="1"/>
  <c r="Z65" i="1"/>
  <c r="AL65" i="1"/>
  <c r="Z67" i="1"/>
  <c r="Y68" i="1"/>
  <c r="Z69" i="1"/>
  <c r="AL69" i="1"/>
  <c r="Z74" i="1"/>
  <c r="Z88" i="1"/>
  <c r="Z91" i="1"/>
  <c r="Z98" i="1"/>
  <c r="Z105" i="1"/>
  <c r="Y113" i="1"/>
  <c r="Z114" i="1"/>
  <c r="AL114" i="1"/>
  <c r="Z119" i="1"/>
  <c r="V119" i="1"/>
  <c r="AL119" i="1" s="1"/>
  <c r="Z124" i="1"/>
  <c r="V124" i="1"/>
  <c r="AL124" i="1" s="1"/>
  <c r="AL129" i="1"/>
  <c r="AL130" i="1"/>
  <c r="AL32" i="1"/>
  <c r="AL41" i="1"/>
  <c r="V50" i="1"/>
  <c r="AL50" i="1" s="1"/>
  <c r="AL62" i="1"/>
  <c r="AL70" i="1"/>
  <c r="V75" i="1"/>
  <c r="AL75" i="1" s="1"/>
  <c r="V87" i="1"/>
  <c r="AL87" i="1" s="1"/>
  <c r="AL92" i="1"/>
  <c r="V106" i="1"/>
  <c r="AL106" i="1" s="1"/>
  <c r="AL113" i="1"/>
  <c r="V127" i="1"/>
  <c r="AL127" i="1" s="1"/>
  <c r="Y77" i="1"/>
  <c r="Y82" i="1"/>
  <c r="Y101" i="1"/>
  <c r="Y115" i="1"/>
  <c r="Y126" i="1"/>
  <c r="V81" i="1"/>
  <c r="AL83" i="1"/>
  <c r="Y9" i="1"/>
  <c r="Y14" i="1"/>
  <c r="Y18" i="1"/>
  <c r="Y20" i="1"/>
  <c r="Y24" i="1"/>
  <c r="Y28" i="1"/>
  <c r="Y30" i="1"/>
  <c r="Y37" i="1"/>
  <c r="Y39" i="1"/>
  <c r="Y45" i="1"/>
  <c r="Y52" i="1"/>
  <c r="Y54" i="1"/>
  <c r="Y56" i="1"/>
  <c r="Y64" i="1"/>
  <c r="Y66" i="1"/>
  <c r="Y72" i="1"/>
  <c r="Y80" i="1"/>
  <c r="Y90" i="1"/>
  <c r="Y97" i="1"/>
  <c r="Y109" i="1"/>
  <c r="Y118" i="1"/>
  <c r="Y121" i="1"/>
  <c r="Y123" i="1"/>
  <c r="Y125" i="1"/>
  <c r="L5" i="1"/>
  <c r="U58" i="1"/>
  <c r="AL58" i="1" s="1"/>
  <c r="Y12" i="1"/>
  <c r="Y23" i="1"/>
  <c r="Y26" i="1"/>
  <c r="Y29" i="1"/>
  <c r="Y33" i="1"/>
  <c r="Y38" i="1"/>
  <c r="Y46" i="1"/>
  <c r="Y49" i="1"/>
  <c r="Y61" i="1"/>
  <c r="Y65" i="1"/>
  <c r="Y69" i="1"/>
  <c r="Y73" i="1"/>
  <c r="Y83" i="1"/>
  <c r="Z85" i="1"/>
  <c r="Y93" i="1"/>
  <c r="Z101" i="1"/>
  <c r="Y102" i="1"/>
  <c r="Y104" i="1"/>
  <c r="Y107" i="1"/>
  <c r="Z113" i="1"/>
  <c r="Y114" i="1"/>
  <c r="Z115" i="1"/>
  <c r="Y116" i="1"/>
  <c r="Z121" i="1"/>
  <c r="Y122" i="1"/>
  <c r="Z123" i="1"/>
  <c r="Z125" i="1"/>
  <c r="Y131" i="1"/>
  <c r="Y134" i="1"/>
  <c r="Y7" i="1"/>
  <c r="Z7" i="1"/>
  <c r="Z9" i="1"/>
  <c r="Z11" i="1"/>
  <c r="Y22" i="1"/>
  <c r="Z22" i="1"/>
  <c r="Z24" i="1"/>
  <c r="Z28" i="1"/>
  <c r="Z30" i="1"/>
  <c r="Z32" i="1"/>
  <c r="Z34" i="1"/>
  <c r="Z35" i="1"/>
  <c r="Z37" i="1"/>
  <c r="Z39" i="1"/>
  <c r="Z41" i="1"/>
  <c r="Z43" i="1"/>
  <c r="Z45" i="1"/>
  <c r="Z48" i="1"/>
  <c r="Z50" i="1"/>
  <c r="Z60" i="1"/>
  <c r="Z62" i="1"/>
  <c r="Z64" i="1"/>
  <c r="Z66" i="1"/>
  <c r="Z68" i="1"/>
  <c r="Z70" i="1"/>
  <c r="Z72" i="1"/>
  <c r="Z80" i="1"/>
  <c r="Z82" i="1"/>
  <c r="Z84" i="1"/>
  <c r="Z86" i="1"/>
  <c r="Z90" i="1"/>
  <c r="Z92" i="1"/>
  <c r="Z100" i="1"/>
  <c r="Z106" i="1"/>
  <c r="Z112" i="1"/>
  <c r="Z118" i="1"/>
  <c r="Z120" i="1"/>
  <c r="Z126" i="1"/>
  <c r="Z128" i="1"/>
  <c r="Z130" i="1"/>
  <c r="Z132" i="1"/>
  <c r="Y58" i="1" l="1"/>
  <c r="Y62" i="1"/>
  <c r="Y41" i="1"/>
  <c r="Y95" i="1"/>
  <c r="Y130" i="1"/>
  <c r="Y8" i="1"/>
  <c r="Y92" i="1"/>
  <c r="AL117" i="1"/>
  <c r="Y117" i="1"/>
  <c r="AL96" i="1"/>
  <c r="Y96" i="1"/>
  <c r="AL81" i="1"/>
  <c r="Y81" i="1"/>
  <c r="AL76" i="1"/>
  <c r="Y76" i="1"/>
  <c r="AL74" i="1"/>
  <c r="Y74" i="1"/>
  <c r="AL59" i="1"/>
  <c r="Y59" i="1"/>
  <c r="AL55" i="1"/>
  <c r="Y55" i="1"/>
  <c r="AL44" i="1"/>
  <c r="Y44" i="1"/>
  <c r="AL27" i="1"/>
  <c r="Y27" i="1"/>
  <c r="AL10" i="1"/>
  <c r="Y10" i="1"/>
  <c r="Y6" i="1"/>
  <c r="V5" i="1"/>
  <c r="AL6" i="1"/>
  <c r="Y94" i="1"/>
  <c r="AL94" i="1"/>
  <c r="Y87" i="1"/>
  <c r="Y63" i="1"/>
  <c r="AL63" i="1"/>
  <c r="Y47" i="1"/>
  <c r="AL47" i="1"/>
  <c r="Y31" i="1"/>
  <c r="AL31" i="1"/>
  <c r="Y19" i="1"/>
  <c r="AL19" i="1"/>
  <c r="Y15" i="1"/>
  <c r="AL15" i="1"/>
  <c r="Z58" i="1"/>
  <c r="U5" i="1"/>
  <c r="Y127" i="1"/>
  <c r="Y124" i="1"/>
  <c r="Y119" i="1"/>
  <c r="Y42" i="1"/>
  <c r="Y16" i="1"/>
  <c r="AL110" i="1"/>
  <c r="Y110" i="1"/>
  <c r="AL78" i="1"/>
  <c r="Y78" i="1"/>
  <c r="Y105" i="1"/>
  <c r="AL105" i="1"/>
  <c r="Y98" i="1"/>
  <c r="AL98" i="1"/>
  <c r="Y91" i="1"/>
  <c r="AL91" i="1"/>
  <c r="Y88" i="1"/>
  <c r="AL88" i="1"/>
  <c r="Y75" i="1"/>
  <c r="AL67" i="1"/>
  <c r="Y67" i="1"/>
  <c r="AL51" i="1"/>
  <c r="Y51" i="1"/>
  <c r="Y50" i="1"/>
  <c r="AL36" i="1"/>
  <c r="Y36" i="1"/>
  <c r="AL21" i="1"/>
  <c r="Y21" i="1"/>
  <c r="AL17" i="1"/>
  <c r="Y17" i="1"/>
  <c r="AL13" i="1"/>
  <c r="Y13" i="1"/>
  <c r="Y108" i="1"/>
  <c r="AL108" i="1"/>
  <c r="Y106" i="1"/>
  <c r="Y71" i="1"/>
  <c r="AL71" i="1"/>
  <c r="Y70" i="1"/>
  <c r="Y57" i="1"/>
  <c r="AL57" i="1"/>
  <c r="Y53" i="1"/>
  <c r="AL53" i="1"/>
  <c r="Y48" i="1"/>
  <c r="Y40" i="1"/>
  <c r="AL40" i="1"/>
  <c r="Y32" i="1"/>
  <c r="AL5" i="1" l="1"/>
</calcChain>
</file>

<file path=xl/sharedStrings.xml><?xml version="1.0" encoding="utf-8"?>
<sst xmlns="http://schemas.openxmlformats.org/spreadsheetml/2006/main" count="523" uniqueCount="195">
  <si>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</si>
  <si>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</si>
  <si>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</si>
  <si>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</si>
  <si>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</si>
  <si>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</si>
  <si>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</si>
  <si>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</si>
  <si>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</si>
  <si>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</si>
  <si>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</si>
  <si>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</si>
  <si>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</si>
  <si>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</si>
  <si>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</si>
  <si>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</si>
  <si>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</si>
  <si>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</si>
  <si>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</si>
  <si>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</si>
  <si>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</si>
  <si>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</si>
  <si>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12,09,</t>
  </si>
  <si>
    <t>12,09,недогр</t>
  </si>
  <si>
    <t>12,09,доз</t>
  </si>
  <si>
    <t>14,09,</t>
  </si>
  <si>
    <t>14,09,недогр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</si>
  <si>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</si>
  <si>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</si>
  <si>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</si>
  <si>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</si>
  <si>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</si>
  <si>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</si>
  <si>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</si>
  <si>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</si>
  <si>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</si>
  <si>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</si>
  <si>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</si>
  <si>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</si>
  <si>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</si>
  <si>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</si>
  <si>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</si>
  <si>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</si>
  <si>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</si>
  <si>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</si>
  <si>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</si>
  <si>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</si>
  <si>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</si>
  <si>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</si>
  <si>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</si>
  <si>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</si>
  <si>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</si>
  <si>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</si>
  <si>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</si>
  <si>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</si>
  <si>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</si>
  <si>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</si>
  <si>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</si>
  <si>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</si>
  <si>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</si>
  <si>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</si>
  <si>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</si>
  <si>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</si>
  <si>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</si>
  <si>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</si>
  <si>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</si>
  <si>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</si>
  <si>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</si>
  <si>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</si>
  <si>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</si>
  <si>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</si>
  <si>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</si>
  <si>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</si>
  <si>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</si>
  <si>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</si>
  <si>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</si>
  <si>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</si>
  <si>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</si>
  <si>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</si>
  <si>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нужно увеличить продажи!!!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</si>
  <si>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</si>
  <si>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</si>
  <si>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</si>
  <si>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</si>
  <si>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</si>
  <si>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</si>
  <si>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</si>
  <si>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</si>
  <si>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</si>
  <si>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</si>
  <si>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</si>
  <si>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</si>
  <si>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</si>
  <si>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</si>
  <si>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</si>
  <si>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</si>
  <si>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</si>
  <si>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</si>
  <si>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</si>
  <si>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</si>
  <si>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</si>
  <si>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>нужно увеличить продажи / ПРОМО сентябрь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</si>
  <si>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</si>
  <si>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</si>
  <si>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</si>
  <si>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</si>
  <si>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</si>
  <si>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</si>
  <si>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</si>
  <si>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задача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</si>
  <si>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</si>
  <si>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</si>
  <si>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</si>
  <si>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</si>
  <si>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</si>
  <si>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</si>
  <si>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</si>
  <si>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</si>
  <si>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</si>
  <si>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</si>
  <si>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</si>
  <si>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</si>
  <si>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</si>
  <si>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</si>
  <si>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</si>
  <si>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</si>
  <si>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</si>
  <si>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</si>
  <si>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</si>
  <si>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</si>
  <si>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</si>
  <si>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</si>
  <si>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</si>
  <si>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</si>
  <si>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</si>
  <si>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</si>
  <si>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</si>
  <si>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</si>
  <si>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</si>
  <si>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</si>
  <si>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</si>
  <si>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</si>
  <si>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</si>
  <si>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</si>
  <si>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</si>
  <si>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</si>
  <si>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</si>
  <si>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</si>
  <si>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</si>
  <si>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</si>
  <si>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</si>
  <si>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</si>
  <si>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</si>
  <si>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</si>
  <si>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</si>
  <si>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</si>
  <si>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</si>
  <si>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</si>
  <si>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</si>
  <si>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</si>
  <si>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</si>
  <si>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</si>
  <si>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</si>
  <si>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</si>
  <si>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</si>
  <si>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</si>
  <si>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</si>
  <si>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</si>
  <si>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</si>
  <si>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</si>
  <si>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</si>
  <si>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</si>
  <si>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</si>
  <si>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</si>
  <si>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</si>
  <si>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</si>
  <si>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</si>
  <si>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</si>
  <si>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</si>
  <si>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</si>
  <si>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</si>
  <si>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</si>
  <si>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</si>
  <si>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</si>
  <si>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нужно увеличить продажу</t>
  </si>
  <si>
    <t>Промо, сроки большие.</t>
  </si>
  <si>
    <t>Не хватка.</t>
  </si>
  <si>
    <t>Сроки большие, так же по данной позиции спрос т.к. постоянные перебои электроснабжения</t>
  </si>
  <si>
    <t>Спрос.</t>
  </si>
  <si>
    <t>Промо.</t>
  </si>
  <si>
    <t>Не хватка, сроки большие</t>
  </si>
  <si>
    <t>Не хватка</t>
  </si>
  <si>
    <t>Сроки хорошие.</t>
  </si>
  <si>
    <t>Не хватка, в хорошие периоды расход был 250кг, завод вроде как начал по тихоньку данные позиции отдавать поэтому прошу попробовать заказать в данном кол-ве, т.к. теряем полку по ПОЛУКОПУ.</t>
  </si>
  <si>
    <t>Не хватка, в хорошие периоды расход был 250шт, завод вроде как начал по тихоньку данные позиции отдавать поэтому прошу попробовать заказать в данном кол-ве, т.к. теряем полку по ПОЛУКОПУ.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</si>
</sst>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7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99"/>
  <sheetViews>
    <sheetView tabSelected="1" zoomScale="85" workbookViewId="0">
      <pane xSplit="2" ySplit="5" topLeftCell="F6" activePane="bottomRight" state="frozen"/>
      <selection pane="topRight"/>
      <selection pane="bottomLeft"/>
      <selection pane="bottomRight" activeCell="L14" sqref="L14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53125" customWidth="1"/>
    <col min="15" max="22" width="7" customWidth="1"/>
    <col min="23" max="23" width="7" style="18" customWidth="1"/>
    <col min="24" max="24" width="20.54296875" style="18" bestFit="1" customWidth="1"/>
    <col min="25" max="26" width="5" customWidth="1"/>
    <col min="27" max="36" width="6" customWidth="1"/>
    <col min="37" max="37" width="35.453125" customWidth="1"/>
    <col min="38" max="38" width="7" customWidth="1"/>
    <col min="39" max="48" width="3" customWidth="1"/>
  </cols>
  <sheetData>
    <row r="1" spans="1:48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/>
      <c r="X3" s="3"/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27</v>
      </c>
      <c r="V4" s="1"/>
      <c r="W4" s="1"/>
      <c r="X4" s="1"/>
      <c r="Y4" s="1"/>
      <c r="Z4" s="1"/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35">
      <c r="A5" s="1"/>
      <c r="B5" s="1"/>
      <c r="C5" s="1"/>
      <c r="D5" s="1"/>
      <c r="E5" s="4">
        <f>SUM(E6:E499)</f>
        <v>21825.992000000002</v>
      </c>
      <c r="F5" s="4">
        <f>SUM(F6:F499)</f>
        <v>12836.149000000001</v>
      </c>
      <c r="G5" s="7"/>
      <c r="H5" s="1"/>
      <c r="I5" s="1"/>
      <c r="J5" s="1"/>
      <c r="K5" s="4">
        <f t="shared" ref="K5:V5" si="0">SUM(K6:K499)</f>
        <v>23491.195999999996</v>
      </c>
      <c r="L5" s="4">
        <f t="shared" si="0"/>
        <v>-1665.2040000000002</v>
      </c>
      <c r="M5" s="4">
        <f t="shared" si="0"/>
        <v>0</v>
      </c>
      <c r="N5" s="4">
        <f t="shared" si="0"/>
        <v>0</v>
      </c>
      <c r="O5" s="4">
        <f t="shared" si="0"/>
        <v>20686.057696</v>
      </c>
      <c r="P5" s="4">
        <f t="shared" si="0"/>
        <v>-947.4</v>
      </c>
      <c r="Q5" s="4">
        <f t="shared" si="0"/>
        <v>670</v>
      </c>
      <c r="R5" s="4">
        <f t="shared" si="0"/>
        <v>11045.074408799999</v>
      </c>
      <c r="S5" s="4">
        <f t="shared" si="0"/>
        <v>-833.90000000000009</v>
      </c>
      <c r="T5" s="4">
        <f t="shared" si="0"/>
        <v>7020.7382152000009</v>
      </c>
      <c r="U5" s="4">
        <f t="shared" si="0"/>
        <v>4365.1984000000002</v>
      </c>
      <c r="V5" s="4">
        <f t="shared" si="0"/>
        <v>5588.185607999998</v>
      </c>
      <c r="W5" s="4"/>
      <c r="X5" s="4"/>
      <c r="Y5" s="1"/>
      <c r="Z5" s="1"/>
      <c r="AA5" s="4">
        <f t="shared" ref="AA5:AJ5" si="1">SUM(AA6:AA499)</f>
        <v>4688.8759999999993</v>
      </c>
      <c r="AB5" s="4">
        <f t="shared" si="1"/>
        <v>4508.2022000000024</v>
      </c>
      <c r="AC5" s="4">
        <f t="shared" si="1"/>
        <v>3139.2097999999987</v>
      </c>
      <c r="AD5" s="4">
        <f t="shared" si="1"/>
        <v>2557.4352000000008</v>
      </c>
      <c r="AE5" s="4">
        <f t="shared" si="1"/>
        <v>3687.9288000000001</v>
      </c>
      <c r="AF5" s="4">
        <f t="shared" si="1"/>
        <v>4635.2076000000015</v>
      </c>
      <c r="AG5" s="4">
        <f t="shared" si="1"/>
        <v>4207.7697999999991</v>
      </c>
      <c r="AH5" s="4">
        <f t="shared" si="1"/>
        <v>3443.0367999999989</v>
      </c>
      <c r="AI5" s="4">
        <f t="shared" si="1"/>
        <v>3963.5633999999986</v>
      </c>
      <c r="AJ5" s="4">
        <f t="shared" si="1"/>
        <v>3762.9608000000012</v>
      </c>
      <c r="AK5" s="1"/>
      <c r="AL5" s="4">
        <f>SUM(AL6:AL499)</f>
        <v>4039.6076079999989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35">
      <c r="A6" s="1" t="s">
        <v>38</v>
      </c>
      <c r="B6" s="1" t="s">
        <v>39</v>
      </c>
      <c r="C6" s="1">
        <v>368.71699999999998</v>
      </c>
      <c r="D6" s="1">
        <v>182.86600000000001</v>
      </c>
      <c r="E6" s="1">
        <v>235.37799999999999</v>
      </c>
      <c r="F6" s="1">
        <v>110.748</v>
      </c>
      <c r="G6" s="7">
        <v>1</v>
      </c>
      <c r="H6" s="1">
        <v>50</v>
      </c>
      <c r="I6" s="1" t="s">
        <v>40</v>
      </c>
      <c r="J6" s="1"/>
      <c r="K6" s="1">
        <v>221.2</v>
      </c>
      <c r="L6" s="1">
        <f t="shared" ref="L6:L37" si="2">E6-K6</f>
        <v>14.177999999999997</v>
      </c>
      <c r="M6" s="1"/>
      <c r="N6" s="1"/>
      <c r="O6" s="1">
        <v>250</v>
      </c>
      <c r="P6" s="1"/>
      <c r="Q6" s="1"/>
      <c r="R6" s="1">
        <v>48.384800000000041</v>
      </c>
      <c r="S6" s="1"/>
      <c r="T6" s="1">
        <v>50</v>
      </c>
      <c r="U6" s="1">
        <f t="shared" ref="U6:U37" si="3">E6/5</f>
        <v>47.075599999999994</v>
      </c>
      <c r="V6" s="5">
        <f>11*U6-T6-S6-R6-Q6-P6-O6-F6</f>
        <v>58.698799999999935</v>
      </c>
      <c r="W6" s="19">
        <v>300</v>
      </c>
      <c r="X6" s="19" t="s">
        <v>185</v>
      </c>
      <c r="Y6" s="1">
        <f t="shared" ref="Y6:Y37" si="4">(F6+O6+P6+Q6+R6+S6+T6+V6)/U6</f>
        <v>11.000000000000002</v>
      </c>
      <c r="Z6" s="1">
        <f t="shared" ref="Z6:Z37" si="5">(F6+O6+P6+Q6+R6+S6+T6)/U6</f>
        <v>9.7530950216247927</v>
      </c>
      <c r="AA6" s="1">
        <v>50.8294</v>
      </c>
      <c r="AB6" s="1">
        <v>44.6526</v>
      </c>
      <c r="AC6" s="1">
        <v>29.516400000000001</v>
      </c>
      <c r="AD6" s="1">
        <v>27.771999999999998</v>
      </c>
      <c r="AE6" s="1">
        <v>46.390599999999999</v>
      </c>
      <c r="AF6" s="1">
        <v>62.169199999999996</v>
      </c>
      <c r="AG6" s="1">
        <v>46.914400000000001</v>
      </c>
      <c r="AH6" s="1">
        <v>34.5426</v>
      </c>
      <c r="AI6" s="1">
        <v>43.8718</v>
      </c>
      <c r="AJ6" s="1">
        <v>37.962800000000001</v>
      </c>
      <c r="AK6" s="1"/>
      <c r="AL6" s="1">
        <f t="shared" ref="AL6:AL11" si="6">G6*V6</f>
        <v>58.698799999999935</v>
      </c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35">
      <c r="A7" s="1" t="s">
        <v>41</v>
      </c>
      <c r="B7" s="1" t="s">
        <v>39</v>
      </c>
      <c r="C7" s="1">
        <v>706.29499999999996</v>
      </c>
      <c r="D7" s="1">
        <v>1188.0809999999999</v>
      </c>
      <c r="E7" s="1">
        <v>696.755</v>
      </c>
      <c r="F7" s="1">
        <v>530.82299999999998</v>
      </c>
      <c r="G7" s="7">
        <v>1</v>
      </c>
      <c r="H7" s="1">
        <v>45</v>
      </c>
      <c r="I7" s="1" t="s">
        <v>40</v>
      </c>
      <c r="J7" s="1"/>
      <c r="K7" s="1">
        <v>679.01</v>
      </c>
      <c r="L7" s="1">
        <f t="shared" si="2"/>
        <v>17.745000000000005</v>
      </c>
      <c r="M7" s="1"/>
      <c r="N7" s="1"/>
      <c r="O7" s="1">
        <v>900</v>
      </c>
      <c r="P7" s="1"/>
      <c r="Q7" s="1"/>
      <c r="R7" s="1"/>
      <c r="S7" s="1"/>
      <c r="T7" s="1">
        <v>150</v>
      </c>
      <c r="U7" s="1">
        <f t="shared" si="3"/>
        <v>139.351</v>
      </c>
      <c r="V7" s="5"/>
      <c r="W7" s="16"/>
      <c r="X7" s="16"/>
      <c r="Y7" s="1">
        <f t="shared" si="4"/>
        <v>11.344181240177679</v>
      </c>
      <c r="Z7" s="1">
        <f t="shared" si="5"/>
        <v>11.344181240177679</v>
      </c>
      <c r="AA7" s="1">
        <v>154.07919999999999</v>
      </c>
      <c r="AB7" s="1">
        <v>164.6078</v>
      </c>
      <c r="AC7" s="1">
        <v>132.37119999999999</v>
      </c>
      <c r="AD7" s="1">
        <v>119.9396</v>
      </c>
      <c r="AE7" s="1">
        <v>148.16139999999999</v>
      </c>
      <c r="AF7" s="1">
        <v>172.14420000000001</v>
      </c>
      <c r="AG7" s="1">
        <v>171.35</v>
      </c>
      <c r="AH7" s="1">
        <v>161.2954</v>
      </c>
      <c r="AI7" s="1">
        <v>174.07939999999999</v>
      </c>
      <c r="AJ7" s="1">
        <v>156.54300000000001</v>
      </c>
      <c r="AK7" s="1"/>
      <c r="AL7" s="1">
        <f t="shared" si="6"/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35">
      <c r="A8" s="1" t="s">
        <v>42</v>
      </c>
      <c r="B8" s="1" t="s">
        <v>39</v>
      </c>
      <c r="C8" s="1">
        <v>818.56799999999998</v>
      </c>
      <c r="D8" s="1">
        <v>983.048</v>
      </c>
      <c r="E8" s="1">
        <v>689.13199999999995</v>
      </c>
      <c r="F8" s="1">
        <v>427.94400000000002</v>
      </c>
      <c r="G8" s="7">
        <v>1</v>
      </c>
      <c r="H8" s="1">
        <v>45</v>
      </c>
      <c r="I8" s="1" t="s">
        <v>40</v>
      </c>
      <c r="J8" s="1"/>
      <c r="K8" s="1">
        <v>674.09699999999998</v>
      </c>
      <c r="L8" s="1">
        <f t="shared" si="2"/>
        <v>15.034999999999968</v>
      </c>
      <c r="M8" s="1"/>
      <c r="N8" s="1"/>
      <c r="O8" s="1">
        <v>1000</v>
      </c>
      <c r="P8" s="1"/>
      <c r="Q8" s="1"/>
      <c r="R8" s="1"/>
      <c r="S8" s="1"/>
      <c r="T8" s="1">
        <v>150</v>
      </c>
      <c r="U8" s="1">
        <f t="shared" si="3"/>
        <v>137.82639999999998</v>
      </c>
      <c r="V8" s="5"/>
      <c r="W8" s="16"/>
      <c r="X8" s="16"/>
      <c r="Y8" s="1">
        <f t="shared" si="4"/>
        <v>11.448779043782615</v>
      </c>
      <c r="Z8" s="1">
        <f t="shared" si="5"/>
        <v>11.448779043782615</v>
      </c>
      <c r="AA8" s="1">
        <v>161.33359999999999</v>
      </c>
      <c r="AB8" s="1">
        <v>169.9598</v>
      </c>
      <c r="AC8" s="1">
        <v>134.94839999999999</v>
      </c>
      <c r="AD8" s="1">
        <v>134.37119999999999</v>
      </c>
      <c r="AE8" s="1">
        <v>157.68879999999999</v>
      </c>
      <c r="AF8" s="1">
        <v>164.05779999999999</v>
      </c>
      <c r="AG8" s="1">
        <v>176.13800000000001</v>
      </c>
      <c r="AH8" s="1">
        <v>166.39340000000001</v>
      </c>
      <c r="AI8" s="1">
        <v>154.95760000000001</v>
      </c>
      <c r="AJ8" s="1">
        <v>140.4342</v>
      </c>
      <c r="AK8" s="1"/>
      <c r="AL8" s="1">
        <f t="shared" si="6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35">
      <c r="A9" s="1" t="s">
        <v>43</v>
      </c>
      <c r="B9" s="1" t="s">
        <v>44</v>
      </c>
      <c r="C9" s="1">
        <v>-1</v>
      </c>
      <c r="D9" s="1">
        <v>71</v>
      </c>
      <c r="E9" s="1">
        <v>12</v>
      </c>
      <c r="F9" s="1">
        <v>48</v>
      </c>
      <c r="G9" s="7">
        <v>0.4</v>
      </c>
      <c r="H9" s="1">
        <v>50</v>
      </c>
      <c r="I9" s="1" t="s">
        <v>40</v>
      </c>
      <c r="J9" s="1"/>
      <c r="K9" s="1">
        <v>12</v>
      </c>
      <c r="L9" s="1">
        <f t="shared" si="2"/>
        <v>0</v>
      </c>
      <c r="M9" s="1"/>
      <c r="N9" s="1"/>
      <c r="O9" s="1">
        <v>37.6</v>
      </c>
      <c r="P9" s="1"/>
      <c r="Q9" s="1"/>
      <c r="R9" s="1">
        <v>0</v>
      </c>
      <c r="S9" s="1"/>
      <c r="T9" s="1"/>
      <c r="U9" s="1">
        <f t="shared" si="3"/>
        <v>2.4</v>
      </c>
      <c r="V9" s="5"/>
      <c r="W9" s="16"/>
      <c r="X9" s="16"/>
      <c r="Y9" s="1">
        <f t="shared" si="4"/>
        <v>35.666666666666664</v>
      </c>
      <c r="Z9" s="1">
        <f t="shared" si="5"/>
        <v>35.666666666666664</v>
      </c>
      <c r="AA9" s="1">
        <v>1.6</v>
      </c>
      <c r="AB9" s="1">
        <v>8</v>
      </c>
      <c r="AC9" s="1">
        <v>6.8</v>
      </c>
      <c r="AD9" s="1">
        <v>0.4</v>
      </c>
      <c r="AE9" s="1">
        <v>0.4</v>
      </c>
      <c r="AF9" s="1">
        <v>2.6</v>
      </c>
      <c r="AG9" s="1">
        <v>6.2</v>
      </c>
      <c r="AH9" s="1">
        <v>4.5999999999999996</v>
      </c>
      <c r="AI9" s="1">
        <v>2</v>
      </c>
      <c r="AJ9" s="1">
        <v>2.6</v>
      </c>
      <c r="AK9" s="1" t="s">
        <v>45</v>
      </c>
      <c r="AL9" s="1">
        <f t="shared" si="6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35">
      <c r="A10" s="1" t="s">
        <v>46</v>
      </c>
      <c r="B10" s="1" t="s">
        <v>44</v>
      </c>
      <c r="C10" s="1">
        <v>309</v>
      </c>
      <c r="D10" s="1">
        <v>415</v>
      </c>
      <c r="E10" s="1">
        <v>369</v>
      </c>
      <c r="F10" s="1">
        <v>7</v>
      </c>
      <c r="G10" s="7">
        <v>0.45</v>
      </c>
      <c r="H10" s="1">
        <v>45</v>
      </c>
      <c r="I10" s="1" t="s">
        <v>40</v>
      </c>
      <c r="J10" s="1"/>
      <c r="K10" s="1">
        <v>379</v>
      </c>
      <c r="L10" s="1">
        <f t="shared" si="2"/>
        <v>-10</v>
      </c>
      <c r="M10" s="1"/>
      <c r="N10" s="1"/>
      <c r="O10" s="1">
        <v>450</v>
      </c>
      <c r="P10" s="1"/>
      <c r="Q10" s="1"/>
      <c r="R10" s="1">
        <v>200</v>
      </c>
      <c r="S10" s="1"/>
      <c r="T10" s="1">
        <v>200.8663039999999</v>
      </c>
      <c r="U10" s="1">
        <f t="shared" si="3"/>
        <v>73.8</v>
      </c>
      <c r="V10" s="5"/>
      <c r="W10" s="19">
        <v>150</v>
      </c>
      <c r="X10" s="19" t="s">
        <v>186</v>
      </c>
      <c r="Y10" s="1">
        <f t="shared" si="4"/>
        <v>11.624204661246612</v>
      </c>
      <c r="Z10" s="1">
        <f t="shared" si="5"/>
        <v>11.624204661246612</v>
      </c>
      <c r="AA10" s="1">
        <v>77.599999999999994</v>
      </c>
      <c r="AB10" s="1">
        <v>67.2</v>
      </c>
      <c r="AC10" s="1">
        <v>41.6</v>
      </c>
      <c r="AD10" s="1">
        <v>45.2</v>
      </c>
      <c r="AE10" s="1">
        <v>39.6</v>
      </c>
      <c r="AF10" s="1">
        <v>42.2</v>
      </c>
      <c r="AG10" s="1">
        <v>64.599999999999994</v>
      </c>
      <c r="AH10" s="1">
        <v>52.4</v>
      </c>
      <c r="AI10" s="1">
        <v>54.8</v>
      </c>
      <c r="AJ10" s="1">
        <v>47.6</v>
      </c>
      <c r="AK10" s="1"/>
      <c r="AL10" s="1">
        <f t="shared" si="6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35">
      <c r="A11" s="1" t="s">
        <v>47</v>
      </c>
      <c r="B11" s="1" t="s">
        <v>44</v>
      </c>
      <c r="C11" s="1">
        <v>275</v>
      </c>
      <c r="D11" s="1">
        <v>263</v>
      </c>
      <c r="E11" s="1">
        <v>273</v>
      </c>
      <c r="F11" s="1"/>
      <c r="G11" s="7">
        <v>0.45</v>
      </c>
      <c r="H11" s="1">
        <v>45</v>
      </c>
      <c r="I11" s="1" t="s">
        <v>40</v>
      </c>
      <c r="J11" s="1"/>
      <c r="K11" s="1">
        <v>357</v>
      </c>
      <c r="L11" s="1">
        <f t="shared" si="2"/>
        <v>-84</v>
      </c>
      <c r="M11" s="1"/>
      <c r="N11" s="1"/>
      <c r="O11" s="1">
        <v>531.19999999999993</v>
      </c>
      <c r="P11" s="1"/>
      <c r="Q11" s="1"/>
      <c r="R11" s="1">
        <v>250</v>
      </c>
      <c r="S11" s="1"/>
      <c r="T11" s="1">
        <v>280.00080000000003</v>
      </c>
      <c r="U11" s="1">
        <f t="shared" si="3"/>
        <v>54.6</v>
      </c>
      <c r="V11" s="5"/>
      <c r="W11" s="19">
        <v>100</v>
      </c>
      <c r="X11" s="19" t="s">
        <v>186</v>
      </c>
      <c r="Y11" s="1">
        <f t="shared" si="4"/>
        <v>19.43591208791209</v>
      </c>
      <c r="Z11" s="1">
        <f t="shared" si="5"/>
        <v>19.43591208791209</v>
      </c>
      <c r="AA11" s="1">
        <v>99.6</v>
      </c>
      <c r="AB11" s="1">
        <v>87.8</v>
      </c>
      <c r="AC11" s="1">
        <v>37.6</v>
      </c>
      <c r="AD11" s="1">
        <v>38.200000000000003</v>
      </c>
      <c r="AE11" s="1">
        <v>44.6</v>
      </c>
      <c r="AF11" s="1">
        <v>39.4</v>
      </c>
      <c r="AG11" s="1">
        <v>82.8</v>
      </c>
      <c r="AH11" s="1">
        <v>80.599999999999994</v>
      </c>
      <c r="AI11" s="1">
        <v>70</v>
      </c>
      <c r="AJ11" s="1">
        <v>63.8</v>
      </c>
      <c r="AK11" s="1" t="s">
        <v>48</v>
      </c>
      <c r="AL11" s="1">
        <f t="shared" si="6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35">
      <c r="A12" s="10" t="s">
        <v>49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/>
      <c r="U12" s="10">
        <f t="shared" si="3"/>
        <v>0</v>
      </c>
      <c r="V12" s="12"/>
      <c r="W12" s="17"/>
      <c r="X12" s="17"/>
      <c r="Y12" s="10" t="e">
        <f t="shared" si="4"/>
        <v>#DIV/0!</v>
      </c>
      <c r="Z12" s="10" t="e">
        <f t="shared" si="5"/>
        <v>#DIV/0!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 t="s">
        <v>50</v>
      </c>
      <c r="AL12" s="10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35">
      <c r="A13" s="1" t="s">
        <v>51</v>
      </c>
      <c r="B13" s="1" t="s">
        <v>44</v>
      </c>
      <c r="C13" s="1">
        <v>50</v>
      </c>
      <c r="D13" s="1">
        <v>178</v>
      </c>
      <c r="E13" s="1">
        <v>62</v>
      </c>
      <c r="F13" s="1">
        <v>60</v>
      </c>
      <c r="G13" s="7">
        <v>0.3</v>
      </c>
      <c r="H13" s="1">
        <v>40</v>
      </c>
      <c r="I13" s="9" t="s">
        <v>52</v>
      </c>
      <c r="J13" s="1"/>
      <c r="K13" s="1">
        <v>95</v>
      </c>
      <c r="L13" s="1">
        <f t="shared" si="2"/>
        <v>-33</v>
      </c>
      <c r="M13" s="1"/>
      <c r="N13" s="1"/>
      <c r="O13" s="1">
        <v>31.400000000000009</v>
      </c>
      <c r="P13" s="1"/>
      <c r="Q13" s="1"/>
      <c r="R13" s="1">
        <v>9.2000000000000171</v>
      </c>
      <c r="S13" s="1"/>
      <c r="T13" s="1"/>
      <c r="U13" s="1">
        <f t="shared" si="3"/>
        <v>12.4</v>
      </c>
      <c r="V13" s="5">
        <f t="shared" ref="V13:V22" si="7">11*U13-T13-S13-R13-Q13-P13-O13-F13</f>
        <v>35.799999999999983</v>
      </c>
      <c r="W13" s="19">
        <v>60</v>
      </c>
      <c r="X13" s="19" t="s">
        <v>186</v>
      </c>
      <c r="Y13" s="1">
        <f t="shared" si="4"/>
        <v>11</v>
      </c>
      <c r="Z13" s="1">
        <f t="shared" si="5"/>
        <v>8.1129032258064537</v>
      </c>
      <c r="AA13" s="1">
        <v>10.8</v>
      </c>
      <c r="AB13" s="1">
        <v>13.4</v>
      </c>
      <c r="AC13" s="1">
        <v>10.6</v>
      </c>
      <c r="AD13" s="1">
        <v>3</v>
      </c>
      <c r="AE13" s="1">
        <v>16.8</v>
      </c>
      <c r="AF13" s="1">
        <v>27</v>
      </c>
      <c r="AG13" s="1">
        <v>25</v>
      </c>
      <c r="AH13" s="1">
        <v>19.399999999999999</v>
      </c>
      <c r="AI13" s="1">
        <v>21.6</v>
      </c>
      <c r="AJ13" s="1">
        <v>19.8</v>
      </c>
      <c r="AK13" s="1"/>
      <c r="AL13" s="1">
        <f t="shared" ref="AL13:AL24" si="8">G13*V13</f>
        <v>10.739999999999995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35">
      <c r="A14" s="1" t="s">
        <v>53</v>
      </c>
      <c r="B14" s="1" t="s">
        <v>44</v>
      </c>
      <c r="C14" s="1">
        <v>402</v>
      </c>
      <c r="D14" s="1">
        <v>76</v>
      </c>
      <c r="E14" s="1">
        <v>188</v>
      </c>
      <c r="F14" s="1">
        <v>197</v>
      </c>
      <c r="G14" s="7">
        <v>0.17</v>
      </c>
      <c r="H14" s="1">
        <v>180</v>
      </c>
      <c r="I14" s="1" t="s">
        <v>40</v>
      </c>
      <c r="J14" s="1"/>
      <c r="K14" s="1">
        <v>188</v>
      </c>
      <c r="L14" s="1">
        <f t="shared" si="2"/>
        <v>0</v>
      </c>
      <c r="M14" s="1"/>
      <c r="N14" s="1"/>
      <c r="O14" s="1">
        <v>0</v>
      </c>
      <c r="P14" s="1"/>
      <c r="Q14" s="1"/>
      <c r="R14" s="1">
        <v>86</v>
      </c>
      <c r="S14" s="1"/>
      <c r="T14" s="1"/>
      <c r="U14" s="1">
        <f t="shared" si="3"/>
        <v>37.6</v>
      </c>
      <c r="V14" s="5">
        <f t="shared" si="7"/>
        <v>130.60000000000002</v>
      </c>
      <c r="W14" s="19">
        <v>200</v>
      </c>
      <c r="X14" s="19" t="s">
        <v>187</v>
      </c>
      <c r="Y14" s="1">
        <f t="shared" si="4"/>
        <v>11</v>
      </c>
      <c r="Z14" s="1">
        <f t="shared" si="5"/>
        <v>7.5265957446808507</v>
      </c>
      <c r="AA14" s="1">
        <v>32</v>
      </c>
      <c r="AB14" s="1">
        <v>22</v>
      </c>
      <c r="AC14" s="1">
        <v>10</v>
      </c>
      <c r="AD14" s="1">
        <v>1.4</v>
      </c>
      <c r="AE14" s="1">
        <v>13.6</v>
      </c>
      <c r="AF14" s="1">
        <v>31.2</v>
      </c>
      <c r="AG14" s="1">
        <v>32.200000000000003</v>
      </c>
      <c r="AH14" s="1">
        <v>17.8</v>
      </c>
      <c r="AI14" s="1">
        <v>16.2</v>
      </c>
      <c r="AJ14" s="1">
        <v>18</v>
      </c>
      <c r="AK14" s="1"/>
      <c r="AL14" s="1">
        <f t="shared" si="8"/>
        <v>22.202000000000005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35">
      <c r="A15" s="1" t="s">
        <v>54</v>
      </c>
      <c r="B15" s="1" t="s">
        <v>39</v>
      </c>
      <c r="C15" s="1">
        <v>188.02699999999999</v>
      </c>
      <c r="D15" s="1">
        <v>811.95299999999997</v>
      </c>
      <c r="E15" s="1">
        <v>237.71</v>
      </c>
      <c r="F15" s="1">
        <v>391.65</v>
      </c>
      <c r="G15" s="7">
        <v>1</v>
      </c>
      <c r="H15" s="1">
        <v>70</v>
      </c>
      <c r="I15" s="9" t="s">
        <v>52</v>
      </c>
      <c r="J15" s="1"/>
      <c r="K15" s="1">
        <v>308.04000000000002</v>
      </c>
      <c r="L15" s="1">
        <f t="shared" si="2"/>
        <v>-70.330000000000013</v>
      </c>
      <c r="M15" s="1"/>
      <c r="N15" s="1"/>
      <c r="O15" s="1">
        <v>580</v>
      </c>
      <c r="P15" s="1"/>
      <c r="Q15" s="1"/>
      <c r="R15" s="1">
        <v>150</v>
      </c>
      <c r="S15" s="1"/>
      <c r="T15" s="1">
        <v>100</v>
      </c>
      <c r="U15" s="1">
        <f t="shared" si="3"/>
        <v>47.542000000000002</v>
      </c>
      <c r="V15" s="5"/>
      <c r="W15" s="16"/>
      <c r="X15" s="16"/>
      <c r="Y15" s="1">
        <f t="shared" si="4"/>
        <v>25.69622649446805</v>
      </c>
      <c r="Z15" s="1">
        <f t="shared" si="5"/>
        <v>25.69622649446805</v>
      </c>
      <c r="AA15" s="1">
        <v>93.528999999999996</v>
      </c>
      <c r="AB15" s="1">
        <v>100.50239999999999</v>
      </c>
      <c r="AC15" s="1">
        <v>69.866600000000005</v>
      </c>
      <c r="AD15" s="1">
        <v>59.2682</v>
      </c>
      <c r="AE15" s="1">
        <v>64.551999999999992</v>
      </c>
      <c r="AF15" s="1">
        <v>60.460999999999999</v>
      </c>
      <c r="AG15" s="1">
        <v>67.999800000000008</v>
      </c>
      <c r="AH15" s="1">
        <v>67.419600000000003</v>
      </c>
      <c r="AI15" s="1">
        <v>63.860999999999997</v>
      </c>
      <c r="AJ15" s="1">
        <v>64.120199999999997</v>
      </c>
      <c r="AK15" s="1"/>
      <c r="AL15" s="1">
        <f t="shared" si="8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35">
      <c r="A16" s="1" t="s">
        <v>55</v>
      </c>
      <c r="B16" s="1" t="s">
        <v>39</v>
      </c>
      <c r="C16" s="1">
        <v>2305.96</v>
      </c>
      <c r="D16" s="1">
        <v>2266.4189999999999</v>
      </c>
      <c r="E16" s="1">
        <v>2291.2370000000001</v>
      </c>
      <c r="F16" s="1">
        <v>83.941000000000003</v>
      </c>
      <c r="G16" s="7">
        <v>1</v>
      </c>
      <c r="H16" s="1">
        <v>50</v>
      </c>
      <c r="I16" s="1" t="s">
        <v>40</v>
      </c>
      <c r="J16" s="1"/>
      <c r="K16" s="1">
        <v>2232</v>
      </c>
      <c r="L16" s="1">
        <f t="shared" si="2"/>
        <v>59.23700000000008</v>
      </c>
      <c r="M16" s="1"/>
      <c r="N16" s="1"/>
      <c r="O16" s="1">
        <v>2670.3504000000012</v>
      </c>
      <c r="P16" s="1"/>
      <c r="Q16" s="1"/>
      <c r="R16" s="1">
        <v>1222</v>
      </c>
      <c r="S16" s="1"/>
      <c r="T16" s="1">
        <v>600</v>
      </c>
      <c r="U16" s="1">
        <f t="shared" si="3"/>
        <v>458.24740000000003</v>
      </c>
      <c r="V16" s="5">
        <f>10*U16-T16-S16-R16-Q16-P16-O16-F16</f>
        <v>6.1825999999989847</v>
      </c>
      <c r="W16" s="16"/>
      <c r="X16" s="16"/>
      <c r="Y16" s="1">
        <f t="shared" si="4"/>
        <v>10</v>
      </c>
      <c r="Z16" s="1">
        <f t="shared" si="5"/>
        <v>9.9865081613119919</v>
      </c>
      <c r="AA16" s="1">
        <v>481.82459999999998</v>
      </c>
      <c r="AB16" s="1">
        <v>420.36439999999999</v>
      </c>
      <c r="AC16" s="1">
        <v>317.29700000000003</v>
      </c>
      <c r="AD16" s="1">
        <v>275.59399999999999</v>
      </c>
      <c r="AE16" s="1">
        <v>362.4502</v>
      </c>
      <c r="AF16" s="1">
        <v>400.47460000000001</v>
      </c>
      <c r="AG16" s="1">
        <v>338.92259999999999</v>
      </c>
      <c r="AH16" s="1">
        <v>312.99419999999998</v>
      </c>
      <c r="AI16" s="1">
        <v>340.73579999999998</v>
      </c>
      <c r="AJ16" s="1">
        <v>301.46600000000001</v>
      </c>
      <c r="AK16" s="1"/>
      <c r="AL16" s="1">
        <f t="shared" si="8"/>
        <v>6.1825999999989847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35">
      <c r="A17" s="1" t="s">
        <v>56</v>
      </c>
      <c r="B17" s="1" t="s">
        <v>39</v>
      </c>
      <c r="C17" s="1">
        <v>104.14400000000001</v>
      </c>
      <c r="D17" s="1">
        <v>171.71799999999999</v>
      </c>
      <c r="E17" s="1">
        <v>113.74299999999999</v>
      </c>
      <c r="F17" s="1">
        <v>26.803000000000001</v>
      </c>
      <c r="G17" s="7">
        <v>1</v>
      </c>
      <c r="H17" s="1">
        <v>60</v>
      </c>
      <c r="I17" s="1" t="s">
        <v>40</v>
      </c>
      <c r="J17" s="1"/>
      <c r="K17" s="1">
        <v>107.68</v>
      </c>
      <c r="L17" s="1">
        <f t="shared" si="2"/>
        <v>6.0629999999999882</v>
      </c>
      <c r="M17" s="1"/>
      <c r="N17" s="1"/>
      <c r="O17" s="1">
        <v>19.625800000000002</v>
      </c>
      <c r="P17" s="1"/>
      <c r="Q17" s="1"/>
      <c r="R17" s="1">
        <v>49.769568000000021</v>
      </c>
      <c r="S17" s="1"/>
      <c r="T17" s="1">
        <v>73.422432000000015</v>
      </c>
      <c r="U17" s="1">
        <f t="shared" si="3"/>
        <v>22.7486</v>
      </c>
      <c r="V17" s="5">
        <f t="shared" si="7"/>
        <v>80.613799999999969</v>
      </c>
      <c r="W17" s="16"/>
      <c r="X17" s="16"/>
      <c r="Y17" s="1">
        <f t="shared" si="4"/>
        <v>11</v>
      </c>
      <c r="Z17" s="1">
        <f t="shared" si="5"/>
        <v>7.4563181910095579</v>
      </c>
      <c r="AA17" s="1">
        <v>17.5928</v>
      </c>
      <c r="AB17" s="1">
        <v>11.008599999999999</v>
      </c>
      <c r="AC17" s="1">
        <v>13.476000000000001</v>
      </c>
      <c r="AD17" s="1">
        <v>14.8294</v>
      </c>
      <c r="AE17" s="1">
        <v>16.038599999999999</v>
      </c>
      <c r="AF17" s="1">
        <v>10.763999999999999</v>
      </c>
      <c r="AG17" s="1">
        <v>8.6592000000000002</v>
      </c>
      <c r="AH17" s="1">
        <v>14.825799999999999</v>
      </c>
      <c r="AI17" s="1">
        <v>13.7936</v>
      </c>
      <c r="AJ17" s="1">
        <v>9.2590000000000003</v>
      </c>
      <c r="AK17" s="1"/>
      <c r="AL17" s="1">
        <f t="shared" si="8"/>
        <v>80.613799999999969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35">
      <c r="A18" s="1" t="s">
        <v>57</v>
      </c>
      <c r="B18" s="1" t="s">
        <v>39</v>
      </c>
      <c r="C18" s="1">
        <v>2.4860000000000002</v>
      </c>
      <c r="D18" s="1">
        <v>83.956000000000003</v>
      </c>
      <c r="E18" s="1">
        <v>-0.82599999999999996</v>
      </c>
      <c r="F18" s="1">
        <v>49.728999999999999</v>
      </c>
      <c r="G18" s="7">
        <v>1</v>
      </c>
      <c r="H18" s="1">
        <v>60</v>
      </c>
      <c r="I18" s="9" t="s">
        <v>52</v>
      </c>
      <c r="J18" s="1"/>
      <c r="K18" s="1">
        <v>32.28</v>
      </c>
      <c r="L18" s="1">
        <f t="shared" si="2"/>
        <v>-33.106000000000002</v>
      </c>
      <c r="M18" s="1"/>
      <c r="N18" s="1"/>
      <c r="O18" s="1">
        <v>45.561999999999983</v>
      </c>
      <c r="P18" s="1"/>
      <c r="Q18" s="1"/>
      <c r="R18" s="1">
        <v>0</v>
      </c>
      <c r="S18" s="1"/>
      <c r="T18" s="1"/>
      <c r="U18" s="1">
        <f t="shared" si="3"/>
        <v>-0.16519999999999999</v>
      </c>
      <c r="V18" s="5"/>
      <c r="W18" s="16"/>
      <c r="X18" s="16"/>
      <c r="Y18" s="1">
        <f t="shared" si="4"/>
        <v>-576.82203389830499</v>
      </c>
      <c r="Z18" s="1">
        <f t="shared" si="5"/>
        <v>-576.82203389830499</v>
      </c>
      <c r="AA18" s="1">
        <v>1.9505999999999999</v>
      </c>
      <c r="AB18" s="1">
        <v>8.992799999999999</v>
      </c>
      <c r="AC18" s="1">
        <v>11.2796</v>
      </c>
      <c r="AD18" s="1">
        <v>9.8811999999999998</v>
      </c>
      <c r="AE18" s="1">
        <v>10.02</v>
      </c>
      <c r="AF18" s="1">
        <v>6.4992000000000001</v>
      </c>
      <c r="AG18" s="1">
        <v>4.6139999999999999</v>
      </c>
      <c r="AH18" s="1">
        <v>9.6975999999999996</v>
      </c>
      <c r="AI18" s="1">
        <v>9.870000000000001</v>
      </c>
      <c r="AJ18" s="1">
        <v>4.0758000000000001</v>
      </c>
      <c r="AK18" s="1"/>
      <c r="AL18" s="1">
        <f t="shared" si="8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35">
      <c r="A19" s="1" t="s">
        <v>58</v>
      </c>
      <c r="B19" s="1" t="s">
        <v>39</v>
      </c>
      <c r="C19" s="1">
        <v>86.075999999999993</v>
      </c>
      <c r="D19" s="1">
        <v>18.594000000000001</v>
      </c>
      <c r="E19" s="1">
        <v>13.78</v>
      </c>
      <c r="F19" s="1">
        <v>67.986000000000004</v>
      </c>
      <c r="G19" s="7">
        <v>1</v>
      </c>
      <c r="H19" s="1">
        <v>180</v>
      </c>
      <c r="I19" s="1" t="s">
        <v>40</v>
      </c>
      <c r="J19" s="1"/>
      <c r="K19" s="1">
        <v>15.95</v>
      </c>
      <c r="L19" s="1">
        <f t="shared" si="2"/>
        <v>-2.17</v>
      </c>
      <c r="M19" s="1"/>
      <c r="N19" s="1"/>
      <c r="O19" s="1">
        <v>0</v>
      </c>
      <c r="P19" s="1"/>
      <c r="Q19" s="1"/>
      <c r="R19" s="1">
        <v>0</v>
      </c>
      <c r="S19" s="1"/>
      <c r="T19" s="1"/>
      <c r="U19" s="1">
        <f t="shared" si="3"/>
        <v>2.7559999999999998</v>
      </c>
      <c r="V19" s="5"/>
      <c r="W19" s="16"/>
      <c r="X19" s="16"/>
      <c r="Y19" s="1">
        <f t="shared" si="4"/>
        <v>24.66835994194485</v>
      </c>
      <c r="Z19" s="1">
        <f t="shared" si="5"/>
        <v>24.66835994194485</v>
      </c>
      <c r="AA19" s="1">
        <v>4.7732000000000001</v>
      </c>
      <c r="AB19" s="1">
        <v>4.9626000000000001</v>
      </c>
      <c r="AC19" s="1">
        <v>3.0619999999999998</v>
      </c>
      <c r="AD19" s="1">
        <v>3.778799999999999</v>
      </c>
      <c r="AE19" s="1">
        <v>6.1134000000000004</v>
      </c>
      <c r="AF19" s="1">
        <v>6.3506</v>
      </c>
      <c r="AG19" s="1">
        <v>4.6951999999999998</v>
      </c>
      <c r="AH19" s="1">
        <v>3.7277999999999998</v>
      </c>
      <c r="AI19" s="1">
        <v>4.875</v>
      </c>
      <c r="AJ19" s="1">
        <v>3.3774000000000002</v>
      </c>
      <c r="AK19" s="14" t="s">
        <v>63</v>
      </c>
      <c r="AL19" s="1">
        <f t="shared" si="8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35">
      <c r="A20" s="1" t="s">
        <v>59</v>
      </c>
      <c r="B20" s="1" t="s">
        <v>39</v>
      </c>
      <c r="C20" s="1">
        <v>382.39600000000002</v>
      </c>
      <c r="D20" s="1">
        <v>593.34</v>
      </c>
      <c r="E20" s="1">
        <v>449.39</v>
      </c>
      <c r="F20" s="1">
        <v>147.22300000000001</v>
      </c>
      <c r="G20" s="7">
        <v>1</v>
      </c>
      <c r="H20" s="1">
        <v>60</v>
      </c>
      <c r="I20" s="1" t="s">
        <v>40</v>
      </c>
      <c r="J20" s="1"/>
      <c r="K20" s="1">
        <v>431.67</v>
      </c>
      <c r="L20" s="1">
        <f t="shared" si="2"/>
        <v>17.71999999999997</v>
      </c>
      <c r="M20" s="1"/>
      <c r="N20" s="1"/>
      <c r="O20" s="1">
        <v>600</v>
      </c>
      <c r="P20" s="1"/>
      <c r="Q20" s="1"/>
      <c r="R20" s="1">
        <v>95.437622399999981</v>
      </c>
      <c r="S20" s="1"/>
      <c r="T20" s="1"/>
      <c r="U20" s="1">
        <f t="shared" si="3"/>
        <v>89.878</v>
      </c>
      <c r="V20" s="5">
        <f t="shared" si="7"/>
        <v>145.99737759999999</v>
      </c>
      <c r="W20" s="16"/>
      <c r="X20" s="16"/>
      <c r="Y20" s="1">
        <f t="shared" si="4"/>
        <v>10.999999999999998</v>
      </c>
      <c r="Z20" s="1">
        <f t="shared" si="5"/>
        <v>9.3756049578317278</v>
      </c>
      <c r="AA20" s="1">
        <v>93.350200000000001</v>
      </c>
      <c r="AB20" s="1">
        <v>93.1404</v>
      </c>
      <c r="AC20" s="1">
        <v>67.726399999999998</v>
      </c>
      <c r="AD20" s="1">
        <v>70.512</v>
      </c>
      <c r="AE20" s="1">
        <v>77.909599999999998</v>
      </c>
      <c r="AF20" s="1">
        <v>72.000399999999999</v>
      </c>
      <c r="AG20" s="1">
        <v>75.010799999999989</v>
      </c>
      <c r="AH20" s="1">
        <v>77.209599999999995</v>
      </c>
      <c r="AI20" s="1">
        <v>79.551599999999993</v>
      </c>
      <c r="AJ20" s="1">
        <v>73.747199999999992</v>
      </c>
      <c r="AK20" s="1"/>
      <c r="AL20" s="1">
        <f t="shared" si="8"/>
        <v>145.99737759999999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35">
      <c r="A21" s="1" t="s">
        <v>60</v>
      </c>
      <c r="B21" s="1" t="s">
        <v>39</v>
      </c>
      <c r="C21" s="1">
        <v>139.78100000000001</v>
      </c>
      <c r="D21" s="1">
        <v>247.92</v>
      </c>
      <c r="E21" s="1">
        <v>140.98099999999999</v>
      </c>
      <c r="F21" s="1">
        <v>131.41200000000001</v>
      </c>
      <c r="G21" s="7">
        <v>1</v>
      </c>
      <c r="H21" s="1">
        <v>70</v>
      </c>
      <c r="I21" s="1" t="s">
        <v>40</v>
      </c>
      <c r="J21" s="1"/>
      <c r="K21" s="1">
        <v>128.68</v>
      </c>
      <c r="L21" s="1">
        <f t="shared" si="2"/>
        <v>12.300999999999988</v>
      </c>
      <c r="M21" s="1"/>
      <c r="N21" s="1"/>
      <c r="O21" s="1">
        <v>0</v>
      </c>
      <c r="P21" s="1"/>
      <c r="Q21" s="1"/>
      <c r="R21" s="1">
        <v>0</v>
      </c>
      <c r="S21" s="1"/>
      <c r="T21" s="1"/>
      <c r="U21" s="1">
        <f t="shared" si="3"/>
        <v>28.196199999999997</v>
      </c>
      <c r="V21" s="5">
        <f t="shared" si="7"/>
        <v>178.74619999999996</v>
      </c>
      <c r="W21" s="16"/>
      <c r="X21" s="16"/>
      <c r="Y21" s="1">
        <f t="shared" si="4"/>
        <v>11</v>
      </c>
      <c r="Z21" s="1">
        <f t="shared" si="5"/>
        <v>4.6606280278902839</v>
      </c>
      <c r="AA21" s="1">
        <v>18.7288</v>
      </c>
      <c r="AB21" s="1">
        <v>23.340800000000002</v>
      </c>
      <c r="AC21" s="1">
        <v>25.481200000000001</v>
      </c>
      <c r="AD21" s="1">
        <v>24.018799999999999</v>
      </c>
      <c r="AE21" s="1">
        <v>17.2928</v>
      </c>
      <c r="AF21" s="1">
        <v>16.8612</v>
      </c>
      <c r="AG21" s="1">
        <v>15.4404</v>
      </c>
      <c r="AH21" s="1">
        <v>13</v>
      </c>
      <c r="AI21" s="1">
        <v>21.806999999999999</v>
      </c>
      <c r="AJ21" s="1">
        <v>21.227</v>
      </c>
      <c r="AK21" s="1"/>
      <c r="AL21" s="1">
        <f t="shared" si="8"/>
        <v>178.74619999999996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35">
      <c r="A22" s="1" t="s">
        <v>61</v>
      </c>
      <c r="B22" s="1" t="s">
        <v>39</v>
      </c>
      <c r="C22" s="1">
        <v>246.52699999999999</v>
      </c>
      <c r="D22" s="1">
        <v>249.952</v>
      </c>
      <c r="E22" s="1">
        <v>272.29399999999998</v>
      </c>
      <c r="F22" s="1">
        <v>47.957000000000001</v>
      </c>
      <c r="G22" s="7">
        <v>1</v>
      </c>
      <c r="H22" s="1">
        <v>70</v>
      </c>
      <c r="I22" s="9" t="s">
        <v>52</v>
      </c>
      <c r="J22" s="1"/>
      <c r="K22" s="1">
        <v>271.38</v>
      </c>
      <c r="L22" s="1">
        <f t="shared" si="2"/>
        <v>0.91399999999998727</v>
      </c>
      <c r="M22" s="1"/>
      <c r="N22" s="1"/>
      <c r="O22" s="1">
        <v>0</v>
      </c>
      <c r="P22" s="1"/>
      <c r="Q22" s="1"/>
      <c r="R22" s="1">
        <v>250</v>
      </c>
      <c r="S22" s="1"/>
      <c r="T22" s="1">
        <v>100</v>
      </c>
      <c r="U22" s="1">
        <f t="shared" si="3"/>
        <v>54.458799999999997</v>
      </c>
      <c r="V22" s="5">
        <f t="shared" si="7"/>
        <v>201.08979999999997</v>
      </c>
      <c r="W22" s="19">
        <v>350</v>
      </c>
      <c r="X22" s="19" t="s">
        <v>185</v>
      </c>
      <c r="Y22" s="1">
        <f t="shared" si="4"/>
        <v>11</v>
      </c>
      <c r="Z22" s="1">
        <f t="shared" si="5"/>
        <v>7.3074874951339366</v>
      </c>
      <c r="AA22" s="1">
        <v>38.1952</v>
      </c>
      <c r="AB22" s="1">
        <v>16.365600000000001</v>
      </c>
      <c r="AC22" s="1">
        <v>6.5044000000000004</v>
      </c>
      <c r="AD22" s="1">
        <v>18.438800000000001</v>
      </c>
      <c r="AE22" s="1">
        <v>35.318600000000004</v>
      </c>
      <c r="AF22" s="1">
        <v>41.7134</v>
      </c>
      <c r="AG22" s="1">
        <v>43.699199999999998</v>
      </c>
      <c r="AH22" s="1">
        <v>38.575599999999987</v>
      </c>
      <c r="AI22" s="1">
        <v>44.986800000000002</v>
      </c>
      <c r="AJ22" s="1">
        <v>38.965000000000003</v>
      </c>
      <c r="AK22" s="1"/>
      <c r="AL22" s="1">
        <f t="shared" si="8"/>
        <v>201.08979999999997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35">
      <c r="A23" s="1" t="s">
        <v>62</v>
      </c>
      <c r="B23" s="1" t="s">
        <v>39</v>
      </c>
      <c r="C23" s="1">
        <v>148.11099999999999</v>
      </c>
      <c r="D23" s="1">
        <v>10.808</v>
      </c>
      <c r="E23" s="1">
        <v>19.177</v>
      </c>
      <c r="F23" s="1">
        <v>128.71700000000001</v>
      </c>
      <c r="G23" s="7">
        <v>1</v>
      </c>
      <c r="H23" s="1">
        <v>180</v>
      </c>
      <c r="I23" s="1" t="s">
        <v>40</v>
      </c>
      <c r="J23" s="1"/>
      <c r="K23" s="1">
        <v>21.59</v>
      </c>
      <c r="L23" s="1">
        <f t="shared" si="2"/>
        <v>-2.4130000000000003</v>
      </c>
      <c r="M23" s="1"/>
      <c r="N23" s="1"/>
      <c r="O23" s="1">
        <v>0</v>
      </c>
      <c r="P23" s="1"/>
      <c r="Q23" s="1"/>
      <c r="R23" s="1">
        <v>0</v>
      </c>
      <c r="S23" s="1"/>
      <c r="T23" s="1"/>
      <c r="U23" s="1">
        <f t="shared" si="3"/>
        <v>3.8353999999999999</v>
      </c>
      <c r="V23" s="5"/>
      <c r="W23" s="16"/>
      <c r="X23" s="16"/>
      <c r="Y23" s="1">
        <f t="shared" si="4"/>
        <v>33.560254471502326</v>
      </c>
      <c r="Z23" s="1">
        <f t="shared" si="5"/>
        <v>33.560254471502326</v>
      </c>
      <c r="AA23" s="1">
        <v>5.0188000000000006</v>
      </c>
      <c r="AB23" s="1">
        <v>4.7473999999999998</v>
      </c>
      <c r="AC23" s="1">
        <v>1.9568000000000001</v>
      </c>
      <c r="AD23" s="1">
        <v>2.3163999999999998</v>
      </c>
      <c r="AE23" s="1">
        <v>7.5906000000000002</v>
      </c>
      <c r="AF23" s="1">
        <v>9.031600000000001</v>
      </c>
      <c r="AG23" s="1">
        <v>4.0991999999999997</v>
      </c>
      <c r="AH23" s="1">
        <v>1.9630000000000001</v>
      </c>
      <c r="AI23" s="1">
        <v>4.3348000000000004</v>
      </c>
      <c r="AJ23" s="1">
        <v>3.0522</v>
      </c>
      <c r="AK23" s="15" t="s">
        <v>79</v>
      </c>
      <c r="AL23" s="1">
        <f t="shared" si="8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35">
      <c r="A24" s="1" t="s">
        <v>64</v>
      </c>
      <c r="B24" s="1" t="s">
        <v>39</v>
      </c>
      <c r="C24" s="1">
        <v>62.405999999999999</v>
      </c>
      <c r="D24" s="1">
        <v>304.76799999999997</v>
      </c>
      <c r="E24" s="1">
        <v>103.625</v>
      </c>
      <c r="F24" s="1">
        <v>145.42699999999999</v>
      </c>
      <c r="G24" s="7">
        <v>1</v>
      </c>
      <c r="H24" s="1">
        <v>70</v>
      </c>
      <c r="I24" s="9" t="s">
        <v>52</v>
      </c>
      <c r="J24" s="1"/>
      <c r="K24" s="1">
        <v>132.28</v>
      </c>
      <c r="L24" s="1">
        <f t="shared" si="2"/>
        <v>-28.655000000000001</v>
      </c>
      <c r="M24" s="1"/>
      <c r="N24" s="1"/>
      <c r="O24" s="1">
        <v>50</v>
      </c>
      <c r="P24" s="1"/>
      <c r="Q24" s="1"/>
      <c r="R24" s="1">
        <v>30</v>
      </c>
      <c r="S24" s="1"/>
      <c r="T24" s="1"/>
      <c r="U24" s="1">
        <f t="shared" si="3"/>
        <v>20.725000000000001</v>
      </c>
      <c r="V24" s="5">
        <v>20</v>
      </c>
      <c r="W24" s="19">
        <v>150</v>
      </c>
      <c r="X24" s="19" t="s">
        <v>185</v>
      </c>
      <c r="Y24" s="1">
        <f t="shared" si="4"/>
        <v>11.842074788902291</v>
      </c>
      <c r="Z24" s="1">
        <f t="shared" si="5"/>
        <v>10.877056694813026</v>
      </c>
      <c r="AA24" s="1">
        <v>18.969799999999999</v>
      </c>
      <c r="AB24" s="1">
        <v>14.39</v>
      </c>
      <c r="AC24" s="1">
        <v>8.7706</v>
      </c>
      <c r="AD24" s="1">
        <v>14.5794</v>
      </c>
      <c r="AE24" s="1">
        <v>31.823799999999999</v>
      </c>
      <c r="AF24" s="1">
        <v>37.118400000000001</v>
      </c>
      <c r="AG24" s="1">
        <v>39.154400000000003</v>
      </c>
      <c r="AH24" s="1">
        <v>36.545400000000001</v>
      </c>
      <c r="AI24" s="1">
        <v>37.086200000000012</v>
      </c>
      <c r="AJ24" s="1">
        <v>30.3794</v>
      </c>
      <c r="AK24" s="1"/>
      <c r="AL24" s="1">
        <f t="shared" si="8"/>
        <v>20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35">
      <c r="A25" s="10" t="s">
        <v>65</v>
      </c>
      <c r="B25" s="10" t="s">
        <v>39</v>
      </c>
      <c r="C25" s="10">
        <v>0.39800000000000002</v>
      </c>
      <c r="D25" s="10">
        <v>5.6970000000000001</v>
      </c>
      <c r="E25" s="10"/>
      <c r="F25" s="10"/>
      <c r="G25" s="11">
        <v>0</v>
      </c>
      <c r="H25" s="10">
        <v>35</v>
      </c>
      <c r="I25" s="10" t="s">
        <v>66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/>
      <c r="U25" s="10">
        <f t="shared" si="3"/>
        <v>0</v>
      </c>
      <c r="V25" s="12"/>
      <c r="W25" s="17"/>
      <c r="X25" s="17"/>
      <c r="Y25" s="10" t="e">
        <f t="shared" si="4"/>
        <v>#DIV/0!</v>
      </c>
      <c r="Z25" s="10" t="e">
        <f t="shared" si="5"/>
        <v>#DIV/0!</v>
      </c>
      <c r="AA25" s="10">
        <v>-0.36799999999999999</v>
      </c>
      <c r="AB25" s="10">
        <v>-0.51079999999999992</v>
      </c>
      <c r="AC25" s="10">
        <v>-0.14280000000000001</v>
      </c>
      <c r="AD25" s="10">
        <v>0</v>
      </c>
      <c r="AE25" s="10">
        <v>-0.1394</v>
      </c>
      <c r="AF25" s="10">
        <v>-0.42159999999999997</v>
      </c>
      <c r="AG25" s="10">
        <v>-0.28220000000000001</v>
      </c>
      <c r="AH25" s="10">
        <v>-0.14000000000000001</v>
      </c>
      <c r="AI25" s="10">
        <v>-0.14000000000000001</v>
      </c>
      <c r="AJ25" s="10">
        <v>0</v>
      </c>
      <c r="AK25" s="10"/>
      <c r="AL25" s="10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35">
      <c r="A26" s="10" t="s">
        <v>67</v>
      </c>
      <c r="B26" s="10" t="s">
        <v>39</v>
      </c>
      <c r="C26" s="10"/>
      <c r="D26" s="10"/>
      <c r="E26" s="10"/>
      <c r="F26" s="10"/>
      <c r="G26" s="11">
        <v>0</v>
      </c>
      <c r="H26" s="10"/>
      <c r="I26" s="10" t="s">
        <v>40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>
        <v>0</v>
      </c>
      <c r="S26" s="10"/>
      <c r="T26" s="10"/>
      <c r="U26" s="10">
        <f t="shared" si="3"/>
        <v>0</v>
      </c>
      <c r="V26" s="12"/>
      <c r="W26" s="17"/>
      <c r="X26" s="17"/>
      <c r="Y26" s="10" t="e">
        <f t="shared" si="4"/>
        <v>#DIV/0!</v>
      </c>
      <c r="Z26" s="10" t="e">
        <f t="shared" si="5"/>
        <v>#DIV/0!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 t="s">
        <v>50</v>
      </c>
      <c r="AL26" s="10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35">
      <c r="A27" s="1" t="s">
        <v>68</v>
      </c>
      <c r="B27" s="1" t="s">
        <v>39</v>
      </c>
      <c r="C27" s="1">
        <v>-2.702</v>
      </c>
      <c r="D27" s="1">
        <v>467.20100000000002</v>
      </c>
      <c r="E27" s="1">
        <v>26.713999999999999</v>
      </c>
      <c r="F27" s="1">
        <v>279.69099999999997</v>
      </c>
      <c r="G27" s="7">
        <v>1</v>
      </c>
      <c r="H27" s="1">
        <v>30</v>
      </c>
      <c r="I27" s="1" t="s">
        <v>40</v>
      </c>
      <c r="J27" s="1"/>
      <c r="K27" s="1">
        <v>37.5</v>
      </c>
      <c r="L27" s="1">
        <f t="shared" si="2"/>
        <v>-10.786000000000001</v>
      </c>
      <c r="M27" s="1"/>
      <c r="N27" s="1"/>
      <c r="O27" s="1">
        <v>0</v>
      </c>
      <c r="P27" s="1"/>
      <c r="Q27" s="1"/>
      <c r="R27" s="1">
        <v>0</v>
      </c>
      <c r="S27" s="1"/>
      <c r="T27" s="1"/>
      <c r="U27" s="1">
        <f t="shared" si="3"/>
        <v>5.3427999999999995</v>
      </c>
      <c r="V27" s="5"/>
      <c r="W27" s="16"/>
      <c r="X27" s="16"/>
      <c r="Y27" s="1">
        <f t="shared" si="4"/>
        <v>52.349142771580446</v>
      </c>
      <c r="Z27" s="1">
        <f t="shared" si="5"/>
        <v>52.349142771580446</v>
      </c>
      <c r="AA27" s="1">
        <v>1.6415999999999999</v>
      </c>
      <c r="AB27" s="1">
        <v>20.915800000000001</v>
      </c>
      <c r="AC27" s="1">
        <v>41.127400000000002</v>
      </c>
      <c r="AD27" s="1">
        <v>48.219200000000001</v>
      </c>
      <c r="AE27" s="1">
        <v>53.691999999999993</v>
      </c>
      <c r="AF27" s="1">
        <v>57.585799999999992</v>
      </c>
      <c r="AG27" s="1">
        <v>41.682000000000002</v>
      </c>
      <c r="AH27" s="1">
        <v>45.629399999999997</v>
      </c>
      <c r="AI27" s="1">
        <v>54.0336</v>
      </c>
      <c r="AJ27" s="1">
        <v>33.3504</v>
      </c>
      <c r="AK27" s="15" t="s">
        <v>79</v>
      </c>
      <c r="AL27" s="1">
        <f t="shared" ref="AL27:AL33" si="9">G27*V27</f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35">
      <c r="A28" s="1" t="s">
        <v>69</v>
      </c>
      <c r="B28" s="1" t="s">
        <v>39</v>
      </c>
      <c r="C28" s="1">
        <v>3.702</v>
      </c>
      <c r="D28" s="1">
        <v>194.19300000000001</v>
      </c>
      <c r="E28" s="1">
        <v>25.885999999999999</v>
      </c>
      <c r="F28" s="1">
        <v>7.3230000000000004</v>
      </c>
      <c r="G28" s="7">
        <v>1</v>
      </c>
      <c r="H28" s="1">
        <v>40</v>
      </c>
      <c r="I28" s="9" t="s">
        <v>52</v>
      </c>
      <c r="J28" s="1"/>
      <c r="K28" s="1">
        <v>40.9</v>
      </c>
      <c r="L28" s="1">
        <f t="shared" si="2"/>
        <v>-15.013999999999999</v>
      </c>
      <c r="M28" s="1"/>
      <c r="N28" s="1"/>
      <c r="O28" s="1">
        <v>30</v>
      </c>
      <c r="P28" s="1"/>
      <c r="Q28" s="1"/>
      <c r="R28" s="1">
        <v>0</v>
      </c>
      <c r="S28" s="1"/>
      <c r="T28" s="1"/>
      <c r="U28" s="1">
        <f t="shared" si="3"/>
        <v>5.1772</v>
      </c>
      <c r="V28" s="5">
        <v>30</v>
      </c>
      <c r="W28" s="16"/>
      <c r="X28" s="16"/>
      <c r="Y28" s="1">
        <f t="shared" si="4"/>
        <v>13.003747199258287</v>
      </c>
      <c r="Z28" s="1">
        <f t="shared" si="5"/>
        <v>7.2091091709804527</v>
      </c>
      <c r="AA28" s="1">
        <v>-0.112</v>
      </c>
      <c r="AB28" s="1">
        <v>0</v>
      </c>
      <c r="AC28" s="1">
        <v>0</v>
      </c>
      <c r="AD28" s="1">
        <v>0</v>
      </c>
      <c r="AE28" s="1">
        <v>-0.40960000000000002</v>
      </c>
      <c r="AF28" s="1">
        <v>-0.79859999999999998</v>
      </c>
      <c r="AG28" s="1">
        <v>0.30380000000000001</v>
      </c>
      <c r="AH28" s="1">
        <v>-2.1000000000000001E-2</v>
      </c>
      <c r="AI28" s="1">
        <v>0.1164</v>
      </c>
      <c r="AJ28" s="1">
        <v>1.6801999999999999</v>
      </c>
      <c r="AK28" s="1"/>
      <c r="AL28" s="1">
        <f t="shared" si="9"/>
        <v>30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35">
      <c r="A29" s="1" t="s">
        <v>70</v>
      </c>
      <c r="B29" s="1" t="s">
        <v>39</v>
      </c>
      <c r="C29" s="1">
        <v>125.673</v>
      </c>
      <c r="D29" s="1">
        <v>451.096</v>
      </c>
      <c r="E29" s="1">
        <v>170.68199999999999</v>
      </c>
      <c r="F29" s="1">
        <v>84.73</v>
      </c>
      <c r="G29" s="7">
        <v>1</v>
      </c>
      <c r="H29" s="1">
        <v>30</v>
      </c>
      <c r="I29" s="9" t="s">
        <v>52</v>
      </c>
      <c r="J29" s="1"/>
      <c r="K29" s="1">
        <v>207.4</v>
      </c>
      <c r="L29" s="1">
        <f t="shared" si="2"/>
        <v>-36.718000000000018</v>
      </c>
      <c r="M29" s="1"/>
      <c r="N29" s="1"/>
      <c r="O29" s="1">
        <v>200</v>
      </c>
      <c r="P29" s="1"/>
      <c r="Q29" s="1"/>
      <c r="R29" s="1">
        <v>0</v>
      </c>
      <c r="S29" s="1"/>
      <c r="T29" s="1"/>
      <c r="U29" s="1">
        <f t="shared" si="3"/>
        <v>34.136399999999995</v>
      </c>
      <c r="V29" s="5">
        <f t="shared" ref="V29:V31" si="10">11*U29-T29-S29-R29-Q29-P29-O29-F29</f>
        <v>90.770399999999952</v>
      </c>
      <c r="W29" s="19">
        <v>150</v>
      </c>
      <c r="X29" s="19" t="s">
        <v>188</v>
      </c>
      <c r="Y29" s="1">
        <f t="shared" si="4"/>
        <v>11</v>
      </c>
      <c r="Z29" s="1">
        <f t="shared" si="5"/>
        <v>8.340949836538126</v>
      </c>
      <c r="AA29" s="1">
        <v>28.6402</v>
      </c>
      <c r="AB29" s="1">
        <v>49.427</v>
      </c>
      <c r="AC29" s="1">
        <v>45.0518</v>
      </c>
      <c r="AD29" s="1">
        <v>-8.8800000000000004E-2</v>
      </c>
      <c r="AE29" s="1">
        <v>11.554</v>
      </c>
      <c r="AF29" s="1">
        <v>72.658000000000001</v>
      </c>
      <c r="AG29" s="1">
        <v>66.253200000000007</v>
      </c>
      <c r="AH29" s="1">
        <v>2.3946000000000001</v>
      </c>
      <c r="AI29" s="1">
        <v>-0.96219999999999994</v>
      </c>
      <c r="AJ29" s="1">
        <v>10.6404</v>
      </c>
      <c r="AK29" s="1" t="s">
        <v>48</v>
      </c>
      <c r="AL29" s="1">
        <f t="shared" si="9"/>
        <v>90.770399999999952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35">
      <c r="A30" s="1" t="s">
        <v>71</v>
      </c>
      <c r="B30" s="1" t="s">
        <v>39</v>
      </c>
      <c r="C30" s="1">
        <v>399.27199999999999</v>
      </c>
      <c r="D30" s="1">
        <v>351.87400000000002</v>
      </c>
      <c r="E30" s="1">
        <v>397.30799999999999</v>
      </c>
      <c r="F30" s="1"/>
      <c r="G30" s="7">
        <v>1</v>
      </c>
      <c r="H30" s="1">
        <v>40</v>
      </c>
      <c r="I30" s="9" t="s">
        <v>52</v>
      </c>
      <c r="J30" s="1"/>
      <c r="K30" s="1">
        <v>447.65499999999997</v>
      </c>
      <c r="L30" s="1">
        <f t="shared" si="2"/>
        <v>-50.34699999999998</v>
      </c>
      <c r="M30" s="1"/>
      <c r="N30" s="1"/>
      <c r="O30" s="1">
        <v>700</v>
      </c>
      <c r="P30" s="1"/>
      <c r="Q30" s="1"/>
      <c r="R30" s="1">
        <v>800</v>
      </c>
      <c r="S30" s="1"/>
      <c r="T30" s="1">
        <v>600</v>
      </c>
      <c r="U30" s="1">
        <f t="shared" si="3"/>
        <v>79.461600000000004</v>
      </c>
      <c r="V30" s="5"/>
      <c r="W30" s="16"/>
      <c r="X30" s="16"/>
      <c r="Y30" s="1">
        <f t="shared" si="4"/>
        <v>26.427859494397293</v>
      </c>
      <c r="Z30" s="1">
        <f t="shared" si="5"/>
        <v>26.427859494397293</v>
      </c>
      <c r="AA30" s="1">
        <v>183.1814</v>
      </c>
      <c r="AB30" s="1">
        <v>189.0034</v>
      </c>
      <c r="AC30" s="1">
        <v>89.290199999999999</v>
      </c>
      <c r="AD30" s="1">
        <v>4.0186000000000002</v>
      </c>
      <c r="AE30" s="1">
        <v>4.0195999999999996</v>
      </c>
      <c r="AF30" s="1">
        <v>85.760400000000004</v>
      </c>
      <c r="AG30" s="1">
        <v>91.31280000000001</v>
      </c>
      <c r="AH30" s="1">
        <v>5.6337999999999999</v>
      </c>
      <c r="AI30" s="1">
        <v>-0.54759999999999998</v>
      </c>
      <c r="AJ30" s="1">
        <v>-0.10059999999999999</v>
      </c>
      <c r="AK30" s="1" t="s">
        <v>48</v>
      </c>
      <c r="AL30" s="1">
        <f t="shared" si="9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35">
      <c r="A31" s="1" t="s">
        <v>72</v>
      </c>
      <c r="B31" s="1" t="s">
        <v>39</v>
      </c>
      <c r="C31" s="1">
        <v>19.696000000000002</v>
      </c>
      <c r="D31" s="1">
        <v>24.498999999999999</v>
      </c>
      <c r="E31" s="1">
        <v>33.034999999999997</v>
      </c>
      <c r="F31" s="1">
        <v>2.8000000000000001E-2</v>
      </c>
      <c r="G31" s="7">
        <v>1</v>
      </c>
      <c r="H31" s="1">
        <v>40</v>
      </c>
      <c r="I31" s="9" t="s">
        <v>52</v>
      </c>
      <c r="J31" s="1"/>
      <c r="K31" s="1">
        <v>35.299999999999997</v>
      </c>
      <c r="L31" s="1">
        <f t="shared" si="2"/>
        <v>-2.2650000000000006</v>
      </c>
      <c r="M31" s="1"/>
      <c r="N31" s="1"/>
      <c r="O31" s="1">
        <v>0</v>
      </c>
      <c r="P31" s="1"/>
      <c r="Q31" s="1"/>
      <c r="R31" s="1">
        <v>18.282800000000002</v>
      </c>
      <c r="S31" s="1"/>
      <c r="T31" s="1"/>
      <c r="U31" s="1">
        <f t="shared" si="3"/>
        <v>6.6069999999999993</v>
      </c>
      <c r="V31" s="5">
        <f t="shared" si="10"/>
        <v>54.366199999999992</v>
      </c>
      <c r="W31" s="16"/>
      <c r="X31" s="16"/>
      <c r="Y31" s="1">
        <f t="shared" si="4"/>
        <v>11</v>
      </c>
      <c r="Z31" s="1">
        <f t="shared" si="5"/>
        <v>2.7714242470107466</v>
      </c>
      <c r="AA31" s="1">
        <v>2.9994000000000001</v>
      </c>
      <c r="AB31" s="1">
        <v>1.4805999999999999</v>
      </c>
      <c r="AC31" s="1">
        <v>0</v>
      </c>
      <c r="AD31" s="1">
        <v>0</v>
      </c>
      <c r="AE31" s="1">
        <v>3.4148000000000009</v>
      </c>
      <c r="AF31" s="1">
        <v>5.5952000000000002</v>
      </c>
      <c r="AG31" s="1">
        <v>2.1804000000000001</v>
      </c>
      <c r="AH31" s="1">
        <v>0</v>
      </c>
      <c r="AI31" s="1">
        <v>0</v>
      </c>
      <c r="AJ31" s="1">
        <v>0</v>
      </c>
      <c r="AK31" s="1"/>
      <c r="AL31" s="1">
        <f t="shared" si="9"/>
        <v>54.366199999999992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35">
      <c r="A32" s="1" t="s">
        <v>73</v>
      </c>
      <c r="B32" s="1" t="s">
        <v>39</v>
      </c>
      <c r="C32" s="1">
        <v>104.741</v>
      </c>
      <c r="D32" s="1">
        <v>45.844999999999999</v>
      </c>
      <c r="E32" s="1">
        <v>69.361999999999995</v>
      </c>
      <c r="F32" s="1">
        <v>30.783000000000001</v>
      </c>
      <c r="G32" s="7">
        <v>1</v>
      </c>
      <c r="H32" s="1">
        <v>30</v>
      </c>
      <c r="I32" s="1" t="s">
        <v>40</v>
      </c>
      <c r="J32" s="1"/>
      <c r="K32" s="1">
        <v>101.1</v>
      </c>
      <c r="L32" s="1">
        <f t="shared" si="2"/>
        <v>-31.738</v>
      </c>
      <c r="M32" s="1"/>
      <c r="N32" s="1"/>
      <c r="O32" s="1">
        <v>63.789400000000029</v>
      </c>
      <c r="P32" s="1"/>
      <c r="Q32" s="1"/>
      <c r="R32" s="1">
        <v>55.927820800000013</v>
      </c>
      <c r="S32" s="1"/>
      <c r="T32" s="1">
        <v>82.507379200000003</v>
      </c>
      <c r="U32" s="1">
        <f t="shared" si="3"/>
        <v>13.872399999999999</v>
      </c>
      <c r="V32" s="5"/>
      <c r="W32" s="16"/>
      <c r="X32" s="16"/>
      <c r="Y32" s="1">
        <f t="shared" si="4"/>
        <v>16.796487990542378</v>
      </c>
      <c r="Z32" s="1">
        <f t="shared" si="5"/>
        <v>16.796487990542378</v>
      </c>
      <c r="AA32" s="1">
        <v>20.366800000000001</v>
      </c>
      <c r="AB32" s="1">
        <v>14.660399999999999</v>
      </c>
      <c r="AC32" s="1">
        <v>3.9342000000000001</v>
      </c>
      <c r="AD32" s="1">
        <v>1.4094</v>
      </c>
      <c r="AE32" s="1">
        <v>13.768800000000001</v>
      </c>
      <c r="AF32" s="1">
        <v>18.741599999999998</v>
      </c>
      <c r="AG32" s="1">
        <v>8.1288</v>
      </c>
      <c r="AH32" s="1">
        <v>0.57519999999999993</v>
      </c>
      <c r="AI32" s="1">
        <v>4.4287999999999998</v>
      </c>
      <c r="AJ32" s="1">
        <v>9.4892000000000003</v>
      </c>
      <c r="AK32" s="14" t="s">
        <v>63</v>
      </c>
      <c r="AL32" s="1">
        <f t="shared" si="9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35">
      <c r="A33" s="1" t="s">
        <v>74</v>
      </c>
      <c r="B33" s="1" t="s">
        <v>39</v>
      </c>
      <c r="C33" s="1">
        <v>144.03399999999999</v>
      </c>
      <c r="D33" s="1">
        <v>92</v>
      </c>
      <c r="E33" s="1">
        <v>130.46</v>
      </c>
      <c r="F33" s="1">
        <v>8.2330000000000005</v>
      </c>
      <c r="G33" s="7">
        <v>1</v>
      </c>
      <c r="H33" s="1">
        <v>50</v>
      </c>
      <c r="I33" s="9" t="s">
        <v>52</v>
      </c>
      <c r="J33" s="1"/>
      <c r="K33" s="1">
        <v>116.6</v>
      </c>
      <c r="L33" s="1">
        <f t="shared" si="2"/>
        <v>13.860000000000014</v>
      </c>
      <c r="M33" s="1"/>
      <c r="N33" s="1"/>
      <c r="O33" s="1">
        <v>0</v>
      </c>
      <c r="P33" s="1"/>
      <c r="Q33" s="1"/>
      <c r="R33" s="1">
        <v>85.02860000000004</v>
      </c>
      <c r="S33" s="1"/>
      <c r="T33" s="1"/>
      <c r="U33" s="1">
        <f t="shared" si="3"/>
        <v>26.092000000000002</v>
      </c>
      <c r="V33" s="5">
        <v>150</v>
      </c>
      <c r="W33" s="16"/>
      <c r="X33" s="16"/>
      <c r="Y33" s="1">
        <f t="shared" si="4"/>
        <v>9.3232255097347849</v>
      </c>
      <c r="Z33" s="1">
        <f t="shared" si="5"/>
        <v>3.5743369615207738</v>
      </c>
      <c r="AA33" s="1">
        <v>14.4978</v>
      </c>
      <c r="AB33" s="1">
        <v>7.5068000000000001</v>
      </c>
      <c r="AC33" s="1">
        <v>11.5124</v>
      </c>
      <c r="AD33" s="1">
        <v>10.9542</v>
      </c>
      <c r="AE33" s="1">
        <v>11.3468</v>
      </c>
      <c r="AF33" s="1">
        <v>12.454000000000001</v>
      </c>
      <c r="AG33" s="1">
        <v>10.270799999999999</v>
      </c>
      <c r="AH33" s="1">
        <v>14.135999999999999</v>
      </c>
      <c r="AI33" s="1">
        <v>12.776400000000001</v>
      </c>
      <c r="AJ33" s="1">
        <v>6.4742000000000006</v>
      </c>
      <c r="AK33" s="1"/>
      <c r="AL33" s="1">
        <f t="shared" si="9"/>
        <v>150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35">
      <c r="A34" s="10" t="s">
        <v>75</v>
      </c>
      <c r="B34" s="10" t="s">
        <v>39</v>
      </c>
      <c r="C34" s="10">
        <v>3.173</v>
      </c>
      <c r="D34" s="10">
        <v>0.34499999999999997</v>
      </c>
      <c r="E34" s="10">
        <v>-0.92</v>
      </c>
      <c r="F34" s="10"/>
      <c r="G34" s="11">
        <v>0</v>
      </c>
      <c r="H34" s="10">
        <v>50</v>
      </c>
      <c r="I34" s="10" t="s">
        <v>66</v>
      </c>
      <c r="J34" s="10"/>
      <c r="K34" s="10">
        <v>4.8</v>
      </c>
      <c r="L34" s="10">
        <f t="shared" si="2"/>
        <v>-5.72</v>
      </c>
      <c r="M34" s="10"/>
      <c r="N34" s="10"/>
      <c r="O34" s="10">
        <v>0</v>
      </c>
      <c r="P34" s="10"/>
      <c r="Q34" s="10"/>
      <c r="R34" s="10">
        <v>0</v>
      </c>
      <c r="S34" s="10"/>
      <c r="T34" s="10"/>
      <c r="U34" s="10">
        <f t="shared" si="3"/>
        <v>-0.184</v>
      </c>
      <c r="V34" s="12"/>
      <c r="W34" s="17"/>
      <c r="X34" s="17"/>
      <c r="Y34" s="10">
        <f t="shared" si="4"/>
        <v>0</v>
      </c>
      <c r="Z34" s="10">
        <f t="shared" si="5"/>
        <v>0</v>
      </c>
      <c r="AA34" s="10">
        <v>-0.184</v>
      </c>
      <c r="AB34" s="10">
        <v>0</v>
      </c>
      <c r="AC34" s="10">
        <v>-0.18079999999999999</v>
      </c>
      <c r="AD34" s="10">
        <v>-0.36299999999999999</v>
      </c>
      <c r="AE34" s="10">
        <v>-0.1822</v>
      </c>
      <c r="AF34" s="10">
        <v>-0.54239999999999999</v>
      </c>
      <c r="AG34" s="10">
        <v>-2.3757999999999999</v>
      </c>
      <c r="AH34" s="10">
        <v>-0.74660000000000004</v>
      </c>
      <c r="AI34" s="10">
        <v>5.9942000000000002</v>
      </c>
      <c r="AJ34" s="10">
        <v>6.5543999999999993</v>
      </c>
      <c r="AK34" s="10"/>
      <c r="AL34" s="10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35">
      <c r="A35" s="1" t="s">
        <v>76</v>
      </c>
      <c r="B35" s="1" t="s">
        <v>39</v>
      </c>
      <c r="C35" s="1">
        <v>53.680999999999997</v>
      </c>
      <c r="D35" s="1">
        <v>43.186999999999998</v>
      </c>
      <c r="E35" s="1">
        <v>50.5</v>
      </c>
      <c r="F35" s="1">
        <v>24.504000000000001</v>
      </c>
      <c r="G35" s="7">
        <v>1</v>
      </c>
      <c r="H35" s="1">
        <v>50</v>
      </c>
      <c r="I35" s="9" t="s">
        <v>52</v>
      </c>
      <c r="J35" s="1"/>
      <c r="K35" s="1">
        <v>46.1</v>
      </c>
      <c r="L35" s="1">
        <f t="shared" si="2"/>
        <v>4.3999999999999986</v>
      </c>
      <c r="M35" s="1"/>
      <c r="N35" s="1"/>
      <c r="O35" s="1">
        <v>14.5044</v>
      </c>
      <c r="P35" s="1"/>
      <c r="Q35" s="1"/>
      <c r="R35" s="1">
        <v>36.833399999999997</v>
      </c>
      <c r="S35" s="1">
        <v>-37.799999999999997</v>
      </c>
      <c r="T35" s="1"/>
      <c r="U35" s="1">
        <f t="shared" si="3"/>
        <v>10.1</v>
      </c>
      <c r="V35" s="5">
        <v>40</v>
      </c>
      <c r="W35" s="16"/>
      <c r="X35" s="16"/>
      <c r="Y35" s="1">
        <f t="shared" si="4"/>
        <v>7.7269108910891102</v>
      </c>
      <c r="Z35" s="1">
        <f t="shared" si="5"/>
        <v>3.7665148514851494</v>
      </c>
      <c r="AA35" s="1">
        <v>8.9084000000000003</v>
      </c>
      <c r="AB35" s="1">
        <v>7.8503999999999996</v>
      </c>
      <c r="AC35" s="1">
        <v>4.3845999999999998</v>
      </c>
      <c r="AD35" s="1">
        <v>6.3595999999999986</v>
      </c>
      <c r="AE35" s="1">
        <v>12.702</v>
      </c>
      <c r="AF35" s="1">
        <v>10.155799999999999</v>
      </c>
      <c r="AG35" s="1">
        <v>6.3393999999999986</v>
      </c>
      <c r="AH35" s="1">
        <v>11.959199999999999</v>
      </c>
      <c r="AI35" s="1">
        <v>10.5078</v>
      </c>
      <c r="AJ35" s="1">
        <v>5.4367999999999999</v>
      </c>
      <c r="AK35" s="1"/>
      <c r="AL35" s="1">
        <f t="shared" ref="AL35:AL45" si="11">G35*V35</f>
        <v>40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35">
      <c r="A36" s="1" t="s">
        <v>77</v>
      </c>
      <c r="B36" s="1" t="s">
        <v>44</v>
      </c>
      <c r="C36" s="1">
        <v>3</v>
      </c>
      <c r="D36" s="1">
        <v>710</v>
      </c>
      <c r="E36" s="1">
        <v>117</v>
      </c>
      <c r="F36" s="1">
        <v>13</v>
      </c>
      <c r="G36" s="7">
        <v>0.4</v>
      </c>
      <c r="H36" s="1">
        <v>45</v>
      </c>
      <c r="I36" s="9" t="s">
        <v>52</v>
      </c>
      <c r="J36" s="1"/>
      <c r="K36" s="1">
        <v>204</v>
      </c>
      <c r="L36" s="1">
        <f t="shared" si="2"/>
        <v>-87</v>
      </c>
      <c r="M36" s="1"/>
      <c r="N36" s="1"/>
      <c r="O36" s="1">
        <v>350</v>
      </c>
      <c r="P36" s="1"/>
      <c r="Q36" s="1"/>
      <c r="R36" s="1">
        <v>200</v>
      </c>
      <c r="S36" s="1"/>
      <c r="T36" s="1"/>
      <c r="U36" s="1">
        <f t="shared" si="3"/>
        <v>23.4</v>
      </c>
      <c r="V36" s="5"/>
      <c r="W36" s="16"/>
      <c r="X36" s="16"/>
      <c r="Y36" s="1">
        <f t="shared" si="4"/>
        <v>24.05982905982906</v>
      </c>
      <c r="Z36" s="1">
        <f t="shared" si="5"/>
        <v>24.05982905982906</v>
      </c>
      <c r="AA36" s="1">
        <v>-0.6</v>
      </c>
      <c r="AB36" s="1">
        <v>43</v>
      </c>
      <c r="AC36" s="1">
        <v>53.6</v>
      </c>
      <c r="AD36" s="1">
        <v>82</v>
      </c>
      <c r="AE36" s="1">
        <v>105.6</v>
      </c>
      <c r="AF36" s="1">
        <v>114.4</v>
      </c>
      <c r="AG36" s="1">
        <v>104.2</v>
      </c>
      <c r="AH36" s="1">
        <v>116</v>
      </c>
      <c r="AI36" s="1">
        <v>216.8</v>
      </c>
      <c r="AJ36" s="1">
        <v>207.6</v>
      </c>
      <c r="AK36" s="1"/>
      <c r="AL36" s="1">
        <f t="shared" si="11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35">
      <c r="A37" s="1" t="s">
        <v>78</v>
      </c>
      <c r="B37" s="1" t="s">
        <v>44</v>
      </c>
      <c r="C37" s="1">
        <v>570</v>
      </c>
      <c r="D37" s="1">
        <v>113</v>
      </c>
      <c r="E37" s="1">
        <v>122</v>
      </c>
      <c r="F37" s="1">
        <v>443</v>
      </c>
      <c r="G37" s="7">
        <v>0.45</v>
      </c>
      <c r="H37" s="1">
        <v>50</v>
      </c>
      <c r="I37" s="1" t="s">
        <v>40</v>
      </c>
      <c r="J37" s="1"/>
      <c r="K37" s="1">
        <v>122</v>
      </c>
      <c r="L37" s="1">
        <f t="shared" si="2"/>
        <v>0</v>
      </c>
      <c r="M37" s="1"/>
      <c r="N37" s="1"/>
      <c r="O37" s="1">
        <v>0</v>
      </c>
      <c r="P37" s="1"/>
      <c r="Q37" s="1"/>
      <c r="R37" s="1">
        <v>0</v>
      </c>
      <c r="S37" s="1"/>
      <c r="T37" s="1"/>
      <c r="U37" s="1">
        <f t="shared" si="3"/>
        <v>24.4</v>
      </c>
      <c r="V37" s="5"/>
      <c r="W37" s="16"/>
      <c r="X37" s="16"/>
      <c r="Y37" s="1">
        <f t="shared" si="4"/>
        <v>18.155737704918035</v>
      </c>
      <c r="Z37" s="1">
        <f t="shared" si="5"/>
        <v>18.155737704918035</v>
      </c>
      <c r="AA37" s="1">
        <v>26.6</v>
      </c>
      <c r="AB37" s="1">
        <v>21.8</v>
      </c>
      <c r="AC37" s="1">
        <v>11.8</v>
      </c>
      <c r="AD37" s="1">
        <v>12.6</v>
      </c>
      <c r="AE37" s="1">
        <v>23.8</v>
      </c>
      <c r="AF37" s="1">
        <v>51.6</v>
      </c>
      <c r="AG37" s="1">
        <v>52.6</v>
      </c>
      <c r="AH37" s="1">
        <v>22.2</v>
      </c>
      <c r="AI37" s="1">
        <v>31.6</v>
      </c>
      <c r="AJ37" s="1">
        <v>33.799999999999997</v>
      </c>
      <c r="AK37" s="15" t="s">
        <v>79</v>
      </c>
      <c r="AL37" s="1">
        <f t="shared" si="11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35">
      <c r="A38" s="1" t="s">
        <v>80</v>
      </c>
      <c r="B38" s="1" t="s">
        <v>44</v>
      </c>
      <c r="C38" s="1">
        <v>67</v>
      </c>
      <c r="D38" s="1">
        <v>225</v>
      </c>
      <c r="E38" s="1">
        <v>96</v>
      </c>
      <c r="F38" s="1">
        <v>15</v>
      </c>
      <c r="G38" s="7">
        <v>0.4</v>
      </c>
      <c r="H38" s="1">
        <v>45</v>
      </c>
      <c r="I38" s="9" t="s">
        <v>52</v>
      </c>
      <c r="J38" s="1"/>
      <c r="K38" s="1">
        <v>215</v>
      </c>
      <c r="L38" s="1">
        <f t="shared" ref="L38:L69" si="12">E38-K38</f>
        <v>-119</v>
      </c>
      <c r="M38" s="1"/>
      <c r="N38" s="1"/>
      <c r="O38" s="1">
        <v>200</v>
      </c>
      <c r="P38" s="1"/>
      <c r="Q38" s="1"/>
      <c r="R38" s="1">
        <v>60</v>
      </c>
      <c r="S38" s="1"/>
      <c r="T38" s="1"/>
      <c r="U38" s="1">
        <f t="shared" ref="U38:U69" si="13">E38/5</f>
        <v>19.2</v>
      </c>
      <c r="V38" s="5">
        <v>60</v>
      </c>
      <c r="W38" s="16"/>
      <c r="X38" s="16"/>
      <c r="Y38" s="1">
        <f t="shared" ref="Y38:Y69" si="14">(F38+O38+P38+Q38+R38+S38+T38+V38)/U38</f>
        <v>17.447916666666668</v>
      </c>
      <c r="Z38" s="1">
        <f t="shared" ref="Z38:Z69" si="15">(F38+O38+P38+Q38+R38+S38+T38)/U38</f>
        <v>14.322916666666668</v>
      </c>
      <c r="AA38" s="1">
        <v>18</v>
      </c>
      <c r="AB38" s="1">
        <v>24.6</v>
      </c>
      <c r="AC38" s="1">
        <v>14.2</v>
      </c>
      <c r="AD38" s="1">
        <v>-0.4</v>
      </c>
      <c r="AE38" s="1">
        <v>2.4</v>
      </c>
      <c r="AF38" s="1">
        <v>29</v>
      </c>
      <c r="AG38" s="1">
        <v>33.6</v>
      </c>
      <c r="AH38" s="1">
        <v>5.4</v>
      </c>
      <c r="AI38" s="1">
        <v>27.8</v>
      </c>
      <c r="AJ38" s="1">
        <v>61.4</v>
      </c>
      <c r="AK38" s="1"/>
      <c r="AL38" s="1">
        <f t="shared" si="11"/>
        <v>24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35">
      <c r="A39" s="1" t="s">
        <v>81</v>
      </c>
      <c r="B39" s="1" t="s">
        <v>44</v>
      </c>
      <c r="C39" s="1">
        <v>-2</v>
      </c>
      <c r="D39" s="1">
        <v>19</v>
      </c>
      <c r="E39" s="1"/>
      <c r="F39" s="1"/>
      <c r="G39" s="7">
        <v>0.4</v>
      </c>
      <c r="H39" s="1">
        <v>40</v>
      </c>
      <c r="I39" s="9" t="s">
        <v>52</v>
      </c>
      <c r="J39" s="1"/>
      <c r="K39" s="1">
        <v>12</v>
      </c>
      <c r="L39" s="1">
        <f t="shared" si="12"/>
        <v>-12</v>
      </c>
      <c r="M39" s="1"/>
      <c r="N39" s="1"/>
      <c r="O39" s="1">
        <v>20</v>
      </c>
      <c r="P39" s="1"/>
      <c r="Q39" s="1"/>
      <c r="R39" s="1">
        <v>20</v>
      </c>
      <c r="S39" s="1">
        <v>-24</v>
      </c>
      <c r="T39" s="1"/>
      <c r="U39" s="1">
        <f t="shared" si="13"/>
        <v>0</v>
      </c>
      <c r="V39" s="5">
        <v>30</v>
      </c>
      <c r="W39" s="16"/>
      <c r="X39" s="16"/>
      <c r="Y39" s="1" t="e">
        <f t="shared" si="14"/>
        <v>#DIV/0!</v>
      </c>
      <c r="Z39" s="1" t="e">
        <f t="shared" si="15"/>
        <v>#DIV/0!</v>
      </c>
      <c r="AA39" s="1">
        <v>0</v>
      </c>
      <c r="AB39" s="1">
        <v>0</v>
      </c>
      <c r="AC39" s="1">
        <v>0</v>
      </c>
      <c r="AD39" s="1">
        <v>0</v>
      </c>
      <c r="AE39" s="1">
        <v>3</v>
      </c>
      <c r="AF39" s="1">
        <v>8.6</v>
      </c>
      <c r="AG39" s="1">
        <v>9.1999999999999993</v>
      </c>
      <c r="AH39" s="1">
        <v>5.6</v>
      </c>
      <c r="AI39" s="1">
        <v>11.2</v>
      </c>
      <c r="AJ39" s="1">
        <v>12</v>
      </c>
      <c r="AK39" s="1"/>
      <c r="AL39" s="1">
        <f t="shared" si="11"/>
        <v>12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35">
      <c r="A40" s="1" t="s">
        <v>82</v>
      </c>
      <c r="B40" s="1" t="s">
        <v>39</v>
      </c>
      <c r="C40" s="1">
        <v>65.822999999999993</v>
      </c>
      <c r="D40" s="1">
        <v>61.390999999999998</v>
      </c>
      <c r="E40" s="1">
        <v>52.09</v>
      </c>
      <c r="F40" s="1">
        <v>29.646000000000001</v>
      </c>
      <c r="G40" s="7">
        <v>1</v>
      </c>
      <c r="H40" s="1">
        <v>45</v>
      </c>
      <c r="I40" s="9" t="s">
        <v>52</v>
      </c>
      <c r="J40" s="1"/>
      <c r="K40" s="1">
        <v>45.7</v>
      </c>
      <c r="L40" s="1">
        <f t="shared" si="12"/>
        <v>6.3900000000000006</v>
      </c>
      <c r="M40" s="1"/>
      <c r="N40" s="1"/>
      <c r="O40" s="1">
        <v>27.73</v>
      </c>
      <c r="P40" s="1"/>
      <c r="Q40" s="1"/>
      <c r="R40" s="1">
        <v>20</v>
      </c>
      <c r="S40" s="1"/>
      <c r="T40" s="1"/>
      <c r="U40" s="1">
        <f t="shared" si="13"/>
        <v>10.418000000000001</v>
      </c>
      <c r="V40" s="5">
        <f t="shared" ref="V40:V45" si="16">11*U40-T40-S40-R40-Q40-P40-O40-F40</f>
        <v>37.222000000000008</v>
      </c>
      <c r="W40" s="19">
        <v>100</v>
      </c>
      <c r="X40" s="19" t="s">
        <v>189</v>
      </c>
      <c r="Y40" s="1">
        <f t="shared" si="14"/>
        <v>11</v>
      </c>
      <c r="Z40" s="1">
        <f t="shared" si="15"/>
        <v>7.4271453253983486</v>
      </c>
      <c r="AA40" s="1">
        <v>9.3553999999999995</v>
      </c>
      <c r="AB40" s="1">
        <v>10.323</v>
      </c>
      <c r="AC40" s="1">
        <v>4.6484000000000014</v>
      </c>
      <c r="AD40" s="1">
        <v>2.3094000000000001</v>
      </c>
      <c r="AE40" s="1">
        <v>9.5343999999999998</v>
      </c>
      <c r="AF40" s="1">
        <v>16.715199999999999</v>
      </c>
      <c r="AG40" s="1">
        <v>10.9094</v>
      </c>
      <c r="AH40" s="1">
        <v>0</v>
      </c>
      <c r="AI40" s="1">
        <v>0</v>
      </c>
      <c r="AJ40" s="1">
        <v>0</v>
      </c>
      <c r="AK40" s="1"/>
      <c r="AL40" s="1">
        <f t="shared" si="11"/>
        <v>37.222000000000008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35">
      <c r="A41" s="1" t="s">
        <v>83</v>
      </c>
      <c r="B41" s="1" t="s">
        <v>44</v>
      </c>
      <c r="C41" s="1">
        <v>851</v>
      </c>
      <c r="D41" s="1">
        <v>544</v>
      </c>
      <c r="E41" s="1">
        <v>569</v>
      </c>
      <c r="F41" s="1">
        <v>628</v>
      </c>
      <c r="G41" s="7">
        <v>0.1</v>
      </c>
      <c r="H41" s="1">
        <v>731</v>
      </c>
      <c r="I41" s="1" t="s">
        <v>40</v>
      </c>
      <c r="J41" s="1"/>
      <c r="K41" s="1">
        <v>545</v>
      </c>
      <c r="L41" s="1">
        <f t="shared" si="12"/>
        <v>24</v>
      </c>
      <c r="M41" s="1"/>
      <c r="N41" s="1"/>
      <c r="O41" s="1">
        <v>400</v>
      </c>
      <c r="P41" s="1"/>
      <c r="Q41" s="1"/>
      <c r="R41" s="1">
        <v>207.17120000000011</v>
      </c>
      <c r="S41" s="1"/>
      <c r="T41" s="1">
        <v>305.62880000000013</v>
      </c>
      <c r="U41" s="1">
        <f t="shared" si="13"/>
        <v>113.8</v>
      </c>
      <c r="V41" s="5"/>
      <c r="W41" s="16"/>
      <c r="X41" s="16"/>
      <c r="Y41" s="1">
        <f t="shared" si="14"/>
        <v>13.539543057996489</v>
      </c>
      <c r="Z41" s="1">
        <f t="shared" si="15"/>
        <v>13.539543057996489</v>
      </c>
      <c r="AA41" s="1">
        <v>149.4</v>
      </c>
      <c r="AB41" s="1">
        <v>112</v>
      </c>
      <c r="AC41" s="1">
        <v>37</v>
      </c>
      <c r="AD41" s="1">
        <v>22.6</v>
      </c>
      <c r="AE41" s="1">
        <v>58.2</v>
      </c>
      <c r="AF41" s="1">
        <v>88</v>
      </c>
      <c r="AG41" s="1">
        <v>90</v>
      </c>
      <c r="AH41" s="1">
        <v>67.400000000000006</v>
      </c>
      <c r="AI41" s="1">
        <v>57.8</v>
      </c>
      <c r="AJ41" s="1">
        <v>47.8</v>
      </c>
      <c r="AK41" s="1" t="s">
        <v>84</v>
      </c>
      <c r="AL41" s="1">
        <f t="shared" si="11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35">
      <c r="A42" s="1" t="s">
        <v>85</v>
      </c>
      <c r="B42" s="1" t="s">
        <v>44</v>
      </c>
      <c r="C42" s="1">
        <v>5</v>
      </c>
      <c r="D42" s="1">
        <v>75</v>
      </c>
      <c r="E42" s="1">
        <v>28</v>
      </c>
      <c r="F42" s="1">
        <v>8</v>
      </c>
      <c r="G42" s="7">
        <v>0.35</v>
      </c>
      <c r="H42" s="1">
        <v>40</v>
      </c>
      <c r="I42" s="9" t="s">
        <v>52</v>
      </c>
      <c r="J42" s="1"/>
      <c r="K42" s="1">
        <v>57</v>
      </c>
      <c r="L42" s="1">
        <f t="shared" si="12"/>
        <v>-29</v>
      </c>
      <c r="M42" s="1"/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13"/>
        <v>5.6</v>
      </c>
      <c r="V42" s="5">
        <v>30</v>
      </c>
      <c r="W42" s="19">
        <v>250</v>
      </c>
      <c r="X42" s="19" t="s">
        <v>186</v>
      </c>
      <c r="Y42" s="1">
        <f t="shared" si="14"/>
        <v>13.928571428571429</v>
      </c>
      <c r="Z42" s="1">
        <f t="shared" si="15"/>
        <v>8.5714285714285712</v>
      </c>
      <c r="AA42" s="1">
        <v>-3.8</v>
      </c>
      <c r="AB42" s="1">
        <v>-3.6</v>
      </c>
      <c r="AC42" s="1">
        <v>0</v>
      </c>
      <c r="AD42" s="1">
        <v>0</v>
      </c>
      <c r="AE42" s="1">
        <v>-0.2</v>
      </c>
      <c r="AF42" s="1">
        <v>-0.8</v>
      </c>
      <c r="AG42" s="1">
        <v>0</v>
      </c>
      <c r="AH42" s="1">
        <v>-0.2</v>
      </c>
      <c r="AI42" s="1">
        <v>-0.8</v>
      </c>
      <c r="AJ42" s="1">
        <v>3.8</v>
      </c>
      <c r="AK42" s="1"/>
      <c r="AL42" s="1">
        <f t="shared" si="11"/>
        <v>10.5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35">
      <c r="A43" s="1" t="s">
        <v>86</v>
      </c>
      <c r="B43" s="1" t="s">
        <v>39</v>
      </c>
      <c r="C43" s="1">
        <v>-5.0839999999999996</v>
      </c>
      <c r="D43" s="1">
        <v>172.08500000000001</v>
      </c>
      <c r="E43" s="1">
        <v>7.9909999999999997</v>
      </c>
      <c r="F43" s="1">
        <v>76.938000000000002</v>
      </c>
      <c r="G43" s="7">
        <v>1</v>
      </c>
      <c r="H43" s="1">
        <v>40</v>
      </c>
      <c r="I43" s="9" t="s">
        <v>52</v>
      </c>
      <c r="J43" s="1"/>
      <c r="K43" s="1">
        <v>14</v>
      </c>
      <c r="L43" s="1">
        <f t="shared" si="12"/>
        <v>-6.0090000000000003</v>
      </c>
      <c r="M43" s="1"/>
      <c r="N43" s="1"/>
      <c r="O43" s="1">
        <v>50</v>
      </c>
      <c r="P43" s="1"/>
      <c r="Q43" s="1"/>
      <c r="R43" s="1">
        <v>20</v>
      </c>
      <c r="S43" s="1"/>
      <c r="T43" s="1"/>
      <c r="U43" s="1">
        <f t="shared" si="13"/>
        <v>1.5981999999999998</v>
      </c>
      <c r="V43" s="5"/>
      <c r="W43" s="16"/>
      <c r="X43" s="16"/>
      <c r="Y43" s="1">
        <f t="shared" si="14"/>
        <v>91.93968214241022</v>
      </c>
      <c r="Z43" s="1">
        <f t="shared" si="15"/>
        <v>91.93968214241022</v>
      </c>
      <c r="AA43" s="1">
        <v>5.7080000000000002</v>
      </c>
      <c r="AB43" s="1">
        <v>8.1778000000000013</v>
      </c>
      <c r="AC43" s="1">
        <v>8.4413999999999998</v>
      </c>
      <c r="AD43" s="1">
        <v>18.788799999999998</v>
      </c>
      <c r="AE43" s="1">
        <v>21.273199999999999</v>
      </c>
      <c r="AF43" s="1">
        <v>22.917999999999999</v>
      </c>
      <c r="AG43" s="1">
        <v>21.759399999999999</v>
      </c>
      <c r="AH43" s="1">
        <v>16.7</v>
      </c>
      <c r="AI43" s="1">
        <v>22.0274</v>
      </c>
      <c r="AJ43" s="1">
        <v>19.802399999999999</v>
      </c>
      <c r="AK43" s="1"/>
      <c r="AL43" s="1">
        <f t="shared" si="11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35">
      <c r="A44" s="1" t="s">
        <v>87</v>
      </c>
      <c r="B44" s="1" t="s">
        <v>44</v>
      </c>
      <c r="C44" s="1">
        <v>140</v>
      </c>
      <c r="D44" s="1">
        <v>144</v>
      </c>
      <c r="E44" s="1">
        <v>141</v>
      </c>
      <c r="F44" s="1">
        <v>24</v>
      </c>
      <c r="G44" s="7">
        <v>0.4</v>
      </c>
      <c r="H44" s="1">
        <v>40</v>
      </c>
      <c r="I44" s="9" t="s">
        <v>52</v>
      </c>
      <c r="J44" s="1"/>
      <c r="K44" s="1">
        <v>138</v>
      </c>
      <c r="L44" s="1">
        <f t="shared" si="12"/>
        <v>3</v>
      </c>
      <c r="M44" s="1"/>
      <c r="N44" s="1"/>
      <c r="O44" s="1">
        <v>20</v>
      </c>
      <c r="P44" s="1"/>
      <c r="Q44" s="1"/>
      <c r="R44" s="1">
        <v>120</v>
      </c>
      <c r="S44" s="1"/>
      <c r="T44" s="1">
        <v>100</v>
      </c>
      <c r="U44" s="1">
        <f t="shared" si="13"/>
        <v>28.2</v>
      </c>
      <c r="V44" s="5">
        <f t="shared" si="16"/>
        <v>46.199999999999989</v>
      </c>
      <c r="W44" s="16"/>
      <c r="X44" s="16"/>
      <c r="Y44" s="1">
        <f t="shared" si="14"/>
        <v>11</v>
      </c>
      <c r="Z44" s="1">
        <f t="shared" si="15"/>
        <v>9.3617021276595747</v>
      </c>
      <c r="AA44" s="1">
        <v>24.6</v>
      </c>
      <c r="AB44" s="1">
        <v>15.2</v>
      </c>
      <c r="AC44" s="1">
        <v>11.6</v>
      </c>
      <c r="AD44" s="1">
        <v>11</v>
      </c>
      <c r="AE44" s="1">
        <v>16.399999999999999</v>
      </c>
      <c r="AF44" s="1">
        <v>26.8</v>
      </c>
      <c r="AG44" s="1">
        <v>22.8</v>
      </c>
      <c r="AH44" s="1">
        <v>2</v>
      </c>
      <c r="AI44" s="1">
        <v>6.2</v>
      </c>
      <c r="AJ44" s="1">
        <v>16.399999999999999</v>
      </c>
      <c r="AK44" s="1"/>
      <c r="AL44" s="1">
        <f t="shared" si="11"/>
        <v>18.479999999999997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35">
      <c r="A45" s="1" t="s">
        <v>88</v>
      </c>
      <c r="B45" s="1" t="s">
        <v>44</v>
      </c>
      <c r="C45" s="1">
        <v>226</v>
      </c>
      <c r="D45" s="1">
        <v>138</v>
      </c>
      <c r="E45" s="1">
        <v>167</v>
      </c>
      <c r="F45" s="1">
        <v>92</v>
      </c>
      <c r="G45" s="7">
        <v>0.4</v>
      </c>
      <c r="H45" s="1">
        <v>45</v>
      </c>
      <c r="I45" s="1" t="s">
        <v>40</v>
      </c>
      <c r="J45" s="1"/>
      <c r="K45" s="1">
        <v>163</v>
      </c>
      <c r="L45" s="1">
        <f t="shared" si="12"/>
        <v>4</v>
      </c>
      <c r="M45" s="1"/>
      <c r="N45" s="1"/>
      <c r="O45" s="1">
        <v>0</v>
      </c>
      <c r="P45" s="1"/>
      <c r="Q45" s="1"/>
      <c r="R45" s="1">
        <v>64.316800000000029</v>
      </c>
      <c r="S45" s="1"/>
      <c r="T45" s="1">
        <v>94.883200000000016</v>
      </c>
      <c r="U45" s="1">
        <f t="shared" si="13"/>
        <v>33.4</v>
      </c>
      <c r="V45" s="5">
        <f t="shared" si="16"/>
        <v>116.19999999999996</v>
      </c>
      <c r="W45" s="16"/>
      <c r="X45" s="16"/>
      <c r="Y45" s="1">
        <f t="shared" si="14"/>
        <v>11</v>
      </c>
      <c r="Z45" s="1">
        <f t="shared" si="15"/>
        <v>7.5209580838323369</v>
      </c>
      <c r="AA45" s="1">
        <v>27.6</v>
      </c>
      <c r="AB45" s="1">
        <v>19</v>
      </c>
      <c r="AC45" s="1">
        <v>11.4</v>
      </c>
      <c r="AD45" s="1">
        <v>1.4</v>
      </c>
      <c r="AE45" s="1">
        <v>4.8</v>
      </c>
      <c r="AF45" s="1">
        <v>25</v>
      </c>
      <c r="AG45" s="1">
        <v>30.8</v>
      </c>
      <c r="AH45" s="1">
        <v>13.8</v>
      </c>
      <c r="AI45" s="1">
        <v>21.8</v>
      </c>
      <c r="AJ45" s="1">
        <v>26.4</v>
      </c>
      <c r="AK45" s="1"/>
      <c r="AL45" s="1">
        <f t="shared" si="11"/>
        <v>46.47999999999999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35">
      <c r="A46" s="10" t="s">
        <v>89</v>
      </c>
      <c r="B46" s="10" t="s">
        <v>39</v>
      </c>
      <c r="C46" s="10">
        <v>2.2000000000000002</v>
      </c>
      <c r="D46" s="10">
        <v>12.999000000000001</v>
      </c>
      <c r="E46" s="10"/>
      <c r="F46" s="10"/>
      <c r="G46" s="11">
        <v>0</v>
      </c>
      <c r="H46" s="10">
        <v>40</v>
      </c>
      <c r="I46" s="10" t="s">
        <v>66</v>
      </c>
      <c r="J46" s="10"/>
      <c r="K46" s="10">
        <v>6.4</v>
      </c>
      <c r="L46" s="10">
        <f t="shared" si="12"/>
        <v>-6.4</v>
      </c>
      <c r="M46" s="10"/>
      <c r="N46" s="10"/>
      <c r="O46" s="10">
        <v>0</v>
      </c>
      <c r="P46" s="10"/>
      <c r="Q46" s="10"/>
      <c r="R46" s="10">
        <v>0</v>
      </c>
      <c r="S46" s="10"/>
      <c r="T46" s="10"/>
      <c r="U46" s="10">
        <f t="shared" si="13"/>
        <v>0</v>
      </c>
      <c r="V46" s="12"/>
      <c r="W46" s="17"/>
      <c r="X46" s="17"/>
      <c r="Y46" s="10" t="e">
        <f t="shared" si="14"/>
        <v>#DIV/0!</v>
      </c>
      <c r="Z46" s="10" t="e">
        <f t="shared" si="15"/>
        <v>#DIV/0!</v>
      </c>
      <c r="AA46" s="10">
        <v>-0.14560000000000001</v>
      </c>
      <c r="AB46" s="10">
        <v>-0.14560000000000001</v>
      </c>
      <c r="AC46" s="10">
        <v>0</v>
      </c>
      <c r="AD46" s="10">
        <v>0</v>
      </c>
      <c r="AE46" s="10">
        <v>0</v>
      </c>
      <c r="AF46" s="10">
        <v>-0.1434</v>
      </c>
      <c r="AG46" s="10">
        <v>-0.1434</v>
      </c>
      <c r="AH46" s="10">
        <v>0</v>
      </c>
      <c r="AI46" s="10">
        <v>-0.43659999999999999</v>
      </c>
      <c r="AJ46" s="10">
        <v>-0.43659999999999999</v>
      </c>
      <c r="AK46" s="10"/>
      <c r="AL46" s="10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35">
      <c r="A47" s="1" t="s">
        <v>90</v>
      </c>
      <c r="B47" s="1" t="s">
        <v>39</v>
      </c>
      <c r="C47" s="1">
        <v>-11.271000000000001</v>
      </c>
      <c r="D47" s="1">
        <v>125.23399999999999</v>
      </c>
      <c r="E47" s="1">
        <v>2.8820000000000001</v>
      </c>
      <c r="F47" s="1">
        <v>3.1E-2</v>
      </c>
      <c r="G47" s="7">
        <v>1</v>
      </c>
      <c r="H47" s="1">
        <v>40</v>
      </c>
      <c r="I47" s="9" t="s">
        <v>52</v>
      </c>
      <c r="J47" s="1"/>
      <c r="K47" s="1">
        <v>9.4</v>
      </c>
      <c r="L47" s="1">
        <f t="shared" si="12"/>
        <v>-6.5180000000000007</v>
      </c>
      <c r="M47" s="1"/>
      <c r="N47" s="1"/>
      <c r="O47" s="1">
        <v>50</v>
      </c>
      <c r="P47" s="1"/>
      <c r="Q47" s="1"/>
      <c r="R47" s="1">
        <v>40</v>
      </c>
      <c r="S47" s="1"/>
      <c r="T47" s="1"/>
      <c r="U47" s="1">
        <f t="shared" si="13"/>
        <v>0.57640000000000002</v>
      </c>
      <c r="V47" s="5"/>
      <c r="W47" s="19">
        <v>100</v>
      </c>
      <c r="X47" s="19" t="s">
        <v>186</v>
      </c>
      <c r="Y47" s="1">
        <f t="shared" si="14"/>
        <v>156.19535045107565</v>
      </c>
      <c r="Z47" s="1">
        <f t="shared" si="15"/>
        <v>156.19535045107565</v>
      </c>
      <c r="AA47" s="1">
        <v>3.3826000000000001</v>
      </c>
      <c r="AB47" s="1">
        <v>8.9486000000000008</v>
      </c>
      <c r="AC47" s="1">
        <v>4.9824000000000002</v>
      </c>
      <c r="AD47" s="1">
        <v>7.7111999999999998</v>
      </c>
      <c r="AE47" s="1">
        <v>16.299800000000001</v>
      </c>
      <c r="AF47" s="1">
        <v>23.334199999999999</v>
      </c>
      <c r="AG47" s="1">
        <v>20.9544</v>
      </c>
      <c r="AH47" s="1">
        <v>15.678000000000001</v>
      </c>
      <c r="AI47" s="1">
        <v>20.927800000000001</v>
      </c>
      <c r="AJ47" s="1">
        <v>16.421600000000002</v>
      </c>
      <c r="AK47" s="1"/>
      <c r="AL47" s="1">
        <f t="shared" ref="AL47:AL72" si="17">G47*V47</f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35">
      <c r="A48" s="1" t="s">
        <v>91</v>
      </c>
      <c r="B48" s="1" t="s">
        <v>44</v>
      </c>
      <c r="C48" s="1">
        <v>122</v>
      </c>
      <c r="D48" s="1">
        <v>485</v>
      </c>
      <c r="E48" s="1">
        <v>159</v>
      </c>
      <c r="F48" s="1">
        <v>34</v>
      </c>
      <c r="G48" s="7">
        <v>0.35</v>
      </c>
      <c r="H48" s="1">
        <v>40</v>
      </c>
      <c r="I48" s="9" t="s">
        <v>52</v>
      </c>
      <c r="J48" s="1"/>
      <c r="K48" s="1">
        <v>210</v>
      </c>
      <c r="L48" s="1">
        <f t="shared" si="12"/>
        <v>-51</v>
      </c>
      <c r="M48" s="1"/>
      <c r="N48" s="1"/>
      <c r="O48" s="1">
        <v>172.6</v>
      </c>
      <c r="P48" s="1"/>
      <c r="Q48" s="1"/>
      <c r="R48" s="1">
        <v>169.4</v>
      </c>
      <c r="S48" s="1">
        <v>-174</v>
      </c>
      <c r="T48" s="1"/>
      <c r="U48" s="1">
        <f t="shared" si="13"/>
        <v>31.8</v>
      </c>
      <c r="V48" s="5">
        <v>180</v>
      </c>
      <c r="W48" s="19">
        <v>250</v>
      </c>
      <c r="X48" s="19" t="s">
        <v>186</v>
      </c>
      <c r="Y48" s="1">
        <f t="shared" si="14"/>
        <v>12.012578616352201</v>
      </c>
      <c r="Z48" s="1">
        <f t="shared" si="15"/>
        <v>6.3522012578616351</v>
      </c>
      <c r="AA48" s="1">
        <v>39</v>
      </c>
      <c r="AB48" s="1">
        <v>35.6</v>
      </c>
      <c r="AC48" s="1">
        <v>19.600000000000001</v>
      </c>
      <c r="AD48" s="1">
        <v>0</v>
      </c>
      <c r="AE48" s="1">
        <v>2.2000000000000002</v>
      </c>
      <c r="AF48" s="1">
        <v>53</v>
      </c>
      <c r="AG48" s="1">
        <v>103</v>
      </c>
      <c r="AH48" s="1">
        <v>97.6</v>
      </c>
      <c r="AI48" s="1">
        <v>89</v>
      </c>
      <c r="AJ48" s="1">
        <v>59.8</v>
      </c>
      <c r="AK48" s="1"/>
      <c r="AL48" s="1">
        <f t="shared" si="17"/>
        <v>62.999999999999993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35">
      <c r="A49" s="1" t="s">
        <v>92</v>
      </c>
      <c r="B49" s="1" t="s">
        <v>44</v>
      </c>
      <c r="C49" s="1">
        <v>181</v>
      </c>
      <c r="D49" s="1">
        <v>128</v>
      </c>
      <c r="E49" s="1">
        <v>170</v>
      </c>
      <c r="F49" s="1"/>
      <c r="G49" s="7">
        <v>0.4</v>
      </c>
      <c r="H49" s="1">
        <v>40</v>
      </c>
      <c r="I49" s="9" t="s">
        <v>52</v>
      </c>
      <c r="J49" s="1"/>
      <c r="K49" s="1">
        <v>205</v>
      </c>
      <c r="L49" s="1">
        <f t="shared" si="12"/>
        <v>-35</v>
      </c>
      <c r="M49" s="1"/>
      <c r="N49" s="1"/>
      <c r="O49" s="1">
        <v>150</v>
      </c>
      <c r="P49" s="1"/>
      <c r="Q49" s="1"/>
      <c r="R49" s="1">
        <v>150</v>
      </c>
      <c r="S49" s="1"/>
      <c r="T49" s="1">
        <v>100</v>
      </c>
      <c r="U49" s="1">
        <f t="shared" si="13"/>
        <v>34</v>
      </c>
      <c r="V49" s="5">
        <v>50</v>
      </c>
      <c r="W49" s="16"/>
      <c r="X49" s="16"/>
      <c r="Y49" s="1">
        <f t="shared" si="14"/>
        <v>13.235294117647058</v>
      </c>
      <c r="Z49" s="1">
        <f t="shared" si="15"/>
        <v>11.764705882352942</v>
      </c>
      <c r="AA49" s="1">
        <v>51.6</v>
      </c>
      <c r="AB49" s="1">
        <v>49.6</v>
      </c>
      <c r="AC49" s="1">
        <v>31</v>
      </c>
      <c r="AD49" s="1">
        <v>7</v>
      </c>
      <c r="AE49" s="1">
        <v>16.399999999999999</v>
      </c>
      <c r="AF49" s="1">
        <v>57.2</v>
      </c>
      <c r="AG49" s="1">
        <v>50.6</v>
      </c>
      <c r="AH49" s="1">
        <v>5.8</v>
      </c>
      <c r="AI49" s="1">
        <v>33.6</v>
      </c>
      <c r="AJ49" s="1">
        <v>70.400000000000006</v>
      </c>
      <c r="AK49" s="1"/>
      <c r="AL49" s="1">
        <f t="shared" si="17"/>
        <v>20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35">
      <c r="A50" s="1" t="s">
        <v>93</v>
      </c>
      <c r="B50" s="1" t="s">
        <v>39</v>
      </c>
      <c r="C50" s="1">
        <v>179.37</v>
      </c>
      <c r="D50" s="1">
        <v>35.326999999999998</v>
      </c>
      <c r="E50" s="1">
        <v>69.569999999999993</v>
      </c>
      <c r="F50" s="1">
        <v>104.095</v>
      </c>
      <c r="G50" s="7">
        <v>1</v>
      </c>
      <c r="H50" s="1">
        <v>50</v>
      </c>
      <c r="I50" s="1" t="s">
        <v>40</v>
      </c>
      <c r="J50" s="1"/>
      <c r="K50" s="1">
        <v>61.25</v>
      </c>
      <c r="L50" s="1">
        <f t="shared" si="12"/>
        <v>8.3199999999999932</v>
      </c>
      <c r="M50" s="1"/>
      <c r="N50" s="1"/>
      <c r="O50" s="1">
        <v>0</v>
      </c>
      <c r="P50" s="1"/>
      <c r="Q50" s="1"/>
      <c r="R50" s="1">
        <v>0</v>
      </c>
      <c r="S50" s="1"/>
      <c r="T50" s="1"/>
      <c r="U50" s="1">
        <f t="shared" si="13"/>
        <v>13.913999999999998</v>
      </c>
      <c r="V50" s="5">
        <f t="shared" ref="V50:V60" si="18">11*U50-T50-S50-R50-Q50-P50-O50-F50</f>
        <v>48.958999999999975</v>
      </c>
      <c r="W50" s="16"/>
      <c r="X50" s="16"/>
      <c r="Y50" s="1">
        <f t="shared" si="14"/>
        <v>11</v>
      </c>
      <c r="Z50" s="1">
        <f t="shared" si="15"/>
        <v>7.4813137846773046</v>
      </c>
      <c r="AA50" s="1">
        <v>8.3748000000000005</v>
      </c>
      <c r="AB50" s="1">
        <v>5.9323999999999986</v>
      </c>
      <c r="AC50" s="1">
        <v>6.7408000000000001</v>
      </c>
      <c r="AD50" s="1">
        <v>7.5424000000000007</v>
      </c>
      <c r="AE50" s="1">
        <v>17.248200000000001</v>
      </c>
      <c r="AF50" s="1">
        <v>16.198599999999999</v>
      </c>
      <c r="AG50" s="1">
        <v>4.0784000000000002</v>
      </c>
      <c r="AH50" s="1">
        <v>5.7111999999999998</v>
      </c>
      <c r="AI50" s="1">
        <v>8.3732000000000006</v>
      </c>
      <c r="AJ50" s="1">
        <v>5.0987999999999998</v>
      </c>
      <c r="AK50" s="1"/>
      <c r="AL50" s="1">
        <f t="shared" si="17"/>
        <v>48.958999999999975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35">
      <c r="A51" s="1" t="s">
        <v>94</v>
      </c>
      <c r="B51" s="1" t="s">
        <v>39</v>
      </c>
      <c r="C51" s="1">
        <v>295.34800000000001</v>
      </c>
      <c r="D51" s="1">
        <v>63.676000000000002</v>
      </c>
      <c r="E51" s="1">
        <v>144.43199999999999</v>
      </c>
      <c r="F51" s="1">
        <v>133.27199999999999</v>
      </c>
      <c r="G51" s="7">
        <v>1</v>
      </c>
      <c r="H51" s="1">
        <v>50</v>
      </c>
      <c r="I51" s="1" t="s">
        <v>40</v>
      </c>
      <c r="J51" s="1"/>
      <c r="K51" s="1">
        <v>128.25</v>
      </c>
      <c r="L51" s="1">
        <f t="shared" si="12"/>
        <v>16.181999999999988</v>
      </c>
      <c r="M51" s="1"/>
      <c r="N51" s="1"/>
      <c r="O51" s="1">
        <v>30.38839999999993</v>
      </c>
      <c r="P51" s="1"/>
      <c r="Q51" s="1"/>
      <c r="R51" s="1">
        <v>44.279531200000037</v>
      </c>
      <c r="S51" s="1"/>
      <c r="T51" s="1">
        <v>65.323268800000051</v>
      </c>
      <c r="U51" s="1">
        <f t="shared" si="13"/>
        <v>28.886399999999998</v>
      </c>
      <c r="V51" s="5">
        <f t="shared" si="18"/>
        <v>44.487199999999945</v>
      </c>
      <c r="W51" s="16"/>
      <c r="X51" s="16"/>
      <c r="Y51" s="1">
        <f t="shared" si="14"/>
        <v>10.999999999999996</v>
      </c>
      <c r="Z51" s="1">
        <f t="shared" si="15"/>
        <v>9.4599257782208923</v>
      </c>
      <c r="AA51" s="1">
        <v>31.163599999999999</v>
      </c>
      <c r="AB51" s="1">
        <v>29.2424</v>
      </c>
      <c r="AC51" s="1">
        <v>13.016</v>
      </c>
      <c r="AD51" s="1">
        <v>12.1088</v>
      </c>
      <c r="AE51" s="1">
        <v>26.9346</v>
      </c>
      <c r="AF51" s="1">
        <v>28.4544</v>
      </c>
      <c r="AG51" s="1">
        <v>15.607200000000001</v>
      </c>
      <c r="AH51" s="1">
        <v>15.357799999999999</v>
      </c>
      <c r="AI51" s="1">
        <v>21.200199999999999</v>
      </c>
      <c r="AJ51" s="1">
        <v>14.8202</v>
      </c>
      <c r="AK51" s="1" t="s">
        <v>84</v>
      </c>
      <c r="AL51" s="1">
        <f t="shared" si="17"/>
        <v>44.487199999999945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35">
      <c r="A52" s="1" t="s">
        <v>95</v>
      </c>
      <c r="B52" s="1" t="s">
        <v>39</v>
      </c>
      <c r="C52" s="1">
        <v>-0.125</v>
      </c>
      <c r="D52" s="1">
        <v>104.40900000000001</v>
      </c>
      <c r="E52" s="1"/>
      <c r="F52" s="1"/>
      <c r="G52" s="7">
        <v>1</v>
      </c>
      <c r="H52" s="1">
        <v>45</v>
      </c>
      <c r="I52" s="9" t="s">
        <v>52</v>
      </c>
      <c r="J52" s="1"/>
      <c r="K52" s="1"/>
      <c r="L52" s="1">
        <f t="shared" si="12"/>
        <v>0</v>
      </c>
      <c r="M52" s="1"/>
      <c r="N52" s="1"/>
      <c r="O52" s="1">
        <v>30</v>
      </c>
      <c r="P52" s="1">
        <v>-36</v>
      </c>
      <c r="Q52" s="1"/>
      <c r="R52" s="1">
        <v>30</v>
      </c>
      <c r="S52" s="1">
        <v>-36</v>
      </c>
      <c r="T52" s="1"/>
      <c r="U52" s="1">
        <f t="shared" si="13"/>
        <v>0</v>
      </c>
      <c r="V52" s="5">
        <v>40</v>
      </c>
      <c r="W52" s="16"/>
      <c r="X52" s="16"/>
      <c r="Y52" s="1" t="e">
        <f t="shared" si="14"/>
        <v>#DIV/0!</v>
      </c>
      <c r="Z52" s="1" t="e">
        <f t="shared" si="15"/>
        <v>#DIV/0!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-0.03</v>
      </c>
      <c r="AG52" s="1">
        <v>-0.03</v>
      </c>
      <c r="AH52" s="1">
        <v>0</v>
      </c>
      <c r="AI52" s="1">
        <v>0.57939999999999992</v>
      </c>
      <c r="AJ52" s="1">
        <v>19.140999999999998</v>
      </c>
      <c r="AK52" s="1"/>
      <c r="AL52" s="1">
        <f t="shared" si="17"/>
        <v>40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35">
      <c r="A53" s="1" t="s">
        <v>96</v>
      </c>
      <c r="B53" s="1" t="s">
        <v>44</v>
      </c>
      <c r="C53" s="1">
        <v>324</v>
      </c>
      <c r="D53" s="1">
        <v>80</v>
      </c>
      <c r="E53" s="1">
        <v>108</v>
      </c>
      <c r="F53" s="1">
        <v>208</v>
      </c>
      <c r="G53" s="7">
        <v>0.45</v>
      </c>
      <c r="H53" s="1">
        <v>50</v>
      </c>
      <c r="I53" s="1" t="s">
        <v>40</v>
      </c>
      <c r="J53" s="1"/>
      <c r="K53" s="1">
        <v>108</v>
      </c>
      <c r="L53" s="1">
        <f t="shared" si="12"/>
        <v>0</v>
      </c>
      <c r="M53" s="1"/>
      <c r="N53" s="1"/>
      <c r="O53" s="1">
        <v>0</v>
      </c>
      <c r="P53" s="1"/>
      <c r="Q53" s="1"/>
      <c r="R53" s="1">
        <v>4.7999999999999554</v>
      </c>
      <c r="S53" s="1"/>
      <c r="T53" s="1"/>
      <c r="U53" s="1">
        <f t="shared" si="13"/>
        <v>21.6</v>
      </c>
      <c r="V53" s="5">
        <f t="shared" si="18"/>
        <v>24.800000000000068</v>
      </c>
      <c r="W53" s="16"/>
      <c r="X53" s="16"/>
      <c r="Y53" s="1">
        <f t="shared" si="14"/>
        <v>11</v>
      </c>
      <c r="Z53" s="1">
        <f t="shared" si="15"/>
        <v>9.8518518518518494</v>
      </c>
      <c r="AA53" s="1">
        <v>21.4</v>
      </c>
      <c r="AB53" s="1">
        <v>19.399999999999999</v>
      </c>
      <c r="AC53" s="1">
        <v>21</v>
      </c>
      <c r="AD53" s="1">
        <v>22</v>
      </c>
      <c r="AE53" s="1">
        <v>21.8</v>
      </c>
      <c r="AF53" s="1">
        <v>20.2</v>
      </c>
      <c r="AG53" s="1">
        <v>20.6</v>
      </c>
      <c r="AH53" s="1">
        <v>16.399999999999999</v>
      </c>
      <c r="AI53" s="1">
        <v>19.600000000000001</v>
      </c>
      <c r="AJ53" s="1">
        <v>21.8</v>
      </c>
      <c r="AK53" s="1"/>
      <c r="AL53" s="1">
        <f t="shared" si="17"/>
        <v>11.16000000000003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35">
      <c r="A54" s="1" t="s">
        <v>97</v>
      </c>
      <c r="B54" s="1" t="s">
        <v>44</v>
      </c>
      <c r="C54" s="1">
        <v>557</v>
      </c>
      <c r="D54" s="1">
        <v>141</v>
      </c>
      <c r="E54" s="1">
        <v>121</v>
      </c>
      <c r="F54" s="1">
        <v>405</v>
      </c>
      <c r="G54" s="7">
        <v>0.45</v>
      </c>
      <c r="H54" s="1">
        <v>50</v>
      </c>
      <c r="I54" s="1" t="s">
        <v>40</v>
      </c>
      <c r="J54" s="1"/>
      <c r="K54" s="1">
        <v>133</v>
      </c>
      <c r="L54" s="1">
        <f t="shared" si="12"/>
        <v>-12</v>
      </c>
      <c r="M54" s="1"/>
      <c r="N54" s="1"/>
      <c r="O54" s="1">
        <v>0</v>
      </c>
      <c r="P54" s="1"/>
      <c r="Q54" s="1"/>
      <c r="R54" s="1">
        <v>0</v>
      </c>
      <c r="S54" s="1"/>
      <c r="T54" s="1"/>
      <c r="U54" s="1">
        <f t="shared" si="13"/>
        <v>24.2</v>
      </c>
      <c r="V54" s="5"/>
      <c r="W54" s="16"/>
      <c r="X54" s="16"/>
      <c r="Y54" s="1">
        <f t="shared" si="14"/>
        <v>16.735537190082646</v>
      </c>
      <c r="Z54" s="1">
        <f t="shared" si="15"/>
        <v>16.735537190082646</v>
      </c>
      <c r="AA54" s="1">
        <v>21.6</v>
      </c>
      <c r="AB54" s="1">
        <v>16</v>
      </c>
      <c r="AC54" s="1">
        <v>26</v>
      </c>
      <c r="AD54" s="1">
        <v>33</v>
      </c>
      <c r="AE54" s="1">
        <v>31.8</v>
      </c>
      <c r="AF54" s="1">
        <v>48.2</v>
      </c>
      <c r="AG54" s="1">
        <v>45.8</v>
      </c>
      <c r="AH54" s="1">
        <v>21.2</v>
      </c>
      <c r="AI54" s="1">
        <v>24</v>
      </c>
      <c r="AJ54" s="1">
        <v>25.8</v>
      </c>
      <c r="AK54" s="15" t="s">
        <v>79</v>
      </c>
      <c r="AL54" s="1">
        <f t="shared" si="1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35">
      <c r="A55" s="1" t="s">
        <v>98</v>
      </c>
      <c r="B55" s="1" t="s">
        <v>44</v>
      </c>
      <c r="C55" s="1">
        <v>-6</v>
      </c>
      <c r="D55" s="1">
        <v>96</v>
      </c>
      <c r="E55" s="1">
        <v>3</v>
      </c>
      <c r="F55" s="1"/>
      <c r="G55" s="7">
        <v>0.4</v>
      </c>
      <c r="H55" s="1">
        <v>40</v>
      </c>
      <c r="I55" s="9" t="s">
        <v>52</v>
      </c>
      <c r="J55" s="1"/>
      <c r="K55" s="1">
        <v>5</v>
      </c>
      <c r="L55" s="1">
        <f t="shared" si="12"/>
        <v>-2</v>
      </c>
      <c r="M55" s="1"/>
      <c r="N55" s="1"/>
      <c r="O55" s="1">
        <v>50</v>
      </c>
      <c r="P55" s="1">
        <v>-54</v>
      </c>
      <c r="Q55" s="1"/>
      <c r="R55" s="1">
        <v>50</v>
      </c>
      <c r="S55" s="1"/>
      <c r="T55" s="1"/>
      <c r="U55" s="1">
        <f t="shared" si="13"/>
        <v>0.6</v>
      </c>
      <c r="V55" s="5">
        <v>50</v>
      </c>
      <c r="W55" s="16"/>
      <c r="X55" s="16"/>
      <c r="Y55" s="1">
        <f t="shared" si="14"/>
        <v>160</v>
      </c>
      <c r="Z55" s="1">
        <f t="shared" si="15"/>
        <v>76.666666666666671</v>
      </c>
      <c r="AA55" s="1">
        <v>0</v>
      </c>
      <c r="AB55" s="1">
        <v>0.6</v>
      </c>
      <c r="AC55" s="1">
        <v>0.4</v>
      </c>
      <c r="AD55" s="1">
        <v>0.4</v>
      </c>
      <c r="AE55" s="1">
        <v>5.2</v>
      </c>
      <c r="AF55" s="1">
        <v>32</v>
      </c>
      <c r="AG55" s="1">
        <v>37.200000000000003</v>
      </c>
      <c r="AH55" s="1">
        <v>17</v>
      </c>
      <c r="AI55" s="1">
        <v>23.2</v>
      </c>
      <c r="AJ55" s="1">
        <v>22.4</v>
      </c>
      <c r="AK55" s="1"/>
      <c r="AL55" s="1">
        <f t="shared" si="17"/>
        <v>20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35">
      <c r="A56" s="1" t="s">
        <v>99</v>
      </c>
      <c r="B56" s="1" t="s">
        <v>44</v>
      </c>
      <c r="C56" s="1">
        <v>93</v>
      </c>
      <c r="D56" s="1">
        <v>133</v>
      </c>
      <c r="E56" s="1">
        <v>103</v>
      </c>
      <c r="F56" s="1">
        <v>31</v>
      </c>
      <c r="G56" s="7">
        <v>0.4</v>
      </c>
      <c r="H56" s="1">
        <v>40</v>
      </c>
      <c r="I56" s="9" t="s">
        <v>52</v>
      </c>
      <c r="J56" s="1"/>
      <c r="K56" s="1">
        <v>104</v>
      </c>
      <c r="L56" s="1">
        <f t="shared" si="12"/>
        <v>-1</v>
      </c>
      <c r="M56" s="1"/>
      <c r="N56" s="1"/>
      <c r="O56" s="1">
        <v>25</v>
      </c>
      <c r="P56" s="1"/>
      <c r="Q56" s="1"/>
      <c r="R56" s="1">
        <v>120</v>
      </c>
      <c r="S56" s="1"/>
      <c r="T56" s="1"/>
      <c r="U56" s="1">
        <f t="shared" si="13"/>
        <v>20.6</v>
      </c>
      <c r="V56" s="5">
        <f t="shared" si="18"/>
        <v>50.600000000000023</v>
      </c>
      <c r="W56" s="16"/>
      <c r="X56" s="16"/>
      <c r="Y56" s="1">
        <f t="shared" si="14"/>
        <v>11</v>
      </c>
      <c r="Z56" s="1">
        <f t="shared" si="15"/>
        <v>8.5436893203883493</v>
      </c>
      <c r="AA56" s="1">
        <v>22.6</v>
      </c>
      <c r="AB56" s="1">
        <v>16</v>
      </c>
      <c r="AC56" s="1">
        <v>9.1999999999999993</v>
      </c>
      <c r="AD56" s="1">
        <v>11.2</v>
      </c>
      <c r="AE56" s="1">
        <v>18.600000000000001</v>
      </c>
      <c r="AF56" s="1">
        <v>35.200000000000003</v>
      </c>
      <c r="AG56" s="1">
        <v>32</v>
      </c>
      <c r="AH56" s="1">
        <v>12.8</v>
      </c>
      <c r="AI56" s="1">
        <v>20.8</v>
      </c>
      <c r="AJ56" s="1">
        <v>25.4</v>
      </c>
      <c r="AK56" s="1"/>
      <c r="AL56" s="1">
        <f t="shared" si="17"/>
        <v>20.240000000000009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35">
      <c r="A57" s="1" t="s">
        <v>100</v>
      </c>
      <c r="B57" s="1" t="s">
        <v>39</v>
      </c>
      <c r="C57" s="1">
        <v>341.84</v>
      </c>
      <c r="D57" s="1">
        <v>80.655000000000001</v>
      </c>
      <c r="E57" s="1">
        <v>57.713999999999999</v>
      </c>
      <c r="F57" s="1">
        <v>269.02800000000002</v>
      </c>
      <c r="G57" s="7">
        <v>1</v>
      </c>
      <c r="H57" s="1">
        <v>50</v>
      </c>
      <c r="I57" s="1" t="s">
        <v>40</v>
      </c>
      <c r="J57" s="1"/>
      <c r="K57" s="1">
        <v>53</v>
      </c>
      <c r="L57" s="1">
        <f t="shared" si="12"/>
        <v>4.7139999999999986</v>
      </c>
      <c r="M57" s="1"/>
      <c r="N57" s="1"/>
      <c r="O57" s="1">
        <v>0</v>
      </c>
      <c r="P57" s="1"/>
      <c r="Q57" s="1"/>
      <c r="R57" s="1">
        <v>0</v>
      </c>
      <c r="S57" s="1"/>
      <c r="T57" s="1"/>
      <c r="U57" s="1">
        <f t="shared" si="13"/>
        <v>11.5428</v>
      </c>
      <c r="V57" s="5"/>
      <c r="W57" s="16"/>
      <c r="X57" s="16"/>
      <c r="Y57" s="1">
        <f t="shared" si="14"/>
        <v>23.30699656928995</v>
      </c>
      <c r="Z57" s="1">
        <f t="shared" si="15"/>
        <v>23.30699656928995</v>
      </c>
      <c r="AA57" s="1">
        <v>14.5372</v>
      </c>
      <c r="AB57" s="1">
        <v>14.926600000000001</v>
      </c>
      <c r="AC57" s="1">
        <v>10.1182</v>
      </c>
      <c r="AD57" s="1">
        <v>9.234</v>
      </c>
      <c r="AE57" s="1">
        <v>17.479399999999998</v>
      </c>
      <c r="AF57" s="1">
        <v>25.413399999999999</v>
      </c>
      <c r="AG57" s="1">
        <v>15.8782</v>
      </c>
      <c r="AH57" s="1">
        <v>12.8612</v>
      </c>
      <c r="AI57" s="1">
        <v>18.917200000000001</v>
      </c>
      <c r="AJ57" s="1">
        <v>14.224399999999999</v>
      </c>
      <c r="AK57" s="14" t="s">
        <v>101</v>
      </c>
      <c r="AL57" s="1">
        <f t="shared" si="17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35">
      <c r="A58" s="1" t="s">
        <v>102</v>
      </c>
      <c r="B58" s="1" t="s">
        <v>44</v>
      </c>
      <c r="C58" s="1">
        <v>625</v>
      </c>
      <c r="D58" s="1">
        <v>1000</v>
      </c>
      <c r="E58" s="13">
        <f>344+E133</f>
        <v>552</v>
      </c>
      <c r="F58" s="13">
        <f>1030+F133</f>
        <v>1070</v>
      </c>
      <c r="G58" s="7">
        <v>0.1</v>
      </c>
      <c r="H58" s="1">
        <v>731</v>
      </c>
      <c r="I58" s="1" t="s">
        <v>40</v>
      </c>
      <c r="J58" s="1"/>
      <c r="K58" s="1">
        <v>313</v>
      </c>
      <c r="L58" s="1">
        <f t="shared" si="12"/>
        <v>239</v>
      </c>
      <c r="M58" s="1"/>
      <c r="N58" s="1"/>
      <c r="O58" s="1">
        <v>0</v>
      </c>
      <c r="P58" s="1"/>
      <c r="Q58" s="1"/>
      <c r="R58" s="1">
        <v>300</v>
      </c>
      <c r="S58" s="1"/>
      <c r="T58" s="1">
        <v>300</v>
      </c>
      <c r="U58" s="1">
        <f t="shared" si="13"/>
        <v>110.4</v>
      </c>
      <c r="V58" s="5"/>
      <c r="W58" s="16"/>
      <c r="X58" s="16"/>
      <c r="Y58" s="1">
        <f t="shared" si="14"/>
        <v>15.126811594202898</v>
      </c>
      <c r="Z58" s="1">
        <f t="shared" si="15"/>
        <v>15.126811594202898</v>
      </c>
      <c r="AA58" s="1">
        <v>119.2</v>
      </c>
      <c r="AB58" s="1">
        <v>95.4</v>
      </c>
      <c r="AC58" s="1">
        <v>58.6</v>
      </c>
      <c r="AD58" s="1">
        <v>45.4</v>
      </c>
      <c r="AE58" s="1">
        <v>50</v>
      </c>
      <c r="AF58" s="1">
        <v>44.8</v>
      </c>
      <c r="AG58" s="1">
        <v>32.4</v>
      </c>
      <c r="AH58" s="1">
        <v>36.799999999999997</v>
      </c>
      <c r="AI58" s="1">
        <v>25.6</v>
      </c>
      <c r="AJ58" s="1">
        <v>16.2</v>
      </c>
      <c r="AK58" s="1" t="s">
        <v>84</v>
      </c>
      <c r="AL58" s="1">
        <f t="shared" si="17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35">
      <c r="A59" s="1" t="s">
        <v>103</v>
      </c>
      <c r="B59" s="1" t="s">
        <v>39</v>
      </c>
      <c r="C59" s="1">
        <v>230.23</v>
      </c>
      <c r="D59" s="1">
        <v>46.618000000000002</v>
      </c>
      <c r="E59" s="1">
        <v>101.681</v>
      </c>
      <c r="F59" s="1">
        <v>112.33499999999999</v>
      </c>
      <c r="G59" s="7">
        <v>1</v>
      </c>
      <c r="H59" s="1">
        <v>50</v>
      </c>
      <c r="I59" s="1" t="s">
        <v>40</v>
      </c>
      <c r="J59" s="1"/>
      <c r="K59" s="1">
        <v>81.150000000000006</v>
      </c>
      <c r="L59" s="1">
        <f t="shared" si="12"/>
        <v>20.530999999999992</v>
      </c>
      <c r="M59" s="1"/>
      <c r="N59" s="1"/>
      <c r="O59" s="1">
        <v>0</v>
      </c>
      <c r="P59" s="1"/>
      <c r="Q59" s="1"/>
      <c r="R59" s="1">
        <v>100</v>
      </c>
      <c r="S59" s="1"/>
      <c r="T59" s="1">
        <v>80</v>
      </c>
      <c r="U59" s="1">
        <f t="shared" si="13"/>
        <v>20.336199999999998</v>
      </c>
      <c r="V59" s="5"/>
      <c r="W59" s="16"/>
      <c r="X59" s="16"/>
      <c r="Y59" s="1">
        <f t="shared" si="14"/>
        <v>14.375104493464857</v>
      </c>
      <c r="Z59" s="1">
        <f t="shared" si="15"/>
        <v>14.375104493464857</v>
      </c>
      <c r="AA59" s="1">
        <v>22.462199999999999</v>
      </c>
      <c r="AB59" s="1">
        <v>19.364799999999999</v>
      </c>
      <c r="AC59" s="1">
        <v>7.6135999999999999</v>
      </c>
      <c r="AD59" s="1">
        <v>7.0691999999999986</v>
      </c>
      <c r="AE59" s="1">
        <v>16.045000000000002</v>
      </c>
      <c r="AF59" s="1">
        <v>15.5054</v>
      </c>
      <c r="AG59" s="1">
        <v>10.170400000000001</v>
      </c>
      <c r="AH59" s="1">
        <v>14.961</v>
      </c>
      <c r="AI59" s="1">
        <v>15.6616</v>
      </c>
      <c r="AJ59" s="1">
        <v>8.7063999999999986</v>
      </c>
      <c r="AK59" s="1" t="s">
        <v>84</v>
      </c>
      <c r="AL59" s="1">
        <f t="shared" si="1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35">
      <c r="A60" s="1" t="s">
        <v>104</v>
      </c>
      <c r="B60" s="1" t="s">
        <v>39</v>
      </c>
      <c r="C60" s="1">
        <v>100.44799999999999</v>
      </c>
      <c r="D60" s="1">
        <v>23.26</v>
      </c>
      <c r="E60" s="1">
        <v>40.67</v>
      </c>
      <c r="F60" s="1">
        <v>61.655000000000001</v>
      </c>
      <c r="G60" s="7">
        <v>1</v>
      </c>
      <c r="H60" s="1">
        <v>55</v>
      </c>
      <c r="I60" s="1" t="s">
        <v>40</v>
      </c>
      <c r="J60" s="1"/>
      <c r="K60" s="1">
        <v>39.65</v>
      </c>
      <c r="L60" s="1">
        <f t="shared" si="12"/>
        <v>1.0200000000000031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13"/>
        <v>8.1340000000000003</v>
      </c>
      <c r="V60" s="5">
        <f t="shared" si="18"/>
        <v>27.819000000000003</v>
      </c>
      <c r="W60" s="16"/>
      <c r="X60" s="16"/>
      <c r="Y60" s="1">
        <f t="shared" si="14"/>
        <v>11</v>
      </c>
      <c r="Z60" s="1">
        <f t="shared" si="15"/>
        <v>7.5799114826653549</v>
      </c>
      <c r="AA60" s="1">
        <v>6.6686000000000014</v>
      </c>
      <c r="AB60" s="1">
        <v>3.7136</v>
      </c>
      <c r="AC60" s="1">
        <v>4.3811999999999998</v>
      </c>
      <c r="AD60" s="1">
        <v>5.7595999999999998</v>
      </c>
      <c r="AE60" s="1">
        <v>8.5346000000000011</v>
      </c>
      <c r="AF60" s="1">
        <v>7.9825999999999997</v>
      </c>
      <c r="AG60" s="1">
        <v>2.7427999999999999</v>
      </c>
      <c r="AH60" s="1">
        <v>6.0340000000000007</v>
      </c>
      <c r="AI60" s="1">
        <v>6.3116000000000003</v>
      </c>
      <c r="AJ60" s="1">
        <v>1.65</v>
      </c>
      <c r="AK60" s="1"/>
      <c r="AL60" s="1">
        <f t="shared" si="17"/>
        <v>27.819000000000003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35">
      <c r="A61" s="1" t="s">
        <v>105</v>
      </c>
      <c r="B61" s="1" t="s">
        <v>44</v>
      </c>
      <c r="C61" s="1">
        <v>964</v>
      </c>
      <c r="D61" s="1">
        <v>242</v>
      </c>
      <c r="E61" s="1">
        <v>346</v>
      </c>
      <c r="F61" s="1">
        <v>665</v>
      </c>
      <c r="G61" s="7">
        <v>0.1</v>
      </c>
      <c r="H61" s="1">
        <v>731</v>
      </c>
      <c r="I61" s="1" t="s">
        <v>40</v>
      </c>
      <c r="J61" s="1"/>
      <c r="K61" s="1">
        <v>339</v>
      </c>
      <c r="L61" s="1">
        <f t="shared" si="12"/>
        <v>7</v>
      </c>
      <c r="M61" s="1"/>
      <c r="N61" s="1"/>
      <c r="O61" s="1">
        <v>100</v>
      </c>
      <c r="P61" s="1"/>
      <c r="Q61" s="1"/>
      <c r="R61" s="1">
        <v>300</v>
      </c>
      <c r="S61" s="1"/>
      <c r="T61" s="1">
        <v>200</v>
      </c>
      <c r="U61" s="1">
        <f t="shared" si="13"/>
        <v>69.2</v>
      </c>
      <c r="V61" s="5"/>
      <c r="W61" s="16"/>
      <c r="X61" s="16"/>
      <c r="Y61" s="1">
        <f t="shared" si="14"/>
        <v>18.280346820809246</v>
      </c>
      <c r="Z61" s="1">
        <f t="shared" si="15"/>
        <v>18.280346820809246</v>
      </c>
      <c r="AA61" s="1">
        <v>86.8</v>
      </c>
      <c r="AB61" s="1">
        <v>72.8</v>
      </c>
      <c r="AC61" s="1">
        <v>27.2</v>
      </c>
      <c r="AD61" s="1">
        <v>7</v>
      </c>
      <c r="AE61" s="1">
        <v>29</v>
      </c>
      <c r="AF61" s="1">
        <v>73.2</v>
      </c>
      <c r="AG61" s="1">
        <v>64.2</v>
      </c>
      <c r="AH61" s="1">
        <v>32.799999999999997</v>
      </c>
      <c r="AI61" s="1">
        <v>32.6</v>
      </c>
      <c r="AJ61" s="1">
        <v>33.200000000000003</v>
      </c>
      <c r="AK61" s="14" t="s">
        <v>101</v>
      </c>
      <c r="AL61" s="1">
        <f t="shared" si="17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35">
      <c r="A62" s="1" t="s">
        <v>106</v>
      </c>
      <c r="B62" s="1" t="s">
        <v>44</v>
      </c>
      <c r="C62" s="1">
        <v>47</v>
      </c>
      <c r="D62" s="1">
        <v>8</v>
      </c>
      <c r="E62" s="1">
        <v>30</v>
      </c>
      <c r="F62" s="1">
        <v>11</v>
      </c>
      <c r="G62" s="7">
        <v>0.4</v>
      </c>
      <c r="H62" s="1">
        <v>50</v>
      </c>
      <c r="I62" s="1" t="s">
        <v>40</v>
      </c>
      <c r="J62" s="1"/>
      <c r="K62" s="1">
        <v>30</v>
      </c>
      <c r="L62" s="1">
        <f t="shared" si="12"/>
        <v>0</v>
      </c>
      <c r="M62" s="1"/>
      <c r="N62" s="1"/>
      <c r="O62" s="1">
        <v>30</v>
      </c>
      <c r="P62" s="1"/>
      <c r="Q62" s="1"/>
      <c r="R62" s="1">
        <v>28.199999999999989</v>
      </c>
      <c r="S62" s="1"/>
      <c r="T62" s="1"/>
      <c r="U62" s="1">
        <f t="shared" si="13"/>
        <v>6</v>
      </c>
      <c r="V62" s="5"/>
      <c r="W62" s="16"/>
      <c r="X62" s="16"/>
      <c r="Y62" s="1">
        <f t="shared" si="14"/>
        <v>11.533333333333331</v>
      </c>
      <c r="Z62" s="1">
        <f t="shared" si="15"/>
        <v>11.533333333333331</v>
      </c>
      <c r="AA62" s="1">
        <v>7.6</v>
      </c>
      <c r="AB62" s="1">
        <v>7</v>
      </c>
      <c r="AC62" s="1">
        <v>4.4000000000000004</v>
      </c>
      <c r="AD62" s="1">
        <v>3.6</v>
      </c>
      <c r="AE62" s="1">
        <v>7.6</v>
      </c>
      <c r="AF62" s="1">
        <v>8.8000000000000007</v>
      </c>
      <c r="AG62" s="1">
        <v>4</v>
      </c>
      <c r="AH62" s="1">
        <v>4</v>
      </c>
      <c r="AI62" s="1">
        <v>3.6</v>
      </c>
      <c r="AJ62" s="1">
        <v>2.6</v>
      </c>
      <c r="AK62" s="1"/>
      <c r="AL62" s="1">
        <f t="shared" si="17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35">
      <c r="A63" s="1" t="s">
        <v>107</v>
      </c>
      <c r="B63" s="1" t="s">
        <v>39</v>
      </c>
      <c r="C63" s="1">
        <v>34.68</v>
      </c>
      <c r="D63" s="1">
        <v>133.30600000000001</v>
      </c>
      <c r="E63" s="1">
        <v>47.392000000000003</v>
      </c>
      <c r="F63" s="1">
        <v>34.122</v>
      </c>
      <c r="G63" s="7">
        <v>1</v>
      </c>
      <c r="H63" s="1">
        <v>40</v>
      </c>
      <c r="I63" s="9" t="s">
        <v>52</v>
      </c>
      <c r="J63" s="1"/>
      <c r="K63" s="1">
        <v>46.1</v>
      </c>
      <c r="L63" s="1">
        <f t="shared" si="12"/>
        <v>1.2920000000000016</v>
      </c>
      <c r="M63" s="1"/>
      <c r="N63" s="1"/>
      <c r="O63" s="1">
        <v>146.70160000000001</v>
      </c>
      <c r="P63" s="1"/>
      <c r="Q63" s="1"/>
      <c r="R63" s="1">
        <v>20</v>
      </c>
      <c r="S63" s="1"/>
      <c r="T63" s="1"/>
      <c r="U63" s="1">
        <f t="shared" si="13"/>
        <v>9.4784000000000006</v>
      </c>
      <c r="V63" s="5"/>
      <c r="W63" s="16">
        <v>100</v>
      </c>
      <c r="X63" s="16" t="s">
        <v>189</v>
      </c>
      <c r="Y63" s="1">
        <f t="shared" si="14"/>
        <v>21.1875</v>
      </c>
      <c r="Z63" s="1">
        <f t="shared" si="15"/>
        <v>21.1875</v>
      </c>
      <c r="AA63" s="1">
        <v>14.47</v>
      </c>
      <c r="AB63" s="1">
        <v>20.325600000000001</v>
      </c>
      <c r="AC63" s="1">
        <v>13.4848</v>
      </c>
      <c r="AD63" s="1">
        <v>5.4063999999999997</v>
      </c>
      <c r="AE63" s="1">
        <v>11.4124</v>
      </c>
      <c r="AF63" s="1">
        <v>15.1564</v>
      </c>
      <c r="AG63" s="1">
        <v>9.6504000000000012</v>
      </c>
      <c r="AH63" s="1">
        <v>0</v>
      </c>
      <c r="AI63" s="1">
        <v>13.583600000000001</v>
      </c>
      <c r="AJ63" s="1">
        <v>14.9016</v>
      </c>
      <c r="AK63" s="1"/>
      <c r="AL63" s="1">
        <f t="shared" si="17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35">
      <c r="A64" s="1" t="s">
        <v>108</v>
      </c>
      <c r="B64" s="1" t="s">
        <v>39</v>
      </c>
      <c r="C64" s="1">
        <v>137.66300000000001</v>
      </c>
      <c r="D64" s="1">
        <v>55.807000000000002</v>
      </c>
      <c r="E64" s="1">
        <v>133.66399999999999</v>
      </c>
      <c r="F64" s="1"/>
      <c r="G64" s="7">
        <v>1</v>
      </c>
      <c r="H64" s="1">
        <v>40</v>
      </c>
      <c r="I64" s="9" t="s">
        <v>52</v>
      </c>
      <c r="J64" s="1"/>
      <c r="K64" s="1">
        <v>174.6</v>
      </c>
      <c r="L64" s="1">
        <f t="shared" si="12"/>
        <v>-40.936000000000007</v>
      </c>
      <c r="M64" s="1"/>
      <c r="N64" s="1"/>
      <c r="O64" s="1">
        <v>360.13679999999999</v>
      </c>
      <c r="P64" s="1"/>
      <c r="Q64" s="1"/>
      <c r="R64" s="1">
        <v>240.19900000000001</v>
      </c>
      <c r="S64" s="1"/>
      <c r="T64" s="1"/>
      <c r="U64" s="1">
        <f t="shared" si="13"/>
        <v>26.732799999999997</v>
      </c>
      <c r="V64" s="5"/>
      <c r="W64" s="16">
        <v>50</v>
      </c>
      <c r="X64" s="16" t="s">
        <v>189</v>
      </c>
      <c r="Y64" s="1">
        <f t="shared" si="14"/>
        <v>22.45689938951401</v>
      </c>
      <c r="Z64" s="1">
        <f t="shared" si="15"/>
        <v>22.45689938951401</v>
      </c>
      <c r="AA64" s="1">
        <v>50.743400000000001</v>
      </c>
      <c r="AB64" s="1">
        <v>44.511800000000001</v>
      </c>
      <c r="AC64" s="1">
        <v>13.555400000000001</v>
      </c>
      <c r="AD64" s="1">
        <v>7.0035999999999996</v>
      </c>
      <c r="AE64" s="1">
        <v>20.619199999999999</v>
      </c>
      <c r="AF64" s="1">
        <v>34.844000000000001</v>
      </c>
      <c r="AG64" s="1">
        <v>21.790600000000001</v>
      </c>
      <c r="AH64" s="1">
        <v>3.8224</v>
      </c>
      <c r="AI64" s="1">
        <v>16.229199999999999</v>
      </c>
      <c r="AJ64" s="1">
        <v>13.7578</v>
      </c>
      <c r="AK64" s="1" t="s">
        <v>109</v>
      </c>
      <c r="AL64" s="1">
        <f t="shared" si="17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35">
      <c r="A65" s="1" t="s">
        <v>110</v>
      </c>
      <c r="B65" s="1" t="s">
        <v>44</v>
      </c>
      <c r="C65" s="1">
        <v>323</v>
      </c>
      <c r="D65" s="1">
        <v>387</v>
      </c>
      <c r="E65" s="1">
        <v>96</v>
      </c>
      <c r="F65" s="1">
        <v>392</v>
      </c>
      <c r="G65" s="7">
        <v>0.4</v>
      </c>
      <c r="H65" s="1">
        <v>40</v>
      </c>
      <c r="I65" s="9" t="s">
        <v>52</v>
      </c>
      <c r="J65" s="1"/>
      <c r="K65" s="1">
        <v>653</v>
      </c>
      <c r="L65" s="1">
        <f t="shared" si="12"/>
        <v>-557</v>
      </c>
      <c r="M65" s="1"/>
      <c r="N65" s="1"/>
      <c r="O65" s="1">
        <v>0</v>
      </c>
      <c r="P65" s="1"/>
      <c r="Q65" s="1"/>
      <c r="R65" s="1">
        <v>250</v>
      </c>
      <c r="S65" s="1"/>
      <c r="T65" s="1"/>
      <c r="U65" s="1">
        <f t="shared" si="13"/>
        <v>19.2</v>
      </c>
      <c r="V65" s="5"/>
      <c r="W65" s="16"/>
      <c r="X65" s="16"/>
      <c r="Y65" s="1">
        <f t="shared" si="14"/>
        <v>33.4375</v>
      </c>
      <c r="Z65" s="1">
        <f t="shared" si="15"/>
        <v>33.4375</v>
      </c>
      <c r="AA65" s="1">
        <v>0</v>
      </c>
      <c r="AB65" s="1">
        <v>46.2</v>
      </c>
      <c r="AC65" s="1">
        <v>50.4</v>
      </c>
      <c r="AD65" s="1">
        <v>4</v>
      </c>
      <c r="AE65" s="1">
        <v>2.4</v>
      </c>
      <c r="AF65" s="1">
        <v>49</v>
      </c>
      <c r="AG65" s="1">
        <v>58</v>
      </c>
      <c r="AH65" s="1">
        <v>10</v>
      </c>
      <c r="AI65" s="1">
        <v>24.8</v>
      </c>
      <c r="AJ65" s="1">
        <v>56.2</v>
      </c>
      <c r="AK65" s="14" t="s">
        <v>184</v>
      </c>
      <c r="AL65" s="1">
        <f t="shared" si="17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35">
      <c r="A66" s="1" t="s">
        <v>111</v>
      </c>
      <c r="B66" s="1" t="s">
        <v>44</v>
      </c>
      <c r="C66" s="1">
        <v>266</v>
      </c>
      <c r="D66" s="1">
        <v>360</v>
      </c>
      <c r="E66" s="1">
        <v>295</v>
      </c>
      <c r="F66" s="1">
        <v>128</v>
      </c>
      <c r="G66" s="7">
        <v>0.4</v>
      </c>
      <c r="H66" s="1">
        <v>40</v>
      </c>
      <c r="I66" s="1" t="s">
        <v>40</v>
      </c>
      <c r="J66" s="1"/>
      <c r="K66" s="1">
        <v>333</v>
      </c>
      <c r="L66" s="1">
        <f t="shared" si="12"/>
        <v>-38</v>
      </c>
      <c r="M66" s="1"/>
      <c r="N66" s="1"/>
      <c r="O66" s="1">
        <v>407.8</v>
      </c>
      <c r="P66" s="1"/>
      <c r="Q66" s="1"/>
      <c r="R66" s="1">
        <v>172.58879999999999</v>
      </c>
      <c r="S66" s="1"/>
      <c r="T66" s="1">
        <v>254.6112</v>
      </c>
      <c r="U66" s="1">
        <f t="shared" si="13"/>
        <v>59</v>
      </c>
      <c r="V66" s="5"/>
      <c r="W66" s="16"/>
      <c r="X66" s="16"/>
      <c r="Y66" s="1">
        <f t="shared" si="14"/>
        <v>16.322033898305083</v>
      </c>
      <c r="Z66" s="1">
        <f t="shared" si="15"/>
        <v>16.322033898305083</v>
      </c>
      <c r="AA66" s="1">
        <v>88</v>
      </c>
      <c r="AB66" s="1">
        <v>78.8</v>
      </c>
      <c r="AC66" s="1">
        <v>41.4</v>
      </c>
      <c r="AD66" s="1">
        <v>17.2</v>
      </c>
      <c r="AE66" s="1">
        <v>65.599999999999994</v>
      </c>
      <c r="AF66" s="1">
        <v>94.4</v>
      </c>
      <c r="AG66" s="1">
        <v>46.4</v>
      </c>
      <c r="AH66" s="1">
        <v>4</v>
      </c>
      <c r="AI66" s="1">
        <v>-0.2</v>
      </c>
      <c r="AJ66" s="1">
        <v>-0.2</v>
      </c>
      <c r="AK66" s="1"/>
      <c r="AL66" s="1">
        <f t="shared" si="17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35">
      <c r="A67" s="1" t="s">
        <v>112</v>
      </c>
      <c r="B67" s="1" t="s">
        <v>39</v>
      </c>
      <c r="C67" s="1">
        <v>-3.278</v>
      </c>
      <c r="D67" s="1">
        <v>116.43600000000001</v>
      </c>
      <c r="E67" s="1">
        <v>10.835000000000001</v>
      </c>
      <c r="F67" s="1">
        <v>26.032</v>
      </c>
      <c r="G67" s="7">
        <v>1</v>
      </c>
      <c r="H67" s="1">
        <v>40</v>
      </c>
      <c r="I67" s="9" t="s">
        <v>52</v>
      </c>
      <c r="J67" s="1"/>
      <c r="K67" s="1">
        <v>17.2</v>
      </c>
      <c r="L67" s="1">
        <f t="shared" si="12"/>
        <v>-6.3649999999999984</v>
      </c>
      <c r="M67" s="1"/>
      <c r="N67" s="1"/>
      <c r="O67" s="1">
        <v>92.044399999999996</v>
      </c>
      <c r="P67" s="1"/>
      <c r="Q67" s="1"/>
      <c r="R67" s="1">
        <v>0</v>
      </c>
      <c r="S67" s="1"/>
      <c r="T67" s="1"/>
      <c r="U67" s="1">
        <f t="shared" si="13"/>
        <v>2.1670000000000003</v>
      </c>
      <c r="V67" s="5"/>
      <c r="W67" s="19">
        <v>70</v>
      </c>
      <c r="X67" s="19" t="s">
        <v>186</v>
      </c>
      <c r="Y67" s="1">
        <f t="shared" si="14"/>
        <v>54.488417166589748</v>
      </c>
      <c r="Z67" s="1">
        <f t="shared" si="15"/>
        <v>54.488417166589748</v>
      </c>
      <c r="AA67" s="1">
        <v>9.2682000000000002</v>
      </c>
      <c r="AB67" s="1">
        <v>13.442399999999999</v>
      </c>
      <c r="AC67" s="1">
        <v>3.0853999999999999</v>
      </c>
      <c r="AD67" s="1">
        <v>12.965400000000001</v>
      </c>
      <c r="AE67" s="1">
        <v>26.226199999999999</v>
      </c>
      <c r="AF67" s="1">
        <v>32.113799999999998</v>
      </c>
      <c r="AG67" s="1">
        <v>30.863199999999999</v>
      </c>
      <c r="AH67" s="1">
        <v>28.920999999999999</v>
      </c>
      <c r="AI67" s="1">
        <v>27.451000000000001</v>
      </c>
      <c r="AJ67" s="1">
        <v>27.457799999999999</v>
      </c>
      <c r="AK67" s="1"/>
      <c r="AL67" s="1">
        <f t="shared" si="17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35">
      <c r="A68" s="1" t="s">
        <v>113</v>
      </c>
      <c r="B68" s="1" t="s">
        <v>39</v>
      </c>
      <c r="C68" s="1">
        <v>-0.71</v>
      </c>
      <c r="D68" s="1">
        <v>70.284999999999997</v>
      </c>
      <c r="E68" s="1"/>
      <c r="F68" s="1"/>
      <c r="G68" s="7">
        <v>1</v>
      </c>
      <c r="H68" s="1">
        <v>40</v>
      </c>
      <c r="I68" s="9" t="s">
        <v>52</v>
      </c>
      <c r="J68" s="1"/>
      <c r="K68" s="1">
        <v>4.8</v>
      </c>
      <c r="L68" s="1">
        <f t="shared" si="12"/>
        <v>-4.8</v>
      </c>
      <c r="M68" s="1"/>
      <c r="N68" s="1"/>
      <c r="O68" s="1">
        <v>60</v>
      </c>
      <c r="P68" s="1">
        <v>-64.8</v>
      </c>
      <c r="Q68" s="1"/>
      <c r="R68" s="1">
        <v>50</v>
      </c>
      <c r="S68" s="1">
        <v>-54</v>
      </c>
      <c r="T68" s="1"/>
      <c r="U68" s="1">
        <f t="shared" si="13"/>
        <v>0</v>
      </c>
      <c r="V68" s="5">
        <v>50</v>
      </c>
      <c r="W68" s="19">
        <v>100</v>
      </c>
      <c r="X68" s="19" t="s">
        <v>186</v>
      </c>
      <c r="Y68" s="1" t="e">
        <f t="shared" si="14"/>
        <v>#DIV/0!</v>
      </c>
      <c r="Z68" s="1" t="e">
        <f t="shared" si="15"/>
        <v>#DIV/0!</v>
      </c>
      <c r="AA68" s="1">
        <v>9.9068000000000005</v>
      </c>
      <c r="AB68" s="1">
        <v>13.321</v>
      </c>
      <c r="AC68" s="1">
        <v>3.2414000000000001</v>
      </c>
      <c r="AD68" s="1">
        <v>-0.35539999999999999</v>
      </c>
      <c r="AE68" s="1">
        <v>0.54620000000000002</v>
      </c>
      <c r="AF68" s="1">
        <v>13.5738</v>
      </c>
      <c r="AG68" s="1">
        <v>26.236799999999999</v>
      </c>
      <c r="AH68" s="1">
        <v>30.546399999999998</v>
      </c>
      <c r="AI68" s="1">
        <v>28.173400000000001</v>
      </c>
      <c r="AJ68" s="1">
        <v>25.8324</v>
      </c>
      <c r="AK68" s="1"/>
      <c r="AL68" s="1">
        <f t="shared" si="17"/>
        <v>50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35">
      <c r="A69" s="1" t="s">
        <v>114</v>
      </c>
      <c r="B69" s="1" t="s">
        <v>39</v>
      </c>
      <c r="C69" s="1">
        <v>3.7759999999999998</v>
      </c>
      <c r="D69" s="1">
        <v>178.89500000000001</v>
      </c>
      <c r="E69" s="1">
        <v>-9.6280000000000001</v>
      </c>
      <c r="F69" s="1"/>
      <c r="G69" s="7">
        <v>1</v>
      </c>
      <c r="H69" s="1">
        <v>40</v>
      </c>
      <c r="I69" s="9" t="s">
        <v>52</v>
      </c>
      <c r="J69" s="1"/>
      <c r="K69" s="1">
        <v>34.299999999999997</v>
      </c>
      <c r="L69" s="1">
        <f t="shared" si="12"/>
        <v>-43.927999999999997</v>
      </c>
      <c r="M69" s="1"/>
      <c r="N69" s="1"/>
      <c r="O69" s="1">
        <v>100</v>
      </c>
      <c r="P69" s="1">
        <v>-102.6</v>
      </c>
      <c r="Q69" s="1"/>
      <c r="R69" s="1">
        <v>80</v>
      </c>
      <c r="S69" s="1"/>
      <c r="T69" s="1"/>
      <c r="U69" s="1">
        <f t="shared" si="13"/>
        <v>-1.9256</v>
      </c>
      <c r="V69" s="5">
        <v>100</v>
      </c>
      <c r="W69" s="16"/>
      <c r="X69" s="16"/>
      <c r="Y69" s="1">
        <f t="shared" si="14"/>
        <v>-92.127129206481101</v>
      </c>
      <c r="Z69" s="1">
        <f t="shared" si="15"/>
        <v>-40.195263813876196</v>
      </c>
      <c r="AA69" s="1">
        <v>12.2172</v>
      </c>
      <c r="AB69" s="1">
        <v>26.985199999999999</v>
      </c>
      <c r="AC69" s="1">
        <v>13.568199999999999</v>
      </c>
      <c r="AD69" s="1">
        <v>13.93</v>
      </c>
      <c r="AE69" s="1">
        <v>51.272399999999998</v>
      </c>
      <c r="AF69" s="1">
        <v>69.817999999999998</v>
      </c>
      <c r="AG69" s="1">
        <v>64.147799999999989</v>
      </c>
      <c r="AH69" s="1">
        <v>64.944199999999995</v>
      </c>
      <c r="AI69" s="1">
        <v>60.923400000000001</v>
      </c>
      <c r="AJ69" s="1">
        <v>43.718000000000004</v>
      </c>
      <c r="AK69" s="1"/>
      <c r="AL69" s="1">
        <f t="shared" si="17"/>
        <v>100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35">
      <c r="A70" s="1" t="s">
        <v>115</v>
      </c>
      <c r="B70" s="1" t="s">
        <v>39</v>
      </c>
      <c r="C70" s="1">
        <v>5.5129999999999999</v>
      </c>
      <c r="D70" s="1">
        <v>202.84899999999999</v>
      </c>
      <c r="E70" s="1">
        <v>9.9309999999999992</v>
      </c>
      <c r="F70" s="1">
        <v>41.695</v>
      </c>
      <c r="G70" s="7">
        <v>1</v>
      </c>
      <c r="H70" s="1">
        <v>40</v>
      </c>
      <c r="I70" s="9" t="s">
        <v>52</v>
      </c>
      <c r="J70" s="1"/>
      <c r="K70" s="1">
        <v>33.200000000000003</v>
      </c>
      <c r="L70" s="1">
        <f t="shared" ref="L70:L101" si="19">E70-K70</f>
        <v>-23.269000000000005</v>
      </c>
      <c r="M70" s="1"/>
      <c r="N70" s="1"/>
      <c r="O70" s="1">
        <v>78.241600000000005</v>
      </c>
      <c r="P70" s="1">
        <v>-81</v>
      </c>
      <c r="Q70" s="1"/>
      <c r="R70" s="1">
        <v>20</v>
      </c>
      <c r="S70" s="1">
        <v>-21.6</v>
      </c>
      <c r="T70" s="1"/>
      <c r="U70" s="1">
        <f t="shared" ref="U70:U101" si="20">E70/5</f>
        <v>1.9861999999999997</v>
      </c>
      <c r="V70" s="5">
        <v>40</v>
      </c>
      <c r="W70" s="16"/>
      <c r="X70" s="16"/>
      <c r="Y70" s="1">
        <f t="shared" ref="Y70:Y101" si="21">(F70+O70+P70+Q70+R70+S70+T70+V70)/U70</f>
        <v>38.936965058906459</v>
      </c>
      <c r="Z70" s="1">
        <f t="shared" ref="Z70:Z101" si="22">(F70+O70+P70+Q70+R70+S70+T70)/U70</f>
        <v>18.798006243077232</v>
      </c>
      <c r="AA70" s="1">
        <v>-0.36220000000000002</v>
      </c>
      <c r="AB70" s="1">
        <v>13.0686</v>
      </c>
      <c r="AC70" s="1">
        <v>12.698600000000001</v>
      </c>
      <c r="AD70" s="1">
        <v>15.569800000000001</v>
      </c>
      <c r="AE70" s="1">
        <v>33.192999999999998</v>
      </c>
      <c r="AF70" s="1">
        <v>31.08</v>
      </c>
      <c r="AG70" s="1">
        <v>25.4434</v>
      </c>
      <c r="AH70" s="1">
        <v>23.120999999999999</v>
      </c>
      <c r="AI70" s="1">
        <v>23.457599999999999</v>
      </c>
      <c r="AJ70" s="1">
        <v>20.8584</v>
      </c>
      <c r="AK70" s="1"/>
      <c r="AL70" s="1">
        <f t="shared" si="17"/>
        <v>40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35">
      <c r="A71" s="1" t="s">
        <v>116</v>
      </c>
      <c r="B71" s="1" t="s">
        <v>44</v>
      </c>
      <c r="C71" s="1">
        <v>13</v>
      </c>
      <c r="D71" s="1">
        <v>10</v>
      </c>
      <c r="E71" s="1">
        <v>13</v>
      </c>
      <c r="F71" s="1"/>
      <c r="G71" s="7">
        <v>0.6</v>
      </c>
      <c r="H71" s="1">
        <v>70</v>
      </c>
      <c r="I71" s="1" t="s">
        <v>40</v>
      </c>
      <c r="J71" s="1"/>
      <c r="K71" s="1">
        <v>13</v>
      </c>
      <c r="L71" s="1">
        <f t="shared" si="19"/>
        <v>0</v>
      </c>
      <c r="M71" s="1"/>
      <c r="N71" s="1"/>
      <c r="O71" s="1">
        <v>19.399999999999999</v>
      </c>
      <c r="P71" s="1"/>
      <c r="Q71" s="1"/>
      <c r="R71" s="1">
        <v>30.2</v>
      </c>
      <c r="S71" s="1"/>
      <c r="T71" s="1"/>
      <c r="U71" s="1">
        <f t="shared" si="20"/>
        <v>2.6</v>
      </c>
      <c r="V71" s="5"/>
      <c r="W71" s="16"/>
      <c r="X71" s="16"/>
      <c r="Y71" s="1">
        <f t="shared" si="21"/>
        <v>19.076923076923073</v>
      </c>
      <c r="Z71" s="1">
        <f t="shared" si="22"/>
        <v>19.076923076923073</v>
      </c>
      <c r="AA71" s="1">
        <v>4.5999999999999996</v>
      </c>
      <c r="AB71" s="1">
        <v>3.8</v>
      </c>
      <c r="AC71" s="1">
        <v>0</v>
      </c>
      <c r="AD71" s="1">
        <v>0</v>
      </c>
      <c r="AE71" s="1">
        <v>2.2000000000000002</v>
      </c>
      <c r="AF71" s="1">
        <v>2.8</v>
      </c>
      <c r="AG71" s="1">
        <v>2.2000000000000002</v>
      </c>
      <c r="AH71" s="1">
        <v>1.6</v>
      </c>
      <c r="AI71" s="1">
        <v>1.6</v>
      </c>
      <c r="AJ71" s="1">
        <v>1.6</v>
      </c>
      <c r="AK71" s="1"/>
      <c r="AL71" s="1">
        <f t="shared" si="17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35">
      <c r="A72" s="1" t="s">
        <v>117</v>
      </c>
      <c r="B72" s="1" t="s">
        <v>39</v>
      </c>
      <c r="C72" s="1">
        <v>321.42399999999998</v>
      </c>
      <c r="D72" s="1">
        <v>200.88200000000001</v>
      </c>
      <c r="E72" s="1">
        <v>282.70999999999998</v>
      </c>
      <c r="F72" s="1"/>
      <c r="G72" s="7">
        <v>1</v>
      </c>
      <c r="H72" s="1">
        <v>30</v>
      </c>
      <c r="I72" s="9" t="s">
        <v>52</v>
      </c>
      <c r="J72" s="1"/>
      <c r="K72" s="1">
        <v>375.55</v>
      </c>
      <c r="L72" s="1">
        <f t="shared" si="19"/>
        <v>-92.840000000000032</v>
      </c>
      <c r="M72" s="1"/>
      <c r="N72" s="1"/>
      <c r="O72" s="1">
        <v>495.65460000000002</v>
      </c>
      <c r="P72" s="1"/>
      <c r="Q72" s="1"/>
      <c r="R72" s="1">
        <v>500</v>
      </c>
      <c r="S72" s="1"/>
      <c r="T72" s="1">
        <v>200</v>
      </c>
      <c r="U72" s="1">
        <f t="shared" si="20"/>
        <v>56.541999999999994</v>
      </c>
      <c r="V72" s="5"/>
      <c r="W72" s="16"/>
      <c r="X72" s="16"/>
      <c r="Y72" s="1">
        <f t="shared" si="21"/>
        <v>21.146308938488207</v>
      </c>
      <c r="Z72" s="1">
        <f t="shared" si="22"/>
        <v>21.146308938488207</v>
      </c>
      <c r="AA72" s="1">
        <v>106.08499999999999</v>
      </c>
      <c r="AB72" s="1">
        <v>87.413399999999996</v>
      </c>
      <c r="AC72" s="1">
        <v>25.441199999999998</v>
      </c>
      <c r="AD72" s="1">
        <v>47.512</v>
      </c>
      <c r="AE72" s="1">
        <v>93.200599999999994</v>
      </c>
      <c r="AF72" s="1">
        <v>88.773200000000003</v>
      </c>
      <c r="AG72" s="1">
        <v>43.605600000000003</v>
      </c>
      <c r="AH72" s="1">
        <v>12.5822</v>
      </c>
      <c r="AI72" s="1">
        <v>49.552399999999999</v>
      </c>
      <c r="AJ72" s="1">
        <v>72.886200000000002</v>
      </c>
      <c r="AK72" s="1" t="s">
        <v>48</v>
      </c>
      <c r="AL72" s="1">
        <f t="shared" si="17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35">
      <c r="A73" s="10" t="s">
        <v>118</v>
      </c>
      <c r="B73" s="10" t="s">
        <v>44</v>
      </c>
      <c r="C73" s="10"/>
      <c r="D73" s="10"/>
      <c r="E73" s="10"/>
      <c r="F73" s="10"/>
      <c r="G73" s="11">
        <v>0</v>
      </c>
      <c r="H73" s="10"/>
      <c r="I73" s="10" t="s">
        <v>40</v>
      </c>
      <c r="J73" s="10"/>
      <c r="K73" s="10"/>
      <c r="L73" s="10">
        <f t="shared" si="19"/>
        <v>0</v>
      </c>
      <c r="M73" s="10"/>
      <c r="N73" s="10"/>
      <c r="O73" s="10">
        <v>0</v>
      </c>
      <c r="P73" s="10"/>
      <c r="Q73" s="10"/>
      <c r="R73" s="10">
        <v>0</v>
      </c>
      <c r="S73" s="10"/>
      <c r="T73" s="10"/>
      <c r="U73" s="10">
        <f t="shared" si="20"/>
        <v>0</v>
      </c>
      <c r="V73" s="12"/>
      <c r="W73" s="17"/>
      <c r="X73" s="17"/>
      <c r="Y73" s="10" t="e">
        <f t="shared" si="21"/>
        <v>#DIV/0!</v>
      </c>
      <c r="Z73" s="10" t="e">
        <f t="shared" si="22"/>
        <v>#DIV/0!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 t="s">
        <v>50</v>
      </c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35">
      <c r="A74" s="1" t="s">
        <v>119</v>
      </c>
      <c r="B74" s="1" t="s">
        <v>44</v>
      </c>
      <c r="C74" s="1">
        <v>298</v>
      </c>
      <c r="D74" s="1">
        <v>51</v>
      </c>
      <c r="E74" s="1">
        <v>47</v>
      </c>
      <c r="F74" s="1">
        <v>243</v>
      </c>
      <c r="G74" s="7">
        <v>0.6</v>
      </c>
      <c r="H74" s="1">
        <v>60</v>
      </c>
      <c r="I74" s="1" t="s">
        <v>40</v>
      </c>
      <c r="J74" s="1"/>
      <c r="K74" s="1">
        <v>39</v>
      </c>
      <c r="L74" s="1">
        <f t="shared" si="19"/>
        <v>8</v>
      </c>
      <c r="M74" s="1"/>
      <c r="N74" s="1"/>
      <c r="O74" s="1">
        <v>0</v>
      </c>
      <c r="P74" s="1"/>
      <c r="Q74" s="1"/>
      <c r="R74" s="1">
        <v>0</v>
      </c>
      <c r="S74" s="1"/>
      <c r="T74" s="1"/>
      <c r="U74" s="1">
        <f t="shared" si="20"/>
        <v>9.4</v>
      </c>
      <c r="V74" s="5"/>
      <c r="W74" s="16"/>
      <c r="X74" s="16"/>
      <c r="Y74" s="1">
        <f t="shared" si="21"/>
        <v>25.851063829787233</v>
      </c>
      <c r="Z74" s="1">
        <f t="shared" si="22"/>
        <v>25.851063829787233</v>
      </c>
      <c r="AA74" s="1">
        <v>10.4</v>
      </c>
      <c r="AB74" s="1">
        <v>2.4</v>
      </c>
      <c r="AC74" s="1">
        <v>6.8</v>
      </c>
      <c r="AD74" s="1">
        <v>12.6</v>
      </c>
      <c r="AE74" s="1">
        <v>8.1999999999999993</v>
      </c>
      <c r="AF74" s="1">
        <v>22.4</v>
      </c>
      <c r="AG74" s="1">
        <v>22.4</v>
      </c>
      <c r="AH74" s="1">
        <v>1.8</v>
      </c>
      <c r="AI74" s="1">
        <v>12</v>
      </c>
      <c r="AJ74" s="1">
        <v>16.8</v>
      </c>
      <c r="AK74" s="15" t="s">
        <v>79</v>
      </c>
      <c r="AL74" s="1">
        <f>G74*V74</f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35">
      <c r="A75" s="1" t="s">
        <v>120</v>
      </c>
      <c r="B75" s="1" t="s">
        <v>44</v>
      </c>
      <c r="C75" s="1">
        <v>233</v>
      </c>
      <c r="D75" s="1">
        <v>38</v>
      </c>
      <c r="E75" s="1">
        <v>100</v>
      </c>
      <c r="F75" s="1">
        <v>127</v>
      </c>
      <c r="G75" s="7">
        <v>0.4</v>
      </c>
      <c r="H75" s="1">
        <v>90</v>
      </c>
      <c r="I75" s="1" t="s">
        <v>40</v>
      </c>
      <c r="J75" s="1"/>
      <c r="K75" s="1">
        <v>93</v>
      </c>
      <c r="L75" s="1">
        <f t="shared" si="19"/>
        <v>7</v>
      </c>
      <c r="M75" s="1"/>
      <c r="N75" s="1"/>
      <c r="O75" s="1">
        <v>0</v>
      </c>
      <c r="P75" s="1"/>
      <c r="Q75" s="1"/>
      <c r="R75" s="1">
        <v>15.200000000000021</v>
      </c>
      <c r="S75" s="1"/>
      <c r="T75" s="1"/>
      <c r="U75" s="1">
        <f t="shared" si="20"/>
        <v>20</v>
      </c>
      <c r="V75" s="5">
        <f t="shared" ref="V75:V77" si="23">11*U75-T75-S75-R75-Q75-P75-O75-F75</f>
        <v>77.799999999999983</v>
      </c>
      <c r="W75" s="19">
        <v>150</v>
      </c>
      <c r="X75" s="19" t="s">
        <v>190</v>
      </c>
      <c r="Y75" s="1">
        <f t="shared" si="21"/>
        <v>11</v>
      </c>
      <c r="Z75" s="1">
        <f t="shared" si="22"/>
        <v>7.1100000000000012</v>
      </c>
      <c r="AA75" s="1">
        <v>17.600000000000001</v>
      </c>
      <c r="AB75" s="1">
        <v>21</v>
      </c>
      <c r="AC75" s="1">
        <v>10.4</v>
      </c>
      <c r="AD75" s="1">
        <v>8.1999999999999993</v>
      </c>
      <c r="AE75" s="1">
        <v>16</v>
      </c>
      <c r="AF75" s="1">
        <v>19</v>
      </c>
      <c r="AG75" s="1">
        <v>17.600000000000001</v>
      </c>
      <c r="AH75" s="1">
        <v>16.600000000000001</v>
      </c>
      <c r="AI75" s="1">
        <v>13.6</v>
      </c>
      <c r="AJ75" s="1">
        <v>5.4</v>
      </c>
      <c r="AK75" s="1"/>
      <c r="AL75" s="1">
        <f>G75*V75</f>
        <v>31.119999999999994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35">
      <c r="A76" s="1" t="s">
        <v>121</v>
      </c>
      <c r="B76" s="1" t="s">
        <v>44</v>
      </c>
      <c r="C76" s="1">
        <v>320</v>
      </c>
      <c r="D76" s="1">
        <v>95</v>
      </c>
      <c r="E76" s="1">
        <v>209</v>
      </c>
      <c r="F76" s="1">
        <v>106</v>
      </c>
      <c r="G76" s="7">
        <v>0.33</v>
      </c>
      <c r="H76" s="1">
        <v>60</v>
      </c>
      <c r="I76" s="9" t="s">
        <v>52</v>
      </c>
      <c r="J76" s="1"/>
      <c r="K76" s="1">
        <v>196</v>
      </c>
      <c r="L76" s="1">
        <f t="shared" si="19"/>
        <v>13</v>
      </c>
      <c r="M76" s="1"/>
      <c r="N76" s="1"/>
      <c r="O76" s="1">
        <v>98.600000000000023</v>
      </c>
      <c r="P76" s="1"/>
      <c r="Q76" s="1"/>
      <c r="R76" s="1">
        <v>120.4</v>
      </c>
      <c r="S76" s="1">
        <v>-128</v>
      </c>
      <c r="T76" s="1"/>
      <c r="U76" s="1">
        <f t="shared" si="20"/>
        <v>41.8</v>
      </c>
      <c r="V76" s="5">
        <v>150</v>
      </c>
      <c r="W76" s="19">
        <v>200</v>
      </c>
      <c r="X76" s="19" t="s">
        <v>190</v>
      </c>
      <c r="Y76" s="1">
        <f t="shared" si="21"/>
        <v>8.3014354066985643</v>
      </c>
      <c r="Z76" s="1">
        <f t="shared" si="22"/>
        <v>4.7129186602870821</v>
      </c>
      <c r="AA76" s="1">
        <v>36</v>
      </c>
      <c r="AB76" s="1">
        <v>37.6</v>
      </c>
      <c r="AC76" s="1">
        <v>21.4</v>
      </c>
      <c r="AD76" s="1">
        <v>11.8</v>
      </c>
      <c r="AE76" s="1">
        <v>27.4</v>
      </c>
      <c r="AF76" s="1">
        <v>37.6</v>
      </c>
      <c r="AG76" s="1">
        <v>36</v>
      </c>
      <c r="AH76" s="1">
        <v>29.6</v>
      </c>
      <c r="AI76" s="1">
        <v>26.2</v>
      </c>
      <c r="AJ76" s="1">
        <v>20.399999999999999</v>
      </c>
      <c r="AK76" s="1"/>
      <c r="AL76" s="1">
        <f>G76*V76</f>
        <v>49.5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35">
      <c r="A77" s="1" t="s">
        <v>122</v>
      </c>
      <c r="B77" s="1" t="s">
        <v>44</v>
      </c>
      <c r="C77" s="1">
        <v>147</v>
      </c>
      <c r="D77" s="1">
        <v>57</v>
      </c>
      <c r="E77" s="1">
        <v>119</v>
      </c>
      <c r="F77" s="1">
        <v>27</v>
      </c>
      <c r="G77" s="7">
        <v>0.35</v>
      </c>
      <c r="H77" s="1">
        <v>90</v>
      </c>
      <c r="I77" s="9" t="s">
        <v>52</v>
      </c>
      <c r="J77" s="1"/>
      <c r="K77" s="1">
        <v>114</v>
      </c>
      <c r="L77" s="1">
        <f t="shared" si="19"/>
        <v>5</v>
      </c>
      <c r="M77" s="1"/>
      <c r="N77" s="1"/>
      <c r="O77" s="1">
        <v>130.19999999999999</v>
      </c>
      <c r="P77" s="1"/>
      <c r="Q77" s="1"/>
      <c r="R77" s="1">
        <v>10</v>
      </c>
      <c r="S77" s="1">
        <v>-16</v>
      </c>
      <c r="T77" s="1"/>
      <c r="U77" s="1">
        <f t="shared" si="20"/>
        <v>23.8</v>
      </c>
      <c r="V77" s="5">
        <f t="shared" si="23"/>
        <v>110.60000000000002</v>
      </c>
      <c r="W77" s="19">
        <v>200</v>
      </c>
      <c r="X77" s="19" t="s">
        <v>190</v>
      </c>
      <c r="Y77" s="1">
        <f t="shared" si="21"/>
        <v>11</v>
      </c>
      <c r="Z77" s="1">
        <f t="shared" si="22"/>
        <v>6.3529411764705879</v>
      </c>
      <c r="AA77" s="1">
        <v>20.399999999999999</v>
      </c>
      <c r="AB77" s="1">
        <v>25.2</v>
      </c>
      <c r="AC77" s="1">
        <v>11.8</v>
      </c>
      <c r="AD77" s="1">
        <v>10.4</v>
      </c>
      <c r="AE77" s="1">
        <v>13.6</v>
      </c>
      <c r="AF77" s="1">
        <v>7.8</v>
      </c>
      <c r="AG77" s="1">
        <v>18.399999999999999</v>
      </c>
      <c r="AH77" s="1">
        <v>25</v>
      </c>
      <c r="AI77" s="1">
        <v>13</v>
      </c>
      <c r="AJ77" s="1">
        <v>5.4</v>
      </c>
      <c r="AK77" s="1"/>
      <c r="AL77" s="1">
        <f>G77*V77</f>
        <v>38.710000000000008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35">
      <c r="A78" s="1" t="s">
        <v>123</v>
      </c>
      <c r="B78" s="1" t="s">
        <v>44</v>
      </c>
      <c r="C78" s="1">
        <v>674</v>
      </c>
      <c r="D78" s="1">
        <v>115</v>
      </c>
      <c r="E78" s="1">
        <v>91</v>
      </c>
      <c r="F78" s="1">
        <v>585</v>
      </c>
      <c r="G78" s="7">
        <v>0.37</v>
      </c>
      <c r="H78" s="1">
        <v>50</v>
      </c>
      <c r="I78" s="1" t="s">
        <v>40</v>
      </c>
      <c r="J78" s="1"/>
      <c r="K78" s="1">
        <v>91</v>
      </c>
      <c r="L78" s="1">
        <f t="shared" si="19"/>
        <v>0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20"/>
        <v>18.2</v>
      </c>
      <c r="V78" s="5"/>
      <c r="W78" s="16"/>
      <c r="X78" s="16"/>
      <c r="Y78" s="1">
        <f t="shared" si="21"/>
        <v>32.142857142857146</v>
      </c>
      <c r="Z78" s="1">
        <f t="shared" si="22"/>
        <v>32.142857142857146</v>
      </c>
      <c r="AA78" s="1">
        <v>13</v>
      </c>
      <c r="AB78" s="1">
        <v>3.6</v>
      </c>
      <c r="AC78" s="1">
        <v>1</v>
      </c>
      <c r="AD78" s="1">
        <v>8.1999999999999993</v>
      </c>
      <c r="AE78" s="1">
        <v>13.4</v>
      </c>
      <c r="AF78" s="1">
        <v>43.8</v>
      </c>
      <c r="AG78" s="1">
        <v>44.4</v>
      </c>
      <c r="AH78" s="1">
        <v>11.8</v>
      </c>
      <c r="AI78" s="1">
        <v>23.6</v>
      </c>
      <c r="AJ78" s="1">
        <v>22.4</v>
      </c>
      <c r="AK78" s="15" t="s">
        <v>79</v>
      </c>
      <c r="AL78" s="1">
        <f>G78*V78</f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35">
      <c r="A79" s="10" t="s">
        <v>124</v>
      </c>
      <c r="B79" s="10" t="s">
        <v>44</v>
      </c>
      <c r="C79" s="10"/>
      <c r="D79" s="10"/>
      <c r="E79" s="10"/>
      <c r="F79" s="10"/>
      <c r="G79" s="11">
        <v>0</v>
      </c>
      <c r="H79" s="10"/>
      <c r="I79" s="10" t="s">
        <v>40</v>
      </c>
      <c r="J79" s="10"/>
      <c r="K79" s="10"/>
      <c r="L79" s="10">
        <f t="shared" si="19"/>
        <v>0</v>
      </c>
      <c r="M79" s="10"/>
      <c r="N79" s="10"/>
      <c r="O79" s="10">
        <v>0</v>
      </c>
      <c r="P79" s="10"/>
      <c r="Q79" s="10"/>
      <c r="R79" s="10">
        <v>0</v>
      </c>
      <c r="S79" s="10"/>
      <c r="T79" s="10"/>
      <c r="U79" s="10">
        <f t="shared" si="20"/>
        <v>0</v>
      </c>
      <c r="V79" s="12"/>
      <c r="W79" s="17"/>
      <c r="X79" s="17"/>
      <c r="Y79" s="10" t="e">
        <f t="shared" si="21"/>
        <v>#DIV/0!</v>
      </c>
      <c r="Z79" s="10" t="e">
        <f t="shared" si="22"/>
        <v>#DIV/0!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 t="s">
        <v>50</v>
      </c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35">
      <c r="A80" s="1" t="s">
        <v>125</v>
      </c>
      <c r="B80" s="1" t="s">
        <v>44</v>
      </c>
      <c r="C80" s="1">
        <v>57</v>
      </c>
      <c r="D80" s="1">
        <v>66</v>
      </c>
      <c r="E80" s="1">
        <v>56</v>
      </c>
      <c r="F80" s="1"/>
      <c r="G80" s="7">
        <v>0.33</v>
      </c>
      <c r="H80" s="1">
        <v>40</v>
      </c>
      <c r="I80" s="1" t="s">
        <v>40</v>
      </c>
      <c r="J80" s="1"/>
      <c r="K80" s="1">
        <v>74</v>
      </c>
      <c r="L80" s="1">
        <f t="shared" si="19"/>
        <v>-18</v>
      </c>
      <c r="M80" s="1"/>
      <c r="N80" s="1"/>
      <c r="O80" s="1">
        <v>139</v>
      </c>
      <c r="P80" s="1"/>
      <c r="Q80" s="1"/>
      <c r="R80" s="1">
        <v>85.001599999999996</v>
      </c>
      <c r="S80" s="1"/>
      <c r="T80" s="1">
        <v>125.3984</v>
      </c>
      <c r="U80" s="1">
        <f t="shared" si="20"/>
        <v>11.2</v>
      </c>
      <c r="V80" s="5"/>
      <c r="W80" s="16"/>
      <c r="X80" s="16"/>
      <c r="Y80" s="1">
        <f t="shared" si="21"/>
        <v>31.196428571428573</v>
      </c>
      <c r="Z80" s="1">
        <f t="shared" si="22"/>
        <v>31.196428571428573</v>
      </c>
      <c r="AA80" s="1">
        <v>29.2</v>
      </c>
      <c r="AB80" s="1">
        <v>26</v>
      </c>
      <c r="AC80" s="1">
        <v>7.6</v>
      </c>
      <c r="AD80" s="1">
        <v>4.5999999999999996</v>
      </c>
      <c r="AE80" s="1">
        <v>8.8000000000000007</v>
      </c>
      <c r="AF80" s="1">
        <v>16.600000000000001</v>
      </c>
      <c r="AG80" s="1">
        <v>15.4</v>
      </c>
      <c r="AH80" s="1">
        <v>6.4</v>
      </c>
      <c r="AI80" s="1">
        <v>8.6</v>
      </c>
      <c r="AJ80" s="1">
        <v>8.4</v>
      </c>
      <c r="AK80" s="1"/>
      <c r="AL80" s="1">
        <f>G80*V80</f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35">
      <c r="A81" s="1" t="s">
        <v>126</v>
      </c>
      <c r="B81" s="1" t="s">
        <v>44</v>
      </c>
      <c r="C81" s="1">
        <v>183</v>
      </c>
      <c r="D81" s="1">
        <v>97</v>
      </c>
      <c r="E81" s="1">
        <v>63</v>
      </c>
      <c r="F81" s="1">
        <v>131</v>
      </c>
      <c r="G81" s="7">
        <v>0.4</v>
      </c>
      <c r="H81" s="1">
        <v>55</v>
      </c>
      <c r="I81" s="1" t="s">
        <v>40</v>
      </c>
      <c r="J81" s="1"/>
      <c r="K81" s="1">
        <v>58</v>
      </c>
      <c r="L81" s="1">
        <f t="shared" si="19"/>
        <v>5</v>
      </c>
      <c r="M81" s="1"/>
      <c r="N81" s="1"/>
      <c r="O81" s="1">
        <v>0</v>
      </c>
      <c r="P81" s="1"/>
      <c r="Q81" s="1"/>
      <c r="R81" s="1">
        <v>0</v>
      </c>
      <c r="S81" s="1"/>
      <c r="T81" s="1"/>
      <c r="U81" s="1">
        <f t="shared" si="20"/>
        <v>12.6</v>
      </c>
      <c r="V81" s="5">
        <f t="shared" ref="V81" si="24">11*U81-T81-S81-R81-Q81-P81-O81-F81</f>
        <v>7.5999999999999943</v>
      </c>
      <c r="W81" s="16"/>
      <c r="X81" s="16"/>
      <c r="Y81" s="1">
        <f t="shared" si="21"/>
        <v>11</v>
      </c>
      <c r="Z81" s="1">
        <f t="shared" si="22"/>
        <v>10.396825396825397</v>
      </c>
      <c r="AA81" s="1">
        <v>11.8</v>
      </c>
      <c r="AB81" s="1">
        <v>3.6</v>
      </c>
      <c r="AC81" s="1">
        <v>18.600000000000001</v>
      </c>
      <c r="AD81" s="1">
        <v>21.2</v>
      </c>
      <c r="AE81" s="1">
        <v>8.8000000000000007</v>
      </c>
      <c r="AF81" s="1">
        <v>14.8</v>
      </c>
      <c r="AG81" s="1">
        <v>11</v>
      </c>
      <c r="AH81" s="1">
        <v>4.4000000000000004</v>
      </c>
      <c r="AI81" s="1">
        <v>12.2</v>
      </c>
      <c r="AJ81" s="1">
        <v>13.8</v>
      </c>
      <c r="AK81" s="1"/>
      <c r="AL81" s="1">
        <f>G81*V81</f>
        <v>3.0399999999999978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35">
      <c r="A82" s="1" t="s">
        <v>127</v>
      </c>
      <c r="B82" s="1" t="s">
        <v>44</v>
      </c>
      <c r="C82" s="1">
        <v>5</v>
      </c>
      <c r="D82" s="1">
        <v>3</v>
      </c>
      <c r="E82" s="1"/>
      <c r="F82" s="1"/>
      <c r="G82" s="7">
        <v>0.35</v>
      </c>
      <c r="H82" s="1">
        <v>40</v>
      </c>
      <c r="I82" s="9" t="s">
        <v>52</v>
      </c>
      <c r="J82" s="1"/>
      <c r="K82" s="1">
        <v>18</v>
      </c>
      <c r="L82" s="1">
        <f t="shared" si="19"/>
        <v>-18</v>
      </c>
      <c r="M82" s="1"/>
      <c r="N82" s="1"/>
      <c r="O82" s="1">
        <v>10</v>
      </c>
      <c r="P82" s="1">
        <v>-12</v>
      </c>
      <c r="Q82" s="1"/>
      <c r="R82" s="1">
        <v>10</v>
      </c>
      <c r="S82" s="1">
        <v>-12</v>
      </c>
      <c r="T82" s="1"/>
      <c r="U82" s="1">
        <f t="shared" si="20"/>
        <v>0</v>
      </c>
      <c r="V82" s="5">
        <v>20</v>
      </c>
      <c r="W82" s="16"/>
      <c r="X82" s="16"/>
      <c r="Y82" s="1" t="e">
        <f t="shared" si="21"/>
        <v>#DIV/0!</v>
      </c>
      <c r="Z82" s="1" t="e">
        <f t="shared" si="22"/>
        <v>#DIV/0!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2</v>
      </c>
      <c r="AG82" s="1">
        <v>2</v>
      </c>
      <c r="AH82" s="1">
        <v>0</v>
      </c>
      <c r="AI82" s="1">
        <v>0</v>
      </c>
      <c r="AJ82" s="1">
        <v>2.4</v>
      </c>
      <c r="AK82" s="1"/>
      <c r="AL82" s="1">
        <f>G82*V82</f>
        <v>7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35">
      <c r="A83" s="1" t="s">
        <v>128</v>
      </c>
      <c r="B83" s="1" t="s">
        <v>44</v>
      </c>
      <c r="C83" s="1">
        <v>16</v>
      </c>
      <c r="D83" s="1">
        <v>44</v>
      </c>
      <c r="E83" s="1">
        <v>13</v>
      </c>
      <c r="F83" s="1">
        <v>22</v>
      </c>
      <c r="G83" s="7">
        <v>0.35</v>
      </c>
      <c r="H83" s="1">
        <v>45</v>
      </c>
      <c r="I83" s="9" t="s">
        <v>52</v>
      </c>
      <c r="J83" s="1"/>
      <c r="K83" s="1">
        <v>18</v>
      </c>
      <c r="L83" s="1">
        <f t="shared" si="19"/>
        <v>-5</v>
      </c>
      <c r="M83" s="1"/>
      <c r="N83" s="1"/>
      <c r="O83" s="1">
        <v>36.200000000000003</v>
      </c>
      <c r="P83" s="1"/>
      <c r="Q83" s="1"/>
      <c r="R83" s="1">
        <v>10</v>
      </c>
      <c r="S83" s="1"/>
      <c r="T83" s="1"/>
      <c r="U83" s="1">
        <f t="shared" si="20"/>
        <v>2.6</v>
      </c>
      <c r="V83" s="5"/>
      <c r="W83" s="16"/>
      <c r="X83" s="16"/>
      <c r="Y83" s="1">
        <f t="shared" si="21"/>
        <v>26.23076923076923</v>
      </c>
      <c r="Z83" s="1">
        <f t="shared" si="22"/>
        <v>26.23076923076923</v>
      </c>
      <c r="AA83" s="1">
        <v>5.2</v>
      </c>
      <c r="AB83" s="1">
        <v>6.2</v>
      </c>
      <c r="AC83" s="1">
        <v>3.6</v>
      </c>
      <c r="AD83" s="1">
        <v>2</v>
      </c>
      <c r="AE83" s="1">
        <v>8</v>
      </c>
      <c r="AF83" s="1">
        <v>9.4</v>
      </c>
      <c r="AG83" s="1">
        <v>3.4</v>
      </c>
      <c r="AH83" s="1">
        <v>0</v>
      </c>
      <c r="AI83" s="1">
        <v>0</v>
      </c>
      <c r="AJ83" s="1">
        <v>1.4</v>
      </c>
      <c r="AK83" s="1"/>
      <c r="AL83" s="1">
        <f>G83*V83</f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35">
      <c r="A84" s="10" t="s">
        <v>129</v>
      </c>
      <c r="B84" s="10" t="s">
        <v>44</v>
      </c>
      <c r="C84" s="10"/>
      <c r="D84" s="10"/>
      <c r="E84" s="10"/>
      <c r="F84" s="10"/>
      <c r="G84" s="11">
        <v>0</v>
      </c>
      <c r="H84" s="10"/>
      <c r="I84" s="10" t="s">
        <v>40</v>
      </c>
      <c r="J84" s="10"/>
      <c r="K84" s="10"/>
      <c r="L84" s="10">
        <f t="shared" si="19"/>
        <v>0</v>
      </c>
      <c r="M84" s="10"/>
      <c r="N84" s="10"/>
      <c r="O84" s="10">
        <v>0</v>
      </c>
      <c r="P84" s="10"/>
      <c r="Q84" s="10"/>
      <c r="R84" s="10">
        <v>0</v>
      </c>
      <c r="S84" s="10"/>
      <c r="T84" s="10"/>
      <c r="U84" s="10">
        <f t="shared" si="20"/>
        <v>0</v>
      </c>
      <c r="V84" s="12"/>
      <c r="W84" s="17"/>
      <c r="X84" s="17"/>
      <c r="Y84" s="10" t="e">
        <f t="shared" si="21"/>
        <v>#DIV/0!</v>
      </c>
      <c r="Z84" s="10" t="e">
        <f t="shared" si="22"/>
        <v>#DIV/0!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 t="s">
        <v>50</v>
      </c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35">
      <c r="A85" s="10" t="s">
        <v>130</v>
      </c>
      <c r="B85" s="10" t="s">
        <v>39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19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/>
      <c r="U85" s="10">
        <f t="shared" si="20"/>
        <v>0</v>
      </c>
      <c r="V85" s="12"/>
      <c r="W85" s="17"/>
      <c r="X85" s="17"/>
      <c r="Y85" s="10" t="e">
        <f t="shared" si="21"/>
        <v>#DIV/0!</v>
      </c>
      <c r="Z85" s="10" t="e">
        <f t="shared" si="22"/>
        <v>#DIV/0!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 t="s">
        <v>50</v>
      </c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35">
      <c r="A86" s="10" t="s">
        <v>131</v>
      </c>
      <c r="B86" s="10" t="s">
        <v>44</v>
      </c>
      <c r="C86" s="10">
        <v>-5</v>
      </c>
      <c r="D86" s="10">
        <v>38</v>
      </c>
      <c r="E86" s="10"/>
      <c r="F86" s="10"/>
      <c r="G86" s="11">
        <v>0</v>
      </c>
      <c r="H86" s="10">
        <v>55</v>
      </c>
      <c r="I86" s="10" t="s">
        <v>66</v>
      </c>
      <c r="J86" s="10"/>
      <c r="K86" s="10"/>
      <c r="L86" s="10">
        <f t="shared" si="19"/>
        <v>0</v>
      </c>
      <c r="M86" s="10"/>
      <c r="N86" s="10"/>
      <c r="O86" s="10">
        <v>0</v>
      </c>
      <c r="P86" s="10"/>
      <c r="Q86" s="10"/>
      <c r="R86" s="10">
        <v>0</v>
      </c>
      <c r="S86" s="10"/>
      <c r="T86" s="10"/>
      <c r="U86" s="10">
        <f t="shared" si="20"/>
        <v>0</v>
      </c>
      <c r="V86" s="12"/>
      <c r="W86" s="17"/>
      <c r="X86" s="17"/>
      <c r="Y86" s="10" t="e">
        <f t="shared" si="21"/>
        <v>#DIV/0!</v>
      </c>
      <c r="Z86" s="10" t="e">
        <f t="shared" si="22"/>
        <v>#DIV/0!</v>
      </c>
      <c r="AA86" s="10">
        <v>-0.2</v>
      </c>
      <c r="AB86" s="10">
        <v>-0.2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2</v>
      </c>
      <c r="AK86" s="10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35">
      <c r="A87" s="1" t="s">
        <v>132</v>
      </c>
      <c r="B87" s="1" t="s">
        <v>39</v>
      </c>
      <c r="C87" s="1">
        <v>27.193999999999999</v>
      </c>
      <c r="D87" s="1">
        <v>13.007999999999999</v>
      </c>
      <c r="E87" s="1">
        <v>22.937999999999999</v>
      </c>
      <c r="F87" s="1">
        <v>2.8570000000000002</v>
      </c>
      <c r="G87" s="7">
        <v>1</v>
      </c>
      <c r="H87" s="1">
        <v>55</v>
      </c>
      <c r="I87" s="1" t="s">
        <v>40</v>
      </c>
      <c r="J87" s="1"/>
      <c r="K87" s="1">
        <v>25.8</v>
      </c>
      <c r="L87" s="1">
        <f t="shared" si="19"/>
        <v>-2.8620000000000019</v>
      </c>
      <c r="M87" s="1"/>
      <c r="N87" s="1"/>
      <c r="O87" s="1">
        <v>17.043600000000001</v>
      </c>
      <c r="P87" s="1"/>
      <c r="Q87" s="1"/>
      <c r="R87" s="1">
        <v>18.08819999999999</v>
      </c>
      <c r="S87" s="1"/>
      <c r="T87" s="1"/>
      <c r="U87" s="1">
        <f t="shared" si="20"/>
        <v>4.5876000000000001</v>
      </c>
      <c r="V87" s="5">
        <f t="shared" ref="V87" si="25">11*U87-T87-S87-R87-Q87-P87-O87-F87</f>
        <v>12.474800000000013</v>
      </c>
      <c r="W87" s="16"/>
      <c r="X87" s="16"/>
      <c r="Y87" s="1">
        <f t="shared" si="21"/>
        <v>11</v>
      </c>
      <c r="Z87" s="1">
        <f t="shared" si="22"/>
        <v>8.2807568227395567</v>
      </c>
      <c r="AA87" s="1">
        <v>4.5953999999999997</v>
      </c>
      <c r="AB87" s="1">
        <v>4.0216000000000003</v>
      </c>
      <c r="AC87" s="1">
        <v>0.86240000000000006</v>
      </c>
      <c r="AD87" s="1">
        <v>0</v>
      </c>
      <c r="AE87" s="1">
        <v>2.0213999999999999</v>
      </c>
      <c r="AF87" s="1">
        <v>3.1659999999999999</v>
      </c>
      <c r="AG87" s="1">
        <v>2.0042</v>
      </c>
      <c r="AH87" s="1">
        <v>1.1472</v>
      </c>
      <c r="AI87" s="1">
        <v>0.57320000000000004</v>
      </c>
      <c r="AJ87" s="1">
        <v>0.57420000000000004</v>
      </c>
      <c r="AK87" s="1"/>
      <c r="AL87" s="1">
        <f>G87*V87</f>
        <v>12.474800000000013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35">
      <c r="A88" s="1" t="s">
        <v>133</v>
      </c>
      <c r="B88" s="1" t="s">
        <v>39</v>
      </c>
      <c r="C88" s="1">
        <v>110.477</v>
      </c>
      <c r="D88" s="1">
        <v>515.24300000000005</v>
      </c>
      <c r="E88" s="1">
        <v>137.49199999999999</v>
      </c>
      <c r="F88" s="1">
        <v>272.60300000000001</v>
      </c>
      <c r="G88" s="7">
        <v>1</v>
      </c>
      <c r="H88" s="1">
        <v>60</v>
      </c>
      <c r="I88" s="1" t="s">
        <v>40</v>
      </c>
      <c r="J88" s="1"/>
      <c r="K88" s="1">
        <v>142.4</v>
      </c>
      <c r="L88" s="1">
        <f t="shared" si="19"/>
        <v>-4.9080000000000155</v>
      </c>
      <c r="M88" s="1"/>
      <c r="N88" s="1"/>
      <c r="O88" s="1">
        <v>105.31639200000011</v>
      </c>
      <c r="P88" s="1"/>
      <c r="Q88" s="1"/>
      <c r="R88" s="1">
        <v>60.996162399999967</v>
      </c>
      <c r="S88" s="1"/>
      <c r="T88" s="1">
        <v>89.98443759999995</v>
      </c>
      <c r="U88" s="1">
        <f t="shared" si="20"/>
        <v>27.498399999999997</v>
      </c>
      <c r="V88" s="5"/>
      <c r="W88" s="16"/>
      <c r="X88" s="16"/>
      <c r="Y88" s="1">
        <f t="shared" si="21"/>
        <v>19.233846041951534</v>
      </c>
      <c r="Z88" s="1">
        <f t="shared" si="22"/>
        <v>19.233846041951534</v>
      </c>
      <c r="AA88" s="1">
        <v>46.795000000000002</v>
      </c>
      <c r="AB88" s="1">
        <v>43.2684</v>
      </c>
      <c r="AC88" s="1">
        <v>40.822800000000001</v>
      </c>
      <c r="AD88" s="1">
        <v>37.770800000000001</v>
      </c>
      <c r="AE88" s="1">
        <v>33.010000000000012</v>
      </c>
      <c r="AF88" s="1">
        <v>40.011200000000002</v>
      </c>
      <c r="AG88" s="1">
        <v>37.158999999999999</v>
      </c>
      <c r="AH88" s="1">
        <v>27.297799999999999</v>
      </c>
      <c r="AI88" s="1">
        <v>35.398400000000002</v>
      </c>
      <c r="AJ88" s="1">
        <v>35.738399999999999</v>
      </c>
      <c r="AK88" s="1"/>
      <c r="AL88" s="1">
        <f>G88*V88</f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35">
      <c r="A89" s="10" t="s">
        <v>134</v>
      </c>
      <c r="B89" s="10" t="s">
        <v>44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9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/>
      <c r="U89" s="10">
        <f t="shared" si="20"/>
        <v>0</v>
      </c>
      <c r="V89" s="12"/>
      <c r="W89" s="17"/>
      <c r="X89" s="17"/>
      <c r="Y89" s="10" t="e">
        <f t="shared" si="21"/>
        <v>#DIV/0!</v>
      </c>
      <c r="Z89" s="10" t="e">
        <f t="shared" si="22"/>
        <v>#DIV/0!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 t="s">
        <v>50</v>
      </c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35">
      <c r="A90" s="1" t="s">
        <v>135</v>
      </c>
      <c r="B90" s="1" t="s">
        <v>39</v>
      </c>
      <c r="C90" s="1">
        <v>1506.835</v>
      </c>
      <c r="D90" s="1">
        <v>2819.7269999999999</v>
      </c>
      <c r="E90" s="1">
        <v>1632.6880000000001</v>
      </c>
      <c r="F90" s="1">
        <v>945.29</v>
      </c>
      <c r="G90" s="7">
        <v>1</v>
      </c>
      <c r="H90" s="1">
        <v>60</v>
      </c>
      <c r="I90" s="1" t="s">
        <v>40</v>
      </c>
      <c r="J90" s="1"/>
      <c r="K90" s="1">
        <v>1619.5</v>
      </c>
      <c r="L90" s="1">
        <f t="shared" si="19"/>
        <v>13.188000000000102</v>
      </c>
      <c r="M90" s="1"/>
      <c r="N90" s="1"/>
      <c r="O90" s="1">
        <v>1570.0830719999999</v>
      </c>
      <c r="P90" s="1"/>
      <c r="Q90" s="1"/>
      <c r="R90" s="1">
        <v>134.29630639999991</v>
      </c>
      <c r="S90" s="1"/>
      <c r="T90" s="1">
        <v>198.12029359999991</v>
      </c>
      <c r="U90" s="1">
        <f t="shared" si="20"/>
        <v>326.5376</v>
      </c>
      <c r="V90" s="5">
        <f t="shared" ref="V90:V92" si="26">10*U90-T90-S90-R90-Q90-P90-O90-F90</f>
        <v>417.58632800000032</v>
      </c>
      <c r="W90" s="16"/>
      <c r="X90" s="16"/>
      <c r="Y90" s="1">
        <f t="shared" si="21"/>
        <v>10</v>
      </c>
      <c r="Z90" s="1">
        <f t="shared" si="22"/>
        <v>8.7211692374783176</v>
      </c>
      <c r="AA90" s="1">
        <v>312.88479999999998</v>
      </c>
      <c r="AB90" s="1">
        <v>368.565</v>
      </c>
      <c r="AC90" s="1">
        <v>303.18119999999999</v>
      </c>
      <c r="AD90" s="1">
        <v>264.67619999999999</v>
      </c>
      <c r="AE90" s="1">
        <v>304.95080000000002</v>
      </c>
      <c r="AF90" s="1">
        <v>256.99919999999997</v>
      </c>
      <c r="AG90" s="1">
        <v>231.32480000000001</v>
      </c>
      <c r="AH90" s="1">
        <v>263.76119999999997</v>
      </c>
      <c r="AI90" s="1">
        <v>305.51940000000002</v>
      </c>
      <c r="AJ90" s="1">
        <v>261.89159999999998</v>
      </c>
      <c r="AK90" s="1"/>
      <c r="AL90" s="1">
        <f>G90*V90</f>
        <v>417.58632800000032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35">
      <c r="A91" s="1" t="s">
        <v>136</v>
      </c>
      <c r="B91" s="1" t="s">
        <v>39</v>
      </c>
      <c r="C91" s="1">
        <v>2168.6260000000002</v>
      </c>
      <c r="D91" s="1">
        <v>2246.212</v>
      </c>
      <c r="E91" s="1">
        <v>2122.4369999999999</v>
      </c>
      <c r="F91" s="1">
        <v>54.85</v>
      </c>
      <c r="G91" s="7">
        <v>1</v>
      </c>
      <c r="H91" s="1">
        <v>60</v>
      </c>
      <c r="I91" s="1" t="s">
        <v>40</v>
      </c>
      <c r="J91" s="1"/>
      <c r="K91" s="1">
        <v>2074</v>
      </c>
      <c r="L91" s="1">
        <f t="shared" si="19"/>
        <v>48.436999999999898</v>
      </c>
      <c r="M91" s="1"/>
      <c r="N91" s="1"/>
      <c r="O91" s="1">
        <v>2008.4182000000001</v>
      </c>
      <c r="P91" s="1"/>
      <c r="Q91" s="1">
        <v>270</v>
      </c>
      <c r="R91" s="1">
        <v>752.55560000000037</v>
      </c>
      <c r="S91" s="1"/>
      <c r="T91" s="1">
        <v>1000</v>
      </c>
      <c r="U91" s="1">
        <f t="shared" si="20"/>
        <v>424.48739999999998</v>
      </c>
      <c r="V91" s="5">
        <f t="shared" si="26"/>
        <v>159.05019999999914</v>
      </c>
      <c r="W91" s="16"/>
      <c r="X91" s="16"/>
      <c r="Y91" s="1">
        <f t="shared" si="21"/>
        <v>9.9999999999999982</v>
      </c>
      <c r="Z91" s="1">
        <f t="shared" si="22"/>
        <v>9.6253123178685644</v>
      </c>
      <c r="AA91" s="1">
        <v>393.61340000000001</v>
      </c>
      <c r="AB91" s="1">
        <v>331.94720000000001</v>
      </c>
      <c r="AC91" s="1">
        <v>257.45100000000002</v>
      </c>
      <c r="AD91" s="1">
        <v>207.36179999999999</v>
      </c>
      <c r="AE91" s="1">
        <v>301.77659999999997</v>
      </c>
      <c r="AF91" s="1">
        <v>293.72859999999997</v>
      </c>
      <c r="AG91" s="1">
        <v>213.80719999999999</v>
      </c>
      <c r="AH91" s="1">
        <v>230.60740000000001</v>
      </c>
      <c r="AI91" s="1">
        <v>267.38240000000002</v>
      </c>
      <c r="AJ91" s="1">
        <v>257.27859999999998</v>
      </c>
      <c r="AK91" s="1"/>
      <c r="AL91" s="1">
        <f>G91*V91</f>
        <v>159.05019999999914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35">
      <c r="A92" s="1" t="s">
        <v>137</v>
      </c>
      <c r="B92" s="1" t="s">
        <v>39</v>
      </c>
      <c r="C92" s="1">
        <v>2804.83</v>
      </c>
      <c r="D92" s="1">
        <v>3223.8580000000002</v>
      </c>
      <c r="E92" s="1">
        <v>2797.027</v>
      </c>
      <c r="F92" s="1">
        <v>373.51299999999998</v>
      </c>
      <c r="G92" s="7">
        <v>1</v>
      </c>
      <c r="H92" s="1">
        <v>60</v>
      </c>
      <c r="I92" s="1" t="s">
        <v>40</v>
      </c>
      <c r="J92" s="1"/>
      <c r="K92" s="1">
        <v>2822.5</v>
      </c>
      <c r="L92" s="1">
        <f t="shared" si="19"/>
        <v>-25.472999999999956</v>
      </c>
      <c r="M92" s="1"/>
      <c r="N92" s="1"/>
      <c r="O92" s="1">
        <v>2536.2446</v>
      </c>
      <c r="P92" s="1"/>
      <c r="Q92" s="1">
        <v>400</v>
      </c>
      <c r="R92" s="1">
        <v>1113.4534000000001</v>
      </c>
      <c r="S92" s="1"/>
      <c r="T92" s="1">
        <v>700</v>
      </c>
      <c r="U92" s="1">
        <f t="shared" si="20"/>
        <v>559.40539999999999</v>
      </c>
      <c r="V92" s="5">
        <f t="shared" si="26"/>
        <v>470.84299999999979</v>
      </c>
      <c r="W92" s="16"/>
      <c r="X92" s="16"/>
      <c r="Y92" s="1">
        <f t="shared" si="21"/>
        <v>10</v>
      </c>
      <c r="Z92" s="1">
        <f t="shared" si="22"/>
        <v>9.1583152397170284</v>
      </c>
      <c r="AA92" s="1">
        <v>523.61300000000006</v>
      </c>
      <c r="AB92" s="1">
        <v>494.76659999999998</v>
      </c>
      <c r="AC92" s="1">
        <v>402.2328</v>
      </c>
      <c r="AD92" s="1">
        <v>356.45299999999997</v>
      </c>
      <c r="AE92" s="1">
        <v>435.99239999999998</v>
      </c>
      <c r="AF92" s="1">
        <v>464.71859999999998</v>
      </c>
      <c r="AG92" s="1">
        <v>390.34859999999998</v>
      </c>
      <c r="AH92" s="1">
        <v>377.59100000000001</v>
      </c>
      <c r="AI92" s="1">
        <v>432.98239999999998</v>
      </c>
      <c r="AJ92" s="1">
        <v>418.18819999999988</v>
      </c>
      <c r="AK92" s="1"/>
      <c r="AL92" s="1">
        <f>G92*V92</f>
        <v>470.84299999999979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35">
      <c r="A93" s="10" t="s">
        <v>138</v>
      </c>
      <c r="B93" s="10" t="s">
        <v>39</v>
      </c>
      <c r="C93" s="10"/>
      <c r="D93" s="10"/>
      <c r="E93" s="10"/>
      <c r="F93" s="10"/>
      <c r="G93" s="11">
        <v>0</v>
      </c>
      <c r="H93" s="10"/>
      <c r="I93" s="10" t="s">
        <v>40</v>
      </c>
      <c r="J93" s="10"/>
      <c r="K93" s="10"/>
      <c r="L93" s="10">
        <f t="shared" si="19"/>
        <v>0</v>
      </c>
      <c r="M93" s="10"/>
      <c r="N93" s="10"/>
      <c r="O93" s="10">
        <v>0</v>
      </c>
      <c r="P93" s="10"/>
      <c r="Q93" s="10"/>
      <c r="R93" s="10">
        <v>0</v>
      </c>
      <c r="S93" s="10"/>
      <c r="T93" s="10"/>
      <c r="U93" s="10">
        <f t="shared" si="20"/>
        <v>0</v>
      </c>
      <c r="V93" s="12"/>
      <c r="W93" s="17"/>
      <c r="X93" s="17"/>
      <c r="Y93" s="10" t="e">
        <f t="shared" si="21"/>
        <v>#DIV/0!</v>
      </c>
      <c r="Z93" s="10" t="e">
        <f t="shared" si="22"/>
        <v>#DIV/0!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 t="s">
        <v>50</v>
      </c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35">
      <c r="A94" s="1" t="s">
        <v>139</v>
      </c>
      <c r="B94" s="1" t="s">
        <v>44</v>
      </c>
      <c r="C94" s="1">
        <v>-11</v>
      </c>
      <c r="D94" s="1">
        <v>47</v>
      </c>
      <c r="E94" s="1"/>
      <c r="F94" s="1"/>
      <c r="G94" s="7">
        <v>0.3</v>
      </c>
      <c r="H94" s="1">
        <v>40</v>
      </c>
      <c r="I94" s="9" t="s">
        <v>52</v>
      </c>
      <c r="J94" s="1"/>
      <c r="K94" s="1">
        <v>3</v>
      </c>
      <c r="L94" s="1">
        <f t="shared" si="19"/>
        <v>-3</v>
      </c>
      <c r="M94" s="1"/>
      <c r="N94" s="1"/>
      <c r="O94" s="1">
        <v>50</v>
      </c>
      <c r="P94" s="1">
        <v>-54</v>
      </c>
      <c r="Q94" s="1"/>
      <c r="R94" s="1">
        <v>50</v>
      </c>
      <c r="S94" s="1"/>
      <c r="T94" s="1"/>
      <c r="U94" s="1">
        <f t="shared" si="20"/>
        <v>0</v>
      </c>
      <c r="V94" s="5">
        <v>40</v>
      </c>
      <c r="W94" s="19">
        <v>130</v>
      </c>
      <c r="X94" s="19" t="s">
        <v>191</v>
      </c>
      <c r="Y94" s="1" t="e">
        <f t="shared" si="21"/>
        <v>#DIV/0!</v>
      </c>
      <c r="Z94" s="1" t="e">
        <f t="shared" si="22"/>
        <v>#DIV/0!</v>
      </c>
      <c r="AA94" s="1">
        <v>-0.6</v>
      </c>
      <c r="AB94" s="1">
        <v>-1</v>
      </c>
      <c r="AC94" s="1">
        <v>-0.8</v>
      </c>
      <c r="AD94" s="1">
        <v>-1</v>
      </c>
      <c r="AE94" s="1">
        <v>-1.2</v>
      </c>
      <c r="AF94" s="1">
        <v>-1</v>
      </c>
      <c r="AG94" s="1">
        <v>5.4</v>
      </c>
      <c r="AH94" s="1">
        <v>28.6</v>
      </c>
      <c r="AI94" s="1">
        <v>48.6</v>
      </c>
      <c r="AJ94" s="1">
        <v>42.6</v>
      </c>
      <c r="AK94" s="1"/>
      <c r="AL94" s="1">
        <f>G94*V94</f>
        <v>12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35">
      <c r="A95" s="1" t="s">
        <v>140</v>
      </c>
      <c r="B95" s="1" t="s">
        <v>44</v>
      </c>
      <c r="C95" s="1">
        <v>78</v>
      </c>
      <c r="D95" s="1"/>
      <c r="E95" s="1">
        <v>77</v>
      </c>
      <c r="F95" s="1"/>
      <c r="G95" s="7">
        <v>0.3</v>
      </c>
      <c r="H95" s="1"/>
      <c r="I95" s="1" t="s">
        <v>40</v>
      </c>
      <c r="J95" s="1"/>
      <c r="K95" s="1">
        <v>106</v>
      </c>
      <c r="L95" s="1">
        <f t="shared" si="19"/>
        <v>-29</v>
      </c>
      <c r="M95" s="1"/>
      <c r="N95" s="1"/>
      <c r="O95" s="1">
        <v>0</v>
      </c>
      <c r="P95" s="1"/>
      <c r="Q95" s="1"/>
      <c r="R95" s="1">
        <v>46.540799999999997</v>
      </c>
      <c r="S95" s="1"/>
      <c r="T95" s="1">
        <v>68.659200000000013</v>
      </c>
      <c r="U95" s="1">
        <f t="shared" si="20"/>
        <v>15.4</v>
      </c>
      <c r="V95" s="5">
        <f t="shared" ref="V95" si="27">11*U95-T95-S95-R95-Q95-P95-O95-F95</f>
        <v>54.199999999999996</v>
      </c>
      <c r="W95" s="19">
        <v>125</v>
      </c>
      <c r="X95" s="19" t="s">
        <v>191</v>
      </c>
      <c r="Y95" s="1">
        <f t="shared" si="21"/>
        <v>11</v>
      </c>
      <c r="Z95" s="1">
        <f t="shared" si="22"/>
        <v>7.4805194805194812</v>
      </c>
      <c r="AA95" s="1">
        <v>16.600000000000001</v>
      </c>
      <c r="AB95" s="1">
        <v>1.2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 t="s">
        <v>141</v>
      </c>
      <c r="AL95" s="1">
        <f>G95*V95</f>
        <v>16.259999999999998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35">
      <c r="A96" s="1" t="s">
        <v>142</v>
      </c>
      <c r="B96" s="1" t="s">
        <v>44</v>
      </c>
      <c r="C96" s="1">
        <v>22</v>
      </c>
      <c r="D96" s="1">
        <v>32</v>
      </c>
      <c r="E96" s="1">
        <v>18</v>
      </c>
      <c r="F96" s="1"/>
      <c r="G96" s="7">
        <v>7.0000000000000007E-2</v>
      </c>
      <c r="H96" s="1">
        <v>90</v>
      </c>
      <c r="I96" s="9" t="s">
        <v>52</v>
      </c>
      <c r="J96" s="1"/>
      <c r="K96" s="1">
        <v>41</v>
      </c>
      <c r="L96" s="1">
        <f t="shared" si="19"/>
        <v>-23</v>
      </c>
      <c r="M96" s="1"/>
      <c r="N96" s="1"/>
      <c r="O96" s="1">
        <v>40</v>
      </c>
      <c r="P96" s="1"/>
      <c r="Q96" s="1"/>
      <c r="R96" s="1">
        <v>30</v>
      </c>
      <c r="S96" s="1">
        <v>-36</v>
      </c>
      <c r="T96" s="1"/>
      <c r="U96" s="1">
        <f t="shared" si="20"/>
        <v>3.6</v>
      </c>
      <c r="V96" s="5">
        <v>30</v>
      </c>
      <c r="W96" s="19">
        <v>50</v>
      </c>
      <c r="X96" s="19"/>
      <c r="Y96" s="1">
        <f t="shared" si="21"/>
        <v>17.777777777777779</v>
      </c>
      <c r="Z96" s="1">
        <f t="shared" si="22"/>
        <v>9.4444444444444446</v>
      </c>
      <c r="AA96" s="1">
        <v>10</v>
      </c>
      <c r="AB96" s="1">
        <v>9.4</v>
      </c>
      <c r="AC96" s="1">
        <v>5.2</v>
      </c>
      <c r="AD96" s="1">
        <v>7.6</v>
      </c>
      <c r="AE96" s="1">
        <v>16</v>
      </c>
      <c r="AF96" s="1">
        <v>18.2</v>
      </c>
      <c r="AG96" s="1">
        <v>15.2</v>
      </c>
      <c r="AH96" s="1">
        <v>12.6</v>
      </c>
      <c r="AI96" s="1">
        <v>7</v>
      </c>
      <c r="AJ96" s="1">
        <v>4.4000000000000004</v>
      </c>
      <c r="AK96" s="1"/>
      <c r="AL96" s="1">
        <f>G96*V96</f>
        <v>2.1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35">
      <c r="A97" s="1" t="s">
        <v>143</v>
      </c>
      <c r="B97" s="1" t="s">
        <v>44</v>
      </c>
      <c r="C97" s="1">
        <v>47</v>
      </c>
      <c r="D97" s="1">
        <v>25</v>
      </c>
      <c r="E97" s="1">
        <v>41</v>
      </c>
      <c r="F97" s="1">
        <v>22</v>
      </c>
      <c r="G97" s="7">
        <v>7.0000000000000007E-2</v>
      </c>
      <c r="H97" s="1">
        <v>90</v>
      </c>
      <c r="I97" s="9" t="s">
        <v>52</v>
      </c>
      <c r="J97" s="1"/>
      <c r="K97" s="1">
        <v>41</v>
      </c>
      <c r="L97" s="1">
        <f t="shared" si="19"/>
        <v>0</v>
      </c>
      <c r="M97" s="1"/>
      <c r="N97" s="1"/>
      <c r="O97" s="1">
        <v>30.599999999999991</v>
      </c>
      <c r="P97" s="1"/>
      <c r="Q97" s="1"/>
      <c r="R97" s="1">
        <v>42.400000000000013</v>
      </c>
      <c r="S97" s="1">
        <v>-53.999999999999993</v>
      </c>
      <c r="T97" s="1"/>
      <c r="U97" s="1">
        <f t="shared" si="20"/>
        <v>8.1999999999999993</v>
      </c>
      <c r="V97" s="5">
        <v>50</v>
      </c>
      <c r="W97" s="16"/>
      <c r="X97" s="16"/>
      <c r="Y97" s="1">
        <f t="shared" si="21"/>
        <v>11.097560975609756</v>
      </c>
      <c r="Z97" s="1">
        <f t="shared" si="22"/>
        <v>5.0000000000000009</v>
      </c>
      <c r="AA97" s="1">
        <v>9</v>
      </c>
      <c r="AB97" s="1">
        <v>8.6</v>
      </c>
      <c r="AC97" s="1">
        <v>4.2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/>
      <c r="AL97" s="1">
        <f>G97*V97</f>
        <v>3.5000000000000004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35">
      <c r="A98" s="1" t="s">
        <v>144</v>
      </c>
      <c r="B98" s="1" t="s">
        <v>44</v>
      </c>
      <c r="C98" s="1">
        <v>244</v>
      </c>
      <c r="D98" s="1">
        <v>23</v>
      </c>
      <c r="E98" s="1">
        <v>68</v>
      </c>
      <c r="F98" s="1">
        <v>163</v>
      </c>
      <c r="G98" s="7">
        <v>7.0000000000000007E-2</v>
      </c>
      <c r="H98" s="1">
        <v>90</v>
      </c>
      <c r="I98" s="9" t="s">
        <v>52</v>
      </c>
      <c r="J98" s="1"/>
      <c r="K98" s="1">
        <v>68</v>
      </c>
      <c r="L98" s="1">
        <f t="shared" si="19"/>
        <v>0</v>
      </c>
      <c r="M98" s="1"/>
      <c r="N98" s="1"/>
      <c r="O98" s="1">
        <v>0</v>
      </c>
      <c r="P98" s="1"/>
      <c r="Q98" s="1"/>
      <c r="R98" s="1">
        <v>0</v>
      </c>
      <c r="S98" s="1"/>
      <c r="T98" s="1"/>
      <c r="U98" s="1">
        <f t="shared" si="20"/>
        <v>13.6</v>
      </c>
      <c r="V98" s="5"/>
      <c r="W98" s="16"/>
      <c r="X98" s="16"/>
      <c r="Y98" s="1">
        <f t="shared" si="21"/>
        <v>11.98529411764706</v>
      </c>
      <c r="Z98" s="1">
        <f t="shared" si="22"/>
        <v>11.98529411764706</v>
      </c>
      <c r="AA98" s="1">
        <v>13.6</v>
      </c>
      <c r="AB98" s="1">
        <v>14.2</v>
      </c>
      <c r="AC98" s="1">
        <v>7</v>
      </c>
      <c r="AD98" s="1">
        <v>-0.2</v>
      </c>
      <c r="AE98" s="1">
        <v>10</v>
      </c>
      <c r="AF98" s="1">
        <v>17.2</v>
      </c>
      <c r="AG98" s="1">
        <v>13</v>
      </c>
      <c r="AH98" s="1">
        <v>12.2</v>
      </c>
      <c r="AI98" s="1">
        <v>9.1999999999999993</v>
      </c>
      <c r="AJ98" s="1">
        <v>5</v>
      </c>
      <c r="AK98" s="1"/>
      <c r="AL98" s="1">
        <f>G98*V98</f>
        <v>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35">
      <c r="A99" s="10" t="s">
        <v>145</v>
      </c>
      <c r="B99" s="10" t="s">
        <v>44</v>
      </c>
      <c r="C99" s="10">
        <v>7</v>
      </c>
      <c r="D99" s="10">
        <v>1</v>
      </c>
      <c r="E99" s="10">
        <v>-3</v>
      </c>
      <c r="F99" s="10"/>
      <c r="G99" s="11">
        <v>0</v>
      </c>
      <c r="H99" s="10">
        <v>90</v>
      </c>
      <c r="I99" s="10" t="s">
        <v>66</v>
      </c>
      <c r="J99" s="10"/>
      <c r="K99" s="10">
        <v>23</v>
      </c>
      <c r="L99" s="10">
        <f t="shared" si="19"/>
        <v>-26</v>
      </c>
      <c r="M99" s="10"/>
      <c r="N99" s="10"/>
      <c r="O99" s="10">
        <v>0</v>
      </c>
      <c r="P99" s="10"/>
      <c r="Q99" s="10"/>
      <c r="R99" s="10">
        <v>0</v>
      </c>
      <c r="S99" s="10"/>
      <c r="T99" s="10"/>
      <c r="U99" s="10">
        <f t="shared" si="20"/>
        <v>-0.6</v>
      </c>
      <c r="V99" s="12"/>
      <c r="W99" s="17"/>
      <c r="X99" s="17"/>
      <c r="Y99" s="10">
        <f t="shared" si="21"/>
        <v>0</v>
      </c>
      <c r="Z99" s="10">
        <f t="shared" si="22"/>
        <v>0</v>
      </c>
      <c r="AA99" s="10">
        <v>-0.2</v>
      </c>
      <c r="AB99" s="10">
        <v>0</v>
      </c>
      <c r="AC99" s="10">
        <v>0</v>
      </c>
      <c r="AD99" s="10">
        <v>0</v>
      </c>
      <c r="AE99" s="10">
        <v>-0.2</v>
      </c>
      <c r="AF99" s="10">
        <v>-0.2</v>
      </c>
      <c r="AG99" s="10">
        <v>-0.2</v>
      </c>
      <c r="AH99" s="10">
        <v>-0.6</v>
      </c>
      <c r="AI99" s="10">
        <v>-0.4</v>
      </c>
      <c r="AJ99" s="10">
        <v>0</v>
      </c>
      <c r="AK99" s="10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35">
      <c r="A100" s="10" t="s">
        <v>146</v>
      </c>
      <c r="B100" s="10" t="s">
        <v>44</v>
      </c>
      <c r="C100" s="10">
        <v>1</v>
      </c>
      <c r="D100" s="10">
        <v>1</v>
      </c>
      <c r="E100" s="10">
        <v>-3</v>
      </c>
      <c r="F100" s="10"/>
      <c r="G100" s="11">
        <v>0</v>
      </c>
      <c r="H100" s="10"/>
      <c r="I100" s="10" t="s">
        <v>66</v>
      </c>
      <c r="J100" s="10"/>
      <c r="K100" s="10">
        <v>13</v>
      </c>
      <c r="L100" s="10">
        <f t="shared" si="19"/>
        <v>-16</v>
      </c>
      <c r="M100" s="10"/>
      <c r="N100" s="10"/>
      <c r="O100" s="10">
        <v>0</v>
      </c>
      <c r="P100" s="10"/>
      <c r="Q100" s="10"/>
      <c r="R100" s="10">
        <v>0</v>
      </c>
      <c r="S100" s="10"/>
      <c r="T100" s="10"/>
      <c r="U100" s="10">
        <f t="shared" si="20"/>
        <v>-0.6</v>
      </c>
      <c r="V100" s="12"/>
      <c r="W100" s="17"/>
      <c r="X100" s="17"/>
      <c r="Y100" s="10">
        <f t="shared" si="21"/>
        <v>0</v>
      </c>
      <c r="Z100" s="10">
        <f t="shared" si="22"/>
        <v>0</v>
      </c>
      <c r="AA100" s="10">
        <v>-0.2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-0.2</v>
      </c>
      <c r="AH100" s="10">
        <v>-0.2</v>
      </c>
      <c r="AI100" s="10">
        <v>-0.2</v>
      </c>
      <c r="AJ100" s="10">
        <v>-0.2</v>
      </c>
      <c r="AK100" s="10" t="s">
        <v>147</v>
      </c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35">
      <c r="A101" s="1" t="s">
        <v>148</v>
      </c>
      <c r="B101" s="1" t="s">
        <v>44</v>
      </c>
      <c r="C101" s="1">
        <v>78</v>
      </c>
      <c r="D101" s="1"/>
      <c r="E101" s="1">
        <v>77</v>
      </c>
      <c r="F101" s="1"/>
      <c r="G101" s="7">
        <v>0.3</v>
      </c>
      <c r="H101" s="1"/>
      <c r="I101" s="1" t="s">
        <v>40</v>
      </c>
      <c r="J101" s="1"/>
      <c r="K101" s="1">
        <v>91</v>
      </c>
      <c r="L101" s="1">
        <f t="shared" si="19"/>
        <v>-14</v>
      </c>
      <c r="M101" s="1"/>
      <c r="N101" s="1"/>
      <c r="O101" s="1">
        <v>0</v>
      </c>
      <c r="P101" s="1"/>
      <c r="Q101" s="1"/>
      <c r="R101" s="1">
        <v>46.540799999999997</v>
      </c>
      <c r="S101" s="1"/>
      <c r="T101" s="1">
        <v>68.659200000000013</v>
      </c>
      <c r="U101" s="1">
        <f t="shared" si="20"/>
        <v>15.4</v>
      </c>
      <c r="V101" s="5">
        <f>11*U101-T101-S101-R101-Q101-P101-O101-F101</f>
        <v>54.199999999999996</v>
      </c>
      <c r="W101" s="19">
        <v>125</v>
      </c>
      <c r="X101" s="19" t="s">
        <v>191</v>
      </c>
      <c r="Y101" s="1">
        <f t="shared" si="21"/>
        <v>11</v>
      </c>
      <c r="Z101" s="1">
        <f t="shared" si="22"/>
        <v>7.4805194805194812</v>
      </c>
      <c r="AA101" s="1">
        <v>16.600000000000001</v>
      </c>
      <c r="AB101" s="1">
        <v>1.2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 t="s">
        <v>141</v>
      </c>
      <c r="AL101" s="1">
        <f>G101*V101</f>
        <v>16.259999999999998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35">
      <c r="A102" s="10" t="s">
        <v>149</v>
      </c>
      <c r="B102" s="10" t="s">
        <v>39</v>
      </c>
      <c r="C102" s="10">
        <v>-3.173</v>
      </c>
      <c r="D102" s="10">
        <v>4.8179999999999996</v>
      </c>
      <c r="E102" s="10"/>
      <c r="F102" s="10"/>
      <c r="G102" s="11">
        <v>0</v>
      </c>
      <c r="H102" s="10"/>
      <c r="I102" s="10" t="s">
        <v>40</v>
      </c>
      <c r="J102" s="10"/>
      <c r="K102" s="10"/>
      <c r="L102" s="10">
        <f t="shared" ref="L102:L133" si="28">E102-K102</f>
        <v>0</v>
      </c>
      <c r="M102" s="10"/>
      <c r="N102" s="10"/>
      <c r="O102" s="10">
        <v>0</v>
      </c>
      <c r="P102" s="10"/>
      <c r="Q102" s="10"/>
      <c r="R102" s="10">
        <v>0</v>
      </c>
      <c r="S102" s="10"/>
      <c r="T102" s="10"/>
      <c r="U102" s="10">
        <f t="shared" ref="U102:U134" si="29">E102/5</f>
        <v>0</v>
      </c>
      <c r="V102" s="12"/>
      <c r="W102" s="17"/>
      <c r="X102" s="17"/>
      <c r="Y102" s="10" t="e">
        <f t="shared" ref="Y102:Y133" si="30">(F102+O102+P102+Q102+R102+S102+T102+V102)/U102</f>
        <v>#DIV/0!</v>
      </c>
      <c r="Z102" s="10" t="e">
        <f t="shared" ref="Z102:Z134" si="31">(F102+O102+P102+Q102+R102+S102+T102)/U102</f>
        <v>#DIV/0!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-0.32</v>
      </c>
      <c r="AI102" s="10">
        <v>-0.32</v>
      </c>
      <c r="AJ102" s="10">
        <v>-0.31919999999999998</v>
      </c>
      <c r="AK102" s="10" t="s">
        <v>50</v>
      </c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35">
      <c r="A103" s="10" t="s">
        <v>150</v>
      </c>
      <c r="B103" s="10" t="s">
        <v>44</v>
      </c>
      <c r="C103" s="10"/>
      <c r="D103" s="10"/>
      <c r="E103" s="10"/>
      <c r="F103" s="10"/>
      <c r="G103" s="11">
        <v>0</v>
      </c>
      <c r="H103" s="10"/>
      <c r="I103" s="10" t="s">
        <v>40</v>
      </c>
      <c r="J103" s="10"/>
      <c r="K103" s="10"/>
      <c r="L103" s="10">
        <f t="shared" si="28"/>
        <v>0</v>
      </c>
      <c r="M103" s="10"/>
      <c r="N103" s="10"/>
      <c r="O103" s="10">
        <v>0</v>
      </c>
      <c r="P103" s="10"/>
      <c r="Q103" s="10"/>
      <c r="R103" s="10">
        <v>0</v>
      </c>
      <c r="S103" s="10"/>
      <c r="T103" s="10"/>
      <c r="U103" s="10">
        <f t="shared" si="29"/>
        <v>0</v>
      </c>
      <c r="V103" s="12"/>
      <c r="W103" s="17"/>
      <c r="X103" s="17"/>
      <c r="Y103" s="10" t="e">
        <f t="shared" si="30"/>
        <v>#DIV/0!</v>
      </c>
      <c r="Z103" s="10" t="e">
        <f t="shared" si="31"/>
        <v>#DIV/0!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 t="s">
        <v>50</v>
      </c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35">
      <c r="A104" s="10" t="s">
        <v>151</v>
      </c>
      <c r="B104" s="10" t="s">
        <v>44</v>
      </c>
      <c r="C104" s="10"/>
      <c r="D104" s="10"/>
      <c r="E104" s="10"/>
      <c r="F104" s="10"/>
      <c r="G104" s="11">
        <v>0</v>
      </c>
      <c r="H104" s="10"/>
      <c r="I104" s="10" t="s">
        <v>40</v>
      </c>
      <c r="J104" s="10"/>
      <c r="K104" s="10"/>
      <c r="L104" s="10">
        <f t="shared" si="28"/>
        <v>0</v>
      </c>
      <c r="M104" s="10"/>
      <c r="N104" s="10"/>
      <c r="O104" s="10">
        <v>0</v>
      </c>
      <c r="P104" s="10"/>
      <c r="Q104" s="10"/>
      <c r="R104" s="10">
        <v>0</v>
      </c>
      <c r="S104" s="10"/>
      <c r="T104" s="10"/>
      <c r="U104" s="10">
        <f t="shared" si="29"/>
        <v>0</v>
      </c>
      <c r="V104" s="12"/>
      <c r="W104" s="17"/>
      <c r="X104" s="17"/>
      <c r="Y104" s="10" t="e">
        <f t="shared" si="30"/>
        <v>#DIV/0!</v>
      </c>
      <c r="Z104" s="10" t="e">
        <f t="shared" si="31"/>
        <v>#DIV/0!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 t="s">
        <v>50</v>
      </c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35">
      <c r="A105" s="1" t="s">
        <v>152</v>
      </c>
      <c r="B105" s="1" t="s">
        <v>44</v>
      </c>
      <c r="C105" s="1">
        <v>244</v>
      </c>
      <c r="D105" s="1">
        <v>72</v>
      </c>
      <c r="E105" s="1">
        <v>116</v>
      </c>
      <c r="F105" s="1">
        <v>122</v>
      </c>
      <c r="G105" s="7">
        <v>0.08</v>
      </c>
      <c r="H105" s="1">
        <v>45</v>
      </c>
      <c r="I105" s="1" t="s">
        <v>40</v>
      </c>
      <c r="J105" s="1"/>
      <c r="K105" s="1">
        <v>114</v>
      </c>
      <c r="L105" s="1">
        <f t="shared" si="28"/>
        <v>2</v>
      </c>
      <c r="M105" s="1"/>
      <c r="N105" s="1"/>
      <c r="O105" s="1">
        <v>35.199999999999989</v>
      </c>
      <c r="P105" s="1"/>
      <c r="Q105" s="1"/>
      <c r="R105" s="1">
        <v>42.824000000000026</v>
      </c>
      <c r="S105" s="1"/>
      <c r="T105" s="1">
        <v>63.17600000000003</v>
      </c>
      <c r="U105" s="1">
        <f t="shared" si="29"/>
        <v>23.2</v>
      </c>
      <c r="V105" s="5"/>
      <c r="W105" s="19">
        <v>100</v>
      </c>
      <c r="X105" s="19" t="s">
        <v>192</v>
      </c>
      <c r="Y105" s="1">
        <f t="shared" si="30"/>
        <v>11.344827586206899</v>
      </c>
      <c r="Z105" s="1">
        <f t="shared" si="31"/>
        <v>11.344827586206899</v>
      </c>
      <c r="AA105" s="1">
        <v>25.6</v>
      </c>
      <c r="AB105" s="1">
        <v>25.2</v>
      </c>
      <c r="AC105" s="1">
        <v>14</v>
      </c>
      <c r="AD105" s="1">
        <v>0.6</v>
      </c>
      <c r="AE105" s="1">
        <v>11.2</v>
      </c>
      <c r="AF105" s="1">
        <v>23.6</v>
      </c>
      <c r="AG105" s="1">
        <v>19</v>
      </c>
      <c r="AH105" s="1">
        <v>14.6</v>
      </c>
      <c r="AI105" s="1">
        <v>11.6</v>
      </c>
      <c r="AJ105" s="1">
        <v>5.4</v>
      </c>
      <c r="AK105" s="1"/>
      <c r="AL105" s="1">
        <f>G105*V105</f>
        <v>0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35">
      <c r="A106" s="1" t="s">
        <v>153</v>
      </c>
      <c r="B106" s="1" t="s">
        <v>44</v>
      </c>
      <c r="C106" s="1">
        <v>228</v>
      </c>
      <c r="D106" s="1">
        <v>82</v>
      </c>
      <c r="E106" s="1">
        <v>140</v>
      </c>
      <c r="F106" s="1">
        <v>73</v>
      </c>
      <c r="G106" s="7">
        <v>0.08</v>
      </c>
      <c r="H106" s="1">
        <v>45</v>
      </c>
      <c r="I106" s="1" t="s">
        <v>40</v>
      </c>
      <c r="J106" s="1"/>
      <c r="K106" s="1">
        <v>136</v>
      </c>
      <c r="L106" s="1">
        <f t="shared" si="28"/>
        <v>4</v>
      </c>
      <c r="M106" s="1"/>
      <c r="N106" s="1"/>
      <c r="O106" s="1">
        <v>114</v>
      </c>
      <c r="P106" s="1"/>
      <c r="Q106" s="1"/>
      <c r="R106" s="1">
        <v>98.600000000000023</v>
      </c>
      <c r="S106" s="1"/>
      <c r="T106" s="1"/>
      <c r="U106" s="1">
        <f t="shared" si="29"/>
        <v>28</v>
      </c>
      <c r="V106" s="5">
        <f t="shared" ref="V106" si="32">11*U106-T106-S106-R106-Q106-P106-O106-F106</f>
        <v>22.399999999999977</v>
      </c>
      <c r="W106" s="16"/>
      <c r="X106" s="16"/>
      <c r="Y106" s="1">
        <f t="shared" si="30"/>
        <v>11</v>
      </c>
      <c r="Z106" s="1">
        <f t="shared" si="31"/>
        <v>10.200000000000001</v>
      </c>
      <c r="AA106" s="1">
        <v>29.8</v>
      </c>
      <c r="AB106" s="1">
        <v>31</v>
      </c>
      <c r="AC106" s="1">
        <v>18.2</v>
      </c>
      <c r="AD106" s="1">
        <v>11</v>
      </c>
      <c r="AE106" s="1">
        <v>21</v>
      </c>
      <c r="AF106" s="1">
        <v>22.2</v>
      </c>
      <c r="AG106" s="1">
        <v>14.4</v>
      </c>
      <c r="AH106" s="1">
        <v>15.6</v>
      </c>
      <c r="AI106" s="1">
        <v>9.8000000000000007</v>
      </c>
      <c r="AJ106" s="1">
        <v>4.2</v>
      </c>
      <c r="AK106" s="1" t="s">
        <v>84</v>
      </c>
      <c r="AL106" s="1">
        <f>G106*V106</f>
        <v>1.7919999999999983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35">
      <c r="A107" s="10" t="s">
        <v>154</v>
      </c>
      <c r="B107" s="10" t="s">
        <v>44</v>
      </c>
      <c r="C107" s="10"/>
      <c r="D107" s="10"/>
      <c r="E107" s="10"/>
      <c r="F107" s="10"/>
      <c r="G107" s="11">
        <v>0</v>
      </c>
      <c r="H107" s="10"/>
      <c r="I107" s="10" t="s">
        <v>40</v>
      </c>
      <c r="J107" s="10"/>
      <c r="K107" s="10"/>
      <c r="L107" s="10">
        <f t="shared" si="28"/>
        <v>0</v>
      </c>
      <c r="M107" s="10"/>
      <c r="N107" s="10"/>
      <c r="O107" s="10">
        <v>0</v>
      </c>
      <c r="P107" s="10"/>
      <c r="Q107" s="10"/>
      <c r="R107" s="10">
        <v>0</v>
      </c>
      <c r="S107" s="10"/>
      <c r="T107" s="10"/>
      <c r="U107" s="10">
        <f t="shared" si="29"/>
        <v>0</v>
      </c>
      <c r="V107" s="12"/>
      <c r="W107" s="17"/>
      <c r="X107" s="17"/>
      <c r="Y107" s="10" t="e">
        <f t="shared" si="30"/>
        <v>#DIV/0!</v>
      </c>
      <c r="Z107" s="10" t="e">
        <f t="shared" si="31"/>
        <v>#DIV/0!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 t="s">
        <v>50</v>
      </c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35">
      <c r="A108" s="1" t="s">
        <v>155</v>
      </c>
      <c r="B108" s="1" t="s">
        <v>39</v>
      </c>
      <c r="C108" s="1">
        <v>71.691999999999993</v>
      </c>
      <c r="D108" s="1">
        <v>125.46299999999999</v>
      </c>
      <c r="E108" s="1">
        <v>67.292000000000002</v>
      </c>
      <c r="F108" s="1"/>
      <c r="G108" s="7">
        <v>1</v>
      </c>
      <c r="H108" s="1">
        <v>40</v>
      </c>
      <c r="I108" s="9" t="s">
        <v>52</v>
      </c>
      <c r="J108" s="1"/>
      <c r="K108" s="1">
        <v>150.69999999999999</v>
      </c>
      <c r="L108" s="1">
        <f t="shared" si="28"/>
        <v>-83.407999999999987</v>
      </c>
      <c r="M108" s="1"/>
      <c r="N108" s="1"/>
      <c r="O108" s="1">
        <v>100</v>
      </c>
      <c r="P108" s="1">
        <v>-101.5</v>
      </c>
      <c r="Q108" s="1"/>
      <c r="R108" s="1">
        <v>100</v>
      </c>
      <c r="S108" s="1"/>
      <c r="T108" s="1"/>
      <c r="U108" s="1">
        <f t="shared" si="29"/>
        <v>13.458400000000001</v>
      </c>
      <c r="V108" s="5">
        <v>100</v>
      </c>
      <c r="W108" s="19">
        <v>250</v>
      </c>
      <c r="X108" s="19" t="s">
        <v>193</v>
      </c>
      <c r="Y108" s="1">
        <f t="shared" si="30"/>
        <v>14.749152945372405</v>
      </c>
      <c r="Z108" s="1">
        <f t="shared" si="31"/>
        <v>7.3188491945550727</v>
      </c>
      <c r="AA108" s="1">
        <v>17.5322</v>
      </c>
      <c r="AB108" s="1">
        <v>21.331199999999999</v>
      </c>
      <c r="AC108" s="1">
        <v>16.2516</v>
      </c>
      <c r="AD108" s="1">
        <v>0.43880000000000002</v>
      </c>
      <c r="AE108" s="1">
        <v>18.152000000000001</v>
      </c>
      <c r="AF108" s="1">
        <v>37.6066</v>
      </c>
      <c r="AG108" s="1">
        <v>48.525799999999997</v>
      </c>
      <c r="AH108" s="1">
        <v>48.293199999999999</v>
      </c>
      <c r="AI108" s="1">
        <v>40.6768</v>
      </c>
      <c r="AJ108" s="1">
        <v>32.158000000000001</v>
      </c>
      <c r="AK108" s="1"/>
      <c r="AL108" s="1">
        <f>G108*V108</f>
        <v>100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35">
      <c r="A109" s="1" t="s">
        <v>156</v>
      </c>
      <c r="B109" s="1" t="s">
        <v>39</v>
      </c>
      <c r="C109" s="1">
        <v>65.87</v>
      </c>
      <c r="D109" s="1">
        <v>276.80099999999999</v>
      </c>
      <c r="E109" s="1">
        <v>162.15299999999999</v>
      </c>
      <c r="F109" s="1">
        <v>12.996</v>
      </c>
      <c r="G109" s="7">
        <v>1</v>
      </c>
      <c r="H109" s="1">
        <v>40</v>
      </c>
      <c r="I109" s="9" t="s">
        <v>52</v>
      </c>
      <c r="J109" s="1"/>
      <c r="K109" s="1">
        <v>225.1</v>
      </c>
      <c r="L109" s="1">
        <f t="shared" si="28"/>
        <v>-62.947000000000003</v>
      </c>
      <c r="M109" s="1"/>
      <c r="N109" s="1"/>
      <c r="O109" s="1">
        <v>20</v>
      </c>
      <c r="P109" s="1">
        <v>-21</v>
      </c>
      <c r="Q109" s="1"/>
      <c r="R109" s="1">
        <v>100</v>
      </c>
      <c r="S109" s="1"/>
      <c r="T109" s="1"/>
      <c r="U109" s="1">
        <f t="shared" si="29"/>
        <v>32.430599999999998</v>
      </c>
      <c r="V109" s="5">
        <v>200</v>
      </c>
      <c r="W109" s="19">
        <v>250</v>
      </c>
      <c r="X109" s="19" t="s">
        <v>193</v>
      </c>
      <c r="Y109" s="1">
        <f t="shared" si="30"/>
        <v>9.6204202204091196</v>
      </c>
      <c r="Z109" s="1">
        <f t="shared" si="31"/>
        <v>3.4534051173891331</v>
      </c>
      <c r="AA109" s="1">
        <v>18.595400000000001</v>
      </c>
      <c r="AB109" s="1">
        <v>14.566599999999999</v>
      </c>
      <c r="AC109" s="1">
        <v>10.164199999999999</v>
      </c>
      <c r="AD109" s="1">
        <v>1.1066</v>
      </c>
      <c r="AE109" s="1">
        <v>18.8582</v>
      </c>
      <c r="AF109" s="1">
        <v>41.940399999999997</v>
      </c>
      <c r="AG109" s="1">
        <v>51.450800000000001</v>
      </c>
      <c r="AH109" s="1">
        <v>46.6586</v>
      </c>
      <c r="AI109" s="1">
        <v>38.007399999999997</v>
      </c>
      <c r="AJ109" s="1">
        <v>31.772600000000001</v>
      </c>
      <c r="AK109" s="1"/>
      <c r="AL109" s="1">
        <f>G109*V109</f>
        <v>200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35">
      <c r="A110" s="1" t="s">
        <v>157</v>
      </c>
      <c r="B110" s="1" t="s">
        <v>39</v>
      </c>
      <c r="C110" s="1">
        <v>8.0519999999999996</v>
      </c>
      <c r="D110" s="1">
        <v>108.69199999999999</v>
      </c>
      <c r="E110" s="1">
        <v>-3.556</v>
      </c>
      <c r="F110" s="1"/>
      <c r="G110" s="7">
        <v>1</v>
      </c>
      <c r="H110" s="1">
        <v>40</v>
      </c>
      <c r="I110" s="9" t="s">
        <v>52</v>
      </c>
      <c r="J110" s="1"/>
      <c r="K110" s="1">
        <v>68.3</v>
      </c>
      <c r="L110" s="1">
        <f t="shared" si="28"/>
        <v>-71.855999999999995</v>
      </c>
      <c r="M110" s="1"/>
      <c r="N110" s="1"/>
      <c r="O110" s="1">
        <v>150</v>
      </c>
      <c r="P110" s="1">
        <v>-150.5</v>
      </c>
      <c r="Q110" s="1"/>
      <c r="R110" s="1">
        <v>150</v>
      </c>
      <c r="S110" s="1">
        <v>-150.5</v>
      </c>
      <c r="T110" s="1"/>
      <c r="U110" s="1">
        <f t="shared" si="29"/>
        <v>-0.71120000000000005</v>
      </c>
      <c r="V110" s="5">
        <v>150</v>
      </c>
      <c r="W110" s="19">
        <v>250</v>
      </c>
      <c r="X110" s="19" t="s">
        <v>193</v>
      </c>
      <c r="Y110" s="1">
        <f t="shared" si="30"/>
        <v>-209.50506186726656</v>
      </c>
      <c r="Z110" s="1">
        <f t="shared" si="31"/>
        <v>1.4060742407199098</v>
      </c>
      <c r="AA110" s="1">
        <v>-0.85540000000000005</v>
      </c>
      <c r="AB110" s="1">
        <v>-0.56600000000000006</v>
      </c>
      <c r="AC110" s="1">
        <v>-0.42</v>
      </c>
      <c r="AD110" s="1">
        <v>-0.42220000000000002</v>
      </c>
      <c r="AE110" s="1">
        <v>-1.1372</v>
      </c>
      <c r="AF110" s="1">
        <v>-1.2682</v>
      </c>
      <c r="AG110" s="1">
        <v>29.753599999999999</v>
      </c>
      <c r="AH110" s="1">
        <v>60.248199999999997</v>
      </c>
      <c r="AI110" s="1">
        <v>61.4514</v>
      </c>
      <c r="AJ110" s="1">
        <v>45.332599999999999</v>
      </c>
      <c r="AK110" s="1"/>
      <c r="AL110" s="1">
        <f>G110*V110</f>
        <v>150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35">
      <c r="A111" s="10" t="s">
        <v>158</v>
      </c>
      <c r="B111" s="10" t="s">
        <v>44</v>
      </c>
      <c r="C111" s="10"/>
      <c r="D111" s="10"/>
      <c r="E111" s="10"/>
      <c r="F111" s="10"/>
      <c r="G111" s="11">
        <v>0</v>
      </c>
      <c r="H111" s="10"/>
      <c r="I111" s="10" t="s">
        <v>40</v>
      </c>
      <c r="J111" s="10"/>
      <c r="K111" s="10"/>
      <c r="L111" s="10">
        <f t="shared" si="28"/>
        <v>0</v>
      </c>
      <c r="M111" s="10"/>
      <c r="N111" s="10"/>
      <c r="O111" s="10">
        <v>0</v>
      </c>
      <c r="P111" s="10"/>
      <c r="Q111" s="10"/>
      <c r="R111" s="10">
        <v>0</v>
      </c>
      <c r="S111" s="10"/>
      <c r="T111" s="10"/>
      <c r="U111" s="10">
        <f t="shared" si="29"/>
        <v>0</v>
      </c>
      <c r="V111" s="12"/>
      <c r="W111" s="17"/>
      <c r="X111" s="17"/>
      <c r="Y111" s="10" t="e">
        <f t="shared" si="30"/>
        <v>#DIV/0!</v>
      </c>
      <c r="Z111" s="10" t="e">
        <f t="shared" si="31"/>
        <v>#DIV/0!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 t="s">
        <v>50</v>
      </c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35">
      <c r="A112" s="10" t="s">
        <v>159</v>
      </c>
      <c r="B112" s="10" t="s">
        <v>44</v>
      </c>
      <c r="C112" s="10"/>
      <c r="D112" s="10"/>
      <c r="E112" s="10"/>
      <c r="F112" s="10"/>
      <c r="G112" s="11">
        <v>0</v>
      </c>
      <c r="H112" s="10"/>
      <c r="I112" s="10" t="s">
        <v>40</v>
      </c>
      <c r="J112" s="10"/>
      <c r="K112" s="10"/>
      <c r="L112" s="10">
        <f t="shared" si="28"/>
        <v>0</v>
      </c>
      <c r="M112" s="10"/>
      <c r="N112" s="10"/>
      <c r="O112" s="10">
        <v>0</v>
      </c>
      <c r="P112" s="10"/>
      <c r="Q112" s="10"/>
      <c r="R112" s="10">
        <v>0</v>
      </c>
      <c r="S112" s="10"/>
      <c r="T112" s="10"/>
      <c r="U112" s="10">
        <f t="shared" si="29"/>
        <v>0</v>
      </c>
      <c r="V112" s="12"/>
      <c r="W112" s="17"/>
      <c r="X112" s="17"/>
      <c r="Y112" s="10" t="e">
        <f t="shared" si="30"/>
        <v>#DIV/0!</v>
      </c>
      <c r="Z112" s="10" t="e">
        <f t="shared" si="31"/>
        <v>#DIV/0!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 t="s">
        <v>50</v>
      </c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35">
      <c r="A113" s="1" t="s">
        <v>160</v>
      </c>
      <c r="B113" s="1" t="s">
        <v>44</v>
      </c>
      <c r="C113" s="1">
        <v>48</v>
      </c>
      <c r="D113" s="1">
        <v>99</v>
      </c>
      <c r="E113" s="1">
        <v>38</v>
      </c>
      <c r="F113" s="1"/>
      <c r="G113" s="7">
        <v>0.28000000000000003</v>
      </c>
      <c r="H113" s="1">
        <v>40</v>
      </c>
      <c r="I113" s="9" t="s">
        <v>52</v>
      </c>
      <c r="J113" s="1"/>
      <c r="K113" s="1">
        <v>125</v>
      </c>
      <c r="L113" s="1">
        <f t="shared" si="28"/>
        <v>-87</v>
      </c>
      <c r="M113" s="1"/>
      <c r="N113" s="1"/>
      <c r="O113" s="1">
        <v>137.80000000000001</v>
      </c>
      <c r="P113" s="1"/>
      <c r="Q113" s="1"/>
      <c r="R113" s="1">
        <v>80</v>
      </c>
      <c r="S113" s="1"/>
      <c r="T113" s="1"/>
      <c r="U113" s="1">
        <f t="shared" si="29"/>
        <v>7.6</v>
      </c>
      <c r="V113" s="5">
        <v>40</v>
      </c>
      <c r="W113" s="19">
        <v>250</v>
      </c>
      <c r="X113" s="19" t="s">
        <v>194</v>
      </c>
      <c r="Y113" s="1">
        <f t="shared" si="30"/>
        <v>33.921052631578952</v>
      </c>
      <c r="Z113" s="1">
        <f t="shared" si="31"/>
        <v>28.65789473684211</v>
      </c>
      <c r="AA113" s="1">
        <v>22.8</v>
      </c>
      <c r="AB113" s="1">
        <v>33.799999999999997</v>
      </c>
      <c r="AC113" s="1">
        <v>17.8</v>
      </c>
      <c r="AD113" s="1">
        <v>-1.2</v>
      </c>
      <c r="AE113" s="1">
        <v>19.2</v>
      </c>
      <c r="AF113" s="1">
        <v>56.6</v>
      </c>
      <c r="AG113" s="1">
        <v>41</v>
      </c>
      <c r="AH113" s="1">
        <v>1</v>
      </c>
      <c r="AI113" s="1">
        <v>-2</v>
      </c>
      <c r="AJ113" s="1">
        <v>7</v>
      </c>
      <c r="AK113" s="1"/>
      <c r="AL113" s="1">
        <f>G113*V113</f>
        <v>11.200000000000001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35">
      <c r="A114" s="1" t="s">
        <v>161</v>
      </c>
      <c r="B114" s="1" t="s">
        <v>44</v>
      </c>
      <c r="C114" s="1">
        <v>67</v>
      </c>
      <c r="D114" s="1">
        <v>51</v>
      </c>
      <c r="E114" s="1">
        <v>61</v>
      </c>
      <c r="F114" s="1"/>
      <c r="G114" s="7">
        <v>0.28000000000000003</v>
      </c>
      <c r="H114" s="1">
        <v>40</v>
      </c>
      <c r="I114" s="9" t="s">
        <v>52</v>
      </c>
      <c r="J114" s="1"/>
      <c r="K114" s="1">
        <v>128</v>
      </c>
      <c r="L114" s="1">
        <f t="shared" si="28"/>
        <v>-67</v>
      </c>
      <c r="M114" s="1"/>
      <c r="N114" s="1"/>
      <c r="O114" s="1">
        <v>150</v>
      </c>
      <c r="P114" s="1">
        <v>-150</v>
      </c>
      <c r="Q114" s="1"/>
      <c r="R114" s="1">
        <v>150</v>
      </c>
      <c r="S114" s="1"/>
      <c r="T114" s="1"/>
      <c r="U114" s="1">
        <f t="shared" si="29"/>
        <v>12.2</v>
      </c>
      <c r="V114" s="5">
        <v>100</v>
      </c>
      <c r="W114" s="19">
        <v>250</v>
      </c>
      <c r="X114" s="19" t="s">
        <v>194</v>
      </c>
      <c r="Y114" s="1">
        <f t="shared" si="30"/>
        <v>20.491803278688526</v>
      </c>
      <c r="Z114" s="1">
        <f t="shared" si="31"/>
        <v>12.295081967213115</v>
      </c>
      <c r="AA114" s="1">
        <v>19.2</v>
      </c>
      <c r="AB114" s="1">
        <v>21.2</v>
      </c>
      <c r="AC114" s="1">
        <v>13.8</v>
      </c>
      <c r="AD114" s="1">
        <v>-0.6</v>
      </c>
      <c r="AE114" s="1">
        <v>-1</v>
      </c>
      <c r="AF114" s="1">
        <v>-2.4</v>
      </c>
      <c r="AG114" s="1">
        <v>-2.4</v>
      </c>
      <c r="AH114" s="1">
        <v>1</v>
      </c>
      <c r="AI114" s="1">
        <v>22.4</v>
      </c>
      <c r="AJ114" s="1">
        <v>34.6</v>
      </c>
      <c r="AK114" s="1"/>
      <c r="AL114" s="1">
        <f>G114*V114</f>
        <v>28.000000000000004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35">
      <c r="A115" s="1" t="s">
        <v>162</v>
      </c>
      <c r="B115" s="1" t="s">
        <v>44</v>
      </c>
      <c r="C115" s="1">
        <v>50</v>
      </c>
      <c r="D115" s="1">
        <v>144</v>
      </c>
      <c r="E115" s="1">
        <v>53</v>
      </c>
      <c r="F115" s="1"/>
      <c r="G115" s="7">
        <v>0.28000000000000003</v>
      </c>
      <c r="H115" s="1">
        <v>40</v>
      </c>
      <c r="I115" s="9" t="s">
        <v>52</v>
      </c>
      <c r="J115" s="1"/>
      <c r="K115" s="1">
        <v>99</v>
      </c>
      <c r="L115" s="1">
        <f t="shared" si="28"/>
        <v>-46</v>
      </c>
      <c r="M115" s="1"/>
      <c r="N115" s="1"/>
      <c r="O115" s="1">
        <v>150</v>
      </c>
      <c r="P115" s="1"/>
      <c r="Q115" s="1"/>
      <c r="R115" s="1">
        <v>100</v>
      </c>
      <c r="S115" s="1"/>
      <c r="T115" s="1"/>
      <c r="U115" s="1">
        <f t="shared" si="29"/>
        <v>10.6</v>
      </c>
      <c r="V115" s="5"/>
      <c r="W115" s="19">
        <v>250</v>
      </c>
      <c r="X115" s="19" t="s">
        <v>194</v>
      </c>
      <c r="Y115" s="1">
        <f t="shared" si="30"/>
        <v>23.584905660377359</v>
      </c>
      <c r="Z115" s="1">
        <f t="shared" si="31"/>
        <v>23.584905660377359</v>
      </c>
      <c r="AA115" s="1">
        <v>15.2</v>
      </c>
      <c r="AB115" s="1">
        <v>19</v>
      </c>
      <c r="AC115" s="1">
        <v>13.2</v>
      </c>
      <c r="AD115" s="1">
        <v>8</v>
      </c>
      <c r="AE115" s="1">
        <v>42.2</v>
      </c>
      <c r="AF115" s="1">
        <v>68.2</v>
      </c>
      <c r="AG115" s="1">
        <v>49.2</v>
      </c>
      <c r="AH115" s="1">
        <v>33</v>
      </c>
      <c r="AI115" s="1">
        <v>39.200000000000003</v>
      </c>
      <c r="AJ115" s="1">
        <v>30.6</v>
      </c>
      <c r="AK115" s="1"/>
      <c r="AL115" s="1">
        <f>G115*V115</f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35">
      <c r="A116" s="10" t="s">
        <v>163</v>
      </c>
      <c r="B116" s="10" t="s">
        <v>44</v>
      </c>
      <c r="C116" s="10"/>
      <c r="D116" s="10"/>
      <c r="E116" s="10"/>
      <c r="F116" s="10"/>
      <c r="G116" s="11">
        <v>0</v>
      </c>
      <c r="H116" s="10"/>
      <c r="I116" s="10" t="s">
        <v>40</v>
      </c>
      <c r="J116" s="10"/>
      <c r="K116" s="10"/>
      <c r="L116" s="10">
        <f t="shared" si="28"/>
        <v>0</v>
      </c>
      <c r="M116" s="10"/>
      <c r="N116" s="10"/>
      <c r="O116" s="10">
        <v>0</v>
      </c>
      <c r="P116" s="10"/>
      <c r="Q116" s="10"/>
      <c r="R116" s="10">
        <v>0</v>
      </c>
      <c r="S116" s="10"/>
      <c r="T116" s="10"/>
      <c r="U116" s="10">
        <f t="shared" si="29"/>
        <v>0</v>
      </c>
      <c r="V116" s="12"/>
      <c r="W116" s="17"/>
      <c r="X116" s="17"/>
      <c r="Y116" s="10" t="e">
        <f t="shared" si="30"/>
        <v>#DIV/0!</v>
      </c>
      <c r="Z116" s="10" t="e">
        <f t="shared" si="31"/>
        <v>#DIV/0!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 t="s">
        <v>50</v>
      </c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35">
      <c r="A117" s="1" t="s">
        <v>164</v>
      </c>
      <c r="B117" s="1" t="s">
        <v>39</v>
      </c>
      <c r="C117" s="1">
        <v>119.254</v>
      </c>
      <c r="D117" s="1">
        <v>8.7629999999999999</v>
      </c>
      <c r="E117" s="1">
        <v>30.035</v>
      </c>
      <c r="F117" s="1">
        <v>72.650000000000006</v>
      </c>
      <c r="G117" s="7">
        <v>1</v>
      </c>
      <c r="H117" s="1">
        <v>60</v>
      </c>
      <c r="I117" s="1" t="s">
        <v>40</v>
      </c>
      <c r="J117" s="1"/>
      <c r="K117" s="1">
        <v>32.5</v>
      </c>
      <c r="L117" s="1">
        <f t="shared" si="28"/>
        <v>-2.4649999999999999</v>
      </c>
      <c r="M117" s="1"/>
      <c r="N117" s="1"/>
      <c r="O117" s="1">
        <v>0</v>
      </c>
      <c r="P117" s="1"/>
      <c r="Q117" s="1"/>
      <c r="R117" s="1">
        <v>0</v>
      </c>
      <c r="S117" s="1"/>
      <c r="T117" s="1"/>
      <c r="U117" s="1">
        <f t="shared" si="29"/>
        <v>6.0069999999999997</v>
      </c>
      <c r="V117" s="5"/>
      <c r="W117" s="16"/>
      <c r="X117" s="16"/>
      <c r="Y117" s="1">
        <f t="shared" si="30"/>
        <v>12.094223406026304</v>
      </c>
      <c r="Z117" s="1">
        <f t="shared" si="31"/>
        <v>12.094223406026304</v>
      </c>
      <c r="AA117" s="1">
        <v>6.8293999999999997</v>
      </c>
      <c r="AB117" s="1">
        <v>5.8517999999999999</v>
      </c>
      <c r="AC117" s="1">
        <v>3.0104000000000002</v>
      </c>
      <c r="AD117" s="1">
        <v>7.0028000000000006</v>
      </c>
      <c r="AE117" s="1">
        <v>11.0334</v>
      </c>
      <c r="AF117" s="1">
        <v>6.3334000000000001</v>
      </c>
      <c r="AG117" s="1">
        <v>3.678199999999999</v>
      </c>
      <c r="AH117" s="1">
        <v>4.3917999999999999</v>
      </c>
      <c r="AI117" s="1">
        <v>9.8704000000000001</v>
      </c>
      <c r="AJ117" s="1">
        <v>11.0616</v>
      </c>
      <c r="AK117" s="15" t="s">
        <v>79</v>
      </c>
      <c r="AL117" s="1">
        <f>G117*V117</f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35">
      <c r="A118" s="1" t="s">
        <v>165</v>
      </c>
      <c r="B118" s="1" t="s">
        <v>39</v>
      </c>
      <c r="C118" s="1">
        <v>80.08</v>
      </c>
      <c r="D118" s="1">
        <v>44.392000000000003</v>
      </c>
      <c r="E118" s="1">
        <v>19.951000000000001</v>
      </c>
      <c r="F118" s="1">
        <v>70.186000000000007</v>
      </c>
      <c r="G118" s="7">
        <v>1</v>
      </c>
      <c r="H118" s="1">
        <v>50</v>
      </c>
      <c r="I118" s="1" t="s">
        <v>40</v>
      </c>
      <c r="J118" s="1"/>
      <c r="K118" s="1">
        <v>20</v>
      </c>
      <c r="L118" s="1">
        <f t="shared" si="28"/>
        <v>-4.8999999999999488E-2</v>
      </c>
      <c r="M118" s="1"/>
      <c r="N118" s="1"/>
      <c r="O118" s="1">
        <v>0</v>
      </c>
      <c r="P118" s="1"/>
      <c r="Q118" s="1"/>
      <c r="R118" s="1">
        <v>9.0224000000000117</v>
      </c>
      <c r="S118" s="1"/>
      <c r="T118" s="1"/>
      <c r="U118" s="1">
        <f t="shared" si="29"/>
        <v>3.9902000000000002</v>
      </c>
      <c r="V118" s="5"/>
      <c r="W118" s="16"/>
      <c r="X118" s="16"/>
      <c r="Y118" s="1">
        <f t="shared" si="30"/>
        <v>19.850734299032631</v>
      </c>
      <c r="Z118" s="1">
        <f t="shared" si="31"/>
        <v>19.850734299032631</v>
      </c>
      <c r="AA118" s="1">
        <v>5.9682000000000004</v>
      </c>
      <c r="AB118" s="1">
        <v>6.4512</v>
      </c>
      <c r="AC118" s="1">
        <v>3.9742000000000002</v>
      </c>
      <c r="AD118" s="1">
        <v>4.4668000000000001</v>
      </c>
      <c r="AE118" s="1">
        <v>8.9374000000000002</v>
      </c>
      <c r="AF118" s="1">
        <v>6.4590000000000014</v>
      </c>
      <c r="AG118" s="1">
        <v>1.9887999999999999</v>
      </c>
      <c r="AH118" s="1">
        <v>5.2645999999999997</v>
      </c>
      <c r="AI118" s="1">
        <v>7.7645999999999997</v>
      </c>
      <c r="AJ118" s="1">
        <v>5.4868000000000006</v>
      </c>
      <c r="AK118" s="14" t="s">
        <v>63</v>
      </c>
      <c r="AL118" s="1">
        <f>G118*V118</f>
        <v>0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35">
      <c r="A119" s="1" t="s">
        <v>166</v>
      </c>
      <c r="B119" s="1" t="s">
        <v>44</v>
      </c>
      <c r="C119" s="1">
        <v>54</v>
      </c>
      <c r="D119" s="1">
        <v>10</v>
      </c>
      <c r="E119" s="1">
        <v>53</v>
      </c>
      <c r="F119" s="1">
        <v>2</v>
      </c>
      <c r="G119" s="7">
        <v>0.09</v>
      </c>
      <c r="H119" s="1"/>
      <c r="I119" s="1" t="s">
        <v>40</v>
      </c>
      <c r="J119" s="1"/>
      <c r="K119" s="1">
        <v>63</v>
      </c>
      <c r="L119" s="1">
        <f t="shared" si="28"/>
        <v>-10</v>
      </c>
      <c r="M119" s="1"/>
      <c r="N119" s="1"/>
      <c r="O119" s="1">
        <v>0</v>
      </c>
      <c r="P119" s="1"/>
      <c r="Q119" s="1"/>
      <c r="R119" s="1">
        <v>66.399999999999991</v>
      </c>
      <c r="S119" s="1"/>
      <c r="T119" s="1"/>
      <c r="U119" s="1">
        <f t="shared" si="29"/>
        <v>10.6</v>
      </c>
      <c r="V119" s="5">
        <f t="shared" ref="V119" si="33">11*U119-T119-S119-R119-Q119-P119-O119-F119</f>
        <v>48.2</v>
      </c>
      <c r="W119" s="16"/>
      <c r="X119" s="16"/>
      <c r="Y119" s="1">
        <f t="shared" si="30"/>
        <v>11</v>
      </c>
      <c r="Z119" s="1">
        <f t="shared" si="31"/>
        <v>6.4528301886792443</v>
      </c>
      <c r="AA119" s="1">
        <v>10.199999999999999</v>
      </c>
      <c r="AB119" s="1">
        <v>1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 t="s">
        <v>141</v>
      </c>
      <c r="AL119" s="1">
        <f>G119*V119</f>
        <v>4.3380000000000001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35">
      <c r="A120" s="10" t="s">
        <v>167</v>
      </c>
      <c r="B120" s="10" t="s">
        <v>44</v>
      </c>
      <c r="C120" s="10"/>
      <c r="D120" s="10"/>
      <c r="E120" s="10"/>
      <c r="F120" s="10"/>
      <c r="G120" s="11">
        <v>0</v>
      </c>
      <c r="H120" s="10"/>
      <c r="I120" s="10" t="s">
        <v>40</v>
      </c>
      <c r="J120" s="10"/>
      <c r="K120" s="10"/>
      <c r="L120" s="10">
        <f t="shared" si="28"/>
        <v>0</v>
      </c>
      <c r="M120" s="10"/>
      <c r="N120" s="10"/>
      <c r="O120" s="10">
        <v>0</v>
      </c>
      <c r="P120" s="10"/>
      <c r="Q120" s="10"/>
      <c r="R120" s="10">
        <v>0</v>
      </c>
      <c r="S120" s="10"/>
      <c r="T120" s="10"/>
      <c r="U120" s="10">
        <f t="shared" si="29"/>
        <v>0</v>
      </c>
      <c r="V120" s="12"/>
      <c r="W120" s="17"/>
      <c r="X120" s="17"/>
      <c r="Y120" s="10" t="e">
        <f t="shared" si="30"/>
        <v>#DIV/0!</v>
      </c>
      <c r="Z120" s="10" t="e">
        <f t="shared" si="31"/>
        <v>#DIV/0!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 t="s">
        <v>50</v>
      </c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35">
      <c r="A121" s="1" t="s">
        <v>168</v>
      </c>
      <c r="B121" s="1" t="s">
        <v>39</v>
      </c>
      <c r="C121" s="1">
        <v>133.61600000000001</v>
      </c>
      <c r="D121" s="1">
        <v>148.017</v>
      </c>
      <c r="E121" s="1">
        <v>121.97199999999999</v>
      </c>
      <c r="F121" s="1">
        <v>95.986000000000004</v>
      </c>
      <c r="G121" s="7">
        <v>1</v>
      </c>
      <c r="H121" s="1">
        <v>60</v>
      </c>
      <c r="I121" s="1" t="s">
        <v>40</v>
      </c>
      <c r="J121" s="1"/>
      <c r="K121" s="1">
        <v>124.4</v>
      </c>
      <c r="L121" s="1">
        <f t="shared" si="28"/>
        <v>-2.4280000000000115</v>
      </c>
      <c r="M121" s="1"/>
      <c r="N121" s="1"/>
      <c r="O121" s="1">
        <v>207.05563200000009</v>
      </c>
      <c r="P121" s="1"/>
      <c r="Q121" s="1"/>
      <c r="R121" s="1">
        <v>43.122071200000001</v>
      </c>
      <c r="S121" s="1"/>
      <c r="T121" s="1">
        <v>63.615728799999992</v>
      </c>
      <c r="U121" s="1">
        <f t="shared" si="29"/>
        <v>24.394399999999997</v>
      </c>
      <c r="V121" s="5"/>
      <c r="W121" s="16"/>
      <c r="X121" s="16"/>
      <c r="Y121" s="1">
        <f t="shared" si="30"/>
        <v>16.798094316728434</v>
      </c>
      <c r="Z121" s="1">
        <f t="shared" si="31"/>
        <v>16.798094316728434</v>
      </c>
      <c r="AA121" s="1">
        <v>36.898000000000003</v>
      </c>
      <c r="AB121" s="1">
        <v>36.700200000000002</v>
      </c>
      <c r="AC121" s="1">
        <v>21.813800000000001</v>
      </c>
      <c r="AD121" s="1">
        <v>19.250399999999999</v>
      </c>
      <c r="AE121" s="1">
        <v>20.642199999999999</v>
      </c>
      <c r="AF121" s="1">
        <v>20.875599999999999</v>
      </c>
      <c r="AG121" s="1">
        <v>23.84</v>
      </c>
      <c r="AH121" s="1">
        <v>21.065799999999999</v>
      </c>
      <c r="AI121" s="1">
        <v>20.172000000000001</v>
      </c>
      <c r="AJ121" s="1">
        <v>15.214600000000001</v>
      </c>
      <c r="AK121" s="1" t="s">
        <v>84</v>
      </c>
      <c r="AL121" s="1">
        <f t="shared" ref="AL121:AL132" si="34">G121*V121</f>
        <v>0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35">
      <c r="A122" s="1" t="s">
        <v>169</v>
      </c>
      <c r="B122" s="1" t="s">
        <v>39</v>
      </c>
      <c r="C122" s="1">
        <v>529.20399999999995</v>
      </c>
      <c r="D122" s="1">
        <v>199.30699999999999</v>
      </c>
      <c r="E122" s="1">
        <v>225.435</v>
      </c>
      <c r="F122" s="1">
        <v>276.589</v>
      </c>
      <c r="G122" s="7">
        <v>1</v>
      </c>
      <c r="H122" s="1">
        <v>60</v>
      </c>
      <c r="I122" s="1" t="s">
        <v>40</v>
      </c>
      <c r="J122" s="1"/>
      <c r="K122" s="1">
        <v>220.88399999999999</v>
      </c>
      <c r="L122" s="1">
        <f t="shared" si="28"/>
        <v>4.5510000000000161</v>
      </c>
      <c r="M122" s="1"/>
      <c r="N122" s="1"/>
      <c r="O122" s="1">
        <v>0</v>
      </c>
      <c r="P122" s="1"/>
      <c r="Q122" s="1"/>
      <c r="R122" s="1">
        <v>72.213303199999999</v>
      </c>
      <c r="S122" s="1"/>
      <c r="T122" s="1">
        <v>106.5324968</v>
      </c>
      <c r="U122" s="1">
        <f t="shared" si="29"/>
        <v>45.087000000000003</v>
      </c>
      <c r="V122" s="5">
        <f t="shared" ref="V122:V127" si="35">11*U122-T122-S122-R122-Q122-P122-O122-F122</f>
        <v>40.622200000000078</v>
      </c>
      <c r="W122" s="16"/>
      <c r="X122" s="16"/>
      <c r="Y122" s="1">
        <f t="shared" si="30"/>
        <v>11</v>
      </c>
      <c r="Z122" s="1">
        <f t="shared" si="31"/>
        <v>10.099026326879143</v>
      </c>
      <c r="AA122" s="1">
        <v>46.735399999999998</v>
      </c>
      <c r="AB122" s="1">
        <v>35.391800000000003</v>
      </c>
      <c r="AC122" s="1">
        <v>16.724399999999999</v>
      </c>
      <c r="AD122" s="1">
        <v>15.421799999999999</v>
      </c>
      <c r="AE122" s="1">
        <v>46.654200000000003</v>
      </c>
      <c r="AF122" s="1">
        <v>57.178999999999988</v>
      </c>
      <c r="AG122" s="1">
        <v>41.480200000000004</v>
      </c>
      <c r="AH122" s="1">
        <v>28.829000000000001</v>
      </c>
      <c r="AI122" s="1">
        <v>33.867400000000004</v>
      </c>
      <c r="AJ122" s="1">
        <v>37.478999999999999</v>
      </c>
      <c r="AK122" s="1" t="s">
        <v>84</v>
      </c>
      <c r="AL122" s="1">
        <f t="shared" si="34"/>
        <v>40.622200000000078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35">
      <c r="A123" s="1" t="s">
        <v>170</v>
      </c>
      <c r="B123" s="1" t="s">
        <v>39</v>
      </c>
      <c r="C123" s="1">
        <v>72.412999999999997</v>
      </c>
      <c r="D123" s="1">
        <v>44.384</v>
      </c>
      <c r="E123" s="1">
        <v>73.974999999999994</v>
      </c>
      <c r="F123" s="1">
        <v>12.387</v>
      </c>
      <c r="G123" s="7">
        <v>1</v>
      </c>
      <c r="H123" s="1">
        <v>60</v>
      </c>
      <c r="I123" s="1" t="s">
        <v>40</v>
      </c>
      <c r="J123" s="1"/>
      <c r="K123" s="1">
        <v>70.099999999999994</v>
      </c>
      <c r="L123" s="1">
        <f t="shared" si="28"/>
        <v>3.875</v>
      </c>
      <c r="M123" s="1"/>
      <c r="N123" s="1"/>
      <c r="O123" s="1">
        <v>48.36</v>
      </c>
      <c r="P123" s="1"/>
      <c r="Q123" s="1"/>
      <c r="R123" s="1">
        <v>41.339623199999977</v>
      </c>
      <c r="S123" s="1"/>
      <c r="T123" s="1">
        <v>60.986176799999967</v>
      </c>
      <c r="U123" s="1">
        <f t="shared" si="29"/>
        <v>14.794999999999998</v>
      </c>
      <c r="V123" s="5"/>
      <c r="W123" s="16"/>
      <c r="X123" s="16"/>
      <c r="Y123" s="1">
        <f t="shared" si="30"/>
        <v>11.022156133828993</v>
      </c>
      <c r="Z123" s="1">
        <f t="shared" si="31"/>
        <v>11.022156133828993</v>
      </c>
      <c r="AA123" s="1">
        <v>14.6974</v>
      </c>
      <c r="AB123" s="1">
        <v>11.095000000000001</v>
      </c>
      <c r="AC123" s="1">
        <v>8.4111999999999991</v>
      </c>
      <c r="AD123" s="1">
        <v>7.3227999999999991</v>
      </c>
      <c r="AE123" s="1">
        <v>10.3934</v>
      </c>
      <c r="AF123" s="1">
        <v>13.385199999999999</v>
      </c>
      <c r="AG123" s="1">
        <v>14.412599999999999</v>
      </c>
      <c r="AH123" s="1">
        <v>11.468</v>
      </c>
      <c r="AI123" s="1">
        <v>9.6209999999999987</v>
      </c>
      <c r="AJ123" s="1">
        <v>8.5533999999999999</v>
      </c>
      <c r="AK123" s="1"/>
      <c r="AL123" s="1">
        <f t="shared" si="34"/>
        <v>0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35">
      <c r="A124" s="1" t="s">
        <v>171</v>
      </c>
      <c r="B124" s="1" t="s">
        <v>39</v>
      </c>
      <c r="C124" s="1">
        <v>1205.7919999999999</v>
      </c>
      <c r="D124" s="1">
        <v>682.00400000000002</v>
      </c>
      <c r="E124" s="1">
        <v>893.25199999999995</v>
      </c>
      <c r="F124" s="1">
        <v>100.328</v>
      </c>
      <c r="G124" s="7">
        <v>1</v>
      </c>
      <c r="H124" s="1">
        <v>60</v>
      </c>
      <c r="I124" s="1" t="s">
        <v>40</v>
      </c>
      <c r="J124" s="1"/>
      <c r="K124" s="1">
        <v>881.4</v>
      </c>
      <c r="L124" s="1">
        <f t="shared" si="28"/>
        <v>11.851999999999975</v>
      </c>
      <c r="M124" s="1"/>
      <c r="N124" s="1"/>
      <c r="O124" s="1">
        <v>692.20679999999993</v>
      </c>
      <c r="P124" s="1"/>
      <c r="Q124" s="1"/>
      <c r="R124" s="1">
        <v>400</v>
      </c>
      <c r="S124" s="1"/>
      <c r="T124" s="1">
        <v>388.36289760000011</v>
      </c>
      <c r="U124" s="1">
        <f t="shared" si="29"/>
        <v>178.65039999999999</v>
      </c>
      <c r="V124" s="5">
        <f t="shared" si="35"/>
        <v>384.25670239999999</v>
      </c>
      <c r="W124" s="16"/>
      <c r="X124" s="16"/>
      <c r="Y124" s="1">
        <f t="shared" si="30"/>
        <v>11</v>
      </c>
      <c r="Z124" s="1">
        <f t="shared" si="31"/>
        <v>8.8491136745285761</v>
      </c>
      <c r="AA124" s="1">
        <v>173.5172</v>
      </c>
      <c r="AB124" s="1">
        <v>165.2568</v>
      </c>
      <c r="AC124" s="1">
        <v>112.7216</v>
      </c>
      <c r="AD124" s="1">
        <v>127.8082</v>
      </c>
      <c r="AE124" s="1">
        <v>160.60159999999999</v>
      </c>
      <c r="AF124" s="1">
        <v>163.82</v>
      </c>
      <c r="AG124" s="1">
        <v>131.39340000000001</v>
      </c>
      <c r="AH124" s="1">
        <v>135.7192</v>
      </c>
      <c r="AI124" s="1">
        <v>165.4958</v>
      </c>
      <c r="AJ124" s="1">
        <v>148.43340000000001</v>
      </c>
      <c r="AK124" s="1"/>
      <c r="AL124" s="1">
        <f t="shared" si="34"/>
        <v>384.25670239999999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35">
      <c r="A125" s="1" t="s">
        <v>172</v>
      </c>
      <c r="B125" s="1" t="s">
        <v>44</v>
      </c>
      <c r="C125" s="1">
        <v>186</v>
      </c>
      <c r="D125" s="1">
        <v>247</v>
      </c>
      <c r="E125" s="1">
        <v>217</v>
      </c>
      <c r="F125" s="1">
        <v>164</v>
      </c>
      <c r="G125" s="7">
        <v>0.25</v>
      </c>
      <c r="H125" s="1">
        <v>1096</v>
      </c>
      <c r="I125" s="1" t="s">
        <v>40</v>
      </c>
      <c r="J125" s="1"/>
      <c r="K125" s="1">
        <v>201</v>
      </c>
      <c r="L125" s="1">
        <f t="shared" si="28"/>
        <v>16</v>
      </c>
      <c r="M125" s="1"/>
      <c r="N125" s="1"/>
      <c r="O125" s="1">
        <v>0</v>
      </c>
      <c r="P125" s="1"/>
      <c r="Q125" s="1"/>
      <c r="R125" s="1">
        <v>50.399999999999977</v>
      </c>
      <c r="S125" s="1"/>
      <c r="T125" s="1"/>
      <c r="U125" s="1">
        <f t="shared" si="29"/>
        <v>43.4</v>
      </c>
      <c r="V125" s="5">
        <f t="shared" si="35"/>
        <v>263</v>
      </c>
      <c r="W125" s="16"/>
      <c r="X125" s="16"/>
      <c r="Y125" s="1">
        <f t="shared" si="30"/>
        <v>11</v>
      </c>
      <c r="Z125" s="1">
        <f t="shared" si="31"/>
        <v>4.9400921658986174</v>
      </c>
      <c r="AA125" s="1">
        <v>26.2</v>
      </c>
      <c r="AB125" s="1">
        <v>23</v>
      </c>
      <c r="AC125" s="1">
        <v>14.4</v>
      </c>
      <c r="AD125" s="1">
        <v>0.6</v>
      </c>
      <c r="AE125" s="1">
        <v>0</v>
      </c>
      <c r="AF125" s="1">
        <v>0</v>
      </c>
      <c r="AG125" s="1">
        <v>0</v>
      </c>
      <c r="AH125" s="1">
        <v>1.6</v>
      </c>
      <c r="AI125" s="1">
        <v>3.6</v>
      </c>
      <c r="AJ125" s="1">
        <v>5.4</v>
      </c>
      <c r="AK125" s="1" t="s">
        <v>84</v>
      </c>
      <c r="AL125" s="1">
        <f t="shared" si="34"/>
        <v>65.75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35">
      <c r="A126" s="1" t="s">
        <v>173</v>
      </c>
      <c r="B126" s="1" t="s">
        <v>44</v>
      </c>
      <c r="C126" s="1">
        <v>407</v>
      </c>
      <c r="D126" s="1">
        <v>223</v>
      </c>
      <c r="E126" s="1">
        <v>139</v>
      </c>
      <c r="F126" s="13">
        <f>462+F134</f>
        <v>512</v>
      </c>
      <c r="G126" s="7">
        <v>0.32500000000000001</v>
      </c>
      <c r="H126" s="1">
        <v>1096</v>
      </c>
      <c r="I126" s="1" t="s">
        <v>40</v>
      </c>
      <c r="J126" s="1"/>
      <c r="K126" s="1">
        <v>133</v>
      </c>
      <c r="L126" s="1">
        <f t="shared" si="28"/>
        <v>6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29"/>
        <v>27.8</v>
      </c>
      <c r="V126" s="5"/>
      <c r="W126" s="16"/>
      <c r="X126" s="16"/>
      <c r="Y126" s="1">
        <f t="shared" si="30"/>
        <v>18.417266187050359</v>
      </c>
      <c r="Z126" s="1">
        <f t="shared" si="31"/>
        <v>18.417266187050359</v>
      </c>
      <c r="AA126" s="1">
        <v>16.2</v>
      </c>
      <c r="AB126" s="1">
        <v>15.6</v>
      </c>
      <c r="AC126" s="1">
        <v>12</v>
      </c>
      <c r="AD126" s="1">
        <v>0</v>
      </c>
      <c r="AE126" s="1">
        <v>0</v>
      </c>
      <c r="AF126" s="1">
        <v>0.4</v>
      </c>
      <c r="AG126" s="1">
        <v>6.2</v>
      </c>
      <c r="AH126" s="1">
        <v>11</v>
      </c>
      <c r="AI126" s="1">
        <v>8</v>
      </c>
      <c r="AJ126" s="1">
        <v>5.6</v>
      </c>
      <c r="AK126" s="1" t="s">
        <v>84</v>
      </c>
      <c r="AL126" s="1">
        <f t="shared" si="34"/>
        <v>0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35">
      <c r="A127" s="1" t="s">
        <v>174</v>
      </c>
      <c r="B127" s="1" t="s">
        <v>44</v>
      </c>
      <c r="C127" s="1">
        <v>298</v>
      </c>
      <c r="D127" s="1">
        <v>33</v>
      </c>
      <c r="E127" s="1">
        <v>248</v>
      </c>
      <c r="F127" s="1">
        <v>40</v>
      </c>
      <c r="G127" s="7">
        <v>0.25</v>
      </c>
      <c r="H127" s="1">
        <v>1096</v>
      </c>
      <c r="I127" s="1" t="s">
        <v>40</v>
      </c>
      <c r="J127" s="1"/>
      <c r="K127" s="1">
        <v>230</v>
      </c>
      <c r="L127" s="1">
        <f t="shared" si="28"/>
        <v>18</v>
      </c>
      <c r="M127" s="1"/>
      <c r="N127" s="1"/>
      <c r="O127" s="1">
        <v>300</v>
      </c>
      <c r="P127" s="1"/>
      <c r="Q127" s="1"/>
      <c r="R127" s="1">
        <v>13.400000000000031</v>
      </c>
      <c r="S127" s="1"/>
      <c r="T127" s="1"/>
      <c r="U127" s="1">
        <f t="shared" si="29"/>
        <v>49.6</v>
      </c>
      <c r="V127" s="5">
        <f t="shared" si="35"/>
        <v>192.20000000000005</v>
      </c>
      <c r="W127" s="19">
        <v>300</v>
      </c>
      <c r="X127" s="19" t="s">
        <v>185</v>
      </c>
      <c r="Y127" s="1">
        <f t="shared" si="30"/>
        <v>11.000000000000002</v>
      </c>
      <c r="Z127" s="1">
        <f t="shared" si="31"/>
        <v>7.1250000000000009</v>
      </c>
      <c r="AA127" s="1">
        <v>42.2</v>
      </c>
      <c r="AB127" s="1">
        <v>40</v>
      </c>
      <c r="AC127" s="1">
        <v>24.2</v>
      </c>
      <c r="AD127" s="1">
        <v>18.399999999999999</v>
      </c>
      <c r="AE127" s="1">
        <v>43.2</v>
      </c>
      <c r="AF127" s="1">
        <v>52.6</v>
      </c>
      <c r="AG127" s="1">
        <v>20.399999999999999</v>
      </c>
      <c r="AH127" s="1">
        <v>3</v>
      </c>
      <c r="AI127" s="1">
        <v>5.2</v>
      </c>
      <c r="AJ127" s="1">
        <v>8.1999999999999993</v>
      </c>
      <c r="AK127" s="1"/>
      <c r="AL127" s="1">
        <f t="shared" si="34"/>
        <v>48.050000000000011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35">
      <c r="A128" s="1" t="s">
        <v>175</v>
      </c>
      <c r="B128" s="1" t="s">
        <v>44</v>
      </c>
      <c r="C128" s="1"/>
      <c r="D128" s="1">
        <v>87</v>
      </c>
      <c r="E128" s="1"/>
      <c r="F128" s="1"/>
      <c r="G128" s="7">
        <v>0.3</v>
      </c>
      <c r="H128" s="1">
        <v>40</v>
      </c>
      <c r="I128" s="9" t="s">
        <v>52</v>
      </c>
      <c r="J128" s="1"/>
      <c r="K128" s="1">
        <v>3</v>
      </c>
      <c r="L128" s="1">
        <f t="shared" si="28"/>
        <v>-3</v>
      </c>
      <c r="M128" s="1"/>
      <c r="N128" s="1"/>
      <c r="O128" s="1">
        <v>30</v>
      </c>
      <c r="P128" s="1">
        <v>-30</v>
      </c>
      <c r="Q128" s="1"/>
      <c r="R128" s="1">
        <v>30</v>
      </c>
      <c r="S128" s="1"/>
      <c r="T128" s="1"/>
      <c r="U128" s="1">
        <f t="shared" si="29"/>
        <v>0</v>
      </c>
      <c r="V128" s="5">
        <v>30</v>
      </c>
      <c r="W128" s="19">
        <v>120</v>
      </c>
      <c r="X128" s="19" t="s">
        <v>186</v>
      </c>
      <c r="Y128" s="1" t="e">
        <f t="shared" si="30"/>
        <v>#DIV/0!</v>
      </c>
      <c r="Z128" s="1" t="e">
        <f t="shared" si="31"/>
        <v>#DIV/0!</v>
      </c>
      <c r="AA128" s="1">
        <v>-0.8</v>
      </c>
      <c r="AB128" s="1">
        <v>-1.4</v>
      </c>
      <c r="AC128" s="1">
        <v>-0.6</v>
      </c>
      <c r="AD128" s="1">
        <v>0</v>
      </c>
      <c r="AE128" s="1">
        <v>0</v>
      </c>
      <c r="AF128" s="1">
        <v>0</v>
      </c>
      <c r="AG128" s="1">
        <v>-0.2</v>
      </c>
      <c r="AH128" s="1">
        <v>-0.4</v>
      </c>
      <c r="AI128" s="1">
        <v>-1</v>
      </c>
      <c r="AJ128" s="1">
        <v>-1.2</v>
      </c>
      <c r="AK128" s="1"/>
      <c r="AL128" s="1">
        <f t="shared" si="34"/>
        <v>9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35">
      <c r="A129" s="1" t="s">
        <v>176</v>
      </c>
      <c r="B129" s="1" t="s">
        <v>44</v>
      </c>
      <c r="C129" s="1">
        <v>1</v>
      </c>
      <c r="D129" s="1">
        <v>10</v>
      </c>
      <c r="E129" s="1"/>
      <c r="F129" s="1"/>
      <c r="G129" s="7">
        <v>0.3</v>
      </c>
      <c r="H129" s="1">
        <v>40</v>
      </c>
      <c r="I129" s="9" t="s">
        <v>52</v>
      </c>
      <c r="J129" s="1"/>
      <c r="K129" s="1">
        <v>17</v>
      </c>
      <c r="L129" s="1">
        <f t="shared" si="28"/>
        <v>-17</v>
      </c>
      <c r="M129" s="1"/>
      <c r="N129" s="1"/>
      <c r="O129" s="1">
        <v>30</v>
      </c>
      <c r="P129" s="1">
        <v>-30</v>
      </c>
      <c r="Q129" s="1"/>
      <c r="R129" s="1">
        <v>30</v>
      </c>
      <c r="S129" s="1">
        <v>-30</v>
      </c>
      <c r="T129" s="1"/>
      <c r="U129" s="1">
        <f t="shared" si="29"/>
        <v>0</v>
      </c>
      <c r="V129" s="5">
        <v>30</v>
      </c>
      <c r="W129" s="19">
        <v>120</v>
      </c>
      <c r="X129" s="19" t="s">
        <v>186</v>
      </c>
      <c r="Y129" s="1" t="e">
        <f t="shared" si="30"/>
        <v>#DIV/0!</v>
      </c>
      <c r="Z129" s="1" t="e">
        <f t="shared" si="31"/>
        <v>#DIV/0!</v>
      </c>
      <c r="AA129" s="1">
        <v>-0.2</v>
      </c>
      <c r="AB129" s="1">
        <v>-0.2</v>
      </c>
      <c r="AC129" s="1">
        <v>0</v>
      </c>
      <c r="AD129" s="1">
        <v>0</v>
      </c>
      <c r="AE129" s="1">
        <v>0</v>
      </c>
      <c r="AF129" s="1">
        <v>-0.8</v>
      </c>
      <c r="AG129" s="1">
        <v>-0.2</v>
      </c>
      <c r="AH129" s="1">
        <v>0</v>
      </c>
      <c r="AI129" s="1">
        <v>0.6</v>
      </c>
      <c r="AJ129" s="1">
        <v>5.8</v>
      </c>
      <c r="AK129" s="1" t="s">
        <v>177</v>
      </c>
      <c r="AL129" s="1">
        <f t="shared" si="34"/>
        <v>9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35">
      <c r="A130" s="1" t="s">
        <v>178</v>
      </c>
      <c r="B130" s="1" t="s">
        <v>39</v>
      </c>
      <c r="C130" s="1">
        <v>45.906999999999996</v>
      </c>
      <c r="D130" s="1">
        <v>37.298000000000002</v>
      </c>
      <c r="E130" s="1">
        <v>22.564</v>
      </c>
      <c r="F130" s="1">
        <v>23.413</v>
      </c>
      <c r="G130" s="7">
        <v>1</v>
      </c>
      <c r="H130" s="1">
        <v>50</v>
      </c>
      <c r="I130" s="1" t="s">
        <v>40</v>
      </c>
      <c r="J130" s="1"/>
      <c r="K130" s="1">
        <v>25.85</v>
      </c>
      <c r="L130" s="1">
        <f t="shared" si="28"/>
        <v>-3.2860000000000014</v>
      </c>
      <c r="M130" s="1"/>
      <c r="N130" s="1"/>
      <c r="O130" s="1">
        <v>0</v>
      </c>
      <c r="P130" s="1"/>
      <c r="Q130" s="1"/>
      <c r="R130" s="1">
        <v>24.260200000000001</v>
      </c>
      <c r="S130" s="1"/>
      <c r="T130" s="1"/>
      <c r="U130" s="1">
        <f t="shared" si="29"/>
        <v>4.5128000000000004</v>
      </c>
      <c r="V130" s="5">
        <v>4</v>
      </c>
      <c r="W130" s="16"/>
      <c r="X130" s="16"/>
      <c r="Y130" s="1">
        <f t="shared" si="30"/>
        <v>11.450363410742776</v>
      </c>
      <c r="Z130" s="1">
        <f t="shared" si="31"/>
        <v>10.563995745435205</v>
      </c>
      <c r="AA130" s="1">
        <v>4.6745999999999999</v>
      </c>
      <c r="AB130" s="1">
        <v>3.2343999999999999</v>
      </c>
      <c r="AC130" s="1">
        <v>1.3575999999999999</v>
      </c>
      <c r="AD130" s="1">
        <v>0.81319999999999992</v>
      </c>
      <c r="AE130" s="1">
        <v>4.306</v>
      </c>
      <c r="AF130" s="1">
        <v>5.1116000000000001</v>
      </c>
      <c r="AG130" s="1">
        <v>2.4276</v>
      </c>
      <c r="AH130" s="1">
        <v>2.9628000000000001</v>
      </c>
      <c r="AI130" s="1">
        <v>2.1503999999999999</v>
      </c>
      <c r="AJ130" s="1">
        <v>2.1423999999999999</v>
      </c>
      <c r="AK130" s="1"/>
      <c r="AL130" s="1">
        <f t="shared" si="34"/>
        <v>4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35">
      <c r="A131" s="1" t="s">
        <v>179</v>
      </c>
      <c r="B131" s="1" t="s">
        <v>44</v>
      </c>
      <c r="C131" s="1">
        <v>12</v>
      </c>
      <c r="D131" s="1">
        <v>41</v>
      </c>
      <c r="E131" s="1">
        <v>-2</v>
      </c>
      <c r="F131" s="1"/>
      <c r="G131" s="7">
        <v>0.3</v>
      </c>
      <c r="H131" s="1">
        <v>40</v>
      </c>
      <c r="I131" s="9" t="s">
        <v>52</v>
      </c>
      <c r="J131" s="1"/>
      <c r="K131" s="1">
        <v>54</v>
      </c>
      <c r="L131" s="1">
        <f t="shared" si="28"/>
        <v>-56</v>
      </c>
      <c r="M131" s="1"/>
      <c r="N131" s="1"/>
      <c r="O131" s="1">
        <v>60</v>
      </c>
      <c r="P131" s="1">
        <v>-60</v>
      </c>
      <c r="Q131" s="1"/>
      <c r="R131" s="1">
        <v>60</v>
      </c>
      <c r="S131" s="1">
        <v>-60</v>
      </c>
      <c r="T131" s="1"/>
      <c r="U131" s="1">
        <f t="shared" si="29"/>
        <v>-0.4</v>
      </c>
      <c r="V131" s="5">
        <v>60</v>
      </c>
      <c r="W131" s="16"/>
      <c r="X131" s="16"/>
      <c r="Y131" s="1">
        <f t="shared" si="30"/>
        <v>-150</v>
      </c>
      <c r="Z131" s="1">
        <f t="shared" si="31"/>
        <v>0</v>
      </c>
      <c r="AA131" s="1">
        <v>-0.8</v>
      </c>
      <c r="AB131" s="1">
        <v>-0.8</v>
      </c>
      <c r="AC131" s="1">
        <v>-0.4</v>
      </c>
      <c r="AD131" s="1">
        <v>-0.2</v>
      </c>
      <c r="AE131" s="1">
        <v>1</v>
      </c>
      <c r="AF131" s="1">
        <v>20.8</v>
      </c>
      <c r="AG131" s="1">
        <v>23.4</v>
      </c>
      <c r="AH131" s="1">
        <v>2.4</v>
      </c>
      <c r="AI131" s="1">
        <v>4</v>
      </c>
      <c r="AJ131" s="1">
        <v>11.6</v>
      </c>
      <c r="AK131" s="1"/>
      <c r="AL131" s="1">
        <f t="shared" si="34"/>
        <v>18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35">
      <c r="A132" s="1" t="s">
        <v>180</v>
      </c>
      <c r="B132" s="1" t="s">
        <v>44</v>
      </c>
      <c r="C132" s="1">
        <v>7</v>
      </c>
      <c r="D132" s="1">
        <v>41</v>
      </c>
      <c r="E132" s="1">
        <v>-1</v>
      </c>
      <c r="F132" s="1"/>
      <c r="G132" s="7">
        <v>0.12</v>
      </c>
      <c r="H132" s="1">
        <v>45</v>
      </c>
      <c r="I132" s="9" t="s">
        <v>52</v>
      </c>
      <c r="J132" s="1"/>
      <c r="K132" s="1">
        <v>27</v>
      </c>
      <c r="L132" s="1">
        <f t="shared" si="28"/>
        <v>-28</v>
      </c>
      <c r="M132" s="1"/>
      <c r="N132" s="1"/>
      <c r="O132" s="1">
        <v>30</v>
      </c>
      <c r="P132" s="1"/>
      <c r="Q132" s="1"/>
      <c r="R132" s="1">
        <v>20</v>
      </c>
      <c r="S132" s="1"/>
      <c r="T132" s="1"/>
      <c r="U132" s="1">
        <f t="shared" si="29"/>
        <v>-0.2</v>
      </c>
      <c r="V132" s="5">
        <v>20</v>
      </c>
      <c r="W132" s="16"/>
      <c r="X132" s="16"/>
      <c r="Y132" s="1">
        <f t="shared" si="30"/>
        <v>-350</v>
      </c>
      <c r="Z132" s="1">
        <f t="shared" si="31"/>
        <v>-250</v>
      </c>
      <c r="AA132" s="1">
        <v>1.2</v>
      </c>
      <c r="AB132" s="1">
        <v>11</v>
      </c>
      <c r="AC132" s="1">
        <v>9</v>
      </c>
      <c r="AD132" s="1">
        <v>-0.6</v>
      </c>
      <c r="AE132" s="1">
        <v>3.4</v>
      </c>
      <c r="AF132" s="1">
        <v>9.6</v>
      </c>
      <c r="AG132" s="1">
        <v>9.8000000000000007</v>
      </c>
      <c r="AH132" s="1">
        <v>6</v>
      </c>
      <c r="AI132" s="1">
        <v>8.6</v>
      </c>
      <c r="AJ132" s="1">
        <v>9</v>
      </c>
      <c r="AK132" s="1"/>
      <c r="AL132" s="1">
        <f t="shared" si="34"/>
        <v>2.4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35">
      <c r="A133" s="10" t="s">
        <v>181</v>
      </c>
      <c r="B133" s="10" t="s">
        <v>44</v>
      </c>
      <c r="C133" s="10">
        <v>53</v>
      </c>
      <c r="D133" s="10">
        <v>200</v>
      </c>
      <c r="E133" s="13">
        <v>208</v>
      </c>
      <c r="F133" s="13">
        <v>40</v>
      </c>
      <c r="G133" s="11">
        <v>0</v>
      </c>
      <c r="H133" s="10"/>
      <c r="I133" s="10" t="s">
        <v>182</v>
      </c>
      <c r="J133" s="10" t="s">
        <v>102</v>
      </c>
      <c r="K133" s="10">
        <v>218</v>
      </c>
      <c r="L133" s="10">
        <f t="shared" si="28"/>
        <v>-10</v>
      </c>
      <c r="M133" s="10"/>
      <c r="N133" s="10"/>
      <c r="O133" s="10">
        <v>0</v>
      </c>
      <c r="P133" s="10"/>
      <c r="Q133" s="10"/>
      <c r="R133" s="10">
        <v>0</v>
      </c>
      <c r="S133" s="10"/>
      <c r="T133" s="10"/>
      <c r="U133" s="10">
        <f t="shared" si="29"/>
        <v>41.6</v>
      </c>
      <c r="V133" s="12"/>
      <c r="W133" s="17"/>
      <c r="X133" s="17"/>
      <c r="Y133" s="10">
        <f t="shared" si="30"/>
        <v>0.96153846153846145</v>
      </c>
      <c r="Z133" s="10">
        <f t="shared" si="31"/>
        <v>0.96153846153846145</v>
      </c>
      <c r="AA133" s="10">
        <v>38.4</v>
      </c>
      <c r="AB133" s="10">
        <v>29.4</v>
      </c>
      <c r="AC133" s="10">
        <v>9.6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35">
      <c r="A134" s="10" t="s">
        <v>183</v>
      </c>
      <c r="B134" s="10" t="s">
        <v>44</v>
      </c>
      <c r="C134" s="10">
        <v>2</v>
      </c>
      <c r="D134" s="10">
        <v>48</v>
      </c>
      <c r="E134" s="10"/>
      <c r="F134" s="13">
        <v>50</v>
      </c>
      <c r="G134" s="11">
        <v>0</v>
      </c>
      <c r="H134" s="10"/>
      <c r="I134" s="10" t="s">
        <v>182</v>
      </c>
      <c r="J134" s="10" t="s">
        <v>173</v>
      </c>
      <c r="K134" s="10">
        <v>2</v>
      </c>
      <c r="L134" s="10">
        <f t="shared" ref="L134" si="36">E134-K134</f>
        <v>-2</v>
      </c>
      <c r="M134" s="10"/>
      <c r="N134" s="10"/>
      <c r="O134" s="10">
        <v>0</v>
      </c>
      <c r="P134" s="10"/>
      <c r="Q134" s="10"/>
      <c r="R134" s="10">
        <v>0</v>
      </c>
      <c r="S134" s="10"/>
      <c r="T134" s="10"/>
      <c r="U134" s="10">
        <f t="shared" si="29"/>
        <v>0</v>
      </c>
      <c r="V134" s="12"/>
      <c r="W134" s="17"/>
      <c r="X134" s="17"/>
      <c r="Y134" s="10" t="e">
        <f t="shared" ref="Y134" si="37">(F134+O134+P134+Q134+R134+S134+T134+V134)/U134</f>
        <v>#DIV/0!</v>
      </c>
      <c r="Z134" s="10" t="e">
        <f t="shared" si="31"/>
        <v>#DIV/0!</v>
      </c>
      <c r="AA134" s="10">
        <v>0</v>
      </c>
      <c r="AB134" s="10">
        <v>1</v>
      </c>
      <c r="AC134" s="10">
        <v>1</v>
      </c>
      <c r="AD134" s="10">
        <v>0</v>
      </c>
      <c r="AE134" s="10">
        <v>0</v>
      </c>
      <c r="AF134" s="10">
        <v>0.4</v>
      </c>
      <c r="AG134" s="10">
        <v>5.2</v>
      </c>
      <c r="AH134" s="10">
        <v>5.2</v>
      </c>
      <c r="AI134" s="10">
        <v>1.4</v>
      </c>
      <c r="AJ134" s="10">
        <v>2.4</v>
      </c>
      <c r="AK134" s="10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L134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2026-09-15T12:56:11Z</dcterms:created>
  <dcterms:modified xsi:type="dcterms:W3CDTF">2026-09-15T19:17:50Z</dcterms:modified>
</cp:coreProperties>
</file>