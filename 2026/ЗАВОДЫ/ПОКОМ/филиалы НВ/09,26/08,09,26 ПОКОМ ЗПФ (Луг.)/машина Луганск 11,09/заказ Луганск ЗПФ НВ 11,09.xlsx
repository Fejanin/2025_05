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184FBDEF-5320-4EA8-8E8C-B80431A6CD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Z278" i="1" s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Z206" i="1" s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P192" i="1"/>
  <c r="BO191" i="1"/>
  <c r="BM191" i="1"/>
  <c r="Z191" i="1"/>
  <c r="Z194" i="1" s="1"/>
  <c r="Y191" i="1"/>
  <c r="P191" i="1"/>
  <c r="BO190" i="1"/>
  <c r="BM190" i="1"/>
  <c r="Z190" i="1"/>
  <c r="Y190" i="1"/>
  <c r="P190" i="1"/>
  <c r="X186" i="1"/>
  <c r="X185" i="1"/>
  <c r="BO184" i="1"/>
  <c r="BM184" i="1"/>
  <c r="Z184" i="1"/>
  <c r="Z185" i="1" s="1"/>
  <c r="Y184" i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Y88" i="1"/>
  <c r="Y91" i="1" s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P71" i="1"/>
  <c r="BP70" i="1"/>
  <c r="BO70" i="1"/>
  <c r="BN70" i="1"/>
  <c r="BM70" i="1"/>
  <c r="Z70" i="1"/>
  <c r="Z73" i="1" s="1"/>
  <c r="Y70" i="1"/>
  <c r="P70" i="1"/>
  <c r="X68" i="1"/>
  <c r="X67" i="1"/>
  <c r="BO66" i="1"/>
  <c r="BM66" i="1"/>
  <c r="Z66" i="1"/>
  <c r="Y66" i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P56" i="1"/>
  <c r="BO55" i="1"/>
  <c r="BM55" i="1"/>
  <c r="Z55" i="1"/>
  <c r="Y55" i="1"/>
  <c r="P55" i="1"/>
  <c r="BO54" i="1"/>
  <c r="BM54" i="1"/>
  <c r="Z54" i="1"/>
  <c r="Y54" i="1"/>
  <c r="P54" i="1"/>
  <c r="BO53" i="1"/>
  <c r="BM53" i="1"/>
  <c r="Z53" i="1"/>
  <c r="Z57" i="1" s="1"/>
  <c r="Y53" i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P47" i="1"/>
  <c r="X44" i="1"/>
  <c r="X43" i="1"/>
  <c r="BO42" i="1"/>
  <c r="BM42" i="1"/>
  <c r="Z42" i="1"/>
  <c r="Y42" i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X282" i="1" s="1"/>
  <c r="BM22" i="1"/>
  <c r="Z22" i="1"/>
  <c r="Z30" i="1" s="1"/>
  <c r="Y22" i="1"/>
  <c r="P22" i="1"/>
  <c r="H10" i="1"/>
  <c r="A9" i="1"/>
  <c r="A10" i="1" s="1"/>
  <c r="D7" i="1"/>
  <c r="Q6" i="1"/>
  <c r="P2" i="1"/>
  <c r="BP23" i="1" l="1"/>
  <c r="BN23" i="1"/>
  <c r="BP25" i="1"/>
  <c r="BN25" i="1"/>
  <c r="BP27" i="1"/>
  <c r="BN27" i="1"/>
  <c r="BP29" i="1"/>
  <c r="BN29" i="1"/>
  <c r="BP42" i="1"/>
  <c r="BN42" i="1"/>
  <c r="BP54" i="1"/>
  <c r="BN54" i="1"/>
  <c r="Y100" i="1"/>
  <c r="BP94" i="1"/>
  <c r="BN94" i="1"/>
  <c r="BP96" i="1"/>
  <c r="BN96" i="1"/>
  <c r="BP98" i="1"/>
  <c r="BN98" i="1"/>
  <c r="Y118" i="1"/>
  <c r="BP110" i="1"/>
  <c r="BN110" i="1"/>
  <c r="BP112" i="1"/>
  <c r="BN112" i="1"/>
  <c r="BP114" i="1"/>
  <c r="BN114" i="1"/>
  <c r="BP116" i="1"/>
  <c r="BN116" i="1"/>
  <c r="Y141" i="1"/>
  <c r="BP137" i="1"/>
  <c r="BN137" i="1"/>
  <c r="BP139" i="1"/>
  <c r="BN139" i="1"/>
  <c r="BP151" i="1"/>
  <c r="BN151" i="1"/>
  <c r="Y194" i="1"/>
  <c r="BP190" i="1"/>
  <c r="BN190" i="1"/>
  <c r="Y195" i="1"/>
  <c r="BP192" i="1"/>
  <c r="BN192" i="1"/>
  <c r="BP55" i="1"/>
  <c r="BN55" i="1"/>
  <c r="BP66" i="1"/>
  <c r="BN66" i="1"/>
  <c r="Y79" i="1"/>
  <c r="BP77" i="1"/>
  <c r="BN77" i="1"/>
  <c r="Y186" i="1"/>
  <c r="Y185" i="1"/>
  <c r="BP184" i="1"/>
  <c r="BN184" i="1"/>
  <c r="Y30" i="1"/>
  <c r="X281" i="1"/>
  <c r="X283" i="1" s="1"/>
  <c r="X280" i="1"/>
  <c r="Y36" i="1"/>
  <c r="Y43" i="1"/>
  <c r="Y49" i="1"/>
  <c r="Y57" i="1"/>
  <c r="Z79" i="1"/>
  <c r="Z90" i="1"/>
  <c r="Z100" i="1"/>
  <c r="Z106" i="1"/>
  <c r="Z118" i="1"/>
  <c r="Z134" i="1"/>
  <c r="Z140" i="1"/>
  <c r="Y158" i="1"/>
  <c r="Y159" i="1"/>
  <c r="Z180" i="1"/>
  <c r="BN211" i="1"/>
  <c r="Y279" i="1"/>
  <c r="BN270" i="1"/>
  <c r="BN272" i="1"/>
  <c r="BN274" i="1"/>
  <c r="BN276" i="1"/>
  <c r="F9" i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3" i="1"/>
  <c r="BP53" i="1"/>
  <c r="Y58" i="1"/>
  <c r="Y62" i="1"/>
  <c r="BP61" i="1"/>
  <c r="BN61" i="1"/>
  <c r="Z67" i="1"/>
  <c r="Y74" i="1"/>
  <c r="H9" i="1"/>
  <c r="BP56" i="1"/>
  <c r="BN56" i="1"/>
  <c r="Y68" i="1"/>
  <c r="BP65" i="1"/>
  <c r="BN65" i="1"/>
  <c r="Y67" i="1"/>
  <c r="BP71" i="1"/>
  <c r="BN71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4" i="1" l="1"/>
  <c r="Z285" i="1"/>
  <c r="Y280" i="1"/>
  <c r="Y281" i="1"/>
  <c r="Y282" i="1"/>
  <c r="B293" i="1" l="1"/>
  <c r="Y283" i="1"/>
  <c r="C293" i="1"/>
  <c r="A293" i="1"/>
</calcChain>
</file>

<file path=xl/sharedStrings.xml><?xml version="1.0" encoding="utf-8"?>
<sst xmlns="http://schemas.openxmlformats.org/spreadsheetml/2006/main" count="1293" uniqueCount="419">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</sst>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46279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0.41666666666666669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hidden="1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hidden="1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hidden="1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60</v>
      </c>
      <c r="Y23" s="279">
        <f t="shared" si="0"/>
        <v>60</v>
      </c>
      <c r="Z23" s="37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12</v>
      </c>
      <c r="Y29" s="279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72</v>
      </c>
      <c r="Y30" s="280">
        <f>IFERROR(SUM(Y22:Y29),"0")</f>
        <v>72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1.1159999999999999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470.4</v>
      </c>
      <c r="Y31" s="280">
        <f>IFERROR(SUMPRODUCT(Y22:Y29*H22:H29),"0")</f>
        <v>470.4</v>
      </c>
      <c r="Z31" s="38"/>
      <c r="AA31" s="281"/>
      <c r="AB31" s="281"/>
      <c r="AC31" s="281"/>
    </row>
    <row r="32" spans="1:68" ht="16.5" hidden="1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hidden="1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hidden="1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hidden="1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168</v>
      </c>
      <c r="Y41" s="279">
        <f>IFERROR(IF(X41="","",X41),"")</f>
        <v>168</v>
      </c>
      <c r="Z41" s="37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168</v>
      </c>
      <c r="Y43" s="280">
        <f>IFERROR(SUM(Y41:Y42),"0")</f>
        <v>168</v>
      </c>
      <c r="Z43" s="280">
        <f>IFERROR(IF(Z41="",0,Z41),"0")+IFERROR(IF(Z42="",0,Z42),"0")</f>
        <v>1.5808800000000001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252</v>
      </c>
      <c r="Y44" s="280">
        <f>IFERROR(SUMPRODUCT(Y41:Y42*H41:H42),"0")</f>
        <v>252</v>
      </c>
      <c r="Z44" s="38"/>
      <c r="AA44" s="281"/>
      <c r="AB44" s="281"/>
      <c r="AC44" s="281"/>
    </row>
    <row r="45" spans="1:68" ht="16.5" hidden="1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hidden="1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24</v>
      </c>
      <c r="Y47" s="279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12</v>
      </c>
      <c r="Y48" s="279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36</v>
      </c>
      <c r="Y49" s="280">
        <f>IFERROR(SUM(Y47:Y48),"0")</f>
        <v>36</v>
      </c>
      <c r="Z49" s="280">
        <f>IFERROR(IF(Z47="",0,Z47),"0")+IFERROR(IF(Z48="",0,Z48),"0")</f>
        <v>0.55800000000000005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201.59999999999997</v>
      </c>
      <c r="Y50" s="280">
        <f>IFERROR(SUMPRODUCT(Y47:Y48*H47:H48),"0")</f>
        <v>201.59999999999997</v>
      </c>
      <c r="Z50" s="38"/>
      <c r="AA50" s="281"/>
      <c r="AB50" s="281"/>
      <c r="AC50" s="281"/>
    </row>
    <row r="51" spans="1:68" ht="16.5" hidden="1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hidden="1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12</v>
      </c>
      <c r="Y53" s="279">
        <f>IFERROR(IF(X53="","",X53),"")</f>
        <v>12</v>
      </c>
      <c r="Z53" s="37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24</v>
      </c>
      <c r="Y56" s="279">
        <f>IFERROR(IF(X56="","",X56),"")</f>
        <v>24</v>
      </c>
      <c r="Z56" s="37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8"/>
      <c r="AA58" s="281"/>
      <c r="AB58" s="281"/>
      <c r="AC58" s="281"/>
    </row>
    <row r="59" spans="1:68" ht="16.5" hidden="1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hidden="1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hidden="1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312</v>
      </c>
      <c r="Y78" s="279">
        <f>IFERROR(IF(X78="","",X78),"")</f>
        <v>312</v>
      </c>
      <c r="Z78" s="37">
        <f>IFERROR(IF(X78="","",X78*0.00866),"")</f>
        <v>2.7019199999999999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1626.5183999999999</v>
      </c>
      <c r="BN78" s="67">
        <f>IFERROR(Y78*I78,"0")</f>
        <v>1626.5183999999999</v>
      </c>
      <c r="BO78" s="67">
        <f>IFERROR(X78/J78,"0")</f>
        <v>2.1666666666666665</v>
      </c>
      <c r="BP78" s="67">
        <f>IFERROR(Y78/J78,"0")</f>
        <v>2.1666666666666665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312</v>
      </c>
      <c r="Y79" s="280">
        <f>IFERROR(SUM(Y77:Y78),"0")</f>
        <v>312</v>
      </c>
      <c r="Z79" s="280">
        <f>IFERROR(IF(Z77="",0,Z77),"0")+IFERROR(IF(Z78="",0,Z78),"0")</f>
        <v>2.7019199999999999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1560</v>
      </c>
      <c r="Y80" s="280">
        <f>IFERROR(SUMPRODUCT(Y77:Y78*H77:H78),"0")</f>
        <v>1560</v>
      </c>
      <c r="Z80" s="38"/>
      <c r="AA80" s="281"/>
      <c r="AB80" s="281"/>
      <c r="AC80" s="281"/>
    </row>
    <row r="81" spans="1:68" ht="16.5" hidden="1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hidden="1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hidden="1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14</v>
      </c>
      <c r="Y88" s="279">
        <f>IFERROR(IF(X88="","",X88),"")</f>
        <v>14</v>
      </c>
      <c r="Z88" s="37">
        <f>IFERROR(IF(X88="","",X88*0.01788),"")</f>
        <v>0.25031999999999999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70</v>
      </c>
      <c r="Y90" s="280">
        <f>IFERROR(SUM(Y88:Y89),"0")</f>
        <v>70</v>
      </c>
      <c r="Z90" s="280">
        <f>IFERROR(IF(Z88="",0,Z88),"0")+IFERROR(IF(Z89="",0,Z89),"0")</f>
        <v>1.2515999999999998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252</v>
      </c>
      <c r="Y91" s="280">
        <f>IFERROR(SUMPRODUCT(Y88:Y89*H88:H89),"0")</f>
        <v>252</v>
      </c>
      <c r="Z91" s="38"/>
      <c r="AA91" s="281"/>
      <c r="AB91" s="281"/>
      <c r="AC91" s="281"/>
    </row>
    <row r="92" spans="1:68" ht="16.5" hidden="1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hidden="1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42</v>
      </c>
      <c r="Y94" s="279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98</v>
      </c>
      <c r="Y95" s="279">
        <f t="shared" si="6"/>
        <v>98</v>
      </c>
      <c r="Z95" s="37">
        <f t="shared" si="7"/>
        <v>1.75224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351.19280000000003</v>
      </c>
      <c r="BN95" s="67">
        <f t="shared" si="9"/>
        <v>351.19280000000003</v>
      </c>
      <c r="BO95" s="67">
        <f t="shared" si="10"/>
        <v>1.4</v>
      </c>
      <c r="BP95" s="67">
        <f t="shared" si="11"/>
        <v>1.4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5">
        <v>4620207491881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42</v>
      </c>
      <c r="Y96" s="279">
        <f t="shared" si="6"/>
        <v>42</v>
      </c>
      <c r="Z96" s="37">
        <f t="shared" si="7"/>
        <v>0.75095999999999996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hidden="1" customHeight="1" x14ac:dyDescent="0.25">
      <c r="A97" s="54" t="s">
        <v>170</v>
      </c>
      <c r="B97" s="54" t="s">
        <v>171</v>
      </c>
      <c r="C97" s="32">
        <v>4301135920</v>
      </c>
      <c r="D97" s="295">
        <v>4620207491577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5">
        <v>4620207491874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14</v>
      </c>
      <c r="Y99" s="279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224</v>
      </c>
      <c r="Y100" s="280">
        <f>IFERROR(SUM(Y94:Y99),"0")</f>
        <v>224</v>
      </c>
      <c r="Z100" s="280">
        <f>IFERROR(IF(Z94="",0,Z94),"0")+IFERROR(IF(Z95="",0,Z95),"0")+IFERROR(IF(Z96="",0,Z96),"0")+IFERROR(IF(Z97="",0,Z97),"0")+IFERROR(IF(Z98="",0,Z98),"0")+IFERROR(IF(Z99="",0,Z99),"0")</f>
        <v>4.0051200000000007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690.4799999999999</v>
      </c>
      <c r="Y101" s="280">
        <f>IFERROR(SUMPRODUCT(Y94:Y99*H94:H99),"0")</f>
        <v>690.4799999999999</v>
      </c>
      <c r="Z101" s="38"/>
      <c r="AA101" s="281"/>
      <c r="AB101" s="281"/>
      <c r="AC101" s="281"/>
    </row>
    <row r="102" spans="1:68" ht="16.5" hidden="1" customHeight="1" x14ac:dyDescent="0.25">
      <c r="A102" s="310" t="s">
        <v>177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hidden="1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178</v>
      </c>
      <c r="B104" s="54" t="s">
        <v>179</v>
      </c>
      <c r="C104" s="32">
        <v>4301136101</v>
      </c>
      <c r="D104" s="295">
        <v>4620207491652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14</v>
      </c>
      <c r="Y104" s="279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14</v>
      </c>
      <c r="Y106" s="280">
        <f>IFERROR(SUM(Y104:Y105),"0")</f>
        <v>14</v>
      </c>
      <c r="Z106" s="280">
        <f>IFERROR(IF(Z104="",0,Z104),"0")+IFERROR(IF(Z105="",0,Z105),"0")</f>
        <v>0.13103999999999999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30.240000000000002</v>
      </c>
      <c r="Y107" s="280">
        <f>IFERROR(SUMPRODUCT(Y104:Y105*H104:H105),"0")</f>
        <v>30.240000000000002</v>
      </c>
      <c r="Z107" s="38"/>
      <c r="AA107" s="281"/>
      <c r="AB107" s="281"/>
      <c r="AC107" s="281"/>
    </row>
    <row r="108" spans="1:68" ht="16.5" hidden="1" customHeight="1" x14ac:dyDescent="0.25">
      <c r="A108" s="310" t="s">
        <v>183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hidden="1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12</v>
      </c>
      <c r="Y113" s="279">
        <f t="shared" si="12"/>
        <v>12</v>
      </c>
      <c r="Z113" s="37">
        <f t="shared" si="13"/>
        <v>0.186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80.635199999999998</v>
      </c>
      <c r="BN113" s="67">
        <f t="shared" si="15"/>
        <v>80.635199999999998</v>
      </c>
      <c r="BO113" s="67">
        <f t="shared" si="16"/>
        <v>0.14285714285714285</v>
      </c>
      <c r="BP113" s="67">
        <f t="shared" si="17"/>
        <v>0.14285714285714285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24</v>
      </c>
      <c r="Y114" s="279">
        <f t="shared" si="12"/>
        <v>24</v>
      </c>
      <c r="Z114" s="37">
        <f t="shared" si="13"/>
        <v>0.372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175.2</v>
      </c>
      <c r="BN114" s="67">
        <f t="shared" si="15"/>
        <v>175.2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24</v>
      </c>
      <c r="Y117" s="279">
        <f t="shared" si="12"/>
        <v>24</v>
      </c>
      <c r="Z117" s="37">
        <f t="shared" si="13"/>
        <v>0.372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175.2</v>
      </c>
      <c r="BN117" s="67">
        <f t="shared" si="15"/>
        <v>175.2</v>
      </c>
      <c r="BO117" s="67">
        <f t="shared" si="16"/>
        <v>0.2857142857142857</v>
      </c>
      <c r="BP117" s="67">
        <f t="shared" si="17"/>
        <v>0.2857142857142857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84</v>
      </c>
      <c r="Y118" s="280">
        <f>IFERROR(SUM(Y110:Y117),"0")</f>
        <v>84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1.302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580.79999999999995</v>
      </c>
      <c r="Y119" s="280">
        <f>IFERROR(SUMPRODUCT(Y110:Y117*H110:H117),"0")</f>
        <v>580.79999999999995</v>
      </c>
      <c r="Z119" s="38"/>
      <c r="AA119" s="281"/>
      <c r="AB119" s="281"/>
      <c r="AC119" s="281"/>
    </row>
    <row r="120" spans="1:68" ht="14.25" hidden="1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203</v>
      </c>
      <c r="B121" s="54" t="s">
        <v>204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14</v>
      </c>
      <c r="Y121" s="279">
        <f>IFERROR(IF(X121="","",X121),"")</f>
        <v>14</v>
      </c>
      <c r="Z121" s="37">
        <f>IFERROR(IF(X121="","",X121*0.01788),"")</f>
        <v>0.25031999999999999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46.810400000000001</v>
      </c>
      <c r="BN121" s="67">
        <f>IFERROR(Y121*I121,"0")</f>
        <v>46.810400000000001</v>
      </c>
      <c r="BO121" s="67">
        <f>IFERROR(X121/J121,"0")</f>
        <v>0.2</v>
      </c>
      <c r="BP121" s="67">
        <f>IFERROR(Y121/J121,"0")</f>
        <v>0.2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14</v>
      </c>
      <c r="Y122" s="280">
        <f>IFERROR(SUM(Y121:Y121),"0")</f>
        <v>14</v>
      </c>
      <c r="Z122" s="280">
        <f>IFERROR(IF(Z121="",0,Z121),"0")</f>
        <v>0.25031999999999999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36.96</v>
      </c>
      <c r="Y123" s="280">
        <f>IFERROR(SUMPRODUCT(Y121:Y121*H121:H121),"0")</f>
        <v>36.96</v>
      </c>
      <c r="Z123" s="38"/>
      <c r="AA123" s="281"/>
      <c r="AB123" s="281"/>
      <c r="AC123" s="281"/>
    </row>
    <row r="124" spans="1:68" ht="14.25" hidden="1" customHeight="1" x14ac:dyDescent="0.25">
      <c r="A124" s="304" t="s">
        <v>206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10" t="s">
        <v>210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hidden="1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238</v>
      </c>
      <c r="Y130" s="279">
        <f>IFERROR(IF(X130="","",X130),"")</f>
        <v>238</v>
      </c>
      <c r="Z130" s="37">
        <f>IFERROR(IF(X130="","",X130*0.00941),"")</f>
        <v>2.2395800000000001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428.40000000000003</v>
      </c>
      <c r="BN130" s="67">
        <f>IFERROR(Y130*I130,"0")</f>
        <v>428.40000000000003</v>
      </c>
      <c r="BO130" s="67">
        <f>IFERROR(X130/J130,"0")</f>
        <v>1.7</v>
      </c>
      <c r="BP130" s="67">
        <f>IFERROR(Y130/J130,"0")</f>
        <v>1.7</v>
      </c>
    </row>
    <row r="131" spans="1:68" ht="27" customHeight="1" x14ac:dyDescent="0.25">
      <c r="A131" s="54" t="s">
        <v>214</v>
      </c>
      <c r="B131" s="54" t="s">
        <v>215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70</v>
      </c>
      <c r="Y131" s="279">
        <f>IFERROR(IF(X131="","",X131),"")</f>
        <v>70</v>
      </c>
      <c r="Z131" s="37">
        <f>IFERROR(IF(X131="","",X131*0.00941),"")</f>
        <v>0.65869999999999995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126</v>
      </c>
      <c r="BN131" s="67">
        <f>IFERROR(Y131*I131,"0")</f>
        <v>126</v>
      </c>
      <c r="BO131" s="67">
        <f>IFERROR(X131/J131,"0")</f>
        <v>0.5</v>
      </c>
      <c r="BP131" s="67">
        <f>IFERROR(Y131/J131,"0")</f>
        <v>0.5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112</v>
      </c>
      <c r="Y132" s="279">
        <f>IFERROR(IF(X132="","",X132),"")</f>
        <v>112</v>
      </c>
      <c r="Z132" s="37">
        <f>IFERROR(IF(X132="","",X132*0.00941),"")</f>
        <v>1.05392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194.88</v>
      </c>
      <c r="BN132" s="67">
        <f>IFERROR(Y132*I132,"0")</f>
        <v>194.88</v>
      </c>
      <c r="BO132" s="67">
        <f>IFERROR(X132/J132,"0")</f>
        <v>0.8</v>
      </c>
      <c r="BP132" s="67">
        <f>IFERROR(Y132/J132,"0")</f>
        <v>0.8</v>
      </c>
    </row>
    <row r="133" spans="1:68" ht="27" customHeight="1" x14ac:dyDescent="0.25">
      <c r="A133" s="54" t="s">
        <v>218</v>
      </c>
      <c r="B133" s="54" t="s">
        <v>219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154</v>
      </c>
      <c r="Y133" s="279">
        <f>IFERROR(IF(X133="","",X133),"")</f>
        <v>154</v>
      </c>
      <c r="Z133" s="37">
        <f>IFERROR(IF(X133="","",X133*0.00941),"")</f>
        <v>1.4491400000000001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277.2</v>
      </c>
      <c r="BN133" s="67">
        <f>IFERROR(Y133*I133,"0")</f>
        <v>277.2</v>
      </c>
      <c r="BO133" s="67">
        <f>IFERROR(X133/J133,"0")</f>
        <v>1.1000000000000001</v>
      </c>
      <c r="BP133" s="67">
        <f>IFERROR(Y133/J133,"0")</f>
        <v>1.1000000000000001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574</v>
      </c>
      <c r="Y134" s="280">
        <f>IFERROR(SUM(Y130:Y133),"0")</f>
        <v>574</v>
      </c>
      <c r="Z134" s="280">
        <f>IFERROR(IF(Z130="",0,Z130),"0")+IFERROR(IF(Z131="",0,Z131),"0")+IFERROR(IF(Z132="",0,Z132),"0")+IFERROR(IF(Z133="",0,Z133),"0")</f>
        <v>5.4013400000000003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785.4</v>
      </c>
      <c r="Y135" s="280">
        <f>IFERROR(SUMPRODUCT(Y130:Y133*H130:H133),"0")</f>
        <v>785.4</v>
      </c>
      <c r="Z135" s="38"/>
      <c r="AA135" s="281"/>
      <c r="AB135" s="281"/>
      <c r="AC135" s="281"/>
    </row>
    <row r="136" spans="1:68" ht="14.25" hidden="1" customHeight="1" x14ac:dyDescent="0.25">
      <c r="A136" s="304" t="s">
        <v>220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10" t="s">
        <v>228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hidden="1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hidden="1" customHeight="1" x14ac:dyDescent="0.25">
      <c r="A144" s="54" t="s">
        <v>229</v>
      </c>
      <c r="B144" s="54" t="s">
        <v>230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232</v>
      </c>
      <c r="B145" s="54" t="s">
        <v>233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hidden="1" customHeight="1" x14ac:dyDescent="0.25">
      <c r="A148" s="310" t="s">
        <v>234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hidden="1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28</v>
      </c>
      <c r="Y150" s="279">
        <f>IFERROR(IF(X150="","",X150),"")</f>
        <v>28</v>
      </c>
      <c r="Z150" s="37">
        <f>IFERROR(IF(X150="","",X150*0.01788),"")</f>
        <v>0.50063999999999997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104.944</v>
      </c>
      <c r="BN150" s="67">
        <f>IFERROR(Y150*I150,"0")</f>
        <v>104.944</v>
      </c>
      <c r="BO150" s="67">
        <f>IFERROR(X150/J150,"0")</f>
        <v>0.4</v>
      </c>
      <c r="BP150" s="67">
        <f>IFERROR(Y150/J150,"0")</f>
        <v>0.4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28</v>
      </c>
      <c r="Y152" s="280">
        <f>IFERROR(SUM(Y150:Y151),"0")</f>
        <v>28</v>
      </c>
      <c r="Z152" s="280">
        <f>IFERROR(IF(Z150="",0,Z150),"0")+IFERROR(IF(Z151="",0,Z151),"0")</f>
        <v>0.50063999999999997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84</v>
      </c>
      <c r="Y153" s="280">
        <f>IFERROR(SUMPRODUCT(Y150:Y151*H150:H151),"0")</f>
        <v>84</v>
      </c>
      <c r="Z153" s="38"/>
      <c r="AA153" s="281"/>
      <c r="AB153" s="281"/>
      <c r="AC153" s="281"/>
    </row>
    <row r="154" spans="1:68" ht="16.5" hidden="1" customHeight="1" x14ac:dyDescent="0.25">
      <c r="A154" s="310" t="s">
        <v>241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hidden="1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14</v>
      </c>
      <c r="Y156" s="279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hidden="1" customHeight="1" x14ac:dyDescent="0.25">
      <c r="A160" s="310" t="s">
        <v>246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hidden="1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5">
        <v>4620207491614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28</v>
      </c>
      <c r="Y162" s="279">
        <f>IFERROR(IF(X162="","",X162),"")</f>
        <v>28</v>
      </c>
      <c r="Z162" s="37">
        <f>IFERROR(IF(X162="","",X162*0.01788),"")</f>
        <v>0.50063999999999997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28</v>
      </c>
      <c r="Y163" s="280">
        <f>IFERROR(SUM(Y162:Y162),"0")</f>
        <v>28</v>
      </c>
      <c r="Z163" s="280">
        <f>IFERROR(IF(Z162="",0,Z162),"0")</f>
        <v>0.50063999999999997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84</v>
      </c>
      <c r="Y164" s="280">
        <f>IFERROR(SUMPRODUCT(Y162:Y162*H162:H162),"0")</f>
        <v>84</v>
      </c>
      <c r="Z164" s="38"/>
      <c r="AA164" s="281"/>
      <c r="AB164" s="281"/>
      <c r="AC164" s="281"/>
    </row>
    <row r="165" spans="1:68" ht="16.5" hidden="1" customHeight="1" x14ac:dyDescent="0.25">
      <c r="A165" s="310" t="s">
        <v>250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hidden="1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10" t="s">
        <v>253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hidden="1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84</v>
      </c>
      <c r="Y172" s="279">
        <f>IFERROR(IF(X172="","",X172),"")</f>
        <v>84</v>
      </c>
      <c r="Z172" s="37">
        <f>IFERROR(IF(X172="","",X172*0.00941),"")</f>
        <v>0.79044000000000003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176.55119999999999</v>
      </c>
      <c r="BN172" s="67">
        <f>IFERROR(Y172*I172,"0")</f>
        <v>176.55119999999999</v>
      </c>
      <c r="BO172" s="67">
        <f>IFERROR(X172/J172,"0")</f>
        <v>0.6</v>
      </c>
      <c r="BP172" s="67">
        <f>IFERROR(Y172/J172,"0")</f>
        <v>0.6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84</v>
      </c>
      <c r="Y173" s="280">
        <f>IFERROR(SUM(Y172:Y172),"0")</f>
        <v>84</v>
      </c>
      <c r="Z173" s="280">
        <f>IFERROR(IF(Z172="",0,Z172),"0")</f>
        <v>0.79044000000000003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141.12</v>
      </c>
      <c r="Y174" s="280">
        <f>IFERROR(SUMPRODUCT(Y172:Y172*H172:H172),"0")</f>
        <v>141.12</v>
      </c>
      <c r="Z174" s="38"/>
      <c r="AA174" s="281"/>
      <c r="AB174" s="281"/>
      <c r="AC174" s="281"/>
    </row>
    <row r="175" spans="1:68" ht="27.75" hidden="1" customHeight="1" x14ac:dyDescent="0.2">
      <c r="A175" s="362" t="s">
        <v>257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hidden="1" customHeight="1" x14ac:dyDescent="0.25">
      <c r="A176" s="310" t="s">
        <v>258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hidden="1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262</v>
      </c>
      <c r="B179" s="54" t="s">
        <v>263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48</v>
      </c>
      <c r="Y179" s="279">
        <f>IFERROR(IF(X179="","",X179),"")</f>
        <v>48</v>
      </c>
      <c r="Z179" s="37">
        <f>IFERROR(IF(X179="","",X179*0.00866),"")</f>
        <v>0.41567999999999994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250.23359999999997</v>
      </c>
      <c r="BN179" s="67">
        <f>IFERROR(Y179*I179,"0")</f>
        <v>250.23359999999997</v>
      </c>
      <c r="BO179" s="67">
        <f>IFERROR(X179/J179,"0")</f>
        <v>0.33333333333333331</v>
      </c>
      <c r="BP179" s="67">
        <f>IFERROR(Y179/J179,"0")</f>
        <v>0.33333333333333331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48</v>
      </c>
      <c r="Y180" s="280">
        <f>IFERROR(SUM(Y178:Y179),"0")</f>
        <v>48</v>
      </c>
      <c r="Z180" s="280">
        <f>IFERROR(IF(Z178="",0,Z178),"0")+IFERROR(IF(Z179="",0,Z179),"0")</f>
        <v>0.41567999999999994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240</v>
      </c>
      <c r="Y181" s="280">
        <f>IFERROR(SUMPRODUCT(Y178:Y179*H178:H179),"0")</f>
        <v>240</v>
      </c>
      <c r="Z181" s="38"/>
      <c r="AA181" s="281"/>
      <c r="AB181" s="281"/>
      <c r="AC181" s="281"/>
    </row>
    <row r="182" spans="1:68" ht="16.5" hidden="1" customHeight="1" x14ac:dyDescent="0.25">
      <c r="A182" s="310" t="s">
        <v>265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hidden="1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120</v>
      </c>
      <c r="Y184" s="279">
        <f>IFERROR(IF(X184="","",X184),"")</f>
        <v>120</v>
      </c>
      <c r="Z184" s="37">
        <f>IFERROR(IF(X184="","",X184*0.0155),"")</f>
        <v>1.8599999999999999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631.43999999999994</v>
      </c>
      <c r="BN184" s="67">
        <f>IFERROR(Y184*I184,"0")</f>
        <v>631.43999999999994</v>
      </c>
      <c r="BO184" s="67">
        <f>IFERROR(X184/J184,"0")</f>
        <v>1.4285714285714286</v>
      </c>
      <c r="BP184" s="67">
        <f>IFERROR(Y184/J184,"0")</f>
        <v>1.4285714285714286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120</v>
      </c>
      <c r="Y185" s="280">
        <f>IFERROR(SUM(Y184:Y184),"0")</f>
        <v>120</v>
      </c>
      <c r="Z185" s="280">
        <f>IFERROR(IF(Z184="",0,Z184),"0")</f>
        <v>1.8599999999999999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600</v>
      </c>
      <c r="Y186" s="280">
        <f>IFERROR(SUMPRODUCT(Y184:Y184*H184:H184),"0")</f>
        <v>600</v>
      </c>
      <c r="Z186" s="38"/>
      <c r="AA186" s="281"/>
      <c r="AB186" s="281"/>
      <c r="AC186" s="281"/>
    </row>
    <row r="187" spans="1:68" ht="27.75" hidden="1" customHeight="1" x14ac:dyDescent="0.2">
      <c r="A187" s="362" t="s">
        <v>268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hidden="1" customHeight="1" x14ac:dyDescent="0.25">
      <c r="A188" s="310" t="s">
        <v>269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hidden="1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hidden="1" customHeight="1" x14ac:dyDescent="0.25">
      <c r="A191" s="54" t="s">
        <v>273</v>
      </c>
      <c r="B191" s="54" t="s">
        <v>274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42</v>
      </c>
      <c r="Y192" s="279">
        <f>IFERROR(IF(X192="","",X192),"")</f>
        <v>42</v>
      </c>
      <c r="Z192" s="37">
        <f>IFERROR(IF(X192="","",X192*0.01788),"")</f>
        <v>0.75095999999999996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156.91200000000001</v>
      </c>
      <c r="BN192" s="67">
        <f>IFERROR(Y192*I192,"0")</f>
        <v>156.91200000000001</v>
      </c>
      <c r="BO192" s="67">
        <f>IFERROR(X192/J192,"0")</f>
        <v>0.6</v>
      </c>
      <c r="BP192" s="67">
        <f>IFERROR(Y192/J192,"0")</f>
        <v>0.6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98</v>
      </c>
      <c r="Y194" s="280">
        <f>IFERROR(SUM(Y190:Y193),"0")</f>
        <v>98</v>
      </c>
      <c r="Z194" s="280">
        <f>IFERROR(IF(Z190="",0,Z190),"0")+IFERROR(IF(Z191="",0,Z191),"0")+IFERROR(IF(Z192="",0,Z192),"0")+IFERROR(IF(Z193="",0,Z193),"0")</f>
        <v>1.75224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294</v>
      </c>
      <c r="Y195" s="280">
        <f>IFERROR(SUMPRODUCT(Y190:Y193*H190:H193),"0")</f>
        <v>294</v>
      </c>
      <c r="Z195" s="38"/>
      <c r="AA195" s="281"/>
      <c r="AB195" s="281"/>
      <c r="AC195" s="281"/>
    </row>
    <row r="196" spans="1:68" ht="27.75" hidden="1" customHeight="1" x14ac:dyDescent="0.2">
      <c r="A196" s="362" t="s">
        <v>282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hidden="1" customHeight="1" x14ac:dyDescent="0.25">
      <c r="A197" s="310" t="s">
        <v>283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hidden="1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14</v>
      </c>
      <c r="Y199" s="279">
        <f>IFERROR(IF(X199="","",X199),"")</f>
        <v>14</v>
      </c>
      <c r="Z199" s="37">
        <f>IFERROR(IF(X199="","",X199*0.01788),"")</f>
        <v>0.25031999999999999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41.72</v>
      </c>
      <c r="BN199" s="67">
        <f>IFERROR(Y199*I199,"0")</f>
        <v>41.72</v>
      </c>
      <c r="BO199" s="67">
        <f>IFERROR(X199/J199,"0")</f>
        <v>0.2</v>
      </c>
      <c r="BP199" s="67">
        <f>IFERROR(Y199/J199,"0")</f>
        <v>0.2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14</v>
      </c>
      <c r="Y200" s="280">
        <f>IFERROR(SUM(Y199:Y199),"0")</f>
        <v>14</v>
      </c>
      <c r="Z200" s="280">
        <f>IFERROR(IF(Z199="",0,Z199),"0")</f>
        <v>0.25031999999999999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38.64</v>
      </c>
      <c r="Y201" s="280">
        <f>IFERROR(SUMPRODUCT(Y199:Y199*H199:H199),"0")</f>
        <v>38.64</v>
      </c>
      <c r="Z201" s="38"/>
      <c r="AA201" s="281"/>
      <c r="AB201" s="281"/>
      <c r="AC201" s="281"/>
    </row>
    <row r="202" spans="1:68" ht="14.25" hidden="1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10" t="s">
        <v>296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hidden="1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10" t="s">
        <v>303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hidden="1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156</v>
      </c>
      <c r="Y216" s="279">
        <f>IFERROR(IF(X216="","",X216),"")</f>
        <v>156</v>
      </c>
      <c r="Z216" s="37">
        <f>IFERROR(IF(X216="","",X216*0.0155),"")</f>
        <v>2.4180000000000001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815.88000000000011</v>
      </c>
      <c r="BN216" s="67">
        <f>IFERROR(Y216*I216,"0")</f>
        <v>815.88000000000011</v>
      </c>
      <c r="BO216" s="67">
        <f>IFERROR(X216/J216,"0")</f>
        <v>1.8571428571428572</v>
      </c>
      <c r="BP216" s="67">
        <f>IFERROR(Y216/J216,"0")</f>
        <v>1.8571428571428572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156</v>
      </c>
      <c r="Y217" s="280">
        <f>IFERROR(SUM(Y216:Y216),"0")</f>
        <v>156</v>
      </c>
      <c r="Z217" s="280">
        <f>IFERROR(IF(Z216="",0,Z216),"0")</f>
        <v>2.4180000000000001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780</v>
      </c>
      <c r="Y218" s="280">
        <f>IFERROR(SUMPRODUCT(Y216:Y216*H216:H216),"0")</f>
        <v>780</v>
      </c>
      <c r="Z218" s="38"/>
      <c r="AA218" s="281"/>
      <c r="AB218" s="281"/>
      <c r="AC218" s="281"/>
    </row>
    <row r="219" spans="1:68" ht="16.5" hidden="1" customHeight="1" x14ac:dyDescent="0.25">
      <c r="A219" s="310" t="s">
        <v>307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hidden="1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2" t="s">
        <v>311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hidden="1" customHeight="1" x14ac:dyDescent="0.25">
      <c r="A225" s="310" t="s">
        <v>312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hidden="1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2" t="s">
        <v>316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hidden="1" customHeight="1" x14ac:dyDescent="0.25">
      <c r="A231" s="310" t="s">
        <v>317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hidden="1" customHeight="1" x14ac:dyDescent="0.25">
      <c r="A232" s="304" t="s">
        <v>318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2" t="s">
        <v>324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hidden="1" customHeight="1" x14ac:dyDescent="0.25">
      <c r="A241" s="310" t="s">
        <v>324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hidden="1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2" t="s">
        <v>331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hidden="1" customHeight="1" x14ac:dyDescent="0.25">
      <c r="A251" s="310" t="s">
        <v>331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hidden="1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5">
        <v>4620207491980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240</v>
      </c>
      <c r="Y258" s="279">
        <f>IFERROR(IF(X258="","",X258),"")</f>
        <v>240</v>
      </c>
      <c r="Z258" s="37">
        <f>IFERROR(IF(X258="","",X258*0.0155),"")</f>
        <v>3.7199999999999998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1502.3999999999999</v>
      </c>
      <c r="BN258" s="67">
        <f>IFERROR(Y258*I258,"0")</f>
        <v>1502.3999999999999</v>
      </c>
      <c r="BO258" s="67">
        <f>IFERROR(X258/J258,"0")</f>
        <v>2.8571428571428572</v>
      </c>
      <c r="BP258" s="67">
        <f>IFERROR(Y258/J258,"0")</f>
        <v>2.8571428571428572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240</v>
      </c>
      <c r="Y259" s="280">
        <f>IFERROR(SUM(Y258:Y258),"0")</f>
        <v>240</v>
      </c>
      <c r="Z259" s="280">
        <f>IFERROR(IF(Z258="",0,Z258),"0")</f>
        <v>3.7199999999999998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1440</v>
      </c>
      <c r="Y260" s="280">
        <f>IFERROR(SUMPRODUCT(Y258:Y258*H258:H258),"0")</f>
        <v>1440</v>
      </c>
      <c r="Z260" s="38"/>
      <c r="AA260" s="281"/>
      <c r="AB260" s="281"/>
      <c r="AC260" s="281"/>
    </row>
    <row r="261" spans="1:68" ht="14.25" hidden="1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14</v>
      </c>
      <c r="Y262" s="279">
        <f>IFERROR(IF(X262="","",X262),"")</f>
        <v>14</v>
      </c>
      <c r="Z262" s="37">
        <f>IFERROR(IF(X262="","",X262*0.00936),"")</f>
        <v>0.13103999999999999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40.468400000000003</v>
      </c>
      <c r="BN262" s="67">
        <f>IFERROR(Y262*I262,"0")</f>
        <v>40.468400000000003</v>
      </c>
      <c r="BO262" s="67">
        <f>IFERROR(X262/J262,"0")</f>
        <v>0.1111111111111111</v>
      </c>
      <c r="BP262" s="67">
        <f>IFERROR(Y262/J262,"0")</f>
        <v>0.1111111111111111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636</v>
      </c>
      <c r="Y263" s="279">
        <f>IFERROR(IF(X263="","",X263),"")</f>
        <v>636</v>
      </c>
      <c r="Z263" s="37">
        <f>IFERROR(IF(X263="","",X263*0.0155),"")</f>
        <v>9.8580000000000005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3329.46</v>
      </c>
      <c r="BN263" s="67">
        <f>IFERROR(Y263*I263,"0")</f>
        <v>3329.46</v>
      </c>
      <c r="BO263" s="67">
        <f>IFERROR(X263/J263,"0")</f>
        <v>7.5714285714285712</v>
      </c>
      <c r="BP263" s="67">
        <f>IFERROR(Y263/J263,"0")</f>
        <v>7.5714285714285712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650</v>
      </c>
      <c r="Y265" s="280">
        <f>IFERROR(SUM(Y262:Y264),"0")</f>
        <v>650</v>
      </c>
      <c r="Z265" s="280">
        <f>IFERROR(IF(Z262="",0,Z262),"0")+IFERROR(IF(Z263="",0,Z263),"0")+IFERROR(IF(Z264="",0,Z264),"0")</f>
        <v>9.989040000000001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3217.8</v>
      </c>
      <c r="Y266" s="280">
        <f>IFERROR(SUMPRODUCT(Y262:Y264*H262:H264),"0")</f>
        <v>3217.8</v>
      </c>
      <c r="Z266" s="38"/>
      <c r="AA266" s="281"/>
      <c r="AB266" s="281"/>
      <c r="AC266" s="281"/>
    </row>
    <row r="267" spans="1:68" ht="14.25" hidden="1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353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112</v>
      </c>
      <c r="Y269" s="279">
        <f t="shared" si="18"/>
        <v>112</v>
      </c>
      <c r="Z269" s="37">
        <f>IFERROR(IF(X269="","",X269*0.00936),"")</f>
        <v>1.0483199999999999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435.904</v>
      </c>
      <c r="BN269" s="67">
        <f t="shared" si="20"/>
        <v>435.904</v>
      </c>
      <c r="BO269" s="67">
        <f t="shared" si="21"/>
        <v>0.88888888888888884</v>
      </c>
      <c r="BP269" s="67">
        <f t="shared" si="22"/>
        <v>0.88888888888888884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126</v>
      </c>
      <c r="Y271" s="279">
        <f t="shared" si="18"/>
        <v>126</v>
      </c>
      <c r="Z271" s="37">
        <f t="shared" ref="Z271:Z276" si="23">IFERROR(IF(X271="","",X271*0.00936),"")</f>
        <v>1.17936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402.19200000000001</v>
      </c>
      <c r="BN271" s="67">
        <f t="shared" si="20"/>
        <v>402.19200000000001</v>
      </c>
      <c r="BO271" s="67">
        <f t="shared" si="21"/>
        <v>1</v>
      </c>
      <c r="BP271" s="67">
        <f t="shared" si="22"/>
        <v>1</v>
      </c>
    </row>
    <row r="272" spans="1:68" ht="27" customHeight="1" x14ac:dyDescent="0.25">
      <c r="A272" s="54" t="s">
        <v>360</v>
      </c>
      <c r="B272" s="54" t="s">
        <v>361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84</v>
      </c>
      <c r="Y272" s="279">
        <f t="shared" si="18"/>
        <v>84</v>
      </c>
      <c r="Z272" s="37">
        <f t="shared" si="23"/>
        <v>0.78624000000000005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326.928</v>
      </c>
      <c r="BN272" s="67">
        <f t="shared" si="20"/>
        <v>326.928</v>
      </c>
      <c r="BO272" s="67">
        <f t="shared" si="21"/>
        <v>0.66666666666666663</v>
      </c>
      <c r="BP272" s="67">
        <f t="shared" si="22"/>
        <v>0.66666666666666663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322</v>
      </c>
      <c r="Y278" s="280">
        <f>IFERROR(SUM(Y268:Y277),"0")</f>
        <v>322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3.0139199999999997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1103.2</v>
      </c>
      <c r="Y279" s="280">
        <f>IFERROR(SUMPRODUCT(Y268:Y277*H268:H277),"0")</f>
        <v>1103.2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372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13638.64</v>
      </c>
      <c r="Y280" s="280">
        <f>IFERROR(Y31+Y37+Y44+Y50+Y58+Y63+Y68+Y74+Y80+Y85+Y91+Y101+Y107+Y119+Y123+Y127+Y135+Y141+Y147+Y153+Y159+Y164+Y169+Y174+Y181+Y186+Y195+Y201+Y207+Y213+Y218+Y223+Y229+Y235+Y239+Y245+Y249+Y256+Y260+Y266+Y279,"0")</f>
        <v>13638.64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373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14812.0236</v>
      </c>
      <c r="Y281" s="280">
        <f>IFERROR(SUM(BN22:BN277),"0")</f>
        <v>14812.0236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374</v>
      </c>
      <c r="Q282" s="329"/>
      <c r="R282" s="329"/>
      <c r="S282" s="329"/>
      <c r="T282" s="329"/>
      <c r="U282" s="329"/>
      <c r="V282" s="330"/>
      <c r="W282" s="38" t="s">
        <v>375</v>
      </c>
      <c r="X282" s="39">
        <f>ROUNDUP(SUM(BO22:BO277),0)</f>
        <v>36</v>
      </c>
      <c r="Y282" s="39">
        <f>ROUNDUP(SUM(BP22:BP277),0)</f>
        <v>36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376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15712.0236</v>
      </c>
      <c r="Y283" s="280">
        <f>GrossWeightTotalR+PalletQtyTotalR*25</f>
        <v>15712.0236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377</v>
      </c>
      <c r="Q284" s="329"/>
      <c r="R284" s="329"/>
      <c r="S284" s="329"/>
      <c r="T284" s="329"/>
      <c r="U284" s="329"/>
      <c r="V284" s="330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3510</v>
      </c>
      <c r="Y284" s="280">
        <f>IFERROR(Y30+Y36+Y43+Y49+Y57+Y62+Y67+Y73+Y79+Y84+Y90+Y100+Y106+Y118+Y122+Y126+Y134+Y140+Y146+Y152+Y158+Y163+Y168+Y173+Y180+Y185+Y194+Y200+Y206+Y212+Y217+Y222+Y228+Y234+Y238+Y244+Y248+Y255+Y259+Y265+Y278,"0")</f>
        <v>3510</v>
      </c>
      <c r="Z284" s="38"/>
      <c r="AA284" s="281"/>
      <c r="AB284" s="281"/>
      <c r="AC284" s="281"/>
    </row>
    <row r="285" spans="1:68" ht="14.25" hidden="1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378</v>
      </c>
      <c r="Q285" s="329"/>
      <c r="R285" s="329"/>
      <c r="S285" s="329"/>
      <c r="T285" s="329"/>
      <c r="U285" s="329"/>
      <c r="V285" s="330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46.062739999999998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257</v>
      </c>
      <c r="W287" s="313"/>
      <c r="X287" s="275" t="s">
        <v>268</v>
      </c>
      <c r="Y287" s="285" t="s">
        <v>282</v>
      </c>
      <c r="Z287" s="378"/>
      <c r="AA287" s="378"/>
      <c r="AB287" s="31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2" t="s">
        <v>381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177</v>
      </c>
      <c r="M288" s="285" t="s">
        <v>183</v>
      </c>
      <c r="N288" s="276"/>
      <c r="O288" s="285" t="s">
        <v>210</v>
      </c>
      <c r="P288" s="285" t="s">
        <v>228</v>
      </c>
      <c r="Q288" s="285" t="s">
        <v>234</v>
      </c>
      <c r="R288" s="285" t="s">
        <v>241</v>
      </c>
      <c r="S288" s="285" t="s">
        <v>246</v>
      </c>
      <c r="T288" s="285" t="s">
        <v>250</v>
      </c>
      <c r="U288" s="285" t="s">
        <v>253</v>
      </c>
      <c r="V288" s="285" t="s">
        <v>258</v>
      </c>
      <c r="W288" s="285" t="s">
        <v>265</v>
      </c>
      <c r="X288" s="285" t="s">
        <v>269</v>
      </c>
      <c r="Y288" s="285" t="s">
        <v>283</v>
      </c>
      <c r="Z288" s="285" t="s">
        <v>296</v>
      </c>
      <c r="AA288" s="285" t="s">
        <v>303</v>
      </c>
      <c r="AB288" s="285" t="s">
        <v>307</v>
      </c>
      <c r="AC288" s="285" t="s">
        <v>312</v>
      </c>
      <c r="AD288" s="285" t="s">
        <v>317</v>
      </c>
      <c r="AE288" s="285" t="s">
        <v>324</v>
      </c>
      <c r="AF288" s="285" t="s">
        <v>331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470.4</v>
      </c>
      <c r="C290" s="47">
        <f>IFERROR(X34*H34,"0")+IFERROR(X35*H35,"0")</f>
        <v>0</v>
      </c>
      <c r="D290" s="47">
        <f>IFERROR(X41*H41,"0")+IFERROR(X42*H42,"0")</f>
        <v>252</v>
      </c>
      <c r="E290" s="47">
        <f>IFERROR(X47*H47,"0")+IFERROR(X48*H48,"0")</f>
        <v>201.59999999999997</v>
      </c>
      <c r="F290" s="47">
        <f>IFERROR(X53*H53,"0")+IFERROR(X54*H54,"0")+IFERROR(X55*H55,"0")+IFERROR(X56*H56,"0")</f>
        <v>504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1560</v>
      </c>
      <c r="I290" s="47">
        <f>IFERROR(X83*H83,"0")</f>
        <v>0</v>
      </c>
      <c r="J290" s="47">
        <f>IFERROR(X88*H88,"0")+IFERROR(X89*H89,"0")</f>
        <v>252</v>
      </c>
      <c r="K290" s="47">
        <f>IFERROR(X94*H94,"0")+IFERROR(X95*H95,"0")+IFERROR(X96*H96,"0")+IFERROR(X97*H97,"0")+IFERROR(X98*H98,"0")+IFERROR(X99*H99,"0")</f>
        <v>690.4799999999999</v>
      </c>
      <c r="L290" s="47">
        <f>IFERROR(X104*H104,"0")+IFERROR(X105*H105,"0")</f>
        <v>30.240000000000002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617.76</v>
      </c>
      <c r="N290" s="276"/>
      <c r="O290" s="47">
        <f>IFERROR(X130*H130,"0")+IFERROR(X131*H131,"0")+IFERROR(X132*H132,"0")+IFERROR(X133*H133,"0")+IFERROR(X137*H137,"0")+IFERROR(X138*H138,"0")+IFERROR(X139*H139,"0")</f>
        <v>785.4</v>
      </c>
      <c r="P290" s="47">
        <f>IFERROR(X144*H144,"0")+IFERROR(X145*H145,"0")</f>
        <v>0</v>
      </c>
      <c r="Q290" s="47">
        <f>IFERROR(X150*H150,"0")+IFERROR(X151*H151,"0")</f>
        <v>84</v>
      </c>
      <c r="R290" s="47">
        <f>IFERROR(X156*H156,"0")+IFERROR(X157*H157,"0")</f>
        <v>168</v>
      </c>
      <c r="S290" s="47">
        <f>IFERROR(X162*H162,"0")</f>
        <v>84</v>
      </c>
      <c r="T290" s="47">
        <f>IFERROR(X167*H167,"0")</f>
        <v>0</v>
      </c>
      <c r="U290" s="47">
        <f>IFERROR(X172*H172,"0")</f>
        <v>141.12</v>
      </c>
      <c r="V290" s="47">
        <f>IFERROR(X178*H178,"0")+IFERROR(X179*H179,"0")</f>
        <v>240</v>
      </c>
      <c r="W290" s="47">
        <f>IFERROR(X184*H184,"0")</f>
        <v>600</v>
      </c>
      <c r="X290" s="47">
        <f>IFERROR(X190*H190,"0")+IFERROR(X191*H191,"0")+IFERROR(X192*H192,"0")+IFERROR(X193*H193,"0")</f>
        <v>294</v>
      </c>
      <c r="Y290" s="47">
        <f>IFERROR(X199*H199,"0")+IFERROR(X203*H203,"0")+IFERROR(X204*H204,"0")+IFERROR(X205*H205,"0")</f>
        <v>38.64</v>
      </c>
      <c r="Z290" s="47">
        <f>IFERROR(X210*H210,"0")+IFERROR(X211*H211,"0")</f>
        <v>0</v>
      </c>
      <c r="AA290" s="47">
        <f>IFERROR(X216*H216,"0")</f>
        <v>780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5845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5020.8</v>
      </c>
      <c r="B293" s="60">
        <f>SUMPRODUCT(--(BB:BB="ПГП"),--(W:W="кор"),H:H,Y:Y)+SUMPRODUCT(--(BB:BB="ПГП"),--(W:W="кг"),Y:Y)</f>
        <v>8617.84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3,20"/>
        <filter val="1 440,00"/>
        <filter val="1 560,00"/>
        <filter val="112,00"/>
        <filter val="12,00"/>
        <filter val="120,00"/>
        <filter val="126,00"/>
        <filter val="13 638,64"/>
        <filter val="14 812,02"/>
        <filter val="14,00"/>
        <filter val="141,12"/>
        <filter val="15 712,02"/>
        <filter val="154,00"/>
        <filter val="156,00"/>
        <filter val="168,00"/>
        <filter val="201,60"/>
        <filter val="224,00"/>
        <filter val="238,00"/>
        <filter val="24,00"/>
        <filter val="240,00"/>
        <filter val="252,00"/>
        <filter val="28,00"/>
        <filter val="294,00"/>
        <filter val="3 217,80"/>
        <filter val="3 510,00"/>
        <filter val="30,24"/>
        <filter val="312,00"/>
        <filter val="322,00"/>
        <filter val="36"/>
        <filter val="36,00"/>
        <filter val="36,96"/>
        <filter val="38,64"/>
        <filter val="42,00"/>
        <filter val="470,40"/>
        <filter val="48,00"/>
        <filter val="504,00"/>
        <filter val="56,00"/>
        <filter val="574,00"/>
        <filter val="580,80"/>
        <filter val="60,00"/>
        <filter val="600,00"/>
        <filter val="636,00"/>
        <filter val="650,00"/>
        <filter val="690,48"/>
        <filter val="70,00"/>
        <filter val="72,00"/>
        <filter val="780,00"/>
        <filter val="785,40"/>
        <filter val="84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