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10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6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887" fillId="0" borderId="11" applyAlignment="1" applyProtection="1" pivotButton="0" quotePrefix="0" xfId="0">
      <alignment wrapText="1"/>
      <protection locked="1" hidden="1"/>
    </xf>
    <xf numFmtId="0" fontId="888" fillId="0" borderId="0" pivotButton="0" quotePrefix="0" xfId="0"/>
    <xf numFmtId="0" fontId="890" fillId="0" borderId="11" applyAlignment="1" applyProtection="1" pivotButton="0" quotePrefix="0" xfId="0">
      <alignment wrapText="1"/>
      <protection locked="1" hidden="1"/>
    </xf>
    <xf numFmtId="0" fontId="891" fillId="0" borderId="0" pivotButton="0" quotePrefix="0" xfId="0"/>
    <xf numFmtId="0" fontId="893" fillId="0" borderId="11" applyAlignment="1" applyProtection="1" pivotButton="0" quotePrefix="0" xfId="0">
      <alignment wrapText="1"/>
      <protection locked="1" hidden="1"/>
    </xf>
    <xf numFmtId="0" fontId="894" fillId="0" borderId="0" pivotButton="0" quotePrefix="0" xfId="0"/>
    <xf numFmtId="0" fontId="896" fillId="0" borderId="11" applyAlignment="1" applyProtection="1" pivotButton="0" quotePrefix="0" xfId="0">
      <alignment wrapText="1"/>
      <protection locked="1" hidden="1"/>
    </xf>
    <xf numFmtId="0" fontId="897" fillId="0" borderId="0" pivotButton="0" quotePrefix="0" xfId="0"/>
    <xf numFmtId="0" fontId="899" fillId="0" borderId="11" applyAlignment="1" applyProtection="1" pivotButton="0" quotePrefix="0" xfId="0">
      <alignment wrapText="1"/>
      <protection locked="1" hidden="1"/>
    </xf>
    <xf numFmtId="0" fontId="900" fillId="0" borderId="0" pivotButton="0" quotePrefix="0" xfId="0"/>
    <xf numFmtId="0" fontId="902" fillId="0" borderId="11" applyAlignment="1" applyProtection="1" pivotButton="0" quotePrefix="0" xfId="0">
      <alignment wrapText="1"/>
      <protection locked="1" hidden="1"/>
    </xf>
    <xf numFmtId="0" fontId="903" fillId="0" borderId="0" pivotButton="0" quotePrefix="0" xfId="0"/>
    <xf numFmtId="0" fontId="905" fillId="0" borderId="11" applyAlignment="1" applyProtection="1" pivotButton="0" quotePrefix="0" xfId="0">
      <alignment wrapText="1"/>
      <protection locked="1" hidden="1"/>
    </xf>
    <xf numFmtId="0" fontId="906" fillId="0" borderId="0" pivotButton="0" quotePrefix="0" xfId="0"/>
    <xf numFmtId="0" fontId="908" fillId="0" borderId="11" applyAlignment="1" applyProtection="1" pivotButton="0" quotePrefix="0" xfId="0">
      <alignment wrapText="1"/>
      <protection locked="1" hidden="1"/>
    </xf>
    <xf numFmtId="0" fontId="909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886" fillId="0" borderId="45" applyAlignment="1" pivotButton="0" quotePrefix="0" xfId="0">
      <alignment horizontal="left" vertical="center" wrapText="1"/>
    </xf>
    <xf numFmtId="0" fontId="889" fillId="0" borderId="45" applyAlignment="1" pivotButton="0" quotePrefix="0" xfId="0">
      <alignment horizontal="left" vertical="center" wrapText="1"/>
    </xf>
    <xf numFmtId="0" fontId="892" fillId="0" borderId="45" applyAlignment="1" pivotButton="0" quotePrefix="0" xfId="0">
      <alignment horizontal="left" vertical="center" wrapText="1"/>
    </xf>
    <xf numFmtId="0" fontId="895" fillId="0" borderId="45" applyAlignment="1" pivotButton="0" quotePrefix="0" xfId="0">
      <alignment horizontal="left" vertical="center" wrapText="1"/>
    </xf>
    <xf numFmtId="0" fontId="898" fillId="0" borderId="45" applyAlignment="1" pivotButton="0" quotePrefix="0" xfId="0">
      <alignment horizontal="left" vertical="center" wrapText="1"/>
    </xf>
    <xf numFmtId="0" fontId="901" fillId="0" borderId="45" applyAlignment="1" pivotButton="0" quotePrefix="0" xfId="0">
      <alignment horizontal="left" vertical="center" wrapText="1"/>
    </xf>
    <xf numFmtId="0" fontId="904" fillId="0" borderId="45" applyAlignment="1" pivotButton="0" quotePrefix="0" xfId="0">
      <alignment horizontal="left" vertical="center" wrapText="1"/>
    </xf>
    <xf numFmtId="0" fontId="907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886" fillId="0" borderId="53" applyAlignment="1" pivotButton="0" quotePrefix="0" xfId="0">
      <alignment horizontal="left" vertical="center" wrapText="1"/>
    </xf>
    <xf numFmtId="0" fontId="889" fillId="0" borderId="53" applyAlignment="1" pivotButton="0" quotePrefix="0" xfId="0">
      <alignment horizontal="left" vertical="center" wrapText="1"/>
    </xf>
    <xf numFmtId="0" fontId="892" fillId="0" borderId="53" applyAlignment="1" pivotButton="0" quotePrefix="0" xfId="0">
      <alignment horizontal="left" vertical="center" wrapText="1"/>
    </xf>
    <xf numFmtId="0" fontId="895" fillId="0" borderId="53" applyAlignment="1" pivotButton="0" quotePrefix="0" xfId="0">
      <alignment horizontal="left" vertical="center" wrapText="1"/>
    </xf>
    <xf numFmtId="0" fontId="898" fillId="0" borderId="53" applyAlignment="1" pivotButton="0" quotePrefix="0" xfId="0">
      <alignment horizontal="left" vertical="center" wrapText="1"/>
    </xf>
    <xf numFmtId="0" fontId="901" fillId="0" borderId="53" applyAlignment="1" pivotButton="0" quotePrefix="0" xfId="0">
      <alignment horizontal="left" vertical="center" wrapText="1"/>
    </xf>
    <xf numFmtId="0" fontId="904" fillId="0" borderId="53" applyAlignment="1" pivotButton="0" quotePrefix="0" xfId="0">
      <alignment horizontal="left" vertical="center" wrapText="1"/>
    </xf>
    <xf numFmtId="0" fontId="907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67"/>
  <sheetViews>
    <sheetView showGridLines="0" tabSelected="1" zoomScaleNormal="100" zoomScaleSheetLayoutView="100" workbookViewId="0">
      <selection activeCell="AA22" sqref="AA22"/>
    </sheetView>
  </sheetViews>
  <sheetFormatPr baseColWidth="8" defaultColWidth="9.140625" defaultRowHeight="12.75"/>
  <cols>
    <col width="9.140625" customWidth="1" style="101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1019" min="18" max="18"/>
    <col width="6.140625" customWidth="1" style="101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1019" min="24" max="24"/>
    <col width="11" customWidth="1" style="1019" min="25" max="25"/>
    <col width="10" customWidth="1" style="1019" min="26" max="26"/>
    <col width="11.5703125" customWidth="1" style="1019" min="27" max="27"/>
    <col width="10.42578125" customWidth="1" style="1019" min="28" max="28"/>
    <col width="30" customWidth="1" style="101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1019" min="33" max="33"/>
    <col width="9.140625" customWidth="1" style="1019" min="34" max="16384"/>
  </cols>
  <sheetData>
    <row r="1" ht="45" customFormat="1" customHeight="1" s="692">
      <c r="A1" s="47" t="n"/>
      <c r="B1" s="47" t="n"/>
      <c r="C1" s="47" t="n"/>
      <c r="D1" s="652" t="inlineStr">
        <is>
          <t xml:space="preserve">  БЛАНК ЗАКАЗА </t>
        </is>
      </c>
      <c r="G1" s="14" t="inlineStr">
        <is>
          <t>КИ</t>
        </is>
      </c>
      <c r="H1" s="652" t="inlineStr">
        <is>
          <t>на отгрузку продукции с ООО Трейд-Сервис с</t>
        </is>
      </c>
      <c r="R1" s="653" t="inlineStr">
        <is>
          <t>28.09.2026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92">
      <c r="A2" s="34" t="inlineStr">
        <is>
          <t>бланк создан</t>
        </is>
      </c>
      <c r="B2" s="35" t="inlineStr">
        <is>
          <t>22.09.2026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5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9" t="n"/>
      <c r="R2" s="1019" t="n"/>
      <c r="S2" s="1019" t="n"/>
      <c r="T2" s="1019" t="n"/>
      <c r="U2" s="1019" t="n"/>
      <c r="V2" s="1019" t="n"/>
      <c r="W2" s="101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92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1019" t="n"/>
      <c r="Q3" s="1019" t="n"/>
      <c r="R3" s="1019" t="n"/>
      <c r="S3" s="1019" t="n"/>
      <c r="T3" s="1019" t="n"/>
      <c r="U3" s="1019" t="n"/>
      <c r="V3" s="1019" t="n"/>
      <c r="W3" s="101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92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92">
      <c r="A5" s="656" t="inlineStr">
        <is>
          <t xml:space="preserve">Ваш контактный телефон и имя: </t>
        </is>
      </c>
      <c r="B5" s="1022" t="n"/>
      <c r="C5" s="1023" t="n"/>
      <c r="D5" s="657" t="n"/>
      <c r="E5" s="1024" t="n"/>
      <c r="F5" s="658" t="inlineStr">
        <is>
          <t>Комментарий к заказу:</t>
        </is>
      </c>
      <c r="G5" s="1023" t="n"/>
      <c r="H5" s="657" t="n"/>
      <c r="I5" s="1025" t="n"/>
      <c r="J5" s="1025" t="n"/>
      <c r="K5" s="1025" t="n"/>
      <c r="L5" s="1025" t="n"/>
      <c r="M5" s="1024" t="n"/>
      <c r="N5" s="72" t="n"/>
      <c r="P5" s="29" t="inlineStr">
        <is>
          <t>Дата загрузки</t>
        </is>
      </c>
      <c r="Q5" s="1026" t="n">
        <v>46291</v>
      </c>
      <c r="R5" s="1027" t="n"/>
      <c r="T5" s="661" t="inlineStr">
        <is>
          <t>Способ доставки (доставка/самовывоз)</t>
        </is>
      </c>
      <c r="U5" s="1028" t="n"/>
      <c r="V5" s="1029" t="inlineStr">
        <is>
          <t>Самовывоз</t>
        </is>
      </c>
      <c r="W5" s="1027" t="n"/>
      <c r="AB5" s="59" t="n"/>
      <c r="AC5" s="59" t="n"/>
      <c r="AD5" s="59" t="n"/>
      <c r="AE5" s="59" t="n"/>
    </row>
    <row r="6" ht="24" customFormat="1" customHeight="1" s="692">
      <c r="A6" s="656" t="inlineStr">
        <is>
          <t>Адрес доставки:</t>
        </is>
      </c>
      <c r="B6" s="1022" t="n"/>
      <c r="C6" s="1023" t="n"/>
      <c r="D6" s="664" t="n"/>
      <c r="E6" s="1030" t="n"/>
      <c r="F6" s="1030" t="n"/>
      <c r="G6" s="1030" t="n"/>
      <c r="H6" s="1030" t="n"/>
      <c r="I6" s="1030" t="n"/>
      <c r="J6" s="1030" t="n"/>
      <c r="K6" s="1030" t="n"/>
      <c r="L6" s="1030" t="n"/>
      <c r="M6" s="1027" t="n"/>
      <c r="N6" s="73" t="n"/>
      <c r="P6" s="29" t="inlineStr">
        <is>
          <t>День недели</t>
        </is>
      </c>
      <c r="Q6" s="665">
        <f>IF(Q5=0," ",CHOOSE(WEEKDAY(Q5,2),"Понедельник","Вторник","Среда","Четверг","Пятница","Суббота","Воскресенье"))</f>
        <v/>
      </c>
      <c r="R6" s="1031" t="n"/>
      <c r="T6" s="667" t="inlineStr">
        <is>
          <t>Наименование клиента</t>
        </is>
      </c>
      <c r="U6" s="1028" t="n"/>
      <c r="V6" s="1032" t="inlineStr">
        <is>
          <t>ОБЩЕСТВО С ОГРАНИЧЕННОЙ ОТВЕТСТВЕННОСТЬЮ "НОВОЕ ВРЕМЯ"</t>
        </is>
      </c>
      <c r="W6" s="1033" t="n"/>
      <c r="AB6" s="59" t="n"/>
      <c r="AC6" s="59" t="n"/>
      <c r="AD6" s="59" t="n"/>
      <c r="AE6" s="59" t="n"/>
    </row>
    <row r="7" hidden="1" ht="21.75" customFormat="1" customHeight="1" s="692">
      <c r="A7" s="64" t="n"/>
      <c r="B7" s="64" t="n"/>
      <c r="C7" s="64" t="n"/>
      <c r="D7" s="1034">
        <f>IFERROR(VLOOKUP(DeliveryAddress,Table,3,0),1)</f>
        <v/>
      </c>
      <c r="E7" s="1035" t="n"/>
      <c r="F7" s="1035" t="n"/>
      <c r="G7" s="1035" t="n"/>
      <c r="H7" s="1035" t="n"/>
      <c r="I7" s="1035" t="n"/>
      <c r="J7" s="1035" t="n"/>
      <c r="K7" s="1035" t="n"/>
      <c r="L7" s="1035" t="n"/>
      <c r="M7" s="1036" t="n"/>
      <c r="N7" s="74" t="n"/>
      <c r="P7" s="29" t="n"/>
      <c r="Q7" s="48" t="n"/>
      <c r="R7" s="48" t="n"/>
      <c r="T7" s="1019" t="n"/>
      <c r="U7" s="1028" t="n"/>
      <c r="V7" s="1037" t="n"/>
      <c r="W7" s="1038" t="n"/>
      <c r="AB7" s="59" t="n"/>
      <c r="AC7" s="59" t="n"/>
      <c r="AD7" s="59" t="n"/>
      <c r="AE7" s="59" t="n"/>
    </row>
    <row r="8" ht="25.5" customFormat="1" customHeight="1" s="692">
      <c r="A8" s="677" t="inlineStr">
        <is>
          <t>Адрес сдачи груза:</t>
        </is>
      </c>
      <c r="B8" s="1039" t="n"/>
      <c r="C8" s="1040" t="n"/>
      <c r="D8" s="678" t="n"/>
      <c r="E8" s="1041" t="n"/>
      <c r="F8" s="1041" t="n"/>
      <c r="G8" s="1041" t="n"/>
      <c r="H8" s="1041" t="n"/>
      <c r="I8" s="1041" t="n"/>
      <c r="J8" s="1041" t="n"/>
      <c r="K8" s="1041" t="n"/>
      <c r="L8" s="1041" t="n"/>
      <c r="M8" s="1042" t="n"/>
      <c r="N8" s="75" t="n"/>
      <c r="P8" s="29" t="inlineStr">
        <is>
          <t>Время загрузки</t>
        </is>
      </c>
      <c r="Q8" s="679" t="n">
        <v>0.4166666666666667</v>
      </c>
      <c r="R8" s="1036" t="n"/>
      <c r="T8" s="1019" t="n"/>
      <c r="U8" s="1028" t="n"/>
      <c r="V8" s="1037" t="n"/>
      <c r="W8" s="1038" t="n"/>
      <c r="AB8" s="59" t="n"/>
      <c r="AC8" s="59" t="n"/>
      <c r="AD8" s="59" t="n"/>
      <c r="AE8" s="59" t="n"/>
    </row>
    <row r="9" ht="39.95" customFormat="1" customHeight="1" s="692">
      <c r="A9" s="680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19" t="n"/>
      <c r="C9" s="1019" t="n"/>
      <c r="D9" s="681" t="inlineStr"/>
      <c r="E9" s="3" t="n"/>
      <c r="F9" s="680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19" t="n"/>
      <c r="H9" s="683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83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83" t="n"/>
      <c r="P9" s="31" t="inlineStr">
        <is>
          <t>Дата доставки</t>
        </is>
      </c>
      <c r="Q9" s="1043" t="n"/>
      <c r="R9" s="1044" t="n"/>
      <c r="T9" s="1019" t="n"/>
      <c r="U9" s="1028" t="n"/>
      <c r="V9" s="1045" t="n"/>
      <c r="W9" s="1046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92">
      <c r="A10" s="680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19" t="n"/>
      <c r="C10" s="1019" t="n"/>
      <c r="D10" s="681" t="n"/>
      <c r="E10" s="3" t="n"/>
      <c r="F10" s="680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19" t="n"/>
      <c r="H10" s="685">
        <f>IFERROR(VLOOKUP($D$10,Proxy,2,FALSE),"")</f>
        <v/>
      </c>
      <c r="I10" s="1019" t="n"/>
      <c r="J10" s="1019" t="n"/>
      <c r="K10" s="1019" t="n"/>
      <c r="L10" s="1019" t="n"/>
      <c r="M10" s="1019" t="n"/>
      <c r="N10" s="685" t="n"/>
      <c r="P10" s="31" t="inlineStr">
        <is>
          <t>Время доставки</t>
        </is>
      </c>
      <c r="Q10" s="686" t="n"/>
      <c r="R10" s="1047" t="n"/>
      <c r="U10" s="29" t="inlineStr">
        <is>
          <t>КОД Аксапты Клиента</t>
        </is>
      </c>
      <c r="V10" s="1048" t="inlineStr">
        <is>
          <t>596383</t>
        </is>
      </c>
      <c r="W10" s="1033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92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89" t="n"/>
      <c r="R11" s="1027" t="n"/>
      <c r="U11" s="29" t="inlineStr">
        <is>
          <t>Тип заказа</t>
        </is>
      </c>
      <c r="V11" s="690" t="inlineStr">
        <is>
          <t>Основной заказ</t>
        </is>
      </c>
      <c r="W11" s="1044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92">
      <c r="A12" s="691" t="inlineStr">
        <is>
          <t>Телефоны для заказов: 8(919)002-63-01  E-mail: kolbasa@abi.ru
Телефон сотрудников склада: 8 (910) 775-52-91</t>
        </is>
      </c>
      <c r="B12" s="1022" t="n"/>
      <c r="C12" s="1022" t="n"/>
      <c r="D12" s="1022" t="n"/>
      <c r="E12" s="1022" t="n"/>
      <c r="F12" s="1022" t="n"/>
      <c r="G12" s="1022" t="n"/>
      <c r="H12" s="1022" t="n"/>
      <c r="I12" s="1022" t="n"/>
      <c r="J12" s="1022" t="n"/>
      <c r="K12" s="1022" t="n"/>
      <c r="L12" s="1022" t="n"/>
      <c r="M12" s="1023" t="n"/>
      <c r="N12" s="76" t="n"/>
      <c r="P12" s="29" t="inlineStr">
        <is>
          <t>Время доставки 3 машины</t>
        </is>
      </c>
      <c r="Q12" s="679" t="n"/>
      <c r="R12" s="1036" t="n"/>
      <c r="S12" s="28" t="n"/>
      <c r="U12" s="29" t="inlineStr"/>
      <c r="V12" s="692" t="n"/>
      <c r="W12" s="1019" t="n"/>
      <c r="AB12" s="59" t="n"/>
      <c r="AC12" s="59" t="n"/>
      <c r="AD12" s="59" t="n"/>
      <c r="AE12" s="59" t="n"/>
    </row>
    <row r="13" ht="23.25" customFormat="1" customHeight="1" s="692">
      <c r="A13" s="691" t="inlineStr">
        <is>
          <t>График приема заказов: Заказы принимаются за ДВА дня до отгрузки Пн-Пт: с 9:00 до 14:00, Суб., Вс. - до 12:00</t>
        </is>
      </c>
      <c r="B13" s="1022" t="n"/>
      <c r="C13" s="1022" t="n"/>
      <c r="D13" s="1022" t="n"/>
      <c r="E13" s="1022" t="n"/>
      <c r="F13" s="1022" t="n"/>
      <c r="G13" s="1022" t="n"/>
      <c r="H13" s="1022" t="n"/>
      <c r="I13" s="1022" t="n"/>
      <c r="J13" s="1022" t="n"/>
      <c r="K13" s="1022" t="n"/>
      <c r="L13" s="1022" t="n"/>
      <c r="M13" s="1023" t="n"/>
      <c r="N13" s="76" t="n"/>
      <c r="O13" s="31" t="n"/>
      <c r="P13" s="31" t="inlineStr">
        <is>
          <t>Время доставки 4 машины</t>
        </is>
      </c>
      <c r="Q13" s="690" t="n"/>
      <c r="R13" s="1044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92">
      <c r="A14" s="691" t="inlineStr">
        <is>
          <t>Телефон менеджера по логистике: 8 (919) 012-30-55 - по вопросам доставки продукции</t>
        </is>
      </c>
      <c r="B14" s="1022" t="n"/>
      <c r="C14" s="1022" t="n"/>
      <c r="D14" s="1022" t="n"/>
      <c r="E14" s="1022" t="n"/>
      <c r="F14" s="1022" t="n"/>
      <c r="G14" s="1022" t="n"/>
      <c r="H14" s="1022" t="n"/>
      <c r="I14" s="1022" t="n"/>
      <c r="J14" s="1022" t="n"/>
      <c r="K14" s="1022" t="n"/>
      <c r="L14" s="1022" t="n"/>
      <c r="M14" s="1023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92">
      <c r="A15" s="693" t="inlineStr">
        <is>
          <t>Телефон по работе с претензиями/жалобами (WhatSapp): 8 (980) 757-69-93       E-mail: Claims@abiproduct.ru</t>
        </is>
      </c>
      <c r="B15" s="1022" t="n"/>
      <c r="C15" s="1022" t="n"/>
      <c r="D15" s="1022" t="n"/>
      <c r="E15" s="1022" t="n"/>
      <c r="F15" s="1022" t="n"/>
      <c r="G15" s="1022" t="n"/>
      <c r="H15" s="1022" t="n"/>
      <c r="I15" s="1022" t="n"/>
      <c r="J15" s="1022" t="n"/>
      <c r="K15" s="1022" t="n"/>
      <c r="L15" s="1022" t="n"/>
      <c r="M15" s="1023" t="n"/>
      <c r="N15" s="77" t="n"/>
      <c r="P15" s="695" t="inlineStr">
        <is>
          <t>Кликните на продукт, чтобы просмотреть изображение</t>
        </is>
      </c>
      <c r="X15" s="692" t="n"/>
      <c r="Y15" s="692" t="n"/>
      <c r="Z15" s="692" t="n"/>
      <c r="AA15" s="692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49" t="n"/>
      <c r="Q16" s="1049" t="n"/>
      <c r="R16" s="1049" t="n"/>
      <c r="S16" s="1049" t="n"/>
      <c r="T16" s="1049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50" t="inlineStr">
        <is>
          <t>Код единицы продаж</t>
        </is>
      </c>
      <c r="B17" s="1050" t="inlineStr">
        <is>
          <t>Код продукта</t>
        </is>
      </c>
      <c r="C17" s="1051" t="inlineStr">
        <is>
          <t>Номер варианта</t>
        </is>
      </c>
      <c r="D17" s="1050" t="inlineStr">
        <is>
          <t xml:space="preserve">Штрих-код </t>
        </is>
      </c>
      <c r="E17" s="1052" t="n"/>
      <c r="F17" s="1050" t="inlineStr">
        <is>
          <t>Вес нетто штуки, кг</t>
        </is>
      </c>
      <c r="G17" s="1050" t="inlineStr">
        <is>
          <t>Кол-во штук в коробе, шт</t>
        </is>
      </c>
      <c r="H17" s="1050" t="inlineStr">
        <is>
          <t>Вес нетто короба, кг</t>
        </is>
      </c>
      <c r="I17" s="1050" t="inlineStr">
        <is>
          <t>Вес брутто короба, кг</t>
        </is>
      </c>
      <c r="J17" s="1050" t="inlineStr">
        <is>
          <t>Кол-во кор. на паллте, шт</t>
        </is>
      </c>
      <c r="K17" s="1050" t="inlineStr">
        <is>
          <t>Коробов в слое</t>
        </is>
      </c>
      <c r="L17" s="1050" t="inlineStr">
        <is>
          <t>Квант заказа</t>
        </is>
      </c>
      <c r="M17" s="1050" t="inlineStr">
        <is>
          <t>Завод</t>
        </is>
      </c>
      <c r="N17" s="1050" t="inlineStr">
        <is>
          <t>Внешний код номенклатуры</t>
        </is>
      </c>
      <c r="O17" s="1050" t="inlineStr">
        <is>
          <t>Срок годности, сут.</t>
        </is>
      </c>
      <c r="P17" s="1050" t="inlineStr">
        <is>
          <t>Наименование</t>
        </is>
      </c>
      <c r="Q17" s="1053" t="n"/>
      <c r="R17" s="1053" t="n"/>
      <c r="S17" s="1053" t="n"/>
      <c r="T17" s="1052" t="n"/>
      <c r="U17" s="83" t="inlineStr">
        <is>
          <t>Доступно к отгрузке</t>
        </is>
      </c>
      <c r="V17" s="1023" t="n"/>
      <c r="W17" s="1050" t="inlineStr">
        <is>
          <t>Ед. изм.</t>
        </is>
      </c>
      <c r="X17" s="1050" t="inlineStr">
        <is>
          <t>Заказ</t>
        </is>
      </c>
      <c r="Y17" s="1054" t="inlineStr">
        <is>
          <t>Заказ с округлением до короба</t>
        </is>
      </c>
      <c r="Z17" s="1055" t="inlineStr">
        <is>
          <t>Объём заказа, м3</t>
        </is>
      </c>
      <c r="AA17" s="1056" t="inlineStr">
        <is>
          <t>Примечание по продуктку</t>
        </is>
      </c>
      <c r="AB17" s="1056" t="inlineStr">
        <is>
          <t>Признак "НОВИНКА"</t>
        </is>
      </c>
      <c r="AC17" s="1056" t="inlineStr">
        <is>
          <t>Декларация/Сертификат</t>
        </is>
      </c>
      <c r="AD17" s="1056" t="inlineStr">
        <is>
          <t>Для формул</t>
        </is>
      </c>
      <c r="AE17" s="1057" t="n"/>
      <c r="AF17" s="1058" t="n"/>
      <c r="AG17" s="82" t="n"/>
      <c r="BD17" s="81" t="inlineStr">
        <is>
          <t>Вид продукции</t>
        </is>
      </c>
    </row>
    <row r="18" ht="14.25" customHeight="1">
      <c r="A18" s="1059" t="n"/>
      <c r="B18" s="1059" t="n"/>
      <c r="C18" s="1059" t="n"/>
      <c r="D18" s="1060" t="n"/>
      <c r="E18" s="1061" t="n"/>
      <c r="F18" s="1059" t="n"/>
      <c r="G18" s="1059" t="n"/>
      <c r="H18" s="1059" t="n"/>
      <c r="I18" s="1059" t="n"/>
      <c r="J18" s="1059" t="n"/>
      <c r="K18" s="1059" t="n"/>
      <c r="L18" s="1059" t="n"/>
      <c r="M18" s="1059" t="n"/>
      <c r="N18" s="1059" t="n"/>
      <c r="O18" s="1059" t="n"/>
      <c r="P18" s="1060" t="n"/>
      <c r="Q18" s="1062" t="n"/>
      <c r="R18" s="1062" t="n"/>
      <c r="S18" s="1062" t="n"/>
      <c r="T18" s="1061" t="n"/>
      <c r="U18" s="83" t="inlineStr">
        <is>
          <t>начиная с</t>
        </is>
      </c>
      <c r="V18" s="83" t="inlineStr">
        <is>
          <t>до</t>
        </is>
      </c>
      <c r="W18" s="1059" t="n"/>
      <c r="X18" s="1059" t="n"/>
      <c r="Y18" s="1063" t="n"/>
      <c r="Z18" s="1064" t="n"/>
      <c r="AA18" s="1065" t="n"/>
      <c r="AB18" s="1065" t="n"/>
      <c r="AC18" s="1065" t="n"/>
      <c r="AD18" s="1066" t="n"/>
      <c r="AE18" s="1067" t="n"/>
      <c r="AF18" s="1068" t="n"/>
      <c r="AG18" s="82" t="n"/>
      <c r="BD18" s="81" t="n"/>
    </row>
    <row r="19" ht="27.75" customHeight="1">
      <c r="A19" s="720" t="inlineStr">
        <is>
          <t>Ядрена копоть</t>
        </is>
      </c>
      <c r="B19" s="1069" t="n"/>
      <c r="C19" s="1069" t="n"/>
      <c r="D19" s="1069" t="n"/>
      <c r="E19" s="1069" t="n"/>
      <c r="F19" s="1069" t="n"/>
      <c r="G19" s="1069" t="n"/>
      <c r="H19" s="1069" t="n"/>
      <c r="I19" s="1069" t="n"/>
      <c r="J19" s="1069" t="n"/>
      <c r="K19" s="1069" t="n"/>
      <c r="L19" s="1069" t="n"/>
      <c r="M19" s="1069" t="n"/>
      <c r="N19" s="1069" t="n"/>
      <c r="O19" s="1069" t="n"/>
      <c r="P19" s="1069" t="n"/>
      <c r="Q19" s="1069" t="n"/>
      <c r="R19" s="1069" t="n"/>
      <c r="S19" s="1069" t="n"/>
      <c r="T19" s="1069" t="n"/>
      <c r="U19" s="1069" t="n"/>
      <c r="V19" s="1069" t="n"/>
      <c r="W19" s="1069" t="n"/>
      <c r="X19" s="1069" t="n"/>
      <c r="Y19" s="1069" t="n"/>
      <c r="Z19" s="1069" t="n"/>
      <c r="AA19" s="54" t="n"/>
      <c r="AB19" s="54" t="n"/>
      <c r="AC19" s="54" t="n"/>
    </row>
    <row r="20" ht="16.5" customHeight="1">
      <c r="A20" s="721" t="inlineStr">
        <is>
          <t>Ядрена копоть</t>
        </is>
      </c>
      <c r="B20" s="1019" t="n"/>
      <c r="C20" s="1019" t="n"/>
      <c r="D20" s="1019" t="n"/>
      <c r="E20" s="1019" t="n"/>
      <c r="F20" s="1019" t="n"/>
      <c r="G20" s="1019" t="n"/>
      <c r="H20" s="1019" t="n"/>
      <c r="I20" s="1019" t="n"/>
      <c r="J20" s="1019" t="n"/>
      <c r="K20" s="1019" t="n"/>
      <c r="L20" s="1019" t="n"/>
      <c r="M20" s="1019" t="n"/>
      <c r="N20" s="1019" t="n"/>
      <c r="O20" s="1019" t="n"/>
      <c r="P20" s="1019" t="n"/>
      <c r="Q20" s="1019" t="n"/>
      <c r="R20" s="1019" t="n"/>
      <c r="S20" s="1019" t="n"/>
      <c r="T20" s="1019" t="n"/>
      <c r="U20" s="1019" t="n"/>
      <c r="V20" s="1019" t="n"/>
      <c r="W20" s="1019" t="n"/>
      <c r="X20" s="1019" t="n"/>
      <c r="Y20" s="1019" t="n"/>
      <c r="Z20" s="1019" t="n"/>
      <c r="AA20" s="721" t="n"/>
      <c r="AB20" s="721" t="n"/>
      <c r="AC20" s="721" t="n"/>
    </row>
    <row r="21" ht="14.25" customHeight="1">
      <c r="A21" s="722" t="inlineStr">
        <is>
          <t>Копченые колбасы</t>
        </is>
      </c>
      <c r="B21" s="1019" t="n"/>
      <c r="C21" s="1019" t="n"/>
      <c r="D21" s="1019" t="n"/>
      <c r="E21" s="1019" t="n"/>
      <c r="F21" s="1019" t="n"/>
      <c r="G21" s="1019" t="n"/>
      <c r="H21" s="1019" t="n"/>
      <c r="I21" s="1019" t="n"/>
      <c r="J21" s="1019" t="n"/>
      <c r="K21" s="1019" t="n"/>
      <c r="L21" s="1019" t="n"/>
      <c r="M21" s="1019" t="n"/>
      <c r="N21" s="1019" t="n"/>
      <c r="O21" s="1019" t="n"/>
      <c r="P21" s="1019" t="n"/>
      <c r="Q21" s="1019" t="n"/>
      <c r="R21" s="1019" t="n"/>
      <c r="S21" s="1019" t="n"/>
      <c r="T21" s="1019" t="n"/>
      <c r="U21" s="1019" t="n"/>
      <c r="V21" s="1019" t="n"/>
      <c r="W21" s="1019" t="n"/>
      <c r="X21" s="1019" t="n"/>
      <c r="Y21" s="1019" t="n"/>
      <c r="Z21" s="1019" t="n"/>
      <c r="AA21" s="722" t="n"/>
      <c r="AB21" s="722" t="n"/>
      <c r="AC21" s="722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723" t="n">
        <v>4680115886643</v>
      </c>
      <c r="E22" s="1031" t="n"/>
      <c r="F22" s="1070" t="n">
        <v>0.19</v>
      </c>
      <c r="G22" s="37" t="n">
        <v>10</v>
      </c>
      <c r="H22" s="1070" t="n">
        <v>1.9</v>
      </c>
      <c r="I22" s="1070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71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72" t="n"/>
      <c r="R22" s="1072" t="n"/>
      <c r="S22" s="1072" t="n"/>
      <c r="T22" s="1073" t="n"/>
      <c r="U22" s="39" t="inlineStr"/>
      <c r="V22" s="39" t="inlineStr"/>
      <c r="W22" s="40" t="inlineStr">
        <is>
          <t>кг</t>
        </is>
      </c>
      <c r="X22" s="1074" t="n">
        <v>0</v>
      </c>
      <c r="Y22" s="1075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723" t="n">
        <v>4680115889071</v>
      </c>
      <c r="E23" s="1031" t="n"/>
      <c r="F23" s="1070" t="n">
        <v>0.3</v>
      </c>
      <c r="G23" s="37" t="n">
        <v>6</v>
      </c>
      <c r="H23" s="1070" t="n">
        <v>1.8</v>
      </c>
      <c r="I23" s="1070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76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72" t="n"/>
      <c r="R23" s="1072" t="n"/>
      <c r="S23" s="1072" t="n"/>
      <c r="T23" s="1073" t="n"/>
      <c r="U23" s="39" t="inlineStr"/>
      <c r="V23" s="39" t="inlineStr"/>
      <c r="W23" s="40" t="inlineStr">
        <is>
          <t>кг</t>
        </is>
      </c>
      <c r="X23" s="1074" t="n">
        <v>0</v>
      </c>
      <c r="Y23" s="1075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32" t="n"/>
      <c r="B24" s="1019" t="n"/>
      <c r="C24" s="1019" t="n"/>
      <c r="D24" s="1019" t="n"/>
      <c r="E24" s="1019" t="n"/>
      <c r="F24" s="1019" t="n"/>
      <c r="G24" s="1019" t="n"/>
      <c r="H24" s="1019" t="n"/>
      <c r="I24" s="1019" t="n"/>
      <c r="J24" s="1019" t="n"/>
      <c r="K24" s="1019" t="n"/>
      <c r="L24" s="1019" t="n"/>
      <c r="M24" s="1019" t="n"/>
      <c r="N24" s="1019" t="n"/>
      <c r="O24" s="1077" t="n"/>
      <c r="P24" s="1078" t="inlineStr">
        <is>
          <t>Итого</t>
        </is>
      </c>
      <c r="Q24" s="1039" t="n"/>
      <c r="R24" s="1039" t="n"/>
      <c r="S24" s="1039" t="n"/>
      <c r="T24" s="1039" t="n"/>
      <c r="U24" s="1039" t="n"/>
      <c r="V24" s="1040" t="n"/>
      <c r="W24" s="42" t="inlineStr">
        <is>
          <t>кор</t>
        </is>
      </c>
      <c r="X24" s="1079">
        <f>IFERROR(X22/H22,"0")+IFERROR(X23/H23,"0")</f>
        <v/>
      </c>
      <c r="Y24" s="1079">
        <f>IFERROR(Y22/H22,"0")+IFERROR(Y23/H23,"0")</f>
        <v/>
      </c>
      <c r="Z24" s="1079">
        <f>IFERROR(IF(Z22="",0,Z22),"0")+IFERROR(IF(Z23="",0,Z23),"0")</f>
        <v/>
      </c>
      <c r="AA24" s="1080" t="n"/>
      <c r="AB24" s="1080" t="n"/>
      <c r="AC24" s="1080" t="n"/>
    </row>
    <row r="25">
      <c r="A25" s="1019" t="n"/>
      <c r="B25" s="1019" t="n"/>
      <c r="C25" s="1019" t="n"/>
      <c r="D25" s="1019" t="n"/>
      <c r="E25" s="1019" t="n"/>
      <c r="F25" s="1019" t="n"/>
      <c r="G25" s="1019" t="n"/>
      <c r="H25" s="1019" t="n"/>
      <c r="I25" s="1019" t="n"/>
      <c r="J25" s="1019" t="n"/>
      <c r="K25" s="1019" t="n"/>
      <c r="L25" s="1019" t="n"/>
      <c r="M25" s="1019" t="n"/>
      <c r="N25" s="1019" t="n"/>
      <c r="O25" s="1077" t="n"/>
      <c r="P25" s="1078" t="inlineStr">
        <is>
          <t>Итого</t>
        </is>
      </c>
      <c r="Q25" s="1039" t="n"/>
      <c r="R25" s="1039" t="n"/>
      <c r="S25" s="1039" t="n"/>
      <c r="T25" s="1039" t="n"/>
      <c r="U25" s="1039" t="n"/>
      <c r="V25" s="1040" t="n"/>
      <c r="W25" s="42" t="inlineStr">
        <is>
          <t>кг</t>
        </is>
      </c>
      <c r="X25" s="1079">
        <f>IFERROR(SUM(X22:X23),"0")</f>
        <v/>
      </c>
      <c r="Y25" s="1079">
        <f>IFERROR(SUM(Y22:Y23),"0")</f>
        <v/>
      </c>
      <c r="Z25" s="42" t="n"/>
      <c r="AA25" s="1080" t="n"/>
      <c r="AB25" s="1080" t="n"/>
      <c r="AC25" s="1080" t="n"/>
    </row>
    <row r="26" ht="14.25" customHeight="1">
      <c r="A26" s="722" t="inlineStr">
        <is>
          <t>Сосиски</t>
        </is>
      </c>
      <c r="B26" s="1019" t="n"/>
      <c r="C26" s="1019" t="n"/>
      <c r="D26" s="1019" t="n"/>
      <c r="E26" s="1019" t="n"/>
      <c r="F26" s="1019" t="n"/>
      <c r="G26" s="1019" t="n"/>
      <c r="H26" s="1019" t="n"/>
      <c r="I26" s="1019" t="n"/>
      <c r="J26" s="1019" t="n"/>
      <c r="K26" s="1019" t="n"/>
      <c r="L26" s="1019" t="n"/>
      <c r="M26" s="1019" t="n"/>
      <c r="N26" s="1019" t="n"/>
      <c r="O26" s="1019" t="n"/>
      <c r="P26" s="1019" t="n"/>
      <c r="Q26" s="1019" t="n"/>
      <c r="R26" s="1019" t="n"/>
      <c r="S26" s="1019" t="n"/>
      <c r="T26" s="1019" t="n"/>
      <c r="U26" s="1019" t="n"/>
      <c r="V26" s="1019" t="n"/>
      <c r="W26" s="1019" t="n"/>
      <c r="X26" s="1019" t="n"/>
      <c r="Y26" s="1019" t="n"/>
      <c r="Z26" s="1019" t="n"/>
      <c r="AA26" s="722" t="n"/>
      <c r="AB26" s="722" t="n"/>
      <c r="AC26" s="722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723" t="n">
        <v>4680115885912</v>
      </c>
      <c r="E27" s="1031" t="n"/>
      <c r="F27" s="1070" t="n">
        <v>0.3</v>
      </c>
      <c r="G27" s="37" t="n">
        <v>6</v>
      </c>
      <c r="H27" s="1070" t="n">
        <v>1.8</v>
      </c>
      <c r="I27" s="1070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81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72" t="n"/>
      <c r="R27" s="1072" t="n"/>
      <c r="S27" s="1072" t="n"/>
      <c r="T27" s="1073" t="n"/>
      <c r="U27" s="39" t="inlineStr"/>
      <c r="V27" s="39" t="inlineStr"/>
      <c r="W27" s="40" t="inlineStr">
        <is>
          <t>кг</t>
        </is>
      </c>
      <c r="X27" s="1074" t="n">
        <v>0</v>
      </c>
      <c r="Y27" s="1075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723" t="n">
        <v>4607091388237</v>
      </c>
      <c r="E28" s="1031" t="n"/>
      <c r="F28" s="1070" t="n">
        <v>0.42</v>
      </c>
      <c r="G28" s="37" t="n">
        <v>6</v>
      </c>
      <c r="H28" s="1070" t="n">
        <v>2.52</v>
      </c>
      <c r="I28" s="1070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82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72" t="n"/>
      <c r="R28" s="1072" t="n"/>
      <c r="S28" s="1072" t="n"/>
      <c r="T28" s="1073" t="n"/>
      <c r="U28" s="39" t="inlineStr"/>
      <c r="V28" s="39" t="inlineStr"/>
      <c r="W28" s="40" t="inlineStr">
        <is>
          <t>кг</t>
        </is>
      </c>
      <c r="X28" s="1074" t="n">
        <v>0</v>
      </c>
      <c r="Y28" s="1075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723" t="n">
        <v>4680115887350</v>
      </c>
      <c r="E29" s="1031" t="n"/>
      <c r="F29" s="1070" t="n">
        <v>0.3</v>
      </c>
      <c r="G29" s="37" t="n">
        <v>6</v>
      </c>
      <c r="H29" s="1070" t="n">
        <v>1.8</v>
      </c>
      <c r="I29" s="1070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83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72" t="n"/>
      <c r="R29" s="1072" t="n"/>
      <c r="S29" s="1072" t="n"/>
      <c r="T29" s="1073" t="n"/>
      <c r="U29" s="39" t="inlineStr"/>
      <c r="V29" s="39" t="inlineStr"/>
      <c r="W29" s="40" t="inlineStr">
        <is>
          <t>кг</t>
        </is>
      </c>
      <c r="X29" s="1074" t="n">
        <v>0</v>
      </c>
      <c r="Y29" s="1075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723" t="n">
        <v>4680115885905</v>
      </c>
      <c r="E30" s="1031" t="n"/>
      <c r="F30" s="1070" t="n">
        <v>0.3</v>
      </c>
      <c r="G30" s="37" t="n">
        <v>6</v>
      </c>
      <c r="H30" s="1070" t="n">
        <v>1.8</v>
      </c>
      <c r="I30" s="1070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84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72" t="n"/>
      <c r="R30" s="1072" t="n"/>
      <c r="S30" s="1072" t="n"/>
      <c r="T30" s="1073" t="n"/>
      <c r="U30" s="39" t="inlineStr"/>
      <c r="V30" s="39" t="inlineStr"/>
      <c r="W30" s="40" t="inlineStr">
        <is>
          <t>кг</t>
        </is>
      </c>
      <c r="X30" s="1074" t="n">
        <v>0</v>
      </c>
      <c r="Y30" s="1075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723" t="n">
        <v>4680115887619</v>
      </c>
      <c r="E31" s="1031" t="n"/>
      <c r="F31" s="1070" t="n">
        <v>0.33</v>
      </c>
      <c r="G31" s="37" t="n">
        <v>6</v>
      </c>
      <c r="H31" s="1070" t="n">
        <v>1.98</v>
      </c>
      <c r="I31" s="1070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85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72" t="n"/>
      <c r="R31" s="1072" t="n"/>
      <c r="S31" s="1072" t="n"/>
      <c r="T31" s="1073" t="n"/>
      <c r="U31" s="39" t="inlineStr"/>
      <c r="V31" s="39" t="inlineStr"/>
      <c r="W31" s="40" t="inlineStr">
        <is>
          <t>кг</t>
        </is>
      </c>
      <c r="X31" s="1074" t="n">
        <v>0</v>
      </c>
      <c r="Y31" s="1075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32" t="n"/>
      <c r="B32" s="1019" t="n"/>
      <c r="C32" s="1019" t="n"/>
      <c r="D32" s="1019" t="n"/>
      <c r="E32" s="1019" t="n"/>
      <c r="F32" s="1019" t="n"/>
      <c r="G32" s="1019" t="n"/>
      <c r="H32" s="1019" t="n"/>
      <c r="I32" s="1019" t="n"/>
      <c r="J32" s="1019" t="n"/>
      <c r="K32" s="1019" t="n"/>
      <c r="L32" s="1019" t="n"/>
      <c r="M32" s="1019" t="n"/>
      <c r="N32" s="1019" t="n"/>
      <c r="O32" s="1077" t="n"/>
      <c r="P32" s="1078" t="inlineStr">
        <is>
          <t>Итого</t>
        </is>
      </c>
      <c r="Q32" s="1039" t="n"/>
      <c r="R32" s="1039" t="n"/>
      <c r="S32" s="1039" t="n"/>
      <c r="T32" s="1039" t="n"/>
      <c r="U32" s="1039" t="n"/>
      <c r="V32" s="1040" t="n"/>
      <c r="W32" s="42" t="inlineStr">
        <is>
          <t>кор</t>
        </is>
      </c>
      <c r="X32" s="1079">
        <f>IFERROR(X27/H27,"0")+IFERROR(X28/H28,"0")+IFERROR(X29/H29,"0")+IFERROR(X30/H30,"0")+IFERROR(X31/H31,"0")</f>
        <v/>
      </c>
      <c r="Y32" s="1079">
        <f>IFERROR(Y27/H27,"0")+IFERROR(Y28/H28,"0")+IFERROR(Y29/H29,"0")+IFERROR(Y30/H30,"0")+IFERROR(Y31/H31,"0")</f>
        <v/>
      </c>
      <c r="Z32" s="1079">
        <f>IFERROR(IF(Z27="",0,Z27),"0")+IFERROR(IF(Z28="",0,Z28),"0")+IFERROR(IF(Z29="",0,Z29),"0")+IFERROR(IF(Z30="",0,Z30),"0")+IFERROR(IF(Z31="",0,Z31),"0")</f>
        <v/>
      </c>
      <c r="AA32" s="1080" t="n"/>
      <c r="AB32" s="1080" t="n"/>
      <c r="AC32" s="1080" t="n"/>
    </row>
    <row r="33">
      <c r="A33" s="1019" t="n"/>
      <c r="B33" s="1019" t="n"/>
      <c r="C33" s="1019" t="n"/>
      <c r="D33" s="1019" t="n"/>
      <c r="E33" s="1019" t="n"/>
      <c r="F33" s="1019" t="n"/>
      <c r="G33" s="1019" t="n"/>
      <c r="H33" s="1019" t="n"/>
      <c r="I33" s="1019" t="n"/>
      <c r="J33" s="1019" t="n"/>
      <c r="K33" s="1019" t="n"/>
      <c r="L33" s="1019" t="n"/>
      <c r="M33" s="1019" t="n"/>
      <c r="N33" s="1019" t="n"/>
      <c r="O33" s="1077" t="n"/>
      <c r="P33" s="1078" t="inlineStr">
        <is>
          <t>Итого</t>
        </is>
      </c>
      <c r="Q33" s="1039" t="n"/>
      <c r="R33" s="1039" t="n"/>
      <c r="S33" s="1039" t="n"/>
      <c r="T33" s="1039" t="n"/>
      <c r="U33" s="1039" t="n"/>
      <c r="V33" s="1040" t="n"/>
      <c r="W33" s="42" t="inlineStr">
        <is>
          <t>кг</t>
        </is>
      </c>
      <c r="X33" s="1079">
        <f>IFERROR(SUM(X27:X31),"0")</f>
        <v/>
      </c>
      <c r="Y33" s="1079">
        <f>IFERROR(SUM(Y27:Y31),"0")</f>
        <v/>
      </c>
      <c r="Z33" s="42" t="n"/>
      <c r="AA33" s="1080" t="n"/>
      <c r="AB33" s="1080" t="n"/>
      <c r="AC33" s="1080" t="n"/>
    </row>
    <row r="34" ht="27.75" customHeight="1">
      <c r="A34" s="720" t="inlineStr">
        <is>
          <t>Горячая штучка</t>
        </is>
      </c>
      <c r="B34" s="1069" t="n"/>
      <c r="C34" s="1069" t="n"/>
      <c r="D34" s="1069" t="n"/>
      <c r="E34" s="1069" t="n"/>
      <c r="F34" s="1069" t="n"/>
      <c r="G34" s="1069" t="n"/>
      <c r="H34" s="1069" t="n"/>
      <c r="I34" s="1069" t="n"/>
      <c r="J34" s="1069" t="n"/>
      <c r="K34" s="1069" t="n"/>
      <c r="L34" s="1069" t="n"/>
      <c r="M34" s="1069" t="n"/>
      <c r="N34" s="1069" t="n"/>
      <c r="O34" s="1069" t="n"/>
      <c r="P34" s="1069" t="n"/>
      <c r="Q34" s="1069" t="n"/>
      <c r="R34" s="1069" t="n"/>
      <c r="S34" s="1069" t="n"/>
      <c r="T34" s="1069" t="n"/>
      <c r="U34" s="1069" t="n"/>
      <c r="V34" s="1069" t="n"/>
      <c r="W34" s="1069" t="n"/>
      <c r="X34" s="1069" t="n"/>
      <c r="Y34" s="1069" t="n"/>
      <c r="Z34" s="1069" t="n"/>
      <c r="AA34" s="54" t="n"/>
      <c r="AB34" s="54" t="n"/>
      <c r="AC34" s="54" t="n"/>
    </row>
    <row r="35" ht="16.5" customHeight="1">
      <c r="A35" s="721" t="inlineStr">
        <is>
          <t>Горячая штучка КИ</t>
        </is>
      </c>
      <c r="B35" s="1019" t="n"/>
      <c r="C35" s="1019" t="n"/>
      <c r="D35" s="1019" t="n"/>
      <c r="E35" s="1019" t="n"/>
      <c r="F35" s="1019" t="n"/>
      <c r="G35" s="1019" t="n"/>
      <c r="H35" s="1019" t="n"/>
      <c r="I35" s="1019" t="n"/>
      <c r="J35" s="1019" t="n"/>
      <c r="K35" s="1019" t="n"/>
      <c r="L35" s="1019" t="n"/>
      <c r="M35" s="1019" t="n"/>
      <c r="N35" s="1019" t="n"/>
      <c r="O35" s="1019" t="n"/>
      <c r="P35" s="1019" t="n"/>
      <c r="Q35" s="1019" t="n"/>
      <c r="R35" s="1019" t="n"/>
      <c r="S35" s="1019" t="n"/>
      <c r="T35" s="1019" t="n"/>
      <c r="U35" s="1019" t="n"/>
      <c r="V35" s="1019" t="n"/>
      <c r="W35" s="1019" t="n"/>
      <c r="X35" s="1019" t="n"/>
      <c r="Y35" s="1019" t="n"/>
      <c r="Z35" s="1019" t="n"/>
      <c r="AA35" s="721" t="n"/>
      <c r="AB35" s="721" t="n"/>
      <c r="AC35" s="721" t="n"/>
    </row>
    <row r="36" ht="14.25" customHeight="1">
      <c r="A36" s="722" t="inlineStr">
        <is>
          <t>Сосиски</t>
        </is>
      </c>
      <c r="B36" s="1019" t="n"/>
      <c r="C36" s="1019" t="n"/>
      <c r="D36" s="1019" t="n"/>
      <c r="E36" s="1019" t="n"/>
      <c r="F36" s="1019" t="n"/>
      <c r="G36" s="1019" t="n"/>
      <c r="H36" s="1019" t="n"/>
      <c r="I36" s="1019" t="n"/>
      <c r="J36" s="1019" t="n"/>
      <c r="K36" s="1019" t="n"/>
      <c r="L36" s="1019" t="n"/>
      <c r="M36" s="1019" t="n"/>
      <c r="N36" s="1019" t="n"/>
      <c r="O36" s="1019" t="n"/>
      <c r="P36" s="1019" t="n"/>
      <c r="Q36" s="1019" t="n"/>
      <c r="R36" s="1019" t="n"/>
      <c r="S36" s="1019" t="n"/>
      <c r="T36" s="1019" t="n"/>
      <c r="U36" s="1019" t="n"/>
      <c r="V36" s="1019" t="n"/>
      <c r="W36" s="1019" t="n"/>
      <c r="X36" s="1019" t="n"/>
      <c r="Y36" s="1019" t="n"/>
      <c r="Z36" s="1019" t="n"/>
      <c r="AA36" s="722" t="n"/>
      <c r="AB36" s="722" t="n"/>
      <c r="AC36" s="722" t="n"/>
    </row>
    <row r="37" ht="27" customHeight="1">
      <c r="A37" s="63" t="inlineStr">
        <is>
          <t>SU004125</t>
        </is>
      </c>
      <c r="B37" s="63" t="inlineStr">
        <is>
          <t>P005384</t>
        </is>
      </c>
      <c r="C37" s="36" t="n">
        <v>4301052187</v>
      </c>
      <c r="D37" s="723" t="n">
        <v>4680115889354</v>
      </c>
      <c r="E37" s="1031" t="n"/>
      <c r="F37" s="1070" t="n">
        <v>0.32</v>
      </c>
      <c r="G37" s="37" t="n">
        <v>6</v>
      </c>
      <c r="H37" s="1070" t="n">
        <v>1.92</v>
      </c>
      <c r="I37" s="1070" t="n">
        <v>2.1</v>
      </c>
      <c r="J37" s="37" t="n">
        <v>182</v>
      </c>
      <c r="K37" s="37" t="inlineStr">
        <is>
          <t>14</t>
        </is>
      </c>
      <c r="L37" s="37" t="inlineStr"/>
      <c r="M37" s="38" t="inlineStr">
        <is>
          <t>СК4</t>
        </is>
      </c>
      <c r="N37" s="38" t="n"/>
      <c r="O37" s="37" t="n">
        <v>40</v>
      </c>
      <c r="P37" s="1086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37" s="1072" t="n"/>
      <c r="R37" s="1072" t="n"/>
      <c r="S37" s="1072" t="n"/>
      <c r="T37" s="1073" t="n"/>
      <c r="U37" s="39" t="inlineStr"/>
      <c r="V37" s="39" t="inlineStr"/>
      <c r="W37" s="40" t="inlineStr">
        <is>
          <t>кг</t>
        </is>
      </c>
      <c r="X37" s="1074" t="n">
        <v>0</v>
      </c>
      <c r="Y37" s="1075">
        <f>IFERROR(IF(X37="",0,CEILING((X37/$H37),1)*$H37),"")</f>
        <v/>
      </c>
      <c r="Z37" s="41">
        <f>IFERROR(IF(Y37=0,"",ROUNDUP(Y37/H37,0)*0.00651),"")</f>
        <v/>
      </c>
      <c r="AA37" s="68" t="inlineStr"/>
      <c r="AB37" s="69" t="inlineStr"/>
      <c r="AC37" s="100" t="inlineStr">
        <is>
          <t>ЕАЭС N RU Д-RU.РА04.В.85634/26</t>
        </is>
      </c>
      <c r="AG37" s="78" t="n"/>
      <c r="AJ37" s="84" t="inlineStr"/>
      <c r="AK37" s="84" t="n">
        <v>0</v>
      </c>
      <c r="BB37" s="101" t="inlineStr">
        <is>
          <t>КИ</t>
        </is>
      </c>
      <c r="BM37" s="78">
        <f>IFERROR(X37*I37/H37,"0")</f>
        <v/>
      </c>
      <c r="BN37" s="78">
        <f>IFERROR(Y37*I37/H37,"0")</f>
        <v/>
      </c>
      <c r="BO37" s="78">
        <f>IFERROR(1/J37*(X37/H37),"0")</f>
        <v/>
      </c>
      <c r="BP37" s="78">
        <f>IFERROR(1/J37*(Y37/H37),"0")</f>
        <v/>
      </c>
    </row>
    <row r="38" ht="27" customHeight="1">
      <c r="A38" s="63" t="inlineStr">
        <is>
          <t>SU004132</t>
        </is>
      </c>
      <c r="B38" s="63" t="inlineStr">
        <is>
          <t>P005393</t>
        </is>
      </c>
      <c r="C38" s="36" t="n">
        <v>4301052198</v>
      </c>
      <c r="D38" s="723" t="n">
        <v>4680115888463</v>
      </c>
      <c r="E38" s="1031" t="n"/>
      <c r="F38" s="1070" t="n">
        <v>0.32</v>
      </c>
      <c r="G38" s="37" t="n">
        <v>6</v>
      </c>
      <c r="H38" s="1070" t="n">
        <v>1.92</v>
      </c>
      <c r="I38" s="1070" t="n">
        <v>2.1</v>
      </c>
      <c r="J38" s="37" t="n">
        <v>182</v>
      </c>
      <c r="K38" s="37" t="inlineStr">
        <is>
          <t>14</t>
        </is>
      </c>
      <c r="L38" s="37" t="inlineStr"/>
      <c r="M38" s="38" t="inlineStr">
        <is>
          <t>СК3</t>
        </is>
      </c>
      <c r="N38" s="38" t="n"/>
      <c r="O38" s="37" t="n">
        <v>40</v>
      </c>
      <c r="P38" s="1087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38" s="1072" t="n"/>
      <c r="R38" s="1072" t="n"/>
      <c r="S38" s="1072" t="n"/>
      <c r="T38" s="1073" t="n"/>
      <c r="U38" s="39" t="inlineStr"/>
      <c r="V38" s="39" t="inlineStr"/>
      <c r="W38" s="40" t="inlineStr">
        <is>
          <t>кг</t>
        </is>
      </c>
      <c r="X38" s="1074" t="n">
        <v>0</v>
      </c>
      <c r="Y38" s="1075">
        <f>IFERROR(IF(X38="",0,CEILING((X38/$H38),1)*$H38),"")</f>
        <v/>
      </c>
      <c r="Z38" s="41">
        <f>IFERROR(IF(Y38=0,"",ROUNDUP(Y38/H38,0)*0.00651),"")</f>
        <v/>
      </c>
      <c r="AA38" s="68" t="inlineStr"/>
      <c r="AB38" s="69" t="inlineStr"/>
      <c r="AC38" s="102" t="inlineStr">
        <is>
          <t>ЕАЭС N RU Д-RU.РА02.В.11087/26</t>
        </is>
      </c>
      <c r="AG38" s="78" t="n"/>
      <c r="AJ38" s="84" t="inlineStr"/>
      <c r="AK38" s="84" t="n">
        <v>0</v>
      </c>
      <c r="BB38" s="103" t="inlineStr">
        <is>
          <t>КИ</t>
        </is>
      </c>
      <c r="BM38" s="78">
        <f>IFERROR(X38*I38/H38,"0")</f>
        <v/>
      </c>
      <c r="BN38" s="78">
        <f>IFERROR(Y38*I38/H38,"0")</f>
        <v/>
      </c>
      <c r="BO38" s="78">
        <f>IFERROR(1/J38*(X38/H38),"0")</f>
        <v/>
      </c>
      <c r="BP38" s="78">
        <f>IFERROR(1/J38*(Y38/H38),"0")</f>
        <v/>
      </c>
    </row>
    <row r="39" ht="27" customHeight="1">
      <c r="A39" s="63" t="inlineStr">
        <is>
          <t>SU004313</t>
        </is>
      </c>
      <c r="B39" s="63" t="inlineStr">
        <is>
          <t>P005634</t>
        </is>
      </c>
      <c r="C39" s="36" t="n">
        <v>4301052259</v>
      </c>
      <c r="D39" s="723" t="n">
        <v>4680115889590</v>
      </c>
      <c r="E39" s="1031" t="n"/>
      <c r="F39" s="1070" t="n">
        <v>0.3</v>
      </c>
      <c r="G39" s="37" t="n">
        <v>4</v>
      </c>
      <c r="H39" s="1070" t="n">
        <v>1.2</v>
      </c>
      <c r="I39" s="1070" t="n">
        <v>6.18</v>
      </c>
      <c r="J39" s="37" t="n">
        <v>182</v>
      </c>
      <c r="K39" s="37" t="inlineStr">
        <is>
          <t>14</t>
        </is>
      </c>
      <c r="L39" s="37" t="inlineStr"/>
      <c r="M39" s="38" t="inlineStr">
        <is>
          <t>СК3</t>
        </is>
      </c>
      <c r="N39" s="38" t="n"/>
      <c r="O39" s="37" t="n">
        <v>40</v>
      </c>
      <c r="P39" s="1088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/>
      </c>
      <c r="Q39" s="1072" t="n"/>
      <c r="R39" s="1072" t="n"/>
      <c r="S39" s="1072" t="n"/>
      <c r="T39" s="1073" t="n"/>
      <c r="U39" s="39" t="inlineStr"/>
      <c r="V39" s="39" t="inlineStr"/>
      <c r="W39" s="40" t="inlineStr">
        <is>
          <t>кг</t>
        </is>
      </c>
      <c r="X39" s="1074" t="n">
        <v>0</v>
      </c>
      <c r="Y39" s="1075">
        <f>IFERROR(IF(X39="",0,CEILING((X39/$H39),1)*$H39),"")</f>
        <v/>
      </c>
      <c r="Z39" s="41">
        <f>IFERROR(IF(Y39=0,"",ROUNDUP(Y39/H39,0)*0.00651),"")</f>
        <v/>
      </c>
      <c r="AA39" s="68" t="inlineStr"/>
      <c r="AB39" s="69" t="inlineStr"/>
      <c r="AC39" s="104" t="inlineStr">
        <is>
          <t>ЕАЭС N RU Д-RU.РА02.В.13825/26</t>
        </is>
      </c>
      <c r="AG39" s="78" t="n"/>
      <c r="AJ39" s="84" t="inlineStr"/>
      <c r="AK39" s="84" t="n">
        <v>0</v>
      </c>
      <c r="BB39" s="105" t="inlineStr">
        <is>
          <t>КИ</t>
        </is>
      </c>
      <c r="BM39" s="78">
        <f>IFERROR(X39*I39/H39,"0")</f>
        <v/>
      </c>
      <c r="BN39" s="78">
        <f>IFERROR(Y39*I39/H39,"0")</f>
        <v/>
      </c>
      <c r="BO39" s="78">
        <f>IFERROR(1/J39*(X39/H39),"0")</f>
        <v/>
      </c>
      <c r="BP39" s="78">
        <f>IFERROR(1/J39*(Y39/H39),"0")</f>
        <v/>
      </c>
    </row>
    <row r="40" ht="27" customHeight="1">
      <c r="A40" s="63" t="inlineStr">
        <is>
          <t>SU004124</t>
        </is>
      </c>
      <c r="B40" s="63" t="inlineStr">
        <is>
          <t>P005383</t>
        </is>
      </c>
      <c r="C40" s="36" t="n">
        <v>4301052184</v>
      </c>
      <c r="D40" s="723" t="n">
        <v>4680115888272</v>
      </c>
      <c r="E40" s="1031" t="n"/>
      <c r="F40" s="1070" t="n">
        <v>0.32</v>
      </c>
      <c r="G40" s="37" t="n">
        <v>6</v>
      </c>
      <c r="H40" s="1070" t="n">
        <v>1.92</v>
      </c>
      <c r="I40" s="1070" t="n">
        <v>2.1</v>
      </c>
      <c r="J40" s="37" t="n">
        <v>182</v>
      </c>
      <c r="K40" s="37" t="inlineStr">
        <is>
          <t>14</t>
        </is>
      </c>
      <c r="L40" s="37" t="inlineStr"/>
      <c r="M40" s="38" t="inlineStr">
        <is>
          <t>СК3</t>
        </is>
      </c>
      <c r="N40" s="38" t="n"/>
      <c r="O40" s="37" t="n">
        <v>40</v>
      </c>
      <c r="P40" s="1089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0" s="1072" t="n"/>
      <c r="R40" s="1072" t="n"/>
      <c r="S40" s="1072" t="n"/>
      <c r="T40" s="1073" t="n"/>
      <c r="U40" s="39" t="inlineStr"/>
      <c r="V40" s="39" t="inlineStr"/>
      <c r="W40" s="40" t="inlineStr">
        <is>
          <t>кг</t>
        </is>
      </c>
      <c r="X40" s="1074" t="n">
        <v>0</v>
      </c>
      <c r="Y40" s="1075">
        <f>IFERROR(IF(X40="",0,CEILING((X40/$H40),1)*$H40),"")</f>
        <v/>
      </c>
      <c r="Z40" s="41">
        <f>IFERROR(IF(Y40=0,"",ROUNDUP(Y40/H40,0)*0.00651),"")</f>
        <v/>
      </c>
      <c r="AA40" s="68" t="inlineStr"/>
      <c r="AB40" s="69" t="inlineStr"/>
      <c r="AC40" s="106" t="inlineStr">
        <is>
          <t>ЕАЭС N RU Д-RU.РА01.В.39376/26</t>
        </is>
      </c>
      <c r="AG40" s="78" t="n"/>
      <c r="AJ40" s="84" t="inlineStr"/>
      <c r="AK40" s="84" t="n">
        <v>0</v>
      </c>
      <c r="BB40" s="107" t="inlineStr">
        <is>
          <t>КИ</t>
        </is>
      </c>
      <c r="BM40" s="78">
        <f>IFERROR(X40*I40/H40,"0")</f>
        <v/>
      </c>
      <c r="BN40" s="78">
        <f>IFERROR(Y40*I40/H40,"0")</f>
        <v/>
      </c>
      <c r="BO40" s="78">
        <f>IFERROR(1/J40*(X40/H40),"0")</f>
        <v/>
      </c>
      <c r="BP40" s="78">
        <f>IFERROR(1/J40*(Y40/H40),"0")</f>
        <v/>
      </c>
    </row>
    <row r="41" ht="27" customHeight="1">
      <c r="A41" s="63" t="inlineStr">
        <is>
          <t>SU004123</t>
        </is>
      </c>
      <c r="B41" s="63" t="inlineStr">
        <is>
          <t>P005385</t>
        </is>
      </c>
      <c r="C41" s="36" t="n">
        <v>4301052188</v>
      </c>
      <c r="D41" s="723" t="n">
        <v>4680115888364</v>
      </c>
      <c r="E41" s="1031" t="n"/>
      <c r="F41" s="1070" t="n">
        <v>0.32</v>
      </c>
      <c r="G41" s="37" t="n">
        <v>6</v>
      </c>
      <c r="H41" s="1070" t="n">
        <v>1.92</v>
      </c>
      <c r="I41" s="1070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СК3</t>
        </is>
      </c>
      <c r="N41" s="38" t="n"/>
      <c r="O41" s="37" t="n">
        <v>40</v>
      </c>
      <c r="P41" s="1090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1" s="1072" t="n"/>
      <c r="R41" s="1072" t="n"/>
      <c r="S41" s="1072" t="n"/>
      <c r="T41" s="1073" t="n"/>
      <c r="U41" s="39" t="inlineStr"/>
      <c r="V41" s="39" t="inlineStr"/>
      <c r="W41" s="40" t="inlineStr">
        <is>
          <t>кг</t>
        </is>
      </c>
      <c r="X41" s="1074" t="n">
        <v>0</v>
      </c>
      <c r="Y41" s="1075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8" t="inlineStr">
        <is>
          <t>ЕАЭС N RU Д-RU.РА01.В.87299/26</t>
        </is>
      </c>
      <c r="AG41" s="78" t="n"/>
      <c r="AJ41" s="84" t="inlineStr"/>
      <c r="AK41" s="84" t="n">
        <v>0</v>
      </c>
      <c r="BB41" s="109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>
      <c r="A42" s="732" t="n"/>
      <c r="B42" s="1019" t="n"/>
      <c r="C42" s="1019" t="n"/>
      <c r="D42" s="1019" t="n"/>
      <c r="E42" s="1019" t="n"/>
      <c r="F42" s="1019" t="n"/>
      <c r="G42" s="1019" t="n"/>
      <c r="H42" s="1019" t="n"/>
      <c r="I42" s="1019" t="n"/>
      <c r="J42" s="1019" t="n"/>
      <c r="K42" s="1019" t="n"/>
      <c r="L42" s="1019" t="n"/>
      <c r="M42" s="1019" t="n"/>
      <c r="N42" s="1019" t="n"/>
      <c r="O42" s="1077" t="n"/>
      <c r="P42" s="1078" t="inlineStr">
        <is>
          <t>Итого</t>
        </is>
      </c>
      <c r="Q42" s="1039" t="n"/>
      <c r="R42" s="1039" t="n"/>
      <c r="S42" s="1039" t="n"/>
      <c r="T42" s="1039" t="n"/>
      <c r="U42" s="1039" t="n"/>
      <c r="V42" s="1040" t="n"/>
      <c r="W42" s="42" t="inlineStr">
        <is>
          <t>кор</t>
        </is>
      </c>
      <c r="X42" s="1079">
        <f>IFERROR(X37/H37,"0")+IFERROR(X38/H38,"0")+IFERROR(X39/H39,"0")+IFERROR(X40/H40,"0")+IFERROR(X41/H41,"0")</f>
        <v/>
      </c>
      <c r="Y42" s="1079">
        <f>IFERROR(Y37/H37,"0")+IFERROR(Y38/H38,"0")+IFERROR(Y39/H39,"0")+IFERROR(Y40/H40,"0")+IFERROR(Y41/H41,"0")</f>
        <v/>
      </c>
      <c r="Z42" s="1079">
        <f>IFERROR(IF(Z37="",0,Z37),"0")+IFERROR(IF(Z38="",0,Z38),"0")+IFERROR(IF(Z39="",0,Z39),"0")+IFERROR(IF(Z40="",0,Z40),"0")+IFERROR(IF(Z41="",0,Z41),"0")</f>
        <v/>
      </c>
      <c r="AA42" s="1080" t="n"/>
      <c r="AB42" s="1080" t="n"/>
      <c r="AC42" s="1080" t="n"/>
    </row>
    <row r="43">
      <c r="A43" s="1019" t="n"/>
      <c r="B43" s="1019" t="n"/>
      <c r="C43" s="1019" t="n"/>
      <c r="D43" s="1019" t="n"/>
      <c r="E43" s="1019" t="n"/>
      <c r="F43" s="1019" t="n"/>
      <c r="G43" s="1019" t="n"/>
      <c r="H43" s="1019" t="n"/>
      <c r="I43" s="1019" t="n"/>
      <c r="J43" s="1019" t="n"/>
      <c r="K43" s="1019" t="n"/>
      <c r="L43" s="1019" t="n"/>
      <c r="M43" s="1019" t="n"/>
      <c r="N43" s="1019" t="n"/>
      <c r="O43" s="1077" t="n"/>
      <c r="P43" s="1078" t="inlineStr">
        <is>
          <t>Итого</t>
        </is>
      </c>
      <c r="Q43" s="1039" t="n"/>
      <c r="R43" s="1039" t="n"/>
      <c r="S43" s="1039" t="n"/>
      <c r="T43" s="1039" t="n"/>
      <c r="U43" s="1039" t="n"/>
      <c r="V43" s="1040" t="n"/>
      <c r="W43" s="42" t="inlineStr">
        <is>
          <t>кг</t>
        </is>
      </c>
      <c r="X43" s="1079">
        <f>IFERROR(SUM(X37:X41),"0")</f>
        <v/>
      </c>
      <c r="Y43" s="1079">
        <f>IFERROR(SUM(Y37:Y41),"0")</f>
        <v/>
      </c>
      <c r="Z43" s="42" t="n"/>
      <c r="AA43" s="1080" t="n"/>
      <c r="AB43" s="1080" t="n"/>
      <c r="AC43" s="1080" t="n"/>
    </row>
    <row r="44" ht="27.75" customHeight="1">
      <c r="A44" s="720" t="inlineStr">
        <is>
          <t>Вязанка</t>
        </is>
      </c>
      <c r="B44" s="1069" t="n"/>
      <c r="C44" s="1069" t="n"/>
      <c r="D44" s="1069" t="n"/>
      <c r="E44" s="1069" t="n"/>
      <c r="F44" s="1069" t="n"/>
      <c r="G44" s="1069" t="n"/>
      <c r="H44" s="1069" t="n"/>
      <c r="I44" s="1069" t="n"/>
      <c r="J44" s="1069" t="n"/>
      <c r="K44" s="1069" t="n"/>
      <c r="L44" s="1069" t="n"/>
      <c r="M44" s="1069" t="n"/>
      <c r="N44" s="1069" t="n"/>
      <c r="O44" s="1069" t="n"/>
      <c r="P44" s="1069" t="n"/>
      <c r="Q44" s="1069" t="n"/>
      <c r="R44" s="1069" t="n"/>
      <c r="S44" s="1069" t="n"/>
      <c r="T44" s="1069" t="n"/>
      <c r="U44" s="1069" t="n"/>
      <c r="V44" s="1069" t="n"/>
      <c r="W44" s="1069" t="n"/>
      <c r="X44" s="1069" t="n"/>
      <c r="Y44" s="1069" t="n"/>
      <c r="Z44" s="1069" t="n"/>
      <c r="AA44" s="54" t="n"/>
      <c r="AB44" s="54" t="n"/>
      <c r="AC44" s="54" t="n"/>
    </row>
    <row r="45" ht="16.5" customHeight="1">
      <c r="A45" s="721" t="inlineStr">
        <is>
          <t>ГОСТ</t>
        </is>
      </c>
      <c r="B45" s="1019" t="n"/>
      <c r="C45" s="1019" t="n"/>
      <c r="D45" s="1019" t="n"/>
      <c r="E45" s="1019" t="n"/>
      <c r="F45" s="1019" t="n"/>
      <c r="G45" s="1019" t="n"/>
      <c r="H45" s="1019" t="n"/>
      <c r="I45" s="1019" t="n"/>
      <c r="J45" s="1019" t="n"/>
      <c r="K45" s="1019" t="n"/>
      <c r="L45" s="1019" t="n"/>
      <c r="M45" s="1019" t="n"/>
      <c r="N45" s="1019" t="n"/>
      <c r="O45" s="1019" t="n"/>
      <c r="P45" s="1019" t="n"/>
      <c r="Q45" s="1019" t="n"/>
      <c r="R45" s="1019" t="n"/>
      <c r="S45" s="1019" t="n"/>
      <c r="T45" s="1019" t="n"/>
      <c r="U45" s="1019" t="n"/>
      <c r="V45" s="1019" t="n"/>
      <c r="W45" s="1019" t="n"/>
      <c r="X45" s="1019" t="n"/>
      <c r="Y45" s="1019" t="n"/>
      <c r="Z45" s="1019" t="n"/>
      <c r="AA45" s="721" t="n"/>
      <c r="AB45" s="721" t="n"/>
      <c r="AC45" s="721" t="n"/>
    </row>
    <row r="46" ht="14.25" customHeight="1">
      <c r="A46" s="722" t="inlineStr">
        <is>
          <t>Вареные колбасы</t>
        </is>
      </c>
      <c r="B46" s="1019" t="n"/>
      <c r="C46" s="1019" t="n"/>
      <c r="D46" s="1019" t="n"/>
      <c r="E46" s="1019" t="n"/>
      <c r="F46" s="1019" t="n"/>
      <c r="G46" s="1019" t="n"/>
      <c r="H46" s="1019" t="n"/>
      <c r="I46" s="1019" t="n"/>
      <c r="J46" s="1019" t="n"/>
      <c r="K46" s="1019" t="n"/>
      <c r="L46" s="1019" t="n"/>
      <c r="M46" s="1019" t="n"/>
      <c r="N46" s="1019" t="n"/>
      <c r="O46" s="1019" t="n"/>
      <c r="P46" s="1019" t="n"/>
      <c r="Q46" s="1019" t="n"/>
      <c r="R46" s="1019" t="n"/>
      <c r="S46" s="1019" t="n"/>
      <c r="T46" s="1019" t="n"/>
      <c r="U46" s="1019" t="n"/>
      <c r="V46" s="1019" t="n"/>
      <c r="W46" s="1019" t="n"/>
      <c r="X46" s="1019" t="n"/>
      <c r="Y46" s="1019" t="n"/>
      <c r="Z46" s="1019" t="n"/>
      <c r="AA46" s="722" t="n"/>
      <c r="AB46" s="722" t="n"/>
      <c r="AC46" s="722" t="n"/>
    </row>
    <row r="47" ht="16.5" customHeight="1">
      <c r="A47" s="63" t="inlineStr">
        <is>
          <t>SU000722</t>
        </is>
      </c>
      <c r="B47" s="63" t="inlineStr">
        <is>
          <t>P003011</t>
        </is>
      </c>
      <c r="C47" s="36" t="n">
        <v>4301011380</v>
      </c>
      <c r="D47" s="723" t="n">
        <v>4607091385670</v>
      </c>
      <c r="E47" s="1031" t="n"/>
      <c r="F47" s="1070" t="n">
        <v>1.35</v>
      </c>
      <c r="G47" s="37" t="n">
        <v>8</v>
      </c>
      <c r="H47" s="1070" t="n">
        <v>10.8</v>
      </c>
      <c r="I47" s="1070" t="n">
        <v>11.21</v>
      </c>
      <c r="J47" s="37" t="n">
        <v>64</v>
      </c>
      <c r="K47" s="37" t="inlineStr">
        <is>
          <t>8</t>
        </is>
      </c>
      <c r="L47" s="37" t="inlineStr"/>
      <c r="M47" s="38" t="inlineStr">
        <is>
          <t>СК1</t>
        </is>
      </c>
      <c r="N47" s="38" t="n"/>
      <c r="O47" s="37" t="n">
        <v>50</v>
      </c>
      <c r="P47" s="1091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47" s="1072" t="n"/>
      <c r="R47" s="1072" t="n"/>
      <c r="S47" s="1072" t="n"/>
      <c r="T47" s="1073" t="n"/>
      <c r="U47" s="39" t="inlineStr"/>
      <c r="V47" s="39" t="inlineStr"/>
      <c r="W47" s="40" t="inlineStr">
        <is>
          <t>кг</t>
        </is>
      </c>
      <c r="X47" s="1074" t="n">
        <v>0</v>
      </c>
      <c r="Y47" s="1075">
        <f>IFERROR(IF(X47="",0,CEILING((X47/$H47),1)*$H47),"")</f>
        <v/>
      </c>
      <c r="Z47" s="41">
        <f>IFERROR(IF(Y47=0,"",ROUNDUP(Y47/H47,0)*0.01898),"")</f>
        <v/>
      </c>
      <c r="AA47" s="68" t="inlineStr"/>
      <c r="AB47" s="69" t="inlineStr"/>
      <c r="AC47" s="110" t="inlineStr">
        <is>
          <t>ЕАЭС N RU Д-RU.РА08.В.45907/25</t>
        </is>
      </c>
      <c r="AG47" s="78" t="n"/>
      <c r="AJ47" s="84" t="inlineStr"/>
      <c r="AK47" s="84" t="n">
        <v>0</v>
      </c>
      <c r="BB47" s="111" t="inlineStr">
        <is>
          <t>КИ</t>
        </is>
      </c>
      <c r="BM47" s="78">
        <f>IFERROR(X47*I47/H47,"0")</f>
        <v/>
      </c>
      <c r="BN47" s="78">
        <f>IFERROR(Y47*I47/H47,"0")</f>
        <v/>
      </c>
      <c r="BO47" s="78">
        <f>IFERROR(1/J47*(X47/H47),"0")</f>
        <v/>
      </c>
      <c r="BP47" s="78">
        <f>IFERROR(1/J47*(Y47/H47),"0")</f>
        <v/>
      </c>
    </row>
    <row r="48" ht="27" customHeight="1">
      <c r="A48" s="63" t="inlineStr">
        <is>
          <t>SU003747</t>
        </is>
      </c>
      <c r="B48" s="63" t="inlineStr">
        <is>
          <t>P004760</t>
        </is>
      </c>
      <c r="C48" s="36" t="n">
        <v>4301012053</v>
      </c>
      <c r="D48" s="723" t="n">
        <v>4680115887725</v>
      </c>
      <c r="E48" s="1031" t="n"/>
      <c r="F48" s="1070" t="n">
        <v>0.11</v>
      </c>
      <c r="G48" s="37" t="n">
        <v>10</v>
      </c>
      <c r="H48" s="1070" t="n">
        <v>1.1</v>
      </c>
      <c r="I48" s="1070" t="n">
        <v>1.31</v>
      </c>
      <c r="J48" s="37" t="n">
        <v>192</v>
      </c>
      <c r="K48" s="37" t="inlineStr">
        <is>
          <t>24</t>
        </is>
      </c>
      <c r="L48" s="37" t="inlineStr"/>
      <c r="M48" s="38" t="inlineStr">
        <is>
          <t>СК2</t>
        </is>
      </c>
      <c r="N48" s="38" t="n"/>
      <c r="O48" s="37" t="n">
        <v>30</v>
      </c>
      <c r="P48" s="1092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48" s="1072" t="n"/>
      <c r="R48" s="1072" t="n"/>
      <c r="S48" s="1072" t="n"/>
      <c r="T48" s="1073" t="n"/>
      <c r="U48" s="39" t="inlineStr"/>
      <c r="V48" s="39" t="inlineStr"/>
      <c r="W48" s="40" t="inlineStr">
        <is>
          <t>кг</t>
        </is>
      </c>
      <c r="X48" s="1074" t="n">
        <v>0</v>
      </c>
      <c r="Y48" s="1075">
        <f>IFERROR(IF(X48="",0,CEILING((X48/$H48),1)*$H48),"")</f>
        <v/>
      </c>
      <c r="Z48" s="41">
        <f>IFERROR(IF(Y48=0,"",ROUNDUP(Y48/H48,0)*0.00726),"")</f>
        <v/>
      </c>
      <c r="AA48" s="68" t="inlineStr"/>
      <c r="AB48" s="69" t="inlineStr"/>
      <c r="AC48" s="112" t="inlineStr">
        <is>
          <t>ЕАЭС N RU Д-RU.РА08.В.54458/25</t>
        </is>
      </c>
      <c r="AG48" s="78" t="n"/>
      <c r="AJ48" s="84" t="inlineStr"/>
      <c r="AK48" s="84" t="n">
        <v>0</v>
      </c>
      <c r="BB48" s="113" t="inlineStr">
        <is>
          <t>КИ</t>
        </is>
      </c>
      <c r="BM48" s="78">
        <f>IFERROR(X48*I48/H48,"0")</f>
        <v/>
      </c>
      <c r="BN48" s="78">
        <f>IFERROR(Y48*I48/H48,"0")</f>
        <v/>
      </c>
      <c r="BO48" s="78">
        <f>IFERROR(1/J48*(X48/H48),"0")</f>
        <v/>
      </c>
      <c r="BP48" s="78">
        <f>IFERROR(1/J48*(Y48/H48),"0")</f>
        <v/>
      </c>
    </row>
    <row r="49" ht="27" customHeight="1">
      <c r="A49" s="63" t="inlineStr">
        <is>
          <t>SU001485</t>
        </is>
      </c>
      <c r="B49" s="63" t="inlineStr">
        <is>
          <t>P003008</t>
        </is>
      </c>
      <c r="C49" s="36" t="n">
        <v>4301011382</v>
      </c>
      <c r="D49" s="723" t="n">
        <v>4607091385687</v>
      </c>
      <c r="E49" s="1031" t="n"/>
      <c r="F49" s="1070" t="n">
        <v>0.4</v>
      </c>
      <c r="G49" s="37" t="n">
        <v>10</v>
      </c>
      <c r="H49" s="1070" t="n">
        <v>4</v>
      </c>
      <c r="I49" s="1070" t="n">
        <v>4.19</v>
      </c>
      <c r="J49" s="37" t="n">
        <v>132</v>
      </c>
      <c r="K49" s="37" t="inlineStr">
        <is>
          <t>12</t>
        </is>
      </c>
      <c r="L49" s="37" t="inlineStr"/>
      <c r="M49" s="38" t="inlineStr">
        <is>
          <t>СК3</t>
        </is>
      </c>
      <c r="N49" s="38" t="n"/>
      <c r="O49" s="37" t="n">
        <v>50</v>
      </c>
      <c r="P49" s="1093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49" s="1072" t="n"/>
      <c r="R49" s="1072" t="n"/>
      <c r="S49" s="1072" t="n"/>
      <c r="T49" s="1073" t="n"/>
      <c r="U49" s="39" t="inlineStr"/>
      <c r="V49" s="39" t="inlineStr"/>
      <c r="W49" s="40" t="inlineStr">
        <is>
          <t>кг</t>
        </is>
      </c>
      <c r="X49" s="1074" t="n">
        <v>0</v>
      </c>
      <c r="Y49" s="1075">
        <f>IFERROR(IF(X49="",0,CEILING((X49/$H49),1)*$H49),"")</f>
        <v/>
      </c>
      <c r="Z49" s="41">
        <f>IFERROR(IF(Y49=0,"",ROUNDUP(Y49/H49,0)*0.00902),"")</f>
        <v/>
      </c>
      <c r="AA49" s="68" t="inlineStr"/>
      <c r="AB49" s="69" t="inlineStr"/>
      <c r="AC49" s="114" t="inlineStr">
        <is>
          <t>ЕАЭС N RU Д-RU.РА08.В.45907/25</t>
        </is>
      </c>
      <c r="AG49" s="78" t="n"/>
      <c r="AJ49" s="84" t="inlineStr"/>
      <c r="AK49" s="84" t="n">
        <v>0</v>
      </c>
      <c r="BB49" s="115" t="inlineStr">
        <is>
          <t>КИ</t>
        </is>
      </c>
      <c r="BM49" s="78">
        <f>IFERROR(X49*I49/H49,"0")</f>
        <v/>
      </c>
      <c r="BN49" s="78">
        <f>IFERROR(Y49*I49/H49,"0")</f>
        <v/>
      </c>
      <c r="BO49" s="78">
        <f>IFERROR(1/J49*(X49/H49),"0")</f>
        <v/>
      </c>
      <c r="BP49" s="78">
        <f>IFERROR(1/J49*(Y49/H49),"0")</f>
        <v/>
      </c>
    </row>
    <row r="50" ht="27" customHeight="1">
      <c r="A50" s="63" t="inlineStr">
        <is>
          <t>SU002986</t>
        </is>
      </c>
      <c r="B50" s="63" t="inlineStr">
        <is>
          <t>P003429</t>
        </is>
      </c>
      <c r="C50" s="36" t="n">
        <v>4301011565</v>
      </c>
      <c r="D50" s="723" t="n">
        <v>4680115882539</v>
      </c>
      <c r="E50" s="1031" t="n"/>
      <c r="F50" s="1070" t="n">
        <v>0.37</v>
      </c>
      <c r="G50" s="37" t="n">
        <v>10</v>
      </c>
      <c r="H50" s="1070" t="n">
        <v>3.7</v>
      </c>
      <c r="I50" s="1070" t="n">
        <v>3.89</v>
      </c>
      <c r="J50" s="37" t="n">
        <v>132</v>
      </c>
      <c r="K50" s="37" t="inlineStr">
        <is>
          <t>12</t>
        </is>
      </c>
      <c r="L50" s="37" t="inlineStr"/>
      <c r="M50" s="38" t="inlineStr">
        <is>
          <t>СК3</t>
        </is>
      </c>
      <c r="N50" s="38" t="n"/>
      <c r="O50" s="37" t="n">
        <v>50</v>
      </c>
      <c r="P50" s="1094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0" s="1072" t="n"/>
      <c r="R50" s="1072" t="n"/>
      <c r="S50" s="1072" t="n"/>
      <c r="T50" s="1073" t="n"/>
      <c r="U50" s="39" t="inlineStr"/>
      <c r="V50" s="39" t="inlineStr"/>
      <c r="W50" s="40" t="inlineStr">
        <is>
          <t>кг</t>
        </is>
      </c>
      <c r="X50" s="1074" t="n">
        <v>0</v>
      </c>
      <c r="Y50" s="1075">
        <f>IFERROR(IF(X50="",0,CEILING((X50/$H50),1)*$H50),"")</f>
        <v/>
      </c>
      <c r="Z50" s="41">
        <f>IFERROR(IF(Y50=0,"",ROUNDUP(Y50/H50,0)*0.00902),"")</f>
        <v/>
      </c>
      <c r="AA50" s="68" t="inlineStr"/>
      <c r="AB50" s="69" t="inlineStr"/>
      <c r="AC50" s="116" t="inlineStr">
        <is>
          <t>ЕАЭС N RU Д-RU.РА08.В.45907/25</t>
        </is>
      </c>
      <c r="AG50" s="78" t="n"/>
      <c r="AJ50" s="84" t="inlineStr"/>
      <c r="AK50" s="84" t="n">
        <v>0</v>
      </c>
      <c r="BB50" s="117" t="inlineStr">
        <is>
          <t>КИ</t>
        </is>
      </c>
      <c r="BM50" s="78">
        <f>IFERROR(X50*I50/H50,"0")</f>
        <v/>
      </c>
      <c r="BN50" s="78">
        <f>IFERROR(Y50*I50/H50,"0")</f>
        <v/>
      </c>
      <c r="BO50" s="78">
        <f>IFERROR(1/J50*(X50/H50),"0")</f>
        <v/>
      </c>
      <c r="BP50" s="78">
        <f>IFERROR(1/J50*(Y50/H50),"0")</f>
        <v/>
      </c>
    </row>
    <row r="51">
      <c r="A51" s="732" t="n"/>
      <c r="B51" s="1019" t="n"/>
      <c r="C51" s="1019" t="n"/>
      <c r="D51" s="1019" t="n"/>
      <c r="E51" s="1019" t="n"/>
      <c r="F51" s="1019" t="n"/>
      <c r="G51" s="1019" t="n"/>
      <c r="H51" s="1019" t="n"/>
      <c r="I51" s="1019" t="n"/>
      <c r="J51" s="1019" t="n"/>
      <c r="K51" s="1019" t="n"/>
      <c r="L51" s="1019" t="n"/>
      <c r="M51" s="1019" t="n"/>
      <c r="N51" s="1019" t="n"/>
      <c r="O51" s="1077" t="n"/>
      <c r="P51" s="1078" t="inlineStr">
        <is>
          <t>Итого</t>
        </is>
      </c>
      <c r="Q51" s="1039" t="n"/>
      <c r="R51" s="1039" t="n"/>
      <c r="S51" s="1039" t="n"/>
      <c r="T51" s="1039" t="n"/>
      <c r="U51" s="1039" t="n"/>
      <c r="V51" s="1040" t="n"/>
      <c r="W51" s="42" t="inlineStr">
        <is>
          <t>кор</t>
        </is>
      </c>
      <c r="X51" s="1079">
        <f>IFERROR(X47/H47,"0")+IFERROR(X48/H48,"0")+IFERROR(X49/H49,"0")+IFERROR(X50/H50,"0")</f>
        <v/>
      </c>
      <c r="Y51" s="1079">
        <f>IFERROR(Y47/H47,"0")+IFERROR(Y48/H48,"0")+IFERROR(Y49/H49,"0")+IFERROR(Y50/H50,"0")</f>
        <v/>
      </c>
      <c r="Z51" s="1079">
        <f>IFERROR(IF(Z47="",0,Z47),"0")+IFERROR(IF(Z48="",0,Z48),"0")+IFERROR(IF(Z49="",0,Z49),"0")+IFERROR(IF(Z50="",0,Z50),"0")</f>
        <v/>
      </c>
      <c r="AA51" s="1080" t="n"/>
      <c r="AB51" s="1080" t="n"/>
      <c r="AC51" s="1080" t="n"/>
    </row>
    <row r="52">
      <c r="A52" s="1019" t="n"/>
      <c r="B52" s="1019" t="n"/>
      <c r="C52" s="1019" t="n"/>
      <c r="D52" s="1019" t="n"/>
      <c r="E52" s="1019" t="n"/>
      <c r="F52" s="1019" t="n"/>
      <c r="G52" s="1019" t="n"/>
      <c r="H52" s="1019" t="n"/>
      <c r="I52" s="1019" t="n"/>
      <c r="J52" s="1019" t="n"/>
      <c r="K52" s="1019" t="n"/>
      <c r="L52" s="1019" t="n"/>
      <c r="M52" s="1019" t="n"/>
      <c r="N52" s="1019" t="n"/>
      <c r="O52" s="1077" t="n"/>
      <c r="P52" s="1078" t="inlineStr">
        <is>
          <t>Итого</t>
        </is>
      </c>
      <c r="Q52" s="1039" t="n"/>
      <c r="R52" s="1039" t="n"/>
      <c r="S52" s="1039" t="n"/>
      <c r="T52" s="1039" t="n"/>
      <c r="U52" s="1039" t="n"/>
      <c r="V52" s="1040" t="n"/>
      <c r="W52" s="42" t="inlineStr">
        <is>
          <t>кг</t>
        </is>
      </c>
      <c r="X52" s="1079">
        <f>IFERROR(SUM(X47:X50),"0")</f>
        <v/>
      </c>
      <c r="Y52" s="1079">
        <f>IFERROR(SUM(Y47:Y50),"0")</f>
        <v/>
      </c>
      <c r="Z52" s="42" t="n"/>
      <c r="AA52" s="1080" t="n"/>
      <c r="AB52" s="1080" t="n"/>
      <c r="AC52" s="1080" t="n"/>
    </row>
    <row r="53" ht="16.5" customHeight="1">
      <c r="A53" s="721" t="inlineStr">
        <is>
          <t>Филейская</t>
        </is>
      </c>
      <c r="B53" s="1019" t="n"/>
      <c r="C53" s="1019" t="n"/>
      <c r="D53" s="1019" t="n"/>
      <c r="E53" s="1019" t="n"/>
      <c r="F53" s="1019" t="n"/>
      <c r="G53" s="1019" t="n"/>
      <c r="H53" s="1019" t="n"/>
      <c r="I53" s="1019" t="n"/>
      <c r="J53" s="1019" t="n"/>
      <c r="K53" s="1019" t="n"/>
      <c r="L53" s="1019" t="n"/>
      <c r="M53" s="1019" t="n"/>
      <c r="N53" s="1019" t="n"/>
      <c r="O53" s="1019" t="n"/>
      <c r="P53" s="1019" t="n"/>
      <c r="Q53" s="1019" t="n"/>
      <c r="R53" s="1019" t="n"/>
      <c r="S53" s="1019" t="n"/>
      <c r="T53" s="1019" t="n"/>
      <c r="U53" s="1019" t="n"/>
      <c r="V53" s="1019" t="n"/>
      <c r="W53" s="1019" t="n"/>
      <c r="X53" s="1019" t="n"/>
      <c r="Y53" s="1019" t="n"/>
      <c r="Z53" s="1019" t="n"/>
      <c r="AA53" s="721" t="n"/>
      <c r="AB53" s="721" t="n"/>
      <c r="AC53" s="721" t="n"/>
    </row>
    <row r="54" ht="14.25" customHeight="1">
      <c r="A54" s="722" t="inlineStr">
        <is>
          <t>Вареные колбасы</t>
        </is>
      </c>
      <c r="B54" s="1019" t="n"/>
      <c r="C54" s="1019" t="n"/>
      <c r="D54" s="1019" t="n"/>
      <c r="E54" s="1019" t="n"/>
      <c r="F54" s="1019" t="n"/>
      <c r="G54" s="1019" t="n"/>
      <c r="H54" s="1019" t="n"/>
      <c r="I54" s="1019" t="n"/>
      <c r="J54" s="1019" t="n"/>
      <c r="K54" s="1019" t="n"/>
      <c r="L54" s="1019" t="n"/>
      <c r="M54" s="1019" t="n"/>
      <c r="N54" s="1019" t="n"/>
      <c r="O54" s="1019" t="n"/>
      <c r="P54" s="1019" t="n"/>
      <c r="Q54" s="1019" t="n"/>
      <c r="R54" s="1019" t="n"/>
      <c r="S54" s="1019" t="n"/>
      <c r="T54" s="1019" t="n"/>
      <c r="U54" s="1019" t="n"/>
      <c r="V54" s="1019" t="n"/>
      <c r="W54" s="1019" t="n"/>
      <c r="X54" s="1019" t="n"/>
      <c r="Y54" s="1019" t="n"/>
      <c r="Z54" s="1019" t="n"/>
      <c r="AA54" s="722" t="n"/>
      <c r="AB54" s="722" t="n"/>
      <c r="AC54" s="722" t="n"/>
    </row>
    <row r="55" ht="27" customHeight="1">
      <c r="A55" s="63" t="inlineStr">
        <is>
          <t>SU003642</t>
        </is>
      </c>
      <c r="B55" s="63" t="inlineStr">
        <is>
          <t>P005001</t>
        </is>
      </c>
      <c r="C55" s="36" t="n">
        <v>4301012161</v>
      </c>
      <c r="D55" s="723" t="n">
        <v>4680115885882</v>
      </c>
      <c r="E55" s="1031" t="n"/>
      <c r="F55" s="1070" t="n">
        <v>1.4</v>
      </c>
      <c r="G55" s="37" t="n">
        <v>8</v>
      </c>
      <c r="H55" s="1070" t="n">
        <v>11.2</v>
      </c>
      <c r="I55" s="1070" t="n">
        <v>11.61</v>
      </c>
      <c r="J55" s="37" t="n">
        <v>64</v>
      </c>
      <c r="K55" s="37" t="inlineStr">
        <is>
          <t>8</t>
        </is>
      </c>
      <c r="L55" s="37" t="inlineStr"/>
      <c r="M55" s="38" t="inlineStr">
        <is>
          <t>СК1</t>
        </is>
      </c>
      <c r="N55" s="38" t="n"/>
      <c r="O55" s="37" t="n">
        <v>50</v>
      </c>
      <c r="P55" s="1095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55" s="1072" t="n"/>
      <c r="R55" s="1072" t="n"/>
      <c r="S55" s="1072" t="n"/>
      <c r="T55" s="1073" t="n"/>
      <c r="U55" s="39" t="inlineStr"/>
      <c r="V55" s="39" t="inlineStr"/>
      <c r="W55" s="40" t="inlineStr">
        <is>
          <t>кг</t>
        </is>
      </c>
      <c r="X55" s="1074" t="n">
        <v>0</v>
      </c>
      <c r="Y55" s="1075">
        <f>IFERROR(IF(X55="",0,CEILING((X55/$H55),1)*$H55),"")</f>
        <v/>
      </c>
      <c r="Z55" s="41">
        <f>IFERROR(IF(Y55=0,"",ROUNDUP(Y55/H55,0)*0.01898),"")</f>
        <v/>
      </c>
      <c r="AA55" s="68" t="inlineStr"/>
      <c r="AB55" s="69" t="inlineStr"/>
      <c r="AC55" s="118" t="inlineStr">
        <is>
          <t>ЕАЭС N RU Д-RU.РА06.В.18331/23, ЕАЭС N RU Д-RU.РА10.В.32351/25</t>
        </is>
      </c>
      <c r="AG55" s="78" t="n"/>
      <c r="AJ55" s="84" t="inlineStr"/>
      <c r="AK55" s="84" t="n">
        <v>0</v>
      </c>
      <c r="BB55" s="119" t="inlineStr">
        <is>
          <t>КИ</t>
        </is>
      </c>
      <c r="BM55" s="78">
        <f>IFERROR(X55*I55/H55,"0")</f>
        <v/>
      </c>
      <c r="BN55" s="78">
        <f>IFERROR(Y55*I55/H55,"0")</f>
        <v/>
      </c>
      <c r="BO55" s="78">
        <f>IFERROR(1/J55*(X55/H55),"0")</f>
        <v/>
      </c>
      <c r="BP55" s="78">
        <f>IFERROR(1/J55*(Y55/H55),"0")</f>
        <v/>
      </c>
    </row>
    <row r="56" ht="27" customHeight="1">
      <c r="A56" s="63" t="inlineStr">
        <is>
          <t>SU002829</t>
        </is>
      </c>
      <c r="B56" s="63" t="inlineStr">
        <is>
          <t>P003235</t>
        </is>
      </c>
      <c r="C56" s="36" t="n">
        <v>4301011816</v>
      </c>
      <c r="D56" s="723" t="n">
        <v>4680115881426</v>
      </c>
      <c r="E56" s="1031" t="n"/>
      <c r="F56" s="1070" t="n">
        <v>1.35</v>
      </c>
      <c r="G56" s="37" t="n">
        <v>8</v>
      </c>
      <c r="H56" s="1070" t="n">
        <v>10.8</v>
      </c>
      <c r="I56" s="1070" t="n">
        <v>11.21</v>
      </c>
      <c r="J56" s="37" t="n">
        <v>64</v>
      </c>
      <c r="K56" s="37" t="inlineStr">
        <is>
          <t>8</t>
        </is>
      </c>
      <c r="L56" s="37" t="inlineStr"/>
      <c r="M56" s="38" t="inlineStr">
        <is>
          <t>СК1</t>
        </is>
      </c>
      <c r="N56" s="38" t="n"/>
      <c r="O56" s="37" t="n">
        <v>50</v>
      </c>
      <c r="P56" s="1096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56" s="1072" t="n"/>
      <c r="R56" s="1072" t="n"/>
      <c r="S56" s="1072" t="n"/>
      <c r="T56" s="1073" t="n"/>
      <c r="U56" s="39" t="inlineStr"/>
      <c r="V56" s="39" t="inlineStr"/>
      <c r="W56" s="40" t="inlineStr">
        <is>
          <t>кг</t>
        </is>
      </c>
      <c r="X56" s="1074" t="n">
        <v>0</v>
      </c>
      <c r="Y56" s="1075">
        <f>IFERROR(IF(X56="",0,CEILING((X56/$H56),1)*$H56),"")</f>
        <v/>
      </c>
      <c r="Z56" s="41">
        <f>IFERROR(IF(Y56=0,"",ROUNDUP(Y56/H56,0)*0.01898),"")</f>
        <v/>
      </c>
      <c r="AA56" s="68" t="inlineStr"/>
      <c r="AB56" s="69" t="inlineStr"/>
      <c r="AC56" s="120" t="inlineStr">
        <is>
          <t>ЕАЭС N RU Д-RU.РА09.В.07383/25, ЕАЭС N RU Д-RU.РА09.В.72428/25</t>
        </is>
      </c>
      <c r="AG56" s="78" t="n"/>
      <c r="AJ56" s="84" t="inlineStr"/>
      <c r="AK56" s="84" t="n">
        <v>0</v>
      </c>
      <c r="BB56" s="121" t="inlineStr">
        <is>
          <t>КИ</t>
        </is>
      </c>
      <c r="BM56" s="78">
        <f>IFERROR(X56*I56/H56,"0")</f>
        <v/>
      </c>
      <c r="BN56" s="78">
        <f>IFERROR(Y56*I56/H56,"0")</f>
        <v/>
      </c>
      <c r="BO56" s="78">
        <f>IFERROR(1/J56*(X56/H56),"0")</f>
        <v/>
      </c>
      <c r="BP56" s="78">
        <f>IFERROR(1/J56*(Y56/H56),"0")</f>
        <v/>
      </c>
    </row>
    <row r="57" ht="27" customHeight="1">
      <c r="A57" s="63" t="inlineStr">
        <is>
          <t>SU002829</t>
        </is>
      </c>
      <c r="B57" s="63" t="inlineStr">
        <is>
          <t>P005005</t>
        </is>
      </c>
      <c r="C57" s="36" t="n">
        <v>4301012162</v>
      </c>
      <c r="D57" s="723" t="n">
        <v>4680115881426</v>
      </c>
      <c r="E57" s="1031" t="n"/>
      <c r="F57" s="1070" t="n">
        <v>1.35</v>
      </c>
      <c r="G57" s="37" t="n">
        <v>8</v>
      </c>
      <c r="H57" s="1070" t="n">
        <v>10.8</v>
      </c>
      <c r="I57" s="1070" t="n">
        <v>11.21</v>
      </c>
      <c r="J57" s="37" t="n">
        <v>64</v>
      </c>
      <c r="K57" s="37" t="inlineStr">
        <is>
          <t>8</t>
        </is>
      </c>
      <c r="L57" s="37" t="inlineStr"/>
      <c r="M57" s="38" t="inlineStr">
        <is>
          <t>СК1</t>
        </is>
      </c>
      <c r="N57" s="38" t="n"/>
      <c r="O57" s="37" t="n">
        <v>50</v>
      </c>
      <c r="P57" s="1097">
        <f>HYPERLINK("https://abi.ru/products/Охлажденные/Вязанка/Филейская/Вареные колбасы/P005005/","Вареные колбасы «Филейская» Весовой п/а ТМ «Вязанка»")</f>
        <v/>
      </c>
      <c r="Q57" s="1072" t="n"/>
      <c r="R57" s="1072" t="n"/>
      <c r="S57" s="1072" t="n"/>
      <c r="T57" s="1073" t="n"/>
      <c r="U57" s="39" t="inlineStr"/>
      <c r="V57" s="39" t="inlineStr"/>
      <c r="W57" s="40" t="inlineStr">
        <is>
          <t>кг</t>
        </is>
      </c>
      <c r="X57" s="1074" t="n">
        <v>0</v>
      </c>
      <c r="Y57" s="1075">
        <f>IFERROR(IF(X57="",0,CEILING((X57/$H57),1)*$H57),"")</f>
        <v/>
      </c>
      <c r="Z57" s="41">
        <f>IFERROR(IF(Y57=0,"",ROUNDUP(Y57/H57,0)*0.01898),"")</f>
        <v/>
      </c>
      <c r="AA57" s="68" t="inlineStr"/>
      <c r="AB57" s="69" t="inlineStr"/>
      <c r="AC57" s="122" t="inlineStr">
        <is>
          <t>ЕАЭС N RU Д-RU.РА06.В.81983/26, ЕАЭС N RU Д-RU.РА09.В.72428/25</t>
        </is>
      </c>
      <c r="AG57" s="78" t="n"/>
      <c r="AJ57" s="84" t="inlineStr"/>
      <c r="AK57" s="84" t="n">
        <v>0</v>
      </c>
      <c r="BB57" s="123" t="inlineStr">
        <is>
          <t>КИ</t>
        </is>
      </c>
      <c r="BM57" s="78">
        <f>IFERROR(X57*I57/H57,"0")</f>
        <v/>
      </c>
      <c r="BN57" s="78">
        <f>IFERROR(Y57*I57/H57,"0")</f>
        <v/>
      </c>
      <c r="BO57" s="78">
        <f>IFERROR(1/J57*(X57/H57),"0")</f>
        <v/>
      </c>
      <c r="BP57" s="78">
        <f>IFERROR(1/J57*(Y57/H57),"0")</f>
        <v/>
      </c>
    </row>
    <row r="58" ht="27" customHeight="1">
      <c r="A58" s="63" t="inlineStr">
        <is>
          <t>SU002674</t>
        </is>
      </c>
      <c r="B58" s="63" t="inlineStr">
        <is>
          <t>P005294</t>
        </is>
      </c>
      <c r="C58" s="36" t="n">
        <v>4301012259</v>
      </c>
      <c r="D58" s="723" t="n">
        <v>4680115880283</v>
      </c>
      <c r="E58" s="1031" t="n"/>
      <c r="F58" s="1070" t="n">
        <v>0.6</v>
      </c>
      <c r="G58" s="37" t="n">
        <v>8</v>
      </c>
      <c r="H58" s="1070" t="n">
        <v>4.8</v>
      </c>
      <c r="I58" s="1070" t="n">
        <v>4.99</v>
      </c>
      <c r="J58" s="37" t="n">
        <v>132</v>
      </c>
      <c r="K58" s="37" t="inlineStr">
        <is>
          <t>12</t>
        </is>
      </c>
      <c r="L58" s="37" t="inlineStr"/>
      <c r="M58" s="38" t="inlineStr">
        <is>
          <t>СК1</t>
        </is>
      </c>
      <c r="N58" s="38" t="n"/>
      <c r="O58" s="37" t="n">
        <v>45</v>
      </c>
      <c r="P58" s="1098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58" s="1072" t="n"/>
      <c r="R58" s="1072" t="n"/>
      <c r="S58" s="1072" t="n"/>
      <c r="T58" s="1073" t="n"/>
      <c r="U58" s="39" t="inlineStr"/>
      <c r="V58" s="39" t="inlineStr"/>
      <c r="W58" s="40" t="inlineStr">
        <is>
          <t>кг</t>
        </is>
      </c>
      <c r="X58" s="1074" t="n">
        <v>0</v>
      </c>
      <c r="Y58" s="1075">
        <f>IFERROR(IF(X58="",0,CEILING((X58/$H58),1)*$H58),"")</f>
        <v/>
      </c>
      <c r="Z58" s="41">
        <f>IFERROR(IF(Y58=0,"",ROUNDUP(Y58/H58,0)*0.00902),"")</f>
        <v/>
      </c>
      <c r="AA58" s="68" t="inlineStr"/>
      <c r="AB58" s="69" t="inlineStr"/>
      <c r="AC58" s="124" t="inlineStr">
        <is>
          <t>ЕАЭС N RU Д-RU.РА03.В.01645/25</t>
        </is>
      </c>
      <c r="AG58" s="78" t="n"/>
      <c r="AJ58" s="84" t="inlineStr"/>
      <c r="AK58" s="84" t="n">
        <v>0</v>
      </c>
      <c r="BB58" s="125" t="inlineStr">
        <is>
          <t>КИ</t>
        </is>
      </c>
      <c r="BM58" s="78">
        <f>IFERROR(X58*I58/H58,"0")</f>
        <v/>
      </c>
      <c r="BN58" s="78">
        <f>IFERROR(Y58*I58/H58,"0")</f>
        <v/>
      </c>
      <c r="BO58" s="78">
        <f>IFERROR(1/J58*(X58/H58),"0")</f>
        <v/>
      </c>
      <c r="BP58" s="78">
        <f>IFERROR(1/J58*(Y58/H58),"0")</f>
        <v/>
      </c>
    </row>
    <row r="59" ht="27" customHeight="1">
      <c r="A59" s="63" t="inlineStr">
        <is>
          <t>SU002831</t>
        </is>
      </c>
      <c r="B59" s="63" t="inlineStr">
        <is>
          <t>P003243</t>
        </is>
      </c>
      <c r="C59" s="36" t="n">
        <v>4301011806</v>
      </c>
      <c r="D59" s="723" t="n">
        <v>4680115881525</v>
      </c>
      <c r="E59" s="1031" t="n"/>
      <c r="F59" s="1070" t="n">
        <v>0.4</v>
      </c>
      <c r="G59" s="37" t="n">
        <v>10</v>
      </c>
      <c r="H59" s="1070" t="n">
        <v>4</v>
      </c>
      <c r="I59" s="1070" t="n">
        <v>4.19</v>
      </c>
      <c r="J59" s="37" t="n">
        <v>132</v>
      </c>
      <c r="K59" s="37" t="inlineStr">
        <is>
          <t>12</t>
        </is>
      </c>
      <c r="L59" s="37" t="inlineStr"/>
      <c r="M59" s="38" t="inlineStr">
        <is>
          <t>СК1</t>
        </is>
      </c>
      <c r="N59" s="38" t="n"/>
      <c r="O59" s="37" t="n">
        <v>50</v>
      </c>
      <c r="P59" s="1099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59" s="1072" t="n"/>
      <c r="R59" s="1072" t="n"/>
      <c r="S59" s="1072" t="n"/>
      <c r="T59" s="1073" t="n"/>
      <c r="U59" s="39" t="inlineStr"/>
      <c r="V59" s="39" t="inlineStr"/>
      <c r="W59" s="40" t="inlineStr">
        <is>
          <t>кг</t>
        </is>
      </c>
      <c r="X59" s="1074" t="n">
        <v>0</v>
      </c>
      <c r="Y59" s="1075">
        <f>IFERROR(IF(X59="",0,CEILING((X59/$H59),1)*$H59),"")</f>
        <v/>
      </c>
      <c r="Z59" s="41">
        <f>IFERROR(IF(Y59=0,"",ROUNDUP(Y59/H59,0)*0.00902),"")</f>
        <v/>
      </c>
      <c r="AA59" s="68" t="inlineStr"/>
      <c r="AB59" s="69" t="inlineStr"/>
      <c r="AC59" s="126" t="inlineStr">
        <is>
          <t>ЕАЭС N RU Д-RU.РА01.В.10475/23, ЕАЭС N RU Д-RU.РА09.В.72428/25</t>
        </is>
      </c>
      <c r="AG59" s="78" t="n"/>
      <c r="AJ59" s="84" t="inlineStr"/>
      <c r="AK59" s="84" t="n">
        <v>0</v>
      </c>
      <c r="BB59" s="127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SU002831</t>
        </is>
      </c>
      <c r="B60" s="63" t="inlineStr">
        <is>
          <t>P004998</t>
        </is>
      </c>
      <c r="C60" s="36" t="n">
        <v>4301012159</v>
      </c>
      <c r="D60" s="723" t="n">
        <v>4680115881525</v>
      </c>
      <c r="E60" s="1031" t="n"/>
      <c r="F60" s="1070" t="n">
        <v>0.4</v>
      </c>
      <c r="G60" s="37" t="n">
        <v>10</v>
      </c>
      <c r="H60" s="1070" t="n">
        <v>4</v>
      </c>
      <c r="I60" s="1070" t="n">
        <v>4.19</v>
      </c>
      <c r="J60" s="37" t="n">
        <v>132</v>
      </c>
      <c r="K60" s="37" t="inlineStr">
        <is>
          <t>12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100">
        <f>HYPERLINK("https://abi.ru/products/Охлажденные/Вязанка/Филейская/Вареные колбасы/P004998/","Вареные колбасы «Филейская» Фикс.вес 0,4 п/а ТМ «Вязанка»")</f>
        <v/>
      </c>
      <c r="Q60" s="1072" t="n"/>
      <c r="R60" s="1072" t="n"/>
      <c r="S60" s="1072" t="n"/>
      <c r="T60" s="1073" t="n"/>
      <c r="U60" s="39" t="inlineStr"/>
      <c r="V60" s="39" t="inlineStr"/>
      <c r="W60" s="40" t="inlineStr">
        <is>
          <t>кг</t>
        </is>
      </c>
      <c r="X60" s="1074" t="n">
        <v>0</v>
      </c>
      <c r="Y60" s="1075">
        <f>IFERROR(IF(X60="",0,CEILING((X60/$H60),1)*$H60),"")</f>
        <v/>
      </c>
      <c r="Z60" s="41">
        <f>IFERROR(IF(Y60=0,"",ROUNDUP(Y60/H60,0)*0.00902),"")</f>
        <v/>
      </c>
      <c r="AA60" s="68" t="inlineStr"/>
      <c r="AB60" s="69" t="inlineStr"/>
      <c r="AC60" s="128" t="inlineStr">
        <is>
          <t>ЕАЭС N RU Д-RU.РА06.В.81983/26, ЕАЭС N RU Д-RU.РА09.В.72428/25</t>
        </is>
      </c>
      <c r="AG60" s="78" t="n"/>
      <c r="AJ60" s="84" t="inlineStr"/>
      <c r="AK60" s="84" t="n">
        <v>0</v>
      </c>
      <c r="BB60" s="129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SU003033</t>
        </is>
      </c>
      <c r="B61" s="63" t="inlineStr">
        <is>
          <t>P005011</t>
        </is>
      </c>
      <c r="C61" s="36" t="n">
        <v>4301012165</v>
      </c>
      <c r="D61" s="723" t="n">
        <v>4680115885899</v>
      </c>
      <c r="E61" s="1031" t="n"/>
      <c r="F61" s="1070" t="n">
        <v>0.35</v>
      </c>
      <c r="G61" s="37" t="n">
        <v>6</v>
      </c>
      <c r="H61" s="1070" t="n">
        <v>2.1</v>
      </c>
      <c r="I61" s="1070" t="n">
        <v>2.28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101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1" s="1072" t="n"/>
      <c r="R61" s="1072" t="n"/>
      <c r="S61" s="1072" t="n"/>
      <c r="T61" s="1073" t="n"/>
      <c r="U61" s="39" t="inlineStr"/>
      <c r="V61" s="39" t="inlineStr"/>
      <c r="W61" s="40" t="inlineStr">
        <is>
          <t>кг</t>
        </is>
      </c>
      <c r="X61" s="1074" t="n">
        <v>0</v>
      </c>
      <c r="Y61" s="1075">
        <f>IFERROR(IF(X61="",0,CEILING((X61/$H61),1)*$H61),"")</f>
        <v/>
      </c>
      <c r="Z61" s="41">
        <f>IFERROR(IF(Y61=0,"",ROUNDUP(Y61/H61,0)*0.00651),"")</f>
        <v/>
      </c>
      <c r="AA61" s="68" t="inlineStr"/>
      <c r="AB61" s="69" t="inlineStr"/>
      <c r="AC61" s="130" t="inlineStr">
        <is>
          <t>ЕАЭС N RU Д-RU.РА06.В.18331/23, ЕАЭС N RU Д-RU.РА10.В.32351/25</t>
        </is>
      </c>
      <c r="AG61" s="78" t="n"/>
      <c r="AJ61" s="84" t="inlineStr"/>
      <c r="AK61" s="84" t="n">
        <v>0</v>
      </c>
      <c r="BB61" s="131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37.5" customHeight="1">
      <c r="A62" s="63" t="inlineStr">
        <is>
          <t>SU002815</t>
        </is>
      </c>
      <c r="B62" s="63" t="inlineStr">
        <is>
          <t>P003227</t>
        </is>
      </c>
      <c r="C62" s="36" t="n">
        <v>4301011801</v>
      </c>
      <c r="D62" s="723" t="n">
        <v>4680115881419</v>
      </c>
      <c r="E62" s="1031" t="n"/>
      <c r="F62" s="1070" t="n">
        <v>0.45</v>
      </c>
      <c r="G62" s="37" t="n">
        <v>10</v>
      </c>
      <c r="H62" s="1070" t="n">
        <v>4.5</v>
      </c>
      <c r="I62" s="1070" t="n">
        <v>4.69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50</v>
      </c>
      <c r="P62" s="1102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2" s="1072" t="n"/>
      <c r="R62" s="1072" t="n"/>
      <c r="S62" s="1072" t="n"/>
      <c r="T62" s="1073" t="n"/>
      <c r="U62" s="39" t="inlineStr"/>
      <c r="V62" s="39" t="inlineStr"/>
      <c r="W62" s="40" t="inlineStr">
        <is>
          <t>кг</t>
        </is>
      </c>
      <c r="X62" s="1074" t="n">
        <v>0</v>
      </c>
      <c r="Y62" s="1075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32" t="inlineStr">
        <is>
          <t>ЕАЭС N RU Д-RU.РА01.В.10475/23, ЕАЭС N RU Д-RU.РА09.В.72428/25, ЕАЭС N RU Д-RU.РА09.В.73574/25</t>
        </is>
      </c>
      <c r="AG62" s="78" t="n"/>
      <c r="AJ62" s="84" t="inlineStr"/>
      <c r="AK62" s="84" t="n">
        <v>0</v>
      </c>
      <c r="BB62" s="133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SU002815</t>
        </is>
      </c>
      <c r="B63" s="63" t="inlineStr">
        <is>
          <t>P004996</t>
        </is>
      </c>
      <c r="C63" s="36" t="n">
        <v>4301012158</v>
      </c>
      <c r="D63" s="723" t="n">
        <v>4680115881419</v>
      </c>
      <c r="E63" s="1031" t="n"/>
      <c r="F63" s="1070" t="n">
        <v>0.45</v>
      </c>
      <c r="G63" s="37" t="n">
        <v>10</v>
      </c>
      <c r="H63" s="1070" t="n">
        <v>4.5</v>
      </c>
      <c r="I63" s="1070" t="n">
        <v>4.69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50</v>
      </c>
      <c r="P63" s="1103">
        <f>HYPERLINK("https://abi.ru/products/Охлажденные/Вязанка/Филейская/Вареные колбасы/P004996/","Вареные колбасы «Филейская» Фикс.вес 0,45 п/а ТМ «Вязанка»")</f>
        <v/>
      </c>
      <c r="Q63" s="1072" t="n"/>
      <c r="R63" s="1072" t="n"/>
      <c r="S63" s="1072" t="n"/>
      <c r="T63" s="1073" t="n"/>
      <c r="U63" s="39" t="inlineStr"/>
      <c r="V63" s="39" t="inlineStr"/>
      <c r="W63" s="40" t="inlineStr">
        <is>
          <t>кг</t>
        </is>
      </c>
      <c r="X63" s="1074" t="n">
        <v>0</v>
      </c>
      <c r="Y63" s="1075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34" t="inlineStr">
        <is>
          <t>ЕАЭС N RU Д-RU.РА06.В.81983/26, ЕАЭС N RU Д-RU.РА09.В.72428/25</t>
        </is>
      </c>
      <c r="AG63" s="78" t="n"/>
      <c r="AJ63" s="84" t="inlineStr"/>
      <c r="AK63" s="84" t="n">
        <v>0</v>
      </c>
      <c r="BB63" s="135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>
      <c r="A64" s="732" t="n"/>
      <c r="B64" s="1019" t="n"/>
      <c r="C64" s="1019" t="n"/>
      <c r="D64" s="1019" t="n"/>
      <c r="E64" s="1019" t="n"/>
      <c r="F64" s="1019" t="n"/>
      <c r="G64" s="1019" t="n"/>
      <c r="H64" s="1019" t="n"/>
      <c r="I64" s="1019" t="n"/>
      <c r="J64" s="1019" t="n"/>
      <c r="K64" s="1019" t="n"/>
      <c r="L64" s="1019" t="n"/>
      <c r="M64" s="1019" t="n"/>
      <c r="N64" s="1019" t="n"/>
      <c r="O64" s="1077" t="n"/>
      <c r="P64" s="1078" t="inlineStr">
        <is>
          <t>Итого</t>
        </is>
      </c>
      <c r="Q64" s="1039" t="n"/>
      <c r="R64" s="1039" t="n"/>
      <c r="S64" s="1039" t="n"/>
      <c r="T64" s="1039" t="n"/>
      <c r="U64" s="1039" t="n"/>
      <c r="V64" s="1040" t="n"/>
      <c r="W64" s="42" t="inlineStr">
        <is>
          <t>кор</t>
        </is>
      </c>
      <c r="X64" s="1079">
        <f>IFERROR(X55/H55,"0")+IFERROR(X56/H56,"0")+IFERROR(X57/H57,"0")+IFERROR(X58/H58,"0")+IFERROR(X59/H59,"0")+IFERROR(X60/H60,"0")+IFERROR(X61/H61,"0")+IFERROR(X62/H62,"0")+IFERROR(X63/H63,"0")</f>
        <v/>
      </c>
      <c r="Y64" s="1079">
        <f>IFERROR(Y55/H55,"0")+IFERROR(Y56/H56,"0")+IFERROR(Y57/H57,"0")+IFERROR(Y58/H58,"0")+IFERROR(Y59/H59,"0")+IFERROR(Y60/H60,"0")+IFERROR(Y61/H61,"0")+IFERROR(Y62/H62,"0")+IFERROR(Y63/H63,"0")</f>
        <v/>
      </c>
      <c r="Z64" s="1079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/>
      </c>
      <c r="AA64" s="1080" t="n"/>
      <c r="AB64" s="1080" t="n"/>
      <c r="AC64" s="1080" t="n"/>
    </row>
    <row r="65">
      <c r="A65" s="1019" t="n"/>
      <c r="B65" s="1019" t="n"/>
      <c r="C65" s="1019" t="n"/>
      <c r="D65" s="1019" t="n"/>
      <c r="E65" s="1019" t="n"/>
      <c r="F65" s="1019" t="n"/>
      <c r="G65" s="1019" t="n"/>
      <c r="H65" s="1019" t="n"/>
      <c r="I65" s="1019" t="n"/>
      <c r="J65" s="1019" t="n"/>
      <c r="K65" s="1019" t="n"/>
      <c r="L65" s="1019" t="n"/>
      <c r="M65" s="1019" t="n"/>
      <c r="N65" s="1019" t="n"/>
      <c r="O65" s="1077" t="n"/>
      <c r="P65" s="1078" t="inlineStr">
        <is>
          <t>Итого</t>
        </is>
      </c>
      <c r="Q65" s="1039" t="n"/>
      <c r="R65" s="1039" t="n"/>
      <c r="S65" s="1039" t="n"/>
      <c r="T65" s="1039" t="n"/>
      <c r="U65" s="1039" t="n"/>
      <c r="V65" s="1040" t="n"/>
      <c r="W65" s="42" t="inlineStr">
        <is>
          <t>кг</t>
        </is>
      </c>
      <c r="X65" s="1079">
        <f>IFERROR(SUM(X55:X63),"0")</f>
        <v/>
      </c>
      <c r="Y65" s="1079">
        <f>IFERROR(SUM(Y55:Y63),"0")</f>
        <v/>
      </c>
      <c r="Z65" s="42" t="n"/>
      <c r="AA65" s="1080" t="n"/>
      <c r="AB65" s="1080" t="n"/>
      <c r="AC65" s="1080" t="n"/>
    </row>
    <row r="66" ht="14.25" customHeight="1">
      <c r="A66" s="722" t="inlineStr">
        <is>
          <t>Ветчины</t>
        </is>
      </c>
      <c r="B66" s="1019" t="n"/>
      <c r="C66" s="1019" t="n"/>
      <c r="D66" s="1019" t="n"/>
      <c r="E66" s="1019" t="n"/>
      <c r="F66" s="1019" t="n"/>
      <c r="G66" s="1019" t="n"/>
      <c r="H66" s="1019" t="n"/>
      <c r="I66" s="1019" t="n"/>
      <c r="J66" s="1019" t="n"/>
      <c r="K66" s="1019" t="n"/>
      <c r="L66" s="1019" t="n"/>
      <c r="M66" s="1019" t="n"/>
      <c r="N66" s="1019" t="n"/>
      <c r="O66" s="1019" t="n"/>
      <c r="P66" s="1019" t="n"/>
      <c r="Q66" s="1019" t="n"/>
      <c r="R66" s="1019" t="n"/>
      <c r="S66" s="1019" t="n"/>
      <c r="T66" s="1019" t="n"/>
      <c r="U66" s="1019" t="n"/>
      <c r="V66" s="1019" t="n"/>
      <c r="W66" s="1019" t="n"/>
      <c r="X66" s="1019" t="n"/>
      <c r="Y66" s="1019" t="n"/>
      <c r="Z66" s="1019" t="n"/>
      <c r="AA66" s="722" t="n"/>
      <c r="AB66" s="722" t="n"/>
      <c r="AC66" s="722" t="n"/>
    </row>
    <row r="67" ht="16.5" customHeight="1">
      <c r="A67" s="63" t="inlineStr">
        <is>
          <t>SU002828</t>
        </is>
      </c>
      <c r="B67" s="63" t="inlineStr">
        <is>
          <t>P003234</t>
        </is>
      </c>
      <c r="C67" s="36" t="n">
        <v>4301020298</v>
      </c>
      <c r="D67" s="723" t="n">
        <v>4680115881440</v>
      </c>
      <c r="E67" s="1031" t="n"/>
      <c r="F67" s="1070" t="n">
        <v>1.35</v>
      </c>
      <c r="G67" s="37" t="n">
        <v>8</v>
      </c>
      <c r="H67" s="1070" t="n">
        <v>10.8</v>
      </c>
      <c r="I67" s="1070" t="n">
        <v>11.21</v>
      </c>
      <c r="J67" s="37" t="n">
        <v>64</v>
      </c>
      <c r="K67" s="37" t="inlineStr">
        <is>
          <t>8</t>
        </is>
      </c>
      <c r="L67" s="37" t="inlineStr"/>
      <c r="M67" s="38" t="inlineStr">
        <is>
          <t>СК1</t>
        </is>
      </c>
      <c r="N67" s="38" t="n"/>
      <c r="O67" s="37" t="n">
        <v>50</v>
      </c>
      <c r="P67" s="1104">
        <f>HYPERLINK("https://abi.ru/products/Охлажденные/Вязанка/Филейская/Ветчины/P003234/","Ветчины «Филейская» Весовые Вектор ТМ «Вязанка»")</f>
        <v/>
      </c>
      <c r="Q67" s="1072" t="n"/>
      <c r="R67" s="1072" t="n"/>
      <c r="S67" s="1072" t="n"/>
      <c r="T67" s="1073" t="n"/>
      <c r="U67" s="39" t="inlineStr"/>
      <c r="V67" s="39" t="inlineStr"/>
      <c r="W67" s="40" t="inlineStr">
        <is>
          <t>кг</t>
        </is>
      </c>
      <c r="X67" s="1074" t="n">
        <v>23</v>
      </c>
      <c r="Y67" s="1075">
        <f>IFERROR(IF(X67="",0,CEILING((X67/$H67),1)*$H67),"")</f>
        <v/>
      </c>
      <c r="Z67" s="41">
        <f>IFERROR(IF(Y67=0,"",ROUNDUP(Y67/H67,0)*0.01898),"")</f>
        <v/>
      </c>
      <c r="AA67" s="68" t="inlineStr"/>
      <c r="AB67" s="69" t="inlineStr"/>
      <c r="AC67" s="136" t="inlineStr">
        <is>
          <t>ЕАЭС N RU Д-RU.РА11.В.74223/25</t>
        </is>
      </c>
      <c r="AG67" s="78" t="n"/>
      <c r="AJ67" s="84" t="inlineStr"/>
      <c r="AK67" s="84" t="n">
        <v>0</v>
      </c>
      <c r="BB67" s="137" t="inlineStr">
        <is>
          <t>КИ</t>
        </is>
      </c>
      <c r="BM67" s="78">
        <f>IFERROR(X67*I67/H67,"0")</f>
        <v/>
      </c>
      <c r="BN67" s="78">
        <f>IFERROR(Y67*I67/H67,"0")</f>
        <v/>
      </c>
      <c r="BO67" s="78">
        <f>IFERROR(1/J67*(X67/H67),"0")</f>
        <v/>
      </c>
      <c r="BP67" s="78">
        <f>IFERROR(1/J67*(Y67/H67),"0")</f>
        <v/>
      </c>
    </row>
    <row r="68" ht="27" customHeight="1">
      <c r="A68" s="63" t="inlineStr">
        <is>
          <t>SU002828</t>
        </is>
      </c>
      <c r="B68" s="63" t="inlineStr">
        <is>
          <t>P005003</t>
        </is>
      </c>
      <c r="C68" s="36" t="n">
        <v>4301020390</v>
      </c>
      <c r="D68" s="723" t="n">
        <v>4680115881440</v>
      </c>
      <c r="E68" s="1031" t="n"/>
      <c r="F68" s="1070" t="n">
        <v>1.35</v>
      </c>
      <c r="G68" s="37" t="n">
        <v>8</v>
      </c>
      <c r="H68" s="1070" t="n">
        <v>10.8</v>
      </c>
      <c r="I68" s="1070" t="n">
        <v>11.21</v>
      </c>
      <c r="J68" s="37" t="n">
        <v>64</v>
      </c>
      <c r="K68" s="37" t="inlineStr">
        <is>
          <t>8</t>
        </is>
      </c>
      <c r="L68" s="37" t="inlineStr"/>
      <c r="M68" s="38" t="inlineStr">
        <is>
          <t>СК1</t>
        </is>
      </c>
      <c r="N68" s="38" t="n"/>
      <c r="O68" s="37" t="n">
        <v>50</v>
      </c>
      <c r="P68" s="1105">
        <f>HYPERLINK("https://abi.ru/products/Охлажденные/Вязанка/Филейская/Ветчины/P005003/","Ветчины «Филейская» Весовой п/а ТМ «Вязанка»")</f>
        <v/>
      </c>
      <c r="Q68" s="1072" t="n"/>
      <c r="R68" s="1072" t="n"/>
      <c r="S68" s="1072" t="n"/>
      <c r="T68" s="1073" t="n"/>
      <c r="U68" s="39" t="inlineStr"/>
      <c r="V68" s="39" t="inlineStr"/>
      <c r="W68" s="40" t="inlineStr">
        <is>
          <t>кг</t>
        </is>
      </c>
      <c r="X68" s="1074" t="n">
        <v>0</v>
      </c>
      <c r="Y68" s="1075">
        <f>IFERROR(IF(X68="",0,CEILING((X68/$H68),1)*$H68),"")</f>
        <v/>
      </c>
      <c r="Z68" s="41">
        <f>IFERROR(IF(Y68=0,"",ROUNDUP(Y68/H68,0)*0.01898),"")</f>
        <v/>
      </c>
      <c r="AA68" s="68" t="inlineStr"/>
      <c r="AB68" s="69" t="inlineStr"/>
      <c r="AC68" s="138" t="inlineStr">
        <is>
          <t>ЕАЭС N RU Д-RU.РА06.В.89149/23, ЕАЭС N RU Д-RU.РА11.В.74223/25</t>
        </is>
      </c>
      <c r="AG68" s="78" t="n"/>
      <c r="AJ68" s="84" t="inlineStr"/>
      <c r="AK68" s="84" t="n">
        <v>0</v>
      </c>
      <c r="BB68" s="139" t="inlineStr">
        <is>
          <t>КИ</t>
        </is>
      </c>
      <c r="BM68" s="78">
        <f>IFERROR(X68*I68/H68,"0")</f>
        <v/>
      </c>
      <c r="BN68" s="78">
        <f>IFERROR(Y68*I68/H68,"0")</f>
        <v/>
      </c>
      <c r="BO68" s="78">
        <f>IFERROR(1/J68*(X68/H68),"0")</f>
        <v/>
      </c>
      <c r="BP68" s="78">
        <f>IFERROR(1/J68*(Y68/H68),"0")</f>
        <v/>
      </c>
    </row>
    <row r="69" ht="16.5" customHeight="1">
      <c r="A69" s="63" t="inlineStr">
        <is>
          <t>SU003689</t>
        </is>
      </c>
      <c r="B69" s="63" t="inlineStr">
        <is>
          <t>P004676</t>
        </is>
      </c>
      <c r="C69" s="36" t="n">
        <v>4301020358</v>
      </c>
      <c r="D69" s="723" t="n">
        <v>4680115885950</v>
      </c>
      <c r="E69" s="1031" t="n"/>
      <c r="F69" s="1070" t="n">
        <v>0.37</v>
      </c>
      <c r="G69" s="37" t="n">
        <v>6</v>
      </c>
      <c r="H69" s="1070" t="n">
        <v>2.22</v>
      </c>
      <c r="I69" s="1070" t="n">
        <v>2.4</v>
      </c>
      <c r="J69" s="37" t="n">
        <v>182</v>
      </c>
      <c r="K69" s="37" t="inlineStr">
        <is>
          <t>14</t>
        </is>
      </c>
      <c r="L69" s="37" t="inlineStr"/>
      <c r="M69" s="38" t="inlineStr">
        <is>
          <t>СК3</t>
        </is>
      </c>
      <c r="N69" s="38" t="n"/>
      <c r="O69" s="37" t="n">
        <v>50</v>
      </c>
      <c r="P69" s="1106">
        <f>HYPERLINK("https://abi.ru/products/Охлажденные/Вязанка/Филейская/Ветчины/P004676/","Ветчины «Филейская» ф/в 0,37 п/а ТМ «Вязанка»")</f>
        <v/>
      </c>
      <c r="Q69" s="1072" t="n"/>
      <c r="R69" s="1072" t="n"/>
      <c r="S69" s="1072" t="n"/>
      <c r="T69" s="1073" t="n"/>
      <c r="U69" s="39" t="inlineStr"/>
      <c r="V69" s="39" t="inlineStr"/>
      <c r="W69" s="40" t="inlineStr">
        <is>
          <t>кг</t>
        </is>
      </c>
      <c r="X69" s="1074" t="n">
        <v>0</v>
      </c>
      <c r="Y69" s="1075">
        <f>IFERROR(IF(X69="",0,CEILING((X69/$H69),1)*$H69),"")</f>
        <v/>
      </c>
      <c r="Z69" s="41">
        <f>IFERROR(IF(Y69=0,"",ROUNDUP(Y69/H69,0)*0.00651),"")</f>
        <v/>
      </c>
      <c r="AA69" s="68" t="inlineStr"/>
      <c r="AB69" s="69" t="inlineStr"/>
      <c r="AC69" s="140" t="inlineStr">
        <is>
          <t>ЕАЭС N RU Д-RU.РА11.В.74223/25</t>
        </is>
      </c>
      <c r="AG69" s="78" t="n"/>
      <c r="AJ69" s="84" t="inlineStr"/>
      <c r="AK69" s="84" t="n">
        <v>0</v>
      </c>
      <c r="BB69" s="141" t="inlineStr">
        <is>
          <t>КИ</t>
        </is>
      </c>
      <c r="BM69" s="78">
        <f>IFERROR(X69*I69/H69,"0")</f>
        <v/>
      </c>
      <c r="BN69" s="78">
        <f>IFERROR(Y69*I69/H69,"0")</f>
        <v/>
      </c>
      <c r="BO69" s="78">
        <f>IFERROR(1/J69*(X69/H69),"0")</f>
        <v/>
      </c>
      <c r="BP69" s="78">
        <f>IFERROR(1/J69*(Y69/H69),"0")</f>
        <v/>
      </c>
    </row>
    <row r="70" ht="16.5" customHeight="1">
      <c r="A70" s="63" t="inlineStr">
        <is>
          <t>SU003739</t>
        </is>
      </c>
      <c r="B70" s="63" t="inlineStr">
        <is>
          <t>P004741</t>
        </is>
      </c>
      <c r="C70" s="36" t="n">
        <v>4301020371</v>
      </c>
      <c r="D70" s="723" t="n">
        <v>4680115887688</v>
      </c>
      <c r="E70" s="1031" t="n"/>
      <c r="F70" s="1070" t="n">
        <v>0.1</v>
      </c>
      <c r="G70" s="37" t="n">
        <v>10</v>
      </c>
      <c r="H70" s="1070" t="n">
        <v>1</v>
      </c>
      <c r="I70" s="1070" t="n">
        <v>1.21</v>
      </c>
      <c r="J70" s="37" t="n">
        <v>192</v>
      </c>
      <c r="K70" s="37" t="inlineStr">
        <is>
          <t>24</t>
        </is>
      </c>
      <c r="L70" s="37" t="inlineStr"/>
      <c r="M70" s="38" t="inlineStr">
        <is>
          <t>СК2</t>
        </is>
      </c>
      <c r="N70" s="38" t="n"/>
      <c r="O70" s="37" t="n">
        <v>30</v>
      </c>
      <c r="P70" s="1107">
        <f>HYPERLINK("https://abi.ru/products/Охлажденные/Вязанка/Филейская/Ветчины/P004741/","Ветчины «Филейская» Фикс.вес 0,1 нарезка ТМ «Вязанка»")</f>
        <v/>
      </c>
      <c r="Q70" s="1072" t="n"/>
      <c r="R70" s="1072" t="n"/>
      <c r="S70" s="1072" t="n"/>
      <c r="T70" s="1073" t="n"/>
      <c r="U70" s="39" t="inlineStr"/>
      <c r="V70" s="39" t="inlineStr"/>
      <c r="W70" s="40" t="inlineStr">
        <is>
          <t>кг</t>
        </is>
      </c>
      <c r="X70" s="1074" t="n">
        <v>0</v>
      </c>
      <c r="Y70" s="1075">
        <f>IFERROR(IF(X70="",0,CEILING((X70/$H70),1)*$H70),"")</f>
        <v/>
      </c>
      <c r="Z70" s="41">
        <f>IFERROR(IF(Y70=0,"",ROUNDUP(Y70/H70,0)*0.00726),"")</f>
        <v/>
      </c>
      <c r="AA70" s="68" t="inlineStr"/>
      <c r="AB70" s="69" t="inlineStr"/>
      <c r="AC70" s="142" t="inlineStr">
        <is>
          <t>ЕАЭС N RU Д-RU.РА08.В.75874/25</t>
        </is>
      </c>
      <c r="AG70" s="78" t="n"/>
      <c r="AJ70" s="84" t="inlineStr"/>
      <c r="AK70" s="84" t="n">
        <v>0</v>
      </c>
      <c r="BB70" s="143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27" customHeight="1">
      <c r="A71" s="63" t="inlineStr">
        <is>
          <t>SU002814</t>
        </is>
      </c>
      <c r="B71" s="63" t="inlineStr">
        <is>
          <t>P003226</t>
        </is>
      </c>
      <c r="C71" s="36" t="n">
        <v>4301020296</v>
      </c>
      <c r="D71" s="723" t="n">
        <v>4680115881433</v>
      </c>
      <c r="E71" s="1031" t="n"/>
      <c r="F71" s="1070" t="n">
        <v>0.45</v>
      </c>
      <c r="G71" s="37" t="n">
        <v>6</v>
      </c>
      <c r="H71" s="1070" t="n">
        <v>2.7</v>
      </c>
      <c r="I71" s="1070" t="n">
        <v>2.88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СК1</t>
        </is>
      </c>
      <c r="N71" s="38" t="n"/>
      <c r="O71" s="37" t="n">
        <v>50</v>
      </c>
      <c r="P71" s="1108">
        <f>HYPERLINK("https://abi.ru/products/Охлажденные/Вязанка/Филейская/Ветчины/P003226/","Ветчины «Филейская» Фикс.вес 0,45 Вектор ТМ «Вязанка»")</f>
        <v/>
      </c>
      <c r="Q71" s="1072" t="n"/>
      <c r="R71" s="1072" t="n"/>
      <c r="S71" s="1072" t="n"/>
      <c r="T71" s="1073" t="n"/>
      <c r="U71" s="39" t="inlineStr"/>
      <c r="V71" s="39" t="inlineStr"/>
      <c r="W71" s="40" t="inlineStr">
        <is>
          <t>кг</t>
        </is>
      </c>
      <c r="X71" s="1074" t="n">
        <v>0</v>
      </c>
      <c r="Y71" s="1075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44" t="inlineStr">
        <is>
          <t>ЕАЭС N RU Д-RU.РА11.В.74223/25</t>
        </is>
      </c>
      <c r="AG71" s="78" t="n"/>
      <c r="AJ71" s="84" t="inlineStr"/>
      <c r="AK71" s="84" t="n">
        <v>0</v>
      </c>
      <c r="BB71" s="145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27" customHeight="1">
      <c r="A72" s="63" t="inlineStr">
        <is>
          <t>SU002814</t>
        </is>
      </c>
      <c r="B72" s="63" t="inlineStr">
        <is>
          <t>P005002</t>
        </is>
      </c>
      <c r="C72" s="36" t="n">
        <v>4301020389</v>
      </c>
      <c r="D72" s="723" t="n">
        <v>4680115881433</v>
      </c>
      <c r="E72" s="1031" t="n"/>
      <c r="F72" s="1070" t="n">
        <v>0.45</v>
      </c>
      <c r="G72" s="37" t="n">
        <v>6</v>
      </c>
      <c r="H72" s="1070" t="n">
        <v>2.7</v>
      </c>
      <c r="I72" s="1070" t="n">
        <v>2.88</v>
      </c>
      <c r="J72" s="37" t="n">
        <v>182</v>
      </c>
      <c r="K72" s="37" t="inlineStr">
        <is>
          <t>14</t>
        </is>
      </c>
      <c r="L72" s="37" t="inlineStr"/>
      <c r="M72" s="38" t="inlineStr">
        <is>
          <t>СК1</t>
        </is>
      </c>
      <c r="N72" s="38" t="n"/>
      <c r="O72" s="37" t="n">
        <v>50</v>
      </c>
      <c r="P72" s="1109">
        <f>HYPERLINK("https://abi.ru/products/Охлажденные/Вязанка/Филейская/Ветчины/P005002/","Ветчины «Филейская» Фикс.вес 0,45 п/а ТМ «Вязанка»")</f>
        <v/>
      </c>
      <c r="Q72" s="1072" t="n"/>
      <c r="R72" s="1072" t="n"/>
      <c r="S72" s="1072" t="n"/>
      <c r="T72" s="1073" t="n"/>
      <c r="U72" s="39" t="inlineStr"/>
      <c r="V72" s="39" t="inlineStr"/>
      <c r="W72" s="40" t="inlineStr">
        <is>
          <t>кг</t>
        </is>
      </c>
      <c r="X72" s="1074" t="n">
        <v>0</v>
      </c>
      <c r="Y72" s="1075">
        <f>IFERROR(IF(X72="",0,CEILING((X72/$H72),1)*$H72),"")</f>
        <v/>
      </c>
      <c r="Z72" s="41">
        <f>IFERROR(IF(Y72=0,"",ROUNDUP(Y72/H72,0)*0.00651),"")</f>
        <v/>
      </c>
      <c r="AA72" s="68" t="inlineStr"/>
      <c r="AB72" s="69" t="inlineStr"/>
      <c r="AC72" s="146" t="inlineStr">
        <is>
          <t>ЕАЭС N RU Д-RU.РА06.В.89149/23, ЕАЭС N RU Д-RU.РА11.В.74223/25</t>
        </is>
      </c>
      <c r="AG72" s="78" t="n"/>
      <c r="AJ72" s="84" t="inlineStr"/>
      <c r="AK72" s="84" t="n">
        <v>0</v>
      </c>
      <c r="BB72" s="147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>
      <c r="A73" s="732" t="n"/>
      <c r="B73" s="1019" t="n"/>
      <c r="C73" s="1019" t="n"/>
      <c r="D73" s="1019" t="n"/>
      <c r="E73" s="1019" t="n"/>
      <c r="F73" s="1019" t="n"/>
      <c r="G73" s="1019" t="n"/>
      <c r="H73" s="1019" t="n"/>
      <c r="I73" s="1019" t="n"/>
      <c r="J73" s="1019" t="n"/>
      <c r="K73" s="1019" t="n"/>
      <c r="L73" s="1019" t="n"/>
      <c r="M73" s="1019" t="n"/>
      <c r="N73" s="1019" t="n"/>
      <c r="O73" s="1077" t="n"/>
      <c r="P73" s="1078" t="inlineStr">
        <is>
          <t>Итого</t>
        </is>
      </c>
      <c r="Q73" s="1039" t="n"/>
      <c r="R73" s="1039" t="n"/>
      <c r="S73" s="1039" t="n"/>
      <c r="T73" s="1039" t="n"/>
      <c r="U73" s="1039" t="n"/>
      <c r="V73" s="1040" t="n"/>
      <c r="W73" s="42" t="inlineStr">
        <is>
          <t>кор</t>
        </is>
      </c>
      <c r="X73" s="1079">
        <f>IFERROR(X67/H67,"0")+IFERROR(X68/H68,"0")+IFERROR(X69/H69,"0")+IFERROR(X70/H70,"0")+IFERROR(X71/H71,"0")+IFERROR(X72/H72,"0")</f>
        <v/>
      </c>
      <c r="Y73" s="1079">
        <f>IFERROR(Y67/H67,"0")+IFERROR(Y68/H68,"0")+IFERROR(Y69/H69,"0")+IFERROR(Y70/H70,"0")+IFERROR(Y71/H71,"0")+IFERROR(Y72/H72,"0")</f>
        <v/>
      </c>
      <c r="Z73" s="1079">
        <f>IFERROR(IF(Z67="",0,Z67),"0")+IFERROR(IF(Z68="",0,Z68),"0")+IFERROR(IF(Z69="",0,Z69),"0")+IFERROR(IF(Z70="",0,Z70),"0")+IFERROR(IF(Z71="",0,Z71),"0")+IFERROR(IF(Z72="",0,Z72),"0")</f>
        <v/>
      </c>
      <c r="AA73" s="1080" t="n"/>
      <c r="AB73" s="1080" t="n"/>
      <c r="AC73" s="1080" t="n"/>
    </row>
    <row r="74">
      <c r="A74" s="1019" t="n"/>
      <c r="B74" s="1019" t="n"/>
      <c r="C74" s="1019" t="n"/>
      <c r="D74" s="1019" t="n"/>
      <c r="E74" s="1019" t="n"/>
      <c r="F74" s="1019" t="n"/>
      <c r="G74" s="1019" t="n"/>
      <c r="H74" s="1019" t="n"/>
      <c r="I74" s="1019" t="n"/>
      <c r="J74" s="1019" t="n"/>
      <c r="K74" s="1019" t="n"/>
      <c r="L74" s="1019" t="n"/>
      <c r="M74" s="1019" t="n"/>
      <c r="N74" s="1019" t="n"/>
      <c r="O74" s="1077" t="n"/>
      <c r="P74" s="1078" t="inlineStr">
        <is>
          <t>Итого</t>
        </is>
      </c>
      <c r="Q74" s="1039" t="n"/>
      <c r="R74" s="1039" t="n"/>
      <c r="S74" s="1039" t="n"/>
      <c r="T74" s="1039" t="n"/>
      <c r="U74" s="1039" t="n"/>
      <c r="V74" s="1040" t="n"/>
      <c r="W74" s="42" t="inlineStr">
        <is>
          <t>кг</t>
        </is>
      </c>
      <c r="X74" s="1079">
        <f>IFERROR(SUM(X67:X72),"0")</f>
        <v/>
      </c>
      <c r="Y74" s="1079">
        <f>IFERROR(SUM(Y67:Y72),"0")</f>
        <v/>
      </c>
      <c r="Z74" s="42" t="n"/>
      <c r="AA74" s="1080" t="n"/>
      <c r="AB74" s="1080" t="n"/>
      <c r="AC74" s="1080" t="n"/>
    </row>
    <row r="75" ht="14.25" customHeight="1">
      <c r="A75" s="722" t="inlineStr">
        <is>
          <t>Сосиски</t>
        </is>
      </c>
      <c r="B75" s="1019" t="n"/>
      <c r="C75" s="1019" t="n"/>
      <c r="D75" s="1019" t="n"/>
      <c r="E75" s="1019" t="n"/>
      <c r="F75" s="1019" t="n"/>
      <c r="G75" s="1019" t="n"/>
      <c r="H75" s="1019" t="n"/>
      <c r="I75" s="1019" t="n"/>
      <c r="J75" s="1019" t="n"/>
      <c r="K75" s="1019" t="n"/>
      <c r="L75" s="1019" t="n"/>
      <c r="M75" s="1019" t="n"/>
      <c r="N75" s="1019" t="n"/>
      <c r="O75" s="1019" t="n"/>
      <c r="P75" s="1019" t="n"/>
      <c r="Q75" s="1019" t="n"/>
      <c r="R75" s="1019" t="n"/>
      <c r="S75" s="1019" t="n"/>
      <c r="T75" s="1019" t="n"/>
      <c r="U75" s="1019" t="n"/>
      <c r="V75" s="1019" t="n"/>
      <c r="W75" s="1019" t="n"/>
      <c r="X75" s="1019" t="n"/>
      <c r="Y75" s="1019" t="n"/>
      <c r="Z75" s="1019" t="n"/>
      <c r="AA75" s="722" t="n"/>
      <c r="AB75" s="722" t="n"/>
      <c r="AC75" s="722" t="n"/>
    </row>
    <row r="76" ht="16.5" customHeight="1">
      <c r="A76" s="63" t="inlineStr">
        <is>
          <t>SU002825</t>
        </is>
      </c>
      <c r="B76" s="63" t="inlineStr">
        <is>
          <t>P004554</t>
        </is>
      </c>
      <c r="C76" s="36" t="n">
        <v>4301051837</v>
      </c>
      <c r="D76" s="723" t="n">
        <v>4680115884311</v>
      </c>
      <c r="E76" s="1031" t="n"/>
      <c r="F76" s="1070" t="n">
        <v>0.3</v>
      </c>
      <c r="G76" s="37" t="n">
        <v>6</v>
      </c>
      <c r="H76" s="1070" t="n">
        <v>1.8</v>
      </c>
      <c r="I76" s="1070" t="n">
        <v>2.046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СК3</t>
        </is>
      </c>
      <c r="N76" s="38" t="n"/>
      <c r="O76" s="37" t="n">
        <v>40</v>
      </c>
      <c r="P76" s="1110">
        <f>HYPERLINK("https://abi.ru/products/Охлажденные/Вязанка/Филейская/Сосиски/P004554/","Сосиски «Филейские» Фикс.вес 0,3 ц/о мгс ТМ «Вязанка»")</f>
        <v/>
      </c>
      <c r="Q76" s="1072" t="n"/>
      <c r="R76" s="1072" t="n"/>
      <c r="S76" s="1072" t="n"/>
      <c r="T76" s="1073" t="n"/>
      <c r="U76" s="39" t="inlineStr"/>
      <c r="V76" s="39" t="inlineStr"/>
      <c r="W76" s="40" t="inlineStr">
        <is>
          <t>кг</t>
        </is>
      </c>
      <c r="X76" s="1074" t="n">
        <v>0</v>
      </c>
      <c r="Y76" s="1075">
        <f>IFERROR(IF(X76="",0,CEILING((X76/$H76),1)*$H76),"")</f>
        <v/>
      </c>
      <c r="Z76" s="41">
        <f>IFERROR(IF(Y76=0,"",ROUNDUP(Y76/H76,0)*0.00651),"")</f>
        <v/>
      </c>
      <c r="AA76" s="68" t="inlineStr"/>
      <c r="AB76" s="69" t="inlineStr"/>
      <c r="AC76" s="148" t="inlineStr">
        <is>
          <t>ЕАЭС N RU Д-RU.РА12.В.00849/25</t>
        </is>
      </c>
      <c r="AG76" s="78" t="n"/>
      <c r="AJ76" s="84" t="inlineStr"/>
      <c r="AK76" s="84" t="n">
        <v>0</v>
      </c>
      <c r="BB76" s="149" t="inlineStr">
        <is>
          <t>КИ</t>
        </is>
      </c>
      <c r="BM76" s="78">
        <f>IFERROR(X76*I76/H76,"0")</f>
        <v/>
      </c>
      <c r="BN76" s="78">
        <f>IFERROR(Y76*I76/H76,"0")</f>
        <v/>
      </c>
      <c r="BO76" s="78">
        <f>IFERROR(1/J76*(X76/H76),"0")</f>
        <v/>
      </c>
      <c r="BP76" s="78">
        <f>IFERROR(1/J76*(Y76/H76),"0")</f>
        <v/>
      </c>
    </row>
    <row r="77" ht="27" customHeight="1">
      <c r="A77" s="63" t="inlineStr">
        <is>
          <t>SU003288</t>
        </is>
      </c>
      <c r="B77" s="63" t="inlineStr">
        <is>
          <t>P005218</t>
        </is>
      </c>
      <c r="C77" s="36" t="n">
        <v>4301052083</v>
      </c>
      <c r="D77" s="723" t="n">
        <v>4680115884403</v>
      </c>
      <c r="E77" s="1031" t="n"/>
      <c r="F77" s="1070" t="n">
        <v>0.3</v>
      </c>
      <c r="G77" s="37" t="n">
        <v>6</v>
      </c>
      <c r="H77" s="1070" t="n">
        <v>1.8</v>
      </c>
      <c r="I77" s="1070" t="n">
        <v>1.98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111">
        <f>HYPERLINK("https://abi.ru/products/Охлажденные/Вязанка/Филейская/Сосиски/P005218/","Сосиски «Филейские Рубленые» Фикс.вес 0,3 ц/о ТМ «Вязанка»")</f>
        <v/>
      </c>
      <c r="Q77" s="1072" t="n"/>
      <c r="R77" s="1072" t="n"/>
      <c r="S77" s="1072" t="n"/>
      <c r="T77" s="1073" t="n"/>
      <c r="U77" s="39" t="inlineStr"/>
      <c r="V77" s="39" t="inlineStr"/>
      <c r="W77" s="40" t="inlineStr">
        <is>
          <t>кг</t>
        </is>
      </c>
      <c r="X77" s="1074" t="n">
        <v>0</v>
      </c>
      <c r="Y77" s="1075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50" t="inlineStr">
        <is>
          <t>ЕАЭС N RU Д-RU.РА09.В.06529/25, ЕАЭС N RU Д-RU.РА09.В.06761/25</t>
        </is>
      </c>
      <c r="AG77" s="78" t="n"/>
      <c r="AJ77" s="84" t="inlineStr"/>
      <c r="AK77" s="84" t="n">
        <v>0</v>
      </c>
      <c r="BB77" s="151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>
      <c r="A78" s="732" t="n"/>
      <c r="B78" s="1019" t="n"/>
      <c r="C78" s="1019" t="n"/>
      <c r="D78" s="1019" t="n"/>
      <c r="E78" s="1019" t="n"/>
      <c r="F78" s="1019" t="n"/>
      <c r="G78" s="1019" t="n"/>
      <c r="H78" s="1019" t="n"/>
      <c r="I78" s="1019" t="n"/>
      <c r="J78" s="1019" t="n"/>
      <c r="K78" s="1019" t="n"/>
      <c r="L78" s="1019" t="n"/>
      <c r="M78" s="1019" t="n"/>
      <c r="N78" s="1019" t="n"/>
      <c r="O78" s="1077" t="n"/>
      <c r="P78" s="1078" t="inlineStr">
        <is>
          <t>Итого</t>
        </is>
      </c>
      <c r="Q78" s="1039" t="n"/>
      <c r="R78" s="1039" t="n"/>
      <c r="S78" s="1039" t="n"/>
      <c r="T78" s="1039" t="n"/>
      <c r="U78" s="1039" t="n"/>
      <c r="V78" s="1040" t="n"/>
      <c r="W78" s="42" t="inlineStr">
        <is>
          <t>кор</t>
        </is>
      </c>
      <c r="X78" s="1079">
        <f>IFERROR(X76/H76,"0")+IFERROR(X77/H77,"0")</f>
        <v/>
      </c>
      <c r="Y78" s="1079">
        <f>IFERROR(Y76/H76,"0")+IFERROR(Y77/H77,"0")</f>
        <v/>
      </c>
      <c r="Z78" s="1079">
        <f>IFERROR(IF(Z76="",0,Z76),"0")+IFERROR(IF(Z77="",0,Z77),"0")</f>
        <v/>
      </c>
      <c r="AA78" s="1080" t="n"/>
      <c r="AB78" s="1080" t="n"/>
      <c r="AC78" s="1080" t="n"/>
    </row>
    <row r="79">
      <c r="A79" s="1019" t="n"/>
      <c r="B79" s="1019" t="n"/>
      <c r="C79" s="1019" t="n"/>
      <c r="D79" s="1019" t="n"/>
      <c r="E79" s="1019" t="n"/>
      <c r="F79" s="1019" t="n"/>
      <c r="G79" s="1019" t="n"/>
      <c r="H79" s="1019" t="n"/>
      <c r="I79" s="1019" t="n"/>
      <c r="J79" s="1019" t="n"/>
      <c r="K79" s="1019" t="n"/>
      <c r="L79" s="1019" t="n"/>
      <c r="M79" s="1019" t="n"/>
      <c r="N79" s="1019" t="n"/>
      <c r="O79" s="1077" t="n"/>
      <c r="P79" s="1078" t="inlineStr">
        <is>
          <t>Итого</t>
        </is>
      </c>
      <c r="Q79" s="1039" t="n"/>
      <c r="R79" s="1039" t="n"/>
      <c r="S79" s="1039" t="n"/>
      <c r="T79" s="1039" t="n"/>
      <c r="U79" s="1039" t="n"/>
      <c r="V79" s="1040" t="n"/>
      <c r="W79" s="42" t="inlineStr">
        <is>
          <t>кг</t>
        </is>
      </c>
      <c r="X79" s="1079">
        <f>IFERROR(SUM(X76:X77),"0")</f>
        <v/>
      </c>
      <c r="Y79" s="1079">
        <f>IFERROR(SUM(Y76:Y77),"0")</f>
        <v/>
      </c>
      <c r="Z79" s="42" t="n"/>
      <c r="AA79" s="1080" t="n"/>
      <c r="AB79" s="1080" t="n"/>
      <c r="AC79" s="1080" t="n"/>
    </row>
    <row r="80" ht="14.25" customHeight="1">
      <c r="A80" s="722" t="inlineStr">
        <is>
          <t>Сардельки</t>
        </is>
      </c>
      <c r="B80" s="1019" t="n"/>
      <c r="C80" s="1019" t="n"/>
      <c r="D80" s="1019" t="n"/>
      <c r="E80" s="1019" t="n"/>
      <c r="F80" s="1019" t="n"/>
      <c r="G80" s="1019" t="n"/>
      <c r="H80" s="1019" t="n"/>
      <c r="I80" s="1019" t="n"/>
      <c r="J80" s="1019" t="n"/>
      <c r="K80" s="1019" t="n"/>
      <c r="L80" s="1019" t="n"/>
      <c r="M80" s="1019" t="n"/>
      <c r="N80" s="1019" t="n"/>
      <c r="O80" s="1019" t="n"/>
      <c r="P80" s="1019" t="n"/>
      <c r="Q80" s="1019" t="n"/>
      <c r="R80" s="1019" t="n"/>
      <c r="S80" s="1019" t="n"/>
      <c r="T80" s="1019" t="n"/>
      <c r="U80" s="1019" t="n"/>
      <c r="V80" s="1019" t="n"/>
      <c r="W80" s="1019" t="n"/>
      <c r="X80" s="1019" t="n"/>
      <c r="Y80" s="1019" t="n"/>
      <c r="Z80" s="1019" t="n"/>
      <c r="AA80" s="722" t="n"/>
      <c r="AB80" s="722" t="n"/>
      <c r="AC80" s="722" t="n"/>
    </row>
    <row r="81" ht="27" customHeight="1">
      <c r="A81" s="63" t="inlineStr">
        <is>
          <t>SU002835</t>
        </is>
      </c>
      <c r="B81" s="63" t="inlineStr">
        <is>
          <t>P003883</t>
        </is>
      </c>
      <c r="C81" s="36" t="n">
        <v>4301060455</v>
      </c>
      <c r="D81" s="723" t="n">
        <v>4680115881532</v>
      </c>
      <c r="E81" s="1031" t="n"/>
      <c r="F81" s="1070" t="n">
        <v>1.3</v>
      </c>
      <c r="G81" s="37" t="n">
        <v>6</v>
      </c>
      <c r="H81" s="1070" t="n">
        <v>7.8</v>
      </c>
      <c r="I81" s="1070" t="n">
        <v>8.210000000000001</v>
      </c>
      <c r="J81" s="37" t="n">
        <v>64</v>
      </c>
      <c r="K81" s="37" t="inlineStr">
        <is>
          <t>8</t>
        </is>
      </c>
      <c r="L81" s="37" t="inlineStr"/>
      <c r="M81" s="38" t="inlineStr">
        <is>
          <t>СК4</t>
        </is>
      </c>
      <c r="N81" s="38" t="n"/>
      <c r="O81" s="37" t="n">
        <v>30</v>
      </c>
      <c r="P81" s="1112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1072" t="n"/>
      <c r="R81" s="1072" t="n"/>
      <c r="S81" s="1072" t="n"/>
      <c r="T81" s="1073" t="n"/>
      <c r="U81" s="39" t="inlineStr"/>
      <c r="V81" s="39" t="inlineStr"/>
      <c r="W81" s="40" t="inlineStr">
        <is>
          <t>кг</t>
        </is>
      </c>
      <c r="X81" s="1074" t="n">
        <v>61</v>
      </c>
      <c r="Y81" s="1075">
        <f>IFERROR(IF(X81="",0,CEILING((X81/$H81),1)*$H81),"")</f>
        <v/>
      </c>
      <c r="Z81" s="41">
        <f>IFERROR(IF(Y81=0,"",ROUNDUP(Y81/H81,0)*0.01898),"")</f>
        <v/>
      </c>
      <c r="AA81" s="68" t="inlineStr"/>
      <c r="AB81" s="69" t="inlineStr"/>
      <c r="AC81" s="152" t="inlineStr">
        <is>
          <t>ЕАЭС N RU Д-RU.РА09.В.53876/25</t>
        </is>
      </c>
      <c r="AG81" s="78" t="n"/>
      <c r="AJ81" s="84" t="inlineStr"/>
      <c r="AK81" s="84" t="n">
        <v>0</v>
      </c>
      <c r="BB81" s="153" t="inlineStr">
        <is>
          <t>КИ</t>
        </is>
      </c>
      <c r="BM81" s="78">
        <f>IFERROR(X81*I81/H81,"0")</f>
        <v/>
      </c>
      <c r="BN81" s="78">
        <f>IFERROR(Y81*I81/H81,"0")</f>
        <v/>
      </c>
      <c r="BO81" s="78">
        <f>IFERROR(1/J81*(X81/H81),"0")</f>
        <v/>
      </c>
      <c r="BP81" s="78">
        <f>IFERROR(1/J81*(Y81/H81),"0")</f>
        <v/>
      </c>
    </row>
    <row r="82" ht="27" customHeight="1">
      <c r="A82" s="63" t="inlineStr">
        <is>
          <t>SU002835</t>
        </is>
      </c>
      <c r="B82" s="63" t="inlineStr">
        <is>
          <t>P005228</t>
        </is>
      </c>
      <c r="C82" s="36" t="n">
        <v>4301060526</v>
      </c>
      <c r="D82" s="723" t="n">
        <v>4680115881532</v>
      </c>
      <c r="E82" s="1031" t="n"/>
      <c r="F82" s="1070" t="n">
        <v>1.3</v>
      </c>
      <c r="G82" s="37" t="n">
        <v>6</v>
      </c>
      <c r="H82" s="1070" t="n">
        <v>7.8</v>
      </c>
      <c r="I82" s="1070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113">
        <f>HYPERLINK("https://abi.ru/products/Охлажденные/Вязанка/Филейская/Сардельки/P005228/","Сардельки «Филейские» Весовой н/о ТМ «Вязанка»")</f>
        <v/>
      </c>
      <c r="Q82" s="1072" t="n"/>
      <c r="R82" s="1072" t="n"/>
      <c r="S82" s="1072" t="n"/>
      <c r="T82" s="1073" t="n"/>
      <c r="U82" s="39" t="inlineStr"/>
      <c r="V82" s="39" t="inlineStr"/>
      <c r="W82" s="40" t="inlineStr">
        <is>
          <t>кг</t>
        </is>
      </c>
      <c r="X82" s="1074" t="n">
        <v>0</v>
      </c>
      <c r="Y82" s="1075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54" t="inlineStr">
        <is>
          <t>ЕАЭС N RU Д-RU.РА09.В.53876/25</t>
        </is>
      </c>
      <c r="AG82" s="78" t="n"/>
      <c r="AJ82" s="84" t="inlineStr"/>
      <c r="AK82" s="84" t="n">
        <v>0</v>
      </c>
      <c r="BB82" s="155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P005229</t>
        </is>
      </c>
      <c r="C83" s="36" t="n">
        <v>4301060527</v>
      </c>
      <c r="D83" s="723" t="n">
        <v>4680115881464</v>
      </c>
      <c r="E83" s="1031" t="n"/>
      <c r="F83" s="1070" t="n">
        <v>0.4</v>
      </c>
      <c r="G83" s="37" t="n">
        <v>6</v>
      </c>
      <c r="H83" s="1070" t="n">
        <v>2.4</v>
      </c>
      <c r="I83" s="1070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114">
        <f>HYPERLINK("https://abi.ru/products/Охлажденные/Вязанка/Филейская/Сардельки/P005229/","Сардельки «Филейские» Фикс.вес 0,4 NDX ТМ «Вязанка»")</f>
        <v/>
      </c>
      <c r="Q83" s="1072" t="n"/>
      <c r="R83" s="1072" t="n"/>
      <c r="S83" s="1072" t="n"/>
      <c r="T83" s="1073" t="n"/>
      <c r="U83" s="39" t="inlineStr"/>
      <c r="V83" s="39" t="inlineStr"/>
      <c r="W83" s="40" t="inlineStr">
        <is>
          <t>кг</t>
        </is>
      </c>
      <c r="X83" s="1074" t="n">
        <v>0</v>
      </c>
      <c r="Y83" s="1075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6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7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32" t="n"/>
      <c r="B84" s="1019" t="n"/>
      <c r="C84" s="1019" t="n"/>
      <c r="D84" s="1019" t="n"/>
      <c r="E84" s="1019" t="n"/>
      <c r="F84" s="1019" t="n"/>
      <c r="G84" s="1019" t="n"/>
      <c r="H84" s="1019" t="n"/>
      <c r="I84" s="1019" t="n"/>
      <c r="J84" s="1019" t="n"/>
      <c r="K84" s="1019" t="n"/>
      <c r="L84" s="1019" t="n"/>
      <c r="M84" s="1019" t="n"/>
      <c r="N84" s="1019" t="n"/>
      <c r="O84" s="1077" t="n"/>
      <c r="P84" s="1078" t="inlineStr">
        <is>
          <t>Итого</t>
        </is>
      </c>
      <c r="Q84" s="1039" t="n"/>
      <c r="R84" s="1039" t="n"/>
      <c r="S84" s="1039" t="n"/>
      <c r="T84" s="1039" t="n"/>
      <c r="U84" s="1039" t="n"/>
      <c r="V84" s="1040" t="n"/>
      <c r="W84" s="42" t="inlineStr">
        <is>
          <t>кор</t>
        </is>
      </c>
      <c r="X84" s="1079">
        <f>IFERROR(X81/H81,"0")+IFERROR(X82/H82,"0")+IFERROR(X83/H83,"0")</f>
        <v/>
      </c>
      <c r="Y84" s="1079">
        <f>IFERROR(Y81/H81,"0")+IFERROR(Y82/H82,"0")+IFERROR(Y83/H83,"0")</f>
        <v/>
      </c>
      <c r="Z84" s="1079">
        <f>IFERROR(IF(Z81="",0,Z81),"0")+IFERROR(IF(Z82="",0,Z82),"0")+IFERROR(IF(Z83="",0,Z83),"0")</f>
        <v/>
      </c>
      <c r="AA84" s="1080" t="n"/>
      <c r="AB84" s="1080" t="n"/>
      <c r="AC84" s="1080" t="n"/>
    </row>
    <row r="85">
      <c r="A85" s="1019" t="n"/>
      <c r="B85" s="1019" t="n"/>
      <c r="C85" s="1019" t="n"/>
      <c r="D85" s="1019" t="n"/>
      <c r="E85" s="1019" t="n"/>
      <c r="F85" s="1019" t="n"/>
      <c r="G85" s="1019" t="n"/>
      <c r="H85" s="1019" t="n"/>
      <c r="I85" s="1019" t="n"/>
      <c r="J85" s="1019" t="n"/>
      <c r="K85" s="1019" t="n"/>
      <c r="L85" s="1019" t="n"/>
      <c r="M85" s="1019" t="n"/>
      <c r="N85" s="1019" t="n"/>
      <c r="O85" s="1077" t="n"/>
      <c r="P85" s="1078" t="inlineStr">
        <is>
          <t>Итого</t>
        </is>
      </c>
      <c r="Q85" s="1039" t="n"/>
      <c r="R85" s="1039" t="n"/>
      <c r="S85" s="1039" t="n"/>
      <c r="T85" s="1039" t="n"/>
      <c r="U85" s="1039" t="n"/>
      <c r="V85" s="1040" t="n"/>
      <c r="W85" s="42" t="inlineStr">
        <is>
          <t>кг</t>
        </is>
      </c>
      <c r="X85" s="1079">
        <f>IFERROR(SUM(X81:X83),"0")</f>
        <v/>
      </c>
      <c r="Y85" s="1079">
        <f>IFERROR(SUM(Y81:Y83),"0")</f>
        <v/>
      </c>
      <c r="Z85" s="42" t="n"/>
      <c r="AA85" s="1080" t="n"/>
      <c r="AB85" s="1080" t="n"/>
      <c r="AC85" s="1080" t="n"/>
    </row>
    <row r="86" ht="16.5" customHeight="1">
      <c r="A86" s="721" t="inlineStr">
        <is>
          <t>Молокуша</t>
        </is>
      </c>
      <c r="B86" s="1019" t="n"/>
      <c r="C86" s="1019" t="n"/>
      <c r="D86" s="1019" t="n"/>
      <c r="E86" s="1019" t="n"/>
      <c r="F86" s="1019" t="n"/>
      <c r="G86" s="1019" t="n"/>
      <c r="H86" s="1019" t="n"/>
      <c r="I86" s="1019" t="n"/>
      <c r="J86" s="1019" t="n"/>
      <c r="K86" s="1019" t="n"/>
      <c r="L86" s="1019" t="n"/>
      <c r="M86" s="1019" t="n"/>
      <c r="N86" s="1019" t="n"/>
      <c r="O86" s="1019" t="n"/>
      <c r="P86" s="1019" t="n"/>
      <c r="Q86" s="1019" t="n"/>
      <c r="R86" s="1019" t="n"/>
      <c r="S86" s="1019" t="n"/>
      <c r="T86" s="1019" t="n"/>
      <c r="U86" s="1019" t="n"/>
      <c r="V86" s="1019" t="n"/>
      <c r="W86" s="1019" t="n"/>
      <c r="X86" s="1019" t="n"/>
      <c r="Y86" s="1019" t="n"/>
      <c r="Z86" s="1019" t="n"/>
      <c r="AA86" s="721" t="n"/>
      <c r="AB86" s="721" t="n"/>
      <c r="AC86" s="721" t="n"/>
    </row>
    <row r="87" ht="14.25" customHeight="1">
      <c r="A87" s="722" t="inlineStr">
        <is>
          <t>Вареные колбасы</t>
        </is>
      </c>
      <c r="B87" s="1019" t="n"/>
      <c r="C87" s="1019" t="n"/>
      <c r="D87" s="1019" t="n"/>
      <c r="E87" s="1019" t="n"/>
      <c r="F87" s="1019" t="n"/>
      <c r="G87" s="1019" t="n"/>
      <c r="H87" s="1019" t="n"/>
      <c r="I87" s="1019" t="n"/>
      <c r="J87" s="1019" t="n"/>
      <c r="K87" s="1019" t="n"/>
      <c r="L87" s="1019" t="n"/>
      <c r="M87" s="1019" t="n"/>
      <c r="N87" s="1019" t="n"/>
      <c r="O87" s="1019" t="n"/>
      <c r="P87" s="1019" t="n"/>
      <c r="Q87" s="1019" t="n"/>
      <c r="R87" s="1019" t="n"/>
      <c r="S87" s="1019" t="n"/>
      <c r="T87" s="1019" t="n"/>
      <c r="U87" s="1019" t="n"/>
      <c r="V87" s="1019" t="n"/>
      <c r="W87" s="1019" t="n"/>
      <c r="X87" s="1019" t="n"/>
      <c r="Y87" s="1019" t="n"/>
      <c r="Z87" s="1019" t="n"/>
      <c r="AA87" s="722" t="n"/>
      <c r="AB87" s="722" t="n"/>
      <c r="AC87" s="722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723" t="n">
        <v>4680115881327</v>
      </c>
      <c r="E88" s="1031" t="n"/>
      <c r="F88" s="1070" t="n">
        <v>1.35</v>
      </c>
      <c r="G88" s="37" t="n">
        <v>8</v>
      </c>
      <c r="H88" s="1070" t="n">
        <v>10.8</v>
      </c>
      <c r="I88" s="1070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115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72" t="n"/>
      <c r="R88" s="1072" t="n"/>
      <c r="S88" s="1072" t="n"/>
      <c r="T88" s="1073" t="n"/>
      <c r="U88" s="39" t="inlineStr"/>
      <c r="V88" s="39" t="inlineStr"/>
      <c r="W88" s="40" t="inlineStr">
        <is>
          <t>кг</t>
        </is>
      </c>
      <c r="X88" s="1074" t="n">
        <v>0</v>
      </c>
      <c r="Y88" s="1075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8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9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P005663</t>
        </is>
      </c>
      <c r="C89" s="36" t="n">
        <v>4301012392</v>
      </c>
      <c r="D89" s="723" t="n">
        <v>4680115887732</v>
      </c>
      <c r="E89" s="1031" t="n"/>
      <c r="F89" s="1070" t="n">
        <v>0.17</v>
      </c>
      <c r="G89" s="37" t="n">
        <v>8</v>
      </c>
      <c r="H89" s="1070" t="n">
        <v>1.36</v>
      </c>
      <c r="I89" s="1070" t="n">
        <v>1.54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116">
        <f>HYPERLINK("https://abi.ru/products/Охлажденные/Вязанка/Молокуша/Вареные колбасы/P005663/","Вареные колбасы «Молокуша» Фикс.вес 0,17 нарезка ТМ «Вязанка»")</f>
        <v/>
      </c>
      <c r="Q89" s="1072" t="n"/>
      <c r="R89" s="1072" t="n"/>
      <c r="S89" s="1072" t="n"/>
      <c r="T89" s="1073" t="n"/>
      <c r="U89" s="39" t="inlineStr"/>
      <c r="V89" s="39" t="inlineStr"/>
      <c r="W89" s="40" t="inlineStr">
        <is>
          <t>кг</t>
        </is>
      </c>
      <c r="X89" s="1074" t="n">
        <v>0</v>
      </c>
      <c r="Y89" s="1075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60" t="inlineStr">
        <is>
          <t>ЕАЭС N RU Д-RU.РА08.В.54233/25</t>
        </is>
      </c>
      <c r="AG89" s="78" t="n"/>
      <c r="AJ89" s="84" t="inlineStr"/>
      <c r="AK89" s="84" t="n">
        <v>0</v>
      </c>
      <c r="BB89" s="161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723" t="n">
        <v>4680115881518</v>
      </c>
      <c r="E90" s="1031" t="n"/>
      <c r="F90" s="1070" t="n">
        <v>0.4</v>
      </c>
      <c r="G90" s="37" t="n">
        <v>10</v>
      </c>
      <c r="H90" s="1070" t="n">
        <v>4</v>
      </c>
      <c r="I90" s="1070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117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72" t="n"/>
      <c r="R90" s="1072" t="n"/>
      <c r="S90" s="1072" t="n"/>
      <c r="T90" s="1073" t="n"/>
      <c r="U90" s="39" t="inlineStr"/>
      <c r="V90" s="39" t="inlineStr"/>
      <c r="W90" s="40" t="inlineStr">
        <is>
          <t>кг</t>
        </is>
      </c>
      <c r="X90" s="1074" t="n">
        <v>0</v>
      </c>
      <c r="Y90" s="1075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62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63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SU002832</t>
        </is>
      </c>
      <c r="B91" s="63" t="inlineStr">
        <is>
          <t>P005286</t>
        </is>
      </c>
      <c r="C91" s="36" t="n">
        <v>4301012252</v>
      </c>
      <c r="D91" s="723" t="n">
        <v>4680115881518</v>
      </c>
      <c r="E91" s="1031" t="n"/>
      <c r="F91" s="1070" t="n">
        <v>0.4</v>
      </c>
      <c r="G91" s="37" t="n">
        <v>10</v>
      </c>
      <c r="H91" s="1070" t="n">
        <v>4</v>
      </c>
      <c r="I91" s="1070" t="n">
        <v>4.19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СК1</t>
        </is>
      </c>
      <c r="N91" s="38" t="n"/>
      <c r="O91" s="37" t="n">
        <v>50</v>
      </c>
      <c r="P91" s="1118">
        <f>HYPERLINK("https://abi.ru/products/Охлажденные/Вязанка/Молокуша/Вареные колбасы/P005286/","Вареные колбасы «Молокуша» Фикс.вес 0,4 п/а ТМ «Вязанка»")</f>
        <v/>
      </c>
      <c r="Q91" s="1072" t="n"/>
      <c r="R91" s="1072" t="n"/>
      <c r="S91" s="1072" t="n"/>
      <c r="T91" s="1073" t="n"/>
      <c r="U91" s="39" t="inlineStr"/>
      <c r="V91" s="39" t="inlineStr"/>
      <c r="W91" s="40" t="inlineStr">
        <is>
          <t>кг</t>
        </is>
      </c>
      <c r="X91" s="1074" t="n">
        <v>0</v>
      </c>
      <c r="Y91" s="1075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64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65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 ht="27" customHeight="1">
      <c r="A92" s="63" t="inlineStr">
        <is>
          <t>SU002816</t>
        </is>
      </c>
      <c r="B92" s="63" t="inlineStr">
        <is>
          <t>P005284</t>
        </is>
      </c>
      <c r="C92" s="36" t="n">
        <v>4301012250</v>
      </c>
      <c r="D92" s="723" t="n">
        <v>4680115881303</v>
      </c>
      <c r="E92" s="1031" t="n"/>
      <c r="F92" s="1070" t="n">
        <v>0.45</v>
      </c>
      <c r="G92" s="37" t="n">
        <v>10</v>
      </c>
      <c r="H92" s="1070" t="n">
        <v>4.5</v>
      </c>
      <c r="I92" s="1070" t="n">
        <v>4.69</v>
      </c>
      <c r="J92" s="37" t="n">
        <v>132</v>
      </c>
      <c r="K92" s="37" t="inlineStr">
        <is>
          <t>12</t>
        </is>
      </c>
      <c r="L92" s="37" t="inlineStr"/>
      <c r="M92" s="38" t="inlineStr">
        <is>
          <t>СК1</t>
        </is>
      </c>
      <c r="N92" s="38" t="n"/>
      <c r="O92" s="37" t="n">
        <v>50</v>
      </c>
      <c r="P92" s="1119">
        <f>HYPERLINK("https://abi.ru/products/Охлажденные/Вязанка/Молокуша/Вареные колбасы/P005284/","Вареные колбасы «Молокуша» Фикс.вес 0,45 п/а ТМ «Вязанка»")</f>
        <v/>
      </c>
      <c r="Q92" s="1072" t="n"/>
      <c r="R92" s="1072" t="n"/>
      <c r="S92" s="1072" t="n"/>
      <c r="T92" s="1073" t="n"/>
      <c r="U92" s="39" t="inlineStr"/>
      <c r="V92" s="39" t="inlineStr"/>
      <c r="W92" s="40" t="inlineStr">
        <is>
          <t>кг</t>
        </is>
      </c>
      <c r="X92" s="1074" t="n">
        <v>24</v>
      </c>
      <c r="Y92" s="1075">
        <f>IFERROR(IF(X92="",0,CEILING((X92/$H92),1)*$H92),"")</f>
        <v/>
      </c>
      <c r="Z92" s="41">
        <f>IFERROR(IF(Y92=0,"",ROUNDUP(Y92/H92,0)*0.00902),"")</f>
        <v/>
      </c>
      <c r="AA92" s="68" t="inlineStr"/>
      <c r="AB92" s="69" t="inlineStr"/>
      <c r="AC92" s="166" t="inlineStr">
        <is>
          <t>ЕАЭС N RU Д-RU.РА08.В.25903/25, ЕАЭС N RU Д-RU.РА08.В.46084/25</t>
        </is>
      </c>
      <c r="AG92" s="78" t="n"/>
      <c r="AJ92" s="84" t="inlineStr"/>
      <c r="AK92" s="84" t="n">
        <v>0</v>
      </c>
      <c r="BB92" s="167" t="inlineStr">
        <is>
          <t>КИ</t>
        </is>
      </c>
      <c r="BM92" s="78">
        <f>IFERROR(X92*I92/H92,"0")</f>
        <v/>
      </c>
      <c r="BN92" s="78">
        <f>IFERROR(Y92*I92/H92,"0")</f>
        <v/>
      </c>
      <c r="BO92" s="78">
        <f>IFERROR(1/J92*(X92/H92),"0")</f>
        <v/>
      </c>
      <c r="BP92" s="78">
        <f>IFERROR(1/J92*(Y92/H92),"0")</f>
        <v/>
      </c>
    </row>
    <row r="93">
      <c r="A93" s="732" t="n"/>
      <c r="B93" s="1019" t="n"/>
      <c r="C93" s="1019" t="n"/>
      <c r="D93" s="1019" t="n"/>
      <c r="E93" s="1019" t="n"/>
      <c r="F93" s="1019" t="n"/>
      <c r="G93" s="1019" t="n"/>
      <c r="H93" s="1019" t="n"/>
      <c r="I93" s="1019" t="n"/>
      <c r="J93" s="1019" t="n"/>
      <c r="K93" s="1019" t="n"/>
      <c r="L93" s="1019" t="n"/>
      <c r="M93" s="1019" t="n"/>
      <c r="N93" s="1019" t="n"/>
      <c r="O93" s="1077" t="n"/>
      <c r="P93" s="1078" t="inlineStr">
        <is>
          <t>Итого</t>
        </is>
      </c>
      <c r="Q93" s="1039" t="n"/>
      <c r="R93" s="1039" t="n"/>
      <c r="S93" s="1039" t="n"/>
      <c r="T93" s="1039" t="n"/>
      <c r="U93" s="1039" t="n"/>
      <c r="V93" s="1040" t="n"/>
      <c r="W93" s="42" t="inlineStr">
        <is>
          <t>кор</t>
        </is>
      </c>
      <c r="X93" s="1079">
        <f>IFERROR(X88/H88,"0")+IFERROR(X89/H89,"0")+IFERROR(X90/H90,"0")+IFERROR(X91/H91,"0")+IFERROR(X92/H92,"0")</f>
        <v/>
      </c>
      <c r="Y93" s="1079">
        <f>IFERROR(Y88/H88,"0")+IFERROR(Y89/H89,"0")+IFERROR(Y90/H90,"0")+IFERROR(Y91/H91,"0")+IFERROR(Y92/H92,"0")</f>
        <v/>
      </c>
      <c r="Z93" s="1079">
        <f>IFERROR(IF(Z88="",0,Z88),"0")+IFERROR(IF(Z89="",0,Z89),"0")+IFERROR(IF(Z90="",0,Z90),"0")+IFERROR(IF(Z91="",0,Z91),"0")+IFERROR(IF(Z92="",0,Z92),"0")</f>
        <v/>
      </c>
      <c r="AA93" s="1080" t="n"/>
      <c r="AB93" s="1080" t="n"/>
      <c r="AC93" s="1080" t="n"/>
    </row>
    <row r="94">
      <c r="A94" s="1019" t="n"/>
      <c r="B94" s="1019" t="n"/>
      <c r="C94" s="1019" t="n"/>
      <c r="D94" s="1019" t="n"/>
      <c r="E94" s="1019" t="n"/>
      <c r="F94" s="1019" t="n"/>
      <c r="G94" s="1019" t="n"/>
      <c r="H94" s="1019" t="n"/>
      <c r="I94" s="1019" t="n"/>
      <c r="J94" s="1019" t="n"/>
      <c r="K94" s="1019" t="n"/>
      <c r="L94" s="1019" t="n"/>
      <c r="M94" s="1019" t="n"/>
      <c r="N94" s="1019" t="n"/>
      <c r="O94" s="1077" t="n"/>
      <c r="P94" s="1078" t="inlineStr">
        <is>
          <t>Итого</t>
        </is>
      </c>
      <c r="Q94" s="1039" t="n"/>
      <c r="R94" s="1039" t="n"/>
      <c r="S94" s="1039" t="n"/>
      <c r="T94" s="1039" t="n"/>
      <c r="U94" s="1039" t="n"/>
      <c r="V94" s="1040" t="n"/>
      <c r="W94" s="42" t="inlineStr">
        <is>
          <t>кг</t>
        </is>
      </c>
      <c r="X94" s="1079">
        <f>IFERROR(SUM(X88:X92),"0")</f>
        <v/>
      </c>
      <c r="Y94" s="1079">
        <f>IFERROR(SUM(Y88:Y92),"0")</f>
        <v/>
      </c>
      <c r="Z94" s="42" t="n"/>
      <c r="AA94" s="1080" t="n"/>
      <c r="AB94" s="1080" t="n"/>
      <c r="AC94" s="1080" t="n"/>
    </row>
    <row r="95" ht="14.25" customHeight="1">
      <c r="A95" s="722" t="inlineStr">
        <is>
          <t>Сосиски</t>
        </is>
      </c>
      <c r="B95" s="1019" t="n"/>
      <c r="C95" s="1019" t="n"/>
      <c r="D95" s="1019" t="n"/>
      <c r="E95" s="1019" t="n"/>
      <c r="F95" s="1019" t="n"/>
      <c r="G95" s="1019" t="n"/>
      <c r="H95" s="1019" t="n"/>
      <c r="I95" s="1019" t="n"/>
      <c r="J95" s="1019" t="n"/>
      <c r="K95" s="1019" t="n"/>
      <c r="L95" s="1019" t="n"/>
      <c r="M95" s="1019" t="n"/>
      <c r="N95" s="1019" t="n"/>
      <c r="O95" s="1019" t="n"/>
      <c r="P95" s="1019" t="n"/>
      <c r="Q95" s="1019" t="n"/>
      <c r="R95" s="1019" t="n"/>
      <c r="S95" s="1019" t="n"/>
      <c r="T95" s="1019" t="n"/>
      <c r="U95" s="1019" t="n"/>
      <c r="V95" s="1019" t="n"/>
      <c r="W95" s="1019" t="n"/>
      <c r="X95" s="1019" t="n"/>
      <c r="Y95" s="1019" t="n"/>
      <c r="Z95" s="1019" t="n"/>
      <c r="AA95" s="722" t="n"/>
      <c r="AB95" s="722" t="n"/>
      <c r="AC95" s="722" t="n"/>
    </row>
    <row r="96" ht="27" customHeight="1">
      <c r="A96" s="63" t="inlineStr">
        <is>
          <t>SU001523</t>
        </is>
      </c>
      <c r="B96" s="63" t="inlineStr">
        <is>
          <t>P005226</t>
        </is>
      </c>
      <c r="C96" s="36" t="n">
        <v>4301052101</v>
      </c>
      <c r="D96" s="723" t="n">
        <v>4607091386967</v>
      </c>
      <c r="E96" s="1031" t="n"/>
      <c r="F96" s="1070" t="n">
        <v>1.35</v>
      </c>
      <c r="G96" s="37" t="n">
        <v>6</v>
      </c>
      <c r="H96" s="1070" t="n">
        <v>8.1</v>
      </c>
      <c r="I96" s="1070" t="n">
        <v>8.593999999999999</v>
      </c>
      <c r="J96" s="37" t="n">
        <v>64</v>
      </c>
      <c r="K96" s="37" t="inlineStr">
        <is>
          <t>8</t>
        </is>
      </c>
      <c r="L96" s="37" t="inlineStr"/>
      <c r="M96" s="38" t="inlineStr">
        <is>
          <t>СК4</t>
        </is>
      </c>
      <c r="N96" s="38" t="n"/>
      <c r="O96" s="37" t="n">
        <v>45</v>
      </c>
      <c r="P96" s="1120">
        <f>HYPERLINK("https://abi.ru/products/Охлажденные/Вязанка/Молокуша/Сосиски/P005226/","Сосиски «Вязанка Молочные» Весовой п/а ТМ «Вязанка»")</f>
        <v/>
      </c>
      <c r="Q96" s="1072" t="n"/>
      <c r="R96" s="1072" t="n"/>
      <c r="S96" s="1072" t="n"/>
      <c r="T96" s="1073" t="n"/>
      <c r="U96" s="39" t="inlineStr"/>
      <c r="V96" s="39" t="inlineStr"/>
      <c r="W96" s="40" t="inlineStr">
        <is>
          <t>кг</t>
        </is>
      </c>
      <c r="X96" s="1074" t="n">
        <v>152</v>
      </c>
      <c r="Y96" s="1075">
        <f>IFERROR(IF(X96="",0,CEILING((X96/$H96),1)*$H96),"")</f>
        <v/>
      </c>
      <c r="Z96" s="41">
        <f>IFERROR(IF(Y96=0,"",ROUNDUP(Y96/H96,0)*0.01898),"")</f>
        <v/>
      </c>
      <c r="AA96" s="68" t="inlineStr"/>
      <c r="AB96" s="69" t="inlineStr"/>
      <c r="AC96" s="168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9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SU003503</t>
        </is>
      </c>
      <c r="B97" s="63" t="inlineStr">
        <is>
          <t>P005225</t>
        </is>
      </c>
      <c r="C97" s="36" t="n">
        <v>4301052090</v>
      </c>
      <c r="D97" s="723" t="n">
        <v>4680115884953</v>
      </c>
      <c r="E97" s="1031" t="n"/>
      <c r="F97" s="1070" t="n">
        <v>0.37</v>
      </c>
      <c r="G97" s="37" t="n">
        <v>6</v>
      </c>
      <c r="H97" s="1070" t="n">
        <v>2.22</v>
      </c>
      <c r="I97" s="1070" t="n">
        <v>2.472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СК3</t>
        </is>
      </c>
      <c r="N97" s="38" t="n"/>
      <c r="O97" s="37" t="n">
        <v>45</v>
      </c>
      <c r="P97" s="1121">
        <f>HYPERLINK("https://abi.ru/products/Охлажденные/Вязанка/Молокуша/Сосиски/P005225/","Сосиски «Вязанка Молочные» Фикс.вес 0,37 п/а ТМ «Вязанка»")</f>
        <v/>
      </c>
      <c r="Q97" s="1072" t="n"/>
      <c r="R97" s="1072" t="n"/>
      <c r="S97" s="1072" t="n"/>
      <c r="T97" s="1073" t="n"/>
      <c r="U97" s="39" t="inlineStr"/>
      <c r="V97" s="39" t="inlineStr"/>
      <c r="W97" s="40" t="inlineStr">
        <is>
          <t>кг</t>
        </is>
      </c>
      <c r="X97" s="1074" t="n">
        <v>0</v>
      </c>
      <c r="Y97" s="1075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70" t="inlineStr">
        <is>
          <t>ЕАЭС N RU Д-RU.РА11.В.73895/25</t>
        </is>
      </c>
      <c r="AG97" s="78" t="n"/>
      <c r="AJ97" s="84" t="inlineStr"/>
      <c r="AK97" s="84" t="n">
        <v>0</v>
      </c>
      <c r="BB97" s="171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27" customHeight="1">
      <c r="A98" s="63" t="inlineStr">
        <is>
          <t>SU001718</t>
        </is>
      </c>
      <c r="B98" s="63" t="inlineStr">
        <is>
          <t>P005224</t>
        </is>
      </c>
      <c r="C98" s="36" t="n">
        <v>4301052094</v>
      </c>
      <c r="D98" s="723" t="n">
        <v>4607091385731</v>
      </c>
      <c r="E98" s="1031" t="n"/>
      <c r="F98" s="1070" t="n">
        <v>0.45</v>
      </c>
      <c r="G98" s="37" t="n">
        <v>6</v>
      </c>
      <c r="H98" s="1070" t="n">
        <v>2.7</v>
      </c>
      <c r="I98" s="1070" t="n">
        <v>2.952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СК4</t>
        </is>
      </c>
      <c r="N98" s="38" t="n"/>
      <c r="O98" s="37" t="n">
        <v>45</v>
      </c>
      <c r="P98" s="1122">
        <f>HYPERLINK("https://abi.ru/products/Охлажденные/Вязанка/Молокуша/Сосиски/P005224/","Сосиски «Вязанка Молочные» Фикс.вес 0,45 п/а ТМ «Вязанка»")</f>
        <v/>
      </c>
      <c r="Q98" s="1072" t="n"/>
      <c r="R98" s="1072" t="n"/>
      <c r="S98" s="1072" t="n"/>
      <c r="T98" s="1073" t="n"/>
      <c r="U98" s="39" t="inlineStr"/>
      <c r="V98" s="39" t="inlineStr"/>
      <c r="W98" s="40" t="inlineStr">
        <is>
          <t>кг</t>
        </is>
      </c>
      <c r="X98" s="1074" t="n">
        <v>135</v>
      </c>
      <c r="Y98" s="1075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72" t="inlineStr">
        <is>
          <t>ЕАЭС N RU Д-RU.РА10.В.02058/25, ЕАЭС N RU Д-RU.РА11.В.73895/25</t>
        </is>
      </c>
      <c r="AG98" s="78" t="n"/>
      <c r="AJ98" s="84" t="inlineStr"/>
      <c r="AK98" s="84" t="n">
        <v>0</v>
      </c>
      <c r="BB98" s="173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 ht="16.5" customHeight="1">
      <c r="A99" s="63" t="inlineStr">
        <is>
          <t>SU002769</t>
        </is>
      </c>
      <c r="B99" s="63" t="inlineStr">
        <is>
          <t>P005230</t>
        </is>
      </c>
      <c r="C99" s="36" t="n">
        <v>4301052092</v>
      </c>
      <c r="D99" s="723" t="n">
        <v>4680115880894</v>
      </c>
      <c r="E99" s="1031" t="n"/>
      <c r="F99" s="1070" t="n">
        <v>0.33</v>
      </c>
      <c r="G99" s="37" t="n">
        <v>6</v>
      </c>
      <c r="H99" s="1070" t="n">
        <v>1.98</v>
      </c>
      <c r="I99" s="1070" t="n">
        <v>2.238</v>
      </c>
      <c r="J99" s="37" t="n">
        <v>182</v>
      </c>
      <c r="K99" s="37" t="inlineStr">
        <is>
          <t>14</t>
        </is>
      </c>
      <c r="L99" s="37" t="inlineStr"/>
      <c r="M99" s="38" t="inlineStr">
        <is>
          <t>СК3</t>
        </is>
      </c>
      <c r="N99" s="38" t="n"/>
      <c r="O99" s="37" t="n">
        <v>45</v>
      </c>
      <c r="P99" s="1123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9" s="1072" t="n"/>
      <c r="R99" s="1072" t="n"/>
      <c r="S99" s="1072" t="n"/>
      <c r="T99" s="1073" t="n"/>
      <c r="U99" s="39" t="inlineStr"/>
      <c r="V99" s="39" t="inlineStr"/>
      <c r="W99" s="40" t="inlineStr">
        <is>
          <t>кг</t>
        </is>
      </c>
      <c r="X99" s="1074" t="n">
        <v>0</v>
      </c>
      <c r="Y99" s="1075">
        <f>IFERROR(IF(X99="",0,CEILING((X99/$H99),1)*$H99),"")</f>
        <v/>
      </c>
      <c r="Z99" s="41">
        <f>IFERROR(IF(Y99=0,"",ROUNDUP(Y99/H99,0)*0.00651),"")</f>
        <v/>
      </c>
      <c r="AA99" s="68" t="inlineStr"/>
      <c r="AB99" s="69" t="inlineStr"/>
      <c r="AC99" s="174" t="inlineStr">
        <is>
          <t>ЕАЭС N RU Д-RU.РА10.В.18728/25</t>
        </is>
      </c>
      <c r="AG99" s="78" t="n"/>
      <c r="AJ99" s="84" t="inlineStr"/>
      <c r="AK99" s="84" t="n">
        <v>0</v>
      </c>
      <c r="BB99" s="175" t="inlineStr">
        <is>
          <t>КИ</t>
        </is>
      </c>
      <c r="BM99" s="78">
        <f>IFERROR(X99*I99/H99,"0")</f>
        <v/>
      </c>
      <c r="BN99" s="78">
        <f>IFERROR(Y99*I99/H99,"0")</f>
        <v/>
      </c>
      <c r="BO99" s="78">
        <f>IFERROR(1/J99*(X99/H99),"0")</f>
        <v/>
      </c>
      <c r="BP99" s="78">
        <f>IFERROR(1/J99*(Y99/H99),"0")</f>
        <v/>
      </c>
    </row>
    <row r="100">
      <c r="A100" s="732" t="n"/>
      <c r="B100" s="1019" t="n"/>
      <c r="C100" s="1019" t="n"/>
      <c r="D100" s="1019" t="n"/>
      <c r="E100" s="1019" t="n"/>
      <c r="F100" s="1019" t="n"/>
      <c r="G100" s="1019" t="n"/>
      <c r="H100" s="1019" t="n"/>
      <c r="I100" s="1019" t="n"/>
      <c r="J100" s="1019" t="n"/>
      <c r="K100" s="1019" t="n"/>
      <c r="L100" s="1019" t="n"/>
      <c r="M100" s="1019" t="n"/>
      <c r="N100" s="1019" t="n"/>
      <c r="O100" s="1077" t="n"/>
      <c r="P100" s="1078" t="inlineStr">
        <is>
          <t>Итого</t>
        </is>
      </c>
      <c r="Q100" s="1039" t="n"/>
      <c r="R100" s="1039" t="n"/>
      <c r="S100" s="1039" t="n"/>
      <c r="T100" s="1039" t="n"/>
      <c r="U100" s="1039" t="n"/>
      <c r="V100" s="1040" t="n"/>
      <c r="W100" s="42" t="inlineStr">
        <is>
          <t>кор</t>
        </is>
      </c>
      <c r="X100" s="1079">
        <f>IFERROR(X96/H96,"0")+IFERROR(X97/H97,"0")+IFERROR(X98/H98,"0")+IFERROR(X99/H99,"0")</f>
        <v/>
      </c>
      <c r="Y100" s="1079">
        <f>IFERROR(Y96/H96,"0")+IFERROR(Y97/H97,"0")+IFERROR(Y98/H98,"0")+IFERROR(Y99/H99,"0")</f>
        <v/>
      </c>
      <c r="Z100" s="1079">
        <f>IFERROR(IF(Z96="",0,Z96),"0")+IFERROR(IF(Z97="",0,Z97),"0")+IFERROR(IF(Z98="",0,Z98),"0")+IFERROR(IF(Z99="",0,Z99),"0")</f>
        <v/>
      </c>
      <c r="AA100" s="1080" t="n"/>
      <c r="AB100" s="1080" t="n"/>
      <c r="AC100" s="1080" t="n"/>
    </row>
    <row r="101">
      <c r="A101" s="1019" t="n"/>
      <c r="B101" s="1019" t="n"/>
      <c r="C101" s="1019" t="n"/>
      <c r="D101" s="1019" t="n"/>
      <c r="E101" s="1019" t="n"/>
      <c r="F101" s="1019" t="n"/>
      <c r="G101" s="1019" t="n"/>
      <c r="H101" s="1019" t="n"/>
      <c r="I101" s="1019" t="n"/>
      <c r="J101" s="1019" t="n"/>
      <c r="K101" s="1019" t="n"/>
      <c r="L101" s="1019" t="n"/>
      <c r="M101" s="1019" t="n"/>
      <c r="N101" s="1019" t="n"/>
      <c r="O101" s="1077" t="n"/>
      <c r="P101" s="1078" t="inlineStr">
        <is>
          <t>Итого</t>
        </is>
      </c>
      <c r="Q101" s="1039" t="n"/>
      <c r="R101" s="1039" t="n"/>
      <c r="S101" s="1039" t="n"/>
      <c r="T101" s="1039" t="n"/>
      <c r="U101" s="1039" t="n"/>
      <c r="V101" s="1040" t="n"/>
      <c r="W101" s="42" t="inlineStr">
        <is>
          <t>кг</t>
        </is>
      </c>
      <c r="X101" s="1079">
        <f>IFERROR(SUM(X96:X99),"0")</f>
        <v/>
      </c>
      <c r="Y101" s="1079">
        <f>IFERROR(SUM(Y96:Y99),"0")</f>
        <v/>
      </c>
      <c r="Z101" s="42" t="n"/>
      <c r="AA101" s="1080" t="n"/>
      <c r="AB101" s="1080" t="n"/>
      <c r="AC101" s="1080" t="n"/>
    </row>
    <row r="102" ht="16.5" customHeight="1">
      <c r="A102" s="721" t="inlineStr">
        <is>
          <t>Сливушка</t>
        </is>
      </c>
      <c r="B102" s="1019" t="n"/>
      <c r="C102" s="1019" t="n"/>
      <c r="D102" s="1019" t="n"/>
      <c r="E102" s="1019" t="n"/>
      <c r="F102" s="1019" t="n"/>
      <c r="G102" s="1019" t="n"/>
      <c r="H102" s="1019" t="n"/>
      <c r="I102" s="1019" t="n"/>
      <c r="J102" s="1019" t="n"/>
      <c r="K102" s="1019" t="n"/>
      <c r="L102" s="1019" t="n"/>
      <c r="M102" s="1019" t="n"/>
      <c r="N102" s="1019" t="n"/>
      <c r="O102" s="1019" t="n"/>
      <c r="P102" s="1019" t="n"/>
      <c r="Q102" s="1019" t="n"/>
      <c r="R102" s="1019" t="n"/>
      <c r="S102" s="1019" t="n"/>
      <c r="T102" s="1019" t="n"/>
      <c r="U102" s="1019" t="n"/>
      <c r="V102" s="1019" t="n"/>
      <c r="W102" s="1019" t="n"/>
      <c r="X102" s="1019" t="n"/>
      <c r="Y102" s="1019" t="n"/>
      <c r="Z102" s="1019" t="n"/>
      <c r="AA102" s="721" t="n"/>
      <c r="AB102" s="721" t="n"/>
      <c r="AC102" s="721" t="n"/>
    </row>
    <row r="103" ht="14.25" customHeight="1">
      <c r="A103" s="722" t="inlineStr">
        <is>
          <t>Вареные колбасы</t>
        </is>
      </c>
      <c r="B103" s="1019" t="n"/>
      <c r="C103" s="1019" t="n"/>
      <c r="D103" s="1019" t="n"/>
      <c r="E103" s="1019" t="n"/>
      <c r="F103" s="1019" t="n"/>
      <c r="G103" s="1019" t="n"/>
      <c r="H103" s="1019" t="n"/>
      <c r="I103" s="1019" t="n"/>
      <c r="J103" s="1019" t="n"/>
      <c r="K103" s="1019" t="n"/>
      <c r="L103" s="1019" t="n"/>
      <c r="M103" s="1019" t="n"/>
      <c r="N103" s="1019" t="n"/>
      <c r="O103" s="1019" t="n"/>
      <c r="P103" s="1019" t="n"/>
      <c r="Q103" s="1019" t="n"/>
      <c r="R103" s="1019" t="n"/>
      <c r="S103" s="1019" t="n"/>
      <c r="T103" s="1019" t="n"/>
      <c r="U103" s="1019" t="n"/>
      <c r="V103" s="1019" t="n"/>
      <c r="W103" s="1019" t="n"/>
      <c r="X103" s="1019" t="n"/>
      <c r="Y103" s="1019" t="n"/>
      <c r="Z103" s="1019" t="n"/>
      <c r="AA103" s="722" t="n"/>
      <c r="AB103" s="722" t="n"/>
      <c r="AC103" s="722" t="n"/>
    </row>
    <row r="104" ht="37.5" customHeight="1">
      <c r="A104" s="63" t="inlineStr">
        <is>
          <t>SU002928</t>
        </is>
      </c>
      <c r="B104" s="63" t="inlineStr">
        <is>
          <t>P003357</t>
        </is>
      </c>
      <c r="C104" s="36" t="n">
        <v>4301011514</v>
      </c>
      <c r="D104" s="723" t="n">
        <v>4680115882133</v>
      </c>
      <c r="E104" s="1031" t="n"/>
      <c r="F104" s="1070" t="n">
        <v>1.35</v>
      </c>
      <c r="G104" s="37" t="n">
        <v>8</v>
      </c>
      <c r="H104" s="1070" t="n">
        <v>10.8</v>
      </c>
      <c r="I104" s="1070" t="n">
        <v>11.21</v>
      </c>
      <c r="J104" s="37" t="n">
        <v>64</v>
      </c>
      <c r="K104" s="37" t="inlineStr">
        <is>
          <t>8</t>
        </is>
      </c>
      <c r="L104" s="37" t="inlineStr"/>
      <c r="M104" s="38" t="inlineStr">
        <is>
          <t>СК1</t>
        </is>
      </c>
      <c r="N104" s="38" t="n"/>
      <c r="O104" s="37" t="n">
        <v>50</v>
      </c>
      <c r="P104" s="1124">
        <f>HYPERLINK("https://abi.ru/products/Охлажденные/Вязанка/Сливушка/Вареные колбасы/P003357/","Вареные колбасы «Сливушка» Вес П/а ТМ «Вязанка»")</f>
        <v/>
      </c>
      <c r="Q104" s="1072" t="n"/>
      <c r="R104" s="1072" t="n"/>
      <c r="S104" s="1072" t="n"/>
      <c r="T104" s="1073" t="n"/>
      <c r="U104" s="39" t="inlineStr"/>
      <c r="V104" s="39" t="inlineStr"/>
      <c r="W104" s="40" t="inlineStr">
        <is>
          <t>кг</t>
        </is>
      </c>
      <c r="X104" s="1074" t="n">
        <v>67</v>
      </c>
      <c r="Y104" s="1075">
        <f>IFERROR(IF(X104="",0,CEILING((X104/$H104),1)*$H104),"")</f>
        <v/>
      </c>
      <c r="Z104" s="41">
        <f>IFERROR(IF(Y104=0,"",ROUNDUP(Y104/H104,0)*0.01898),"")</f>
        <v/>
      </c>
      <c r="AA104" s="68" t="inlineStr"/>
      <c r="AB104" s="69" t="inlineStr"/>
      <c r="AC104" s="176" t="inlineStr">
        <is>
          <t>ЕАЭС N RU Д-RU.РА06.В.04803/22, ЕАЭС N RU Д-RU.РА08.В.82591/25, ЕАЭС N RU Д-RU.РА08.В.82932/25</t>
        </is>
      </c>
      <c r="AG104" s="78" t="n"/>
      <c r="AJ104" s="84" t="inlineStr"/>
      <c r="AK104" s="84" t="n">
        <v>0</v>
      </c>
      <c r="BB104" s="177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SU002928</t>
        </is>
      </c>
      <c r="B105" s="63" t="inlineStr">
        <is>
          <t>P005290</t>
        </is>
      </c>
      <c r="C105" s="36" t="n">
        <v>4301012256</v>
      </c>
      <c r="D105" s="723" t="n">
        <v>4680115882133</v>
      </c>
      <c r="E105" s="1031" t="n"/>
      <c r="F105" s="1070" t="n">
        <v>1.35</v>
      </c>
      <c r="G105" s="37" t="n">
        <v>8</v>
      </c>
      <c r="H105" s="1070" t="n">
        <v>10.8</v>
      </c>
      <c r="I105" s="1070" t="n">
        <v>11.21</v>
      </c>
      <c r="J105" s="37" t="n">
        <v>64</v>
      </c>
      <c r="K105" s="37" t="inlineStr">
        <is>
          <t>8</t>
        </is>
      </c>
      <c r="L105" s="37" t="inlineStr"/>
      <c r="M105" s="38" t="inlineStr">
        <is>
          <t>СК1</t>
        </is>
      </c>
      <c r="N105" s="38" t="n"/>
      <c r="O105" s="37" t="n">
        <v>50</v>
      </c>
      <c r="P105" s="1125">
        <f>HYPERLINK("https://abi.ru/products/Охлажденные/Вязанка/Сливушка/Вареные колбасы/P005290/","Вареные колбасы «Сливушка» Весовой п/а ТМ «Вязанка»")</f>
        <v/>
      </c>
      <c r="Q105" s="1072" t="n"/>
      <c r="R105" s="1072" t="n"/>
      <c r="S105" s="1072" t="n"/>
      <c r="T105" s="1073" t="n"/>
      <c r="U105" s="39" t="inlineStr"/>
      <c r="V105" s="39" t="inlineStr"/>
      <c r="W105" s="40" t="inlineStr">
        <is>
          <t>кг</t>
        </is>
      </c>
      <c r="X105" s="1074" t="n">
        <v>0</v>
      </c>
      <c r="Y105" s="1075">
        <f>IFERROR(IF(X105="",0,CEILING((X105/$H105),1)*$H105),"")</f>
        <v/>
      </c>
      <c r="Z105" s="41">
        <f>IFERROR(IF(Y105=0,"",ROUNDUP(Y105/H105,0)*0.01898),"")</f>
        <v/>
      </c>
      <c r="AA105" s="68" t="inlineStr"/>
      <c r="AB105" s="69" t="inlineStr"/>
      <c r="AC105" s="178" t="inlineStr">
        <is>
          <t>ЕАЭС N RU Д-RU.РА08.В.82591/25, ЕАЭС N RU Д-RU.РА08.В.82932/25</t>
        </is>
      </c>
      <c r="AG105" s="78" t="n"/>
      <c r="AJ105" s="84" t="inlineStr"/>
      <c r="AK105" s="84" t="n">
        <v>0</v>
      </c>
      <c r="BB105" s="179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27" customHeight="1">
      <c r="A106" s="63" t="inlineStr">
        <is>
          <t>SU003745</t>
        </is>
      </c>
      <c r="B106" s="63" t="inlineStr">
        <is>
          <t>P005627</t>
        </is>
      </c>
      <c r="C106" s="36" t="n">
        <v>4301012379</v>
      </c>
      <c r="D106" s="723" t="n">
        <v>4680115887718</v>
      </c>
      <c r="E106" s="1031" t="n"/>
      <c r="F106" s="1070" t="n">
        <v>0.11</v>
      </c>
      <c r="G106" s="37" t="n">
        <v>6</v>
      </c>
      <c r="H106" s="1070" t="n">
        <v>0.66</v>
      </c>
      <c r="I106" s="1070" t="n">
        <v>0.826</v>
      </c>
      <c r="J106" s="37" t="n">
        <v>192</v>
      </c>
      <c r="K106" s="37" t="inlineStr">
        <is>
          <t>24</t>
        </is>
      </c>
      <c r="L106" s="37" t="inlineStr"/>
      <c r="M106" s="38" t="inlineStr">
        <is>
          <t>СК2</t>
        </is>
      </c>
      <c r="N106" s="38" t="n"/>
      <c r="O106" s="37" t="n">
        <v>30</v>
      </c>
      <c r="P106" s="1126">
        <f>HYPERLINK("https://abi.ru/products/Охлажденные/Вязанка/Сливушка/Вареные колбасы/P005627/","Вареные колбасы «Сливушка» Фикс.вес 0,11 нарезка ТМ «Вязанка»")</f>
        <v/>
      </c>
      <c r="Q106" s="1072" t="n"/>
      <c r="R106" s="1072" t="n"/>
      <c r="S106" s="1072" t="n"/>
      <c r="T106" s="1073" t="n"/>
      <c r="U106" s="39" t="inlineStr"/>
      <c r="V106" s="39" t="inlineStr"/>
      <c r="W106" s="40" t="inlineStr">
        <is>
          <t>кг</t>
        </is>
      </c>
      <c r="X106" s="1074" t="n">
        <v>0</v>
      </c>
      <c r="Y106" s="1075">
        <f>IFERROR(IF(X106="",0,CEILING((X106/$H106),1)*$H106),"")</f>
        <v/>
      </c>
      <c r="Z106" s="41">
        <f>IFERROR(IF(Y106=0,"",ROUNDUP(Y106/H106,0)*0.00726),"")</f>
        <v/>
      </c>
      <c r="AA106" s="68" t="inlineStr"/>
      <c r="AB106" s="69" t="inlineStr"/>
      <c r="AC106" s="180" t="inlineStr">
        <is>
          <t>ЕАЭС N RU Д-RU.РА08.В.54016/25</t>
        </is>
      </c>
      <c r="AG106" s="78" t="n"/>
      <c r="AJ106" s="84" t="inlineStr"/>
      <c r="AK106" s="84" t="n">
        <v>0</v>
      </c>
      <c r="BB106" s="181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SU002733</t>
        </is>
      </c>
      <c r="B107" s="63" t="inlineStr">
        <is>
          <t>P003102</t>
        </is>
      </c>
      <c r="C107" s="36" t="n">
        <v>4301011417</v>
      </c>
      <c r="D107" s="723" t="n">
        <v>4680115880269</v>
      </c>
      <c r="E107" s="1031" t="n"/>
      <c r="F107" s="1070" t="n">
        <v>0.375</v>
      </c>
      <c r="G107" s="37" t="n">
        <v>10</v>
      </c>
      <c r="H107" s="1070" t="n">
        <v>3.75</v>
      </c>
      <c r="I107" s="1070" t="n">
        <v>3.94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127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7" s="1072" t="n"/>
      <c r="R107" s="1072" t="n"/>
      <c r="S107" s="1072" t="n"/>
      <c r="T107" s="1073" t="n"/>
      <c r="U107" s="39" t="inlineStr"/>
      <c r="V107" s="39" t="inlineStr"/>
      <c r="W107" s="40" t="inlineStr">
        <is>
          <t>кг</t>
        </is>
      </c>
      <c r="X107" s="1074" t="n">
        <v>0</v>
      </c>
      <c r="Y107" s="1075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82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83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27" customHeight="1">
      <c r="A108" s="63" t="inlineStr">
        <is>
          <t>SU002733</t>
        </is>
      </c>
      <c r="B108" s="63" t="inlineStr">
        <is>
          <t>P005287</t>
        </is>
      </c>
      <c r="C108" s="36" t="n">
        <v>4301012253</v>
      </c>
      <c r="D108" s="723" t="n">
        <v>4680115880269</v>
      </c>
      <c r="E108" s="1031" t="n"/>
      <c r="F108" s="1070" t="n">
        <v>0.375</v>
      </c>
      <c r="G108" s="37" t="n">
        <v>10</v>
      </c>
      <c r="H108" s="1070" t="n">
        <v>3.75</v>
      </c>
      <c r="I108" s="1070" t="n">
        <v>3.94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СК1</t>
        </is>
      </c>
      <c r="N108" s="38" t="n"/>
      <c r="O108" s="37" t="n">
        <v>50</v>
      </c>
      <c r="P108" s="1128">
        <f>HYPERLINK("https://abi.ru/products/Охлажденные/Вязанка/Сливушка/Вареные колбасы/P005287/","Вареные колбасы «Сливушка» Фикс.вес 0,375 п/а ТМ «Вязанка»")</f>
        <v/>
      </c>
      <c r="Q108" s="1072" t="n"/>
      <c r="R108" s="1072" t="n"/>
      <c r="S108" s="1072" t="n"/>
      <c r="T108" s="1073" t="n"/>
      <c r="U108" s="39" t="inlineStr"/>
      <c r="V108" s="39" t="inlineStr"/>
      <c r="W108" s="40" t="inlineStr">
        <is>
          <t>кг</t>
        </is>
      </c>
      <c r="X108" s="1074" t="n">
        <v>0</v>
      </c>
      <c r="Y108" s="1075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84" t="inlineStr">
        <is>
          <t>ЕАЭС N RU Д-RU.РА08.В.82591/25, ЕАЭС N RU Д-RU.РА08.В.82932/25</t>
        </is>
      </c>
      <c r="AG108" s="78" t="n"/>
      <c r="AJ108" s="84" t="inlineStr"/>
      <c r="AK108" s="84" t="n">
        <v>0</v>
      </c>
      <c r="BB108" s="185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 ht="27" customHeight="1">
      <c r="A109" s="63" t="inlineStr">
        <is>
          <t>SU002734</t>
        </is>
      </c>
      <c r="B109" s="63" t="inlineStr">
        <is>
          <t>P005288</t>
        </is>
      </c>
      <c r="C109" s="36" t="n">
        <v>4301012254</v>
      </c>
      <c r="D109" s="723" t="n">
        <v>4680115880429</v>
      </c>
      <c r="E109" s="1031" t="n"/>
      <c r="F109" s="1070" t="n">
        <v>0.45</v>
      </c>
      <c r="G109" s="37" t="n">
        <v>10</v>
      </c>
      <c r="H109" s="1070" t="n">
        <v>4.5</v>
      </c>
      <c r="I109" s="1070" t="n">
        <v>4.69</v>
      </c>
      <c r="J109" s="37" t="n">
        <v>132</v>
      </c>
      <c r="K109" s="37" t="inlineStr">
        <is>
          <t>12</t>
        </is>
      </c>
      <c r="L109" s="37" t="inlineStr"/>
      <c r="M109" s="38" t="inlineStr">
        <is>
          <t>СК1</t>
        </is>
      </c>
      <c r="N109" s="38" t="n"/>
      <c r="O109" s="37" t="n">
        <v>50</v>
      </c>
      <c r="P109" s="1129">
        <f>HYPERLINK("https://abi.ru/products/Охлажденные/Вязанка/Сливушка/Вареные колбасы/P005288/","Вареные колбасы «Сливушка» Фикс.вес 0,45 п/а ТМ «Вязанка»")</f>
        <v/>
      </c>
      <c r="Q109" s="1072" t="n"/>
      <c r="R109" s="1072" t="n"/>
      <c r="S109" s="1072" t="n"/>
      <c r="T109" s="1073" t="n"/>
      <c r="U109" s="39" t="inlineStr"/>
      <c r="V109" s="39" t="inlineStr"/>
      <c r="W109" s="40" t="inlineStr">
        <is>
          <t>кг</t>
        </is>
      </c>
      <c r="X109" s="1074" t="n">
        <v>0</v>
      </c>
      <c r="Y109" s="1075">
        <f>IFERROR(IF(X109="",0,CEILING((X109/$H109),1)*$H109),"")</f>
        <v/>
      </c>
      <c r="Z109" s="41">
        <f>IFERROR(IF(Y109=0,"",ROUNDUP(Y109/H109,0)*0.00902),"")</f>
        <v/>
      </c>
      <c r="AA109" s="68" t="inlineStr"/>
      <c r="AB109" s="69" t="inlineStr"/>
      <c r="AC109" s="186" t="inlineStr">
        <is>
          <t>ЕАЭС N RU Д-RU.РА08.В.82591/25, ЕАЭС N RU Д-RU.РА08.В.82932/25</t>
        </is>
      </c>
      <c r="AG109" s="78" t="n"/>
      <c r="AJ109" s="84" t="inlineStr"/>
      <c r="AK109" s="84" t="n">
        <v>0</v>
      </c>
      <c r="BB109" s="187" t="inlineStr">
        <is>
          <t>КИ</t>
        </is>
      </c>
      <c r="BM109" s="78">
        <f>IFERROR(X109*I109/H109,"0")</f>
        <v/>
      </c>
      <c r="BN109" s="78">
        <f>IFERROR(Y109*I109/H109,"0")</f>
        <v/>
      </c>
      <c r="BO109" s="78">
        <f>IFERROR(1/J109*(X109/H109),"0")</f>
        <v/>
      </c>
      <c r="BP109" s="78">
        <f>IFERROR(1/J109*(Y109/H109),"0")</f>
        <v/>
      </c>
    </row>
    <row r="110" ht="37.5" customHeight="1">
      <c r="A110" s="63" t="inlineStr">
        <is>
          <t>SU002827</t>
        </is>
      </c>
      <c r="B110" s="63" t="inlineStr">
        <is>
          <t>P003233</t>
        </is>
      </c>
      <c r="C110" s="36" t="n">
        <v>4301011462</v>
      </c>
      <c r="D110" s="723" t="n">
        <v>4680115881457</v>
      </c>
      <c r="E110" s="1031" t="n"/>
      <c r="F110" s="1070" t="n">
        <v>0.75</v>
      </c>
      <c r="G110" s="37" t="n">
        <v>6</v>
      </c>
      <c r="H110" s="1070" t="n">
        <v>4.5</v>
      </c>
      <c r="I110" s="1070" t="n">
        <v>4.69</v>
      </c>
      <c r="J110" s="37" t="n">
        <v>132</v>
      </c>
      <c r="K110" s="37" t="inlineStr">
        <is>
          <t>12</t>
        </is>
      </c>
      <c r="L110" s="37" t="inlineStr"/>
      <c r="M110" s="38" t="inlineStr">
        <is>
          <t>СК3</t>
        </is>
      </c>
      <c r="N110" s="38" t="n"/>
      <c r="O110" s="37" t="n">
        <v>50</v>
      </c>
      <c r="P110" s="1130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10" s="1072" t="n"/>
      <c r="R110" s="1072" t="n"/>
      <c r="S110" s="1072" t="n"/>
      <c r="T110" s="1073" t="n"/>
      <c r="U110" s="39" t="inlineStr"/>
      <c r="V110" s="39" t="inlineStr"/>
      <c r="W110" s="40" t="inlineStr">
        <is>
          <t>кг</t>
        </is>
      </c>
      <c r="X110" s="1074" t="n">
        <v>0</v>
      </c>
      <c r="Y110" s="1075">
        <f>IFERROR(IF(X110="",0,CEILING((X110/$H110),1)*$H110),"")</f>
        <v/>
      </c>
      <c r="Z110" s="41">
        <f>IFERROR(IF(Y110=0,"",ROUNDUP(Y110/H110,0)*0.00902),"")</f>
        <v/>
      </c>
      <c r="AA110" s="68" t="inlineStr"/>
      <c r="AB110" s="69" t="inlineStr"/>
      <c r="AC110" s="188" t="inlineStr">
        <is>
          <t>ЕАЭС N RU Д-RU.РА06.В.04803/22, ЕАЭС N RU Д-RU.РА08.В.82591/25, ЕАЭС N RU Д-RU.РА08.В.82932/25</t>
        </is>
      </c>
      <c r="AG110" s="78" t="n"/>
      <c r="AJ110" s="84" t="inlineStr"/>
      <c r="AK110" s="84" t="n">
        <v>0</v>
      </c>
      <c r="BB110" s="189" t="inlineStr">
        <is>
          <t>КИ</t>
        </is>
      </c>
      <c r="BM110" s="78">
        <f>IFERROR(X110*I110/H110,"0")</f>
        <v/>
      </c>
      <c r="BN110" s="78">
        <f>IFERROR(Y110*I110/H110,"0")</f>
        <v/>
      </c>
      <c r="BO110" s="78">
        <f>IFERROR(1/J110*(X110/H110),"0")</f>
        <v/>
      </c>
      <c r="BP110" s="78">
        <f>IFERROR(1/J110*(Y110/H110),"0")</f>
        <v/>
      </c>
    </row>
    <row r="111" ht="27" customHeight="1">
      <c r="A111" s="63" t="inlineStr">
        <is>
          <t>SU002827</t>
        </is>
      </c>
      <c r="B111" s="63" t="inlineStr">
        <is>
          <t>P005289</t>
        </is>
      </c>
      <c r="C111" s="36" t="n">
        <v>4301012255</v>
      </c>
      <c r="D111" s="723" t="n">
        <v>4680115881457</v>
      </c>
      <c r="E111" s="1031" t="n"/>
      <c r="F111" s="1070" t="n">
        <v>0.75</v>
      </c>
      <c r="G111" s="37" t="n">
        <v>6</v>
      </c>
      <c r="H111" s="1070" t="n">
        <v>4.5</v>
      </c>
      <c r="I111" s="1070" t="n">
        <v>4.69</v>
      </c>
      <c r="J111" s="37" t="n">
        <v>132</v>
      </c>
      <c r="K111" s="37" t="inlineStr">
        <is>
          <t>12</t>
        </is>
      </c>
      <c r="L111" s="37" t="inlineStr"/>
      <c r="M111" s="38" t="inlineStr">
        <is>
          <t>СК1</t>
        </is>
      </c>
      <c r="N111" s="38" t="n"/>
      <c r="O111" s="37" t="n">
        <v>50</v>
      </c>
      <c r="P111" s="1131">
        <f>HYPERLINK("https://abi.ru/products/Охлажденные/Вязанка/Сливушка/Вареные колбасы/P005289/","Вареные колбасы «Сливушка» Фикс.вес 0,75 п/а ТМ «Вязанка»")</f>
        <v/>
      </c>
      <c r="Q111" s="1072" t="n"/>
      <c r="R111" s="1072" t="n"/>
      <c r="S111" s="1072" t="n"/>
      <c r="T111" s="1073" t="n"/>
      <c r="U111" s="39" t="inlineStr"/>
      <c r="V111" s="39" t="inlineStr"/>
      <c r="W111" s="40" t="inlineStr">
        <is>
          <t>кг</t>
        </is>
      </c>
      <c r="X111" s="1074" t="n">
        <v>0</v>
      </c>
      <c r="Y111" s="1075">
        <f>IFERROR(IF(X111="",0,CEILING((X111/$H111),1)*$H111),"")</f>
        <v/>
      </c>
      <c r="Z111" s="41">
        <f>IFERROR(IF(Y111=0,"",ROUNDUP(Y111/H111,0)*0.00902),"")</f>
        <v/>
      </c>
      <c r="AA111" s="68" t="inlineStr"/>
      <c r="AB111" s="69" t="inlineStr"/>
      <c r="AC111" s="190" t="inlineStr">
        <is>
          <t>ЕАЭС N RU Д-RU.РА08.В.82591/25, ЕАЭС N RU Д-RU.РА08.В.82932/25</t>
        </is>
      </c>
      <c r="AG111" s="78" t="n"/>
      <c r="AJ111" s="84" t="inlineStr"/>
      <c r="AK111" s="84" t="n">
        <v>0</v>
      </c>
      <c r="BB111" s="191" t="inlineStr">
        <is>
          <t>КИ</t>
        </is>
      </c>
      <c r="BM111" s="78">
        <f>IFERROR(X111*I111/H111,"0")</f>
        <v/>
      </c>
      <c r="BN111" s="78">
        <f>IFERROR(Y111*I111/H111,"0")</f>
        <v/>
      </c>
      <c r="BO111" s="78">
        <f>IFERROR(1/J111*(X111/H111),"0")</f>
        <v/>
      </c>
      <c r="BP111" s="78">
        <f>IFERROR(1/J111*(Y111/H111),"0")</f>
        <v/>
      </c>
    </row>
    <row r="112" ht="27" customHeight="1">
      <c r="A112" s="63" t="inlineStr">
        <is>
          <t>SU004299</t>
        </is>
      </c>
      <c r="B112" s="63" t="inlineStr">
        <is>
          <t>P005595</t>
        </is>
      </c>
      <c r="C112" s="36" t="n">
        <v>4301012366</v>
      </c>
      <c r="D112" s="723" t="n">
        <v>4680115889477</v>
      </c>
      <c r="E112" s="1031" t="n"/>
      <c r="F112" s="1070" t="n">
        <v>0.4</v>
      </c>
      <c r="G112" s="37" t="n">
        <v>6</v>
      </c>
      <c r="H112" s="1070" t="n">
        <v>2.4</v>
      </c>
      <c r="I112" s="1070" t="n">
        <v>2.58</v>
      </c>
      <c r="J112" s="37" t="n">
        <v>182</v>
      </c>
      <c r="K112" s="37" t="inlineStr">
        <is>
          <t>14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132">
        <f>HYPERLINK("https://abi.ru/products/Охлажденные/Вязанка/Сливушка/Вареные колбасы/P005595/","Вареные колбасы «Сливушка с сыром» Фикс.вес 0,4 п/а ТМ «Вязанка»")</f>
        <v/>
      </c>
      <c r="Q112" s="1072" t="n"/>
      <c r="R112" s="1072" t="n"/>
      <c r="S112" s="1072" t="n"/>
      <c r="T112" s="1073" t="n"/>
      <c r="U112" s="39" t="inlineStr"/>
      <c r="V112" s="39" t="inlineStr"/>
      <c r="W112" s="40" t="inlineStr">
        <is>
          <t>кг</t>
        </is>
      </c>
      <c r="X112" s="1074" t="n">
        <v>0</v>
      </c>
      <c r="Y112" s="1075">
        <f>IFERROR(IF(X112="",0,CEILING((X112/$H112),1)*$H112),"")</f>
        <v/>
      </c>
      <c r="Z112" s="41">
        <f>IFERROR(IF(Y112=0,"",ROUNDUP(Y112/H112,0)*0.00651),"")</f>
        <v/>
      </c>
      <c r="AA112" s="68" t="inlineStr"/>
      <c r="AB112" s="69" t="inlineStr"/>
      <c r="AC112" s="192" t="inlineStr">
        <is>
          <t>ЕАЭС N RU Д-RU.РА05.В.23620/26</t>
        </is>
      </c>
      <c r="AG112" s="78" t="n"/>
      <c r="AJ112" s="84" t="inlineStr"/>
      <c r="AK112" s="84" t="n">
        <v>0</v>
      </c>
      <c r="BB112" s="193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>
      <c r="A113" s="732" t="n"/>
      <c r="B113" s="1019" t="n"/>
      <c r="C113" s="1019" t="n"/>
      <c r="D113" s="1019" t="n"/>
      <c r="E113" s="1019" t="n"/>
      <c r="F113" s="1019" t="n"/>
      <c r="G113" s="1019" t="n"/>
      <c r="H113" s="1019" t="n"/>
      <c r="I113" s="1019" t="n"/>
      <c r="J113" s="1019" t="n"/>
      <c r="K113" s="1019" t="n"/>
      <c r="L113" s="1019" t="n"/>
      <c r="M113" s="1019" t="n"/>
      <c r="N113" s="1019" t="n"/>
      <c r="O113" s="1077" t="n"/>
      <c r="P113" s="1078" t="inlineStr">
        <is>
          <t>Итого</t>
        </is>
      </c>
      <c r="Q113" s="1039" t="n"/>
      <c r="R113" s="1039" t="n"/>
      <c r="S113" s="1039" t="n"/>
      <c r="T113" s="1039" t="n"/>
      <c r="U113" s="1039" t="n"/>
      <c r="V113" s="1040" t="n"/>
      <c r="W113" s="42" t="inlineStr">
        <is>
          <t>кор</t>
        </is>
      </c>
      <c r="X113" s="1079">
        <f>IFERROR(X104/H104,"0")+IFERROR(X105/H105,"0")+IFERROR(X106/H106,"0")+IFERROR(X107/H107,"0")+IFERROR(X108/H108,"0")+IFERROR(X109/H109,"0")+IFERROR(X110/H110,"0")+IFERROR(X111/H111,"0")+IFERROR(X112/H112,"0")</f>
        <v/>
      </c>
      <c r="Y113" s="1079">
        <f>IFERROR(Y104/H104,"0")+IFERROR(Y105/H105,"0")+IFERROR(Y106/H106,"0")+IFERROR(Y107/H107,"0")+IFERROR(Y108/H108,"0")+IFERROR(Y109/H109,"0")+IFERROR(Y110/H110,"0")+IFERROR(Y111/H111,"0")+IFERROR(Y112/H112,"0")</f>
        <v/>
      </c>
      <c r="Z113" s="1079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/>
      </c>
      <c r="AA113" s="1080" t="n"/>
      <c r="AB113" s="1080" t="n"/>
      <c r="AC113" s="1080" t="n"/>
    </row>
    <row r="114">
      <c r="A114" s="1019" t="n"/>
      <c r="B114" s="1019" t="n"/>
      <c r="C114" s="1019" t="n"/>
      <c r="D114" s="1019" t="n"/>
      <c r="E114" s="1019" t="n"/>
      <c r="F114" s="1019" t="n"/>
      <c r="G114" s="1019" t="n"/>
      <c r="H114" s="1019" t="n"/>
      <c r="I114" s="1019" t="n"/>
      <c r="J114" s="1019" t="n"/>
      <c r="K114" s="1019" t="n"/>
      <c r="L114" s="1019" t="n"/>
      <c r="M114" s="1019" t="n"/>
      <c r="N114" s="1019" t="n"/>
      <c r="O114" s="1077" t="n"/>
      <c r="P114" s="1078" t="inlineStr">
        <is>
          <t>Итого</t>
        </is>
      </c>
      <c r="Q114" s="1039" t="n"/>
      <c r="R114" s="1039" t="n"/>
      <c r="S114" s="1039" t="n"/>
      <c r="T114" s="1039" t="n"/>
      <c r="U114" s="1039" t="n"/>
      <c r="V114" s="1040" t="n"/>
      <c r="W114" s="42" t="inlineStr">
        <is>
          <t>кг</t>
        </is>
      </c>
      <c r="X114" s="1079">
        <f>IFERROR(SUM(X104:X112),"0")</f>
        <v/>
      </c>
      <c r="Y114" s="1079">
        <f>IFERROR(SUM(Y104:Y112),"0")</f>
        <v/>
      </c>
      <c r="Z114" s="42" t="n"/>
      <c r="AA114" s="1080" t="n"/>
      <c r="AB114" s="1080" t="n"/>
      <c r="AC114" s="1080" t="n"/>
    </row>
    <row r="115" ht="14.25" customHeight="1">
      <c r="A115" s="722" t="inlineStr">
        <is>
          <t>Ветчины</t>
        </is>
      </c>
      <c r="B115" s="1019" t="n"/>
      <c r="C115" s="1019" t="n"/>
      <c r="D115" s="1019" t="n"/>
      <c r="E115" s="1019" t="n"/>
      <c r="F115" s="1019" t="n"/>
      <c r="G115" s="1019" t="n"/>
      <c r="H115" s="1019" t="n"/>
      <c r="I115" s="1019" t="n"/>
      <c r="J115" s="1019" t="n"/>
      <c r="K115" s="1019" t="n"/>
      <c r="L115" s="1019" t="n"/>
      <c r="M115" s="1019" t="n"/>
      <c r="N115" s="1019" t="n"/>
      <c r="O115" s="1019" t="n"/>
      <c r="P115" s="1019" t="n"/>
      <c r="Q115" s="1019" t="n"/>
      <c r="R115" s="1019" t="n"/>
      <c r="S115" s="1019" t="n"/>
      <c r="T115" s="1019" t="n"/>
      <c r="U115" s="1019" t="n"/>
      <c r="V115" s="1019" t="n"/>
      <c r="W115" s="1019" t="n"/>
      <c r="X115" s="1019" t="n"/>
      <c r="Y115" s="1019" t="n"/>
      <c r="Z115" s="1019" t="n"/>
      <c r="AA115" s="722" t="n"/>
      <c r="AB115" s="722" t="n"/>
      <c r="AC115" s="722" t="n"/>
    </row>
    <row r="116" ht="27" customHeight="1">
      <c r="A116" s="63" t="inlineStr">
        <is>
          <t>SU002833</t>
        </is>
      </c>
      <c r="B116" s="63" t="inlineStr">
        <is>
          <t>P005008</t>
        </is>
      </c>
      <c r="C116" s="36" t="n">
        <v>4301020391</v>
      </c>
      <c r="D116" s="723" t="n">
        <v>4680115881488</v>
      </c>
      <c r="E116" s="1031" t="n"/>
      <c r="F116" s="1070" t="n">
        <v>1.35</v>
      </c>
      <c r="G116" s="37" t="n">
        <v>8</v>
      </c>
      <c r="H116" s="1070" t="n">
        <v>10.8</v>
      </c>
      <c r="I116" s="1070" t="n">
        <v>11.21</v>
      </c>
      <c r="J116" s="37" t="n">
        <v>64</v>
      </c>
      <c r="K116" s="37" t="inlineStr">
        <is>
          <t>8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133">
        <f>HYPERLINK("https://abi.ru/products/Охлажденные/Вязанка/Сливушка/Ветчины/P005008/","Ветчины «Сливушка с индейкой» Весовой п/а ТМ «Вязанка»")</f>
        <v/>
      </c>
      <c r="Q116" s="1072" t="n"/>
      <c r="R116" s="1072" t="n"/>
      <c r="S116" s="1072" t="n"/>
      <c r="T116" s="1073" t="n"/>
      <c r="U116" s="39" t="inlineStr"/>
      <c r="V116" s="39" t="inlineStr"/>
      <c r="W116" s="40" t="inlineStr">
        <is>
          <t>кг</t>
        </is>
      </c>
      <c r="X116" s="1074" t="n">
        <v>43</v>
      </c>
      <c r="Y116" s="1075">
        <f>IFERROR(IF(X116="",0,CEILING((X116/$H116),1)*$H116),"")</f>
        <v/>
      </c>
      <c r="Z116" s="41">
        <f>IFERROR(IF(Y116=0,"",ROUNDUP(Y116/H116,0)*0.01898),"")</f>
        <v/>
      </c>
      <c r="AA116" s="68" t="inlineStr"/>
      <c r="AB116" s="69" t="inlineStr"/>
      <c r="AC116" s="194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95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 ht="27" customHeight="1">
      <c r="A117" s="63" t="inlineStr">
        <is>
          <t>SU003037</t>
        </is>
      </c>
      <c r="B117" s="63" t="inlineStr">
        <is>
          <t>P005010</t>
        </is>
      </c>
      <c r="C117" s="36" t="n">
        <v>4301020393</v>
      </c>
      <c r="D117" s="723" t="n">
        <v>4680115882775</v>
      </c>
      <c r="E117" s="1031" t="n"/>
      <c r="F117" s="1070" t="n">
        <v>0.3</v>
      </c>
      <c r="G117" s="37" t="n">
        <v>8</v>
      </c>
      <c r="H117" s="1070" t="n">
        <v>2.4</v>
      </c>
      <c r="I117" s="1070" t="n">
        <v>2.5</v>
      </c>
      <c r="J117" s="37" t="n">
        <v>234</v>
      </c>
      <c r="K117" s="37" t="inlineStr">
        <is>
          <t>18</t>
        </is>
      </c>
      <c r="L117" s="37" t="inlineStr"/>
      <c r="M117" s="38" t="inlineStr">
        <is>
          <t>СК1</t>
        </is>
      </c>
      <c r="N117" s="38" t="n"/>
      <c r="O117" s="37" t="n">
        <v>55</v>
      </c>
      <c r="P117" s="1134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7" s="1072" t="n"/>
      <c r="R117" s="1072" t="n"/>
      <c r="S117" s="1072" t="n"/>
      <c r="T117" s="1073" t="n"/>
      <c r="U117" s="39" t="inlineStr"/>
      <c r="V117" s="39" t="inlineStr"/>
      <c r="W117" s="40" t="inlineStr">
        <is>
          <t>кг</t>
        </is>
      </c>
      <c r="X117" s="1074" t="n">
        <v>0</v>
      </c>
      <c r="Y117" s="1075">
        <f>IFERROR(IF(X117="",0,CEILING((X117/$H117),1)*$H117),"")</f>
        <v/>
      </c>
      <c r="Z117" s="41">
        <f>IFERROR(IF(Y117=0,"",ROUNDUP(Y117/H117,0)*0.00502),"")</f>
        <v/>
      </c>
      <c r="AA117" s="68" t="inlineStr"/>
      <c r="AB117" s="69" t="inlineStr"/>
      <c r="AC117" s="196" t="inlineStr">
        <is>
          <t>ЕАЭС N RU Д-RU.РА06.В.97082/24, ЕАЭС N RU Д-RU.РА08.В.46217/25</t>
        </is>
      </c>
      <c r="AG117" s="78" t="n"/>
      <c r="AJ117" s="84" t="inlineStr"/>
      <c r="AK117" s="84" t="n">
        <v>0</v>
      </c>
      <c r="BB117" s="197" t="inlineStr">
        <is>
          <t>КИ</t>
        </is>
      </c>
      <c r="BM117" s="78">
        <f>IFERROR(X117*I117/H117,"0")</f>
        <v/>
      </c>
      <c r="BN117" s="78">
        <f>IFERROR(Y117*I117/H117,"0")</f>
        <v/>
      </c>
      <c r="BO117" s="78">
        <f>IFERROR(1/J117*(X117/H117),"0")</f>
        <v/>
      </c>
      <c r="BP117" s="78">
        <f>IFERROR(1/J117*(Y117/H117),"0")</f>
        <v/>
      </c>
    </row>
    <row r="118" ht="27" customHeight="1">
      <c r="A118" s="63" t="inlineStr">
        <is>
          <t>SU002735</t>
        </is>
      </c>
      <c r="B118" s="63" t="inlineStr">
        <is>
          <t>P005007</t>
        </is>
      </c>
      <c r="C118" s="36" t="n">
        <v>4301020392</v>
      </c>
      <c r="D118" s="723" t="n">
        <v>4680115880658</v>
      </c>
      <c r="E118" s="1031" t="n"/>
      <c r="F118" s="1070" t="n">
        <v>0.4</v>
      </c>
      <c r="G118" s="37" t="n">
        <v>6</v>
      </c>
      <c r="H118" s="1070" t="n">
        <v>2.4</v>
      </c>
      <c r="I118" s="1070" t="n">
        <v>2.58</v>
      </c>
      <c r="J118" s="37" t="n">
        <v>182</v>
      </c>
      <c r="K118" s="37" t="inlineStr">
        <is>
          <t>14</t>
        </is>
      </c>
      <c r="L118" s="37" t="inlineStr"/>
      <c r="M118" s="38" t="inlineStr">
        <is>
          <t>СК1</t>
        </is>
      </c>
      <c r="N118" s="38" t="n"/>
      <c r="O118" s="37" t="n">
        <v>55</v>
      </c>
      <c r="P118" s="1135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8" s="1072" t="n"/>
      <c r="R118" s="1072" t="n"/>
      <c r="S118" s="1072" t="n"/>
      <c r="T118" s="1073" t="n"/>
      <c r="U118" s="39" t="inlineStr"/>
      <c r="V118" s="39" t="inlineStr"/>
      <c r="W118" s="40" t="inlineStr">
        <is>
          <t>кг</t>
        </is>
      </c>
      <c r="X118" s="1074" t="n">
        <v>0</v>
      </c>
      <c r="Y118" s="1075">
        <f>IFERROR(IF(X118="",0,CEILING((X118/$H118),1)*$H118),"")</f>
        <v/>
      </c>
      <c r="Z118" s="41">
        <f>IFERROR(IF(Y118=0,"",ROUNDUP(Y118/H118,0)*0.00651),"")</f>
        <v/>
      </c>
      <c r="AA118" s="68" t="inlineStr"/>
      <c r="AB118" s="69" t="inlineStr"/>
      <c r="AC118" s="198" t="inlineStr">
        <is>
          <t>ЕАЭС N RU Д-RU.РА06.В.97082/24, ЕАЭС N RU Д-RU.РА08.В.46217/25</t>
        </is>
      </c>
      <c r="AG118" s="78" t="n"/>
      <c r="AJ118" s="84" t="inlineStr"/>
      <c r="AK118" s="84" t="n">
        <v>0</v>
      </c>
      <c r="BB118" s="199" t="inlineStr">
        <is>
          <t>КИ</t>
        </is>
      </c>
      <c r="BM118" s="78">
        <f>IFERROR(X118*I118/H118,"0")</f>
        <v/>
      </c>
      <c r="BN118" s="78">
        <f>IFERROR(Y118*I118/H118,"0")</f>
        <v/>
      </c>
      <c r="BO118" s="78">
        <f>IFERROR(1/J118*(X118/H118),"0")</f>
        <v/>
      </c>
      <c r="BP118" s="78">
        <f>IFERROR(1/J118*(Y118/H118),"0")</f>
        <v/>
      </c>
    </row>
    <row r="119">
      <c r="A119" s="732" t="n"/>
      <c r="B119" s="1019" t="n"/>
      <c r="C119" s="1019" t="n"/>
      <c r="D119" s="1019" t="n"/>
      <c r="E119" s="1019" t="n"/>
      <c r="F119" s="1019" t="n"/>
      <c r="G119" s="1019" t="n"/>
      <c r="H119" s="1019" t="n"/>
      <c r="I119" s="1019" t="n"/>
      <c r="J119" s="1019" t="n"/>
      <c r="K119" s="1019" t="n"/>
      <c r="L119" s="1019" t="n"/>
      <c r="M119" s="1019" t="n"/>
      <c r="N119" s="1019" t="n"/>
      <c r="O119" s="1077" t="n"/>
      <c r="P119" s="1078" t="inlineStr">
        <is>
          <t>Итого</t>
        </is>
      </c>
      <c r="Q119" s="1039" t="n"/>
      <c r="R119" s="1039" t="n"/>
      <c r="S119" s="1039" t="n"/>
      <c r="T119" s="1039" t="n"/>
      <c r="U119" s="1039" t="n"/>
      <c r="V119" s="1040" t="n"/>
      <c r="W119" s="42" t="inlineStr">
        <is>
          <t>кор</t>
        </is>
      </c>
      <c r="X119" s="1079">
        <f>IFERROR(X116/H116,"0")+IFERROR(X117/H117,"0")+IFERROR(X118/H118,"0")</f>
        <v/>
      </c>
      <c r="Y119" s="1079">
        <f>IFERROR(Y116/H116,"0")+IFERROR(Y117/H117,"0")+IFERROR(Y118/H118,"0")</f>
        <v/>
      </c>
      <c r="Z119" s="1079">
        <f>IFERROR(IF(Z116="",0,Z116),"0")+IFERROR(IF(Z117="",0,Z117),"0")+IFERROR(IF(Z118="",0,Z118),"0")</f>
        <v/>
      </c>
      <c r="AA119" s="1080" t="n"/>
      <c r="AB119" s="1080" t="n"/>
      <c r="AC119" s="1080" t="n"/>
    </row>
    <row r="120">
      <c r="A120" s="1019" t="n"/>
      <c r="B120" s="1019" t="n"/>
      <c r="C120" s="1019" t="n"/>
      <c r="D120" s="1019" t="n"/>
      <c r="E120" s="1019" t="n"/>
      <c r="F120" s="1019" t="n"/>
      <c r="G120" s="1019" t="n"/>
      <c r="H120" s="1019" t="n"/>
      <c r="I120" s="1019" t="n"/>
      <c r="J120" s="1019" t="n"/>
      <c r="K120" s="1019" t="n"/>
      <c r="L120" s="1019" t="n"/>
      <c r="M120" s="1019" t="n"/>
      <c r="N120" s="1019" t="n"/>
      <c r="O120" s="1077" t="n"/>
      <c r="P120" s="1078" t="inlineStr">
        <is>
          <t>Итого</t>
        </is>
      </c>
      <c r="Q120" s="1039" t="n"/>
      <c r="R120" s="1039" t="n"/>
      <c r="S120" s="1039" t="n"/>
      <c r="T120" s="1039" t="n"/>
      <c r="U120" s="1039" t="n"/>
      <c r="V120" s="1040" t="n"/>
      <c r="W120" s="42" t="inlineStr">
        <is>
          <t>кг</t>
        </is>
      </c>
      <c r="X120" s="1079">
        <f>IFERROR(SUM(X116:X118),"0")</f>
        <v/>
      </c>
      <c r="Y120" s="1079">
        <f>IFERROR(SUM(Y116:Y118),"0")</f>
        <v/>
      </c>
      <c r="Z120" s="42" t="n"/>
      <c r="AA120" s="1080" t="n"/>
      <c r="AB120" s="1080" t="n"/>
      <c r="AC120" s="1080" t="n"/>
    </row>
    <row r="121" ht="14.25" customHeight="1">
      <c r="A121" s="722" t="inlineStr">
        <is>
          <t>Сосиски</t>
        </is>
      </c>
      <c r="B121" s="1019" t="n"/>
      <c r="C121" s="1019" t="n"/>
      <c r="D121" s="1019" t="n"/>
      <c r="E121" s="1019" t="n"/>
      <c r="F121" s="1019" t="n"/>
      <c r="G121" s="1019" t="n"/>
      <c r="H121" s="1019" t="n"/>
      <c r="I121" s="1019" t="n"/>
      <c r="J121" s="1019" t="n"/>
      <c r="K121" s="1019" t="n"/>
      <c r="L121" s="1019" t="n"/>
      <c r="M121" s="1019" t="n"/>
      <c r="N121" s="1019" t="n"/>
      <c r="O121" s="1019" t="n"/>
      <c r="P121" s="1019" t="n"/>
      <c r="Q121" s="1019" t="n"/>
      <c r="R121" s="1019" t="n"/>
      <c r="S121" s="1019" t="n"/>
      <c r="T121" s="1019" t="n"/>
      <c r="U121" s="1019" t="n"/>
      <c r="V121" s="1019" t="n"/>
      <c r="W121" s="1019" t="n"/>
      <c r="X121" s="1019" t="n"/>
      <c r="Y121" s="1019" t="n"/>
      <c r="Z121" s="1019" t="n"/>
      <c r="AA121" s="722" t="n"/>
      <c r="AB121" s="722" t="n"/>
      <c r="AC121" s="722" t="n"/>
    </row>
    <row r="122" ht="27" customHeight="1">
      <c r="A122" s="63" t="inlineStr">
        <is>
          <t>SU001721</t>
        </is>
      </c>
      <c r="B122" s="63" t="inlineStr">
        <is>
          <t>P005220</t>
        </is>
      </c>
      <c r="C122" s="36" t="n">
        <v>4301052088</v>
      </c>
      <c r="D122" s="723" t="n">
        <v>4607091385168</v>
      </c>
      <c r="E122" s="1031" t="n"/>
      <c r="F122" s="1070" t="n">
        <v>1.35</v>
      </c>
      <c r="G122" s="37" t="n">
        <v>6</v>
      </c>
      <c r="H122" s="1070" t="n">
        <v>8.1</v>
      </c>
      <c r="I122" s="1070" t="n">
        <v>8.587999999999999</v>
      </c>
      <c r="J122" s="37" t="n">
        <v>64</v>
      </c>
      <c r="K122" s="37" t="inlineStr">
        <is>
          <t>8</t>
        </is>
      </c>
      <c r="L122" s="37" t="inlineStr"/>
      <c r="M122" s="38" t="inlineStr">
        <is>
          <t>СК3</t>
        </is>
      </c>
      <c r="N122" s="38" t="n"/>
      <c r="O122" s="37" t="n">
        <v>45</v>
      </c>
      <c r="P122" s="1136">
        <f>HYPERLINK("https://abi.ru/products/Охлажденные/Вязанка/Сливушка/Сосиски/P005220/","Сосиски «Вязанка Сливочные» Весовой п/а ТМ «Вязанка»")</f>
        <v/>
      </c>
      <c r="Q122" s="1072" t="n"/>
      <c r="R122" s="1072" t="n"/>
      <c r="S122" s="1072" t="n"/>
      <c r="T122" s="1073" t="n"/>
      <c r="U122" s="39" t="inlineStr"/>
      <c r="V122" s="39" t="inlineStr"/>
      <c r="W122" s="40" t="inlineStr">
        <is>
          <t>кг</t>
        </is>
      </c>
      <c r="X122" s="1074" t="n">
        <v>207</v>
      </c>
      <c r="Y122" s="1075">
        <f>IFERROR(IF(X122="",0,CEILING((X122/$H122),1)*$H122),"")</f>
        <v/>
      </c>
      <c r="Z122" s="41">
        <f>IFERROR(IF(Y122=0,"",ROUNDUP(Y122/H122,0)*0.01898),"")</f>
        <v/>
      </c>
      <c r="AA122" s="68" t="inlineStr"/>
      <c r="AB122" s="69" t="inlineStr"/>
      <c r="AC122" s="200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201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27" customHeight="1">
      <c r="A123" s="63" t="inlineStr">
        <is>
          <t>SU002139</t>
        </is>
      </c>
      <c r="B123" s="63" t="inlineStr">
        <is>
          <t>P005221</t>
        </is>
      </c>
      <c r="C123" s="36" t="n">
        <v>4301052087</v>
      </c>
      <c r="D123" s="723" t="n">
        <v>4607091383256</v>
      </c>
      <c r="E123" s="1031" t="n"/>
      <c r="F123" s="1070" t="n">
        <v>0.33</v>
      </c>
      <c r="G123" s="37" t="n">
        <v>6</v>
      </c>
      <c r="H123" s="1070" t="n">
        <v>1.98</v>
      </c>
      <c r="I123" s="1070" t="n">
        <v>2.226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137">
        <f>HYPERLINK("https://abi.ru/products/Охлажденные/Вязанка/Сливушка/Сосиски/P005221/","Сосиски «Вязанка Сливочные» Фикс.вес 0,33 п/а ТМ «Вязанка»")</f>
        <v/>
      </c>
      <c r="Q123" s="1072" t="n"/>
      <c r="R123" s="1072" t="n"/>
      <c r="S123" s="1072" t="n"/>
      <c r="T123" s="1073" t="n"/>
      <c r="U123" s="39" t="inlineStr"/>
      <c r="V123" s="39" t="inlineStr"/>
      <c r="W123" s="40" t="inlineStr">
        <is>
          <t>кг</t>
        </is>
      </c>
      <c r="X123" s="1074" t="n">
        <v>0</v>
      </c>
      <c r="Y123" s="1075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202" t="inlineStr">
        <is>
          <t>ЕАЭС N RU Д-RU.РА04.В.52582/26, ЕАЭС N RU Д-RU.РА10.В.61658/25</t>
        </is>
      </c>
      <c r="AG123" s="78" t="n"/>
      <c r="AJ123" s="84" t="inlineStr"/>
      <c r="AK123" s="84" t="n">
        <v>0</v>
      </c>
      <c r="BB123" s="203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 ht="27" customHeight="1">
      <c r="A124" s="63" t="inlineStr">
        <is>
          <t>SU001720</t>
        </is>
      </c>
      <c r="B124" s="63" t="inlineStr">
        <is>
          <t>P005219</t>
        </is>
      </c>
      <c r="C124" s="36" t="n">
        <v>4301052086</v>
      </c>
      <c r="D124" s="723" t="n">
        <v>4607091385748</v>
      </c>
      <c r="E124" s="1031" t="n"/>
      <c r="F124" s="1070" t="n">
        <v>0.45</v>
      </c>
      <c r="G124" s="37" t="n">
        <v>6</v>
      </c>
      <c r="H124" s="1070" t="n">
        <v>2.7</v>
      </c>
      <c r="I124" s="1070" t="n">
        <v>2.952</v>
      </c>
      <c r="J124" s="37" t="n">
        <v>182</v>
      </c>
      <c r="K124" s="37" t="inlineStr">
        <is>
          <t>14</t>
        </is>
      </c>
      <c r="L124" s="37" t="inlineStr"/>
      <c r="M124" s="38" t="inlineStr">
        <is>
          <t>СК3</t>
        </is>
      </c>
      <c r="N124" s="38" t="n"/>
      <c r="O124" s="37" t="n">
        <v>45</v>
      </c>
      <c r="P124" s="1138">
        <f>HYPERLINK("https://abi.ru/products/Охлажденные/Вязанка/Сливушка/Сосиски/P005219/","Сосиски «Вязанка Сливочные» Фикс.вес 0,45 п/а ТМ «Вязанка»")</f>
        <v/>
      </c>
      <c r="Q124" s="1072" t="n"/>
      <c r="R124" s="1072" t="n"/>
      <c r="S124" s="1072" t="n"/>
      <c r="T124" s="1073" t="n"/>
      <c r="U124" s="39" t="inlineStr"/>
      <c r="V124" s="39" t="inlineStr"/>
      <c r="W124" s="40" t="inlineStr">
        <is>
          <t>кг</t>
        </is>
      </c>
      <c r="X124" s="1074" t="n">
        <v>210</v>
      </c>
      <c r="Y124" s="1075">
        <f>IFERROR(IF(X124="",0,CEILING((X124/$H124),1)*$H124),"")</f>
        <v/>
      </c>
      <c r="Z124" s="41">
        <f>IFERROR(IF(Y124=0,"",ROUNDUP(Y124/H124,0)*0.00651),"")</f>
        <v/>
      </c>
      <c r="AA124" s="68" t="inlineStr"/>
      <c r="AB124" s="69" t="inlineStr"/>
      <c r="AC124" s="204" t="inlineStr">
        <is>
          <t>ЕАЭС N RU Д-RU.РА04.В.52582/26, ЕАЭС N RU Д-RU.РА10.В.61658/25</t>
        </is>
      </c>
      <c r="AG124" s="78" t="n"/>
      <c r="AJ124" s="84" t="inlineStr"/>
      <c r="AK124" s="84" t="n">
        <v>0</v>
      </c>
      <c r="BB124" s="205" t="inlineStr">
        <is>
          <t>КИ</t>
        </is>
      </c>
      <c r="BM124" s="78">
        <f>IFERROR(X124*I124/H124,"0")</f>
        <v/>
      </c>
      <c r="BN124" s="78">
        <f>IFERROR(Y124*I124/H124,"0")</f>
        <v/>
      </c>
      <c r="BO124" s="78">
        <f>IFERROR(1/J124*(X124/H124),"0")</f>
        <v/>
      </c>
      <c r="BP124" s="78">
        <f>IFERROR(1/J124*(Y124/H124),"0")</f>
        <v/>
      </c>
    </row>
    <row r="125" ht="16.5" customHeight="1">
      <c r="A125" s="63" t="inlineStr">
        <is>
          <t>SU003336</t>
        </is>
      </c>
      <c r="B125" s="63" t="inlineStr">
        <is>
          <t>P005222</t>
        </is>
      </c>
      <c r="C125" s="36" t="n">
        <v>4301052085</v>
      </c>
      <c r="D125" s="723" t="n">
        <v>4680115884533</v>
      </c>
      <c r="E125" s="1031" t="n"/>
      <c r="F125" s="1070" t="n">
        <v>0.3</v>
      </c>
      <c r="G125" s="37" t="n">
        <v>6</v>
      </c>
      <c r="H125" s="1070" t="n">
        <v>1.8</v>
      </c>
      <c r="I125" s="1070" t="n">
        <v>1.98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СК3</t>
        </is>
      </c>
      <c r="N125" s="38" t="n"/>
      <c r="O125" s="37" t="n">
        <v>45</v>
      </c>
      <c r="P125" s="1139">
        <f>HYPERLINK("https://abi.ru/products/Охлажденные/Вязанка/Сливушка/Сосиски/P005222/","Сосиски «Сливушки по-венски» Фикс.вес 0,3 п/а ТМ «Вязанка»")</f>
        <v/>
      </c>
      <c r="Q125" s="1072" t="n"/>
      <c r="R125" s="1072" t="n"/>
      <c r="S125" s="1072" t="n"/>
      <c r="T125" s="1073" t="n"/>
      <c r="U125" s="39" t="inlineStr"/>
      <c r="V125" s="39" t="inlineStr"/>
      <c r="W125" s="40" t="inlineStr">
        <is>
          <t>кг</t>
        </is>
      </c>
      <c r="X125" s="1074" t="n">
        <v>0</v>
      </c>
      <c r="Y125" s="1075">
        <f>IFERROR(IF(X125="",0,CEILING((X125/$H125),1)*$H125),"")</f>
        <v/>
      </c>
      <c r="Z125" s="41">
        <f>IFERROR(IF(Y125=0,"",ROUNDUP(Y125/H125,0)*0.00651),"")</f>
        <v/>
      </c>
      <c r="AA125" s="68" t="inlineStr"/>
      <c r="AB125" s="69" t="inlineStr"/>
      <c r="AC125" s="206" t="inlineStr">
        <is>
          <t>ЕАЭС N RU Д-RU.РА08.В.87595/25</t>
        </is>
      </c>
      <c r="AG125" s="78" t="n"/>
      <c r="AJ125" s="84" t="inlineStr"/>
      <c r="AK125" s="84" t="n">
        <v>0</v>
      </c>
      <c r="BB125" s="207" t="inlineStr">
        <is>
          <t>КИ</t>
        </is>
      </c>
      <c r="BM125" s="78">
        <f>IFERROR(X125*I125/H125,"0")</f>
        <v/>
      </c>
      <c r="BN125" s="78">
        <f>IFERROR(Y125*I125/H125,"0")</f>
        <v/>
      </c>
      <c r="BO125" s="78">
        <f>IFERROR(1/J125*(X125/H125),"0")</f>
        <v/>
      </c>
      <c r="BP125" s="78">
        <f>IFERROR(1/J125*(Y125/H125),"0")</f>
        <v/>
      </c>
    </row>
    <row r="126">
      <c r="A126" s="732" t="n"/>
      <c r="B126" s="1019" t="n"/>
      <c r="C126" s="1019" t="n"/>
      <c r="D126" s="1019" t="n"/>
      <c r="E126" s="1019" t="n"/>
      <c r="F126" s="1019" t="n"/>
      <c r="G126" s="1019" t="n"/>
      <c r="H126" s="1019" t="n"/>
      <c r="I126" s="1019" t="n"/>
      <c r="J126" s="1019" t="n"/>
      <c r="K126" s="1019" t="n"/>
      <c r="L126" s="1019" t="n"/>
      <c r="M126" s="1019" t="n"/>
      <c r="N126" s="1019" t="n"/>
      <c r="O126" s="1077" t="n"/>
      <c r="P126" s="1078" t="inlineStr">
        <is>
          <t>Итого</t>
        </is>
      </c>
      <c r="Q126" s="1039" t="n"/>
      <c r="R126" s="1039" t="n"/>
      <c r="S126" s="1039" t="n"/>
      <c r="T126" s="1039" t="n"/>
      <c r="U126" s="1039" t="n"/>
      <c r="V126" s="1040" t="n"/>
      <c r="W126" s="42" t="inlineStr">
        <is>
          <t>кор</t>
        </is>
      </c>
      <c r="X126" s="1079">
        <f>IFERROR(X122/H122,"0")+IFERROR(X123/H123,"0")+IFERROR(X124/H124,"0")+IFERROR(X125/H125,"0")</f>
        <v/>
      </c>
      <c r="Y126" s="1079">
        <f>IFERROR(Y122/H122,"0")+IFERROR(Y123/H123,"0")+IFERROR(Y124/H124,"0")+IFERROR(Y125/H125,"0")</f>
        <v/>
      </c>
      <c r="Z126" s="1079">
        <f>IFERROR(IF(Z122="",0,Z122),"0")+IFERROR(IF(Z123="",0,Z123),"0")+IFERROR(IF(Z124="",0,Z124),"0")+IFERROR(IF(Z125="",0,Z125),"0")</f>
        <v/>
      </c>
      <c r="AA126" s="1080" t="n"/>
      <c r="AB126" s="1080" t="n"/>
      <c r="AC126" s="1080" t="n"/>
    </row>
    <row r="127">
      <c r="A127" s="1019" t="n"/>
      <c r="B127" s="1019" t="n"/>
      <c r="C127" s="1019" t="n"/>
      <c r="D127" s="1019" t="n"/>
      <c r="E127" s="1019" t="n"/>
      <c r="F127" s="1019" t="n"/>
      <c r="G127" s="1019" t="n"/>
      <c r="H127" s="1019" t="n"/>
      <c r="I127" s="1019" t="n"/>
      <c r="J127" s="1019" t="n"/>
      <c r="K127" s="1019" t="n"/>
      <c r="L127" s="1019" t="n"/>
      <c r="M127" s="1019" t="n"/>
      <c r="N127" s="1019" t="n"/>
      <c r="O127" s="1077" t="n"/>
      <c r="P127" s="1078" t="inlineStr">
        <is>
          <t>Итого</t>
        </is>
      </c>
      <c r="Q127" s="1039" t="n"/>
      <c r="R127" s="1039" t="n"/>
      <c r="S127" s="1039" t="n"/>
      <c r="T127" s="1039" t="n"/>
      <c r="U127" s="1039" t="n"/>
      <c r="V127" s="1040" t="n"/>
      <c r="W127" s="42" t="inlineStr">
        <is>
          <t>кг</t>
        </is>
      </c>
      <c r="X127" s="1079">
        <f>IFERROR(SUM(X122:X125),"0")</f>
        <v/>
      </c>
      <c r="Y127" s="1079">
        <f>IFERROR(SUM(Y122:Y125),"0")</f>
        <v/>
      </c>
      <c r="Z127" s="42" t="n"/>
      <c r="AA127" s="1080" t="n"/>
      <c r="AB127" s="1080" t="n"/>
      <c r="AC127" s="1080" t="n"/>
    </row>
    <row r="128" ht="14.25" customHeight="1">
      <c r="A128" s="722" t="inlineStr">
        <is>
          <t>Сардельки</t>
        </is>
      </c>
      <c r="B128" s="1019" t="n"/>
      <c r="C128" s="1019" t="n"/>
      <c r="D128" s="1019" t="n"/>
      <c r="E128" s="1019" t="n"/>
      <c r="F128" s="1019" t="n"/>
      <c r="G128" s="1019" t="n"/>
      <c r="H128" s="1019" t="n"/>
      <c r="I128" s="1019" t="n"/>
      <c r="J128" s="1019" t="n"/>
      <c r="K128" s="1019" t="n"/>
      <c r="L128" s="1019" t="n"/>
      <c r="M128" s="1019" t="n"/>
      <c r="N128" s="1019" t="n"/>
      <c r="O128" s="1019" t="n"/>
      <c r="P128" s="1019" t="n"/>
      <c r="Q128" s="1019" t="n"/>
      <c r="R128" s="1019" t="n"/>
      <c r="S128" s="1019" t="n"/>
      <c r="T128" s="1019" t="n"/>
      <c r="U128" s="1019" t="n"/>
      <c r="V128" s="1019" t="n"/>
      <c r="W128" s="1019" t="n"/>
      <c r="X128" s="1019" t="n"/>
      <c r="Y128" s="1019" t="n"/>
      <c r="Z128" s="1019" t="n"/>
      <c r="AA128" s="722" t="n"/>
      <c r="AB128" s="722" t="n"/>
      <c r="AC128" s="722" t="n"/>
    </row>
    <row r="129" ht="16.5" customHeight="1">
      <c r="A129" s="63" t="inlineStr">
        <is>
          <t>SU002367</t>
        </is>
      </c>
      <c r="B129" s="63" t="inlineStr">
        <is>
          <t>P005227</t>
        </is>
      </c>
      <c r="C129" s="36" t="n">
        <v>4301060525</v>
      </c>
      <c r="D129" s="723" t="n">
        <v>4680115880238</v>
      </c>
      <c r="E129" s="1031" t="n"/>
      <c r="F129" s="1070" t="n">
        <v>0.33</v>
      </c>
      <c r="G129" s="37" t="n">
        <v>6</v>
      </c>
      <c r="H129" s="1070" t="n">
        <v>1.98</v>
      </c>
      <c r="I129" s="1070" t="n">
        <v>2.238</v>
      </c>
      <c r="J129" s="37" t="n">
        <v>182</v>
      </c>
      <c r="K129" s="37" t="inlineStr">
        <is>
          <t>14</t>
        </is>
      </c>
      <c r="L129" s="37" t="inlineStr"/>
      <c r="M129" s="38" t="inlineStr">
        <is>
          <t>СК3</t>
        </is>
      </c>
      <c r="N129" s="38" t="n"/>
      <c r="O129" s="37" t="n">
        <v>40</v>
      </c>
      <c r="P129" s="1140">
        <f>HYPERLINK("https://abi.ru/products/Охлажденные/Вязанка/Сливушка/Сардельки/P005227/","Сардельки «Сливушки» Фикс.вес 0,33 п/а ТМ «Вязанка»")</f>
        <v/>
      </c>
      <c r="Q129" s="1072" t="n"/>
      <c r="R129" s="1072" t="n"/>
      <c r="S129" s="1072" t="n"/>
      <c r="T129" s="1073" t="n"/>
      <c r="U129" s="39" t="inlineStr"/>
      <c r="V129" s="39" t="inlineStr"/>
      <c r="W129" s="40" t="inlineStr">
        <is>
          <t>кг</t>
        </is>
      </c>
      <c r="X129" s="1074" t="n">
        <v>7</v>
      </c>
      <c r="Y129" s="1075">
        <f>IFERROR(IF(X129="",0,CEILING((X129/$H129),1)*$H129),"")</f>
        <v/>
      </c>
      <c r="Z129" s="41">
        <f>IFERROR(IF(Y129=0,"",ROUNDUP(Y129/H129,0)*0.00651),"")</f>
        <v/>
      </c>
      <c r="AA129" s="68" t="inlineStr"/>
      <c r="AB129" s="69" t="inlineStr"/>
      <c r="AC129" s="208" t="inlineStr">
        <is>
          <t>ЕАЭС N RU Д-RU.РА08.В.47013/25</t>
        </is>
      </c>
      <c r="AG129" s="78" t="n"/>
      <c r="AJ129" s="84" t="inlineStr"/>
      <c r="AK129" s="84" t="n">
        <v>0</v>
      </c>
      <c r="BB129" s="209" t="inlineStr">
        <is>
          <t>КИ</t>
        </is>
      </c>
      <c r="BM129" s="78">
        <f>IFERROR(X129*I129/H129,"0")</f>
        <v/>
      </c>
      <c r="BN129" s="78">
        <f>IFERROR(Y129*I129/H129,"0")</f>
        <v/>
      </c>
      <c r="BO129" s="78">
        <f>IFERROR(1/J129*(X129/H129),"0")</f>
        <v/>
      </c>
      <c r="BP129" s="78">
        <f>IFERROR(1/J129*(Y129/H129),"0")</f>
        <v/>
      </c>
    </row>
    <row r="130">
      <c r="A130" s="732" t="n"/>
      <c r="B130" s="1019" t="n"/>
      <c r="C130" s="1019" t="n"/>
      <c r="D130" s="1019" t="n"/>
      <c r="E130" s="1019" t="n"/>
      <c r="F130" s="1019" t="n"/>
      <c r="G130" s="1019" t="n"/>
      <c r="H130" s="1019" t="n"/>
      <c r="I130" s="1019" t="n"/>
      <c r="J130" s="1019" t="n"/>
      <c r="K130" s="1019" t="n"/>
      <c r="L130" s="1019" t="n"/>
      <c r="M130" s="1019" t="n"/>
      <c r="N130" s="1019" t="n"/>
      <c r="O130" s="1077" t="n"/>
      <c r="P130" s="1078" t="inlineStr">
        <is>
          <t>Итого</t>
        </is>
      </c>
      <c r="Q130" s="1039" t="n"/>
      <c r="R130" s="1039" t="n"/>
      <c r="S130" s="1039" t="n"/>
      <c r="T130" s="1039" t="n"/>
      <c r="U130" s="1039" t="n"/>
      <c r="V130" s="1040" t="n"/>
      <c r="W130" s="42" t="inlineStr">
        <is>
          <t>кор</t>
        </is>
      </c>
      <c r="X130" s="1079">
        <f>IFERROR(X129/H129,"0")</f>
        <v/>
      </c>
      <c r="Y130" s="1079">
        <f>IFERROR(Y129/H129,"0")</f>
        <v/>
      </c>
      <c r="Z130" s="1079">
        <f>IFERROR(IF(Z129="",0,Z129),"0")</f>
        <v/>
      </c>
      <c r="AA130" s="1080" t="n"/>
      <c r="AB130" s="1080" t="n"/>
      <c r="AC130" s="1080" t="n"/>
    </row>
    <row r="131">
      <c r="A131" s="1019" t="n"/>
      <c r="B131" s="1019" t="n"/>
      <c r="C131" s="1019" t="n"/>
      <c r="D131" s="1019" t="n"/>
      <c r="E131" s="1019" t="n"/>
      <c r="F131" s="1019" t="n"/>
      <c r="G131" s="1019" t="n"/>
      <c r="H131" s="1019" t="n"/>
      <c r="I131" s="1019" t="n"/>
      <c r="J131" s="1019" t="n"/>
      <c r="K131" s="1019" t="n"/>
      <c r="L131" s="1019" t="n"/>
      <c r="M131" s="1019" t="n"/>
      <c r="N131" s="1019" t="n"/>
      <c r="O131" s="1077" t="n"/>
      <c r="P131" s="1078" t="inlineStr">
        <is>
          <t>Итого</t>
        </is>
      </c>
      <c r="Q131" s="1039" t="n"/>
      <c r="R131" s="1039" t="n"/>
      <c r="S131" s="1039" t="n"/>
      <c r="T131" s="1039" t="n"/>
      <c r="U131" s="1039" t="n"/>
      <c r="V131" s="1040" t="n"/>
      <c r="W131" s="42" t="inlineStr">
        <is>
          <t>кг</t>
        </is>
      </c>
      <c r="X131" s="1079">
        <f>IFERROR(SUM(X129:X129),"0")</f>
        <v/>
      </c>
      <c r="Y131" s="1079">
        <f>IFERROR(SUM(Y129:Y129),"0")</f>
        <v/>
      </c>
      <c r="Z131" s="42" t="n"/>
      <c r="AA131" s="1080" t="n"/>
      <c r="AB131" s="1080" t="n"/>
      <c r="AC131" s="1080" t="n"/>
    </row>
    <row r="132" ht="16.5" customHeight="1">
      <c r="A132" s="721" t="inlineStr">
        <is>
          <t>Халяль</t>
        </is>
      </c>
      <c r="B132" s="1019" t="n"/>
      <c r="C132" s="1019" t="n"/>
      <c r="D132" s="1019" t="n"/>
      <c r="E132" s="1019" t="n"/>
      <c r="F132" s="1019" t="n"/>
      <c r="G132" s="1019" t="n"/>
      <c r="H132" s="1019" t="n"/>
      <c r="I132" s="1019" t="n"/>
      <c r="J132" s="1019" t="n"/>
      <c r="K132" s="1019" t="n"/>
      <c r="L132" s="1019" t="n"/>
      <c r="M132" s="1019" t="n"/>
      <c r="N132" s="1019" t="n"/>
      <c r="O132" s="1019" t="n"/>
      <c r="P132" s="1019" t="n"/>
      <c r="Q132" s="1019" t="n"/>
      <c r="R132" s="1019" t="n"/>
      <c r="S132" s="1019" t="n"/>
      <c r="T132" s="1019" t="n"/>
      <c r="U132" s="1019" t="n"/>
      <c r="V132" s="1019" t="n"/>
      <c r="W132" s="1019" t="n"/>
      <c r="X132" s="1019" t="n"/>
      <c r="Y132" s="1019" t="n"/>
      <c r="Z132" s="1019" t="n"/>
      <c r="AA132" s="721" t="n"/>
      <c r="AB132" s="721" t="n"/>
      <c r="AC132" s="721" t="n"/>
    </row>
    <row r="133" ht="14.25" customHeight="1">
      <c r="A133" s="722" t="inlineStr">
        <is>
          <t>Вареные колбасы</t>
        </is>
      </c>
      <c r="B133" s="1019" t="n"/>
      <c r="C133" s="1019" t="n"/>
      <c r="D133" s="1019" t="n"/>
      <c r="E133" s="1019" t="n"/>
      <c r="F133" s="1019" t="n"/>
      <c r="G133" s="1019" t="n"/>
      <c r="H133" s="1019" t="n"/>
      <c r="I133" s="1019" t="n"/>
      <c r="J133" s="1019" t="n"/>
      <c r="K133" s="1019" t="n"/>
      <c r="L133" s="1019" t="n"/>
      <c r="M133" s="1019" t="n"/>
      <c r="N133" s="1019" t="n"/>
      <c r="O133" s="1019" t="n"/>
      <c r="P133" s="1019" t="n"/>
      <c r="Q133" s="1019" t="n"/>
      <c r="R133" s="1019" t="n"/>
      <c r="S133" s="1019" t="n"/>
      <c r="T133" s="1019" t="n"/>
      <c r="U133" s="1019" t="n"/>
      <c r="V133" s="1019" t="n"/>
      <c r="W133" s="1019" t="n"/>
      <c r="X133" s="1019" t="n"/>
      <c r="Y133" s="1019" t="n"/>
      <c r="Z133" s="1019" t="n"/>
      <c r="AA133" s="722" t="n"/>
      <c r="AB133" s="722" t="n"/>
      <c r="AC133" s="722" t="n"/>
    </row>
    <row r="134" ht="27" customHeight="1">
      <c r="A134" s="63" t="inlineStr">
        <is>
          <t>SU002983</t>
        </is>
      </c>
      <c r="B134" s="63" t="inlineStr">
        <is>
          <t>P003437</t>
        </is>
      </c>
      <c r="C134" s="36" t="n">
        <v>4301011562</v>
      </c>
      <c r="D134" s="723" t="n">
        <v>4680115882577</v>
      </c>
      <c r="E134" s="1031" t="n"/>
      <c r="F134" s="1070" t="n">
        <v>0.4</v>
      </c>
      <c r="G134" s="37" t="n">
        <v>8</v>
      </c>
      <c r="H134" s="1070" t="n">
        <v>3.2</v>
      </c>
      <c r="I134" s="1070" t="n">
        <v>3.38</v>
      </c>
      <c r="J134" s="37" t="n">
        <v>182</v>
      </c>
      <c r="K134" s="37" t="inlineStr">
        <is>
          <t>14</t>
        </is>
      </c>
      <c r="L134" s="37" t="inlineStr"/>
      <c r="M134" s="38" t="inlineStr">
        <is>
          <t>АК</t>
        </is>
      </c>
      <c r="N134" s="38" t="n"/>
      <c r="O134" s="37" t="n">
        <v>90</v>
      </c>
      <c r="P134" s="1141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4" s="1072" t="n"/>
      <c r="R134" s="1072" t="n"/>
      <c r="S134" s="1072" t="n"/>
      <c r="T134" s="1073" t="n"/>
      <c r="U134" s="39" t="inlineStr"/>
      <c r="V134" s="39" t="inlineStr"/>
      <c r="W134" s="40" t="inlineStr">
        <is>
          <t>кг</t>
        </is>
      </c>
      <c r="X134" s="1074" t="n">
        <v>19</v>
      </c>
      <c r="Y134" s="1075">
        <f>IFERROR(IF(X134="",0,CEILING((X134/$H134),1)*$H134),"")</f>
        <v/>
      </c>
      <c r="Z134" s="41">
        <f>IFERROR(IF(Y134=0,"",ROUNDUP(Y134/H134,0)*0.00651),"")</f>
        <v/>
      </c>
      <c r="AA134" s="68" t="inlineStr"/>
      <c r="AB134" s="69" t="inlineStr"/>
      <c r="AC134" s="210" t="inlineStr">
        <is>
          <t>ЕАЭС N RU Д-RU.РА05.В.96405/23</t>
        </is>
      </c>
      <c r="AG134" s="78" t="n"/>
      <c r="AJ134" s="84" t="inlineStr"/>
      <c r="AK134" s="84" t="n">
        <v>0</v>
      </c>
      <c r="BB134" s="211" t="inlineStr">
        <is>
          <t>КИ</t>
        </is>
      </c>
      <c r="BM134" s="78">
        <f>IFERROR(X134*I134/H134,"0")</f>
        <v/>
      </c>
      <c r="BN134" s="78">
        <f>IFERROR(Y134*I134/H134,"0")</f>
        <v/>
      </c>
      <c r="BO134" s="78">
        <f>IFERROR(1/J134*(X134/H134),"0")</f>
        <v/>
      </c>
      <c r="BP134" s="78">
        <f>IFERROR(1/J134*(Y134/H134),"0")</f>
        <v/>
      </c>
    </row>
    <row r="135" ht="27" customHeight="1">
      <c r="A135" s="63" t="inlineStr">
        <is>
          <t>SU002983</t>
        </is>
      </c>
      <c r="B135" s="63" t="inlineStr">
        <is>
          <t>P003441</t>
        </is>
      </c>
      <c r="C135" s="36" t="n">
        <v>4301011564</v>
      </c>
      <c r="D135" s="723" t="n">
        <v>4680115882577</v>
      </c>
      <c r="E135" s="1031" t="n"/>
      <c r="F135" s="1070" t="n">
        <v>0.4</v>
      </c>
      <c r="G135" s="37" t="n">
        <v>8</v>
      </c>
      <c r="H135" s="1070" t="n">
        <v>3.2</v>
      </c>
      <c r="I135" s="1070" t="n">
        <v>3.38</v>
      </c>
      <c r="J135" s="37" t="n">
        <v>182</v>
      </c>
      <c r="K135" s="37" t="inlineStr">
        <is>
          <t>14</t>
        </is>
      </c>
      <c r="L135" s="37" t="inlineStr"/>
      <c r="M135" s="38" t="inlineStr">
        <is>
          <t>АК</t>
        </is>
      </c>
      <c r="N135" s="38" t="n"/>
      <c r="O135" s="37" t="n">
        <v>90</v>
      </c>
      <c r="P135" s="1142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5" s="1072" t="n"/>
      <c r="R135" s="1072" t="n"/>
      <c r="S135" s="1072" t="n"/>
      <c r="T135" s="1073" t="n"/>
      <c r="U135" s="39" t="inlineStr"/>
      <c r="V135" s="39" t="inlineStr"/>
      <c r="W135" s="40" t="inlineStr">
        <is>
          <t>кг</t>
        </is>
      </c>
      <c r="X135" s="1074" t="n">
        <v>0</v>
      </c>
      <c r="Y135" s="1075">
        <f>IFERROR(IF(X135="",0,CEILING((X135/$H135),1)*$H135),"")</f>
        <v/>
      </c>
      <c r="Z135" s="41">
        <f>IFERROR(IF(Y135=0,"",ROUNDUP(Y135/H135,0)*0.00651),"")</f>
        <v/>
      </c>
      <c r="AA135" s="68" t="inlineStr"/>
      <c r="AB135" s="69" t="inlineStr"/>
      <c r="AC135" s="212" t="inlineStr">
        <is>
          <t>ЕАЭС N RU Д-RU.РА05.В.96405/23</t>
        </is>
      </c>
      <c r="AG135" s="78" t="n"/>
      <c r="AJ135" s="84" t="inlineStr"/>
      <c r="AK135" s="84" t="n">
        <v>0</v>
      </c>
      <c r="BB135" s="213" t="inlineStr">
        <is>
          <t>КИ</t>
        </is>
      </c>
      <c r="BM135" s="78">
        <f>IFERROR(X135*I135/H135,"0")</f>
        <v/>
      </c>
      <c r="BN135" s="78">
        <f>IFERROR(Y135*I135/H135,"0")</f>
        <v/>
      </c>
      <c r="BO135" s="78">
        <f>IFERROR(1/J135*(X135/H135),"0")</f>
        <v/>
      </c>
      <c r="BP135" s="78">
        <f>IFERROR(1/J135*(Y135/H135),"0")</f>
        <v/>
      </c>
    </row>
    <row r="136">
      <c r="A136" s="732" t="n"/>
      <c r="B136" s="1019" t="n"/>
      <c r="C136" s="1019" t="n"/>
      <c r="D136" s="1019" t="n"/>
      <c r="E136" s="1019" t="n"/>
      <c r="F136" s="1019" t="n"/>
      <c r="G136" s="1019" t="n"/>
      <c r="H136" s="1019" t="n"/>
      <c r="I136" s="1019" t="n"/>
      <c r="J136" s="1019" t="n"/>
      <c r="K136" s="1019" t="n"/>
      <c r="L136" s="1019" t="n"/>
      <c r="M136" s="1019" t="n"/>
      <c r="N136" s="1019" t="n"/>
      <c r="O136" s="1077" t="n"/>
      <c r="P136" s="1078" t="inlineStr">
        <is>
          <t>Итого</t>
        </is>
      </c>
      <c r="Q136" s="1039" t="n"/>
      <c r="R136" s="1039" t="n"/>
      <c r="S136" s="1039" t="n"/>
      <c r="T136" s="1039" t="n"/>
      <c r="U136" s="1039" t="n"/>
      <c r="V136" s="1040" t="n"/>
      <c r="W136" s="42" t="inlineStr">
        <is>
          <t>кор</t>
        </is>
      </c>
      <c r="X136" s="1079">
        <f>IFERROR(X134/H134,"0")+IFERROR(X135/H135,"0")</f>
        <v/>
      </c>
      <c r="Y136" s="1079">
        <f>IFERROR(Y134/H134,"0")+IFERROR(Y135/H135,"0")</f>
        <v/>
      </c>
      <c r="Z136" s="1079">
        <f>IFERROR(IF(Z134="",0,Z134),"0")+IFERROR(IF(Z135="",0,Z135),"0")</f>
        <v/>
      </c>
      <c r="AA136" s="1080" t="n"/>
      <c r="AB136" s="1080" t="n"/>
      <c r="AC136" s="1080" t="n"/>
    </row>
    <row r="137">
      <c r="A137" s="1019" t="n"/>
      <c r="B137" s="1019" t="n"/>
      <c r="C137" s="1019" t="n"/>
      <c r="D137" s="1019" t="n"/>
      <c r="E137" s="1019" t="n"/>
      <c r="F137" s="1019" t="n"/>
      <c r="G137" s="1019" t="n"/>
      <c r="H137" s="1019" t="n"/>
      <c r="I137" s="1019" t="n"/>
      <c r="J137" s="1019" t="n"/>
      <c r="K137" s="1019" t="n"/>
      <c r="L137" s="1019" t="n"/>
      <c r="M137" s="1019" t="n"/>
      <c r="N137" s="1019" t="n"/>
      <c r="O137" s="1077" t="n"/>
      <c r="P137" s="1078" t="inlineStr">
        <is>
          <t>Итого</t>
        </is>
      </c>
      <c r="Q137" s="1039" t="n"/>
      <c r="R137" s="1039" t="n"/>
      <c r="S137" s="1039" t="n"/>
      <c r="T137" s="1039" t="n"/>
      <c r="U137" s="1039" t="n"/>
      <c r="V137" s="1040" t="n"/>
      <c r="W137" s="42" t="inlineStr">
        <is>
          <t>кг</t>
        </is>
      </c>
      <c r="X137" s="1079">
        <f>IFERROR(SUM(X134:X135),"0")</f>
        <v/>
      </c>
      <c r="Y137" s="1079">
        <f>IFERROR(SUM(Y134:Y135),"0")</f>
        <v/>
      </c>
      <c r="Z137" s="42" t="n"/>
      <c r="AA137" s="1080" t="n"/>
      <c r="AB137" s="1080" t="n"/>
      <c r="AC137" s="1080" t="n"/>
    </row>
    <row r="138" ht="14.25" customHeight="1">
      <c r="A138" s="722" t="inlineStr">
        <is>
          <t>Копченые колбасы</t>
        </is>
      </c>
      <c r="B138" s="1019" t="n"/>
      <c r="C138" s="1019" t="n"/>
      <c r="D138" s="1019" t="n"/>
      <c r="E138" s="1019" t="n"/>
      <c r="F138" s="1019" t="n"/>
      <c r="G138" s="1019" t="n"/>
      <c r="H138" s="1019" t="n"/>
      <c r="I138" s="1019" t="n"/>
      <c r="J138" s="1019" t="n"/>
      <c r="K138" s="1019" t="n"/>
      <c r="L138" s="1019" t="n"/>
      <c r="M138" s="1019" t="n"/>
      <c r="N138" s="1019" t="n"/>
      <c r="O138" s="1019" t="n"/>
      <c r="P138" s="1019" t="n"/>
      <c r="Q138" s="1019" t="n"/>
      <c r="R138" s="1019" t="n"/>
      <c r="S138" s="1019" t="n"/>
      <c r="T138" s="1019" t="n"/>
      <c r="U138" s="1019" t="n"/>
      <c r="V138" s="1019" t="n"/>
      <c r="W138" s="1019" t="n"/>
      <c r="X138" s="1019" t="n"/>
      <c r="Y138" s="1019" t="n"/>
      <c r="Z138" s="1019" t="n"/>
      <c r="AA138" s="722" t="n"/>
      <c r="AB138" s="722" t="n"/>
      <c r="AC138" s="722" t="n"/>
    </row>
    <row r="139" ht="27" customHeight="1">
      <c r="A139" s="63" t="inlineStr">
        <is>
          <t>SU002985</t>
        </is>
      </c>
      <c r="B139" s="63" t="inlineStr">
        <is>
          <t>P003439</t>
        </is>
      </c>
      <c r="C139" s="36" t="n">
        <v>4301031234</v>
      </c>
      <c r="D139" s="723" t="n">
        <v>4680115883444</v>
      </c>
      <c r="E139" s="1031" t="n"/>
      <c r="F139" s="1070" t="n">
        <v>0.35</v>
      </c>
      <c r="G139" s="37" t="n">
        <v>8</v>
      </c>
      <c r="H139" s="1070" t="n">
        <v>2.8</v>
      </c>
      <c r="I139" s="1070" t="n">
        <v>3.068</v>
      </c>
      <c r="J139" s="37" t="n">
        <v>182</v>
      </c>
      <c r="K139" s="37" t="inlineStr">
        <is>
          <t>14</t>
        </is>
      </c>
      <c r="L139" s="37" t="inlineStr"/>
      <c r="M139" s="38" t="inlineStr">
        <is>
          <t>АК</t>
        </is>
      </c>
      <c r="N139" s="38" t="n"/>
      <c r="O139" s="37" t="n">
        <v>90</v>
      </c>
      <c r="P139" s="1143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9" s="1072" t="n"/>
      <c r="R139" s="1072" t="n"/>
      <c r="S139" s="1072" t="n"/>
      <c r="T139" s="1073" t="n"/>
      <c r="U139" s="39" t="inlineStr"/>
      <c r="V139" s="39" t="inlineStr"/>
      <c r="W139" s="40" t="inlineStr">
        <is>
          <t>кг</t>
        </is>
      </c>
      <c r="X139" s="1074" t="n">
        <v>21</v>
      </c>
      <c r="Y139" s="1075">
        <f>IFERROR(IF(X139="",0,CEILING((X139/$H139),1)*$H139),"")</f>
        <v/>
      </c>
      <c r="Z139" s="41">
        <f>IFERROR(IF(Y139=0,"",ROUNDUP(Y139/H139,0)*0.00651),"")</f>
        <v/>
      </c>
      <c r="AA139" s="68" t="inlineStr"/>
      <c r="AB139" s="69" t="inlineStr"/>
      <c r="AC139" s="214" t="inlineStr">
        <is>
          <t>ЕАЭС N RU Д-RU.РА08.В.16764/23</t>
        </is>
      </c>
      <c r="AG139" s="78" t="n"/>
      <c r="AJ139" s="84" t="inlineStr"/>
      <c r="AK139" s="84" t="n">
        <v>0</v>
      </c>
      <c r="BB139" s="215" t="inlineStr">
        <is>
          <t>КИ</t>
        </is>
      </c>
      <c r="BM139" s="78">
        <f>IFERROR(X139*I139/H139,"0")</f>
        <v/>
      </c>
      <c r="BN139" s="78">
        <f>IFERROR(Y139*I139/H139,"0")</f>
        <v/>
      </c>
      <c r="BO139" s="78">
        <f>IFERROR(1/J139*(X139/H139),"0")</f>
        <v/>
      </c>
      <c r="BP139" s="78">
        <f>IFERROR(1/J139*(Y139/H139),"0")</f>
        <v/>
      </c>
    </row>
    <row r="140" ht="27" customHeight="1">
      <c r="A140" s="63" t="inlineStr">
        <is>
          <t>SU002985</t>
        </is>
      </c>
      <c r="B140" s="63" t="inlineStr">
        <is>
          <t>P003442</t>
        </is>
      </c>
      <c r="C140" s="36" t="n">
        <v>4301031235</v>
      </c>
      <c r="D140" s="723" t="n">
        <v>4680115883444</v>
      </c>
      <c r="E140" s="1031" t="n"/>
      <c r="F140" s="1070" t="n">
        <v>0.35</v>
      </c>
      <c r="G140" s="37" t="n">
        <v>8</v>
      </c>
      <c r="H140" s="1070" t="n">
        <v>2.8</v>
      </c>
      <c r="I140" s="1070" t="n">
        <v>3.068</v>
      </c>
      <c r="J140" s="37" t="n">
        <v>182</v>
      </c>
      <c r="K140" s="37" t="inlineStr">
        <is>
          <t>14</t>
        </is>
      </c>
      <c r="L140" s="37" t="inlineStr"/>
      <c r="M140" s="38" t="inlineStr">
        <is>
          <t>АК</t>
        </is>
      </c>
      <c r="N140" s="38" t="n"/>
      <c r="O140" s="37" t="n">
        <v>90</v>
      </c>
      <c r="P140" s="1144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40" s="1072" t="n"/>
      <c r="R140" s="1072" t="n"/>
      <c r="S140" s="1072" t="n"/>
      <c r="T140" s="1073" t="n"/>
      <c r="U140" s="39" t="inlineStr"/>
      <c r="V140" s="39" t="inlineStr"/>
      <c r="W140" s="40" t="inlineStr">
        <is>
          <t>кг</t>
        </is>
      </c>
      <c r="X140" s="1074" t="n">
        <v>0</v>
      </c>
      <c r="Y140" s="1075">
        <f>IFERROR(IF(X140="",0,CEILING((X140/$H140),1)*$H140),"")</f>
        <v/>
      </c>
      <c r="Z140" s="41">
        <f>IFERROR(IF(Y140=0,"",ROUNDUP(Y140/H140,0)*0.00651),"")</f>
        <v/>
      </c>
      <c r="AA140" s="68" t="inlineStr"/>
      <c r="AB140" s="69" t="inlineStr"/>
      <c r="AC140" s="216" t="inlineStr">
        <is>
          <t>ЕАЭС N RU Д-RU.РА08.В.16764/23</t>
        </is>
      </c>
      <c r="AG140" s="78" t="n"/>
      <c r="AJ140" s="84" t="inlineStr"/>
      <c r="AK140" s="84" t="n">
        <v>0</v>
      </c>
      <c r="BB140" s="217" t="inlineStr">
        <is>
          <t>КИ</t>
        </is>
      </c>
      <c r="BM140" s="78">
        <f>IFERROR(X140*I140/H140,"0")</f>
        <v/>
      </c>
      <c r="BN140" s="78">
        <f>IFERROR(Y140*I140/H140,"0")</f>
        <v/>
      </c>
      <c r="BO140" s="78">
        <f>IFERROR(1/J140*(X140/H140),"0")</f>
        <v/>
      </c>
      <c r="BP140" s="78">
        <f>IFERROR(1/J140*(Y140/H140),"0")</f>
        <v/>
      </c>
    </row>
    <row r="141">
      <c r="A141" s="732" t="n"/>
      <c r="B141" s="1019" t="n"/>
      <c r="C141" s="1019" t="n"/>
      <c r="D141" s="1019" t="n"/>
      <c r="E141" s="1019" t="n"/>
      <c r="F141" s="1019" t="n"/>
      <c r="G141" s="1019" t="n"/>
      <c r="H141" s="1019" t="n"/>
      <c r="I141" s="1019" t="n"/>
      <c r="J141" s="1019" t="n"/>
      <c r="K141" s="1019" t="n"/>
      <c r="L141" s="1019" t="n"/>
      <c r="M141" s="1019" t="n"/>
      <c r="N141" s="1019" t="n"/>
      <c r="O141" s="1077" t="n"/>
      <c r="P141" s="1078" t="inlineStr">
        <is>
          <t>Итого</t>
        </is>
      </c>
      <c r="Q141" s="1039" t="n"/>
      <c r="R141" s="1039" t="n"/>
      <c r="S141" s="1039" t="n"/>
      <c r="T141" s="1039" t="n"/>
      <c r="U141" s="1039" t="n"/>
      <c r="V141" s="1040" t="n"/>
      <c r="W141" s="42" t="inlineStr">
        <is>
          <t>кор</t>
        </is>
      </c>
      <c r="X141" s="1079">
        <f>IFERROR(X139/H139,"0")+IFERROR(X140/H140,"0")</f>
        <v/>
      </c>
      <c r="Y141" s="1079">
        <f>IFERROR(Y139/H139,"0")+IFERROR(Y140/H140,"0")</f>
        <v/>
      </c>
      <c r="Z141" s="1079">
        <f>IFERROR(IF(Z139="",0,Z139),"0")+IFERROR(IF(Z140="",0,Z140),"0")</f>
        <v/>
      </c>
      <c r="AA141" s="1080" t="n"/>
      <c r="AB141" s="1080" t="n"/>
      <c r="AC141" s="1080" t="n"/>
    </row>
    <row r="142">
      <c r="A142" s="1019" t="n"/>
      <c r="B142" s="1019" t="n"/>
      <c r="C142" s="1019" t="n"/>
      <c r="D142" s="1019" t="n"/>
      <c r="E142" s="1019" t="n"/>
      <c r="F142" s="1019" t="n"/>
      <c r="G142" s="1019" t="n"/>
      <c r="H142" s="1019" t="n"/>
      <c r="I142" s="1019" t="n"/>
      <c r="J142" s="1019" t="n"/>
      <c r="K142" s="1019" t="n"/>
      <c r="L142" s="1019" t="n"/>
      <c r="M142" s="1019" t="n"/>
      <c r="N142" s="1019" t="n"/>
      <c r="O142" s="1077" t="n"/>
      <c r="P142" s="1078" t="inlineStr">
        <is>
          <t>Итого</t>
        </is>
      </c>
      <c r="Q142" s="1039" t="n"/>
      <c r="R142" s="1039" t="n"/>
      <c r="S142" s="1039" t="n"/>
      <c r="T142" s="1039" t="n"/>
      <c r="U142" s="1039" t="n"/>
      <c r="V142" s="1040" t="n"/>
      <c r="W142" s="42" t="inlineStr">
        <is>
          <t>кг</t>
        </is>
      </c>
      <c r="X142" s="1079">
        <f>IFERROR(SUM(X139:X140),"0")</f>
        <v/>
      </c>
      <c r="Y142" s="1079">
        <f>IFERROR(SUM(Y139:Y140),"0")</f>
        <v/>
      </c>
      <c r="Z142" s="42" t="n"/>
      <c r="AA142" s="1080" t="n"/>
      <c r="AB142" s="1080" t="n"/>
      <c r="AC142" s="1080" t="n"/>
    </row>
    <row r="143" ht="14.25" customHeight="1">
      <c r="A143" s="722" t="inlineStr">
        <is>
          <t>Сосиски</t>
        </is>
      </c>
      <c r="B143" s="1019" t="n"/>
      <c r="C143" s="1019" t="n"/>
      <c r="D143" s="1019" t="n"/>
      <c r="E143" s="1019" t="n"/>
      <c r="F143" s="1019" t="n"/>
      <c r="G143" s="1019" t="n"/>
      <c r="H143" s="1019" t="n"/>
      <c r="I143" s="1019" t="n"/>
      <c r="J143" s="1019" t="n"/>
      <c r="K143" s="1019" t="n"/>
      <c r="L143" s="1019" t="n"/>
      <c r="M143" s="1019" t="n"/>
      <c r="N143" s="1019" t="n"/>
      <c r="O143" s="1019" t="n"/>
      <c r="P143" s="1019" t="n"/>
      <c r="Q143" s="1019" t="n"/>
      <c r="R143" s="1019" t="n"/>
      <c r="S143" s="1019" t="n"/>
      <c r="T143" s="1019" t="n"/>
      <c r="U143" s="1019" t="n"/>
      <c r="V143" s="1019" t="n"/>
      <c r="W143" s="1019" t="n"/>
      <c r="X143" s="1019" t="n"/>
      <c r="Y143" s="1019" t="n"/>
      <c r="Z143" s="1019" t="n"/>
      <c r="AA143" s="722" t="n"/>
      <c r="AB143" s="722" t="n"/>
      <c r="AC143" s="722" t="n"/>
    </row>
    <row r="144" ht="16.5" customHeight="1">
      <c r="A144" s="63" t="inlineStr">
        <is>
          <t>SU002984</t>
        </is>
      </c>
      <c r="B144" s="63" t="inlineStr">
        <is>
          <t>P003438</t>
        </is>
      </c>
      <c r="C144" s="36" t="n">
        <v>4301051476</v>
      </c>
      <c r="D144" s="723" t="n">
        <v>4680115882584</v>
      </c>
      <c r="E144" s="1031" t="n"/>
      <c r="F144" s="1070" t="n">
        <v>0.33</v>
      </c>
      <c r="G144" s="37" t="n">
        <v>8</v>
      </c>
      <c r="H144" s="1070" t="n">
        <v>2.64</v>
      </c>
      <c r="I144" s="1070" t="n">
        <v>2.908</v>
      </c>
      <c r="J144" s="37" t="n">
        <v>182</v>
      </c>
      <c r="K144" s="37" t="inlineStr">
        <is>
          <t>14</t>
        </is>
      </c>
      <c r="L144" s="37" t="inlineStr"/>
      <c r="M144" s="38" t="inlineStr">
        <is>
          <t>АК</t>
        </is>
      </c>
      <c r="N144" s="38" t="n"/>
      <c r="O144" s="37" t="n">
        <v>60</v>
      </c>
      <c r="P144" s="1145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4" s="1072" t="n"/>
      <c r="R144" s="1072" t="n"/>
      <c r="S144" s="1072" t="n"/>
      <c r="T144" s="1073" t="n"/>
      <c r="U144" s="39" t="inlineStr"/>
      <c r="V144" s="39" t="inlineStr"/>
      <c r="W144" s="40" t="inlineStr">
        <is>
          <t>кг</t>
        </is>
      </c>
      <c r="X144" s="1074" t="n">
        <v>22</v>
      </c>
      <c r="Y144" s="1075">
        <f>IFERROR(IF(X144="",0,CEILING((X144/$H144),1)*$H144),"")</f>
        <v/>
      </c>
      <c r="Z144" s="41">
        <f>IFERROR(IF(Y144=0,"",ROUNDUP(Y144/H144,0)*0.00651),"")</f>
        <v/>
      </c>
      <c r="AA144" s="68" t="inlineStr"/>
      <c r="AB144" s="69" t="inlineStr"/>
      <c r="AC144" s="218" t="inlineStr">
        <is>
          <t>ЕАЭС N RU Д-RU.РА05.В.96405/23</t>
        </is>
      </c>
      <c r="AG144" s="78" t="n"/>
      <c r="AJ144" s="84" t="inlineStr"/>
      <c r="AK144" s="84" t="n">
        <v>0</v>
      </c>
      <c r="BB144" s="219" t="inlineStr">
        <is>
          <t>КИ</t>
        </is>
      </c>
      <c r="BM144" s="78">
        <f>IFERROR(X144*I144/H144,"0")</f>
        <v/>
      </c>
      <c r="BN144" s="78">
        <f>IFERROR(Y144*I144/H144,"0")</f>
        <v/>
      </c>
      <c r="BO144" s="78">
        <f>IFERROR(1/J144*(X144/H144),"0")</f>
        <v/>
      </c>
      <c r="BP144" s="78">
        <f>IFERROR(1/J144*(Y144/H144),"0")</f>
        <v/>
      </c>
    </row>
    <row r="145" ht="16.5" customHeight="1">
      <c r="A145" s="63" t="inlineStr">
        <is>
          <t>SU002984</t>
        </is>
      </c>
      <c r="B145" s="63" t="inlineStr">
        <is>
          <t>P003440</t>
        </is>
      </c>
      <c r="C145" s="36" t="n">
        <v>4301051477</v>
      </c>
      <c r="D145" s="723" t="n">
        <v>4680115882584</v>
      </c>
      <c r="E145" s="1031" t="n"/>
      <c r="F145" s="1070" t="n">
        <v>0.33</v>
      </c>
      <c r="G145" s="37" t="n">
        <v>8</v>
      </c>
      <c r="H145" s="1070" t="n">
        <v>2.64</v>
      </c>
      <c r="I145" s="1070" t="n">
        <v>2.908</v>
      </c>
      <c r="J145" s="37" t="n">
        <v>182</v>
      </c>
      <c r="K145" s="37" t="inlineStr">
        <is>
          <t>14</t>
        </is>
      </c>
      <c r="L145" s="37" t="inlineStr"/>
      <c r="M145" s="38" t="inlineStr">
        <is>
          <t>АК</t>
        </is>
      </c>
      <c r="N145" s="38" t="n"/>
      <c r="O145" s="37" t="n">
        <v>60</v>
      </c>
      <c r="P145" s="1146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5" s="1072" t="n"/>
      <c r="R145" s="1072" t="n"/>
      <c r="S145" s="1072" t="n"/>
      <c r="T145" s="1073" t="n"/>
      <c r="U145" s="39" t="inlineStr"/>
      <c r="V145" s="39" t="inlineStr"/>
      <c r="W145" s="40" t="inlineStr">
        <is>
          <t>кг</t>
        </is>
      </c>
      <c r="X145" s="1074" t="n">
        <v>0</v>
      </c>
      <c r="Y145" s="1075">
        <f>IFERROR(IF(X145="",0,CEILING((X145/$H145),1)*$H145),"")</f>
        <v/>
      </c>
      <c r="Z145" s="41">
        <f>IFERROR(IF(Y145=0,"",ROUNDUP(Y145/H145,0)*0.00651),"")</f>
        <v/>
      </c>
      <c r="AA145" s="68" t="inlineStr"/>
      <c r="AB145" s="69" t="inlineStr"/>
      <c r="AC145" s="220" t="inlineStr">
        <is>
          <t>ЕАЭС N RU Д-RU.РА05.В.96405/23</t>
        </is>
      </c>
      <c r="AG145" s="78" t="n"/>
      <c r="AJ145" s="84" t="inlineStr"/>
      <c r="AK145" s="84" t="n">
        <v>0</v>
      </c>
      <c r="BB145" s="221" t="inlineStr">
        <is>
          <t>КИ</t>
        </is>
      </c>
      <c r="BM145" s="78">
        <f>IFERROR(X145*I145/H145,"0")</f>
        <v/>
      </c>
      <c r="BN145" s="78">
        <f>IFERROR(Y145*I145/H145,"0")</f>
        <v/>
      </c>
      <c r="BO145" s="78">
        <f>IFERROR(1/J145*(X145/H145),"0")</f>
        <v/>
      </c>
      <c r="BP145" s="78">
        <f>IFERROR(1/J145*(Y145/H145),"0")</f>
        <v/>
      </c>
    </row>
    <row r="146">
      <c r="A146" s="732" t="n"/>
      <c r="B146" s="1019" t="n"/>
      <c r="C146" s="1019" t="n"/>
      <c r="D146" s="1019" t="n"/>
      <c r="E146" s="1019" t="n"/>
      <c r="F146" s="1019" t="n"/>
      <c r="G146" s="1019" t="n"/>
      <c r="H146" s="1019" t="n"/>
      <c r="I146" s="1019" t="n"/>
      <c r="J146" s="1019" t="n"/>
      <c r="K146" s="1019" t="n"/>
      <c r="L146" s="1019" t="n"/>
      <c r="M146" s="1019" t="n"/>
      <c r="N146" s="1019" t="n"/>
      <c r="O146" s="1077" t="n"/>
      <c r="P146" s="1078" t="inlineStr">
        <is>
          <t>Итого</t>
        </is>
      </c>
      <c r="Q146" s="1039" t="n"/>
      <c r="R146" s="1039" t="n"/>
      <c r="S146" s="1039" t="n"/>
      <c r="T146" s="1039" t="n"/>
      <c r="U146" s="1039" t="n"/>
      <c r="V146" s="1040" t="n"/>
      <c r="W146" s="42" t="inlineStr">
        <is>
          <t>кор</t>
        </is>
      </c>
      <c r="X146" s="1079">
        <f>IFERROR(X144/H144,"0")+IFERROR(X145/H145,"0")</f>
        <v/>
      </c>
      <c r="Y146" s="1079">
        <f>IFERROR(Y144/H144,"0")+IFERROR(Y145/H145,"0")</f>
        <v/>
      </c>
      <c r="Z146" s="1079">
        <f>IFERROR(IF(Z144="",0,Z144),"0")+IFERROR(IF(Z145="",0,Z145),"0")</f>
        <v/>
      </c>
      <c r="AA146" s="1080" t="n"/>
      <c r="AB146" s="1080" t="n"/>
      <c r="AC146" s="1080" t="n"/>
    </row>
    <row r="147">
      <c r="A147" s="1019" t="n"/>
      <c r="B147" s="1019" t="n"/>
      <c r="C147" s="1019" t="n"/>
      <c r="D147" s="1019" t="n"/>
      <c r="E147" s="1019" t="n"/>
      <c r="F147" s="1019" t="n"/>
      <c r="G147" s="1019" t="n"/>
      <c r="H147" s="1019" t="n"/>
      <c r="I147" s="1019" t="n"/>
      <c r="J147" s="1019" t="n"/>
      <c r="K147" s="1019" t="n"/>
      <c r="L147" s="1019" t="n"/>
      <c r="M147" s="1019" t="n"/>
      <c r="N147" s="1019" t="n"/>
      <c r="O147" s="1077" t="n"/>
      <c r="P147" s="1078" t="inlineStr">
        <is>
          <t>Итого</t>
        </is>
      </c>
      <c r="Q147" s="1039" t="n"/>
      <c r="R147" s="1039" t="n"/>
      <c r="S147" s="1039" t="n"/>
      <c r="T147" s="1039" t="n"/>
      <c r="U147" s="1039" t="n"/>
      <c r="V147" s="1040" t="n"/>
      <c r="W147" s="42" t="inlineStr">
        <is>
          <t>кг</t>
        </is>
      </c>
      <c r="X147" s="1079">
        <f>IFERROR(SUM(X144:X145),"0")</f>
        <v/>
      </c>
      <c r="Y147" s="1079">
        <f>IFERROR(SUM(Y144:Y145),"0")</f>
        <v/>
      </c>
      <c r="Z147" s="42" t="n"/>
      <c r="AA147" s="1080" t="n"/>
      <c r="AB147" s="1080" t="n"/>
      <c r="AC147" s="1080" t="n"/>
    </row>
    <row r="148" ht="16.5" customHeight="1">
      <c r="A148" s="721" t="inlineStr">
        <is>
          <t>Хайперсы</t>
        </is>
      </c>
      <c r="B148" s="1019" t="n"/>
      <c r="C148" s="1019" t="n"/>
      <c r="D148" s="1019" t="n"/>
      <c r="E148" s="1019" t="n"/>
      <c r="F148" s="1019" t="n"/>
      <c r="G148" s="1019" t="n"/>
      <c r="H148" s="1019" t="n"/>
      <c r="I148" s="1019" t="n"/>
      <c r="J148" s="1019" t="n"/>
      <c r="K148" s="1019" t="n"/>
      <c r="L148" s="1019" t="n"/>
      <c r="M148" s="1019" t="n"/>
      <c r="N148" s="1019" t="n"/>
      <c r="O148" s="1019" t="n"/>
      <c r="P148" s="1019" t="n"/>
      <c r="Q148" s="1019" t="n"/>
      <c r="R148" s="1019" t="n"/>
      <c r="S148" s="1019" t="n"/>
      <c r="T148" s="1019" t="n"/>
      <c r="U148" s="1019" t="n"/>
      <c r="V148" s="1019" t="n"/>
      <c r="W148" s="1019" t="n"/>
      <c r="X148" s="1019" t="n"/>
      <c r="Y148" s="1019" t="n"/>
      <c r="Z148" s="1019" t="n"/>
      <c r="AA148" s="721" t="n"/>
      <c r="AB148" s="721" t="n"/>
      <c r="AC148" s="721" t="n"/>
    </row>
    <row r="149" ht="14.25" customHeight="1">
      <c r="A149" s="722" t="inlineStr">
        <is>
          <t>Сосиски</t>
        </is>
      </c>
      <c r="B149" s="1019" t="n"/>
      <c r="C149" s="1019" t="n"/>
      <c r="D149" s="1019" t="n"/>
      <c r="E149" s="1019" t="n"/>
      <c r="F149" s="1019" t="n"/>
      <c r="G149" s="1019" t="n"/>
      <c r="H149" s="1019" t="n"/>
      <c r="I149" s="1019" t="n"/>
      <c r="J149" s="1019" t="n"/>
      <c r="K149" s="1019" t="n"/>
      <c r="L149" s="1019" t="n"/>
      <c r="M149" s="1019" t="n"/>
      <c r="N149" s="1019" t="n"/>
      <c r="O149" s="1019" t="n"/>
      <c r="P149" s="1019" t="n"/>
      <c r="Q149" s="1019" t="n"/>
      <c r="R149" s="1019" t="n"/>
      <c r="S149" s="1019" t="n"/>
      <c r="T149" s="1019" t="n"/>
      <c r="U149" s="1019" t="n"/>
      <c r="V149" s="1019" t="n"/>
      <c r="W149" s="1019" t="n"/>
      <c r="X149" s="1019" t="n"/>
      <c r="Y149" s="1019" t="n"/>
      <c r="Z149" s="1019" t="n"/>
      <c r="AA149" s="722" t="n"/>
      <c r="AB149" s="722" t="n"/>
      <c r="AC149" s="722" t="n"/>
    </row>
    <row r="150" ht="27" customHeight="1">
      <c r="A150" s="63" t="inlineStr">
        <is>
          <t>SU004115</t>
        </is>
      </c>
      <c r="B150" s="63" t="inlineStr">
        <is>
          <t>P005625</t>
        </is>
      </c>
      <c r="C150" s="36" t="n">
        <v>4301052254</v>
      </c>
      <c r="D150" s="723" t="n">
        <v>4680115888203</v>
      </c>
      <c r="E150" s="1031" t="n"/>
      <c r="F150" s="1070" t="n">
        <v>0.22</v>
      </c>
      <c r="G150" s="37" t="n">
        <v>6</v>
      </c>
      <c r="H150" s="1070" t="n">
        <v>1.32</v>
      </c>
      <c r="I150" s="1070" t="n">
        <v>1.566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47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/>
      </c>
      <c r="Q150" s="1072" t="n"/>
      <c r="R150" s="1072" t="n"/>
      <c r="S150" s="1072" t="n"/>
      <c r="T150" s="1073" t="n"/>
      <c r="U150" s="39" t="inlineStr"/>
      <c r="V150" s="39" t="inlineStr"/>
      <c r="W150" s="40" t="inlineStr">
        <is>
          <t>кг</t>
        </is>
      </c>
      <c r="X150" s="1074" t="n">
        <v>0</v>
      </c>
      <c r="Y150" s="1075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22" t="inlineStr">
        <is>
          <t>ЕАЭС N RU Д-RU.РА01.В.67898/26</t>
        </is>
      </c>
      <c r="AG150" s="78" t="n"/>
      <c r="AJ150" s="84" t="inlineStr"/>
      <c r="AK150" s="84" t="n">
        <v>0</v>
      </c>
      <c r="BB150" s="223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SU004113</t>
        </is>
      </c>
      <c r="B151" s="63" t="inlineStr">
        <is>
          <t>P005370</t>
        </is>
      </c>
      <c r="C151" s="36" t="n">
        <v>4301052172</v>
      </c>
      <c r="D151" s="723" t="n">
        <v>4680115888180</v>
      </c>
      <c r="E151" s="1031" t="n"/>
      <c r="F151" s="1070" t="n">
        <v>0.22</v>
      </c>
      <c r="G151" s="37" t="n">
        <v>9</v>
      </c>
      <c r="H151" s="1070" t="n">
        <v>1.98</v>
      </c>
      <c r="I151" s="1070" t="n">
        <v>2.259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48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1" s="1072" t="n"/>
      <c r="R151" s="1072" t="n"/>
      <c r="S151" s="1072" t="n"/>
      <c r="T151" s="1073" t="n"/>
      <c r="U151" s="39" t="inlineStr"/>
      <c r="V151" s="39" t="inlineStr"/>
      <c r="W151" s="40" t="inlineStr">
        <is>
          <t>кг</t>
        </is>
      </c>
      <c r="X151" s="1074" t="n">
        <v>0</v>
      </c>
      <c r="Y151" s="1075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24" t="inlineStr">
        <is>
          <t>ЕАЭС N RU Д-RU.РА01.В.65080/26</t>
        </is>
      </c>
      <c r="AG151" s="78" t="n"/>
      <c r="AJ151" s="84" t="inlineStr"/>
      <c r="AK151" s="84" t="n">
        <v>0</v>
      </c>
      <c r="BB151" s="225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 ht="27" customHeight="1">
      <c r="A152" s="63" t="inlineStr">
        <is>
          <t>SU004113</t>
        </is>
      </c>
      <c r="B152" s="63" t="inlineStr">
        <is>
          <t>P005623</t>
        </is>
      </c>
      <c r="C152" s="36" t="n">
        <v>4301052252</v>
      </c>
      <c r="D152" s="723" t="n">
        <v>4680115888180</v>
      </c>
      <c r="E152" s="1031" t="n"/>
      <c r="F152" s="1070" t="n">
        <v>0.22</v>
      </c>
      <c r="G152" s="37" t="n">
        <v>6</v>
      </c>
      <c r="H152" s="1070" t="n">
        <v>1.32</v>
      </c>
      <c r="I152" s="1070" t="n">
        <v>1.566</v>
      </c>
      <c r="J152" s="37" t="n">
        <v>182</v>
      </c>
      <c r="K152" s="37" t="inlineStr">
        <is>
          <t>14</t>
        </is>
      </c>
      <c r="L152" s="37" t="inlineStr"/>
      <c r="M152" s="38" t="inlineStr">
        <is>
          <t>СК4</t>
        </is>
      </c>
      <c r="N152" s="38" t="n"/>
      <c r="O152" s="37" t="n">
        <v>40</v>
      </c>
      <c r="P152" s="1149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/>
      </c>
      <c r="Q152" s="1072" t="n"/>
      <c r="R152" s="1072" t="n"/>
      <c r="S152" s="1072" t="n"/>
      <c r="T152" s="1073" t="n"/>
      <c r="U152" s="39" t="inlineStr"/>
      <c r="V152" s="39" t="inlineStr"/>
      <c r="W152" s="40" t="inlineStr">
        <is>
          <t>кг</t>
        </is>
      </c>
      <c r="X152" s="1074" t="n">
        <v>0</v>
      </c>
      <c r="Y152" s="1075">
        <f>IFERROR(IF(X152="",0,CEILING((X152/$H152),1)*$H152),"")</f>
        <v/>
      </c>
      <c r="Z152" s="41">
        <f>IFERROR(IF(Y152=0,"",ROUNDUP(Y152/H152,0)*0.00651),"")</f>
        <v/>
      </c>
      <c r="AA152" s="68" t="inlineStr"/>
      <c r="AB152" s="69" t="inlineStr"/>
      <c r="AC152" s="226" t="inlineStr">
        <is>
          <t>ЕАЭС N RU Д-RU.РА01.В.65080/26</t>
        </is>
      </c>
      <c r="AG152" s="78" t="n"/>
      <c r="AJ152" s="84" t="inlineStr"/>
      <c r="AK152" s="84" t="n">
        <v>0</v>
      </c>
      <c r="BB152" s="227" t="inlineStr">
        <is>
          <t>КИ</t>
        </is>
      </c>
      <c r="BM152" s="78">
        <f>IFERROR(X152*I152/H152,"0")</f>
        <v/>
      </c>
      <c r="BN152" s="78">
        <f>IFERROR(Y152*I152/H152,"0")</f>
        <v/>
      </c>
      <c r="BO152" s="78">
        <f>IFERROR(1/J152*(X152/H152),"0")</f>
        <v/>
      </c>
      <c r="BP152" s="78">
        <f>IFERROR(1/J152*(Y152/H152),"0")</f>
        <v/>
      </c>
    </row>
    <row r="153" ht="27" customHeight="1">
      <c r="A153" s="63" t="inlineStr">
        <is>
          <t>SU004114</t>
        </is>
      </c>
      <c r="B153" s="63" t="inlineStr">
        <is>
          <t>P005624</t>
        </is>
      </c>
      <c r="C153" s="36" t="n">
        <v>4301052253</v>
      </c>
      <c r="D153" s="723" t="n">
        <v>4680115888197</v>
      </c>
      <c r="E153" s="1031" t="n"/>
      <c r="F153" s="1070" t="n">
        <v>0.22</v>
      </c>
      <c r="G153" s="37" t="n">
        <v>6</v>
      </c>
      <c r="H153" s="1070" t="n">
        <v>1.32</v>
      </c>
      <c r="I153" s="1070" t="n">
        <v>1.566</v>
      </c>
      <c r="J153" s="37" t="n">
        <v>182</v>
      </c>
      <c r="K153" s="37" t="inlineStr">
        <is>
          <t>14</t>
        </is>
      </c>
      <c r="L153" s="37" t="inlineStr"/>
      <c r="M153" s="38" t="inlineStr">
        <is>
          <t>СК4</t>
        </is>
      </c>
      <c r="N153" s="38" t="n"/>
      <c r="O153" s="37" t="n">
        <v>40</v>
      </c>
      <c r="P153" s="1150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/>
      </c>
      <c r="Q153" s="1072" t="n"/>
      <c r="R153" s="1072" t="n"/>
      <c r="S153" s="1072" t="n"/>
      <c r="T153" s="1073" t="n"/>
      <c r="U153" s="39" t="inlineStr"/>
      <c r="V153" s="39" t="inlineStr"/>
      <c r="W153" s="40" t="inlineStr">
        <is>
          <t>кг</t>
        </is>
      </c>
      <c r="X153" s="1074" t="n">
        <v>0</v>
      </c>
      <c r="Y153" s="1075">
        <f>IFERROR(IF(X153="",0,CEILING((X153/$H153),1)*$H153),"")</f>
        <v/>
      </c>
      <c r="Z153" s="41">
        <f>IFERROR(IF(Y153=0,"",ROUNDUP(Y153/H153,0)*0.00651),"")</f>
        <v/>
      </c>
      <c r="AA153" s="68" t="inlineStr"/>
      <c r="AB153" s="69" t="inlineStr"/>
      <c r="AC153" s="228" t="inlineStr">
        <is>
          <t>ЕАЭС N RU Д-RU.РА01.В.67941/26</t>
        </is>
      </c>
      <c r="AG153" s="78" t="n"/>
      <c r="AJ153" s="84" t="inlineStr"/>
      <c r="AK153" s="84" t="n">
        <v>0</v>
      </c>
      <c r="BB153" s="229" t="inlineStr">
        <is>
          <t>КИ</t>
        </is>
      </c>
      <c r="BM153" s="78">
        <f>IFERROR(X153*I153/H153,"0")</f>
        <v/>
      </c>
      <c r="BN153" s="78">
        <f>IFERROR(Y153*I153/H153,"0")</f>
        <v/>
      </c>
      <c r="BO153" s="78">
        <f>IFERROR(1/J153*(X153/H153),"0")</f>
        <v/>
      </c>
      <c r="BP153" s="78">
        <f>IFERROR(1/J153*(Y153/H153),"0")</f>
        <v/>
      </c>
    </row>
    <row r="154" ht="27" customHeight="1">
      <c r="A154" s="63" t="inlineStr">
        <is>
          <t>SU004116</t>
        </is>
      </c>
      <c r="B154" s="63" t="inlineStr">
        <is>
          <t>P005373</t>
        </is>
      </c>
      <c r="C154" s="36" t="n">
        <v>4301052175</v>
      </c>
      <c r="D154" s="723" t="n">
        <v>4680115888210</v>
      </c>
      <c r="E154" s="1031" t="n"/>
      <c r="F154" s="1070" t="n">
        <v>0.22</v>
      </c>
      <c r="G154" s="37" t="n">
        <v>9</v>
      </c>
      <c r="H154" s="1070" t="n">
        <v>1.98</v>
      </c>
      <c r="I154" s="1070" t="n">
        <v>2.259</v>
      </c>
      <c r="J154" s="37" t="n">
        <v>182</v>
      </c>
      <c r="K154" s="37" t="inlineStr">
        <is>
          <t>14</t>
        </is>
      </c>
      <c r="L154" s="37" t="inlineStr"/>
      <c r="M154" s="38" t="inlineStr">
        <is>
          <t>СК4</t>
        </is>
      </c>
      <c r="N154" s="38" t="n"/>
      <c r="O154" s="37" t="n">
        <v>40</v>
      </c>
      <c r="P154" s="1151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4" s="1072" t="n"/>
      <c r="R154" s="1072" t="n"/>
      <c r="S154" s="1072" t="n"/>
      <c r="T154" s="1073" t="n"/>
      <c r="U154" s="39" t="inlineStr"/>
      <c r="V154" s="39" t="inlineStr"/>
      <c r="W154" s="40" t="inlineStr">
        <is>
          <t>кг</t>
        </is>
      </c>
      <c r="X154" s="1074" t="n">
        <v>0</v>
      </c>
      <c r="Y154" s="1075">
        <f>IFERROR(IF(X154="",0,CEILING((X154/$H154),1)*$H154),"")</f>
        <v/>
      </c>
      <c r="Z154" s="41">
        <f>IFERROR(IF(Y154=0,"",ROUNDUP(Y154/H154,0)*0.00651),"")</f>
        <v/>
      </c>
      <c r="AA154" s="68" t="inlineStr"/>
      <c r="AB154" s="69" t="inlineStr"/>
      <c r="AC154" s="230" t="inlineStr">
        <is>
          <t>ЕАЭС N RU Д-RU.РА01.В.67817/26</t>
        </is>
      </c>
      <c r="AG154" s="78" t="n"/>
      <c r="AJ154" s="84" t="inlineStr"/>
      <c r="AK154" s="84" t="n">
        <v>0</v>
      </c>
      <c r="BB154" s="231" t="inlineStr">
        <is>
          <t>КИ</t>
        </is>
      </c>
      <c r="BM154" s="78">
        <f>IFERROR(X154*I154/H154,"0")</f>
        <v/>
      </c>
      <c r="BN154" s="78">
        <f>IFERROR(Y154*I154/H154,"0")</f>
        <v/>
      </c>
      <c r="BO154" s="78">
        <f>IFERROR(1/J154*(X154/H154),"0")</f>
        <v/>
      </c>
      <c r="BP154" s="78">
        <f>IFERROR(1/J154*(Y154/H154),"0")</f>
        <v/>
      </c>
    </row>
    <row r="155" ht="27" customHeight="1">
      <c r="A155" s="63" t="inlineStr">
        <is>
          <t>SU004116</t>
        </is>
      </c>
      <c r="B155" s="63" t="inlineStr">
        <is>
          <t>P005626</t>
        </is>
      </c>
      <c r="C155" s="36" t="n">
        <v>4301052255</v>
      </c>
      <c r="D155" s="723" t="n">
        <v>4680115888210</v>
      </c>
      <c r="E155" s="1031" t="n"/>
      <c r="F155" s="1070" t="n">
        <v>0.22</v>
      </c>
      <c r="G155" s="37" t="n">
        <v>6</v>
      </c>
      <c r="H155" s="1070" t="n">
        <v>1.32</v>
      </c>
      <c r="I155" s="1070" t="n">
        <v>1.566</v>
      </c>
      <c r="J155" s="37" t="n">
        <v>182</v>
      </c>
      <c r="K155" s="37" t="inlineStr">
        <is>
          <t>14</t>
        </is>
      </c>
      <c r="L155" s="37" t="inlineStr"/>
      <c r="M155" s="38" t="inlineStr">
        <is>
          <t>СК4</t>
        </is>
      </c>
      <c r="N155" s="38" t="n"/>
      <c r="O155" s="37" t="n">
        <v>40</v>
      </c>
      <c r="P155" s="1152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/>
      </c>
      <c r="Q155" s="1072" t="n"/>
      <c r="R155" s="1072" t="n"/>
      <c r="S155" s="1072" t="n"/>
      <c r="T155" s="1073" t="n"/>
      <c r="U155" s="39" t="inlineStr"/>
      <c r="V155" s="39" t="inlineStr"/>
      <c r="W155" s="40" t="inlineStr">
        <is>
          <t>кг</t>
        </is>
      </c>
      <c r="X155" s="1074" t="n">
        <v>0</v>
      </c>
      <c r="Y155" s="1075">
        <f>IFERROR(IF(X155="",0,CEILING((X155/$H155),1)*$H155),"")</f>
        <v/>
      </c>
      <c r="Z155" s="41">
        <f>IFERROR(IF(Y155=0,"",ROUNDUP(Y155/H155,0)*0.00651),"")</f>
        <v/>
      </c>
      <c r="AA155" s="68" t="inlineStr"/>
      <c r="AB155" s="69" t="inlineStr"/>
      <c r="AC155" s="232" t="inlineStr">
        <is>
          <t>ЕАЭС N RU Д-RU.РА01.В.67817/26</t>
        </is>
      </c>
      <c r="AG155" s="78" t="n"/>
      <c r="AJ155" s="84" t="inlineStr"/>
      <c r="AK155" s="84" t="n">
        <v>0</v>
      </c>
      <c r="BB155" s="233" t="inlineStr">
        <is>
          <t>КИ</t>
        </is>
      </c>
      <c r="BM155" s="78">
        <f>IFERROR(X155*I155/H155,"0")</f>
        <v/>
      </c>
      <c r="BN155" s="78">
        <f>IFERROR(Y155*I155/H155,"0")</f>
        <v/>
      </c>
      <c r="BO155" s="78">
        <f>IFERROR(1/J155*(X155/H155),"0")</f>
        <v/>
      </c>
      <c r="BP155" s="78">
        <f>IFERROR(1/J155*(Y155/H155),"0")</f>
        <v/>
      </c>
    </row>
    <row r="156">
      <c r="A156" s="732" t="n"/>
      <c r="B156" s="1019" t="n"/>
      <c r="C156" s="1019" t="n"/>
      <c r="D156" s="1019" t="n"/>
      <c r="E156" s="1019" t="n"/>
      <c r="F156" s="1019" t="n"/>
      <c r="G156" s="1019" t="n"/>
      <c r="H156" s="1019" t="n"/>
      <c r="I156" s="1019" t="n"/>
      <c r="J156" s="1019" t="n"/>
      <c r="K156" s="1019" t="n"/>
      <c r="L156" s="1019" t="n"/>
      <c r="M156" s="1019" t="n"/>
      <c r="N156" s="1019" t="n"/>
      <c r="O156" s="1077" t="n"/>
      <c r="P156" s="1078" t="inlineStr">
        <is>
          <t>Итого</t>
        </is>
      </c>
      <c r="Q156" s="1039" t="n"/>
      <c r="R156" s="1039" t="n"/>
      <c r="S156" s="1039" t="n"/>
      <c r="T156" s="1039" t="n"/>
      <c r="U156" s="1039" t="n"/>
      <c r="V156" s="1040" t="n"/>
      <c r="W156" s="42" t="inlineStr">
        <is>
          <t>кор</t>
        </is>
      </c>
      <c r="X156" s="1079">
        <f>IFERROR(X150/H150,"0")+IFERROR(X151/H151,"0")+IFERROR(X152/H152,"0")+IFERROR(X153/H153,"0")+IFERROR(X154/H154,"0")+IFERROR(X155/H155,"0")</f>
        <v/>
      </c>
      <c r="Y156" s="1079">
        <f>IFERROR(Y150/H150,"0")+IFERROR(Y151/H151,"0")+IFERROR(Y152/H152,"0")+IFERROR(Y153/H153,"0")+IFERROR(Y154/H154,"0")+IFERROR(Y155/H155,"0")</f>
        <v/>
      </c>
      <c r="Z156" s="1079">
        <f>IFERROR(IF(Z150="",0,Z150),"0")+IFERROR(IF(Z151="",0,Z151),"0")+IFERROR(IF(Z152="",0,Z152),"0")+IFERROR(IF(Z153="",0,Z153),"0")+IFERROR(IF(Z154="",0,Z154),"0")+IFERROR(IF(Z155="",0,Z155),"0")</f>
        <v/>
      </c>
      <c r="AA156" s="1080" t="n"/>
      <c r="AB156" s="1080" t="n"/>
      <c r="AC156" s="1080" t="n"/>
    </row>
    <row r="157">
      <c r="A157" s="1019" t="n"/>
      <c r="B157" s="1019" t="n"/>
      <c r="C157" s="1019" t="n"/>
      <c r="D157" s="1019" t="n"/>
      <c r="E157" s="1019" t="n"/>
      <c r="F157" s="1019" t="n"/>
      <c r="G157" s="1019" t="n"/>
      <c r="H157" s="1019" t="n"/>
      <c r="I157" s="1019" t="n"/>
      <c r="J157" s="1019" t="n"/>
      <c r="K157" s="1019" t="n"/>
      <c r="L157" s="1019" t="n"/>
      <c r="M157" s="1019" t="n"/>
      <c r="N157" s="1019" t="n"/>
      <c r="O157" s="1077" t="n"/>
      <c r="P157" s="1078" t="inlineStr">
        <is>
          <t>Итого</t>
        </is>
      </c>
      <c r="Q157" s="1039" t="n"/>
      <c r="R157" s="1039" t="n"/>
      <c r="S157" s="1039" t="n"/>
      <c r="T157" s="1039" t="n"/>
      <c r="U157" s="1039" t="n"/>
      <c r="V157" s="1040" t="n"/>
      <c r="W157" s="42" t="inlineStr">
        <is>
          <t>кг</t>
        </is>
      </c>
      <c r="X157" s="1079">
        <f>IFERROR(SUM(X150:X155),"0")</f>
        <v/>
      </c>
      <c r="Y157" s="1079">
        <f>IFERROR(SUM(Y150:Y155),"0")</f>
        <v/>
      </c>
      <c r="Z157" s="42" t="n"/>
      <c r="AA157" s="1080" t="n"/>
      <c r="AB157" s="1080" t="n"/>
      <c r="AC157" s="1080" t="n"/>
    </row>
    <row r="158" ht="14.25" customHeight="1">
      <c r="A158" s="722" t="inlineStr">
        <is>
          <t>Сырокопченые колбасы</t>
        </is>
      </c>
      <c r="B158" s="1019" t="n"/>
      <c r="C158" s="1019" t="n"/>
      <c r="D158" s="1019" t="n"/>
      <c r="E158" s="1019" t="n"/>
      <c r="F158" s="1019" t="n"/>
      <c r="G158" s="1019" t="n"/>
      <c r="H158" s="1019" t="n"/>
      <c r="I158" s="1019" t="n"/>
      <c r="J158" s="1019" t="n"/>
      <c r="K158" s="1019" t="n"/>
      <c r="L158" s="1019" t="n"/>
      <c r="M158" s="1019" t="n"/>
      <c r="N158" s="1019" t="n"/>
      <c r="O158" s="1019" t="n"/>
      <c r="P158" s="1019" t="n"/>
      <c r="Q158" s="1019" t="n"/>
      <c r="R158" s="1019" t="n"/>
      <c r="S158" s="1019" t="n"/>
      <c r="T158" s="1019" t="n"/>
      <c r="U158" s="1019" t="n"/>
      <c r="V158" s="1019" t="n"/>
      <c r="W158" s="1019" t="n"/>
      <c r="X158" s="1019" t="n"/>
      <c r="Y158" s="1019" t="n"/>
      <c r="Z158" s="1019" t="n"/>
      <c r="AA158" s="722" t="n"/>
      <c r="AB158" s="722" t="n"/>
      <c r="AC158" s="722" t="n"/>
    </row>
    <row r="159" ht="27" customHeight="1">
      <c r="A159" s="63" t="inlineStr">
        <is>
          <t>SU004197</t>
        </is>
      </c>
      <c r="B159" s="63" t="inlineStr">
        <is>
          <t>P005566</t>
        </is>
      </c>
      <c r="C159" s="36" t="n">
        <v>4301032067</v>
      </c>
      <c r="D159" s="723" t="n">
        <v>4680115889132</v>
      </c>
      <c r="E159" s="1031" t="n"/>
      <c r="F159" s="1070" t="n">
        <v>0.04</v>
      </c>
      <c r="G159" s="37" t="n">
        <v>8</v>
      </c>
      <c r="H159" s="1070" t="n">
        <v>0.32</v>
      </c>
      <c r="I159" s="1070" t="n">
        <v>0.5</v>
      </c>
      <c r="J159" s="37" t="n">
        <v>330</v>
      </c>
      <c r="K159" s="37" t="inlineStr">
        <is>
          <t>22</t>
        </is>
      </c>
      <c r="L159" s="37" t="inlineStr"/>
      <c r="M159" s="38" t="inlineStr">
        <is>
          <t>МЗР</t>
        </is>
      </c>
      <c r="N159" s="38" t="n"/>
      <c r="O159" s="37" t="n">
        <v>120</v>
      </c>
      <c r="P159" s="1153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/>
      </c>
      <c r="Q159" s="1072" t="n"/>
      <c r="R159" s="1072" t="n"/>
      <c r="S159" s="1072" t="n"/>
      <c r="T159" s="1073" t="n"/>
      <c r="U159" s="39" t="inlineStr"/>
      <c r="V159" s="39" t="inlineStr"/>
      <c r="W159" s="40" t="inlineStr">
        <is>
          <t>кг</t>
        </is>
      </c>
      <c r="X159" s="1074" t="n">
        <v>0</v>
      </c>
      <c r="Y159" s="1075">
        <f>IFERROR(IF(X159="",0,CEILING((X159/$H159),1)*$H159),"")</f>
        <v/>
      </c>
      <c r="Z159" s="41">
        <f>IFERROR(IF(Y159=0,"",ROUNDUP(Y159/H159,0)*0.00337),"")</f>
        <v/>
      </c>
      <c r="AA159" s="68" t="inlineStr"/>
      <c r="AB159" s="69" t="inlineStr"/>
      <c r="AC159" s="234" t="inlineStr">
        <is>
          <t>ЕАЭС N RU Д-RU.РА04.В.38451/26</t>
        </is>
      </c>
      <c r="AG159" s="78" t="n"/>
      <c r="AJ159" s="84" t="inlineStr"/>
      <c r="AK159" s="84" t="n">
        <v>0</v>
      </c>
      <c r="BB159" s="235" t="inlineStr">
        <is>
          <t>СНК</t>
        </is>
      </c>
      <c r="BM159" s="78">
        <f>IFERROR(X159*I159/H159,"0")</f>
        <v/>
      </c>
      <c r="BN159" s="78">
        <f>IFERROR(Y159*I159/H159,"0")</f>
        <v/>
      </c>
      <c r="BO159" s="78">
        <f>IFERROR(1/J159*(X159/H159),"0")</f>
        <v/>
      </c>
      <c r="BP159" s="78">
        <f>IFERROR(1/J159*(Y159/H159),"0")</f>
        <v/>
      </c>
    </row>
    <row r="160">
      <c r="A160" s="732" t="n"/>
      <c r="B160" s="1019" t="n"/>
      <c r="C160" s="1019" t="n"/>
      <c r="D160" s="1019" t="n"/>
      <c r="E160" s="1019" t="n"/>
      <c r="F160" s="1019" t="n"/>
      <c r="G160" s="1019" t="n"/>
      <c r="H160" s="1019" t="n"/>
      <c r="I160" s="1019" t="n"/>
      <c r="J160" s="1019" t="n"/>
      <c r="K160" s="1019" t="n"/>
      <c r="L160" s="1019" t="n"/>
      <c r="M160" s="1019" t="n"/>
      <c r="N160" s="1019" t="n"/>
      <c r="O160" s="1077" t="n"/>
      <c r="P160" s="1078" t="inlineStr">
        <is>
          <t>Итого</t>
        </is>
      </c>
      <c r="Q160" s="1039" t="n"/>
      <c r="R160" s="1039" t="n"/>
      <c r="S160" s="1039" t="n"/>
      <c r="T160" s="1039" t="n"/>
      <c r="U160" s="1039" t="n"/>
      <c r="V160" s="1040" t="n"/>
      <c r="W160" s="42" t="inlineStr">
        <is>
          <t>кор</t>
        </is>
      </c>
      <c r="X160" s="1079">
        <f>IFERROR(X159/H159,"0")</f>
        <v/>
      </c>
      <c r="Y160" s="1079">
        <f>IFERROR(Y159/H159,"0")</f>
        <v/>
      </c>
      <c r="Z160" s="1079">
        <f>IFERROR(IF(Z159="",0,Z159),"0")</f>
        <v/>
      </c>
      <c r="AA160" s="1080" t="n"/>
      <c r="AB160" s="1080" t="n"/>
      <c r="AC160" s="1080" t="n"/>
    </row>
    <row r="161">
      <c r="A161" s="1019" t="n"/>
      <c r="B161" s="1019" t="n"/>
      <c r="C161" s="1019" t="n"/>
      <c r="D161" s="1019" t="n"/>
      <c r="E161" s="1019" t="n"/>
      <c r="F161" s="1019" t="n"/>
      <c r="G161" s="1019" t="n"/>
      <c r="H161" s="1019" t="n"/>
      <c r="I161" s="1019" t="n"/>
      <c r="J161" s="1019" t="n"/>
      <c r="K161" s="1019" t="n"/>
      <c r="L161" s="1019" t="n"/>
      <c r="M161" s="1019" t="n"/>
      <c r="N161" s="1019" t="n"/>
      <c r="O161" s="1077" t="n"/>
      <c r="P161" s="1078" t="inlineStr">
        <is>
          <t>Итого</t>
        </is>
      </c>
      <c r="Q161" s="1039" t="n"/>
      <c r="R161" s="1039" t="n"/>
      <c r="S161" s="1039" t="n"/>
      <c r="T161" s="1039" t="n"/>
      <c r="U161" s="1039" t="n"/>
      <c r="V161" s="1040" t="n"/>
      <c r="W161" s="42" t="inlineStr">
        <is>
          <t>кг</t>
        </is>
      </c>
      <c r="X161" s="1079">
        <f>IFERROR(SUM(X159:X159),"0")</f>
        <v/>
      </c>
      <c r="Y161" s="1079">
        <f>IFERROR(SUM(Y159:Y159),"0")</f>
        <v/>
      </c>
      <c r="Z161" s="42" t="n"/>
      <c r="AA161" s="1080" t="n"/>
      <c r="AB161" s="1080" t="n"/>
      <c r="AC161" s="1080" t="n"/>
    </row>
    <row r="162" ht="16.5" customHeight="1">
      <c r="A162" s="721" t="inlineStr">
        <is>
          <t>Вязанка</t>
        </is>
      </c>
      <c r="B162" s="1019" t="n"/>
      <c r="C162" s="1019" t="n"/>
      <c r="D162" s="1019" t="n"/>
      <c r="E162" s="1019" t="n"/>
      <c r="F162" s="1019" t="n"/>
      <c r="G162" s="1019" t="n"/>
      <c r="H162" s="1019" t="n"/>
      <c r="I162" s="1019" t="n"/>
      <c r="J162" s="1019" t="n"/>
      <c r="K162" s="1019" t="n"/>
      <c r="L162" s="1019" t="n"/>
      <c r="M162" s="1019" t="n"/>
      <c r="N162" s="1019" t="n"/>
      <c r="O162" s="1019" t="n"/>
      <c r="P162" s="1019" t="n"/>
      <c r="Q162" s="1019" t="n"/>
      <c r="R162" s="1019" t="n"/>
      <c r="S162" s="1019" t="n"/>
      <c r="T162" s="1019" t="n"/>
      <c r="U162" s="1019" t="n"/>
      <c r="V162" s="1019" t="n"/>
      <c r="W162" s="1019" t="n"/>
      <c r="X162" s="1019" t="n"/>
      <c r="Y162" s="1019" t="n"/>
      <c r="Z162" s="1019" t="n"/>
      <c r="AA162" s="721" t="n"/>
      <c r="AB162" s="721" t="n"/>
      <c r="AC162" s="721" t="n"/>
    </row>
    <row r="163" ht="14.25" customHeight="1">
      <c r="A163" s="722" t="inlineStr">
        <is>
          <t>Вареные колбасы</t>
        </is>
      </c>
      <c r="B163" s="1019" t="n"/>
      <c r="C163" s="1019" t="n"/>
      <c r="D163" s="1019" t="n"/>
      <c r="E163" s="1019" t="n"/>
      <c r="F163" s="1019" t="n"/>
      <c r="G163" s="1019" t="n"/>
      <c r="H163" s="1019" t="n"/>
      <c r="I163" s="1019" t="n"/>
      <c r="J163" s="1019" t="n"/>
      <c r="K163" s="1019" t="n"/>
      <c r="L163" s="1019" t="n"/>
      <c r="M163" s="1019" t="n"/>
      <c r="N163" s="1019" t="n"/>
      <c r="O163" s="1019" t="n"/>
      <c r="P163" s="1019" t="n"/>
      <c r="Q163" s="1019" t="n"/>
      <c r="R163" s="1019" t="n"/>
      <c r="S163" s="1019" t="n"/>
      <c r="T163" s="1019" t="n"/>
      <c r="U163" s="1019" t="n"/>
      <c r="V163" s="1019" t="n"/>
      <c r="W163" s="1019" t="n"/>
      <c r="X163" s="1019" t="n"/>
      <c r="Y163" s="1019" t="n"/>
      <c r="Z163" s="1019" t="n"/>
      <c r="AA163" s="722" t="n"/>
      <c r="AB163" s="722" t="n"/>
      <c r="AC163" s="722" t="n"/>
    </row>
    <row r="164" ht="27" customHeight="1">
      <c r="A164" s="63" t="inlineStr">
        <is>
          <t>SU004157</t>
        </is>
      </c>
      <c r="B164" s="63" t="inlineStr">
        <is>
          <t>P005426</t>
        </is>
      </c>
      <c r="C164" s="36" t="n">
        <v>4301012338</v>
      </c>
      <c r="D164" s="723" t="n">
        <v>4680115887374</v>
      </c>
      <c r="E164" s="1031" t="n"/>
      <c r="F164" s="1070" t="n">
        <v>1</v>
      </c>
      <c r="G164" s="37" t="n">
        <v>6</v>
      </c>
      <c r="H164" s="1070" t="n">
        <v>6</v>
      </c>
      <c r="I164" s="1070" t="n">
        <v>6.35</v>
      </c>
      <c r="J164" s="37" t="n">
        <v>104</v>
      </c>
      <c r="K164" s="37" t="inlineStr">
        <is>
          <t>8</t>
        </is>
      </c>
      <c r="L164" s="37" t="inlineStr"/>
      <c r="M164" s="38" t="inlineStr">
        <is>
          <t>СК1</t>
        </is>
      </c>
      <c r="N164" s="38" t="n"/>
      <c r="O164" s="37" t="n">
        <v>55</v>
      </c>
      <c r="P164" s="1154">
        <f>HYPERLINK("https://abi.ru/products/Охлажденные/Вязанка/Вязанка/Вареные колбасы/P005426/","Вареные колбасы «Мясная Классическая» Весовой п/а ТМ «Вязанка»")</f>
        <v/>
      </c>
      <c r="Q164" s="1072" t="n"/>
      <c r="R164" s="1072" t="n"/>
      <c r="S164" s="1072" t="n"/>
      <c r="T164" s="1073" t="n"/>
      <c r="U164" s="39" t="inlineStr"/>
      <c r="V164" s="39" t="inlineStr"/>
      <c r="W164" s="40" t="inlineStr">
        <is>
          <t>кг</t>
        </is>
      </c>
      <c r="X164" s="1074" t="n">
        <v>4</v>
      </c>
      <c r="Y164" s="1075">
        <f>IFERROR(IF(X164="",0,CEILING((X164/$H164),1)*$H164),"")</f>
        <v/>
      </c>
      <c r="Z164" s="41">
        <f>IFERROR(IF(Y164=0,"",ROUNDUP(Y164/H164,0)*0.01196),"")</f>
        <v/>
      </c>
      <c r="AA164" s="68" t="inlineStr"/>
      <c r="AB164" s="69" t="inlineStr"/>
      <c r="AC164" s="236" t="inlineStr">
        <is>
          <t>ЕАЭС N RU Д-RU.РА09.В.00669/25</t>
        </is>
      </c>
      <c r="AG164" s="78" t="n"/>
      <c r="AJ164" s="84" t="inlineStr"/>
      <c r="AK164" s="84" t="n">
        <v>0</v>
      </c>
      <c r="BB164" s="237" t="inlineStr">
        <is>
          <t>КИ</t>
        </is>
      </c>
      <c r="BM164" s="78">
        <f>IFERROR(X164*I164/H164,"0")</f>
        <v/>
      </c>
      <c r="BN164" s="78">
        <f>IFERROR(Y164*I164/H164,"0")</f>
        <v/>
      </c>
      <c r="BO164" s="78">
        <f>IFERROR(1/J164*(X164/H164),"0")</f>
        <v/>
      </c>
      <c r="BP164" s="78">
        <f>IFERROR(1/J164*(Y164/H164),"0")</f>
        <v/>
      </c>
    </row>
    <row r="165" ht="27" customHeight="1">
      <c r="A165" s="63" t="inlineStr">
        <is>
          <t>SU002312</t>
        </is>
      </c>
      <c r="B165" s="63" t="inlineStr">
        <is>
          <t>P003913</t>
        </is>
      </c>
      <c r="C165" s="36" t="n">
        <v>4301011705</v>
      </c>
      <c r="D165" s="723" t="n">
        <v>4607091384604</v>
      </c>
      <c r="E165" s="1031" t="n"/>
      <c r="F165" s="1070" t="n">
        <v>0.4</v>
      </c>
      <c r="G165" s="37" t="n">
        <v>10</v>
      </c>
      <c r="H165" s="1070" t="n">
        <v>4</v>
      </c>
      <c r="I165" s="1070" t="n">
        <v>4.19</v>
      </c>
      <c r="J165" s="37" t="n">
        <v>132</v>
      </c>
      <c r="K165" s="37" t="inlineStr">
        <is>
          <t>12</t>
        </is>
      </c>
      <c r="L165" s="37" t="inlineStr"/>
      <c r="M165" s="38" t="inlineStr">
        <is>
          <t>СК1</t>
        </is>
      </c>
      <c r="N165" s="38" t="n"/>
      <c r="O165" s="37" t="n">
        <v>50</v>
      </c>
      <c r="P165" s="1155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65" s="1072" t="n"/>
      <c r="R165" s="1072" t="n"/>
      <c r="S165" s="1072" t="n"/>
      <c r="T165" s="1073" t="n"/>
      <c r="U165" s="39" t="inlineStr"/>
      <c r="V165" s="39" t="inlineStr"/>
      <c r="W165" s="40" t="inlineStr">
        <is>
          <t>кг</t>
        </is>
      </c>
      <c r="X165" s="1074" t="n">
        <v>0</v>
      </c>
      <c r="Y165" s="1075">
        <f>IFERROR(IF(X165="",0,CEILING((X165/$H165),1)*$H165),"")</f>
        <v/>
      </c>
      <c r="Z165" s="41">
        <f>IFERROR(IF(Y165=0,"",ROUNDUP(Y165/H165,0)*0.00902),"")</f>
        <v/>
      </c>
      <c r="AA165" s="68" t="inlineStr"/>
      <c r="AB165" s="69" t="inlineStr"/>
      <c r="AC165" s="238" t="inlineStr">
        <is>
          <t>ЕАЭС N RU Д-RU.РА09.В.89339/25</t>
        </is>
      </c>
      <c r="AG165" s="78" t="n"/>
      <c r="AJ165" s="84" t="inlineStr"/>
      <c r="AK165" s="84" t="n">
        <v>0</v>
      </c>
      <c r="BB165" s="239" t="inlineStr">
        <is>
          <t>КИ</t>
        </is>
      </c>
      <c r="BM165" s="78">
        <f>IFERROR(X165*I165/H165,"0")</f>
        <v/>
      </c>
      <c r="BN165" s="78">
        <f>IFERROR(Y165*I165/H165,"0")</f>
        <v/>
      </c>
      <c r="BO165" s="78">
        <f>IFERROR(1/J165*(X165/H165),"0")</f>
        <v/>
      </c>
      <c r="BP165" s="78">
        <f>IFERROR(1/J165*(Y165/H165),"0")</f>
        <v/>
      </c>
    </row>
    <row r="166" ht="27" customHeight="1">
      <c r="A166" s="63" t="inlineStr">
        <is>
          <t>SU002312</t>
        </is>
      </c>
      <c r="B166" s="63" t="inlineStr">
        <is>
          <t>P005293</t>
        </is>
      </c>
      <c r="C166" s="36" t="n">
        <v>4301012258</v>
      </c>
      <c r="D166" s="723" t="n">
        <v>4607091384604</v>
      </c>
      <c r="E166" s="1031" t="n"/>
      <c r="F166" s="1070" t="n">
        <v>0.4</v>
      </c>
      <c r="G166" s="37" t="n">
        <v>10</v>
      </c>
      <c r="H166" s="1070" t="n">
        <v>4</v>
      </c>
      <c r="I166" s="1070" t="n">
        <v>4.19</v>
      </c>
      <c r="J166" s="37" t="n">
        <v>132</v>
      </c>
      <c r="K166" s="37" t="inlineStr">
        <is>
          <t>12</t>
        </is>
      </c>
      <c r="L166" s="37" t="inlineStr"/>
      <c r="M166" s="38" t="inlineStr">
        <is>
          <t>СК1</t>
        </is>
      </c>
      <c r="N166" s="38" t="n"/>
      <c r="O166" s="37" t="n">
        <v>50</v>
      </c>
      <c r="P166" s="1156">
        <f>HYPERLINK("https://abi.ru/products/Охлажденные/Вязанка/Вязанка/Вареные колбасы/P005293/","Вареные колбасы «Докторский гарант» Фикс.вес 0,4 п/а ТМ «Вязанка»")</f>
        <v/>
      </c>
      <c r="Q166" s="1072" t="n"/>
      <c r="R166" s="1072" t="n"/>
      <c r="S166" s="1072" t="n"/>
      <c r="T166" s="1073" t="n"/>
      <c r="U166" s="39" t="inlineStr"/>
      <c r="V166" s="39" t="inlineStr"/>
      <c r="W166" s="40" t="inlineStr">
        <is>
          <t>кг</t>
        </is>
      </c>
      <c r="X166" s="1074" t="n">
        <v>0</v>
      </c>
      <c r="Y166" s="1075">
        <f>IFERROR(IF(X166="",0,CEILING((X166/$H166),1)*$H166),"")</f>
        <v/>
      </c>
      <c r="Z166" s="41">
        <f>IFERROR(IF(Y166=0,"",ROUNDUP(Y166/H166,0)*0.00902),"")</f>
        <v/>
      </c>
      <c r="AA166" s="68" t="inlineStr"/>
      <c r="AB166" s="69" t="inlineStr"/>
      <c r="AC166" s="240" t="inlineStr">
        <is>
          <t>ЕАЭС N RU Д-RU.РА09.В.89339/25</t>
        </is>
      </c>
      <c r="AG166" s="78" t="n"/>
      <c r="AJ166" s="84" t="inlineStr"/>
      <c r="AK166" s="84" t="n">
        <v>0</v>
      </c>
      <c r="BB166" s="241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16.5" customHeight="1">
      <c r="A167" s="63" t="inlineStr">
        <is>
          <t>SU004155</t>
        </is>
      </c>
      <c r="B167" s="63" t="inlineStr">
        <is>
          <t>P005431</t>
        </is>
      </c>
      <c r="C167" s="36" t="n">
        <v>4301012344</v>
      </c>
      <c r="D167" s="723" t="n">
        <v>4680115888876</v>
      </c>
      <c r="E167" s="1031" t="n"/>
      <c r="F167" s="1070" t="n">
        <v>0.43</v>
      </c>
      <c r="G167" s="37" t="n">
        <v>6</v>
      </c>
      <c r="H167" s="1070" t="n">
        <v>2.58</v>
      </c>
      <c r="I167" s="1070" t="n">
        <v>2.76</v>
      </c>
      <c r="J167" s="37" t="n">
        <v>182</v>
      </c>
      <c r="K167" s="37" t="inlineStr">
        <is>
          <t>14</t>
        </is>
      </c>
      <c r="L167" s="37" t="inlineStr"/>
      <c r="M167" s="38" t="inlineStr">
        <is>
          <t>СК3</t>
        </is>
      </c>
      <c r="N167" s="38" t="n"/>
      <c r="O167" s="37" t="n">
        <v>55</v>
      </c>
      <c r="P167" s="1157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67" s="1072" t="n"/>
      <c r="R167" s="1072" t="n"/>
      <c r="S167" s="1072" t="n"/>
      <c r="T167" s="1073" t="n"/>
      <c r="U167" s="39" t="inlineStr"/>
      <c r="V167" s="39" t="inlineStr"/>
      <c r="W167" s="40" t="inlineStr">
        <is>
          <t>кг</t>
        </is>
      </c>
      <c r="X167" s="1074" t="n">
        <v>0</v>
      </c>
      <c r="Y167" s="1075">
        <f>IFERROR(IF(X167="",0,CEILING((X167/$H167),1)*$H167),"")</f>
        <v/>
      </c>
      <c r="Z167" s="41">
        <f>IFERROR(IF(Y167=0,"",ROUNDUP(Y167/H167,0)*0.00651),"")</f>
        <v/>
      </c>
      <c r="AA167" s="68" t="inlineStr"/>
      <c r="AB167" s="69" t="inlineStr"/>
      <c r="AC167" s="242" t="inlineStr">
        <is>
          <t>ЕАЭС N RU Д-RU.РА04.В.18635/26</t>
        </is>
      </c>
      <c r="AG167" s="78" t="n"/>
      <c r="AJ167" s="84" t="inlineStr"/>
      <c r="AK167" s="84" t="n">
        <v>0</v>
      </c>
      <c r="BB167" s="243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>
      <c r="A168" s="732" t="n"/>
      <c r="B168" s="1019" t="n"/>
      <c r="C168" s="1019" t="n"/>
      <c r="D168" s="1019" t="n"/>
      <c r="E168" s="1019" t="n"/>
      <c r="F168" s="1019" t="n"/>
      <c r="G168" s="1019" t="n"/>
      <c r="H168" s="1019" t="n"/>
      <c r="I168" s="1019" t="n"/>
      <c r="J168" s="1019" t="n"/>
      <c r="K168" s="1019" t="n"/>
      <c r="L168" s="1019" t="n"/>
      <c r="M168" s="1019" t="n"/>
      <c r="N168" s="1019" t="n"/>
      <c r="O168" s="1077" t="n"/>
      <c r="P168" s="1078" t="inlineStr">
        <is>
          <t>Итого</t>
        </is>
      </c>
      <c r="Q168" s="1039" t="n"/>
      <c r="R168" s="1039" t="n"/>
      <c r="S168" s="1039" t="n"/>
      <c r="T168" s="1039" t="n"/>
      <c r="U168" s="1039" t="n"/>
      <c r="V168" s="1040" t="n"/>
      <c r="W168" s="42" t="inlineStr">
        <is>
          <t>кор</t>
        </is>
      </c>
      <c r="X168" s="1079">
        <f>IFERROR(X164/H164,"0")+IFERROR(X165/H165,"0")+IFERROR(X166/H166,"0")+IFERROR(X167/H167,"0")</f>
        <v/>
      </c>
      <c r="Y168" s="1079">
        <f>IFERROR(Y164/H164,"0")+IFERROR(Y165/H165,"0")+IFERROR(Y166/H166,"0")+IFERROR(Y167/H167,"0")</f>
        <v/>
      </c>
      <c r="Z168" s="1079">
        <f>IFERROR(IF(Z164="",0,Z164),"0")+IFERROR(IF(Z165="",0,Z165),"0")+IFERROR(IF(Z166="",0,Z166),"0")+IFERROR(IF(Z167="",0,Z167),"0")</f>
        <v/>
      </c>
      <c r="AA168" s="1080" t="n"/>
      <c r="AB168" s="1080" t="n"/>
      <c r="AC168" s="1080" t="n"/>
    </row>
    <row r="169">
      <c r="A169" s="1019" t="n"/>
      <c r="B169" s="1019" t="n"/>
      <c r="C169" s="1019" t="n"/>
      <c r="D169" s="1019" t="n"/>
      <c r="E169" s="1019" t="n"/>
      <c r="F169" s="1019" t="n"/>
      <c r="G169" s="1019" t="n"/>
      <c r="H169" s="1019" t="n"/>
      <c r="I169" s="1019" t="n"/>
      <c r="J169" s="1019" t="n"/>
      <c r="K169" s="1019" t="n"/>
      <c r="L169" s="1019" t="n"/>
      <c r="M169" s="1019" t="n"/>
      <c r="N169" s="1019" t="n"/>
      <c r="O169" s="1077" t="n"/>
      <c r="P169" s="1078" t="inlineStr">
        <is>
          <t>Итого</t>
        </is>
      </c>
      <c r="Q169" s="1039" t="n"/>
      <c r="R169" s="1039" t="n"/>
      <c r="S169" s="1039" t="n"/>
      <c r="T169" s="1039" t="n"/>
      <c r="U169" s="1039" t="n"/>
      <c r="V169" s="1040" t="n"/>
      <c r="W169" s="42" t="inlineStr">
        <is>
          <t>кг</t>
        </is>
      </c>
      <c r="X169" s="1079">
        <f>IFERROR(SUM(X164:X167),"0")</f>
        <v/>
      </c>
      <c r="Y169" s="1079">
        <f>IFERROR(SUM(Y164:Y167),"0")</f>
        <v/>
      </c>
      <c r="Z169" s="42" t="n"/>
      <c r="AA169" s="1080" t="n"/>
      <c r="AB169" s="1080" t="n"/>
      <c r="AC169" s="1080" t="n"/>
    </row>
    <row r="170" ht="14.25" customHeight="1">
      <c r="A170" s="722" t="inlineStr">
        <is>
          <t>Ветчины</t>
        </is>
      </c>
      <c r="B170" s="1019" t="n"/>
      <c r="C170" s="1019" t="n"/>
      <c r="D170" s="1019" t="n"/>
      <c r="E170" s="1019" t="n"/>
      <c r="F170" s="1019" t="n"/>
      <c r="G170" s="1019" t="n"/>
      <c r="H170" s="1019" t="n"/>
      <c r="I170" s="1019" t="n"/>
      <c r="J170" s="1019" t="n"/>
      <c r="K170" s="1019" t="n"/>
      <c r="L170" s="1019" t="n"/>
      <c r="M170" s="1019" t="n"/>
      <c r="N170" s="1019" t="n"/>
      <c r="O170" s="1019" t="n"/>
      <c r="P170" s="1019" t="n"/>
      <c r="Q170" s="1019" t="n"/>
      <c r="R170" s="1019" t="n"/>
      <c r="S170" s="1019" t="n"/>
      <c r="T170" s="1019" t="n"/>
      <c r="U170" s="1019" t="n"/>
      <c r="V170" s="1019" t="n"/>
      <c r="W170" s="1019" t="n"/>
      <c r="X170" s="1019" t="n"/>
      <c r="Y170" s="1019" t="n"/>
      <c r="Z170" s="1019" t="n"/>
      <c r="AA170" s="722" t="n"/>
      <c r="AB170" s="722" t="n"/>
      <c r="AC170" s="722" t="n"/>
    </row>
    <row r="171" ht="16.5" customHeight="1">
      <c r="A171" s="63" t="inlineStr">
        <is>
          <t>SU003987</t>
        </is>
      </c>
      <c r="B171" s="63" t="inlineStr">
        <is>
          <t>P005122</t>
        </is>
      </c>
      <c r="C171" s="36" t="n">
        <v>4301020410</v>
      </c>
      <c r="D171" s="723" t="n">
        <v>4680115887695</v>
      </c>
      <c r="E171" s="1031" t="n"/>
      <c r="F171" s="1070" t="n">
        <v>0.12</v>
      </c>
      <c r="G171" s="37" t="n">
        <v>6</v>
      </c>
      <c r="H171" s="1070" t="n">
        <v>0.72</v>
      </c>
      <c r="I171" s="1070" t="n">
        <v>0.85</v>
      </c>
      <c r="J171" s="37" t="n">
        <v>252</v>
      </c>
      <c r="K171" s="37" t="inlineStr">
        <is>
          <t>18</t>
        </is>
      </c>
      <c r="L171" s="37" t="inlineStr"/>
      <c r="M171" s="38" t="inlineStr">
        <is>
          <t>СК2</t>
        </is>
      </c>
      <c r="N171" s="38" t="n"/>
      <c r="O171" s="37" t="n">
        <v>30</v>
      </c>
      <c r="P171" s="1158">
        <f>HYPERLINK("https://abi.ru/products/Охлажденные/Вязанка/Вязанка/Ветчины/P005122/","Ветчины «Ореховая» Фикс.вес 0,12 нарезка ТМ «Вязанка»")</f>
        <v/>
      </c>
      <c r="Q171" s="1072" t="n"/>
      <c r="R171" s="1072" t="n"/>
      <c r="S171" s="1072" t="n"/>
      <c r="T171" s="1073" t="n"/>
      <c r="U171" s="39" t="inlineStr"/>
      <c r="V171" s="39" t="inlineStr"/>
      <c r="W171" s="40" t="inlineStr">
        <is>
          <t>кг</t>
        </is>
      </c>
      <c r="X171" s="1074" t="n">
        <v>0</v>
      </c>
      <c r="Y171" s="1075">
        <f>IFERROR(IF(X171="",0,CEILING((X171/$H171),1)*$H171),"")</f>
        <v/>
      </c>
      <c r="Z171" s="41">
        <f>IFERROR(IF(Y171=0,"",ROUNDUP(Y171/H171,0)*0.00556),"")</f>
        <v/>
      </c>
      <c r="AA171" s="68" t="inlineStr"/>
      <c r="AB171" s="69" t="inlineStr"/>
      <c r="AC171" s="244" t="inlineStr">
        <is>
          <t>ЕАЭС N RU Д-RU.РА08.В.75650/25</t>
        </is>
      </c>
      <c r="AG171" s="78" t="n"/>
      <c r="AJ171" s="84" t="inlineStr"/>
      <c r="AK171" s="84" t="n">
        <v>0</v>
      </c>
      <c r="BB171" s="245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 ht="16.5" customHeight="1">
      <c r="A172" s="63" t="inlineStr">
        <is>
          <t>SU004302</t>
        </is>
      </c>
      <c r="B172" s="63" t="inlineStr">
        <is>
          <t>P005612</t>
        </is>
      </c>
      <c r="C172" s="36" t="n">
        <v>4301020439</v>
      </c>
      <c r="D172" s="723" t="n">
        <v>4680115889491</v>
      </c>
      <c r="E172" s="1031" t="n"/>
      <c r="F172" s="1070" t="n">
        <v>0.3</v>
      </c>
      <c r="G172" s="37" t="n">
        <v>8</v>
      </c>
      <c r="H172" s="1070" t="n">
        <v>2.4</v>
      </c>
      <c r="I172" s="1070" t="n">
        <v>2.5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СК1</t>
        </is>
      </c>
      <c r="N172" s="38" t="n"/>
      <c r="O172" s="37" t="n">
        <v>55</v>
      </c>
      <c r="P172" s="1159">
        <f>HYPERLINK("https://abi.ru/products/Охлажденные/Вязанка/Вязанка/Ветчины/P005612/","Ветчины «Сочная с индейкой» Фикс.вес 0,3 п/а ТМ «Вязанка»")</f>
        <v/>
      </c>
      <c r="Q172" s="1072" t="n"/>
      <c r="R172" s="1072" t="n"/>
      <c r="S172" s="1072" t="n"/>
      <c r="T172" s="1073" t="n"/>
      <c r="U172" s="39" t="inlineStr"/>
      <c r="V172" s="39" t="inlineStr"/>
      <c r="W172" s="40" t="inlineStr">
        <is>
          <t>кг</t>
        </is>
      </c>
      <c r="X172" s="1074" t="n">
        <v>0</v>
      </c>
      <c r="Y172" s="1075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/>
      <c r="AC172" s="246" t="inlineStr">
        <is>
          <t>ЕАЭС N RU Д-RU.РА05.В.50105/26</t>
        </is>
      </c>
      <c r="AG172" s="78" t="n"/>
      <c r="AJ172" s="84" t="inlineStr"/>
      <c r="AK172" s="84" t="n">
        <v>0</v>
      </c>
      <c r="BB172" s="247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>
      <c r="A173" s="732" t="n"/>
      <c r="B173" s="1019" t="n"/>
      <c r="C173" s="1019" t="n"/>
      <c r="D173" s="1019" t="n"/>
      <c r="E173" s="1019" t="n"/>
      <c r="F173" s="1019" t="n"/>
      <c r="G173" s="1019" t="n"/>
      <c r="H173" s="1019" t="n"/>
      <c r="I173" s="1019" t="n"/>
      <c r="J173" s="1019" t="n"/>
      <c r="K173" s="1019" t="n"/>
      <c r="L173" s="1019" t="n"/>
      <c r="M173" s="1019" t="n"/>
      <c r="N173" s="1019" t="n"/>
      <c r="O173" s="1077" t="n"/>
      <c r="P173" s="1078" t="inlineStr">
        <is>
          <t>Итого</t>
        </is>
      </c>
      <c r="Q173" s="1039" t="n"/>
      <c r="R173" s="1039" t="n"/>
      <c r="S173" s="1039" t="n"/>
      <c r="T173" s="1039" t="n"/>
      <c r="U173" s="1039" t="n"/>
      <c r="V173" s="1040" t="n"/>
      <c r="W173" s="42" t="inlineStr">
        <is>
          <t>кор</t>
        </is>
      </c>
      <c r="X173" s="1079">
        <f>IFERROR(X171/H171,"0")+IFERROR(X172/H172,"0")</f>
        <v/>
      </c>
      <c r="Y173" s="1079">
        <f>IFERROR(Y171/H171,"0")+IFERROR(Y172/H172,"0")</f>
        <v/>
      </c>
      <c r="Z173" s="1079">
        <f>IFERROR(IF(Z171="",0,Z171),"0")+IFERROR(IF(Z172="",0,Z172),"0")</f>
        <v/>
      </c>
      <c r="AA173" s="1080" t="n"/>
      <c r="AB173" s="1080" t="n"/>
      <c r="AC173" s="1080" t="n"/>
    </row>
    <row r="174">
      <c r="A174" s="1019" t="n"/>
      <c r="B174" s="1019" t="n"/>
      <c r="C174" s="1019" t="n"/>
      <c r="D174" s="1019" t="n"/>
      <c r="E174" s="1019" t="n"/>
      <c r="F174" s="1019" t="n"/>
      <c r="G174" s="1019" t="n"/>
      <c r="H174" s="1019" t="n"/>
      <c r="I174" s="1019" t="n"/>
      <c r="J174" s="1019" t="n"/>
      <c r="K174" s="1019" t="n"/>
      <c r="L174" s="1019" t="n"/>
      <c r="M174" s="1019" t="n"/>
      <c r="N174" s="1019" t="n"/>
      <c r="O174" s="1077" t="n"/>
      <c r="P174" s="1078" t="inlineStr">
        <is>
          <t>Итого</t>
        </is>
      </c>
      <c r="Q174" s="1039" t="n"/>
      <c r="R174" s="1039" t="n"/>
      <c r="S174" s="1039" t="n"/>
      <c r="T174" s="1039" t="n"/>
      <c r="U174" s="1039" t="n"/>
      <c r="V174" s="1040" t="n"/>
      <c r="W174" s="42" t="inlineStr">
        <is>
          <t>кг</t>
        </is>
      </c>
      <c r="X174" s="1079">
        <f>IFERROR(SUM(X171:X172),"0")</f>
        <v/>
      </c>
      <c r="Y174" s="1079">
        <f>IFERROR(SUM(Y171:Y172),"0")</f>
        <v/>
      </c>
      <c r="Z174" s="42" t="n"/>
      <c r="AA174" s="1080" t="n"/>
      <c r="AB174" s="1080" t="n"/>
      <c r="AC174" s="1080" t="n"/>
    </row>
    <row r="175" ht="14.25" customHeight="1">
      <c r="A175" s="722" t="inlineStr">
        <is>
          <t>Копченые колбасы</t>
        </is>
      </c>
      <c r="B175" s="1019" t="n"/>
      <c r="C175" s="1019" t="n"/>
      <c r="D175" s="1019" t="n"/>
      <c r="E175" s="1019" t="n"/>
      <c r="F175" s="1019" t="n"/>
      <c r="G175" s="1019" t="n"/>
      <c r="H175" s="1019" t="n"/>
      <c r="I175" s="1019" t="n"/>
      <c r="J175" s="1019" t="n"/>
      <c r="K175" s="1019" t="n"/>
      <c r="L175" s="1019" t="n"/>
      <c r="M175" s="1019" t="n"/>
      <c r="N175" s="1019" t="n"/>
      <c r="O175" s="1019" t="n"/>
      <c r="P175" s="1019" t="n"/>
      <c r="Q175" s="1019" t="n"/>
      <c r="R175" s="1019" t="n"/>
      <c r="S175" s="1019" t="n"/>
      <c r="T175" s="1019" t="n"/>
      <c r="U175" s="1019" t="n"/>
      <c r="V175" s="1019" t="n"/>
      <c r="W175" s="1019" t="n"/>
      <c r="X175" s="1019" t="n"/>
      <c r="Y175" s="1019" t="n"/>
      <c r="Z175" s="1019" t="n"/>
      <c r="AA175" s="722" t="n"/>
      <c r="AB175" s="722" t="n"/>
      <c r="AC175" s="722" t="n"/>
    </row>
    <row r="176" ht="27" customHeight="1">
      <c r="A176" s="63" t="inlineStr">
        <is>
          <t>SU004041</t>
        </is>
      </c>
      <c r="B176" s="63" t="inlineStr">
        <is>
          <t>P005375</t>
        </is>
      </c>
      <c r="C176" s="36" t="n">
        <v>4301031496</v>
      </c>
      <c r="D176" s="723" t="n">
        <v>4680115887428</v>
      </c>
      <c r="E176" s="1031" t="n"/>
      <c r="F176" s="1070" t="n">
        <v>0.7</v>
      </c>
      <c r="G176" s="37" t="n">
        <v>5</v>
      </c>
      <c r="H176" s="1070" t="n">
        <v>3.5</v>
      </c>
      <c r="I176" s="1070" t="n">
        <v>3.69</v>
      </c>
      <c r="J176" s="37" t="n">
        <v>132</v>
      </c>
      <c r="K176" s="37" t="inlineStr">
        <is>
          <t>12</t>
        </is>
      </c>
      <c r="L176" s="37" t="inlineStr"/>
      <c r="M176" s="38" t="inlineStr">
        <is>
          <t>СК2</t>
        </is>
      </c>
      <c r="N176" s="38" t="n"/>
      <c r="O176" s="37" t="n">
        <v>40</v>
      </c>
      <c r="P176" s="1160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76" s="1072" t="n"/>
      <c r="R176" s="1072" t="n"/>
      <c r="S176" s="1072" t="n"/>
      <c r="T176" s="1073" t="n"/>
      <c r="U176" s="39" t="inlineStr"/>
      <c r="V176" s="39" t="inlineStr"/>
      <c r="W176" s="40" t="inlineStr">
        <is>
          <t>кг</t>
        </is>
      </c>
      <c r="X176" s="1074" t="n">
        <v>56</v>
      </c>
      <c r="Y176" s="1075">
        <f>IFERROR(IF(X176="",0,CEILING((X176/$H176),1)*$H176),"")</f>
        <v/>
      </c>
      <c r="Z176" s="41">
        <f>IFERROR(IF(Y176=0,"",ROUNDUP(Y176/H176,0)*0.00902),"")</f>
        <v/>
      </c>
      <c r="AA176" s="68" t="inlineStr"/>
      <c r="AB176" s="69" t="inlineStr"/>
      <c r="AC176" s="248" t="inlineStr">
        <is>
          <t>ЕАЭС N RU Д-RU.РА11.В.18556/25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SU004237</t>
        </is>
      </c>
      <c r="B177" s="63" t="inlineStr">
        <is>
          <t>P005466</t>
        </is>
      </c>
      <c r="C177" s="36" t="n">
        <v>4301031509</v>
      </c>
      <c r="D177" s="723" t="n">
        <v>4680115889170</v>
      </c>
      <c r="E177" s="1031" t="n"/>
      <c r="F177" s="1070" t="n">
        <v>0.7</v>
      </c>
      <c r="G177" s="37" t="n">
        <v>5</v>
      </c>
      <c r="H177" s="1070" t="n">
        <v>3.5</v>
      </c>
      <c r="I177" s="1070" t="n">
        <v>3.765</v>
      </c>
      <c r="J177" s="37" t="n">
        <v>132</v>
      </c>
      <c r="K177" s="37" t="inlineStr">
        <is>
          <t>12</t>
        </is>
      </c>
      <c r="L177" s="37" t="inlineStr"/>
      <c r="M177" s="38" t="inlineStr">
        <is>
          <t>СК2</t>
        </is>
      </c>
      <c r="N177" s="38" t="n"/>
      <c r="O177" s="37" t="n">
        <v>45</v>
      </c>
      <c r="P177" s="1161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77" s="1072" t="n"/>
      <c r="R177" s="1072" t="n"/>
      <c r="S177" s="1072" t="n"/>
      <c r="T177" s="1073" t="n"/>
      <c r="U177" s="39" t="inlineStr"/>
      <c r="V177" s="39" t="inlineStr"/>
      <c r="W177" s="40" t="inlineStr">
        <is>
          <t>кг</t>
        </is>
      </c>
      <c r="X177" s="1074" t="n">
        <v>0</v>
      </c>
      <c r="Y177" s="1075">
        <f>IFERROR(IF(X177="",0,CEILING((X177/$H177),1)*$H177),"")</f>
        <v/>
      </c>
      <c r="Z177" s="41">
        <f>IFERROR(IF(Y177=0,"",ROUNDUP(Y177/H177,0)*0.00902),"")</f>
        <v/>
      </c>
      <c r="AA177" s="68" t="inlineStr"/>
      <c r="AB177" s="69" t="inlineStr"/>
      <c r="AC177" s="250" t="inlineStr">
        <is>
          <t>ЕАЭС N RU Д-RU.РА04.В.47610/26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SU004047</t>
        </is>
      </c>
      <c r="B178" s="63" t="inlineStr">
        <is>
          <t>P005639</t>
        </is>
      </c>
      <c r="C178" s="36" t="n">
        <v>4301031522</v>
      </c>
      <c r="D178" s="723" t="n">
        <v>4680115887398</v>
      </c>
      <c r="E178" s="1031" t="n"/>
      <c r="F178" s="1070" t="n">
        <v>0.7</v>
      </c>
      <c r="G178" s="37" t="n">
        <v>5</v>
      </c>
      <c r="H178" s="1070" t="n">
        <v>3.5</v>
      </c>
      <c r="I178" s="1070" t="n">
        <v>3.69</v>
      </c>
      <c r="J178" s="37" t="n">
        <v>132</v>
      </c>
      <c r="K178" s="37" t="inlineStr">
        <is>
          <t>12</t>
        </is>
      </c>
      <c r="L178" s="37" t="inlineStr"/>
      <c r="M178" s="38" t="inlineStr">
        <is>
          <t>СК2</t>
        </is>
      </c>
      <c r="N178" s="38" t="n"/>
      <c r="O178" s="37" t="n">
        <v>45</v>
      </c>
      <c r="P178" s="1162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/>
      </c>
      <c r="Q178" s="1072" t="n"/>
      <c r="R178" s="1072" t="n"/>
      <c r="S178" s="1072" t="n"/>
      <c r="T178" s="1073" t="n"/>
      <c r="U178" s="39" t="inlineStr"/>
      <c r="V178" s="39" t="inlineStr"/>
      <c r="W178" s="40" t="inlineStr">
        <is>
          <t>кг</t>
        </is>
      </c>
      <c r="X178" s="1074" t="n">
        <v>57</v>
      </c>
      <c r="Y178" s="1075">
        <f>IFERROR(IF(X178="",0,CEILING((X178/$H178),1)*$H178),"")</f>
        <v/>
      </c>
      <c r="Z178" s="41">
        <f>IFERROR(IF(Y178=0,"",ROUNDUP(Y178/H178,0)*0.00902),"")</f>
        <v/>
      </c>
      <c r="AA178" s="68" t="inlineStr"/>
      <c r="AB178" s="69" t="inlineStr"/>
      <c r="AC178" s="252" t="inlineStr">
        <is>
          <t>ЕАЭС N RU Д-RU.РА04.В.47637/26</t>
        </is>
      </c>
      <c r="AG178" s="78" t="n"/>
      <c r="AJ178" s="84" t="inlineStr"/>
      <c r="AK178" s="84" t="n">
        <v>0</v>
      </c>
      <c r="BB178" s="253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27" customHeight="1">
      <c r="A179" s="63" t="inlineStr">
        <is>
          <t>SU004044</t>
        </is>
      </c>
      <c r="B179" s="63" t="inlineStr">
        <is>
          <t>P005637</t>
        </is>
      </c>
      <c r="C179" s="36" t="n">
        <v>4301031520</v>
      </c>
      <c r="D179" s="723" t="n">
        <v>4680115887336</v>
      </c>
      <c r="E179" s="1031" t="n"/>
      <c r="F179" s="1070" t="n">
        <v>0.7</v>
      </c>
      <c r="G179" s="37" t="n">
        <v>5</v>
      </c>
      <c r="H179" s="1070" t="n">
        <v>3.5</v>
      </c>
      <c r="I179" s="1070" t="n">
        <v>3.69</v>
      </c>
      <c r="J179" s="37" t="n">
        <v>132</v>
      </c>
      <c r="K179" s="37" t="inlineStr">
        <is>
          <t>12</t>
        </is>
      </c>
      <c r="L179" s="37" t="inlineStr"/>
      <c r="M179" s="38" t="inlineStr">
        <is>
          <t>СК2</t>
        </is>
      </c>
      <c r="N179" s="38" t="n"/>
      <c r="O179" s="37" t="n">
        <v>45</v>
      </c>
      <c r="P179" s="1163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/>
      </c>
      <c r="Q179" s="1072" t="n"/>
      <c r="R179" s="1072" t="n"/>
      <c r="S179" s="1072" t="n"/>
      <c r="T179" s="1073" t="n"/>
      <c r="U179" s="39" t="inlineStr"/>
      <c r="V179" s="39" t="inlineStr"/>
      <c r="W179" s="40" t="inlineStr">
        <is>
          <t>кг</t>
        </is>
      </c>
      <c r="X179" s="1074" t="n">
        <v>61</v>
      </c>
      <c r="Y179" s="1075">
        <f>IFERROR(IF(X179="",0,CEILING((X179/$H179),1)*$H179),"")</f>
        <v/>
      </c>
      <c r="Z179" s="41">
        <f>IFERROR(IF(Y179=0,"",ROUNDUP(Y179/H179,0)*0.00902),"")</f>
        <v/>
      </c>
      <c r="AA179" s="68" t="inlineStr"/>
      <c r="AB179" s="69" t="inlineStr"/>
      <c r="AC179" s="254" t="inlineStr">
        <is>
          <t>ЕАЭС N RU Д-RU.РА04.В.47654/26</t>
        </is>
      </c>
      <c r="AG179" s="78" t="n"/>
      <c r="AJ179" s="84" t="inlineStr"/>
      <c r="AK179" s="84" t="n">
        <v>0</v>
      </c>
      <c r="BB179" s="255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16.5" customHeight="1">
      <c r="A180" s="63" t="inlineStr">
        <is>
          <t>SU003753</t>
        </is>
      </c>
      <c r="B180" s="63" t="inlineStr">
        <is>
          <t>P004725</t>
        </is>
      </c>
      <c r="C180" s="36" t="n">
        <v>4301032049</v>
      </c>
      <c r="D180" s="723" t="n">
        <v>4680115887787</v>
      </c>
      <c r="E180" s="1031" t="n"/>
      <c r="F180" s="1070" t="n">
        <v>0.09</v>
      </c>
      <c r="G180" s="37" t="n">
        <v>10</v>
      </c>
      <c r="H180" s="1070" t="n">
        <v>0.9</v>
      </c>
      <c r="I180" s="1070" t="n">
        <v>1.11</v>
      </c>
      <c r="J180" s="37" t="n">
        <v>336</v>
      </c>
      <c r="K180" s="37" t="inlineStr">
        <is>
          <t>24</t>
        </is>
      </c>
      <c r="L180" s="37" t="inlineStr"/>
      <c r="M180" s="38" t="inlineStr">
        <is>
          <t>СК2</t>
        </is>
      </c>
      <c r="N180" s="38" t="n"/>
      <c r="O180" s="37" t="n">
        <v>45</v>
      </c>
      <c r="P180" s="1164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80" s="1072" t="n"/>
      <c r="R180" s="1072" t="n"/>
      <c r="S180" s="1072" t="n"/>
      <c r="T180" s="1073" t="n"/>
      <c r="U180" s="39" t="inlineStr"/>
      <c r="V180" s="39" t="inlineStr"/>
      <c r="W180" s="40" t="inlineStr">
        <is>
          <t>кг</t>
        </is>
      </c>
      <c r="X180" s="1074" t="n">
        <v>10</v>
      </c>
      <c r="Y180" s="1075">
        <f>IFERROR(IF(X180="",0,CEILING((X180/$H180),1)*$H180),"")</f>
        <v/>
      </c>
      <c r="Z180" s="41">
        <f>IFERROR(IF(Y180=0,"",ROUNDUP(Y180/H180,0)*0.00417),"")</f>
        <v/>
      </c>
      <c r="AA180" s="68" t="inlineStr"/>
      <c r="AB180" s="69" t="inlineStr"/>
      <c r="AC180" s="256" t="inlineStr">
        <is>
          <t>ЕАЭС N RU Д-RU.РА08.В.64180/25</t>
        </is>
      </c>
      <c r="AG180" s="78" t="n"/>
      <c r="AJ180" s="84" t="inlineStr"/>
      <c r="AK180" s="84" t="n">
        <v>0</v>
      </c>
      <c r="BB180" s="257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16.5" customHeight="1">
      <c r="A181" s="63" t="inlineStr">
        <is>
          <t>SU003753</t>
        </is>
      </c>
      <c r="B181" s="63" t="inlineStr">
        <is>
          <t>P005665</t>
        </is>
      </c>
      <c r="C181" s="36" t="n">
        <v>4301031528</v>
      </c>
      <c r="D181" s="723" t="n">
        <v>4680115887787</v>
      </c>
      <c r="E181" s="1031" t="n"/>
      <c r="F181" s="1070" t="n">
        <v>0.09</v>
      </c>
      <c r="G181" s="37" t="n">
        <v>10</v>
      </c>
      <c r="H181" s="1070" t="n">
        <v>0.9</v>
      </c>
      <c r="I181" s="1070" t="n">
        <v>1.11</v>
      </c>
      <c r="J181" s="37" t="n">
        <v>192</v>
      </c>
      <c r="K181" s="37" t="inlineStr">
        <is>
          <t>24</t>
        </is>
      </c>
      <c r="L181" s="37" t="inlineStr"/>
      <c r="M181" s="38" t="inlineStr">
        <is>
          <t>СК2</t>
        </is>
      </c>
      <c r="N181" s="38" t="n"/>
      <c r="O181" s="37" t="n">
        <v>45</v>
      </c>
      <c r="P181" s="1165">
        <f>HYPERLINK("https://abi.ru/products/Охлажденные/Вязанка/Вязанка/Копченые колбасы/P005665/","Копченые колбасы «Балыковая » Фикс.вес 0,09 нарезка ТМ «Вязанка»")</f>
        <v/>
      </c>
      <c r="Q181" s="1072" t="n"/>
      <c r="R181" s="1072" t="n"/>
      <c r="S181" s="1072" t="n"/>
      <c r="T181" s="1073" t="n"/>
      <c r="U181" s="39" t="inlineStr"/>
      <c r="V181" s="39" t="inlineStr"/>
      <c r="W181" s="40" t="inlineStr">
        <is>
          <t>кг</t>
        </is>
      </c>
      <c r="X181" s="1074" t="n">
        <v>0</v>
      </c>
      <c r="Y181" s="1075">
        <f>IFERROR(IF(X181="",0,CEILING((X181/$H181),1)*$H181),"")</f>
        <v/>
      </c>
      <c r="Z181" s="41">
        <f>IFERROR(IF(Y181=0,"",ROUNDUP(Y181/H181,0)*0.00726),"")</f>
        <v/>
      </c>
      <c r="AA181" s="68" t="inlineStr"/>
      <c r="AB181" s="69" t="inlineStr"/>
      <c r="AC181" s="258" t="inlineStr">
        <is>
          <t>ЕАЭС N RU Д-RU.РА08.В.64180/25</t>
        </is>
      </c>
      <c r="AG181" s="78" t="n"/>
      <c r="AJ181" s="84" t="inlineStr"/>
      <c r="AK181" s="84" t="n">
        <v>0</v>
      </c>
      <c r="BB181" s="259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SU004039</t>
        </is>
      </c>
      <c r="B182" s="63" t="inlineStr">
        <is>
          <t>P005163</t>
        </is>
      </c>
      <c r="C182" s="36" t="n">
        <v>4301031448</v>
      </c>
      <c r="D182" s="723" t="n">
        <v>4680115887503</v>
      </c>
      <c r="E182" s="1031" t="n"/>
      <c r="F182" s="1070" t="n">
        <v>0.28</v>
      </c>
      <c r="G182" s="37" t="n">
        <v>6</v>
      </c>
      <c r="H182" s="1070" t="n">
        <v>1.68</v>
      </c>
      <c r="I182" s="1070" t="n">
        <v>1.78</v>
      </c>
      <c r="J182" s="37" t="n">
        <v>234</v>
      </c>
      <c r="K182" s="37" t="inlineStr">
        <is>
          <t>18</t>
        </is>
      </c>
      <c r="L182" s="37" t="inlineStr"/>
      <c r="M182" s="38" t="inlineStr">
        <is>
          <t>СК2</t>
        </is>
      </c>
      <c r="N182" s="38" t="n"/>
      <c r="O182" s="37" t="n">
        <v>40</v>
      </c>
      <c r="P182" s="1166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82" s="1072" t="n"/>
      <c r="R182" s="1072" t="n"/>
      <c r="S182" s="1072" t="n"/>
      <c r="T182" s="1073" t="n"/>
      <c r="U182" s="39" t="inlineStr"/>
      <c r="V182" s="39" t="inlineStr"/>
      <c r="W182" s="40" t="inlineStr">
        <is>
          <t>кг</t>
        </is>
      </c>
      <c r="X182" s="1074" t="n">
        <v>17</v>
      </c>
      <c r="Y182" s="1075">
        <f>IFERROR(IF(X182="",0,CEILING((X182/$H182),1)*$H182),"")</f>
        <v/>
      </c>
      <c r="Z182" s="41">
        <f>IFERROR(IF(Y182=0,"",ROUNDUP(Y182/H182,0)*0.00502),"")</f>
        <v/>
      </c>
      <c r="AA182" s="68" t="inlineStr"/>
      <c r="AB182" s="69" t="inlineStr"/>
      <c r="AC182" s="260" t="inlineStr">
        <is>
          <t>ЕАЭС N RU Д-RU.РА11.В.18556/25</t>
        </is>
      </c>
      <c r="AG182" s="78" t="n"/>
      <c r="AJ182" s="84" t="inlineStr"/>
      <c r="AK182" s="84" t="n">
        <v>0</v>
      </c>
      <c r="BB182" s="261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SU003751</t>
        </is>
      </c>
      <c r="B183" s="63" t="inlineStr">
        <is>
          <t>P004728</t>
        </is>
      </c>
      <c r="C183" s="36" t="n">
        <v>4301031389</v>
      </c>
      <c r="D183" s="723" t="n">
        <v>4680115887763</v>
      </c>
      <c r="E183" s="1031" t="n"/>
      <c r="F183" s="1070" t="n">
        <v>0.09</v>
      </c>
      <c r="G183" s="37" t="n">
        <v>10</v>
      </c>
      <c r="H183" s="1070" t="n">
        <v>0.9</v>
      </c>
      <c r="I183" s="1070" t="n">
        <v>1.11</v>
      </c>
      <c r="J183" s="37" t="n">
        <v>336</v>
      </c>
      <c r="K183" s="37" t="inlineStr">
        <is>
          <t>24</t>
        </is>
      </c>
      <c r="L183" s="37" t="inlineStr"/>
      <c r="M183" s="38" t="inlineStr">
        <is>
          <t>СК2</t>
        </is>
      </c>
      <c r="N183" s="38" t="n"/>
      <c r="O183" s="37" t="n">
        <v>45</v>
      </c>
      <c r="P183" s="1167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83" s="1072" t="n"/>
      <c r="R183" s="1072" t="n"/>
      <c r="S183" s="1072" t="n"/>
      <c r="T183" s="1073" t="n"/>
      <c r="U183" s="39" t="inlineStr"/>
      <c r="V183" s="39" t="inlineStr"/>
      <c r="W183" s="40" t="inlineStr">
        <is>
          <t>кг</t>
        </is>
      </c>
      <c r="X183" s="1074" t="n">
        <v>4</v>
      </c>
      <c r="Y183" s="1075">
        <f>IFERROR(IF(X183="",0,CEILING((X183/$H183),1)*$H183),"")</f>
        <v/>
      </c>
      <c r="Z183" s="41">
        <f>IFERROR(IF(Y183=0,"",ROUNDUP(Y183/H183,0)*0.00417),"")</f>
        <v/>
      </c>
      <c r="AA183" s="68" t="inlineStr"/>
      <c r="AB183" s="69" t="inlineStr"/>
      <c r="AC183" s="262" t="inlineStr">
        <is>
          <t>ЕАЭС N RU Д-RU.РА08.В.64158/25</t>
        </is>
      </c>
      <c r="AG183" s="78" t="n"/>
      <c r="AJ183" s="84" t="inlineStr"/>
      <c r="AK183" s="84" t="n">
        <v>0</v>
      </c>
      <c r="BB183" s="263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 ht="27" customHeight="1">
      <c r="A184" s="63" t="inlineStr">
        <is>
          <t>SU004045</t>
        </is>
      </c>
      <c r="B184" s="63" t="inlineStr">
        <is>
          <t>P005638</t>
        </is>
      </c>
      <c r="C184" s="36" t="n">
        <v>4301031521</v>
      </c>
      <c r="D184" s="723" t="n">
        <v>4680115887480</v>
      </c>
      <c r="E184" s="1031" t="n"/>
      <c r="F184" s="1070" t="n">
        <v>0.28</v>
      </c>
      <c r="G184" s="37" t="n">
        <v>6</v>
      </c>
      <c r="H184" s="1070" t="n">
        <v>1.68</v>
      </c>
      <c r="I184" s="1070" t="n">
        <v>1.78</v>
      </c>
      <c r="J184" s="37" t="n">
        <v>234</v>
      </c>
      <c r="K184" s="37" t="inlineStr">
        <is>
          <t>18</t>
        </is>
      </c>
      <c r="L184" s="37" t="inlineStr"/>
      <c r="M184" s="38" t="inlineStr">
        <is>
          <t>СК2</t>
        </is>
      </c>
      <c r="N184" s="38" t="n"/>
      <c r="O184" s="37" t="n">
        <v>45</v>
      </c>
      <c r="P184" s="1168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/>
      </c>
      <c r="Q184" s="1072" t="n"/>
      <c r="R184" s="1072" t="n"/>
      <c r="S184" s="1072" t="n"/>
      <c r="T184" s="1073" t="n"/>
      <c r="U184" s="39" t="inlineStr"/>
      <c r="V184" s="39" t="inlineStr"/>
      <c r="W184" s="40" t="inlineStr">
        <is>
          <t>кг</t>
        </is>
      </c>
      <c r="X184" s="1074" t="n">
        <v>0</v>
      </c>
      <c r="Y184" s="1075">
        <f>IFERROR(IF(X184="",0,CEILING((X184/$H184),1)*$H184),"")</f>
        <v/>
      </c>
      <c r="Z184" s="41">
        <f>IFERROR(IF(Y184=0,"",ROUNDUP(Y184/H184,0)*0.00502),"")</f>
        <v/>
      </c>
      <c r="AA184" s="68" t="inlineStr"/>
      <c r="AB184" s="69" t="inlineStr"/>
      <c r="AC184" s="264" t="inlineStr">
        <is>
          <t>ЕАЭС N RU Д-RU.РА04.В.47637/26</t>
        </is>
      </c>
      <c r="AG184" s="78" t="n"/>
      <c r="AJ184" s="84" t="inlineStr"/>
      <c r="AK184" s="84" t="n">
        <v>0</v>
      </c>
      <c r="BB184" s="265" t="inlineStr">
        <is>
          <t>КИ</t>
        </is>
      </c>
      <c r="BM184" s="78">
        <f>IFERROR(X184*I184/H184,"0")</f>
        <v/>
      </c>
      <c r="BN184" s="78">
        <f>IFERROR(Y184*I184/H184,"0")</f>
        <v/>
      </c>
      <c r="BO184" s="78">
        <f>IFERROR(1/J184*(X184/H184),"0")</f>
        <v/>
      </c>
      <c r="BP184" s="78">
        <f>IFERROR(1/J184*(Y184/H184),"0")</f>
        <v/>
      </c>
    </row>
    <row r="185" ht="27" customHeight="1">
      <c r="A185" s="63" t="inlineStr">
        <is>
          <t>SU003988</t>
        </is>
      </c>
      <c r="B185" s="63" t="inlineStr">
        <is>
          <t>P005114</t>
        </is>
      </c>
      <c r="C185" s="36" t="n">
        <v>4301031434</v>
      </c>
      <c r="D185" s="723" t="n">
        <v>4680115888067</v>
      </c>
      <c r="E185" s="1031" t="n"/>
      <c r="F185" s="1070" t="n">
        <v>0.09</v>
      </c>
      <c r="G185" s="37" t="n">
        <v>10</v>
      </c>
      <c r="H185" s="1070" t="n">
        <v>0.9</v>
      </c>
      <c r="I185" s="1070" t="n">
        <v>1</v>
      </c>
      <c r="J185" s="37" t="n">
        <v>336</v>
      </c>
      <c r="K185" s="37" t="inlineStr">
        <is>
          <t>24</t>
        </is>
      </c>
      <c r="L185" s="37" t="inlineStr"/>
      <c r="M185" s="38" t="inlineStr">
        <is>
          <t>СК2</t>
        </is>
      </c>
      <c r="N185" s="38" t="n"/>
      <c r="O185" s="37" t="n">
        <v>45</v>
      </c>
      <c r="P185" s="1169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85" s="1072" t="n"/>
      <c r="R185" s="1072" t="n"/>
      <c r="S185" s="1072" t="n"/>
      <c r="T185" s="1073" t="n"/>
      <c r="U185" s="39" t="inlineStr"/>
      <c r="V185" s="39" t="inlineStr"/>
      <c r="W185" s="40" t="inlineStr">
        <is>
          <t>кг</t>
        </is>
      </c>
      <c r="X185" s="1074" t="n">
        <v>5</v>
      </c>
      <c r="Y185" s="1075">
        <f>IFERROR(IF(X185="",0,CEILING((X185/$H185),1)*$H185),"")</f>
        <v/>
      </c>
      <c r="Z185" s="41">
        <f>IFERROR(IF(Y185=0,"",ROUNDUP(Y185/H185,0)*0.00417),"")</f>
        <v/>
      </c>
      <c r="AA185" s="68" t="inlineStr"/>
      <c r="AB185" s="69" t="inlineStr"/>
      <c r="AC185" s="266" t="inlineStr">
        <is>
          <t>ЕАЭС N RU Д-RU.РА11.В.21847/25</t>
        </is>
      </c>
      <c r="AG185" s="78" t="n"/>
      <c r="AJ185" s="84" t="inlineStr"/>
      <c r="AK185" s="84" t="n">
        <v>0</v>
      </c>
      <c r="BB185" s="267" t="inlineStr">
        <is>
          <t>КИ</t>
        </is>
      </c>
      <c r="BM185" s="78">
        <f>IFERROR(X185*I185/H185,"0")</f>
        <v/>
      </c>
      <c r="BN185" s="78">
        <f>IFERROR(Y185*I185/H185,"0")</f>
        <v/>
      </c>
      <c r="BO185" s="78">
        <f>IFERROR(1/J185*(X185/H185),"0")</f>
        <v/>
      </c>
      <c r="BP185" s="78">
        <f>IFERROR(1/J185*(Y185/H185),"0")</f>
        <v/>
      </c>
    </row>
    <row r="186" ht="27" customHeight="1">
      <c r="A186" s="63" t="inlineStr">
        <is>
          <t>SU004042</t>
        </is>
      </c>
      <c r="B186" s="63" t="inlineStr">
        <is>
          <t>P005636</t>
        </is>
      </c>
      <c r="C186" s="36" t="n">
        <v>4301031519</v>
      </c>
      <c r="D186" s="723" t="n">
        <v>4680115887435</v>
      </c>
      <c r="E186" s="1031" t="n"/>
      <c r="F186" s="1070" t="n">
        <v>0.28</v>
      </c>
      <c r="G186" s="37" t="n">
        <v>6</v>
      </c>
      <c r="H186" s="1070" t="n">
        <v>1.68</v>
      </c>
      <c r="I186" s="1070" t="n">
        <v>1.78</v>
      </c>
      <c r="J186" s="37" t="n">
        <v>234</v>
      </c>
      <c r="K186" s="37" t="inlineStr">
        <is>
          <t>18</t>
        </is>
      </c>
      <c r="L186" s="37" t="inlineStr"/>
      <c r="M186" s="38" t="inlineStr">
        <is>
          <t>СК2</t>
        </is>
      </c>
      <c r="N186" s="38" t="n"/>
      <c r="O186" s="37" t="n">
        <v>45</v>
      </c>
      <c r="P186" s="1170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/>
      </c>
      <c r="Q186" s="1072" t="n"/>
      <c r="R186" s="1072" t="n"/>
      <c r="S186" s="1072" t="n"/>
      <c r="T186" s="1073" t="n"/>
      <c r="U186" s="39" t="inlineStr"/>
      <c r="V186" s="39" t="inlineStr"/>
      <c r="W186" s="40" t="inlineStr">
        <is>
          <t>кг</t>
        </is>
      </c>
      <c r="X186" s="1074" t="n">
        <v>9</v>
      </c>
      <c r="Y186" s="1075">
        <f>IFERROR(IF(X186="",0,CEILING((X186/$H186),1)*$H186),"")</f>
        <v/>
      </c>
      <c r="Z186" s="41">
        <f>IFERROR(IF(Y186=0,"",ROUNDUP(Y186/H186,0)*0.00502),"")</f>
        <v/>
      </c>
      <c r="AA186" s="68" t="inlineStr"/>
      <c r="AB186" s="69" t="inlineStr"/>
      <c r="AC186" s="268" t="inlineStr">
        <is>
          <t>ЕАЭС N RU Д-RU.РА04.В.47654/26</t>
        </is>
      </c>
      <c r="AG186" s="78" t="n"/>
      <c r="AJ186" s="84" t="inlineStr"/>
      <c r="AK186" s="84" t="n">
        <v>0</v>
      </c>
      <c r="BB186" s="269" t="inlineStr">
        <is>
          <t>КИ</t>
        </is>
      </c>
      <c r="BM186" s="78">
        <f>IFERROR(X186*I186/H186,"0")</f>
        <v/>
      </c>
      <c r="BN186" s="78">
        <f>IFERROR(Y186*I186/H186,"0")</f>
        <v/>
      </c>
      <c r="BO186" s="78">
        <f>IFERROR(1/J186*(X186/H186),"0")</f>
        <v/>
      </c>
      <c r="BP186" s="78">
        <f>IFERROR(1/J186*(Y186/H186),"0")</f>
        <v/>
      </c>
    </row>
    <row r="187">
      <c r="A187" s="732" t="n"/>
      <c r="B187" s="1019" t="n"/>
      <c r="C187" s="1019" t="n"/>
      <c r="D187" s="1019" t="n"/>
      <c r="E187" s="1019" t="n"/>
      <c r="F187" s="1019" t="n"/>
      <c r="G187" s="1019" t="n"/>
      <c r="H187" s="1019" t="n"/>
      <c r="I187" s="1019" t="n"/>
      <c r="J187" s="1019" t="n"/>
      <c r="K187" s="1019" t="n"/>
      <c r="L187" s="1019" t="n"/>
      <c r="M187" s="1019" t="n"/>
      <c r="N187" s="1019" t="n"/>
      <c r="O187" s="1077" t="n"/>
      <c r="P187" s="1078" t="inlineStr">
        <is>
          <t>Итого</t>
        </is>
      </c>
      <c r="Q187" s="1039" t="n"/>
      <c r="R187" s="1039" t="n"/>
      <c r="S187" s="1039" t="n"/>
      <c r="T187" s="1039" t="n"/>
      <c r="U187" s="1039" t="n"/>
      <c r="V187" s="1040" t="n"/>
      <c r="W187" s="42" t="inlineStr">
        <is>
          <t>кор</t>
        </is>
      </c>
      <c r="X187" s="1079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/>
      </c>
      <c r="Y187" s="1079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/>
      </c>
      <c r="Z187" s="1079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/>
      </c>
      <c r="AA187" s="1080" t="n"/>
      <c r="AB187" s="1080" t="n"/>
      <c r="AC187" s="1080" t="n"/>
    </row>
    <row r="188">
      <c r="A188" s="1019" t="n"/>
      <c r="B188" s="1019" t="n"/>
      <c r="C188" s="1019" t="n"/>
      <c r="D188" s="1019" t="n"/>
      <c r="E188" s="1019" t="n"/>
      <c r="F188" s="1019" t="n"/>
      <c r="G188" s="1019" t="n"/>
      <c r="H188" s="1019" t="n"/>
      <c r="I188" s="1019" t="n"/>
      <c r="J188" s="1019" t="n"/>
      <c r="K188" s="1019" t="n"/>
      <c r="L188" s="1019" t="n"/>
      <c r="M188" s="1019" t="n"/>
      <c r="N188" s="1019" t="n"/>
      <c r="O188" s="1077" t="n"/>
      <c r="P188" s="1078" t="inlineStr">
        <is>
          <t>Итого</t>
        </is>
      </c>
      <c r="Q188" s="1039" t="n"/>
      <c r="R188" s="1039" t="n"/>
      <c r="S188" s="1039" t="n"/>
      <c r="T188" s="1039" t="n"/>
      <c r="U188" s="1039" t="n"/>
      <c r="V188" s="1040" t="n"/>
      <c r="W188" s="42" t="inlineStr">
        <is>
          <t>кг</t>
        </is>
      </c>
      <c r="X188" s="1079">
        <f>IFERROR(SUM(X176:X186),"0")</f>
        <v/>
      </c>
      <c r="Y188" s="1079">
        <f>IFERROR(SUM(Y176:Y186),"0")</f>
        <v/>
      </c>
      <c r="Z188" s="42" t="n"/>
      <c r="AA188" s="1080" t="n"/>
      <c r="AB188" s="1080" t="n"/>
      <c r="AC188" s="1080" t="n"/>
    </row>
    <row r="189" ht="14.25" customHeight="1">
      <c r="A189" s="722" t="inlineStr">
        <is>
          <t>Сосиски</t>
        </is>
      </c>
      <c r="B189" s="1019" t="n"/>
      <c r="C189" s="1019" t="n"/>
      <c r="D189" s="1019" t="n"/>
      <c r="E189" s="1019" t="n"/>
      <c r="F189" s="1019" t="n"/>
      <c r="G189" s="1019" t="n"/>
      <c r="H189" s="1019" t="n"/>
      <c r="I189" s="1019" t="n"/>
      <c r="J189" s="1019" t="n"/>
      <c r="K189" s="1019" t="n"/>
      <c r="L189" s="1019" t="n"/>
      <c r="M189" s="1019" t="n"/>
      <c r="N189" s="1019" t="n"/>
      <c r="O189" s="1019" t="n"/>
      <c r="P189" s="1019" t="n"/>
      <c r="Q189" s="1019" t="n"/>
      <c r="R189" s="1019" t="n"/>
      <c r="S189" s="1019" t="n"/>
      <c r="T189" s="1019" t="n"/>
      <c r="U189" s="1019" t="n"/>
      <c r="V189" s="1019" t="n"/>
      <c r="W189" s="1019" t="n"/>
      <c r="X189" s="1019" t="n"/>
      <c r="Y189" s="1019" t="n"/>
      <c r="Z189" s="1019" t="n"/>
      <c r="AA189" s="722" t="n"/>
      <c r="AB189" s="722" t="n"/>
      <c r="AC189" s="722" t="n"/>
    </row>
    <row r="190" ht="16.5" customHeight="1">
      <c r="A190" s="63" t="inlineStr">
        <is>
          <t>SU004130</t>
        </is>
      </c>
      <c r="B190" s="63" t="inlineStr">
        <is>
          <t>P005387</t>
        </is>
      </c>
      <c r="C190" s="36" t="n">
        <v>4301052193</v>
      </c>
      <c r="D190" s="723" t="n">
        <v>4680115888395</v>
      </c>
      <c r="E190" s="1031" t="n"/>
      <c r="F190" s="1070" t="n">
        <v>0.42</v>
      </c>
      <c r="G190" s="37" t="n">
        <v>6</v>
      </c>
      <c r="H190" s="1070" t="n">
        <v>2.52</v>
      </c>
      <c r="I190" s="1070" t="n">
        <v>2.766</v>
      </c>
      <c r="J190" s="37" t="n">
        <v>182</v>
      </c>
      <c r="K190" s="37" t="inlineStr">
        <is>
          <t>14</t>
        </is>
      </c>
      <c r="L190" s="37" t="inlineStr"/>
      <c r="M190" s="38" t="inlineStr">
        <is>
          <t>СК4</t>
        </is>
      </c>
      <c r="N190" s="38" t="n"/>
      <c r="O190" s="37" t="n">
        <v>40</v>
      </c>
      <c r="P190" s="1171">
        <f>HYPERLINK("https://abi.ru/products/Охлажденные/Вязанка/Вязанка/Сосиски/P005387/","Сосиски «Классик» Фикс.вес 0,42 ц/о ТМ «Вязанка»")</f>
        <v/>
      </c>
      <c r="Q190" s="1072" t="n"/>
      <c r="R190" s="1072" t="n"/>
      <c r="S190" s="1072" t="n"/>
      <c r="T190" s="1073" t="n"/>
      <c r="U190" s="39" t="inlineStr"/>
      <c r="V190" s="39" t="inlineStr"/>
      <c r="W190" s="40" t="inlineStr">
        <is>
          <t>кг</t>
        </is>
      </c>
      <c r="X190" s="1074" t="n">
        <v>0</v>
      </c>
      <c r="Y190" s="1075">
        <f>IFERROR(IF(X190="",0,CEILING((X190/$H190),1)*$H190),"")</f>
        <v/>
      </c>
      <c r="Z190" s="41">
        <f>IFERROR(IF(Y190=0,"",ROUNDUP(Y190/H190,0)*0.00651),"")</f>
        <v/>
      </c>
      <c r="AA190" s="68" t="inlineStr"/>
      <c r="AB190" s="69" t="inlineStr"/>
      <c r="AC190" s="270" t="inlineStr">
        <is>
          <t>ЕАЭС N RU Д-RU.РА02.В.43494/26</t>
        </is>
      </c>
      <c r="AG190" s="78" t="n"/>
      <c r="AJ190" s="84" t="inlineStr"/>
      <c r="AK190" s="84" t="n">
        <v>0</v>
      </c>
      <c r="BB190" s="271" t="inlineStr">
        <is>
          <t>КИ</t>
        </is>
      </c>
      <c r="BM190" s="78">
        <f>IFERROR(X190*I190/H190,"0")</f>
        <v/>
      </c>
      <c r="BN190" s="78">
        <f>IFERROR(Y190*I190/H190,"0")</f>
        <v/>
      </c>
      <c r="BO190" s="78">
        <f>IFERROR(1/J190*(X190/H190),"0")</f>
        <v/>
      </c>
      <c r="BP190" s="78">
        <f>IFERROR(1/J190*(Y190/H190),"0")</f>
        <v/>
      </c>
    </row>
    <row r="191" ht="16.5" customHeight="1">
      <c r="A191" s="63" t="inlineStr">
        <is>
          <t>SU004129</t>
        </is>
      </c>
      <c r="B191" s="63" t="inlineStr">
        <is>
          <t>P005386</t>
        </is>
      </c>
      <c r="C191" s="36" t="n">
        <v>4301052191</v>
      </c>
      <c r="D191" s="723" t="n">
        <v>4680115888371</v>
      </c>
      <c r="E191" s="1031" t="n"/>
      <c r="F191" s="1070" t="n">
        <v>0.42</v>
      </c>
      <c r="G191" s="37" t="n">
        <v>6</v>
      </c>
      <c r="H191" s="1070" t="n">
        <v>2.52</v>
      </c>
      <c r="I191" s="1070" t="n">
        <v>2.766</v>
      </c>
      <c r="J191" s="37" t="n">
        <v>182</v>
      </c>
      <c r="K191" s="37" t="inlineStr">
        <is>
          <t>14</t>
        </is>
      </c>
      <c r="L191" s="37" t="inlineStr"/>
      <c r="M191" s="38" t="inlineStr">
        <is>
          <t>СК4</t>
        </is>
      </c>
      <c r="N191" s="38" t="n"/>
      <c r="O191" s="37" t="n">
        <v>40</v>
      </c>
      <c r="P191" s="1172">
        <f>HYPERLINK("https://abi.ru/products/Охлажденные/Вязанка/Вязанка/Сосиски/P005386/","Сосиски «с сыром Моцарелла» Фикс.вес 0,42 ц/о ТМ «Вязанка»")</f>
        <v/>
      </c>
      <c r="Q191" s="1072" t="n"/>
      <c r="R191" s="1072" t="n"/>
      <c r="S191" s="1072" t="n"/>
      <c r="T191" s="1073" t="n"/>
      <c r="U191" s="39" t="inlineStr"/>
      <c r="V191" s="39" t="inlineStr"/>
      <c r="W191" s="40" t="inlineStr">
        <is>
          <t>кг</t>
        </is>
      </c>
      <c r="X191" s="1074" t="n">
        <v>0</v>
      </c>
      <c r="Y191" s="1075">
        <f>IFERROR(IF(X191="",0,CEILING((X191/$H191),1)*$H191),"")</f>
        <v/>
      </c>
      <c r="Z191" s="41">
        <f>IFERROR(IF(Y191=0,"",ROUNDUP(Y191/H191,0)*0.00651),"")</f>
        <v/>
      </c>
      <c r="AA191" s="68" t="inlineStr"/>
      <c r="AB191" s="69" t="inlineStr"/>
      <c r="AC191" s="272" t="inlineStr">
        <is>
          <t>ЕАЭС N RU Д-RU.РА02.В.10727/26</t>
        </is>
      </c>
      <c r="AG191" s="78" t="n"/>
      <c r="AJ191" s="84" t="inlineStr"/>
      <c r="AK191" s="84" t="n">
        <v>0</v>
      </c>
      <c r="BB191" s="273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 ht="27" customHeight="1">
      <c r="A192" s="63" t="inlineStr">
        <is>
          <t>SU004053</t>
        </is>
      </c>
      <c r="B192" s="63" t="inlineStr">
        <is>
          <t>P005187</t>
        </is>
      </c>
      <c r="C192" s="36" t="n">
        <v>4301052064</v>
      </c>
      <c r="D192" s="723" t="n">
        <v>4680115887459</v>
      </c>
      <c r="E192" s="1031" t="n"/>
      <c r="F192" s="1070" t="n">
        <v>0.3</v>
      </c>
      <c r="G192" s="37" t="n">
        <v>6</v>
      </c>
      <c r="H192" s="1070" t="n">
        <v>1.8</v>
      </c>
      <c r="I192" s="1070" t="n">
        <v>2.058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СК3</t>
        </is>
      </c>
      <c r="N192" s="38" t="n"/>
      <c r="O192" s="37" t="n">
        <v>45</v>
      </c>
      <c r="P192" s="1173">
        <f>HYPERLINK("https://abi.ru/products/Охлажденные/Вязанка/Вязанка/Сосиски/P005187/","Сосиски «Сочные» Фикс.вес 0,3 П/а мгс ТМ «Вязанка»")</f>
        <v/>
      </c>
      <c r="Q192" s="1072" t="n"/>
      <c r="R192" s="1072" t="n"/>
      <c r="S192" s="1072" t="n"/>
      <c r="T192" s="1073" t="n"/>
      <c r="U192" s="39" t="inlineStr"/>
      <c r="V192" s="39" t="inlineStr"/>
      <c r="W192" s="40" t="inlineStr">
        <is>
          <t>кг</t>
        </is>
      </c>
      <c r="X192" s="1074" t="n">
        <v>0</v>
      </c>
      <c r="Y192" s="1075">
        <f>IFERROR(IF(X192="",0,CEILING((X192/$H192),1)*$H192),"")</f>
        <v/>
      </c>
      <c r="Z192" s="41">
        <f>IFERROR(IF(Y192=0,"",ROUNDUP(Y192/H192,0)*0.00651),"")</f>
        <v/>
      </c>
      <c r="AA192" s="68" t="inlineStr"/>
      <c r="AB192" s="69" t="inlineStr"/>
      <c r="AC192" s="274" t="inlineStr">
        <is>
          <t>ЕАЭС N RU Д-RU.РА09.В.02701/25, ЕАЭС N RU Д-RU.РА09.В.02996/25</t>
        </is>
      </c>
      <c r="AG192" s="78" t="n"/>
      <c r="AJ192" s="84" t="inlineStr"/>
      <c r="AK192" s="84" t="n">
        <v>0</v>
      </c>
      <c r="BB192" s="275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32" t="n"/>
      <c r="B193" s="1019" t="n"/>
      <c r="C193" s="1019" t="n"/>
      <c r="D193" s="1019" t="n"/>
      <c r="E193" s="1019" t="n"/>
      <c r="F193" s="1019" t="n"/>
      <c r="G193" s="1019" t="n"/>
      <c r="H193" s="1019" t="n"/>
      <c r="I193" s="1019" t="n"/>
      <c r="J193" s="1019" t="n"/>
      <c r="K193" s="1019" t="n"/>
      <c r="L193" s="1019" t="n"/>
      <c r="M193" s="1019" t="n"/>
      <c r="N193" s="1019" t="n"/>
      <c r="O193" s="1077" t="n"/>
      <c r="P193" s="1078" t="inlineStr">
        <is>
          <t>Итого</t>
        </is>
      </c>
      <c r="Q193" s="1039" t="n"/>
      <c r="R193" s="1039" t="n"/>
      <c r="S193" s="1039" t="n"/>
      <c r="T193" s="1039" t="n"/>
      <c r="U193" s="1039" t="n"/>
      <c r="V193" s="1040" t="n"/>
      <c r="W193" s="42" t="inlineStr">
        <is>
          <t>кор</t>
        </is>
      </c>
      <c r="X193" s="1079">
        <f>IFERROR(X190/H190,"0")+IFERROR(X191/H191,"0")+IFERROR(X192/H192,"0")</f>
        <v/>
      </c>
      <c r="Y193" s="1079">
        <f>IFERROR(Y190/H190,"0")+IFERROR(Y191/H191,"0")+IFERROR(Y192/H192,"0")</f>
        <v/>
      </c>
      <c r="Z193" s="1079">
        <f>IFERROR(IF(Z190="",0,Z190),"0")+IFERROR(IF(Z191="",0,Z191),"0")+IFERROR(IF(Z192="",0,Z192),"0")</f>
        <v/>
      </c>
      <c r="AA193" s="1080" t="n"/>
      <c r="AB193" s="1080" t="n"/>
      <c r="AC193" s="1080" t="n"/>
    </row>
    <row r="194">
      <c r="A194" s="1019" t="n"/>
      <c r="B194" s="1019" t="n"/>
      <c r="C194" s="1019" t="n"/>
      <c r="D194" s="1019" t="n"/>
      <c r="E194" s="1019" t="n"/>
      <c r="F194" s="1019" t="n"/>
      <c r="G194" s="1019" t="n"/>
      <c r="H194" s="1019" t="n"/>
      <c r="I194" s="1019" t="n"/>
      <c r="J194" s="1019" t="n"/>
      <c r="K194" s="1019" t="n"/>
      <c r="L194" s="1019" t="n"/>
      <c r="M194" s="1019" t="n"/>
      <c r="N194" s="1019" t="n"/>
      <c r="O194" s="1077" t="n"/>
      <c r="P194" s="1078" t="inlineStr">
        <is>
          <t>Итого</t>
        </is>
      </c>
      <c r="Q194" s="1039" t="n"/>
      <c r="R194" s="1039" t="n"/>
      <c r="S194" s="1039" t="n"/>
      <c r="T194" s="1039" t="n"/>
      <c r="U194" s="1039" t="n"/>
      <c r="V194" s="1040" t="n"/>
      <c r="W194" s="42" t="inlineStr">
        <is>
          <t>кг</t>
        </is>
      </c>
      <c r="X194" s="1079">
        <f>IFERROR(SUM(X190:X192),"0")</f>
        <v/>
      </c>
      <c r="Y194" s="1079">
        <f>IFERROR(SUM(Y190:Y192),"0")</f>
        <v/>
      </c>
      <c r="Z194" s="42" t="n"/>
      <c r="AA194" s="1080" t="n"/>
      <c r="AB194" s="1080" t="n"/>
      <c r="AC194" s="1080" t="n"/>
    </row>
    <row r="195" ht="14.25" customHeight="1">
      <c r="A195" s="722" t="inlineStr">
        <is>
          <t>Сырокопченые колбасы</t>
        </is>
      </c>
      <c r="B195" s="1019" t="n"/>
      <c r="C195" s="1019" t="n"/>
      <c r="D195" s="1019" t="n"/>
      <c r="E195" s="1019" t="n"/>
      <c r="F195" s="1019" t="n"/>
      <c r="G195" s="1019" t="n"/>
      <c r="H195" s="1019" t="n"/>
      <c r="I195" s="1019" t="n"/>
      <c r="J195" s="1019" t="n"/>
      <c r="K195" s="1019" t="n"/>
      <c r="L195" s="1019" t="n"/>
      <c r="M195" s="1019" t="n"/>
      <c r="N195" s="1019" t="n"/>
      <c r="O195" s="1019" t="n"/>
      <c r="P195" s="1019" t="n"/>
      <c r="Q195" s="1019" t="n"/>
      <c r="R195" s="1019" t="n"/>
      <c r="S195" s="1019" t="n"/>
      <c r="T195" s="1019" t="n"/>
      <c r="U195" s="1019" t="n"/>
      <c r="V195" s="1019" t="n"/>
      <c r="W195" s="1019" t="n"/>
      <c r="X195" s="1019" t="n"/>
      <c r="Y195" s="1019" t="n"/>
      <c r="Z195" s="1019" t="n"/>
      <c r="AA195" s="722" t="n"/>
      <c r="AB195" s="722" t="n"/>
      <c r="AC195" s="722" t="n"/>
    </row>
    <row r="196" ht="16.5" customHeight="1">
      <c r="A196" s="63" t="inlineStr">
        <is>
          <t>SU004183</t>
        </is>
      </c>
      <c r="B196" s="63" t="inlineStr">
        <is>
          <t>P005450</t>
        </is>
      </c>
      <c r="C196" s="36" t="n">
        <v>4301032058</v>
      </c>
      <c r="D196" s="723" t="n">
        <v>4680115889026</v>
      </c>
      <c r="E196" s="1031" t="n"/>
      <c r="F196" s="1070" t="n">
        <v>0.06</v>
      </c>
      <c r="G196" s="37" t="n">
        <v>18</v>
      </c>
      <c r="H196" s="1070" t="n">
        <v>1.08</v>
      </c>
      <c r="I196" s="1070" t="n">
        <v>1.36</v>
      </c>
      <c r="J196" s="37" t="n">
        <v>216</v>
      </c>
      <c r="K196" s="37" t="inlineStr">
        <is>
          <t>27</t>
        </is>
      </c>
      <c r="L196" s="37" t="inlineStr"/>
      <c r="M196" s="38" t="inlineStr">
        <is>
          <t>МЗР</t>
        </is>
      </c>
      <c r="N196" s="38" t="n"/>
      <c r="O196" s="37" t="n">
        <v>60</v>
      </c>
      <c r="P196" s="1174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96" s="1072" t="n"/>
      <c r="R196" s="1072" t="n"/>
      <c r="S196" s="1072" t="n"/>
      <c r="T196" s="1073" t="n"/>
      <c r="U196" s="39" t="inlineStr"/>
      <c r="V196" s="39" t="inlineStr"/>
      <c r="W196" s="40" t="inlineStr">
        <is>
          <t>кг</t>
        </is>
      </c>
      <c r="X196" s="1074" t="n">
        <v>0</v>
      </c>
      <c r="Y196" s="1075">
        <f>IFERROR(IF(X196="",0,CEILING((X196/$H196),1)*$H196),"")</f>
        <v/>
      </c>
      <c r="Z196" s="41">
        <f>IFERROR(IF(Y196=0,"",ROUNDUP(Y196/H196,0)*0.0059),"")</f>
        <v/>
      </c>
      <c r="AA196" s="68" t="inlineStr"/>
      <c r="AB196" s="69" t="inlineStr"/>
      <c r="AC196" s="276" t="inlineStr">
        <is>
          <t>ЕАЭС N RU Д-RU.РА03.В.85462/26</t>
        </is>
      </c>
      <c r="AG196" s="78" t="n"/>
      <c r="AJ196" s="84" t="inlineStr"/>
      <c r="AK196" s="84" t="n">
        <v>0</v>
      </c>
      <c r="BB196" s="277" t="inlineStr">
        <is>
          <t>КИ</t>
        </is>
      </c>
      <c r="BM196" s="78">
        <f>IFERROR(X196*I196/H196,"0")</f>
        <v/>
      </c>
      <c r="BN196" s="78">
        <f>IFERROR(Y196*I196/H196,"0")</f>
        <v/>
      </c>
      <c r="BO196" s="78">
        <f>IFERROR(1/J196*(X196/H196),"0")</f>
        <v/>
      </c>
      <c r="BP196" s="78">
        <f>IFERROR(1/J196*(Y196/H196),"0")</f>
        <v/>
      </c>
    </row>
    <row r="197">
      <c r="A197" s="732" t="n"/>
      <c r="B197" s="1019" t="n"/>
      <c r="C197" s="1019" t="n"/>
      <c r="D197" s="1019" t="n"/>
      <c r="E197" s="1019" t="n"/>
      <c r="F197" s="1019" t="n"/>
      <c r="G197" s="1019" t="n"/>
      <c r="H197" s="1019" t="n"/>
      <c r="I197" s="1019" t="n"/>
      <c r="J197" s="1019" t="n"/>
      <c r="K197" s="1019" t="n"/>
      <c r="L197" s="1019" t="n"/>
      <c r="M197" s="1019" t="n"/>
      <c r="N197" s="1019" t="n"/>
      <c r="O197" s="1077" t="n"/>
      <c r="P197" s="1078" t="inlineStr">
        <is>
          <t>Итого</t>
        </is>
      </c>
      <c r="Q197" s="1039" t="n"/>
      <c r="R197" s="1039" t="n"/>
      <c r="S197" s="1039" t="n"/>
      <c r="T197" s="1039" t="n"/>
      <c r="U197" s="1039" t="n"/>
      <c r="V197" s="1040" t="n"/>
      <c r="W197" s="42" t="inlineStr">
        <is>
          <t>кор</t>
        </is>
      </c>
      <c r="X197" s="1079">
        <f>IFERROR(X196/H196,"0")</f>
        <v/>
      </c>
      <c r="Y197" s="1079">
        <f>IFERROR(Y196/H196,"0")</f>
        <v/>
      </c>
      <c r="Z197" s="1079">
        <f>IFERROR(IF(Z196="",0,Z196),"0")</f>
        <v/>
      </c>
      <c r="AA197" s="1080" t="n"/>
      <c r="AB197" s="1080" t="n"/>
      <c r="AC197" s="1080" t="n"/>
    </row>
    <row r="198">
      <c r="A198" s="1019" t="n"/>
      <c r="B198" s="1019" t="n"/>
      <c r="C198" s="1019" t="n"/>
      <c r="D198" s="1019" t="n"/>
      <c r="E198" s="1019" t="n"/>
      <c r="F198" s="1019" t="n"/>
      <c r="G198" s="1019" t="n"/>
      <c r="H198" s="1019" t="n"/>
      <c r="I198" s="1019" t="n"/>
      <c r="J198" s="1019" t="n"/>
      <c r="K198" s="1019" t="n"/>
      <c r="L198" s="1019" t="n"/>
      <c r="M198" s="1019" t="n"/>
      <c r="N198" s="1019" t="n"/>
      <c r="O198" s="1077" t="n"/>
      <c r="P198" s="1078" t="inlineStr">
        <is>
          <t>Итого</t>
        </is>
      </c>
      <c r="Q198" s="1039" t="n"/>
      <c r="R198" s="1039" t="n"/>
      <c r="S198" s="1039" t="n"/>
      <c r="T198" s="1039" t="n"/>
      <c r="U198" s="1039" t="n"/>
      <c r="V198" s="1040" t="n"/>
      <c r="W198" s="42" t="inlineStr">
        <is>
          <t>кг</t>
        </is>
      </c>
      <c r="X198" s="1079">
        <f>IFERROR(SUM(X196:X196),"0")</f>
        <v/>
      </c>
      <c r="Y198" s="1079">
        <f>IFERROR(SUM(Y196:Y196),"0")</f>
        <v/>
      </c>
      <c r="Z198" s="42" t="n"/>
      <c r="AA198" s="1080" t="n"/>
      <c r="AB198" s="1080" t="n"/>
      <c r="AC198" s="1080" t="n"/>
    </row>
    <row r="199" ht="14.25" customHeight="1">
      <c r="A199" s="722" t="inlineStr">
        <is>
          <t>Деликатесы с/к</t>
        </is>
      </c>
      <c r="B199" s="1019" t="n"/>
      <c r="C199" s="1019" t="n"/>
      <c r="D199" s="1019" t="n"/>
      <c r="E199" s="1019" t="n"/>
      <c r="F199" s="1019" t="n"/>
      <c r="G199" s="1019" t="n"/>
      <c r="H199" s="1019" t="n"/>
      <c r="I199" s="1019" t="n"/>
      <c r="J199" s="1019" t="n"/>
      <c r="K199" s="1019" t="n"/>
      <c r="L199" s="1019" t="n"/>
      <c r="M199" s="1019" t="n"/>
      <c r="N199" s="1019" t="n"/>
      <c r="O199" s="1019" t="n"/>
      <c r="P199" s="1019" t="n"/>
      <c r="Q199" s="1019" t="n"/>
      <c r="R199" s="1019" t="n"/>
      <c r="S199" s="1019" t="n"/>
      <c r="T199" s="1019" t="n"/>
      <c r="U199" s="1019" t="n"/>
      <c r="V199" s="1019" t="n"/>
      <c r="W199" s="1019" t="n"/>
      <c r="X199" s="1019" t="n"/>
      <c r="Y199" s="1019" t="n"/>
      <c r="Z199" s="1019" t="n"/>
      <c r="AA199" s="722" t="n"/>
      <c r="AB199" s="722" t="n"/>
      <c r="AC199" s="722" t="n"/>
    </row>
    <row r="200" ht="27" customHeight="1">
      <c r="A200" s="63" t="inlineStr">
        <is>
          <t>SU004184</t>
        </is>
      </c>
      <c r="B200" s="63" t="inlineStr">
        <is>
          <t>P005451</t>
        </is>
      </c>
      <c r="C200" s="36" t="n">
        <v>4301041009</v>
      </c>
      <c r="D200" s="723" t="n">
        <v>4680115889033</v>
      </c>
      <c r="E200" s="1031" t="n"/>
      <c r="F200" s="1070" t="n">
        <v>0.11</v>
      </c>
      <c r="G200" s="37" t="n">
        <v>15</v>
      </c>
      <c r="H200" s="1070" t="n">
        <v>1.65</v>
      </c>
      <c r="I200" s="1070" t="n">
        <v>1.9</v>
      </c>
      <c r="J200" s="37" t="n">
        <v>216</v>
      </c>
      <c r="K200" s="37" t="inlineStr">
        <is>
          <t>27</t>
        </is>
      </c>
      <c r="L200" s="37" t="inlineStr"/>
      <c r="M200" s="38" t="inlineStr">
        <is>
          <t>МЗР</t>
        </is>
      </c>
      <c r="N200" s="38" t="n"/>
      <c r="O200" s="37" t="n">
        <v>60</v>
      </c>
      <c r="P200" s="117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200" s="1072" t="n"/>
      <c r="R200" s="1072" t="n"/>
      <c r="S200" s="1072" t="n"/>
      <c r="T200" s="1073" t="n"/>
      <c r="U200" s="39" t="inlineStr"/>
      <c r="V200" s="39" t="inlineStr"/>
      <c r="W200" s="40" t="inlineStr">
        <is>
          <t>кг</t>
        </is>
      </c>
      <c r="X200" s="1074" t="n">
        <v>0</v>
      </c>
      <c r="Y200" s="1075">
        <f>IFERROR(IF(X200="",0,CEILING((X200/$H200),1)*$H200),"")</f>
        <v/>
      </c>
      <c r="Z200" s="41">
        <f>IFERROR(IF(Y200=0,"",ROUNDUP(Y200/H200,0)*0.0059),"")</f>
        <v/>
      </c>
      <c r="AA200" s="68" t="inlineStr"/>
      <c r="AB200" s="69" t="inlineStr"/>
      <c r="AC200" s="278" t="inlineStr">
        <is>
          <t>ЕАЭС N RU Д-RU.РА03.В.85902/26</t>
        </is>
      </c>
      <c r="AG200" s="78" t="n"/>
      <c r="AJ200" s="84" t="inlineStr"/>
      <c r="AK200" s="84" t="n">
        <v>0</v>
      </c>
      <c r="BB200" s="27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>
      <c r="A201" s="732" t="n"/>
      <c r="B201" s="1019" t="n"/>
      <c r="C201" s="1019" t="n"/>
      <c r="D201" s="1019" t="n"/>
      <c r="E201" s="1019" t="n"/>
      <c r="F201" s="1019" t="n"/>
      <c r="G201" s="1019" t="n"/>
      <c r="H201" s="1019" t="n"/>
      <c r="I201" s="1019" t="n"/>
      <c r="J201" s="1019" t="n"/>
      <c r="K201" s="1019" t="n"/>
      <c r="L201" s="1019" t="n"/>
      <c r="M201" s="1019" t="n"/>
      <c r="N201" s="1019" t="n"/>
      <c r="O201" s="1077" t="n"/>
      <c r="P201" s="1078" t="inlineStr">
        <is>
          <t>Итого</t>
        </is>
      </c>
      <c r="Q201" s="1039" t="n"/>
      <c r="R201" s="1039" t="n"/>
      <c r="S201" s="1039" t="n"/>
      <c r="T201" s="1039" t="n"/>
      <c r="U201" s="1039" t="n"/>
      <c r="V201" s="1040" t="n"/>
      <c r="W201" s="42" t="inlineStr">
        <is>
          <t>кор</t>
        </is>
      </c>
      <c r="X201" s="1079">
        <f>IFERROR(X200/H200,"0")</f>
        <v/>
      </c>
      <c r="Y201" s="1079">
        <f>IFERROR(Y200/H200,"0")</f>
        <v/>
      </c>
      <c r="Z201" s="1079">
        <f>IFERROR(IF(Z200="",0,Z200),"0")</f>
        <v/>
      </c>
      <c r="AA201" s="1080" t="n"/>
      <c r="AB201" s="1080" t="n"/>
      <c r="AC201" s="1080" t="n"/>
    </row>
    <row r="202">
      <c r="A202" s="1019" t="n"/>
      <c r="B202" s="1019" t="n"/>
      <c r="C202" s="1019" t="n"/>
      <c r="D202" s="1019" t="n"/>
      <c r="E202" s="1019" t="n"/>
      <c r="F202" s="1019" t="n"/>
      <c r="G202" s="1019" t="n"/>
      <c r="H202" s="1019" t="n"/>
      <c r="I202" s="1019" t="n"/>
      <c r="J202" s="1019" t="n"/>
      <c r="K202" s="1019" t="n"/>
      <c r="L202" s="1019" t="n"/>
      <c r="M202" s="1019" t="n"/>
      <c r="N202" s="1019" t="n"/>
      <c r="O202" s="1077" t="n"/>
      <c r="P202" s="1078" t="inlineStr">
        <is>
          <t>Итого</t>
        </is>
      </c>
      <c r="Q202" s="1039" t="n"/>
      <c r="R202" s="1039" t="n"/>
      <c r="S202" s="1039" t="n"/>
      <c r="T202" s="1039" t="n"/>
      <c r="U202" s="1039" t="n"/>
      <c r="V202" s="1040" t="n"/>
      <c r="W202" s="42" t="inlineStr">
        <is>
          <t>кг</t>
        </is>
      </c>
      <c r="X202" s="1079">
        <f>IFERROR(SUM(X200:X200),"0")</f>
        <v/>
      </c>
      <c r="Y202" s="1079">
        <f>IFERROR(SUM(Y200:Y200),"0")</f>
        <v/>
      </c>
      <c r="Z202" s="42" t="n"/>
      <c r="AA202" s="1080" t="n"/>
      <c r="AB202" s="1080" t="n"/>
      <c r="AC202" s="1080" t="n"/>
    </row>
    <row r="203" ht="27.75" customHeight="1">
      <c r="A203" s="720" t="inlineStr">
        <is>
          <t>Стародворье</t>
        </is>
      </c>
      <c r="B203" s="1069" t="n"/>
      <c r="C203" s="1069" t="n"/>
      <c r="D203" s="1069" t="n"/>
      <c r="E203" s="1069" t="n"/>
      <c r="F203" s="1069" t="n"/>
      <c r="G203" s="1069" t="n"/>
      <c r="H203" s="1069" t="n"/>
      <c r="I203" s="1069" t="n"/>
      <c r="J203" s="1069" t="n"/>
      <c r="K203" s="1069" t="n"/>
      <c r="L203" s="1069" t="n"/>
      <c r="M203" s="1069" t="n"/>
      <c r="N203" s="1069" t="n"/>
      <c r="O203" s="1069" t="n"/>
      <c r="P203" s="1069" t="n"/>
      <c r="Q203" s="1069" t="n"/>
      <c r="R203" s="1069" t="n"/>
      <c r="S203" s="1069" t="n"/>
      <c r="T203" s="1069" t="n"/>
      <c r="U203" s="1069" t="n"/>
      <c r="V203" s="1069" t="n"/>
      <c r="W203" s="1069" t="n"/>
      <c r="X203" s="1069" t="n"/>
      <c r="Y203" s="1069" t="n"/>
      <c r="Z203" s="1069" t="n"/>
      <c r="AA203" s="54" t="n"/>
      <c r="AB203" s="54" t="n"/>
      <c r="AC203" s="54" t="n"/>
    </row>
    <row r="204" ht="16.5" customHeight="1">
      <c r="A204" s="721" t="inlineStr">
        <is>
          <t>Золоченная в печи</t>
        </is>
      </c>
      <c r="B204" s="1019" t="n"/>
      <c r="C204" s="1019" t="n"/>
      <c r="D204" s="1019" t="n"/>
      <c r="E204" s="1019" t="n"/>
      <c r="F204" s="1019" t="n"/>
      <c r="G204" s="1019" t="n"/>
      <c r="H204" s="1019" t="n"/>
      <c r="I204" s="1019" t="n"/>
      <c r="J204" s="1019" t="n"/>
      <c r="K204" s="1019" t="n"/>
      <c r="L204" s="1019" t="n"/>
      <c r="M204" s="1019" t="n"/>
      <c r="N204" s="1019" t="n"/>
      <c r="O204" s="1019" t="n"/>
      <c r="P204" s="1019" t="n"/>
      <c r="Q204" s="1019" t="n"/>
      <c r="R204" s="1019" t="n"/>
      <c r="S204" s="1019" t="n"/>
      <c r="T204" s="1019" t="n"/>
      <c r="U204" s="1019" t="n"/>
      <c r="V204" s="1019" t="n"/>
      <c r="W204" s="1019" t="n"/>
      <c r="X204" s="1019" t="n"/>
      <c r="Y204" s="1019" t="n"/>
      <c r="Z204" s="1019" t="n"/>
      <c r="AA204" s="721" t="n"/>
      <c r="AB204" s="721" t="n"/>
      <c r="AC204" s="721" t="n"/>
    </row>
    <row r="205" ht="14.25" customHeight="1">
      <c r="A205" s="722" t="inlineStr">
        <is>
          <t>Вареные колбасы</t>
        </is>
      </c>
      <c r="B205" s="1019" t="n"/>
      <c r="C205" s="1019" t="n"/>
      <c r="D205" s="1019" t="n"/>
      <c r="E205" s="1019" t="n"/>
      <c r="F205" s="1019" t="n"/>
      <c r="G205" s="1019" t="n"/>
      <c r="H205" s="1019" t="n"/>
      <c r="I205" s="1019" t="n"/>
      <c r="J205" s="1019" t="n"/>
      <c r="K205" s="1019" t="n"/>
      <c r="L205" s="1019" t="n"/>
      <c r="M205" s="1019" t="n"/>
      <c r="N205" s="1019" t="n"/>
      <c r="O205" s="1019" t="n"/>
      <c r="P205" s="1019" t="n"/>
      <c r="Q205" s="1019" t="n"/>
      <c r="R205" s="1019" t="n"/>
      <c r="S205" s="1019" t="n"/>
      <c r="T205" s="1019" t="n"/>
      <c r="U205" s="1019" t="n"/>
      <c r="V205" s="1019" t="n"/>
      <c r="W205" s="1019" t="n"/>
      <c r="X205" s="1019" t="n"/>
      <c r="Y205" s="1019" t="n"/>
      <c r="Z205" s="1019" t="n"/>
      <c r="AA205" s="722" t="n"/>
      <c r="AB205" s="722" t="n"/>
      <c r="AC205" s="722" t="n"/>
    </row>
    <row r="206" ht="27" customHeight="1">
      <c r="A206" s="63" t="inlineStr">
        <is>
          <t>SU002201</t>
        </is>
      </c>
      <c r="B206" s="63" t="inlineStr">
        <is>
          <t>P002567</t>
        </is>
      </c>
      <c r="C206" s="36" t="n">
        <v>4301011223</v>
      </c>
      <c r="D206" s="723" t="n">
        <v>4607091383423</v>
      </c>
      <c r="E206" s="1031" t="n"/>
      <c r="F206" s="1070" t="n">
        <v>1.35</v>
      </c>
      <c r="G206" s="37" t="n">
        <v>8</v>
      </c>
      <c r="H206" s="1070" t="n">
        <v>10.8</v>
      </c>
      <c r="I206" s="1070" t="n">
        <v>11.306</v>
      </c>
      <c r="J206" s="37" t="n">
        <v>64</v>
      </c>
      <c r="K206" s="37" t="inlineStr">
        <is>
          <t>8</t>
        </is>
      </c>
      <c r="L206" s="37" t="inlineStr"/>
      <c r="M206" s="38" t="inlineStr">
        <is>
          <t>СК3</t>
        </is>
      </c>
      <c r="N206" s="38" t="n"/>
      <c r="O206" s="37" t="n">
        <v>35</v>
      </c>
      <c r="P206" s="117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206" s="1072" t="n"/>
      <c r="R206" s="1072" t="n"/>
      <c r="S206" s="1072" t="n"/>
      <c r="T206" s="1073" t="n"/>
      <c r="U206" s="39" t="inlineStr"/>
      <c r="V206" s="39" t="inlineStr"/>
      <c r="W206" s="40" t="inlineStr">
        <is>
          <t>кг</t>
        </is>
      </c>
      <c r="X206" s="1074" t="n">
        <v>0</v>
      </c>
      <c r="Y206" s="1075">
        <f>IFERROR(IF(X206="",0,CEILING((X206/$H206),1)*$H206),"")</f>
        <v/>
      </c>
      <c r="Z206" s="41">
        <f>IFERROR(IF(Y206=0,"",ROUNDUP(Y206/H206,0)*0.01898),"")</f>
        <v/>
      </c>
      <c r="AA206" s="68" t="inlineStr"/>
      <c r="AB206" s="69" t="inlineStr"/>
      <c r="AC206" s="280" t="inlineStr">
        <is>
          <t>ЕАЭС N RU Д-RU.РА08.В.45907/25</t>
        </is>
      </c>
      <c r="AG206" s="78" t="n"/>
      <c r="AJ206" s="84" t="inlineStr"/>
      <c r="AK206" s="84" t="n">
        <v>0</v>
      </c>
      <c r="BB206" s="281" t="inlineStr">
        <is>
          <t>КИ</t>
        </is>
      </c>
      <c r="BM206" s="78">
        <f>IFERROR(X206*I206/H206,"0")</f>
        <v/>
      </c>
      <c r="BN206" s="78">
        <f>IFERROR(Y206*I206/H206,"0")</f>
        <v/>
      </c>
      <c r="BO206" s="78">
        <f>IFERROR(1/J206*(X206/H206),"0")</f>
        <v/>
      </c>
      <c r="BP206" s="78">
        <f>IFERROR(1/J206*(Y206/H206),"0")</f>
        <v/>
      </c>
    </row>
    <row r="207" ht="27" customHeight="1">
      <c r="A207" s="63" t="inlineStr">
        <is>
          <t>SU004152</t>
        </is>
      </c>
      <c r="B207" s="63" t="inlineStr">
        <is>
          <t>P005428</t>
        </is>
      </c>
      <c r="C207" s="36" t="n">
        <v>4301012340</v>
      </c>
      <c r="D207" s="723" t="n">
        <v>4680115888760</v>
      </c>
      <c r="E207" s="1031" t="n"/>
      <c r="F207" s="1070" t="n">
        <v>1.4</v>
      </c>
      <c r="G207" s="37" t="n">
        <v>6</v>
      </c>
      <c r="H207" s="1070" t="n">
        <v>8.4</v>
      </c>
      <c r="I207" s="1070" t="n">
        <v>8.81</v>
      </c>
      <c r="J207" s="37" t="n">
        <v>64</v>
      </c>
      <c r="K207" s="37" t="inlineStr">
        <is>
          <t>8</t>
        </is>
      </c>
      <c r="L207" s="37" t="inlineStr"/>
      <c r="M207" s="38" t="inlineStr">
        <is>
          <t>СК3</t>
        </is>
      </c>
      <c r="N207" s="38" t="n"/>
      <c r="O207" s="37" t="n">
        <v>35</v>
      </c>
      <c r="P207" s="1177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207" s="1072" t="n"/>
      <c r="R207" s="1072" t="n"/>
      <c r="S207" s="1072" t="n"/>
      <c r="T207" s="1073" t="n"/>
      <c r="U207" s="39" t="inlineStr"/>
      <c r="V207" s="39" t="inlineStr"/>
      <c r="W207" s="40" t="inlineStr">
        <is>
          <t>кг</t>
        </is>
      </c>
      <c r="X207" s="1074" t="n">
        <v>0</v>
      </c>
      <c r="Y207" s="1075">
        <f>IFERROR(IF(X207="",0,CEILING((X207/$H207),1)*$H207),"")</f>
        <v/>
      </c>
      <c r="Z207" s="41">
        <f>IFERROR(IF(Y207=0,"",ROUNDUP(Y207/H207,0)*0.01898),"")</f>
        <v/>
      </c>
      <c r="AA207" s="68" t="inlineStr"/>
      <c r="AB207" s="69" t="inlineStr"/>
      <c r="AC207" s="282" t="inlineStr">
        <is>
          <t>ЕАЭС N RU Д-RU.РА03.В.70902/26</t>
        </is>
      </c>
      <c r="AG207" s="78" t="n"/>
      <c r="AJ207" s="84" t="inlineStr"/>
      <c r="AK207" s="84" t="n">
        <v>0</v>
      </c>
      <c r="BB207" s="283" t="inlineStr">
        <is>
          <t>КИ</t>
        </is>
      </c>
      <c r="BM207" s="78">
        <f>IFERROR(X207*I207/H207,"0")</f>
        <v/>
      </c>
      <c r="BN207" s="78">
        <f>IFERROR(Y207*I207/H207,"0")</f>
        <v/>
      </c>
      <c r="BO207" s="78">
        <f>IFERROR(1/J207*(X207/H207),"0")</f>
        <v/>
      </c>
      <c r="BP207" s="78">
        <f>IFERROR(1/J207*(Y207/H207),"0")</f>
        <v/>
      </c>
    </row>
    <row r="208" ht="27" customHeight="1">
      <c r="A208" s="63" t="inlineStr">
        <is>
          <t>SU004156</t>
        </is>
      </c>
      <c r="B208" s="63" t="inlineStr">
        <is>
          <t>P005429</t>
        </is>
      </c>
      <c r="C208" s="36" t="n">
        <v>4301012341</v>
      </c>
      <c r="D208" s="723" t="n">
        <v>4680115888807</v>
      </c>
      <c r="E208" s="1031" t="n"/>
      <c r="F208" s="1070" t="n">
        <v>1.4</v>
      </c>
      <c r="G208" s="37" t="n">
        <v>6</v>
      </c>
      <c r="H208" s="1070" t="n">
        <v>8.4</v>
      </c>
      <c r="I208" s="1070" t="n">
        <v>8.81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35</v>
      </c>
      <c r="P208" s="1178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8" s="1072" t="n"/>
      <c r="R208" s="1072" t="n"/>
      <c r="S208" s="1072" t="n"/>
      <c r="T208" s="1073" t="n"/>
      <c r="U208" s="39" t="inlineStr"/>
      <c r="V208" s="39" t="inlineStr"/>
      <c r="W208" s="40" t="inlineStr">
        <is>
          <t>кг</t>
        </is>
      </c>
      <c r="X208" s="1074" t="n">
        <v>0</v>
      </c>
      <c r="Y208" s="1075">
        <f>IFERROR(IF(X208="",0,CEILING((X208/$H208),1)*$H208),"")</f>
        <v/>
      </c>
      <c r="Z208" s="41">
        <f>IFERROR(IF(Y208=0,"",ROUNDUP(Y208/H208,0)*0.01898),"")</f>
        <v/>
      </c>
      <c r="AA208" s="68" t="inlineStr"/>
      <c r="AB208" s="69" t="inlineStr"/>
      <c r="AC208" s="284" t="inlineStr">
        <is>
          <t>ЕАЭС N RU Д-RU.РА11.В.91964/25</t>
        </is>
      </c>
      <c r="AG208" s="78" t="n"/>
      <c r="AJ208" s="84" t="inlineStr"/>
      <c r="AK208" s="84" t="n">
        <v>0</v>
      </c>
      <c r="BB208" s="285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 ht="27" customHeight="1">
      <c r="A209" s="63" t="inlineStr">
        <is>
          <t>SU004153</t>
        </is>
      </c>
      <c r="B209" s="63" t="inlineStr">
        <is>
          <t>P005430</t>
        </is>
      </c>
      <c r="C209" s="36" t="n">
        <v>4301012342</v>
      </c>
      <c r="D209" s="723" t="n">
        <v>4680115888852</v>
      </c>
      <c r="E209" s="1031" t="n"/>
      <c r="F209" s="1070" t="n">
        <v>0.9</v>
      </c>
      <c r="G209" s="37" t="n">
        <v>6</v>
      </c>
      <c r="H209" s="1070" t="n">
        <v>5.4</v>
      </c>
      <c r="I209" s="1070" t="n">
        <v>5.81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35</v>
      </c>
      <c r="P209" s="1179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9" s="1072" t="n"/>
      <c r="R209" s="1072" t="n"/>
      <c r="S209" s="1072" t="n"/>
      <c r="T209" s="1073" t="n"/>
      <c r="U209" s="39" t="inlineStr"/>
      <c r="V209" s="39" t="inlineStr"/>
      <c r="W209" s="40" t="inlineStr">
        <is>
          <t>кг</t>
        </is>
      </c>
      <c r="X209" s="1074" t="n">
        <v>0</v>
      </c>
      <c r="Y209" s="1075">
        <f>IFERROR(IF(X209="",0,CEILING((X209/$H209),1)*$H209),"")</f>
        <v/>
      </c>
      <c r="Z209" s="41">
        <f>IFERROR(IF(Y209=0,"",ROUNDUP(Y209/H209,0)*0.01898),"")</f>
        <v/>
      </c>
      <c r="AA209" s="68" t="inlineStr"/>
      <c r="AB209" s="69" t="inlineStr"/>
      <c r="AC209" s="286" t="inlineStr">
        <is>
          <t>ЕАЭС N RU Д-RU.РА04.В.18932/26</t>
        </is>
      </c>
      <c r="AG209" s="78" t="n"/>
      <c r="AJ209" s="84" t="inlineStr"/>
      <c r="AK209" s="84" t="n">
        <v>0</v>
      </c>
      <c r="BB209" s="287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 ht="37.5" customHeight="1">
      <c r="A210" s="63" t="inlineStr">
        <is>
          <t>SU003946</t>
        </is>
      </c>
      <c r="B210" s="63" t="inlineStr">
        <is>
          <t>P005604</t>
        </is>
      </c>
      <c r="C210" s="36" t="n">
        <v>4301012370</v>
      </c>
      <c r="D210" s="723" t="n">
        <v>4680115886957</v>
      </c>
      <c r="E210" s="1031" t="n"/>
      <c r="F210" s="1070" t="n">
        <v>1.35</v>
      </c>
      <c r="G210" s="37" t="n">
        <v>8</v>
      </c>
      <c r="H210" s="1070" t="n">
        <v>10.8</v>
      </c>
      <c r="I210" s="1070" t="n">
        <v>11.29</v>
      </c>
      <c r="J210" s="37" t="n">
        <v>64</v>
      </c>
      <c r="K210" s="37" t="inlineStr">
        <is>
          <t>8</t>
        </is>
      </c>
      <c r="L210" s="37" t="inlineStr"/>
      <c r="M210" s="38" t="inlineStr">
        <is>
          <t>СК3</t>
        </is>
      </c>
      <c r="N210" s="38" t="n"/>
      <c r="O210" s="37" t="n">
        <v>35</v>
      </c>
      <c r="P210" s="1180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10" s="1072" t="n"/>
      <c r="R210" s="1072" t="n"/>
      <c r="S210" s="1072" t="n"/>
      <c r="T210" s="1073" t="n"/>
      <c r="U210" s="39" t="inlineStr"/>
      <c r="V210" s="39" t="inlineStr"/>
      <c r="W210" s="40" t="inlineStr">
        <is>
          <t>кг</t>
        </is>
      </c>
      <c r="X210" s="1074" t="n">
        <v>0</v>
      </c>
      <c r="Y210" s="1075">
        <f>IFERROR(IF(X210="",0,CEILING((X210/$H210),1)*$H210),"")</f>
        <v/>
      </c>
      <c r="Z210" s="41">
        <f>IFERROR(IF(Y210=0,"",ROUNDUP(Y210/H210,0)*0.01898),"")</f>
        <v/>
      </c>
      <c r="AA210" s="68" t="inlineStr"/>
      <c r="AB210" s="69" t="inlineStr"/>
      <c r="AC210" s="288" t="inlineStr">
        <is>
          <t>ЕАЭС N RU Д-RU.РА04.В.04775/25</t>
        </is>
      </c>
      <c r="AG210" s="78" t="n"/>
      <c r="AJ210" s="84" t="inlineStr"/>
      <c r="AK210" s="84" t="n">
        <v>0</v>
      </c>
      <c r="BB210" s="289" t="inlineStr">
        <is>
          <t>КИ</t>
        </is>
      </c>
      <c r="BM210" s="78">
        <f>IFERROR(X210*I210/H210,"0")</f>
        <v/>
      </c>
      <c r="BN210" s="78">
        <f>IFERROR(Y210*I210/H210,"0")</f>
        <v/>
      </c>
      <c r="BO210" s="78">
        <f>IFERROR(1/J210*(X210/H210),"0")</f>
        <v/>
      </c>
      <c r="BP210" s="78">
        <f>IFERROR(1/J210*(Y210/H210),"0")</f>
        <v/>
      </c>
    </row>
    <row r="211" ht="27" customHeight="1">
      <c r="A211" s="63" t="inlineStr">
        <is>
          <t>SU003429</t>
        </is>
      </c>
      <c r="B211" s="63" t="inlineStr">
        <is>
          <t>P004275</t>
        </is>
      </c>
      <c r="C211" s="36" t="n">
        <v>4301012098</v>
      </c>
      <c r="D211" s="723" t="n">
        <v>4680115885660</v>
      </c>
      <c r="E211" s="1031" t="n"/>
      <c r="F211" s="1070" t="n">
        <v>1.35</v>
      </c>
      <c r="G211" s="37" t="n">
        <v>8</v>
      </c>
      <c r="H211" s="1070" t="n">
        <v>10.8</v>
      </c>
      <c r="I211" s="1070" t="n">
        <v>11.21</v>
      </c>
      <c r="J211" s="37" t="n">
        <v>64</v>
      </c>
      <c r="K211" s="37" t="inlineStr">
        <is>
          <t>8</t>
        </is>
      </c>
      <c r="L211" s="37" t="inlineStr"/>
      <c r="M211" s="38" t="inlineStr">
        <is>
          <t>СК3</t>
        </is>
      </c>
      <c r="N211" s="38" t="n"/>
      <c r="O211" s="37" t="n">
        <v>35</v>
      </c>
      <c r="P211" s="1181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11" s="1072" t="n"/>
      <c r="R211" s="1072" t="n"/>
      <c r="S211" s="1072" t="n"/>
      <c r="T211" s="1073" t="n"/>
      <c r="U211" s="39" t="inlineStr"/>
      <c r="V211" s="39" t="inlineStr"/>
      <c r="W211" s="40" t="inlineStr">
        <is>
          <t>кг</t>
        </is>
      </c>
      <c r="X211" s="1074" t="n">
        <v>0</v>
      </c>
      <c r="Y211" s="1075">
        <f>IFERROR(IF(X211="",0,CEILING((X211/$H211),1)*$H211),"")</f>
        <v/>
      </c>
      <c r="Z211" s="41">
        <f>IFERROR(IF(Y211=0,"",ROUNDUP(Y211/H211,0)*0.01898),"")</f>
        <v/>
      </c>
      <c r="AA211" s="68" t="inlineStr"/>
      <c r="AB211" s="69" t="inlineStr"/>
      <c r="AC211" s="290" t="inlineStr">
        <is>
          <t>ЕАЭС N RU Д-RU.РА09.В.49311/25</t>
        </is>
      </c>
      <c r="AG211" s="78" t="n"/>
      <c r="AJ211" s="84" t="inlineStr"/>
      <c r="AK211" s="84" t="n">
        <v>0</v>
      </c>
      <c r="BB211" s="291" t="inlineStr">
        <is>
          <t>КИ</t>
        </is>
      </c>
      <c r="BM211" s="78">
        <f>IFERROR(X211*I211/H211,"0")</f>
        <v/>
      </c>
      <c r="BN211" s="78">
        <f>IFERROR(Y211*I211/H211,"0")</f>
        <v/>
      </c>
      <c r="BO211" s="78">
        <f>IFERROR(1/J211*(X211/H211),"0")</f>
        <v/>
      </c>
      <c r="BP211" s="78">
        <f>IFERROR(1/J211*(Y211/H211),"0")</f>
        <v/>
      </c>
    </row>
    <row r="212" ht="27" customHeight="1">
      <c r="A212" s="63" t="inlineStr">
        <is>
          <t>SU003926</t>
        </is>
      </c>
      <c r="B212" s="63" t="inlineStr">
        <is>
          <t>P005603</t>
        </is>
      </c>
      <c r="C212" s="36" t="n">
        <v>4301012369</v>
      </c>
      <c r="D212" s="723" t="n">
        <v>4680115886773</v>
      </c>
      <c r="E212" s="1031" t="n"/>
      <c r="F212" s="1070" t="n">
        <v>0.9</v>
      </c>
      <c r="G212" s="37" t="n">
        <v>10</v>
      </c>
      <c r="H212" s="1070" t="n">
        <v>9</v>
      </c>
      <c r="I212" s="1070" t="n">
        <v>9.51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35</v>
      </c>
      <c r="P212" s="1182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12" s="1072" t="n"/>
      <c r="R212" s="1072" t="n"/>
      <c r="S212" s="1072" t="n"/>
      <c r="T212" s="1073" t="n"/>
      <c r="U212" s="39" t="inlineStr"/>
      <c r="V212" s="39" t="inlineStr"/>
      <c r="W212" s="40" t="inlineStr">
        <is>
          <t>кг</t>
        </is>
      </c>
      <c r="X212" s="1074" t="n">
        <v>0</v>
      </c>
      <c r="Y212" s="1075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92" t="inlineStr">
        <is>
          <t>ЕАЭС N RU Д-RU.РА10.В.32913/25</t>
        </is>
      </c>
      <c r="AG212" s="78" t="n"/>
      <c r="AJ212" s="84" t="inlineStr"/>
      <c r="AK212" s="84" t="n">
        <v>0</v>
      </c>
      <c r="BB212" s="293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>
      <c r="A213" s="732" t="n"/>
      <c r="B213" s="1019" t="n"/>
      <c r="C213" s="1019" t="n"/>
      <c r="D213" s="1019" t="n"/>
      <c r="E213" s="1019" t="n"/>
      <c r="F213" s="1019" t="n"/>
      <c r="G213" s="1019" t="n"/>
      <c r="H213" s="1019" t="n"/>
      <c r="I213" s="1019" t="n"/>
      <c r="J213" s="1019" t="n"/>
      <c r="K213" s="1019" t="n"/>
      <c r="L213" s="1019" t="n"/>
      <c r="M213" s="1019" t="n"/>
      <c r="N213" s="1019" t="n"/>
      <c r="O213" s="1077" t="n"/>
      <c r="P213" s="1078" t="inlineStr">
        <is>
          <t>Итого</t>
        </is>
      </c>
      <c r="Q213" s="1039" t="n"/>
      <c r="R213" s="1039" t="n"/>
      <c r="S213" s="1039" t="n"/>
      <c r="T213" s="1039" t="n"/>
      <c r="U213" s="1039" t="n"/>
      <c r="V213" s="1040" t="n"/>
      <c r="W213" s="42" t="inlineStr">
        <is>
          <t>кор</t>
        </is>
      </c>
      <c r="X213" s="1079">
        <f>IFERROR(X206/H206,"0")+IFERROR(X207/H207,"0")+IFERROR(X208/H208,"0")+IFERROR(X209/H209,"0")+IFERROR(X210/H210,"0")+IFERROR(X211/H211,"0")+IFERROR(X212/H212,"0")</f>
        <v/>
      </c>
      <c r="Y213" s="1079">
        <f>IFERROR(Y206/H206,"0")+IFERROR(Y207/H207,"0")+IFERROR(Y208/H208,"0")+IFERROR(Y209/H209,"0")+IFERROR(Y210/H210,"0")+IFERROR(Y211/H211,"0")+IFERROR(Y212/H212,"0")</f>
        <v/>
      </c>
      <c r="Z213" s="1079">
        <f>IFERROR(IF(Z206="",0,Z206),"0")+IFERROR(IF(Z207="",0,Z207),"0")+IFERROR(IF(Z208="",0,Z208),"0")+IFERROR(IF(Z209="",0,Z209),"0")+IFERROR(IF(Z210="",0,Z210),"0")+IFERROR(IF(Z211="",0,Z211),"0")+IFERROR(IF(Z212="",0,Z212),"0")</f>
        <v/>
      </c>
      <c r="AA213" s="1080" t="n"/>
      <c r="AB213" s="1080" t="n"/>
      <c r="AC213" s="1080" t="n"/>
    </row>
    <row r="214">
      <c r="A214" s="1019" t="n"/>
      <c r="B214" s="1019" t="n"/>
      <c r="C214" s="1019" t="n"/>
      <c r="D214" s="1019" t="n"/>
      <c r="E214" s="1019" t="n"/>
      <c r="F214" s="1019" t="n"/>
      <c r="G214" s="1019" t="n"/>
      <c r="H214" s="1019" t="n"/>
      <c r="I214" s="1019" t="n"/>
      <c r="J214" s="1019" t="n"/>
      <c r="K214" s="1019" t="n"/>
      <c r="L214" s="1019" t="n"/>
      <c r="M214" s="1019" t="n"/>
      <c r="N214" s="1019" t="n"/>
      <c r="O214" s="1077" t="n"/>
      <c r="P214" s="1078" t="inlineStr">
        <is>
          <t>Итого</t>
        </is>
      </c>
      <c r="Q214" s="1039" t="n"/>
      <c r="R214" s="1039" t="n"/>
      <c r="S214" s="1039" t="n"/>
      <c r="T214" s="1039" t="n"/>
      <c r="U214" s="1039" t="n"/>
      <c r="V214" s="1040" t="n"/>
      <c r="W214" s="42" t="inlineStr">
        <is>
          <t>кг</t>
        </is>
      </c>
      <c r="X214" s="1079">
        <f>IFERROR(SUM(X206:X212),"0")</f>
        <v/>
      </c>
      <c r="Y214" s="1079">
        <f>IFERROR(SUM(Y206:Y212),"0")</f>
        <v/>
      </c>
      <c r="Z214" s="42" t="n"/>
      <c r="AA214" s="1080" t="n"/>
      <c r="AB214" s="1080" t="n"/>
      <c r="AC214" s="1080" t="n"/>
    </row>
    <row r="215" ht="16.5" customHeight="1">
      <c r="A215" s="721" t="inlineStr">
        <is>
          <t>Мясорубская</t>
        </is>
      </c>
      <c r="B215" s="1019" t="n"/>
      <c r="C215" s="1019" t="n"/>
      <c r="D215" s="1019" t="n"/>
      <c r="E215" s="1019" t="n"/>
      <c r="F215" s="1019" t="n"/>
      <c r="G215" s="1019" t="n"/>
      <c r="H215" s="1019" t="n"/>
      <c r="I215" s="1019" t="n"/>
      <c r="J215" s="1019" t="n"/>
      <c r="K215" s="1019" t="n"/>
      <c r="L215" s="1019" t="n"/>
      <c r="M215" s="1019" t="n"/>
      <c r="N215" s="1019" t="n"/>
      <c r="O215" s="1019" t="n"/>
      <c r="P215" s="1019" t="n"/>
      <c r="Q215" s="1019" t="n"/>
      <c r="R215" s="1019" t="n"/>
      <c r="S215" s="1019" t="n"/>
      <c r="T215" s="1019" t="n"/>
      <c r="U215" s="1019" t="n"/>
      <c r="V215" s="1019" t="n"/>
      <c r="W215" s="1019" t="n"/>
      <c r="X215" s="1019" t="n"/>
      <c r="Y215" s="1019" t="n"/>
      <c r="Z215" s="1019" t="n"/>
      <c r="AA215" s="721" t="n"/>
      <c r="AB215" s="721" t="n"/>
      <c r="AC215" s="721" t="n"/>
    </row>
    <row r="216" ht="14.25" customHeight="1">
      <c r="A216" s="722" t="inlineStr">
        <is>
          <t>Ветчины</t>
        </is>
      </c>
      <c r="B216" s="1019" t="n"/>
      <c r="C216" s="1019" t="n"/>
      <c r="D216" s="1019" t="n"/>
      <c r="E216" s="1019" t="n"/>
      <c r="F216" s="1019" t="n"/>
      <c r="G216" s="1019" t="n"/>
      <c r="H216" s="1019" t="n"/>
      <c r="I216" s="1019" t="n"/>
      <c r="J216" s="1019" t="n"/>
      <c r="K216" s="1019" t="n"/>
      <c r="L216" s="1019" t="n"/>
      <c r="M216" s="1019" t="n"/>
      <c r="N216" s="1019" t="n"/>
      <c r="O216" s="1019" t="n"/>
      <c r="P216" s="1019" t="n"/>
      <c r="Q216" s="1019" t="n"/>
      <c r="R216" s="1019" t="n"/>
      <c r="S216" s="1019" t="n"/>
      <c r="T216" s="1019" t="n"/>
      <c r="U216" s="1019" t="n"/>
      <c r="V216" s="1019" t="n"/>
      <c r="W216" s="1019" t="n"/>
      <c r="X216" s="1019" t="n"/>
      <c r="Y216" s="1019" t="n"/>
      <c r="Z216" s="1019" t="n"/>
      <c r="AA216" s="722" t="n"/>
      <c r="AB216" s="722" t="n"/>
      <c r="AC216" s="722" t="n"/>
    </row>
    <row r="217" ht="27" customHeight="1">
      <c r="A217" s="63" t="inlineStr">
        <is>
          <t>SU003512</t>
        </is>
      </c>
      <c r="B217" s="63" t="inlineStr">
        <is>
          <t>P004437</t>
        </is>
      </c>
      <c r="C217" s="36" t="n">
        <v>4301020323</v>
      </c>
      <c r="D217" s="723" t="n">
        <v>4680115886223</v>
      </c>
      <c r="E217" s="1031" t="n"/>
      <c r="F217" s="1070" t="n">
        <v>0.33</v>
      </c>
      <c r="G217" s="37" t="n">
        <v>6</v>
      </c>
      <c r="H217" s="1070" t="n">
        <v>1.98</v>
      </c>
      <c r="I217" s="1070" t="n">
        <v>2.08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83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17" s="1072" t="n"/>
      <c r="R217" s="1072" t="n"/>
      <c r="S217" s="1072" t="n"/>
      <c r="T217" s="1073" t="n"/>
      <c r="U217" s="39" t="inlineStr"/>
      <c r="V217" s="39" t="inlineStr"/>
      <c r="W217" s="40" t="inlineStr">
        <is>
          <t>кг</t>
        </is>
      </c>
      <c r="X217" s="1074" t="n">
        <v>0</v>
      </c>
      <c r="Y217" s="1075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94" t="inlineStr">
        <is>
          <t>ЕАЭС N RU Д-RU.РА04.В.01888/24, ЕАЭС N RU Д-RU.РА09.В.27640/25</t>
        </is>
      </c>
      <c r="AG217" s="78" t="n"/>
      <c r="AJ217" s="84" t="inlineStr"/>
      <c r="AK217" s="84" t="n">
        <v>0</v>
      </c>
      <c r="BB217" s="295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>
      <c r="A218" s="732" t="n"/>
      <c r="B218" s="1019" t="n"/>
      <c r="C218" s="1019" t="n"/>
      <c r="D218" s="1019" t="n"/>
      <c r="E218" s="1019" t="n"/>
      <c r="F218" s="1019" t="n"/>
      <c r="G218" s="1019" t="n"/>
      <c r="H218" s="1019" t="n"/>
      <c r="I218" s="1019" t="n"/>
      <c r="J218" s="1019" t="n"/>
      <c r="K218" s="1019" t="n"/>
      <c r="L218" s="1019" t="n"/>
      <c r="M218" s="1019" t="n"/>
      <c r="N218" s="1019" t="n"/>
      <c r="O218" s="1077" t="n"/>
      <c r="P218" s="1078" t="inlineStr">
        <is>
          <t>Итого</t>
        </is>
      </c>
      <c r="Q218" s="1039" t="n"/>
      <c r="R218" s="1039" t="n"/>
      <c r="S218" s="1039" t="n"/>
      <c r="T218" s="1039" t="n"/>
      <c r="U218" s="1039" t="n"/>
      <c r="V218" s="1040" t="n"/>
      <c r="W218" s="42" t="inlineStr">
        <is>
          <t>кор</t>
        </is>
      </c>
      <c r="X218" s="1079">
        <f>IFERROR(X217/H217,"0")</f>
        <v/>
      </c>
      <c r="Y218" s="1079">
        <f>IFERROR(Y217/H217,"0")</f>
        <v/>
      </c>
      <c r="Z218" s="1079">
        <f>IFERROR(IF(Z217="",0,Z217),"0")</f>
        <v/>
      </c>
      <c r="AA218" s="1080" t="n"/>
      <c r="AB218" s="1080" t="n"/>
      <c r="AC218" s="1080" t="n"/>
    </row>
    <row r="219">
      <c r="A219" s="1019" t="n"/>
      <c r="B219" s="1019" t="n"/>
      <c r="C219" s="1019" t="n"/>
      <c r="D219" s="1019" t="n"/>
      <c r="E219" s="1019" t="n"/>
      <c r="F219" s="1019" t="n"/>
      <c r="G219" s="1019" t="n"/>
      <c r="H219" s="1019" t="n"/>
      <c r="I219" s="1019" t="n"/>
      <c r="J219" s="1019" t="n"/>
      <c r="K219" s="1019" t="n"/>
      <c r="L219" s="1019" t="n"/>
      <c r="M219" s="1019" t="n"/>
      <c r="N219" s="1019" t="n"/>
      <c r="O219" s="1077" t="n"/>
      <c r="P219" s="1078" t="inlineStr">
        <is>
          <t>Итого</t>
        </is>
      </c>
      <c r="Q219" s="1039" t="n"/>
      <c r="R219" s="1039" t="n"/>
      <c r="S219" s="1039" t="n"/>
      <c r="T219" s="1039" t="n"/>
      <c r="U219" s="1039" t="n"/>
      <c r="V219" s="1040" t="n"/>
      <c r="W219" s="42" t="inlineStr">
        <is>
          <t>кг</t>
        </is>
      </c>
      <c r="X219" s="1079">
        <f>IFERROR(SUM(X217:X217),"0")</f>
        <v/>
      </c>
      <c r="Y219" s="1079">
        <f>IFERROR(SUM(Y217:Y217),"0")</f>
        <v/>
      </c>
      <c r="Z219" s="42" t="n"/>
      <c r="AA219" s="1080" t="n"/>
      <c r="AB219" s="1080" t="n"/>
      <c r="AC219" s="1080" t="n"/>
    </row>
    <row r="220" ht="14.25" customHeight="1">
      <c r="A220" s="722" t="inlineStr">
        <is>
          <t>Копченые колбасы</t>
        </is>
      </c>
      <c r="B220" s="1019" t="n"/>
      <c r="C220" s="1019" t="n"/>
      <c r="D220" s="1019" t="n"/>
      <c r="E220" s="1019" t="n"/>
      <c r="F220" s="1019" t="n"/>
      <c r="G220" s="1019" t="n"/>
      <c r="H220" s="1019" t="n"/>
      <c r="I220" s="1019" t="n"/>
      <c r="J220" s="1019" t="n"/>
      <c r="K220" s="1019" t="n"/>
      <c r="L220" s="1019" t="n"/>
      <c r="M220" s="1019" t="n"/>
      <c r="N220" s="1019" t="n"/>
      <c r="O220" s="1019" t="n"/>
      <c r="P220" s="1019" t="n"/>
      <c r="Q220" s="1019" t="n"/>
      <c r="R220" s="1019" t="n"/>
      <c r="S220" s="1019" t="n"/>
      <c r="T220" s="1019" t="n"/>
      <c r="U220" s="1019" t="n"/>
      <c r="V220" s="1019" t="n"/>
      <c r="W220" s="1019" t="n"/>
      <c r="X220" s="1019" t="n"/>
      <c r="Y220" s="1019" t="n"/>
      <c r="Z220" s="1019" t="n"/>
      <c r="AA220" s="722" t="n"/>
      <c r="AB220" s="722" t="n"/>
      <c r="AC220" s="722" t="n"/>
    </row>
    <row r="221" ht="27" customHeight="1">
      <c r="A221" s="63" t="inlineStr">
        <is>
          <t>SU002756</t>
        </is>
      </c>
      <c r="B221" s="63" t="inlineStr">
        <is>
          <t>P003179</t>
        </is>
      </c>
      <c r="C221" s="36" t="n">
        <v>4301031191</v>
      </c>
      <c r="D221" s="723" t="n">
        <v>4680115880993</v>
      </c>
      <c r="E221" s="1031" t="n"/>
      <c r="F221" s="1070" t="n">
        <v>0.7</v>
      </c>
      <c r="G221" s="37" t="n">
        <v>6</v>
      </c>
      <c r="H221" s="1070" t="n">
        <v>4.2</v>
      </c>
      <c r="I221" s="1070" t="n">
        <v>4.45</v>
      </c>
      <c r="J221" s="37" t="n">
        <v>132</v>
      </c>
      <c r="K221" s="37" t="inlineStr">
        <is>
          <t>12</t>
        </is>
      </c>
      <c r="L221" s="37" t="inlineStr"/>
      <c r="M221" s="38" t="inlineStr">
        <is>
          <t>СК2</t>
        </is>
      </c>
      <c r="N221" s="38" t="n"/>
      <c r="O221" s="37" t="n">
        <v>40</v>
      </c>
      <c r="P221" s="1184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21" s="1072" t="n"/>
      <c r="R221" s="1072" t="n"/>
      <c r="S221" s="1072" t="n"/>
      <c r="T221" s="1073" t="n"/>
      <c r="U221" s="39" t="inlineStr"/>
      <c r="V221" s="39" t="inlineStr"/>
      <c r="W221" s="40" t="inlineStr">
        <is>
          <t>кг</t>
        </is>
      </c>
      <c r="X221" s="1074" t="n">
        <v>69</v>
      </c>
      <c r="Y221" s="1075">
        <f>IFERROR(IF(X221="",0,CEILING((X221/$H221),1)*$H221),"")</f>
        <v/>
      </c>
      <c r="Z221" s="41">
        <f>IFERROR(IF(Y221=0,"",ROUNDUP(Y221/H221,0)*0.00902),"")</f>
        <v/>
      </c>
      <c r="AA221" s="68" t="inlineStr"/>
      <c r="AB221" s="69" t="inlineStr"/>
      <c r="AC221" s="296" t="inlineStr">
        <is>
          <t>ЕАЭС N RU Д-RU.РА03.В.04933/25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SU002876</t>
        </is>
      </c>
      <c r="B222" s="63" t="inlineStr">
        <is>
          <t>P003276</t>
        </is>
      </c>
      <c r="C222" s="36" t="n">
        <v>4301031204</v>
      </c>
      <c r="D222" s="723" t="n">
        <v>4680115881761</v>
      </c>
      <c r="E222" s="1031" t="n"/>
      <c r="F222" s="1070" t="n">
        <v>0.7</v>
      </c>
      <c r="G222" s="37" t="n">
        <v>6</v>
      </c>
      <c r="H222" s="1070" t="n">
        <v>4.2</v>
      </c>
      <c r="I222" s="1070" t="n">
        <v>4.45</v>
      </c>
      <c r="J222" s="37" t="n">
        <v>132</v>
      </c>
      <c r="K222" s="37" t="inlineStr">
        <is>
          <t>12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85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22" s="1072" t="n"/>
      <c r="R222" s="1072" t="n"/>
      <c r="S222" s="1072" t="n"/>
      <c r="T222" s="1073" t="n"/>
      <c r="U222" s="39" t="inlineStr"/>
      <c r="V222" s="39" t="inlineStr"/>
      <c r="W222" s="40" t="inlineStr">
        <is>
          <t>кг</t>
        </is>
      </c>
      <c r="X222" s="1074" t="n">
        <v>0</v>
      </c>
      <c r="Y222" s="1075">
        <f>IFERROR(IF(X222="",0,CEILING((X222/$H222),1)*$H222),"")</f>
        <v/>
      </c>
      <c r="Z222" s="41">
        <f>IFERROR(IF(Y222=0,"",ROUNDUP(Y222/H222,0)*0.00902),"")</f>
        <v/>
      </c>
      <c r="AA222" s="68" t="inlineStr"/>
      <c r="AB222" s="69" t="inlineStr"/>
      <c r="AC222" s="298" t="inlineStr">
        <is>
          <t>ЕАЭС N RU Д-RU.РА01.В.91248/26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SU002847</t>
        </is>
      </c>
      <c r="B223" s="63" t="inlineStr">
        <is>
          <t>P003259</t>
        </is>
      </c>
      <c r="C223" s="36" t="n">
        <v>4301031201</v>
      </c>
      <c r="D223" s="723" t="n">
        <v>4680115881563</v>
      </c>
      <c r="E223" s="1031" t="n"/>
      <c r="F223" s="1070" t="n">
        <v>0.7</v>
      </c>
      <c r="G223" s="37" t="n">
        <v>6</v>
      </c>
      <c r="H223" s="1070" t="n">
        <v>4.2</v>
      </c>
      <c r="I223" s="1070" t="n">
        <v>4.39</v>
      </c>
      <c r="J223" s="37" t="n">
        <v>132</v>
      </c>
      <c r="K223" s="37" t="inlineStr">
        <is>
          <t>12</t>
        </is>
      </c>
      <c r="L223" s="37" t="inlineStr"/>
      <c r="M223" s="38" t="inlineStr">
        <is>
          <t>СК2</t>
        </is>
      </c>
      <c r="N223" s="38" t="n"/>
      <c r="O223" s="37" t="n">
        <v>40</v>
      </c>
      <c r="P223" s="1186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23" s="1072" t="n"/>
      <c r="R223" s="1072" t="n"/>
      <c r="S223" s="1072" t="n"/>
      <c r="T223" s="1073" t="n"/>
      <c r="U223" s="39" t="inlineStr"/>
      <c r="V223" s="39" t="inlineStr"/>
      <c r="W223" s="40" t="inlineStr">
        <is>
          <t>кг</t>
        </is>
      </c>
      <c r="X223" s="1074" t="n">
        <v>0</v>
      </c>
      <c r="Y223" s="1075">
        <f>IFERROR(IF(X223="",0,CEILING((X223/$H223),1)*$H223),"")</f>
        <v/>
      </c>
      <c r="Z223" s="41">
        <f>IFERROR(IF(Y223=0,"",ROUNDUP(Y223/H223,0)*0.00902),"")</f>
        <v/>
      </c>
      <c r="AA223" s="68" t="inlineStr"/>
      <c r="AB223" s="69" t="inlineStr"/>
      <c r="AC223" s="300" t="inlineStr">
        <is>
          <t>ЕАЭС N RU Д-RU.РА03.В.05061/25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SU004026</t>
        </is>
      </c>
      <c r="B224" s="63" t="inlineStr">
        <is>
          <t>P005155</t>
        </is>
      </c>
      <c r="C224" s="36" t="n">
        <v>4301031447</v>
      </c>
      <c r="D224" s="723" t="n">
        <v>4680115887565</v>
      </c>
      <c r="E224" s="1031" t="n"/>
      <c r="F224" s="1070" t="n">
        <v>0.08</v>
      </c>
      <c r="G224" s="37" t="n">
        <v>10</v>
      </c>
      <c r="H224" s="1070" t="n">
        <v>0.8</v>
      </c>
      <c r="I224" s="1070" t="n">
        <v>0.93</v>
      </c>
      <c r="J224" s="37" t="n">
        <v>252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45</v>
      </c>
      <c r="P224" s="1187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24" s="1072" t="n"/>
      <c r="R224" s="1072" t="n"/>
      <c r="S224" s="1072" t="n"/>
      <c r="T224" s="1073" t="n"/>
      <c r="U224" s="39" t="inlineStr"/>
      <c r="V224" s="39" t="inlineStr"/>
      <c r="W224" s="40" t="inlineStr">
        <is>
          <t>кг</t>
        </is>
      </c>
      <c r="X224" s="1074" t="n">
        <v>3</v>
      </c>
      <c r="Y224" s="1075">
        <f>IFERROR(IF(X224="",0,CEILING((X224/$H224),1)*$H224),"")</f>
        <v/>
      </c>
      <c r="Z224" s="41">
        <f>IFERROR(IF(Y224=0,"",ROUNDUP(Y224/H224,0)*0.00556),"")</f>
        <v/>
      </c>
      <c r="AA224" s="68" t="inlineStr"/>
      <c r="AB224" s="69" t="inlineStr"/>
      <c r="AC224" s="302" t="inlineStr">
        <is>
          <t>ЕАЭС N RU Д-RU.РА10.В.96915/25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SU002660</t>
        </is>
      </c>
      <c r="B225" s="63" t="inlineStr">
        <is>
          <t>P003256</t>
        </is>
      </c>
      <c r="C225" s="36" t="n">
        <v>4301031199</v>
      </c>
      <c r="D225" s="723" t="n">
        <v>4680115880986</v>
      </c>
      <c r="E225" s="1031" t="n"/>
      <c r="F225" s="1070" t="n">
        <v>0.35</v>
      </c>
      <c r="G225" s="37" t="n">
        <v>6</v>
      </c>
      <c r="H225" s="1070" t="n">
        <v>2.1</v>
      </c>
      <c r="I225" s="1070" t="n">
        <v>2.23</v>
      </c>
      <c r="J225" s="37" t="n">
        <v>234</v>
      </c>
      <c r="K225" s="37" t="inlineStr">
        <is>
          <t>18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88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25" s="1072" t="n"/>
      <c r="R225" s="1072" t="n"/>
      <c r="S225" s="1072" t="n"/>
      <c r="T225" s="1073" t="n"/>
      <c r="U225" s="39" t="inlineStr"/>
      <c r="V225" s="39" t="inlineStr"/>
      <c r="W225" s="40" t="inlineStr">
        <is>
          <t>кг</t>
        </is>
      </c>
      <c r="X225" s="1074" t="n">
        <v>48</v>
      </c>
      <c r="Y225" s="1075">
        <f>IFERROR(IF(X225="",0,CEILING((X225/$H225),1)*$H225),"")</f>
        <v/>
      </c>
      <c r="Z225" s="41">
        <f>IFERROR(IF(Y225=0,"",ROUNDUP(Y225/H225,0)*0.00502),"")</f>
        <v/>
      </c>
      <c r="AA225" s="68" t="inlineStr"/>
      <c r="AB225" s="69" t="inlineStr"/>
      <c r="AC225" s="304" t="inlineStr">
        <is>
          <t>ЕАЭС N RU Д-RU.РА03.В.04933/25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SU003997</t>
        </is>
      </c>
      <c r="B226" s="63" t="inlineStr">
        <is>
          <t>P005141</t>
        </is>
      </c>
      <c r="C226" s="36" t="n">
        <v>4301031443</v>
      </c>
      <c r="D226" s="723" t="n">
        <v>4680115887213</v>
      </c>
      <c r="E226" s="1031" t="n"/>
      <c r="F226" s="1070" t="n">
        <v>0.3</v>
      </c>
      <c r="G226" s="37" t="n">
        <v>6</v>
      </c>
      <c r="H226" s="1070" t="n">
        <v>1.8</v>
      </c>
      <c r="I226" s="1070" t="n">
        <v>1.9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45</v>
      </c>
      <c r="P226" s="1189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26" s="1072" t="n"/>
      <c r="R226" s="1072" t="n"/>
      <c r="S226" s="1072" t="n"/>
      <c r="T226" s="1073" t="n"/>
      <c r="U226" s="39" t="inlineStr"/>
      <c r="V226" s="39" t="inlineStr"/>
      <c r="W226" s="40" t="inlineStr">
        <is>
          <t>кг</t>
        </is>
      </c>
      <c r="X226" s="1074" t="n">
        <v>0</v>
      </c>
      <c r="Y226" s="1075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Д-RU.РА07.В.62366/25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 ht="27" customHeight="1">
      <c r="A227" s="63" t="inlineStr">
        <is>
          <t>SU002877</t>
        </is>
      </c>
      <c r="B227" s="63" t="inlineStr">
        <is>
          <t>P003277</t>
        </is>
      </c>
      <c r="C227" s="36" t="n">
        <v>4301031205</v>
      </c>
      <c r="D227" s="723" t="n">
        <v>4680115881785</v>
      </c>
      <c r="E227" s="1031" t="n"/>
      <c r="F227" s="1070" t="n">
        <v>0.35</v>
      </c>
      <c r="G227" s="37" t="n">
        <v>6</v>
      </c>
      <c r="H227" s="1070" t="n">
        <v>2.1</v>
      </c>
      <c r="I227" s="1070" t="n">
        <v>2.23</v>
      </c>
      <c r="J227" s="37" t="n">
        <v>234</v>
      </c>
      <c r="K227" s="37" t="inlineStr">
        <is>
          <t>18</t>
        </is>
      </c>
      <c r="L227" s="37" t="inlineStr"/>
      <c r="M227" s="38" t="inlineStr">
        <is>
          <t>СК2</t>
        </is>
      </c>
      <c r="N227" s="38" t="n"/>
      <c r="O227" s="37" t="n">
        <v>40</v>
      </c>
      <c r="P227" s="119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27" s="1072" t="n"/>
      <c r="R227" s="1072" t="n"/>
      <c r="S227" s="1072" t="n"/>
      <c r="T227" s="1073" t="n"/>
      <c r="U227" s="39" t="inlineStr"/>
      <c r="V227" s="39" t="inlineStr"/>
      <c r="W227" s="40" t="inlineStr">
        <is>
          <t>кг</t>
        </is>
      </c>
      <c r="X227" s="1074" t="n">
        <v>0</v>
      </c>
      <c r="Y227" s="1075">
        <f>IFERROR(IF(X227="",0,CEILING((X227/$H227),1)*$H227),"")</f>
        <v/>
      </c>
      <c r="Z227" s="41">
        <f>IFERROR(IF(Y227=0,"",ROUNDUP(Y227/H227,0)*0.00502),"")</f>
        <v/>
      </c>
      <c r="AA227" s="68" t="inlineStr"/>
      <c r="AB227" s="69" t="inlineStr"/>
      <c r="AC227" s="308" t="inlineStr">
        <is>
          <t>ЕАЭС N RU Д-RU.РА01.В.91248/26</t>
        </is>
      </c>
      <c r="AG227" s="78" t="n"/>
      <c r="AJ227" s="84" t="inlineStr"/>
      <c r="AK227" s="84" t="n">
        <v>0</v>
      </c>
      <c r="BB227" s="309" t="inlineStr">
        <is>
          <t>КИ</t>
        </is>
      </c>
      <c r="BM227" s="78">
        <f>IFERROR(X227*I227/H227,"0")</f>
        <v/>
      </c>
      <c r="BN227" s="78">
        <f>IFERROR(Y227*I227/H227,"0")</f>
        <v/>
      </c>
      <c r="BO227" s="78">
        <f>IFERROR(1/J227*(X227/H227),"0")</f>
        <v/>
      </c>
      <c r="BP227" s="78">
        <f>IFERROR(1/J227*(Y227/H227),"0")</f>
        <v/>
      </c>
    </row>
    <row r="228" ht="27" customHeight="1">
      <c r="A228" s="63" t="inlineStr">
        <is>
          <t>SU004135</t>
        </is>
      </c>
      <c r="B228" s="63" t="inlineStr">
        <is>
          <t>P005401</t>
        </is>
      </c>
      <c r="C228" s="36" t="n">
        <v>4301031499</v>
      </c>
      <c r="D228" s="723" t="n">
        <v>4680115888432</v>
      </c>
      <c r="E228" s="1031" t="n"/>
      <c r="F228" s="1070" t="n">
        <v>0.3</v>
      </c>
      <c r="G228" s="37" t="n">
        <v>6</v>
      </c>
      <c r="H228" s="1070" t="n">
        <v>1.8</v>
      </c>
      <c r="I228" s="1070" t="n">
        <v>1.93</v>
      </c>
      <c r="J228" s="37" t="n">
        <v>234</v>
      </c>
      <c r="K228" s="37" t="inlineStr">
        <is>
          <t>18</t>
        </is>
      </c>
      <c r="L228" s="37" t="inlineStr"/>
      <c r="M228" s="38" t="inlineStr">
        <is>
          <t>СК2</t>
        </is>
      </c>
      <c r="N228" s="38" t="n"/>
      <c r="O228" s="37" t="n">
        <v>45</v>
      </c>
      <c r="P228" s="1191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8" s="1072" t="n"/>
      <c r="R228" s="1072" t="n"/>
      <c r="S228" s="1072" t="n"/>
      <c r="T228" s="1073" t="n"/>
      <c r="U228" s="39" t="inlineStr"/>
      <c r="V228" s="39" t="inlineStr"/>
      <c r="W228" s="40" t="inlineStr">
        <is>
          <t>кг</t>
        </is>
      </c>
      <c r="X228" s="1074" t="n">
        <v>0</v>
      </c>
      <c r="Y228" s="1075">
        <f>IFERROR(IF(X228="",0,CEILING((X228/$H228),1)*$H228),"")</f>
        <v/>
      </c>
      <c r="Z228" s="41">
        <f>IFERROR(IF(Y228=0,"",ROUNDUP(Y228/H228,0)*0.00502),"")</f>
        <v/>
      </c>
      <c r="AA228" s="68" t="inlineStr"/>
      <c r="AB228" s="69" t="inlineStr"/>
      <c r="AC228" s="310" t="inlineStr">
        <is>
          <t>ЕАЭС N RU Д-RU.РА01.В.63730/26</t>
        </is>
      </c>
      <c r="AG228" s="78" t="n"/>
      <c r="AJ228" s="84" t="inlineStr"/>
      <c r="AK228" s="84" t="n">
        <v>0</v>
      </c>
      <c r="BB228" s="311" t="inlineStr">
        <is>
          <t>КИ</t>
        </is>
      </c>
      <c r="BM228" s="78">
        <f>IFERROR(X228*I228/H228,"0")</f>
        <v/>
      </c>
      <c r="BN228" s="78">
        <f>IFERROR(Y228*I228/H228,"0")</f>
        <v/>
      </c>
      <c r="BO228" s="78">
        <f>IFERROR(1/J228*(X228/H228),"0")</f>
        <v/>
      </c>
      <c r="BP228" s="78">
        <f>IFERROR(1/J228*(Y228/H228),"0")</f>
        <v/>
      </c>
    </row>
    <row r="229" ht="27" customHeight="1">
      <c r="A229" s="63" t="inlineStr">
        <is>
          <t>SU003939</t>
        </is>
      </c>
      <c r="B229" s="63" t="inlineStr">
        <is>
          <t>P005054</t>
        </is>
      </c>
      <c r="C229" s="36" t="n">
        <v>4301031427</v>
      </c>
      <c r="D229" s="723" t="n">
        <v>4680115888104</v>
      </c>
      <c r="E229" s="1031" t="n"/>
      <c r="F229" s="1070" t="n">
        <v>0.35</v>
      </c>
      <c r="G229" s="37" t="n">
        <v>6</v>
      </c>
      <c r="H229" s="1070" t="n">
        <v>2.1</v>
      </c>
      <c r="I229" s="1070" t="n">
        <v>2.2</v>
      </c>
      <c r="J229" s="37" t="n">
        <v>234</v>
      </c>
      <c r="K229" s="37" t="inlineStr">
        <is>
          <t>18</t>
        </is>
      </c>
      <c r="L229" s="37" t="inlineStr"/>
      <c r="M229" s="38" t="inlineStr">
        <is>
          <t>СК2</t>
        </is>
      </c>
      <c r="N229" s="38" t="n"/>
      <c r="O229" s="37" t="n">
        <v>45</v>
      </c>
      <c r="P229" s="1192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9" s="1072" t="n"/>
      <c r="R229" s="1072" t="n"/>
      <c r="S229" s="1072" t="n"/>
      <c r="T229" s="1073" t="n"/>
      <c r="U229" s="39" t="inlineStr"/>
      <c r="V229" s="39" t="inlineStr"/>
      <c r="W229" s="40" t="inlineStr">
        <is>
          <t>кг</t>
        </is>
      </c>
      <c r="X229" s="1074" t="n">
        <v>0</v>
      </c>
      <c r="Y229" s="1075">
        <f>IFERROR(IF(X229="",0,CEILING((X229/$H229),1)*$H229),"")</f>
        <v/>
      </c>
      <c r="Z229" s="41">
        <f>IFERROR(IF(Y229=0,"",ROUNDUP(Y229/H229,0)*0.00502),"")</f>
        <v/>
      </c>
      <c r="AA229" s="68" t="inlineStr"/>
      <c r="AB229" s="69" t="inlineStr"/>
      <c r="AC229" s="312" t="inlineStr">
        <is>
          <t>ЕАЭС N RU Д-RU.РА01.В.16547/26</t>
        </is>
      </c>
      <c r="AG229" s="78" t="n"/>
      <c r="AJ229" s="84" t="inlineStr"/>
      <c r="AK229" s="84" t="n">
        <v>0</v>
      </c>
      <c r="BB229" s="313" t="inlineStr">
        <is>
          <t>КИ</t>
        </is>
      </c>
      <c r="BM229" s="78">
        <f>IFERROR(X229*I229/H229,"0")</f>
        <v/>
      </c>
      <c r="BN229" s="78">
        <f>IFERROR(Y229*I229/H229,"0")</f>
        <v/>
      </c>
      <c r="BO229" s="78">
        <f>IFERROR(1/J229*(X229/H229),"0")</f>
        <v/>
      </c>
      <c r="BP229" s="78">
        <f>IFERROR(1/J229*(Y229/H229),"0")</f>
        <v/>
      </c>
    </row>
    <row r="230" ht="27" customHeight="1">
      <c r="A230" s="63" t="inlineStr">
        <is>
          <t>SU003829</t>
        </is>
      </c>
      <c r="B230" s="63" t="inlineStr">
        <is>
          <t>P005425</t>
        </is>
      </c>
      <c r="C230" s="36" t="n">
        <v>4301031503</v>
      </c>
      <c r="D230" s="723" t="n">
        <v>4680115886537</v>
      </c>
      <c r="E230" s="1031" t="n"/>
      <c r="F230" s="1070" t="n">
        <v>0.3</v>
      </c>
      <c r="G230" s="37" t="n">
        <v>6</v>
      </c>
      <c r="H230" s="1070" t="n">
        <v>1.8</v>
      </c>
      <c r="I230" s="1070" t="n">
        <v>1.93</v>
      </c>
      <c r="J230" s="37" t="n">
        <v>234</v>
      </c>
      <c r="K230" s="37" t="inlineStr">
        <is>
          <t>18</t>
        </is>
      </c>
      <c r="L230" s="37" t="inlineStr"/>
      <c r="M230" s="38" t="inlineStr">
        <is>
          <t>СК2</t>
        </is>
      </c>
      <c r="N230" s="38" t="n"/>
      <c r="O230" s="37" t="n">
        <v>45</v>
      </c>
      <c r="P230" s="1193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/>
      </c>
      <c r="Q230" s="1072" t="n"/>
      <c r="R230" s="1072" t="n"/>
      <c r="S230" s="1072" t="n"/>
      <c r="T230" s="1073" t="n"/>
      <c r="U230" s="39" t="inlineStr"/>
      <c r="V230" s="39" t="inlineStr"/>
      <c r="W230" s="40" t="inlineStr">
        <is>
          <t>кг</t>
        </is>
      </c>
      <c r="X230" s="1074" t="n">
        <v>13</v>
      </c>
      <c r="Y230" s="1075">
        <f>IFERROR(IF(X230="",0,CEILING((X230/$H230),1)*$H230),"")</f>
        <v/>
      </c>
      <c r="Z230" s="41">
        <f>IFERROR(IF(Y230=0,"",ROUNDUP(Y230/H230,0)*0.00502),"")</f>
        <v/>
      </c>
      <c r="AA230" s="68" t="inlineStr"/>
      <c r="AB230" s="69" t="inlineStr"/>
      <c r="AC230" s="314" t="inlineStr">
        <is>
          <t>ЕАЭС N RU Д-RU.РА09.В.28292/25</t>
        </is>
      </c>
      <c r="AG230" s="78" t="n"/>
      <c r="AJ230" s="84" t="inlineStr"/>
      <c r="AK230" s="84" t="n">
        <v>0</v>
      </c>
      <c r="BB230" s="315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SU003178</t>
        </is>
      </c>
      <c r="B231" s="63" t="inlineStr">
        <is>
          <t>P003837</t>
        </is>
      </c>
      <c r="C231" s="36" t="n">
        <v>4301031279</v>
      </c>
      <c r="D231" s="723" t="n">
        <v>4680115887596</v>
      </c>
      <c r="E231" s="1031" t="n"/>
      <c r="F231" s="1070" t="n">
        <v>0.08</v>
      </c>
      <c r="G231" s="37" t="n">
        <v>10</v>
      </c>
      <c r="H231" s="1070" t="n">
        <v>0.8</v>
      </c>
      <c r="I231" s="1070" t="n">
        <v>1.01</v>
      </c>
      <c r="J231" s="37" t="n">
        <v>336</v>
      </c>
      <c r="K231" s="37" t="inlineStr">
        <is>
          <t>24</t>
        </is>
      </c>
      <c r="L231" s="37" t="inlineStr"/>
      <c r="M231" s="38" t="inlineStr">
        <is>
          <t>СК2</t>
        </is>
      </c>
      <c r="N231" s="38" t="n"/>
      <c r="O231" s="37" t="n">
        <v>45</v>
      </c>
      <c r="P231" s="1194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31" s="1072" t="n"/>
      <c r="R231" s="1072" t="n"/>
      <c r="S231" s="1072" t="n"/>
      <c r="T231" s="1073" t="n"/>
      <c r="U231" s="39" t="inlineStr"/>
      <c r="V231" s="39" t="inlineStr"/>
      <c r="W231" s="40" t="inlineStr">
        <is>
          <t>кг</t>
        </is>
      </c>
      <c r="X231" s="1074" t="n">
        <v>2</v>
      </c>
      <c r="Y231" s="1075">
        <f>IFERROR(IF(X231="",0,CEILING((X231/$H231),1)*$H231),"")</f>
        <v/>
      </c>
      <c r="Z231" s="41">
        <f>IFERROR(IF(Y231=0,"",ROUNDUP(Y231/H231,0)*0.00417),"")</f>
        <v/>
      </c>
      <c r="AA231" s="68" t="inlineStr"/>
      <c r="AB231" s="69" t="inlineStr"/>
      <c r="AC231" s="316" t="inlineStr">
        <is>
          <t>ЕАЭС N RU Д-RU.РА08.В.64195/25</t>
        </is>
      </c>
      <c r="AG231" s="78" t="n"/>
      <c r="AJ231" s="84" t="inlineStr"/>
      <c r="AK231" s="84" t="n">
        <v>0</v>
      </c>
      <c r="BB231" s="317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37.5" customHeight="1">
      <c r="A232" s="63" t="inlineStr">
        <is>
          <t>SU002848</t>
        </is>
      </c>
      <c r="B232" s="63" t="inlineStr">
        <is>
          <t>P005667</t>
        </is>
      </c>
      <c r="C232" s="36" t="n">
        <v>4301031530</v>
      </c>
      <c r="D232" s="723" t="n">
        <v>4680115881679</v>
      </c>
      <c r="E232" s="1031" t="n"/>
      <c r="F232" s="1070" t="n">
        <v>0.35</v>
      </c>
      <c r="G232" s="37" t="n">
        <v>6</v>
      </c>
      <c r="H232" s="1070" t="n">
        <v>2.1</v>
      </c>
      <c r="I232" s="1070" t="n">
        <v>2.2</v>
      </c>
      <c r="J232" s="37" t="n">
        <v>234</v>
      </c>
      <c r="K232" s="37" t="inlineStr">
        <is>
          <t>18</t>
        </is>
      </c>
      <c r="L232" s="37" t="inlineStr"/>
      <c r="M232" s="38" t="inlineStr">
        <is>
          <t>СК2</t>
        </is>
      </c>
      <c r="N232" s="38" t="n"/>
      <c r="O232" s="37" t="n">
        <v>45</v>
      </c>
      <c r="P232" s="1195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/>
      </c>
      <c r="Q232" s="1072" t="n"/>
      <c r="R232" s="1072" t="n"/>
      <c r="S232" s="1072" t="n"/>
      <c r="T232" s="1073" t="n"/>
      <c r="U232" s="39" t="inlineStr"/>
      <c r="V232" s="39" t="inlineStr"/>
      <c r="W232" s="40" t="inlineStr">
        <is>
          <t>кг</t>
        </is>
      </c>
      <c r="X232" s="1074" t="n">
        <v>44</v>
      </c>
      <c r="Y232" s="1075">
        <f>IFERROR(IF(X232="",0,CEILING((X232/$H232),1)*$H232),"")</f>
        <v/>
      </c>
      <c r="Z232" s="41">
        <f>IFERROR(IF(Y232=0,"",ROUNDUP(Y232/H232,0)*0.00502),"")</f>
        <v/>
      </c>
      <c r="AA232" s="68" t="inlineStr"/>
      <c r="AB232" s="69" t="inlineStr"/>
      <c r="AC232" s="318" t="inlineStr">
        <is>
          <t>ЕАЭС N RU Д-RU.РА03.В.05061/25</t>
        </is>
      </c>
      <c r="AG232" s="78" t="n"/>
      <c r="AJ232" s="84" t="inlineStr"/>
      <c r="AK232" s="84" t="n">
        <v>0</v>
      </c>
      <c r="BB232" s="319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SU002659</t>
        </is>
      </c>
      <c r="B233" s="63" t="inlineStr">
        <is>
          <t>P003034</t>
        </is>
      </c>
      <c r="C233" s="36" t="n">
        <v>4301031158</v>
      </c>
      <c r="D233" s="723" t="n">
        <v>4680115880191</v>
      </c>
      <c r="E233" s="1031" t="n"/>
      <c r="F233" s="1070" t="n">
        <v>0.4</v>
      </c>
      <c r="G233" s="37" t="n">
        <v>6</v>
      </c>
      <c r="H233" s="1070" t="n">
        <v>2.4</v>
      </c>
      <c r="I233" s="1070" t="n">
        <v>2.58</v>
      </c>
      <c r="J233" s="37" t="n">
        <v>182</v>
      </c>
      <c r="K233" s="37" t="inlineStr">
        <is>
          <t>14</t>
        </is>
      </c>
      <c r="L233" s="37" t="inlineStr"/>
      <c r="M233" s="38" t="inlineStr">
        <is>
          <t>СК2</t>
        </is>
      </c>
      <c r="N233" s="38" t="n"/>
      <c r="O233" s="37" t="n">
        <v>40</v>
      </c>
      <c r="P233" s="1196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33" s="1072" t="n"/>
      <c r="R233" s="1072" t="n"/>
      <c r="S233" s="1072" t="n"/>
      <c r="T233" s="1073" t="n"/>
      <c r="U233" s="39" t="inlineStr"/>
      <c r="V233" s="39" t="inlineStr"/>
      <c r="W233" s="40" t="inlineStr">
        <is>
          <t>кг</t>
        </is>
      </c>
      <c r="X233" s="1074" t="n">
        <v>0</v>
      </c>
      <c r="Y233" s="1075">
        <f>IFERROR(IF(X233="",0,CEILING((X233/$H233),1)*$H233),"")</f>
        <v/>
      </c>
      <c r="Z233" s="41">
        <f>IFERROR(IF(Y233=0,"",ROUNDUP(Y233/H233,0)*0.00651),"")</f>
        <v/>
      </c>
      <c r="AA233" s="68" t="inlineStr"/>
      <c r="AB233" s="69" t="inlineStr"/>
      <c r="AC233" s="320" t="inlineStr">
        <is>
          <t>ЕАЭС N RU Д-RU.РА03.В.05061/25</t>
        </is>
      </c>
      <c r="AG233" s="78" t="n"/>
      <c r="AJ233" s="84" t="inlineStr"/>
      <c r="AK233" s="84" t="n">
        <v>0</v>
      </c>
      <c r="BB233" s="321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SU002659</t>
        </is>
      </c>
      <c r="B234" s="63" t="inlineStr">
        <is>
          <t>P005668</t>
        </is>
      </c>
      <c r="C234" s="36" t="n">
        <v>4301031531</v>
      </c>
      <c r="D234" s="723" t="n">
        <v>4680115880191</v>
      </c>
      <c r="E234" s="1031" t="n"/>
      <c r="F234" s="1070" t="n">
        <v>0.4</v>
      </c>
      <c r="G234" s="37" t="n">
        <v>6</v>
      </c>
      <c r="H234" s="1070" t="n">
        <v>2.4</v>
      </c>
      <c r="I234" s="1070" t="n">
        <v>2.58</v>
      </c>
      <c r="J234" s="37" t="n">
        <v>182</v>
      </c>
      <c r="K234" s="37" t="inlineStr">
        <is>
          <t>14</t>
        </is>
      </c>
      <c r="L234" s="37" t="inlineStr"/>
      <c r="M234" s="38" t="inlineStr">
        <is>
          <t>СК2</t>
        </is>
      </c>
      <c r="N234" s="38" t="n"/>
      <c r="O234" s="37" t="n">
        <v>45</v>
      </c>
      <c r="P234" s="1197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/>
      </c>
      <c r="Q234" s="1072" t="n"/>
      <c r="R234" s="1072" t="n"/>
      <c r="S234" s="1072" t="n"/>
      <c r="T234" s="1073" t="n"/>
      <c r="U234" s="39" t="inlineStr"/>
      <c r="V234" s="39" t="inlineStr"/>
      <c r="W234" s="40" t="inlineStr">
        <is>
          <t>кг</t>
        </is>
      </c>
      <c r="X234" s="1074" t="n">
        <v>0</v>
      </c>
      <c r="Y234" s="1075">
        <f>IFERROR(IF(X234="",0,CEILING((X234/$H234),1)*$H234),"")</f>
        <v/>
      </c>
      <c r="Z234" s="41">
        <f>IFERROR(IF(Y234=0,"",ROUNDUP(Y234/H234,0)*0.00651),"")</f>
        <v/>
      </c>
      <c r="AA234" s="68" t="inlineStr"/>
      <c r="AB234" s="69" t="inlineStr"/>
      <c r="AC234" s="322" t="inlineStr">
        <is>
          <t>ЕАЭС N RU Д-RU.РА03.В.05061/25</t>
        </is>
      </c>
      <c r="AG234" s="78" t="n"/>
      <c r="AJ234" s="84" t="inlineStr"/>
      <c r="AK234" s="84" t="n">
        <v>0</v>
      </c>
      <c r="BB234" s="323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 ht="27" customHeight="1">
      <c r="A235" s="63" t="inlineStr">
        <is>
          <t>SU003046</t>
        </is>
      </c>
      <c r="B235" s="63" t="inlineStr">
        <is>
          <t>P003598</t>
        </is>
      </c>
      <c r="C235" s="36" t="n">
        <v>4301031245</v>
      </c>
      <c r="D235" s="723" t="n">
        <v>4680115883963</v>
      </c>
      <c r="E235" s="1031" t="n"/>
      <c r="F235" s="1070" t="n">
        <v>0.28</v>
      </c>
      <c r="G235" s="37" t="n">
        <v>6</v>
      </c>
      <c r="H235" s="1070" t="n">
        <v>1.68</v>
      </c>
      <c r="I235" s="1070" t="n">
        <v>1.78</v>
      </c>
      <c r="J235" s="37" t="n">
        <v>234</v>
      </c>
      <c r="K235" s="37" t="inlineStr">
        <is>
          <t>18</t>
        </is>
      </c>
      <c r="L235" s="37" t="inlineStr"/>
      <c r="M235" s="38" t="inlineStr">
        <is>
          <t>СК2</t>
        </is>
      </c>
      <c r="N235" s="38" t="n"/>
      <c r="O235" s="37" t="n">
        <v>40</v>
      </c>
      <c r="P235" s="1198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35" s="1072" t="n"/>
      <c r="R235" s="1072" t="n"/>
      <c r="S235" s="1072" t="n"/>
      <c r="T235" s="1073" t="n"/>
      <c r="U235" s="39" t="inlineStr"/>
      <c r="V235" s="39" t="inlineStr"/>
      <c r="W235" s="40" t="inlineStr">
        <is>
          <t>кг</t>
        </is>
      </c>
      <c r="X235" s="1074" t="n">
        <v>0</v>
      </c>
      <c r="Y235" s="1075">
        <f>IFERROR(IF(X235="",0,CEILING((X235/$H235),1)*$H235),"")</f>
        <v/>
      </c>
      <c r="Z235" s="41">
        <f>IFERROR(IF(Y235=0,"",ROUNDUP(Y235/H235,0)*0.00502),"")</f>
        <v/>
      </c>
      <c r="AA235" s="68" t="inlineStr"/>
      <c r="AB235" s="69" t="inlineStr"/>
      <c r="AC235" s="324" t="inlineStr">
        <is>
          <t>ЕАЭС N RU Д-RU.РА03.В.16729/26</t>
        </is>
      </c>
      <c r="AG235" s="78" t="n"/>
      <c r="AJ235" s="84" t="inlineStr"/>
      <c r="AK235" s="84" t="n">
        <v>0</v>
      </c>
      <c r="BB235" s="325" t="inlineStr">
        <is>
          <t>КИ</t>
        </is>
      </c>
      <c r="BM235" s="78">
        <f>IFERROR(X235*I235/H235,"0")</f>
        <v/>
      </c>
      <c r="BN235" s="78">
        <f>IFERROR(Y235*I235/H235,"0")</f>
        <v/>
      </c>
      <c r="BO235" s="78">
        <f>IFERROR(1/J235*(X235/H235),"0")</f>
        <v/>
      </c>
      <c r="BP235" s="78">
        <f>IFERROR(1/J235*(Y235/H235),"0")</f>
        <v/>
      </c>
    </row>
    <row r="236">
      <c r="A236" s="732" t="n"/>
      <c r="B236" s="1019" t="n"/>
      <c r="C236" s="1019" t="n"/>
      <c r="D236" s="1019" t="n"/>
      <c r="E236" s="1019" t="n"/>
      <c r="F236" s="1019" t="n"/>
      <c r="G236" s="1019" t="n"/>
      <c r="H236" s="1019" t="n"/>
      <c r="I236" s="1019" t="n"/>
      <c r="J236" s="1019" t="n"/>
      <c r="K236" s="1019" t="n"/>
      <c r="L236" s="1019" t="n"/>
      <c r="M236" s="1019" t="n"/>
      <c r="N236" s="1019" t="n"/>
      <c r="O236" s="1077" t="n"/>
      <c r="P236" s="1078" t="inlineStr">
        <is>
          <t>Итого</t>
        </is>
      </c>
      <c r="Q236" s="1039" t="n"/>
      <c r="R236" s="1039" t="n"/>
      <c r="S236" s="1039" t="n"/>
      <c r="T236" s="1039" t="n"/>
      <c r="U236" s="1039" t="n"/>
      <c r="V236" s="1040" t="n"/>
      <c r="W236" s="42" t="inlineStr">
        <is>
          <t>кор</t>
        </is>
      </c>
      <c r="X236" s="1079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/>
      </c>
      <c r="Y236" s="1079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/>
      </c>
      <c r="Z236" s="1079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/>
      </c>
      <c r="AA236" s="1080" t="n"/>
      <c r="AB236" s="1080" t="n"/>
      <c r="AC236" s="1080" t="n"/>
    </row>
    <row r="237">
      <c r="A237" s="1019" t="n"/>
      <c r="B237" s="1019" t="n"/>
      <c r="C237" s="1019" t="n"/>
      <c r="D237" s="1019" t="n"/>
      <c r="E237" s="1019" t="n"/>
      <c r="F237" s="1019" t="n"/>
      <c r="G237" s="1019" t="n"/>
      <c r="H237" s="1019" t="n"/>
      <c r="I237" s="1019" t="n"/>
      <c r="J237" s="1019" t="n"/>
      <c r="K237" s="1019" t="n"/>
      <c r="L237" s="1019" t="n"/>
      <c r="M237" s="1019" t="n"/>
      <c r="N237" s="1019" t="n"/>
      <c r="O237" s="1077" t="n"/>
      <c r="P237" s="1078" t="inlineStr">
        <is>
          <t>Итого</t>
        </is>
      </c>
      <c r="Q237" s="1039" t="n"/>
      <c r="R237" s="1039" t="n"/>
      <c r="S237" s="1039" t="n"/>
      <c r="T237" s="1039" t="n"/>
      <c r="U237" s="1039" t="n"/>
      <c r="V237" s="1040" t="n"/>
      <c r="W237" s="42" t="inlineStr">
        <is>
          <t>кг</t>
        </is>
      </c>
      <c r="X237" s="1079">
        <f>IFERROR(SUM(X221:X235),"0")</f>
        <v/>
      </c>
      <c r="Y237" s="1079">
        <f>IFERROR(SUM(Y221:Y235),"0")</f>
        <v/>
      </c>
      <c r="Z237" s="42" t="n"/>
      <c r="AA237" s="1080" t="n"/>
      <c r="AB237" s="1080" t="n"/>
      <c r="AC237" s="1080" t="n"/>
    </row>
    <row r="238" ht="14.25" customHeight="1">
      <c r="A238" s="722" t="inlineStr">
        <is>
          <t>Сосиски</t>
        </is>
      </c>
      <c r="B238" s="1019" t="n"/>
      <c r="C238" s="1019" t="n"/>
      <c r="D238" s="1019" t="n"/>
      <c r="E238" s="1019" t="n"/>
      <c r="F238" s="1019" t="n"/>
      <c r="G238" s="1019" t="n"/>
      <c r="H238" s="1019" t="n"/>
      <c r="I238" s="1019" t="n"/>
      <c r="J238" s="1019" t="n"/>
      <c r="K238" s="1019" t="n"/>
      <c r="L238" s="1019" t="n"/>
      <c r="M238" s="1019" t="n"/>
      <c r="N238" s="1019" t="n"/>
      <c r="O238" s="1019" t="n"/>
      <c r="P238" s="1019" t="n"/>
      <c r="Q238" s="1019" t="n"/>
      <c r="R238" s="1019" t="n"/>
      <c r="S238" s="1019" t="n"/>
      <c r="T238" s="1019" t="n"/>
      <c r="U238" s="1019" t="n"/>
      <c r="V238" s="1019" t="n"/>
      <c r="W238" s="1019" t="n"/>
      <c r="X238" s="1019" t="n"/>
      <c r="Y238" s="1019" t="n"/>
      <c r="Z238" s="1019" t="n"/>
      <c r="AA238" s="722" t="n"/>
      <c r="AB238" s="722" t="n"/>
      <c r="AC238" s="722" t="n"/>
    </row>
    <row r="239" ht="16.5" customHeight="1">
      <c r="A239" s="63" t="inlineStr">
        <is>
          <t>SU004158</t>
        </is>
      </c>
      <c r="B239" s="63" t="inlineStr">
        <is>
          <t>P005435</t>
        </is>
      </c>
      <c r="C239" s="36" t="n">
        <v>4301052209</v>
      </c>
      <c r="D239" s="723" t="n">
        <v>4680115888692</v>
      </c>
      <c r="E239" s="1031" t="n"/>
      <c r="F239" s="1070" t="n">
        <v>0.8</v>
      </c>
      <c r="G239" s="37" t="n">
        <v>6</v>
      </c>
      <c r="H239" s="1070" t="n">
        <v>4.8</v>
      </c>
      <c r="I239" s="1070" t="n">
        <v>5.222</v>
      </c>
      <c r="J239" s="37" t="n">
        <v>104</v>
      </c>
      <c r="K239" s="37" t="inlineStr">
        <is>
          <t>8</t>
        </is>
      </c>
      <c r="L239" s="37" t="inlineStr"/>
      <c r="M239" s="38" t="inlineStr">
        <is>
          <t>СК4</t>
        </is>
      </c>
      <c r="N239" s="38" t="n"/>
      <c r="O239" s="37" t="n">
        <v>35</v>
      </c>
      <c r="P239" s="1199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9" s="1072" t="n"/>
      <c r="R239" s="1072" t="n"/>
      <c r="S239" s="1072" t="n"/>
      <c r="T239" s="1073" t="n"/>
      <c r="U239" s="39" t="inlineStr"/>
      <c r="V239" s="39" t="inlineStr"/>
      <c r="W239" s="40" t="inlineStr">
        <is>
          <t>кг</t>
        </is>
      </c>
      <c r="X239" s="1074" t="n">
        <v>0</v>
      </c>
      <c r="Y239" s="1075">
        <f>IFERROR(IF(X239="",0,CEILING((X239/$H239),1)*$H239),"")</f>
        <v/>
      </c>
      <c r="Z239" s="41">
        <f>IFERROR(IF(Y239=0,"",ROUNDUP(Y239/H239,0)*0.01196),"")</f>
        <v/>
      </c>
      <c r="AA239" s="68" t="inlineStr"/>
      <c r="AB239" s="69" t="inlineStr"/>
      <c r="AC239" s="326" t="inlineStr">
        <is>
          <t>ЕАЭС N RU Д-RU.РА06.В.81432/23</t>
        </is>
      </c>
      <c r="AG239" s="78" t="n"/>
      <c r="AJ239" s="84" t="inlineStr"/>
      <c r="AK239" s="84" t="n">
        <v>0</v>
      </c>
      <c r="BB239" s="327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16.5" customHeight="1">
      <c r="A240" s="63" t="inlineStr">
        <is>
          <t>SU004158</t>
        </is>
      </c>
      <c r="B240" s="63" t="inlineStr">
        <is>
          <t>P005729</t>
        </is>
      </c>
      <c r="C240" s="36" t="n">
        <v>4301052279</v>
      </c>
      <c r="D240" s="723" t="n">
        <v>4680115888692</v>
      </c>
      <c r="E240" s="1031" t="n"/>
      <c r="F240" s="1070" t="n">
        <v>0.8</v>
      </c>
      <c r="G240" s="37" t="n">
        <v>6</v>
      </c>
      <c r="H240" s="1070" t="n">
        <v>4.8</v>
      </c>
      <c r="I240" s="1070" t="n">
        <v>5.222</v>
      </c>
      <c r="J240" s="37" t="n">
        <v>104</v>
      </c>
      <c r="K240" s="37" t="inlineStr">
        <is>
          <t>8</t>
        </is>
      </c>
      <c r="L240" s="37" t="inlineStr"/>
      <c r="M240" s="38" t="inlineStr">
        <is>
          <t>СК4</t>
        </is>
      </c>
      <c r="N240" s="38" t="n"/>
      <c r="O240" s="37" t="n">
        <v>40</v>
      </c>
      <c r="P240" s="1200">
        <f>HYPERLINK("https://abi.ru/products/Охлажденные/Стародворье/Мясорубская/Сосиски/P005729/","Сосиски «Мясорубские» Весовой ц/о ТМ «Стародворье»")</f>
        <v/>
      </c>
      <c r="Q240" s="1072" t="n"/>
      <c r="R240" s="1072" t="n"/>
      <c r="S240" s="1072" t="n"/>
      <c r="T240" s="1073" t="n"/>
      <c r="U240" s="39" t="inlineStr"/>
      <c r="V240" s="39" t="inlineStr"/>
      <c r="W240" s="40" t="inlineStr">
        <is>
          <t>кг</t>
        </is>
      </c>
      <c r="X240" s="1074" t="n">
        <v>0</v>
      </c>
      <c r="Y240" s="1075">
        <f>IFERROR(IF(X240="",0,CEILING((X240/$H240),1)*$H240),"")</f>
        <v/>
      </c>
      <c r="Z240" s="41">
        <f>IFERROR(IF(Y240=0,"",ROUNDUP(Y240/H240,0)*0.01196),"")</f>
        <v/>
      </c>
      <c r="AA240" s="68" t="inlineStr"/>
      <c r="AB240" s="69" t="inlineStr"/>
      <c r="AC240" s="328" t="inlineStr">
        <is>
          <t>ЕАЭС N RU Д-RU.РА06.В.32462/26</t>
        </is>
      </c>
      <c r="AG240" s="78" t="n"/>
      <c r="AJ240" s="84" t="inlineStr"/>
      <c r="AK240" s="84" t="n">
        <v>0</v>
      </c>
      <c r="BB240" s="329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 ht="27" customHeight="1">
      <c r="A241" s="63" t="inlineStr">
        <is>
          <t>SU004160</t>
        </is>
      </c>
      <c r="B241" s="63" t="inlineStr">
        <is>
          <t>P005437</t>
        </is>
      </c>
      <c r="C241" s="36" t="n">
        <v>4301052213</v>
      </c>
      <c r="D241" s="723" t="n">
        <v>4680115888722</v>
      </c>
      <c r="E241" s="1031" t="n"/>
      <c r="F241" s="1070" t="n">
        <v>0.8</v>
      </c>
      <c r="G241" s="37" t="n">
        <v>6</v>
      </c>
      <c r="H241" s="1070" t="n">
        <v>4.8</v>
      </c>
      <c r="I241" s="1070" t="n">
        <v>5.222</v>
      </c>
      <c r="J241" s="37" t="n">
        <v>104</v>
      </c>
      <c r="K241" s="37" t="inlineStr">
        <is>
          <t>8</t>
        </is>
      </c>
      <c r="L241" s="37" t="inlineStr"/>
      <c r="M241" s="38" t="inlineStr">
        <is>
          <t>СК4</t>
        </is>
      </c>
      <c r="N241" s="38" t="n"/>
      <c r="O241" s="37" t="n">
        <v>35</v>
      </c>
      <c r="P241" s="1201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41" s="1072" t="n"/>
      <c r="R241" s="1072" t="n"/>
      <c r="S241" s="1072" t="n"/>
      <c r="T241" s="1073" t="n"/>
      <c r="U241" s="39" t="inlineStr"/>
      <c r="V241" s="39" t="inlineStr"/>
      <c r="W241" s="40" t="inlineStr">
        <is>
          <t>кг</t>
        </is>
      </c>
      <c r="X241" s="1074" t="n">
        <v>0</v>
      </c>
      <c r="Y241" s="1075">
        <f>IFERROR(IF(X241="",0,CEILING((X241/$H241),1)*$H241),"")</f>
        <v/>
      </c>
      <c r="Z241" s="41">
        <f>IFERROR(IF(Y241=0,"",ROUNDUP(Y241/H241,0)*0.01196),"")</f>
        <v/>
      </c>
      <c r="AA241" s="68" t="inlineStr"/>
      <c r="AB241" s="69" t="inlineStr"/>
      <c r="AC241" s="330" t="inlineStr">
        <is>
          <t>ЕАЭС N RU Д-RU.РА02.В.11158/26</t>
        </is>
      </c>
      <c r="AG241" s="78" t="n"/>
      <c r="AJ241" s="84" t="inlineStr"/>
      <c r="AK241" s="84" t="n">
        <v>0</v>
      </c>
      <c r="BB241" s="331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SU004160</t>
        </is>
      </c>
      <c r="B242" s="63" t="inlineStr">
        <is>
          <t>P005730</t>
        </is>
      </c>
      <c r="C242" s="36" t="n">
        <v>4301052280</v>
      </c>
      <c r="D242" s="723" t="n">
        <v>4680115888722</v>
      </c>
      <c r="E242" s="1031" t="n"/>
      <c r="F242" s="1070" t="n">
        <v>0.8</v>
      </c>
      <c r="G242" s="37" t="n">
        <v>6</v>
      </c>
      <c r="H242" s="1070" t="n">
        <v>4.8</v>
      </c>
      <c r="I242" s="1070" t="n">
        <v>5.222</v>
      </c>
      <c r="J242" s="37" t="n">
        <v>104</v>
      </c>
      <c r="K242" s="37" t="inlineStr">
        <is>
          <t>8</t>
        </is>
      </c>
      <c r="L242" s="37" t="inlineStr"/>
      <c r="M242" s="38" t="inlineStr">
        <is>
          <t>СК4</t>
        </is>
      </c>
      <c r="N242" s="38" t="n"/>
      <c r="O242" s="37" t="n">
        <v>40</v>
      </c>
      <c r="P242" s="1202">
        <f>HYPERLINK("https://abi.ru/products/Охлажденные/Стародворье/Мясорубская/Сосиски/P005730/","Сосиски «Мясорубские с сыром» Весовой ц/о ТМ «Стародворье»")</f>
        <v/>
      </c>
      <c r="Q242" s="1072" t="n"/>
      <c r="R242" s="1072" t="n"/>
      <c r="S242" s="1072" t="n"/>
      <c r="T242" s="1073" t="n"/>
      <c r="U242" s="39" t="inlineStr"/>
      <c r="V242" s="39" t="inlineStr"/>
      <c r="W242" s="40" t="inlineStr">
        <is>
          <t>кг</t>
        </is>
      </c>
      <c r="X242" s="1074" t="n">
        <v>0</v>
      </c>
      <c r="Y242" s="1075">
        <f>IFERROR(IF(X242="",0,CEILING((X242/$H242),1)*$H242),"")</f>
        <v/>
      </c>
      <c r="Z242" s="41">
        <f>IFERROR(IF(Y242=0,"",ROUNDUP(Y242/H242,0)*0.01196),"")</f>
        <v/>
      </c>
      <c r="AA242" s="68" t="inlineStr"/>
      <c r="AB242" s="69" t="inlineStr"/>
      <c r="AC242" s="332" t="inlineStr">
        <is>
          <t>ЕАЭС N RU Д-RU.РА06.В.32392/26</t>
        </is>
      </c>
      <c r="AG242" s="78" t="n"/>
      <c r="AJ242" s="84" t="inlineStr"/>
      <c r="AK242" s="84" t="n">
        <v>0</v>
      </c>
      <c r="BB242" s="333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 ht="27" customHeight="1">
      <c r="A243" s="63" t="inlineStr">
        <is>
          <t>SU004100</t>
        </is>
      </c>
      <c r="B243" s="63" t="inlineStr">
        <is>
          <t>P005357</t>
        </is>
      </c>
      <c r="C243" s="36" t="n">
        <v>4301052177</v>
      </c>
      <c r="D243" s="723" t="n">
        <v>4680115888951</v>
      </c>
      <c r="E243" s="1031" t="n"/>
      <c r="F243" s="1070" t="n">
        <v>0.36</v>
      </c>
      <c r="G243" s="37" t="n">
        <v>6</v>
      </c>
      <c r="H243" s="1070" t="n">
        <v>2.16</v>
      </c>
      <c r="I243" s="1070" t="n">
        <v>2.422</v>
      </c>
      <c r="J243" s="37" t="n">
        <v>132</v>
      </c>
      <c r="K243" s="37" t="inlineStr">
        <is>
          <t>12</t>
        </is>
      </c>
      <c r="L243" s="37" t="inlineStr"/>
      <c r="M243" s="38" t="inlineStr">
        <is>
          <t>СК4</t>
        </is>
      </c>
      <c r="N243" s="38" t="n"/>
      <c r="O243" s="37" t="n">
        <v>35</v>
      </c>
      <c r="P243" s="1203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43" s="1072" t="n"/>
      <c r="R243" s="1072" t="n"/>
      <c r="S243" s="1072" t="n"/>
      <c r="T243" s="1073" t="n"/>
      <c r="U243" s="39" t="inlineStr"/>
      <c r="V243" s="39" t="inlineStr"/>
      <c r="W243" s="40" t="inlineStr">
        <is>
          <t>кг</t>
        </is>
      </c>
      <c r="X243" s="1074" t="n">
        <v>0</v>
      </c>
      <c r="Y243" s="1075">
        <f>IFERROR(IF(X243="",0,CEILING((X243/$H243),1)*$H243),"")</f>
        <v/>
      </c>
      <c r="Z243" s="41">
        <f>IFERROR(IF(Y243=0,"",ROUNDUP(Y243/H243,0)*0.00902),"")</f>
        <v/>
      </c>
      <c r="AA243" s="68" t="inlineStr"/>
      <c r="AB243" s="69" t="inlineStr"/>
      <c r="AC243" s="334" t="inlineStr">
        <is>
          <t>ЕАЭС N RU Д-RU.РА02.В.10651/26</t>
        </is>
      </c>
      <c r="AG243" s="78" t="n"/>
      <c r="AJ243" s="84" t="inlineStr"/>
      <c r="AK243" s="84" t="n">
        <v>0</v>
      </c>
      <c r="BB243" s="335" t="inlineStr">
        <is>
          <t>КИ</t>
        </is>
      </c>
      <c r="BM243" s="78">
        <f>IFERROR(X243*I243/H243,"0")</f>
        <v/>
      </c>
      <c r="BN243" s="78">
        <f>IFERROR(Y243*I243/H243,"0")</f>
        <v/>
      </c>
      <c r="BO243" s="78">
        <f>IFERROR(1/J243*(X243/H243),"0")</f>
        <v/>
      </c>
      <c r="BP243" s="78">
        <f>IFERROR(1/J243*(Y243/H243),"0")</f>
        <v/>
      </c>
    </row>
    <row r="244" ht="27" customHeight="1">
      <c r="A244" s="63" t="inlineStr">
        <is>
          <t>SU004100</t>
        </is>
      </c>
      <c r="B244" s="63" t="inlineStr">
        <is>
          <t>P005726</t>
        </is>
      </c>
      <c r="C244" s="36" t="n">
        <v>4301052276</v>
      </c>
      <c r="D244" s="723" t="n">
        <v>4680115888951</v>
      </c>
      <c r="E244" s="1031" t="n"/>
      <c r="F244" s="1070" t="n">
        <v>0.36</v>
      </c>
      <c r="G244" s="37" t="n">
        <v>6</v>
      </c>
      <c r="H244" s="1070" t="n">
        <v>2.16</v>
      </c>
      <c r="I244" s="1070" t="n">
        <v>2.422</v>
      </c>
      <c r="J244" s="37" t="n">
        <v>132</v>
      </c>
      <c r="K244" s="37" t="inlineStr">
        <is>
          <t>12</t>
        </is>
      </c>
      <c r="L244" s="37" t="inlineStr"/>
      <c r="M244" s="38" t="inlineStr">
        <is>
          <t>СК4</t>
        </is>
      </c>
      <c r="N244" s="38" t="n"/>
      <c r="O244" s="37" t="n">
        <v>40</v>
      </c>
      <c r="P244" s="1204">
        <f>HYPERLINK("https://abi.ru/products/Охлажденные/Стародворье/Мясорубская/Сосиски/P005726/","Сосиски «Мясорубские» Фикс.вес 0,36 ц/о ТМ «Стародворье»")</f>
        <v/>
      </c>
      <c r="Q244" s="1072" t="n"/>
      <c r="R244" s="1072" t="n"/>
      <c r="S244" s="1072" t="n"/>
      <c r="T244" s="1073" t="n"/>
      <c r="U244" s="39" t="inlineStr"/>
      <c r="V244" s="39" t="inlineStr"/>
      <c r="W244" s="40" t="inlineStr">
        <is>
          <t>кг</t>
        </is>
      </c>
      <c r="X244" s="1074" t="n">
        <v>0</v>
      </c>
      <c r="Y244" s="1075">
        <f>IFERROR(IF(X244="",0,CEILING((X244/$H244),1)*$H244),"")</f>
        <v/>
      </c>
      <c r="Z244" s="41">
        <f>IFERROR(IF(Y244=0,"",ROUNDUP(Y244/H244,0)*0.00902),"")</f>
        <v/>
      </c>
      <c r="AA244" s="68" t="inlineStr"/>
      <c r="AB244" s="69" t="inlineStr"/>
      <c r="AC244" s="336" t="inlineStr">
        <is>
          <t>ЕАЭС N RU Д-RU.РА06.В.32462/26</t>
        </is>
      </c>
      <c r="AG244" s="78" t="n"/>
      <c r="AJ244" s="84" t="inlineStr"/>
      <c r="AK244" s="84" t="n">
        <v>0</v>
      </c>
      <c r="BB244" s="337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 ht="27" customHeight="1">
      <c r="A245" s="63" t="inlineStr">
        <is>
          <t>SU004101</t>
        </is>
      </c>
      <c r="B245" s="63" t="inlineStr">
        <is>
          <t>P005358</t>
        </is>
      </c>
      <c r="C245" s="36" t="n">
        <v>4301052178</v>
      </c>
      <c r="D245" s="723" t="n">
        <v>4680115888975</v>
      </c>
      <c r="E245" s="1031" t="n"/>
      <c r="F245" s="1070" t="n">
        <v>0.32</v>
      </c>
      <c r="G245" s="37" t="n">
        <v>6</v>
      </c>
      <c r="H245" s="1070" t="n">
        <v>1.92</v>
      </c>
      <c r="I245" s="1070" t="n">
        <v>2.182</v>
      </c>
      <c r="J245" s="37" t="n">
        <v>132</v>
      </c>
      <c r="K245" s="37" t="inlineStr">
        <is>
          <t>12</t>
        </is>
      </c>
      <c r="L245" s="37" t="inlineStr"/>
      <c r="M245" s="38" t="inlineStr">
        <is>
          <t>СК4</t>
        </is>
      </c>
      <c r="N245" s="38" t="n"/>
      <c r="O245" s="37" t="n">
        <v>35</v>
      </c>
      <c r="P245" s="1205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45" s="1072" t="n"/>
      <c r="R245" s="1072" t="n"/>
      <c r="S245" s="1072" t="n"/>
      <c r="T245" s="1073" t="n"/>
      <c r="U245" s="39" t="inlineStr"/>
      <c r="V245" s="39" t="inlineStr"/>
      <c r="W245" s="40" t="inlineStr">
        <is>
          <t>кг</t>
        </is>
      </c>
      <c r="X245" s="1074" t="n">
        <v>0</v>
      </c>
      <c r="Y245" s="1075">
        <f>IFERROR(IF(X245="",0,CEILING((X245/$H245),1)*$H245),"")</f>
        <v/>
      </c>
      <c r="Z245" s="41">
        <f>IFERROR(IF(Y245=0,"",ROUNDUP(Y245/H245,0)*0.00902),"")</f>
        <v/>
      </c>
      <c r="AA245" s="68" t="inlineStr"/>
      <c r="AB245" s="69" t="inlineStr"/>
      <c r="AC245" s="338" t="inlineStr">
        <is>
          <t>ЕАЭС N RU Д-RU.РА02.В.09472/26</t>
        </is>
      </c>
      <c r="AG245" s="78" t="n"/>
      <c r="AJ245" s="84" t="inlineStr"/>
      <c r="AK245" s="84" t="n">
        <v>0</v>
      </c>
      <c r="BB245" s="339" t="inlineStr">
        <is>
          <t>КИ</t>
        </is>
      </c>
      <c r="BM245" s="78">
        <f>IFERROR(X245*I245/H245,"0")</f>
        <v/>
      </c>
      <c r="BN245" s="78">
        <f>IFERROR(Y245*I245/H245,"0")</f>
        <v/>
      </c>
      <c r="BO245" s="78">
        <f>IFERROR(1/J245*(X245/H245),"0")</f>
        <v/>
      </c>
      <c r="BP245" s="78">
        <f>IFERROR(1/J245*(Y245/H245),"0")</f>
        <v/>
      </c>
    </row>
    <row r="246" ht="27" customHeight="1">
      <c r="A246" s="63" t="inlineStr">
        <is>
          <t>SU004102</t>
        </is>
      </c>
      <c r="B246" s="63" t="inlineStr">
        <is>
          <t>P005359</t>
        </is>
      </c>
      <c r="C246" s="36" t="n">
        <v>4301052176</v>
      </c>
      <c r="D246" s="723" t="n">
        <v>4680115888982</v>
      </c>
      <c r="E246" s="1031" t="n"/>
      <c r="F246" s="1070" t="n">
        <v>0.36</v>
      </c>
      <c r="G246" s="37" t="n">
        <v>6</v>
      </c>
      <c r="H246" s="1070" t="n">
        <v>2.16</v>
      </c>
      <c r="I246" s="1070" t="n">
        <v>2.422</v>
      </c>
      <c r="J246" s="37" t="n">
        <v>132</v>
      </c>
      <c r="K246" s="37" t="inlineStr">
        <is>
          <t>12</t>
        </is>
      </c>
      <c r="L246" s="37" t="inlineStr"/>
      <c r="M246" s="38" t="inlineStr">
        <is>
          <t>СК4</t>
        </is>
      </c>
      <c r="N246" s="38" t="n"/>
      <c r="O246" s="37" t="n">
        <v>35</v>
      </c>
      <c r="P246" s="1206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46" s="1072" t="n"/>
      <c r="R246" s="1072" t="n"/>
      <c r="S246" s="1072" t="n"/>
      <c r="T246" s="1073" t="n"/>
      <c r="U246" s="39" t="inlineStr"/>
      <c r="V246" s="39" t="inlineStr"/>
      <c r="W246" s="40" t="inlineStr">
        <is>
          <t>кг</t>
        </is>
      </c>
      <c r="X246" s="1074" t="n">
        <v>0</v>
      </c>
      <c r="Y246" s="1075">
        <f>IFERROR(IF(X246="",0,CEILING((X246/$H246),1)*$H246),"")</f>
        <v/>
      </c>
      <c r="Z246" s="41">
        <f>IFERROR(IF(Y246=0,"",ROUNDUP(Y246/H246,0)*0.00902),"")</f>
        <v/>
      </c>
      <c r="AA246" s="68" t="inlineStr"/>
      <c r="AB246" s="69" t="inlineStr"/>
      <c r="AC246" s="340" t="inlineStr">
        <is>
          <t>ЕАЭС N RU Д-RU.РА02.В.11158/26</t>
        </is>
      </c>
      <c r="AG246" s="78" t="n"/>
      <c r="AJ246" s="84" t="inlineStr"/>
      <c r="AK246" s="84" t="n">
        <v>0</v>
      </c>
      <c r="BB246" s="341" t="inlineStr">
        <is>
          <t>КИ</t>
        </is>
      </c>
      <c r="BM246" s="78">
        <f>IFERROR(X246*I246/H246,"0")</f>
        <v/>
      </c>
      <c r="BN246" s="78">
        <f>IFERROR(Y246*I246/H246,"0")</f>
        <v/>
      </c>
      <c r="BO246" s="78">
        <f>IFERROR(1/J246*(X246/H246),"0")</f>
        <v/>
      </c>
      <c r="BP246" s="78">
        <f>IFERROR(1/J246*(Y246/H246),"0")</f>
        <v/>
      </c>
    </row>
    <row r="247" ht="27" customHeight="1">
      <c r="A247" s="63" t="inlineStr">
        <is>
          <t>SU004102</t>
        </is>
      </c>
      <c r="B247" s="63" t="inlineStr">
        <is>
          <t>P005727</t>
        </is>
      </c>
      <c r="C247" s="36" t="n">
        <v>4301052277</v>
      </c>
      <c r="D247" s="723" t="n">
        <v>4680115888982</v>
      </c>
      <c r="E247" s="1031" t="n"/>
      <c r="F247" s="1070" t="n">
        <v>0.36</v>
      </c>
      <c r="G247" s="37" t="n">
        <v>6</v>
      </c>
      <c r="H247" s="1070" t="n">
        <v>2.16</v>
      </c>
      <c r="I247" s="1070" t="n">
        <v>2.422</v>
      </c>
      <c r="J247" s="37" t="n">
        <v>132</v>
      </c>
      <c r="K247" s="37" t="inlineStr">
        <is>
          <t>12</t>
        </is>
      </c>
      <c r="L247" s="37" t="inlineStr"/>
      <c r="M247" s="38" t="inlineStr">
        <is>
          <t>СК4</t>
        </is>
      </c>
      <c r="N247" s="38" t="n"/>
      <c r="O247" s="37" t="n">
        <v>40</v>
      </c>
      <c r="P247" s="1207">
        <f>HYPERLINK("https://abi.ru/products/Охлажденные/Стародворье/Мясорубская/Сосиски/P005727/","Сосиски «Мясорубские с сыром» Фикс.вес 0,36 ц/о ТМ «Стародворье»")</f>
        <v/>
      </c>
      <c r="Q247" s="1072" t="n"/>
      <c r="R247" s="1072" t="n"/>
      <c r="S247" s="1072" t="n"/>
      <c r="T247" s="1073" t="n"/>
      <c r="U247" s="39" t="inlineStr"/>
      <c r="V247" s="39" t="inlineStr"/>
      <c r="W247" s="40" t="inlineStr">
        <is>
          <t>кг</t>
        </is>
      </c>
      <c r="X247" s="1074" t="n">
        <v>0</v>
      </c>
      <c r="Y247" s="1075">
        <f>IFERROR(IF(X247="",0,CEILING((X247/$H247),1)*$H247),"")</f>
        <v/>
      </c>
      <c r="Z247" s="41">
        <f>IFERROR(IF(Y247=0,"",ROUNDUP(Y247/H247,0)*0.00902),"")</f>
        <v/>
      </c>
      <c r="AA247" s="68" t="inlineStr"/>
      <c r="AB247" s="69" t="inlineStr"/>
      <c r="AC247" s="342" t="inlineStr">
        <is>
          <t>ЕАЭС N RU Д-RU.РА06.В.32392/26</t>
        </is>
      </c>
      <c r="AG247" s="78" t="n"/>
      <c r="AJ247" s="84" t="inlineStr"/>
      <c r="AK247" s="84" t="n">
        <v>0</v>
      </c>
      <c r="BB247" s="343" t="inlineStr">
        <is>
          <t>КИ</t>
        </is>
      </c>
      <c r="BM247" s="78">
        <f>IFERROR(X247*I247/H247,"0")</f>
        <v/>
      </c>
      <c r="BN247" s="78">
        <f>IFERROR(Y247*I247/H247,"0")</f>
        <v/>
      </c>
      <c r="BO247" s="78">
        <f>IFERROR(1/J247*(X247/H247),"0")</f>
        <v/>
      </c>
      <c r="BP247" s="78">
        <f>IFERROR(1/J247*(Y247/H247),"0")</f>
        <v/>
      </c>
    </row>
    <row r="248">
      <c r="A248" s="732" t="n"/>
      <c r="B248" s="1019" t="n"/>
      <c r="C248" s="1019" t="n"/>
      <c r="D248" s="1019" t="n"/>
      <c r="E248" s="1019" t="n"/>
      <c r="F248" s="1019" t="n"/>
      <c r="G248" s="1019" t="n"/>
      <c r="H248" s="1019" t="n"/>
      <c r="I248" s="1019" t="n"/>
      <c r="J248" s="1019" t="n"/>
      <c r="K248" s="1019" t="n"/>
      <c r="L248" s="1019" t="n"/>
      <c r="M248" s="1019" t="n"/>
      <c r="N248" s="1019" t="n"/>
      <c r="O248" s="1077" t="n"/>
      <c r="P248" s="1078" t="inlineStr">
        <is>
          <t>Итого</t>
        </is>
      </c>
      <c r="Q248" s="1039" t="n"/>
      <c r="R248" s="1039" t="n"/>
      <c r="S248" s="1039" t="n"/>
      <c r="T248" s="1039" t="n"/>
      <c r="U248" s="1039" t="n"/>
      <c r="V248" s="1040" t="n"/>
      <c r="W248" s="42" t="inlineStr">
        <is>
          <t>кор</t>
        </is>
      </c>
      <c r="X248" s="1079">
        <f>IFERROR(X239/H239,"0")+IFERROR(X240/H240,"0")+IFERROR(X241/H241,"0")+IFERROR(X242/H242,"0")+IFERROR(X243/H243,"0")+IFERROR(X244/H244,"0")+IFERROR(X245/H245,"0")+IFERROR(X246/H246,"0")+IFERROR(X247/H247,"0")</f>
        <v/>
      </c>
      <c r="Y248" s="1079">
        <f>IFERROR(Y239/H239,"0")+IFERROR(Y240/H240,"0")+IFERROR(Y241/H241,"0")+IFERROR(Y242/H242,"0")+IFERROR(Y243/H243,"0")+IFERROR(Y244/H244,"0")+IFERROR(Y245/H245,"0")+IFERROR(Y246/H246,"0")+IFERROR(Y247/H247,"0")</f>
        <v/>
      </c>
      <c r="Z248" s="1079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/>
      </c>
      <c r="AA248" s="1080" t="n"/>
      <c r="AB248" s="1080" t="n"/>
      <c r="AC248" s="1080" t="n"/>
    </row>
    <row r="249">
      <c r="A249" s="1019" t="n"/>
      <c r="B249" s="1019" t="n"/>
      <c r="C249" s="1019" t="n"/>
      <c r="D249" s="1019" t="n"/>
      <c r="E249" s="1019" t="n"/>
      <c r="F249" s="1019" t="n"/>
      <c r="G249" s="1019" t="n"/>
      <c r="H249" s="1019" t="n"/>
      <c r="I249" s="1019" t="n"/>
      <c r="J249" s="1019" t="n"/>
      <c r="K249" s="1019" t="n"/>
      <c r="L249" s="1019" t="n"/>
      <c r="M249" s="1019" t="n"/>
      <c r="N249" s="1019" t="n"/>
      <c r="O249" s="1077" t="n"/>
      <c r="P249" s="1078" t="inlineStr">
        <is>
          <t>Итого</t>
        </is>
      </c>
      <c r="Q249" s="1039" t="n"/>
      <c r="R249" s="1039" t="n"/>
      <c r="S249" s="1039" t="n"/>
      <c r="T249" s="1039" t="n"/>
      <c r="U249" s="1039" t="n"/>
      <c r="V249" s="1040" t="n"/>
      <c r="W249" s="42" t="inlineStr">
        <is>
          <t>кг</t>
        </is>
      </c>
      <c r="X249" s="1079">
        <f>IFERROR(SUM(X239:X247),"0")</f>
        <v/>
      </c>
      <c r="Y249" s="1079">
        <f>IFERROR(SUM(Y239:Y247),"0")</f>
        <v/>
      </c>
      <c r="Z249" s="42" t="n"/>
      <c r="AA249" s="1080" t="n"/>
      <c r="AB249" s="1080" t="n"/>
      <c r="AC249" s="1080" t="n"/>
    </row>
    <row r="250" ht="14.25" customHeight="1">
      <c r="A250" s="722" t="inlineStr">
        <is>
          <t>Сырокопченые колбасы</t>
        </is>
      </c>
      <c r="B250" s="1019" t="n"/>
      <c r="C250" s="1019" t="n"/>
      <c r="D250" s="1019" t="n"/>
      <c r="E250" s="1019" t="n"/>
      <c r="F250" s="1019" t="n"/>
      <c r="G250" s="1019" t="n"/>
      <c r="H250" s="1019" t="n"/>
      <c r="I250" s="1019" t="n"/>
      <c r="J250" s="1019" t="n"/>
      <c r="K250" s="1019" t="n"/>
      <c r="L250" s="1019" t="n"/>
      <c r="M250" s="1019" t="n"/>
      <c r="N250" s="1019" t="n"/>
      <c r="O250" s="1019" t="n"/>
      <c r="P250" s="1019" t="n"/>
      <c r="Q250" s="1019" t="n"/>
      <c r="R250" s="1019" t="n"/>
      <c r="S250" s="1019" t="n"/>
      <c r="T250" s="1019" t="n"/>
      <c r="U250" s="1019" t="n"/>
      <c r="V250" s="1019" t="n"/>
      <c r="W250" s="1019" t="n"/>
      <c r="X250" s="1019" t="n"/>
      <c r="Y250" s="1019" t="n"/>
      <c r="Z250" s="1019" t="n"/>
      <c r="AA250" s="722" t="n"/>
      <c r="AB250" s="722" t="n"/>
      <c r="AC250" s="722" t="n"/>
    </row>
    <row r="251" ht="27" customHeight="1">
      <c r="A251" s="63" t="inlineStr">
        <is>
          <t>SU003895</t>
        </is>
      </c>
      <c r="B251" s="63" t="inlineStr">
        <is>
          <t>P004981</t>
        </is>
      </c>
      <c r="C251" s="36" t="n">
        <v>4301032053</v>
      </c>
      <c r="D251" s="723" t="n">
        <v>4680115886780</v>
      </c>
      <c r="E251" s="1031" t="n"/>
      <c r="F251" s="1070" t="n">
        <v>0.07000000000000001</v>
      </c>
      <c r="G251" s="37" t="n">
        <v>18</v>
      </c>
      <c r="H251" s="1070" t="n">
        <v>1.26</v>
      </c>
      <c r="I251" s="1070" t="n">
        <v>1.45</v>
      </c>
      <c r="J251" s="37" t="n">
        <v>216</v>
      </c>
      <c r="K251" s="37" t="inlineStr">
        <is>
          <t>27</t>
        </is>
      </c>
      <c r="L251" s="37" t="inlineStr"/>
      <c r="M251" s="38" t="inlineStr">
        <is>
          <t>МЗР</t>
        </is>
      </c>
      <c r="N251" s="38" t="n"/>
      <c r="O251" s="37" t="n">
        <v>60</v>
      </c>
      <c r="P251" s="1208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51" s="1072" t="n"/>
      <c r="R251" s="1072" t="n"/>
      <c r="S251" s="1072" t="n"/>
      <c r="T251" s="1073" t="n"/>
      <c r="U251" s="39" t="inlineStr"/>
      <c r="V251" s="39" t="inlineStr"/>
      <c r="W251" s="40" t="inlineStr">
        <is>
          <t>кг</t>
        </is>
      </c>
      <c r="X251" s="1074" t="n">
        <v>0</v>
      </c>
      <c r="Y251" s="1075">
        <f>IFERROR(IF(X251="",0,CEILING((X251/$H251),1)*$H251),"")</f>
        <v/>
      </c>
      <c r="Z251" s="41">
        <f>IFERROR(IF(Y251=0,"",ROUNDUP(Y251/H251,0)*0.0059),"")</f>
        <v/>
      </c>
      <c r="AA251" s="68" t="inlineStr"/>
      <c r="AB251" s="69" t="inlineStr"/>
      <c r="AC251" s="344" t="inlineStr">
        <is>
          <t>ЕАЭС N RU Д-RU.РА03.В.06444/25</t>
        </is>
      </c>
      <c r="AG251" s="78" t="n"/>
      <c r="AJ251" s="84" t="inlineStr"/>
      <c r="AK251" s="84" t="n">
        <v>0</v>
      </c>
      <c r="BB251" s="345" t="inlineStr">
        <is>
          <t>КИ</t>
        </is>
      </c>
      <c r="BM251" s="78">
        <f>IFERROR(X251*I251/H251,"0")</f>
        <v/>
      </c>
      <c r="BN251" s="78">
        <f>IFERROR(Y251*I251/H251,"0")</f>
        <v/>
      </c>
      <c r="BO251" s="78">
        <f>IFERROR(1/J251*(X251/H251),"0")</f>
        <v/>
      </c>
      <c r="BP251" s="78">
        <f>IFERROR(1/J251*(Y251/H251),"0")</f>
        <v/>
      </c>
    </row>
    <row r="252" ht="27" customHeight="1">
      <c r="A252" s="63" t="inlineStr">
        <is>
          <t>SU003893</t>
        </is>
      </c>
      <c r="B252" s="63" t="inlineStr">
        <is>
          <t>P004978</t>
        </is>
      </c>
      <c r="C252" s="36" t="n">
        <v>4301032051</v>
      </c>
      <c r="D252" s="723" t="n">
        <v>4680115886742</v>
      </c>
      <c r="E252" s="1031" t="n"/>
      <c r="F252" s="1070" t="n">
        <v>0.07000000000000001</v>
      </c>
      <c r="G252" s="37" t="n">
        <v>18</v>
      </c>
      <c r="H252" s="1070" t="n">
        <v>1.26</v>
      </c>
      <c r="I252" s="1070" t="n">
        <v>1.45</v>
      </c>
      <c r="J252" s="37" t="n">
        <v>216</v>
      </c>
      <c r="K252" s="37" t="inlineStr">
        <is>
          <t>27</t>
        </is>
      </c>
      <c r="L252" s="37" t="inlineStr"/>
      <c r="M252" s="38" t="inlineStr">
        <is>
          <t>МЗР</t>
        </is>
      </c>
      <c r="N252" s="38" t="n"/>
      <c r="O252" s="37" t="n">
        <v>90</v>
      </c>
      <c r="P252" s="1209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52" s="1072" t="n"/>
      <c r="R252" s="1072" t="n"/>
      <c r="S252" s="1072" t="n"/>
      <c r="T252" s="1073" t="n"/>
      <c r="U252" s="39" t="inlineStr"/>
      <c r="V252" s="39" t="inlineStr"/>
      <c r="W252" s="40" t="inlineStr">
        <is>
          <t>кг</t>
        </is>
      </c>
      <c r="X252" s="1074" t="n">
        <v>4</v>
      </c>
      <c r="Y252" s="1075">
        <f>IFERROR(IF(X252="",0,CEILING((X252/$H252),1)*$H252),"")</f>
        <v/>
      </c>
      <c r="Z252" s="41">
        <f>IFERROR(IF(Y252=0,"",ROUNDUP(Y252/H252,0)*0.0059),"")</f>
        <v/>
      </c>
      <c r="AA252" s="68" t="inlineStr"/>
      <c r="AB252" s="69" t="inlineStr"/>
      <c r="AC252" s="346" t="inlineStr">
        <is>
          <t>ЕАЭС N RU Д-RU.РА03.В.02441/25</t>
        </is>
      </c>
      <c r="AG252" s="78" t="n"/>
      <c r="AJ252" s="84" t="inlineStr"/>
      <c r="AK252" s="84" t="n">
        <v>0</v>
      </c>
      <c r="BB252" s="347" t="inlineStr">
        <is>
          <t>КИ</t>
        </is>
      </c>
      <c r="BM252" s="78">
        <f>IFERROR(X252*I252/H252,"0")</f>
        <v/>
      </c>
      <c r="BN252" s="78">
        <f>IFERROR(Y252*I252/H252,"0")</f>
        <v/>
      </c>
      <c r="BO252" s="78">
        <f>IFERROR(1/J252*(X252/H252),"0")</f>
        <v/>
      </c>
      <c r="BP252" s="78">
        <f>IFERROR(1/J252*(Y252/H252),"0")</f>
        <v/>
      </c>
    </row>
    <row r="253" ht="27" customHeight="1">
      <c r="A253" s="63" t="inlineStr">
        <is>
          <t>SU003894</t>
        </is>
      </c>
      <c r="B253" s="63" t="inlineStr">
        <is>
          <t>P004979</t>
        </is>
      </c>
      <c r="C253" s="36" t="n">
        <v>4301032052</v>
      </c>
      <c r="D253" s="723" t="n">
        <v>4680115886766</v>
      </c>
      <c r="E253" s="1031" t="n"/>
      <c r="F253" s="1070" t="n">
        <v>0.07000000000000001</v>
      </c>
      <c r="G253" s="37" t="n">
        <v>18</v>
      </c>
      <c r="H253" s="1070" t="n">
        <v>1.26</v>
      </c>
      <c r="I253" s="1070" t="n">
        <v>1.45</v>
      </c>
      <c r="J253" s="37" t="n">
        <v>216</v>
      </c>
      <c r="K253" s="37" t="inlineStr">
        <is>
          <t>27</t>
        </is>
      </c>
      <c r="L253" s="37" t="inlineStr"/>
      <c r="M253" s="38" t="inlineStr">
        <is>
          <t>МЗР</t>
        </is>
      </c>
      <c r="N253" s="38" t="n"/>
      <c r="O253" s="37" t="n">
        <v>90</v>
      </c>
      <c r="P253" s="1210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53" s="1072" t="n"/>
      <c r="R253" s="1072" t="n"/>
      <c r="S253" s="1072" t="n"/>
      <c r="T253" s="1073" t="n"/>
      <c r="U253" s="39" t="inlineStr"/>
      <c r="V253" s="39" t="inlineStr"/>
      <c r="W253" s="40" t="inlineStr">
        <is>
          <t>кг</t>
        </is>
      </c>
      <c r="X253" s="1074" t="n">
        <v>4</v>
      </c>
      <c r="Y253" s="1075">
        <f>IFERROR(IF(X253="",0,CEILING((X253/$H253),1)*$H253),"")</f>
        <v/>
      </c>
      <c r="Z253" s="41">
        <f>IFERROR(IF(Y253=0,"",ROUNDUP(Y253/H253,0)*0.0059),"")</f>
        <v/>
      </c>
      <c r="AA253" s="68" t="inlineStr"/>
      <c r="AB253" s="69" t="inlineStr"/>
      <c r="AC253" s="348" t="inlineStr">
        <is>
          <t>ЕАЭС N RU Д-RU.РА03.В.02441/25</t>
        </is>
      </c>
      <c r="AG253" s="78" t="n"/>
      <c r="AJ253" s="84" t="inlineStr"/>
      <c r="AK253" s="84" t="n">
        <v>0</v>
      </c>
      <c r="BB253" s="349" t="inlineStr">
        <is>
          <t>КИ</t>
        </is>
      </c>
      <c r="BM253" s="78">
        <f>IFERROR(X253*I253/H253,"0")</f>
        <v/>
      </c>
      <c r="BN253" s="78">
        <f>IFERROR(Y253*I253/H253,"0")</f>
        <v/>
      </c>
      <c r="BO253" s="78">
        <f>IFERROR(1/J253*(X253/H253),"0")</f>
        <v/>
      </c>
      <c r="BP253" s="78">
        <f>IFERROR(1/J253*(Y253/H253),"0")</f>
        <v/>
      </c>
    </row>
    <row r="254">
      <c r="A254" s="732" t="n"/>
      <c r="B254" s="1019" t="n"/>
      <c r="C254" s="1019" t="n"/>
      <c r="D254" s="1019" t="n"/>
      <c r="E254" s="1019" t="n"/>
      <c r="F254" s="1019" t="n"/>
      <c r="G254" s="1019" t="n"/>
      <c r="H254" s="1019" t="n"/>
      <c r="I254" s="1019" t="n"/>
      <c r="J254" s="1019" t="n"/>
      <c r="K254" s="1019" t="n"/>
      <c r="L254" s="1019" t="n"/>
      <c r="M254" s="1019" t="n"/>
      <c r="N254" s="1019" t="n"/>
      <c r="O254" s="1077" t="n"/>
      <c r="P254" s="1078" t="inlineStr">
        <is>
          <t>Итого</t>
        </is>
      </c>
      <c r="Q254" s="1039" t="n"/>
      <c r="R254" s="1039" t="n"/>
      <c r="S254" s="1039" t="n"/>
      <c r="T254" s="1039" t="n"/>
      <c r="U254" s="1039" t="n"/>
      <c r="V254" s="1040" t="n"/>
      <c r="W254" s="42" t="inlineStr">
        <is>
          <t>кор</t>
        </is>
      </c>
      <c r="X254" s="1079">
        <f>IFERROR(X251/H251,"0")+IFERROR(X252/H252,"0")+IFERROR(X253/H253,"0")</f>
        <v/>
      </c>
      <c r="Y254" s="1079">
        <f>IFERROR(Y251/H251,"0")+IFERROR(Y252/H252,"0")+IFERROR(Y253/H253,"0")</f>
        <v/>
      </c>
      <c r="Z254" s="1079">
        <f>IFERROR(IF(Z251="",0,Z251),"0")+IFERROR(IF(Z252="",0,Z252),"0")+IFERROR(IF(Z253="",0,Z253),"0")</f>
        <v/>
      </c>
      <c r="AA254" s="1080" t="n"/>
      <c r="AB254" s="1080" t="n"/>
      <c r="AC254" s="1080" t="n"/>
    </row>
    <row r="255">
      <c r="A255" s="1019" t="n"/>
      <c r="B255" s="1019" t="n"/>
      <c r="C255" s="1019" t="n"/>
      <c r="D255" s="1019" t="n"/>
      <c r="E255" s="1019" t="n"/>
      <c r="F255" s="1019" t="n"/>
      <c r="G255" s="1019" t="n"/>
      <c r="H255" s="1019" t="n"/>
      <c r="I255" s="1019" t="n"/>
      <c r="J255" s="1019" t="n"/>
      <c r="K255" s="1019" t="n"/>
      <c r="L255" s="1019" t="n"/>
      <c r="M255" s="1019" t="n"/>
      <c r="N255" s="1019" t="n"/>
      <c r="O255" s="1077" t="n"/>
      <c r="P255" s="1078" t="inlineStr">
        <is>
          <t>Итого</t>
        </is>
      </c>
      <c r="Q255" s="1039" t="n"/>
      <c r="R255" s="1039" t="n"/>
      <c r="S255" s="1039" t="n"/>
      <c r="T255" s="1039" t="n"/>
      <c r="U255" s="1039" t="n"/>
      <c r="V255" s="1040" t="n"/>
      <c r="W255" s="42" t="inlineStr">
        <is>
          <t>кг</t>
        </is>
      </c>
      <c r="X255" s="1079">
        <f>IFERROR(SUM(X251:X253),"0")</f>
        <v/>
      </c>
      <c r="Y255" s="1079">
        <f>IFERROR(SUM(Y251:Y253),"0")</f>
        <v/>
      </c>
      <c r="Z255" s="42" t="n"/>
      <c r="AA255" s="1080" t="n"/>
      <c r="AB255" s="1080" t="n"/>
      <c r="AC255" s="1080" t="n"/>
    </row>
    <row r="256" ht="14.25" customHeight="1">
      <c r="A256" s="722" t="inlineStr">
        <is>
          <t>Сыровяленые колбасы</t>
        </is>
      </c>
      <c r="B256" s="1019" t="n"/>
      <c r="C256" s="1019" t="n"/>
      <c r="D256" s="1019" t="n"/>
      <c r="E256" s="1019" t="n"/>
      <c r="F256" s="1019" t="n"/>
      <c r="G256" s="1019" t="n"/>
      <c r="H256" s="1019" t="n"/>
      <c r="I256" s="1019" t="n"/>
      <c r="J256" s="1019" t="n"/>
      <c r="K256" s="1019" t="n"/>
      <c r="L256" s="1019" t="n"/>
      <c r="M256" s="1019" t="n"/>
      <c r="N256" s="1019" t="n"/>
      <c r="O256" s="1019" t="n"/>
      <c r="P256" s="1019" t="n"/>
      <c r="Q256" s="1019" t="n"/>
      <c r="R256" s="1019" t="n"/>
      <c r="S256" s="1019" t="n"/>
      <c r="T256" s="1019" t="n"/>
      <c r="U256" s="1019" t="n"/>
      <c r="V256" s="1019" t="n"/>
      <c r="W256" s="1019" t="n"/>
      <c r="X256" s="1019" t="n"/>
      <c r="Y256" s="1019" t="n"/>
      <c r="Z256" s="1019" t="n"/>
      <c r="AA256" s="722" t="n"/>
      <c r="AB256" s="722" t="n"/>
      <c r="AC256" s="722" t="n"/>
    </row>
    <row r="257" ht="27" customHeight="1">
      <c r="A257" s="63" t="inlineStr">
        <is>
          <t>SU003896</t>
        </is>
      </c>
      <c r="B257" s="63" t="inlineStr">
        <is>
          <t>P004982</t>
        </is>
      </c>
      <c r="C257" s="36" t="n">
        <v>4301170013</v>
      </c>
      <c r="D257" s="723" t="n">
        <v>4680115886797</v>
      </c>
      <c r="E257" s="1031" t="n"/>
      <c r="F257" s="1070" t="n">
        <v>0.07000000000000001</v>
      </c>
      <c r="G257" s="37" t="n">
        <v>18</v>
      </c>
      <c r="H257" s="1070" t="n">
        <v>1.26</v>
      </c>
      <c r="I257" s="1070" t="n">
        <v>1.45</v>
      </c>
      <c r="J257" s="37" t="n">
        <v>216</v>
      </c>
      <c r="K257" s="37" t="inlineStr">
        <is>
          <t>27</t>
        </is>
      </c>
      <c r="L257" s="37" t="inlineStr"/>
      <c r="M257" s="38" t="inlineStr">
        <is>
          <t>МЗР</t>
        </is>
      </c>
      <c r="N257" s="38" t="n"/>
      <c r="O257" s="37" t="n">
        <v>90</v>
      </c>
      <c r="P257" s="1211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57" s="1072" t="n"/>
      <c r="R257" s="1072" t="n"/>
      <c r="S257" s="1072" t="n"/>
      <c r="T257" s="1073" t="n"/>
      <c r="U257" s="39" t="inlineStr"/>
      <c r="V257" s="39" t="inlineStr"/>
      <c r="W257" s="40" t="inlineStr">
        <is>
          <t>кг</t>
        </is>
      </c>
      <c r="X257" s="1074" t="n">
        <v>4</v>
      </c>
      <c r="Y257" s="1075">
        <f>IFERROR(IF(X257="",0,CEILING((X257/$H257),1)*$H257),"")</f>
        <v/>
      </c>
      <c r="Z257" s="41">
        <f>IFERROR(IF(Y257=0,"",ROUNDUP(Y257/H257,0)*0.0059),"")</f>
        <v/>
      </c>
      <c r="AA257" s="68" t="inlineStr"/>
      <c r="AB257" s="69" t="inlineStr"/>
      <c r="AC257" s="350" t="inlineStr">
        <is>
          <t>ЕАЭС N RU Д-RU.РА03.В.02441/25</t>
        </is>
      </c>
      <c r="AG257" s="78" t="n"/>
      <c r="AJ257" s="84" t="inlineStr"/>
      <c r="AK257" s="84" t="n">
        <v>0</v>
      </c>
      <c r="BB257" s="351" t="inlineStr">
        <is>
          <t>КИ</t>
        </is>
      </c>
      <c r="BM257" s="78">
        <f>IFERROR(X257*I257/H257,"0")</f>
        <v/>
      </c>
      <c r="BN257" s="78">
        <f>IFERROR(Y257*I257/H257,"0")</f>
        <v/>
      </c>
      <c r="BO257" s="78">
        <f>IFERROR(1/J257*(X257/H257),"0")</f>
        <v/>
      </c>
      <c r="BP257" s="78">
        <f>IFERROR(1/J257*(Y257/H257),"0")</f>
        <v/>
      </c>
    </row>
    <row r="258">
      <c r="A258" s="732" t="n"/>
      <c r="B258" s="1019" t="n"/>
      <c r="C258" s="1019" t="n"/>
      <c r="D258" s="1019" t="n"/>
      <c r="E258" s="1019" t="n"/>
      <c r="F258" s="1019" t="n"/>
      <c r="G258" s="1019" t="n"/>
      <c r="H258" s="1019" t="n"/>
      <c r="I258" s="1019" t="n"/>
      <c r="J258" s="1019" t="n"/>
      <c r="K258" s="1019" t="n"/>
      <c r="L258" s="1019" t="n"/>
      <c r="M258" s="1019" t="n"/>
      <c r="N258" s="1019" t="n"/>
      <c r="O258" s="1077" t="n"/>
      <c r="P258" s="1078" t="inlineStr">
        <is>
          <t>Итого</t>
        </is>
      </c>
      <c r="Q258" s="1039" t="n"/>
      <c r="R258" s="1039" t="n"/>
      <c r="S258" s="1039" t="n"/>
      <c r="T258" s="1039" t="n"/>
      <c r="U258" s="1039" t="n"/>
      <c r="V258" s="1040" t="n"/>
      <c r="W258" s="42" t="inlineStr">
        <is>
          <t>кор</t>
        </is>
      </c>
      <c r="X258" s="1079">
        <f>IFERROR(X257/H257,"0")</f>
        <v/>
      </c>
      <c r="Y258" s="1079">
        <f>IFERROR(Y257/H257,"0")</f>
        <v/>
      </c>
      <c r="Z258" s="1079">
        <f>IFERROR(IF(Z257="",0,Z257),"0")</f>
        <v/>
      </c>
      <c r="AA258" s="1080" t="n"/>
      <c r="AB258" s="1080" t="n"/>
      <c r="AC258" s="1080" t="n"/>
    </row>
    <row r="259">
      <c r="A259" s="1019" t="n"/>
      <c r="B259" s="1019" t="n"/>
      <c r="C259" s="1019" t="n"/>
      <c r="D259" s="1019" t="n"/>
      <c r="E259" s="1019" t="n"/>
      <c r="F259" s="1019" t="n"/>
      <c r="G259" s="1019" t="n"/>
      <c r="H259" s="1019" t="n"/>
      <c r="I259" s="1019" t="n"/>
      <c r="J259" s="1019" t="n"/>
      <c r="K259" s="1019" t="n"/>
      <c r="L259" s="1019" t="n"/>
      <c r="M259" s="1019" t="n"/>
      <c r="N259" s="1019" t="n"/>
      <c r="O259" s="1077" t="n"/>
      <c r="P259" s="1078" t="inlineStr">
        <is>
          <t>Итого</t>
        </is>
      </c>
      <c r="Q259" s="1039" t="n"/>
      <c r="R259" s="1039" t="n"/>
      <c r="S259" s="1039" t="n"/>
      <c r="T259" s="1039" t="n"/>
      <c r="U259" s="1039" t="n"/>
      <c r="V259" s="1040" t="n"/>
      <c r="W259" s="42" t="inlineStr">
        <is>
          <t>кг</t>
        </is>
      </c>
      <c r="X259" s="1079">
        <f>IFERROR(SUM(X257:X257),"0")</f>
        <v/>
      </c>
      <c r="Y259" s="1079">
        <f>IFERROR(SUM(Y257:Y257),"0")</f>
        <v/>
      </c>
      <c r="Z259" s="42" t="n"/>
      <c r="AA259" s="1080" t="n"/>
      <c r="AB259" s="1080" t="n"/>
      <c r="AC259" s="1080" t="n"/>
    </row>
    <row r="260" ht="16.5" customHeight="1">
      <c r="A260" s="721" t="inlineStr">
        <is>
          <t>Сочинка</t>
        </is>
      </c>
      <c r="B260" s="1019" t="n"/>
      <c r="C260" s="1019" t="n"/>
      <c r="D260" s="1019" t="n"/>
      <c r="E260" s="1019" t="n"/>
      <c r="F260" s="1019" t="n"/>
      <c r="G260" s="1019" t="n"/>
      <c r="H260" s="1019" t="n"/>
      <c r="I260" s="1019" t="n"/>
      <c r="J260" s="1019" t="n"/>
      <c r="K260" s="1019" t="n"/>
      <c r="L260" s="1019" t="n"/>
      <c r="M260" s="1019" t="n"/>
      <c r="N260" s="1019" t="n"/>
      <c r="O260" s="1019" t="n"/>
      <c r="P260" s="1019" t="n"/>
      <c r="Q260" s="1019" t="n"/>
      <c r="R260" s="1019" t="n"/>
      <c r="S260" s="1019" t="n"/>
      <c r="T260" s="1019" t="n"/>
      <c r="U260" s="1019" t="n"/>
      <c r="V260" s="1019" t="n"/>
      <c r="W260" s="1019" t="n"/>
      <c r="X260" s="1019" t="n"/>
      <c r="Y260" s="1019" t="n"/>
      <c r="Z260" s="1019" t="n"/>
      <c r="AA260" s="721" t="n"/>
      <c r="AB260" s="721" t="n"/>
      <c r="AC260" s="721" t="n"/>
    </row>
    <row r="261" ht="14.25" customHeight="1">
      <c r="A261" s="722" t="inlineStr">
        <is>
          <t>Вареные колбасы</t>
        </is>
      </c>
      <c r="B261" s="1019" t="n"/>
      <c r="C261" s="1019" t="n"/>
      <c r="D261" s="1019" t="n"/>
      <c r="E261" s="1019" t="n"/>
      <c r="F261" s="1019" t="n"/>
      <c r="G261" s="1019" t="n"/>
      <c r="H261" s="1019" t="n"/>
      <c r="I261" s="1019" t="n"/>
      <c r="J261" s="1019" t="n"/>
      <c r="K261" s="1019" t="n"/>
      <c r="L261" s="1019" t="n"/>
      <c r="M261" s="1019" t="n"/>
      <c r="N261" s="1019" t="n"/>
      <c r="O261" s="1019" t="n"/>
      <c r="P261" s="1019" t="n"/>
      <c r="Q261" s="1019" t="n"/>
      <c r="R261" s="1019" t="n"/>
      <c r="S261" s="1019" t="n"/>
      <c r="T261" s="1019" t="n"/>
      <c r="U261" s="1019" t="n"/>
      <c r="V261" s="1019" t="n"/>
      <c r="W261" s="1019" t="n"/>
      <c r="X261" s="1019" t="n"/>
      <c r="Y261" s="1019" t="n"/>
      <c r="Z261" s="1019" t="n"/>
      <c r="AA261" s="722" t="n"/>
      <c r="AB261" s="722" t="n"/>
      <c r="AC261" s="722" t="n"/>
    </row>
    <row r="262" ht="27" customHeight="1">
      <c r="A262" s="63" t="inlineStr">
        <is>
          <t>SU002824</t>
        </is>
      </c>
      <c r="B262" s="63" t="inlineStr">
        <is>
          <t>P003231</t>
        </is>
      </c>
      <c r="C262" s="36" t="n">
        <v>4301011450</v>
      </c>
      <c r="D262" s="723" t="n">
        <v>4680115881402</v>
      </c>
      <c r="E262" s="1031" t="n"/>
      <c r="F262" s="1070" t="n">
        <v>1.35</v>
      </c>
      <c r="G262" s="37" t="n">
        <v>8</v>
      </c>
      <c r="H262" s="1070" t="n">
        <v>10.8</v>
      </c>
      <c r="I262" s="1070" t="n">
        <v>11.21</v>
      </c>
      <c r="J262" s="37" t="n">
        <v>64</v>
      </c>
      <c r="K262" s="37" t="inlineStr">
        <is>
          <t>8</t>
        </is>
      </c>
      <c r="L262" s="37" t="inlineStr"/>
      <c r="M262" s="38" t="inlineStr">
        <is>
          <t>СК1</t>
        </is>
      </c>
      <c r="N262" s="38" t="n"/>
      <c r="O262" s="37" t="n">
        <v>55</v>
      </c>
      <c r="P262" s="1212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62" s="1072" t="n"/>
      <c r="R262" s="1072" t="n"/>
      <c r="S262" s="1072" t="n"/>
      <c r="T262" s="1073" t="n"/>
      <c r="U262" s="39" t="inlineStr"/>
      <c r="V262" s="39" t="inlineStr"/>
      <c r="W262" s="40" t="inlineStr">
        <is>
          <t>кг</t>
        </is>
      </c>
      <c r="X262" s="1074" t="n">
        <v>0</v>
      </c>
      <c r="Y262" s="1075">
        <f>IFERROR(IF(X262="",0,CEILING((X262/$H262),1)*$H262),"")</f>
        <v/>
      </c>
      <c r="Z262" s="41">
        <f>IFERROR(IF(Y262=0,"",ROUNDUP(Y262/H262,0)*0.01898),"")</f>
        <v/>
      </c>
      <c r="AA262" s="68" t="inlineStr"/>
      <c r="AB262" s="69" t="inlineStr"/>
      <c r="AC262" s="352" t="inlineStr">
        <is>
          <t>ЕАЭС N RU Д-RU.РА03.В.02609/25, ЕАЭС N RU Д-RU.РА09.В.00972/22</t>
        </is>
      </c>
      <c r="AG262" s="78" t="n"/>
      <c r="AJ262" s="84" t="inlineStr"/>
      <c r="AK262" s="84" t="n">
        <v>0</v>
      </c>
      <c r="BB262" s="353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27" customHeight="1">
      <c r="A263" s="63" t="inlineStr">
        <is>
          <t>SU002823</t>
        </is>
      </c>
      <c r="B263" s="63" t="inlineStr">
        <is>
          <t>P003230</t>
        </is>
      </c>
      <c r="C263" s="36" t="n">
        <v>4301011768</v>
      </c>
      <c r="D263" s="723" t="n">
        <v>4680115881396</v>
      </c>
      <c r="E263" s="1031" t="n"/>
      <c r="F263" s="1070" t="n">
        <v>0.45</v>
      </c>
      <c r="G263" s="37" t="n">
        <v>6</v>
      </c>
      <c r="H263" s="1070" t="n">
        <v>2.7</v>
      </c>
      <c r="I263" s="1070" t="n">
        <v>2.88</v>
      </c>
      <c r="J263" s="37" t="n">
        <v>182</v>
      </c>
      <c r="K263" s="37" t="inlineStr">
        <is>
          <t>14</t>
        </is>
      </c>
      <c r="L263" s="37" t="inlineStr"/>
      <c r="M263" s="38" t="inlineStr">
        <is>
          <t>СК1</t>
        </is>
      </c>
      <c r="N263" s="38" t="n"/>
      <c r="O263" s="37" t="n">
        <v>55</v>
      </c>
      <c r="P263" s="1213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63" s="1072" t="n"/>
      <c r="R263" s="1072" t="n"/>
      <c r="S263" s="1072" t="n"/>
      <c r="T263" s="1073" t="n"/>
      <c r="U263" s="39" t="inlineStr"/>
      <c r="V263" s="39" t="inlineStr"/>
      <c r="W263" s="40" t="inlineStr">
        <is>
          <t>кг</t>
        </is>
      </c>
      <c r="X263" s="1074" t="n">
        <v>0</v>
      </c>
      <c r="Y263" s="1075">
        <f>IFERROR(IF(X263="",0,CEILING((X263/$H263),1)*$H263),"")</f>
        <v/>
      </c>
      <c r="Z263" s="41">
        <f>IFERROR(IF(Y263=0,"",ROUNDUP(Y263/H263,0)*0.00651),"")</f>
        <v/>
      </c>
      <c r="AA263" s="68" t="inlineStr"/>
      <c r="AB263" s="69" t="inlineStr"/>
      <c r="AC263" s="354" t="inlineStr">
        <is>
          <t>ЕАЭС N RU Д-RU.РА03.В.02609/25, ЕАЭС N RU Д-RU.РА09.В.00972/22</t>
        </is>
      </c>
      <c r="AG263" s="78" t="n"/>
      <c r="AJ263" s="84" t="inlineStr"/>
      <c r="AK263" s="84" t="n">
        <v>0</v>
      </c>
      <c r="BB263" s="355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>
      <c r="A264" s="732" t="n"/>
      <c r="B264" s="1019" t="n"/>
      <c r="C264" s="1019" t="n"/>
      <c r="D264" s="1019" t="n"/>
      <c r="E264" s="1019" t="n"/>
      <c r="F264" s="1019" t="n"/>
      <c r="G264" s="1019" t="n"/>
      <c r="H264" s="1019" t="n"/>
      <c r="I264" s="1019" t="n"/>
      <c r="J264" s="1019" t="n"/>
      <c r="K264" s="1019" t="n"/>
      <c r="L264" s="1019" t="n"/>
      <c r="M264" s="1019" t="n"/>
      <c r="N264" s="1019" t="n"/>
      <c r="O264" s="1077" t="n"/>
      <c r="P264" s="1078" t="inlineStr">
        <is>
          <t>Итого</t>
        </is>
      </c>
      <c r="Q264" s="1039" t="n"/>
      <c r="R264" s="1039" t="n"/>
      <c r="S264" s="1039" t="n"/>
      <c r="T264" s="1039" t="n"/>
      <c r="U264" s="1039" t="n"/>
      <c r="V264" s="1040" t="n"/>
      <c r="W264" s="42" t="inlineStr">
        <is>
          <t>кор</t>
        </is>
      </c>
      <c r="X264" s="1079">
        <f>IFERROR(X262/H262,"0")+IFERROR(X263/H263,"0")</f>
        <v/>
      </c>
      <c r="Y264" s="1079">
        <f>IFERROR(Y262/H262,"0")+IFERROR(Y263/H263,"0")</f>
        <v/>
      </c>
      <c r="Z264" s="1079">
        <f>IFERROR(IF(Z262="",0,Z262),"0")+IFERROR(IF(Z263="",0,Z263),"0")</f>
        <v/>
      </c>
      <c r="AA264" s="1080" t="n"/>
      <c r="AB264" s="1080" t="n"/>
      <c r="AC264" s="1080" t="n"/>
    </row>
    <row r="265">
      <c r="A265" s="1019" t="n"/>
      <c r="B265" s="1019" t="n"/>
      <c r="C265" s="1019" t="n"/>
      <c r="D265" s="1019" t="n"/>
      <c r="E265" s="1019" t="n"/>
      <c r="F265" s="1019" t="n"/>
      <c r="G265" s="1019" t="n"/>
      <c r="H265" s="1019" t="n"/>
      <c r="I265" s="1019" t="n"/>
      <c r="J265" s="1019" t="n"/>
      <c r="K265" s="1019" t="n"/>
      <c r="L265" s="1019" t="n"/>
      <c r="M265" s="1019" t="n"/>
      <c r="N265" s="1019" t="n"/>
      <c r="O265" s="1077" t="n"/>
      <c r="P265" s="1078" t="inlineStr">
        <is>
          <t>Итого</t>
        </is>
      </c>
      <c r="Q265" s="1039" t="n"/>
      <c r="R265" s="1039" t="n"/>
      <c r="S265" s="1039" t="n"/>
      <c r="T265" s="1039" t="n"/>
      <c r="U265" s="1039" t="n"/>
      <c r="V265" s="1040" t="n"/>
      <c r="W265" s="42" t="inlineStr">
        <is>
          <t>кг</t>
        </is>
      </c>
      <c r="X265" s="1079">
        <f>IFERROR(SUM(X262:X263),"0")</f>
        <v/>
      </c>
      <c r="Y265" s="1079">
        <f>IFERROR(SUM(Y262:Y263),"0")</f>
        <v/>
      </c>
      <c r="Z265" s="42" t="n"/>
      <c r="AA265" s="1080" t="n"/>
      <c r="AB265" s="1080" t="n"/>
      <c r="AC265" s="1080" t="n"/>
    </row>
    <row r="266" ht="14.25" customHeight="1">
      <c r="A266" s="722" t="inlineStr">
        <is>
          <t>Ветчины</t>
        </is>
      </c>
      <c r="B266" s="1019" t="n"/>
      <c r="C266" s="1019" t="n"/>
      <c r="D266" s="1019" t="n"/>
      <c r="E266" s="1019" t="n"/>
      <c r="F266" s="1019" t="n"/>
      <c r="G266" s="1019" t="n"/>
      <c r="H266" s="1019" t="n"/>
      <c r="I266" s="1019" t="n"/>
      <c r="J266" s="1019" t="n"/>
      <c r="K266" s="1019" t="n"/>
      <c r="L266" s="1019" t="n"/>
      <c r="M266" s="1019" t="n"/>
      <c r="N266" s="1019" t="n"/>
      <c r="O266" s="1019" t="n"/>
      <c r="P266" s="1019" t="n"/>
      <c r="Q266" s="1019" t="n"/>
      <c r="R266" s="1019" t="n"/>
      <c r="S266" s="1019" t="n"/>
      <c r="T266" s="1019" t="n"/>
      <c r="U266" s="1019" t="n"/>
      <c r="V266" s="1019" t="n"/>
      <c r="W266" s="1019" t="n"/>
      <c r="X266" s="1019" t="n"/>
      <c r="Y266" s="1019" t="n"/>
      <c r="Z266" s="1019" t="n"/>
      <c r="AA266" s="722" t="n"/>
      <c r="AB266" s="722" t="n"/>
      <c r="AC266" s="722" t="n"/>
    </row>
    <row r="267" ht="16.5" customHeight="1">
      <c r="A267" s="63" t="inlineStr">
        <is>
          <t>SU003068</t>
        </is>
      </c>
      <c r="B267" s="63" t="inlineStr">
        <is>
          <t>P003611</t>
        </is>
      </c>
      <c r="C267" s="36" t="n">
        <v>4301020261</v>
      </c>
      <c r="D267" s="723" t="n">
        <v>4680115882935</v>
      </c>
      <c r="E267" s="1031" t="n"/>
      <c r="F267" s="1070" t="n">
        <v>1.35</v>
      </c>
      <c r="G267" s="37" t="n">
        <v>8</v>
      </c>
      <c r="H267" s="1070" t="n">
        <v>10.8</v>
      </c>
      <c r="I267" s="1070" t="n">
        <v>11.21</v>
      </c>
      <c r="J267" s="37" t="n">
        <v>64</v>
      </c>
      <c r="K267" s="37" t="inlineStr">
        <is>
          <t>8</t>
        </is>
      </c>
      <c r="L267" s="37" t="inlineStr"/>
      <c r="M267" s="38" t="inlineStr">
        <is>
          <t>СК1</t>
        </is>
      </c>
      <c r="N267" s="38" t="n"/>
      <c r="O267" s="37" t="n">
        <v>50</v>
      </c>
      <c r="P267" s="1214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67" s="1072" t="n"/>
      <c r="R267" s="1072" t="n"/>
      <c r="S267" s="1072" t="n"/>
      <c r="T267" s="1073" t="n"/>
      <c r="U267" s="39" t="inlineStr"/>
      <c r="V267" s="39" t="inlineStr"/>
      <c r="W267" s="40" t="inlineStr">
        <is>
          <t>кг</t>
        </is>
      </c>
      <c r="X267" s="1074" t="n">
        <v>0</v>
      </c>
      <c r="Y267" s="1075">
        <f>IFERROR(IF(X267="",0,CEILING((X267/$H267),1)*$H267),"")</f>
        <v/>
      </c>
      <c r="Z267" s="41">
        <f>IFERROR(IF(Y267=0,"",ROUNDUP(Y267/H267,0)*0.01898),"")</f>
        <v/>
      </c>
      <c r="AA267" s="68" t="inlineStr"/>
      <c r="AB267" s="69" t="inlineStr"/>
      <c r="AC267" s="356" t="inlineStr">
        <is>
          <t>ЕАЭС N RU Д-RU.РА10.В.31760/25</t>
        </is>
      </c>
      <c r="AG267" s="78" t="n"/>
      <c r="AJ267" s="84" t="inlineStr"/>
      <c r="AK267" s="84" t="n">
        <v>0</v>
      </c>
      <c r="BB267" s="357" t="inlineStr">
        <is>
          <t>КИ</t>
        </is>
      </c>
      <c r="BM267" s="78">
        <f>IFERROR(X267*I267/H267,"0")</f>
        <v/>
      </c>
      <c r="BN267" s="78">
        <f>IFERROR(Y267*I267/H267,"0")</f>
        <v/>
      </c>
      <c r="BO267" s="78">
        <f>IFERROR(1/J267*(X267/H267),"0")</f>
        <v/>
      </c>
      <c r="BP267" s="78">
        <f>IFERROR(1/J267*(Y267/H267),"0")</f>
        <v/>
      </c>
    </row>
    <row r="268" ht="16.5" customHeight="1">
      <c r="A268" s="63" t="inlineStr">
        <is>
          <t>SU002757</t>
        </is>
      </c>
      <c r="B268" s="63" t="inlineStr">
        <is>
          <t>P003128</t>
        </is>
      </c>
      <c r="C268" s="36" t="n">
        <v>4301020220</v>
      </c>
      <c r="D268" s="723" t="n">
        <v>4680115880764</v>
      </c>
      <c r="E268" s="1031" t="n"/>
      <c r="F268" s="1070" t="n">
        <v>0.35</v>
      </c>
      <c r="G268" s="37" t="n">
        <v>6</v>
      </c>
      <c r="H268" s="1070" t="n">
        <v>2.1</v>
      </c>
      <c r="I268" s="1070" t="n">
        <v>2.28</v>
      </c>
      <c r="J268" s="37" t="n">
        <v>182</v>
      </c>
      <c r="K268" s="37" t="inlineStr">
        <is>
          <t>14</t>
        </is>
      </c>
      <c r="L268" s="37" t="inlineStr"/>
      <c r="M268" s="38" t="inlineStr">
        <is>
          <t>СК1</t>
        </is>
      </c>
      <c r="N268" s="38" t="n"/>
      <c r="O268" s="37" t="n">
        <v>50</v>
      </c>
      <c r="P268" s="1215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68" s="1072" t="n"/>
      <c r="R268" s="1072" t="n"/>
      <c r="S268" s="1072" t="n"/>
      <c r="T268" s="1073" t="n"/>
      <c r="U268" s="39" t="inlineStr"/>
      <c r="V268" s="39" t="inlineStr"/>
      <c r="W268" s="40" t="inlineStr">
        <is>
          <t>кг</t>
        </is>
      </c>
      <c r="X268" s="1074" t="n">
        <v>0</v>
      </c>
      <c r="Y268" s="1075">
        <f>IFERROR(IF(X268="",0,CEILING((X268/$H268),1)*$H268),"")</f>
        <v/>
      </c>
      <c r="Z268" s="41">
        <f>IFERROR(IF(Y268=0,"",ROUNDUP(Y268/H268,0)*0.00651),"")</f>
        <v/>
      </c>
      <c r="AA268" s="68" t="inlineStr"/>
      <c r="AB268" s="69" t="inlineStr"/>
      <c r="AC268" s="358" t="inlineStr">
        <is>
          <t>ЕАЭС N RU Д-RU.РА10.В.31760/25</t>
        </is>
      </c>
      <c r="AG268" s="78" t="n"/>
      <c r="AJ268" s="84" t="inlineStr"/>
      <c r="AK268" s="84" t="n">
        <v>0</v>
      </c>
      <c r="BB268" s="359" t="inlineStr">
        <is>
          <t>КИ</t>
        </is>
      </c>
      <c r="BM268" s="78">
        <f>IFERROR(X268*I268/H268,"0")</f>
        <v/>
      </c>
      <c r="BN268" s="78">
        <f>IFERROR(Y268*I268/H268,"0")</f>
        <v/>
      </c>
      <c r="BO268" s="78">
        <f>IFERROR(1/J268*(X268/H268),"0")</f>
        <v/>
      </c>
      <c r="BP268" s="78">
        <f>IFERROR(1/J268*(Y268/H268),"0")</f>
        <v/>
      </c>
    </row>
    <row r="269">
      <c r="A269" s="732" t="n"/>
      <c r="B269" s="1019" t="n"/>
      <c r="C269" s="1019" t="n"/>
      <c r="D269" s="1019" t="n"/>
      <c r="E269" s="1019" t="n"/>
      <c r="F269" s="1019" t="n"/>
      <c r="G269" s="1019" t="n"/>
      <c r="H269" s="1019" t="n"/>
      <c r="I269" s="1019" t="n"/>
      <c r="J269" s="1019" t="n"/>
      <c r="K269" s="1019" t="n"/>
      <c r="L269" s="1019" t="n"/>
      <c r="M269" s="1019" t="n"/>
      <c r="N269" s="1019" t="n"/>
      <c r="O269" s="1077" t="n"/>
      <c r="P269" s="1078" t="inlineStr">
        <is>
          <t>Итого</t>
        </is>
      </c>
      <c r="Q269" s="1039" t="n"/>
      <c r="R269" s="1039" t="n"/>
      <c r="S269" s="1039" t="n"/>
      <c r="T269" s="1039" t="n"/>
      <c r="U269" s="1039" t="n"/>
      <c r="V269" s="1040" t="n"/>
      <c r="W269" s="42" t="inlineStr">
        <is>
          <t>кор</t>
        </is>
      </c>
      <c r="X269" s="1079">
        <f>IFERROR(X267/H267,"0")+IFERROR(X268/H268,"0")</f>
        <v/>
      </c>
      <c r="Y269" s="1079">
        <f>IFERROR(Y267/H267,"0")+IFERROR(Y268/H268,"0")</f>
        <v/>
      </c>
      <c r="Z269" s="1079">
        <f>IFERROR(IF(Z267="",0,Z267),"0")+IFERROR(IF(Z268="",0,Z268),"0")</f>
        <v/>
      </c>
      <c r="AA269" s="1080" t="n"/>
      <c r="AB269" s="1080" t="n"/>
      <c r="AC269" s="1080" t="n"/>
    </row>
    <row r="270">
      <c r="A270" s="1019" t="n"/>
      <c r="B270" s="1019" t="n"/>
      <c r="C270" s="1019" t="n"/>
      <c r="D270" s="1019" t="n"/>
      <c r="E270" s="1019" t="n"/>
      <c r="F270" s="1019" t="n"/>
      <c r="G270" s="1019" t="n"/>
      <c r="H270" s="1019" t="n"/>
      <c r="I270" s="1019" t="n"/>
      <c r="J270" s="1019" t="n"/>
      <c r="K270" s="1019" t="n"/>
      <c r="L270" s="1019" t="n"/>
      <c r="M270" s="1019" t="n"/>
      <c r="N270" s="1019" t="n"/>
      <c r="O270" s="1077" t="n"/>
      <c r="P270" s="1078" t="inlineStr">
        <is>
          <t>Итого</t>
        </is>
      </c>
      <c r="Q270" s="1039" t="n"/>
      <c r="R270" s="1039" t="n"/>
      <c r="S270" s="1039" t="n"/>
      <c r="T270" s="1039" t="n"/>
      <c r="U270" s="1039" t="n"/>
      <c r="V270" s="1040" t="n"/>
      <c r="W270" s="42" t="inlineStr">
        <is>
          <t>кг</t>
        </is>
      </c>
      <c r="X270" s="1079">
        <f>IFERROR(SUM(X267:X268),"0")</f>
        <v/>
      </c>
      <c r="Y270" s="1079">
        <f>IFERROR(SUM(Y267:Y268),"0")</f>
        <v/>
      </c>
      <c r="Z270" s="42" t="n"/>
      <c r="AA270" s="1080" t="n"/>
      <c r="AB270" s="1080" t="n"/>
      <c r="AC270" s="1080" t="n"/>
    </row>
    <row r="271" ht="14.25" customHeight="1">
      <c r="A271" s="722" t="inlineStr">
        <is>
          <t>Копченые колбасы</t>
        </is>
      </c>
      <c r="B271" s="1019" t="n"/>
      <c r="C271" s="1019" t="n"/>
      <c r="D271" s="1019" t="n"/>
      <c r="E271" s="1019" t="n"/>
      <c r="F271" s="1019" t="n"/>
      <c r="G271" s="1019" t="n"/>
      <c r="H271" s="1019" t="n"/>
      <c r="I271" s="1019" t="n"/>
      <c r="J271" s="1019" t="n"/>
      <c r="K271" s="1019" t="n"/>
      <c r="L271" s="1019" t="n"/>
      <c r="M271" s="1019" t="n"/>
      <c r="N271" s="1019" t="n"/>
      <c r="O271" s="1019" t="n"/>
      <c r="P271" s="1019" t="n"/>
      <c r="Q271" s="1019" t="n"/>
      <c r="R271" s="1019" t="n"/>
      <c r="S271" s="1019" t="n"/>
      <c r="T271" s="1019" t="n"/>
      <c r="U271" s="1019" t="n"/>
      <c r="V271" s="1019" t="n"/>
      <c r="W271" s="1019" t="n"/>
      <c r="X271" s="1019" t="n"/>
      <c r="Y271" s="1019" t="n"/>
      <c r="Z271" s="1019" t="n"/>
      <c r="AA271" s="722" t="n"/>
      <c r="AB271" s="722" t="n"/>
      <c r="AC271" s="722" t="n"/>
    </row>
    <row r="272" ht="27" customHeight="1">
      <c r="A272" s="63" t="inlineStr">
        <is>
          <t>SU002941</t>
        </is>
      </c>
      <c r="B272" s="63" t="inlineStr">
        <is>
          <t>P003387</t>
        </is>
      </c>
      <c r="C272" s="36" t="n">
        <v>4301031224</v>
      </c>
      <c r="D272" s="723" t="n">
        <v>4680115882683</v>
      </c>
      <c r="E272" s="1031" t="n"/>
      <c r="F272" s="1070" t="n">
        <v>0.9</v>
      </c>
      <c r="G272" s="37" t="n">
        <v>6</v>
      </c>
      <c r="H272" s="1070" t="n">
        <v>5.4</v>
      </c>
      <c r="I272" s="1070" t="n">
        <v>5.59</v>
      </c>
      <c r="J272" s="37" t="n">
        <v>132</v>
      </c>
      <c r="K272" s="37" t="inlineStr">
        <is>
          <t>12</t>
        </is>
      </c>
      <c r="L272" s="37" t="inlineStr"/>
      <c r="M272" s="38" t="inlineStr">
        <is>
          <t>СК2</t>
        </is>
      </c>
      <c r="N272" s="38" t="n"/>
      <c r="O272" s="37" t="n">
        <v>40</v>
      </c>
      <c r="P272" s="1216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72" s="1072" t="n"/>
      <c r="R272" s="1072" t="n"/>
      <c r="S272" s="1072" t="n"/>
      <c r="T272" s="1073" t="n"/>
      <c r="U272" s="39" t="inlineStr"/>
      <c r="V272" s="39" t="inlineStr"/>
      <c r="W272" s="40" t="inlineStr">
        <is>
          <t>кг</t>
        </is>
      </c>
      <c r="X272" s="1074" t="n">
        <v>67</v>
      </c>
      <c r="Y272" s="1075">
        <f>IFERROR(IF(X272="",0,CEILING((X272/$H272),1)*$H272),"")</f>
        <v/>
      </c>
      <c r="Z272" s="41">
        <f>IFERROR(IF(Y272=0,"",ROUNDUP(Y272/H272,0)*0.00902),"")</f>
        <v/>
      </c>
      <c r="AA272" s="68" t="inlineStr"/>
      <c r="AB272" s="69" t="inlineStr"/>
      <c r="AC272" s="360" t="inlineStr">
        <is>
          <t>ЕАЭС N RU Д-RU.РА09.В.28469/25</t>
        </is>
      </c>
      <c r="AG272" s="78" t="n"/>
      <c r="AJ272" s="84" t="inlineStr"/>
      <c r="AK272" s="84" t="n">
        <v>0</v>
      </c>
      <c r="BB272" s="361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SU002943</t>
        </is>
      </c>
      <c r="B273" s="63" t="inlineStr">
        <is>
          <t>P003401</t>
        </is>
      </c>
      <c r="C273" s="36" t="n">
        <v>4301031230</v>
      </c>
      <c r="D273" s="723" t="n">
        <v>4680115882690</v>
      </c>
      <c r="E273" s="1031" t="n"/>
      <c r="F273" s="1070" t="n">
        <v>0.9</v>
      </c>
      <c r="G273" s="37" t="n">
        <v>6</v>
      </c>
      <c r="H273" s="1070" t="n">
        <v>5.4</v>
      </c>
      <c r="I273" s="1070" t="n">
        <v>5.59</v>
      </c>
      <c r="J273" s="37" t="n">
        <v>132</v>
      </c>
      <c r="K273" s="37" t="inlineStr">
        <is>
          <t>12</t>
        </is>
      </c>
      <c r="L273" s="37" t="inlineStr"/>
      <c r="M273" s="38" t="inlineStr">
        <is>
          <t>СК2</t>
        </is>
      </c>
      <c r="N273" s="38" t="n"/>
      <c r="O273" s="37" t="n">
        <v>40</v>
      </c>
      <c r="P273" s="1217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73" s="1072" t="n"/>
      <c r="R273" s="1072" t="n"/>
      <c r="S273" s="1072" t="n"/>
      <c r="T273" s="1073" t="n"/>
      <c r="U273" s="39" t="inlineStr"/>
      <c r="V273" s="39" t="inlineStr"/>
      <c r="W273" s="40" t="inlineStr">
        <is>
          <t>кг</t>
        </is>
      </c>
      <c r="X273" s="1074" t="n">
        <v>66</v>
      </c>
      <c r="Y273" s="1075">
        <f>IFERROR(IF(X273="",0,CEILING((X273/$H273),1)*$H273),"")</f>
        <v/>
      </c>
      <c r="Z273" s="41">
        <f>IFERROR(IF(Y273=0,"",ROUNDUP(Y273/H273,0)*0.00902),"")</f>
        <v/>
      </c>
      <c r="AA273" s="68" t="inlineStr"/>
      <c r="AB273" s="69" t="inlineStr"/>
      <c r="AC273" s="362" t="inlineStr">
        <is>
          <t>ЕАЭС N RU Д-RU.РА03.В.34452/26</t>
        </is>
      </c>
      <c r="AG273" s="78" t="n"/>
      <c r="AJ273" s="84" t="inlineStr"/>
      <c r="AK273" s="84" t="n">
        <v>0</v>
      </c>
      <c r="BB273" s="363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SU002945</t>
        </is>
      </c>
      <c r="B274" s="63" t="inlineStr">
        <is>
          <t>P003383</t>
        </is>
      </c>
      <c r="C274" s="36" t="n">
        <v>4301031220</v>
      </c>
      <c r="D274" s="723" t="n">
        <v>4680115882669</v>
      </c>
      <c r="E274" s="1031" t="n"/>
      <c r="F274" s="1070" t="n">
        <v>0.9</v>
      </c>
      <c r="G274" s="37" t="n">
        <v>6</v>
      </c>
      <c r="H274" s="1070" t="n">
        <v>5.4</v>
      </c>
      <c r="I274" s="1070" t="n">
        <v>5.59</v>
      </c>
      <c r="J274" s="37" t="n">
        <v>132</v>
      </c>
      <c r="K274" s="37" t="inlineStr">
        <is>
          <t>12</t>
        </is>
      </c>
      <c r="L274" s="37" t="inlineStr"/>
      <c r="M274" s="38" t="inlineStr">
        <is>
          <t>СК2</t>
        </is>
      </c>
      <c r="N274" s="38" t="n"/>
      <c r="O274" s="37" t="n">
        <v>40</v>
      </c>
      <c r="P274" s="1218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74" s="1072" t="n"/>
      <c r="R274" s="1072" t="n"/>
      <c r="S274" s="1072" t="n"/>
      <c r="T274" s="1073" t="n"/>
      <c r="U274" s="39" t="inlineStr"/>
      <c r="V274" s="39" t="inlineStr"/>
      <c r="W274" s="40" t="inlineStr">
        <is>
          <t>кг</t>
        </is>
      </c>
      <c r="X274" s="1074" t="n">
        <v>185</v>
      </c>
      <c r="Y274" s="1075">
        <f>IFERROR(IF(X274="",0,CEILING((X274/$H274),1)*$H274),"")</f>
        <v/>
      </c>
      <c r="Z274" s="41">
        <f>IFERROR(IF(Y274=0,"",ROUNDUP(Y274/H274,0)*0.00902),"")</f>
        <v/>
      </c>
      <c r="AA274" s="68" t="inlineStr"/>
      <c r="AB274" s="69" t="inlineStr"/>
      <c r="AC274" s="364" t="inlineStr">
        <is>
          <t>ЕАЭС N RU Д-RU.РА03.В.65678/26</t>
        </is>
      </c>
      <c r="AG274" s="78" t="n"/>
      <c r="AJ274" s="84" t="inlineStr"/>
      <c r="AK274" s="84" t="n">
        <v>0</v>
      </c>
      <c r="BB274" s="365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SU002947</t>
        </is>
      </c>
      <c r="B275" s="63" t="inlineStr">
        <is>
          <t>P003384</t>
        </is>
      </c>
      <c r="C275" s="36" t="n">
        <v>4301031221</v>
      </c>
      <c r="D275" s="723" t="n">
        <v>4680115882676</v>
      </c>
      <c r="E275" s="1031" t="n"/>
      <c r="F275" s="1070" t="n">
        <v>0.9</v>
      </c>
      <c r="G275" s="37" t="n">
        <v>6</v>
      </c>
      <c r="H275" s="1070" t="n">
        <v>5.4</v>
      </c>
      <c r="I275" s="1070" t="n">
        <v>5.59</v>
      </c>
      <c r="J275" s="37" t="n">
        <v>132</v>
      </c>
      <c r="K275" s="37" t="inlineStr">
        <is>
          <t>12</t>
        </is>
      </c>
      <c r="L275" s="37" t="inlineStr"/>
      <c r="M275" s="38" t="inlineStr">
        <is>
          <t>СК2</t>
        </is>
      </c>
      <c r="N275" s="38" t="n"/>
      <c r="O275" s="37" t="n">
        <v>40</v>
      </c>
      <c r="P275" s="1219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75" s="1072" t="n"/>
      <c r="R275" s="1072" t="n"/>
      <c r="S275" s="1072" t="n"/>
      <c r="T275" s="1073" t="n"/>
      <c r="U275" s="39" t="inlineStr"/>
      <c r="V275" s="39" t="inlineStr"/>
      <c r="W275" s="40" t="inlineStr">
        <is>
          <t>кг</t>
        </is>
      </c>
      <c r="X275" s="1074" t="n">
        <v>94</v>
      </c>
      <c r="Y275" s="1075">
        <f>IFERROR(IF(X275="",0,CEILING((X275/$H275),1)*$H275),"")</f>
        <v/>
      </c>
      <c r="Z275" s="41">
        <f>IFERROR(IF(Y275=0,"",ROUNDUP(Y275/H275,0)*0.00902),"")</f>
        <v/>
      </c>
      <c r="AA275" s="68" t="inlineStr"/>
      <c r="AB275" s="69" t="inlineStr"/>
      <c r="AC275" s="366" t="inlineStr">
        <is>
          <t>ЕАЭС N RU Д-RU.РА09.В.95462/25</t>
        </is>
      </c>
      <c r="AG275" s="78" t="n"/>
      <c r="AJ275" s="84" t="inlineStr"/>
      <c r="AK275" s="84" t="n">
        <v>0</v>
      </c>
      <c r="BB275" s="367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SU002944</t>
        </is>
      </c>
      <c r="B276" s="63" t="inlineStr">
        <is>
          <t>P003386</t>
        </is>
      </c>
      <c r="C276" s="36" t="n">
        <v>4301031223</v>
      </c>
      <c r="D276" s="723" t="n">
        <v>4680115884014</v>
      </c>
      <c r="E276" s="1031" t="n"/>
      <c r="F276" s="1070" t="n">
        <v>0.3</v>
      </c>
      <c r="G276" s="37" t="n">
        <v>6</v>
      </c>
      <c r="H276" s="1070" t="n">
        <v>1.8</v>
      </c>
      <c r="I276" s="1070" t="n">
        <v>1.93</v>
      </c>
      <c r="J276" s="37" t="n">
        <v>234</v>
      </c>
      <c r="K276" s="37" t="inlineStr">
        <is>
          <t>18</t>
        </is>
      </c>
      <c r="L276" s="37" t="inlineStr"/>
      <c r="M276" s="38" t="inlineStr">
        <is>
          <t>СК2</t>
        </is>
      </c>
      <c r="N276" s="38" t="n"/>
      <c r="O276" s="37" t="n">
        <v>40</v>
      </c>
      <c r="P276" s="1220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76" s="1072" t="n"/>
      <c r="R276" s="1072" t="n"/>
      <c r="S276" s="1072" t="n"/>
      <c r="T276" s="1073" t="n"/>
      <c r="U276" s="39" t="inlineStr"/>
      <c r="V276" s="39" t="inlineStr"/>
      <c r="W276" s="40" t="inlineStr">
        <is>
          <t>кг</t>
        </is>
      </c>
      <c r="X276" s="1074" t="n">
        <v>25</v>
      </c>
      <c r="Y276" s="1075">
        <f>IFERROR(IF(X276="",0,CEILING((X276/$H276),1)*$H276),"")</f>
        <v/>
      </c>
      <c r="Z276" s="41">
        <f>IFERROR(IF(Y276=0,"",ROUNDUP(Y276/H276,0)*0.00502),"")</f>
        <v/>
      </c>
      <c r="AA276" s="68" t="inlineStr"/>
      <c r="AB276" s="69" t="inlineStr"/>
      <c r="AC276" s="368" t="inlineStr">
        <is>
          <t>ЕАЭС N RU Д-RU.РА09.В.28469/25</t>
        </is>
      </c>
      <c r="AG276" s="78" t="n"/>
      <c r="AJ276" s="84" t="inlineStr"/>
      <c r="AK276" s="84" t="n">
        <v>0</v>
      </c>
      <c r="BB276" s="369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 ht="27" customHeight="1">
      <c r="A277" s="63" t="inlineStr">
        <is>
          <t>SU002942</t>
        </is>
      </c>
      <c r="B277" s="63" t="inlineStr">
        <is>
          <t>P003385</t>
        </is>
      </c>
      <c r="C277" s="36" t="n">
        <v>4301031222</v>
      </c>
      <c r="D277" s="723" t="n">
        <v>4680115884007</v>
      </c>
      <c r="E277" s="1031" t="n"/>
      <c r="F277" s="1070" t="n">
        <v>0.3</v>
      </c>
      <c r="G277" s="37" t="n">
        <v>6</v>
      </c>
      <c r="H277" s="1070" t="n">
        <v>1.8</v>
      </c>
      <c r="I277" s="1070" t="n">
        <v>1.9</v>
      </c>
      <c r="J277" s="37" t="n">
        <v>234</v>
      </c>
      <c r="K277" s="37" t="inlineStr">
        <is>
          <t>18</t>
        </is>
      </c>
      <c r="L277" s="37" t="inlineStr"/>
      <c r="M277" s="38" t="inlineStr">
        <is>
          <t>СК2</t>
        </is>
      </c>
      <c r="N277" s="38" t="n"/>
      <c r="O277" s="37" t="n">
        <v>40</v>
      </c>
      <c r="P277" s="1221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77" s="1072" t="n"/>
      <c r="R277" s="1072" t="n"/>
      <c r="S277" s="1072" t="n"/>
      <c r="T277" s="1073" t="n"/>
      <c r="U277" s="39" t="inlineStr"/>
      <c r="V277" s="39" t="inlineStr"/>
      <c r="W277" s="40" t="inlineStr">
        <is>
          <t>кг</t>
        </is>
      </c>
      <c r="X277" s="1074" t="n">
        <v>20</v>
      </c>
      <c r="Y277" s="1075">
        <f>IFERROR(IF(X277="",0,CEILING((X277/$H277),1)*$H277),"")</f>
        <v/>
      </c>
      <c r="Z277" s="41">
        <f>IFERROR(IF(Y277=0,"",ROUNDUP(Y277/H277,0)*0.00502),"")</f>
        <v/>
      </c>
      <c r="AA277" s="68" t="inlineStr"/>
      <c r="AB277" s="69" t="inlineStr"/>
      <c r="AC277" s="370" t="inlineStr">
        <is>
          <t>ЕАЭС N RU Д-RU.РА03.В.34452/26</t>
        </is>
      </c>
      <c r="AG277" s="78" t="n"/>
      <c r="AJ277" s="84" t="inlineStr"/>
      <c r="AK277" s="84" t="n">
        <v>0</v>
      </c>
      <c r="BB277" s="371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SU002946</t>
        </is>
      </c>
      <c r="B278" s="63" t="inlineStr">
        <is>
          <t>P003400</t>
        </is>
      </c>
      <c r="C278" s="36" t="n">
        <v>4301031229</v>
      </c>
      <c r="D278" s="723" t="n">
        <v>4680115884038</v>
      </c>
      <c r="E278" s="1031" t="n"/>
      <c r="F278" s="1070" t="n">
        <v>0.3</v>
      </c>
      <c r="G278" s="37" t="n">
        <v>6</v>
      </c>
      <c r="H278" s="1070" t="n">
        <v>1.8</v>
      </c>
      <c r="I278" s="1070" t="n">
        <v>1.9</v>
      </c>
      <c r="J278" s="37" t="n">
        <v>234</v>
      </c>
      <c r="K278" s="37" t="inlineStr">
        <is>
          <t>18</t>
        </is>
      </c>
      <c r="L278" s="37" t="inlineStr"/>
      <c r="M278" s="38" t="inlineStr">
        <is>
          <t>СК2</t>
        </is>
      </c>
      <c r="N278" s="38" t="n"/>
      <c r="O278" s="37" t="n">
        <v>40</v>
      </c>
      <c r="P278" s="1222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78" s="1072" t="n"/>
      <c r="R278" s="1072" t="n"/>
      <c r="S278" s="1072" t="n"/>
      <c r="T278" s="1073" t="n"/>
      <c r="U278" s="39" t="inlineStr"/>
      <c r="V278" s="39" t="inlineStr"/>
      <c r="W278" s="40" t="inlineStr">
        <is>
          <t>кг</t>
        </is>
      </c>
      <c r="X278" s="1074" t="n">
        <v>0</v>
      </c>
      <c r="Y278" s="1075">
        <f>IFERROR(IF(X278="",0,CEILING((X278/$H278),1)*$H278),"")</f>
        <v/>
      </c>
      <c r="Z278" s="41">
        <f>IFERROR(IF(Y278=0,"",ROUNDUP(Y278/H278,0)*0.00502),"")</f>
        <v/>
      </c>
      <c r="AA278" s="68" t="inlineStr"/>
      <c r="AB278" s="69" t="inlineStr"/>
      <c r="AC278" s="372" t="inlineStr">
        <is>
          <t>ЕАЭС N RU Д-RU.РА03.В.65678/26</t>
        </is>
      </c>
      <c r="AG278" s="78" t="n"/>
      <c r="AJ278" s="84" t="inlineStr"/>
      <c r="AK278" s="84" t="n">
        <v>0</v>
      </c>
      <c r="BB278" s="373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SU002948</t>
        </is>
      </c>
      <c r="B279" s="63" t="inlineStr">
        <is>
          <t>P003390</t>
        </is>
      </c>
      <c r="C279" s="36" t="n">
        <v>4301031225</v>
      </c>
      <c r="D279" s="723" t="n">
        <v>4680115884021</v>
      </c>
      <c r="E279" s="1031" t="n"/>
      <c r="F279" s="1070" t="n">
        <v>0.3</v>
      </c>
      <c r="G279" s="37" t="n">
        <v>6</v>
      </c>
      <c r="H279" s="1070" t="n">
        <v>1.8</v>
      </c>
      <c r="I279" s="1070" t="n">
        <v>1.9</v>
      </c>
      <c r="J279" s="37" t="n">
        <v>234</v>
      </c>
      <c r="K279" s="37" t="inlineStr">
        <is>
          <t>18</t>
        </is>
      </c>
      <c r="L279" s="37" t="inlineStr"/>
      <c r="M279" s="38" t="inlineStr">
        <is>
          <t>СК2</t>
        </is>
      </c>
      <c r="N279" s="38" t="n"/>
      <c r="O279" s="37" t="n">
        <v>40</v>
      </c>
      <c r="P279" s="1223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79" s="1072" t="n"/>
      <c r="R279" s="1072" t="n"/>
      <c r="S279" s="1072" t="n"/>
      <c r="T279" s="1073" t="n"/>
      <c r="U279" s="39" t="inlineStr"/>
      <c r="V279" s="39" t="inlineStr"/>
      <c r="W279" s="40" t="inlineStr">
        <is>
          <t>кг</t>
        </is>
      </c>
      <c r="X279" s="1074" t="n">
        <v>10</v>
      </c>
      <c r="Y279" s="1075">
        <f>IFERROR(IF(X279="",0,CEILING((X279/$H279),1)*$H279),"")</f>
        <v/>
      </c>
      <c r="Z279" s="41">
        <f>IFERROR(IF(Y279=0,"",ROUNDUP(Y279/H279,0)*0.00502),"")</f>
        <v/>
      </c>
      <c r="AA279" s="68" t="inlineStr"/>
      <c r="AB279" s="69" t="inlineStr"/>
      <c r="AC279" s="374" t="inlineStr">
        <is>
          <t>ЕАЭС N RU Д-RU.РА09.В.95462/25</t>
        </is>
      </c>
      <c r="AG279" s="78" t="n"/>
      <c r="AJ279" s="84" t="inlineStr"/>
      <c r="AK279" s="84" t="n">
        <v>0</v>
      </c>
      <c r="BB279" s="375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>
      <c r="A280" s="732" t="n"/>
      <c r="B280" s="1019" t="n"/>
      <c r="C280" s="1019" t="n"/>
      <c r="D280" s="1019" t="n"/>
      <c r="E280" s="1019" t="n"/>
      <c r="F280" s="1019" t="n"/>
      <c r="G280" s="1019" t="n"/>
      <c r="H280" s="1019" t="n"/>
      <c r="I280" s="1019" t="n"/>
      <c r="J280" s="1019" t="n"/>
      <c r="K280" s="1019" t="n"/>
      <c r="L280" s="1019" t="n"/>
      <c r="M280" s="1019" t="n"/>
      <c r="N280" s="1019" t="n"/>
      <c r="O280" s="1077" t="n"/>
      <c r="P280" s="1078" t="inlineStr">
        <is>
          <t>Итого</t>
        </is>
      </c>
      <c r="Q280" s="1039" t="n"/>
      <c r="R280" s="1039" t="n"/>
      <c r="S280" s="1039" t="n"/>
      <c r="T280" s="1039" t="n"/>
      <c r="U280" s="1039" t="n"/>
      <c r="V280" s="1040" t="n"/>
      <c r="W280" s="42" t="inlineStr">
        <is>
          <t>кор</t>
        </is>
      </c>
      <c r="X280" s="1079">
        <f>IFERROR(X272/H272,"0")+IFERROR(X273/H273,"0")+IFERROR(X274/H274,"0")+IFERROR(X275/H275,"0")+IFERROR(X276/H276,"0")+IFERROR(X277/H277,"0")+IFERROR(X278/H278,"0")+IFERROR(X279/H279,"0")</f>
        <v/>
      </c>
      <c r="Y280" s="1079">
        <f>IFERROR(Y272/H272,"0")+IFERROR(Y273/H273,"0")+IFERROR(Y274/H274,"0")+IFERROR(Y275/H275,"0")+IFERROR(Y276/H276,"0")+IFERROR(Y277/H277,"0")+IFERROR(Y278/H278,"0")+IFERROR(Y279/H279,"0")</f>
        <v/>
      </c>
      <c r="Z280" s="1079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/>
      </c>
      <c r="AA280" s="1080" t="n"/>
      <c r="AB280" s="1080" t="n"/>
      <c r="AC280" s="1080" t="n"/>
    </row>
    <row r="281">
      <c r="A281" s="1019" t="n"/>
      <c r="B281" s="1019" t="n"/>
      <c r="C281" s="1019" t="n"/>
      <c r="D281" s="1019" t="n"/>
      <c r="E281" s="1019" t="n"/>
      <c r="F281" s="1019" t="n"/>
      <c r="G281" s="1019" t="n"/>
      <c r="H281" s="1019" t="n"/>
      <c r="I281" s="1019" t="n"/>
      <c r="J281" s="1019" t="n"/>
      <c r="K281" s="1019" t="n"/>
      <c r="L281" s="1019" t="n"/>
      <c r="M281" s="1019" t="n"/>
      <c r="N281" s="1019" t="n"/>
      <c r="O281" s="1077" t="n"/>
      <c r="P281" s="1078" t="inlineStr">
        <is>
          <t>Итого</t>
        </is>
      </c>
      <c r="Q281" s="1039" t="n"/>
      <c r="R281" s="1039" t="n"/>
      <c r="S281" s="1039" t="n"/>
      <c r="T281" s="1039" t="n"/>
      <c r="U281" s="1039" t="n"/>
      <c r="V281" s="1040" t="n"/>
      <c r="W281" s="42" t="inlineStr">
        <is>
          <t>кг</t>
        </is>
      </c>
      <c r="X281" s="1079">
        <f>IFERROR(SUM(X272:X279),"0")</f>
        <v/>
      </c>
      <c r="Y281" s="1079">
        <f>IFERROR(SUM(Y272:Y279),"0")</f>
        <v/>
      </c>
      <c r="Z281" s="42" t="n"/>
      <c r="AA281" s="1080" t="n"/>
      <c r="AB281" s="1080" t="n"/>
      <c r="AC281" s="1080" t="n"/>
    </row>
    <row r="282" ht="14.25" customHeight="1">
      <c r="A282" s="722" t="inlineStr">
        <is>
          <t>Сосиски</t>
        </is>
      </c>
      <c r="B282" s="1019" t="n"/>
      <c r="C282" s="1019" t="n"/>
      <c r="D282" s="1019" t="n"/>
      <c r="E282" s="1019" t="n"/>
      <c r="F282" s="1019" t="n"/>
      <c r="G282" s="1019" t="n"/>
      <c r="H282" s="1019" t="n"/>
      <c r="I282" s="1019" t="n"/>
      <c r="J282" s="1019" t="n"/>
      <c r="K282" s="1019" t="n"/>
      <c r="L282" s="1019" t="n"/>
      <c r="M282" s="1019" t="n"/>
      <c r="N282" s="1019" t="n"/>
      <c r="O282" s="1019" t="n"/>
      <c r="P282" s="1019" t="n"/>
      <c r="Q282" s="1019" t="n"/>
      <c r="R282" s="1019" t="n"/>
      <c r="S282" s="1019" t="n"/>
      <c r="T282" s="1019" t="n"/>
      <c r="U282" s="1019" t="n"/>
      <c r="V282" s="1019" t="n"/>
      <c r="W282" s="1019" t="n"/>
      <c r="X282" s="1019" t="n"/>
      <c r="Y282" s="1019" t="n"/>
      <c r="Z282" s="1019" t="n"/>
      <c r="AA282" s="722" t="n"/>
      <c r="AB282" s="722" t="n"/>
      <c r="AC282" s="722" t="n"/>
    </row>
    <row r="283" ht="27" customHeight="1">
      <c r="A283" s="63" t="inlineStr">
        <is>
          <t>SU002843</t>
        </is>
      </c>
      <c r="B283" s="63" t="inlineStr">
        <is>
          <t>P003263</t>
        </is>
      </c>
      <c r="C283" s="36" t="n">
        <v>4301051408</v>
      </c>
      <c r="D283" s="723" t="n">
        <v>4680115881594</v>
      </c>
      <c r="E283" s="1031" t="n"/>
      <c r="F283" s="1070" t="n">
        <v>1.35</v>
      </c>
      <c r="G283" s="37" t="n">
        <v>6</v>
      </c>
      <c r="H283" s="1070" t="n">
        <v>8.1</v>
      </c>
      <c r="I283" s="1070" t="n">
        <v>8.593999999999999</v>
      </c>
      <c r="J283" s="37" t="n">
        <v>64</v>
      </c>
      <c r="K283" s="37" t="inlineStr">
        <is>
          <t>8</t>
        </is>
      </c>
      <c r="L283" s="37" t="inlineStr"/>
      <c r="M283" s="38" t="inlineStr">
        <is>
          <t>СК3</t>
        </is>
      </c>
      <c r="N283" s="38" t="n"/>
      <c r="O283" s="37" t="n">
        <v>40</v>
      </c>
      <c r="P283" s="1224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83" s="1072" t="n"/>
      <c r="R283" s="1072" t="n"/>
      <c r="S283" s="1072" t="n"/>
      <c r="T283" s="1073" t="n"/>
      <c r="U283" s="39" t="inlineStr"/>
      <c r="V283" s="39" t="inlineStr"/>
      <c r="W283" s="40" t="inlineStr">
        <is>
          <t>кг</t>
        </is>
      </c>
      <c r="X283" s="1074" t="n">
        <v>83</v>
      </c>
      <c r="Y283" s="1075">
        <f>IFERROR(IF(X283="",0,CEILING((X283/$H283),1)*$H283),"")</f>
        <v/>
      </c>
      <c r="Z283" s="41">
        <f>IFERROR(IF(Y283=0,"",ROUNDUP(Y283/H283,0)*0.01898),"")</f>
        <v/>
      </c>
      <c r="AA283" s="68" t="inlineStr"/>
      <c r="AB283" s="69" t="inlineStr"/>
      <c r="AC283" s="376" t="inlineStr">
        <is>
          <t>ЕАЭС N RU Д-RU.РА01.В.91079/26, ЕАЭС N RU Д-RU.РА11.В.74089/25</t>
        </is>
      </c>
      <c r="AG283" s="78" t="n"/>
      <c r="AJ283" s="84" t="inlineStr"/>
      <c r="AK283" s="84" t="n">
        <v>0</v>
      </c>
      <c r="BB283" s="377" t="inlineStr">
        <is>
          <t>КИ</t>
        </is>
      </c>
      <c r="BM283" s="78">
        <f>IFERROR(X283*I283/H283,"0")</f>
        <v/>
      </c>
      <c r="BN283" s="78">
        <f>IFERROR(Y283*I283/H283,"0")</f>
        <v/>
      </c>
      <c r="BO283" s="78">
        <f>IFERROR(1/J283*(X283/H283),"0")</f>
        <v/>
      </c>
      <c r="BP283" s="78">
        <f>IFERROR(1/J283*(Y283/H283),"0")</f>
        <v/>
      </c>
    </row>
    <row r="284" ht="27" customHeight="1">
      <c r="A284" s="63" t="inlineStr">
        <is>
          <t>SU002845</t>
        </is>
      </c>
      <c r="B284" s="63" t="inlineStr">
        <is>
          <t>P003266</t>
        </is>
      </c>
      <c r="C284" s="36" t="n">
        <v>4301051411</v>
      </c>
      <c r="D284" s="723" t="n">
        <v>4680115881617</v>
      </c>
      <c r="E284" s="1031" t="n"/>
      <c r="F284" s="1070" t="n">
        <v>1.35</v>
      </c>
      <c r="G284" s="37" t="n">
        <v>6</v>
      </c>
      <c r="H284" s="1070" t="n">
        <v>8.1</v>
      </c>
      <c r="I284" s="1070" t="n">
        <v>8.576000000000001</v>
      </c>
      <c r="J284" s="37" t="n">
        <v>64</v>
      </c>
      <c r="K284" s="37" t="inlineStr">
        <is>
          <t>8</t>
        </is>
      </c>
      <c r="L284" s="37" t="inlineStr"/>
      <c r="M284" s="38" t="inlineStr">
        <is>
          <t>СК3</t>
        </is>
      </c>
      <c r="N284" s="38" t="n"/>
      <c r="O284" s="37" t="n">
        <v>40</v>
      </c>
      <c r="P284" s="1225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84" s="1072" t="n"/>
      <c r="R284" s="1072" t="n"/>
      <c r="S284" s="1072" t="n"/>
      <c r="T284" s="1073" t="n"/>
      <c r="U284" s="39" t="inlineStr"/>
      <c r="V284" s="39" t="inlineStr"/>
      <c r="W284" s="40" t="inlineStr">
        <is>
          <t>кг</t>
        </is>
      </c>
      <c r="X284" s="1074" t="n">
        <v>158</v>
      </c>
      <c r="Y284" s="1075">
        <f>IFERROR(IF(X284="",0,CEILING((X284/$H284),1)*$H284),"")</f>
        <v/>
      </c>
      <c r="Z284" s="41">
        <f>IFERROR(IF(Y284=0,"",ROUNDUP(Y284/H284,0)*0.01898),"")</f>
        <v/>
      </c>
      <c r="AA284" s="68" t="inlineStr"/>
      <c r="AB284" s="69" t="inlineStr"/>
      <c r="AC284" s="378" t="inlineStr">
        <is>
          <t>ЕАЭС N RU Д-RU.РА01.В.99184/23, ЕАЭС N RU Д-RU.РА01.В.99440/26</t>
        </is>
      </c>
      <c r="AG284" s="78" t="n"/>
      <c r="AJ284" s="84" t="inlineStr"/>
      <c r="AK284" s="84" t="n">
        <v>0</v>
      </c>
      <c r="BB284" s="379" t="inlineStr">
        <is>
          <t>КИ</t>
        </is>
      </c>
      <c r="BM284" s="78">
        <f>IFERROR(X284*I284/H284,"0")</f>
        <v/>
      </c>
      <c r="BN284" s="78">
        <f>IFERROR(Y284*I284/H284,"0")</f>
        <v/>
      </c>
      <c r="BO284" s="78">
        <f>IFERROR(1/J284*(X284/H284),"0")</f>
        <v/>
      </c>
      <c r="BP284" s="78">
        <f>IFERROR(1/J284*(Y284/H284),"0")</f>
        <v/>
      </c>
    </row>
    <row r="285" ht="27" customHeight="1">
      <c r="A285" s="63" t="inlineStr">
        <is>
          <t>SU002725</t>
        </is>
      </c>
      <c r="B285" s="63" t="inlineStr">
        <is>
          <t>P003959</t>
        </is>
      </c>
      <c r="C285" s="36" t="n">
        <v>4301051656</v>
      </c>
      <c r="D285" s="723" t="n">
        <v>4680115880573</v>
      </c>
      <c r="E285" s="1031" t="n"/>
      <c r="F285" s="1070" t="n">
        <v>1.45</v>
      </c>
      <c r="G285" s="37" t="n">
        <v>6</v>
      </c>
      <c r="H285" s="1070" t="n">
        <v>8.699999999999999</v>
      </c>
      <c r="I285" s="1070" t="n">
        <v>9.194000000000001</v>
      </c>
      <c r="J285" s="37" t="n">
        <v>64</v>
      </c>
      <c r="K285" s="37" t="inlineStr">
        <is>
          <t>8</t>
        </is>
      </c>
      <c r="L285" s="37" t="inlineStr"/>
      <c r="M285" s="38" t="inlineStr">
        <is>
          <t>СК3</t>
        </is>
      </c>
      <c r="N285" s="38" t="n"/>
      <c r="O285" s="37" t="n">
        <v>45</v>
      </c>
      <c r="P285" s="1226">
        <f>HYPERLINK("https://abi.ru/products/Охлажденные/Стародворье/Сочинка/Сосиски/P003959/","Сосиски «Сочинки» Весовой п/а ТМ «Стародворье»")</f>
        <v/>
      </c>
      <c r="Q285" s="1072" t="n"/>
      <c r="R285" s="1072" t="n"/>
      <c r="S285" s="1072" t="n"/>
      <c r="T285" s="1073" t="n"/>
      <c r="U285" s="39" t="inlineStr"/>
      <c r="V285" s="39" t="inlineStr"/>
      <c r="W285" s="40" t="inlineStr">
        <is>
          <t>кг</t>
        </is>
      </c>
      <c r="X285" s="1074" t="n">
        <v>32</v>
      </c>
      <c r="Y285" s="1075">
        <f>IFERROR(IF(X285="",0,CEILING((X285/$H285),1)*$H285),"")</f>
        <v/>
      </c>
      <c r="Z285" s="41">
        <f>IFERROR(IF(Y285=0,"",ROUNDUP(Y285/H285,0)*0.01898),"")</f>
        <v/>
      </c>
      <c r="AA285" s="68" t="inlineStr"/>
      <c r="AB285" s="69" t="inlineStr"/>
      <c r="AC285" s="380" t="inlineStr">
        <is>
          <t>ЕАЭС N RU Д-RU.РА09.В.39078/25, ЕАЭС N RU Д-RU.РА10.В.20056/25</t>
        </is>
      </c>
      <c r="AG285" s="78" t="n"/>
      <c r="AJ285" s="84" t="inlineStr"/>
      <c r="AK285" s="84" t="n">
        <v>0</v>
      </c>
      <c r="BB285" s="381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SU002842</t>
        </is>
      </c>
      <c r="B286" s="63" t="inlineStr">
        <is>
          <t>P003262</t>
        </is>
      </c>
      <c r="C286" s="36" t="n">
        <v>4301051407</v>
      </c>
      <c r="D286" s="723" t="n">
        <v>4680115882195</v>
      </c>
      <c r="E286" s="1031" t="n"/>
      <c r="F286" s="1070" t="n">
        <v>0.4</v>
      </c>
      <c r="G286" s="37" t="n">
        <v>6</v>
      </c>
      <c r="H286" s="1070" t="n">
        <v>2.4</v>
      </c>
      <c r="I286" s="1070" t="n">
        <v>2.67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40</v>
      </c>
      <c r="P286" s="1227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86" s="1072" t="n"/>
      <c r="R286" s="1072" t="n"/>
      <c r="S286" s="1072" t="n"/>
      <c r="T286" s="1073" t="n"/>
      <c r="U286" s="39" t="inlineStr"/>
      <c r="V286" s="39" t="inlineStr"/>
      <c r="W286" s="40" t="inlineStr">
        <is>
          <t>кг</t>
        </is>
      </c>
      <c r="X286" s="1074" t="n">
        <v>26</v>
      </c>
      <c r="Y286" s="1075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82" t="inlineStr">
        <is>
          <t>ЕАЭС N RU Д-RU.РА01.В.91079/26, ЕАЭС N RU Д-RU.РА11.В.74089/25</t>
        </is>
      </c>
      <c r="AG286" s="78" t="n"/>
      <c r="AJ286" s="84" t="inlineStr"/>
      <c r="AK286" s="84" t="n">
        <v>0</v>
      </c>
      <c r="BB286" s="383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 ht="27" customHeight="1">
      <c r="A287" s="63" t="inlineStr">
        <is>
          <t>SU002992</t>
        </is>
      </c>
      <c r="B287" s="63" t="inlineStr">
        <is>
          <t>P004147</t>
        </is>
      </c>
      <c r="C287" s="36" t="n">
        <v>4301051752</v>
      </c>
      <c r="D287" s="723" t="n">
        <v>4680115882607</v>
      </c>
      <c r="E287" s="1031" t="n"/>
      <c r="F287" s="1070" t="n">
        <v>0.3</v>
      </c>
      <c r="G287" s="37" t="n">
        <v>6</v>
      </c>
      <c r="H287" s="1070" t="n">
        <v>1.8</v>
      </c>
      <c r="I287" s="1070" t="n">
        <v>2.052</v>
      </c>
      <c r="J287" s="37" t="n">
        <v>182</v>
      </c>
      <c r="K287" s="37" t="inlineStr">
        <is>
          <t>14</t>
        </is>
      </c>
      <c r="L287" s="37" t="inlineStr"/>
      <c r="M287" s="38" t="inlineStr">
        <is>
          <t>СК4</t>
        </is>
      </c>
      <c r="N287" s="38" t="n"/>
      <c r="O287" s="37" t="n">
        <v>45</v>
      </c>
      <c r="P287" s="1228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87" s="1072" t="n"/>
      <c r="R287" s="1072" t="n"/>
      <c r="S287" s="1072" t="n"/>
      <c r="T287" s="1073" t="n"/>
      <c r="U287" s="39" t="inlineStr"/>
      <c r="V287" s="39" t="inlineStr"/>
      <c r="W287" s="40" t="inlineStr">
        <is>
          <t>кг</t>
        </is>
      </c>
      <c r="X287" s="1074" t="n">
        <v>0</v>
      </c>
      <c r="Y287" s="1075">
        <f>IFERROR(IF(X287="",0,CEILING((X287/$H287),1)*$H287),"")</f>
        <v/>
      </c>
      <c r="Z287" s="41">
        <f>IFERROR(IF(Y287=0,"",ROUNDUP(Y287/H287,0)*0.00651),"")</f>
        <v/>
      </c>
      <c r="AA287" s="68" t="inlineStr"/>
      <c r="AB287" s="69" t="inlineStr"/>
      <c r="AC287" s="384" t="inlineStr">
        <is>
          <t>ЕАЭС N RU Д-RU.РА09.В.39078/25, ЕАЭС N RU Д-RU.РА10.В.20056/25</t>
        </is>
      </c>
      <c r="AG287" s="78" t="n"/>
      <c r="AJ287" s="84" t="inlineStr"/>
      <c r="AK287" s="84" t="n">
        <v>0</v>
      </c>
      <c r="BB287" s="385" t="inlineStr">
        <is>
          <t>КИ</t>
        </is>
      </c>
      <c r="BM287" s="78">
        <f>IFERROR(X287*I287/H287,"0")</f>
        <v/>
      </c>
      <c r="BN287" s="78">
        <f>IFERROR(Y287*I287/H287,"0")</f>
        <v/>
      </c>
      <c r="BO287" s="78">
        <f>IFERROR(1/J287*(X287/H287),"0")</f>
        <v/>
      </c>
      <c r="BP287" s="78">
        <f>IFERROR(1/J287*(Y287/H287),"0")</f>
        <v/>
      </c>
    </row>
    <row r="288" ht="27" customHeight="1">
      <c r="A288" s="63" t="inlineStr">
        <is>
          <t>SU004181</t>
        </is>
      </c>
      <c r="B288" s="63" t="inlineStr">
        <is>
          <t>P005354</t>
        </is>
      </c>
      <c r="C288" s="36" t="n">
        <v>4301052143</v>
      </c>
      <c r="D288" s="723" t="n">
        <v>4680115882607</v>
      </c>
      <c r="E288" s="1031" t="n"/>
      <c r="F288" s="1070" t="n">
        <v>0.3</v>
      </c>
      <c r="G288" s="37" t="n">
        <v>6</v>
      </c>
      <c r="H288" s="1070" t="n">
        <v>1.8</v>
      </c>
      <c r="I288" s="1070" t="n">
        <v>2.062</v>
      </c>
      <c r="J288" s="37" t="n">
        <v>132</v>
      </c>
      <c r="K288" s="37" t="inlineStr">
        <is>
          <t>12</t>
        </is>
      </c>
      <c r="L288" s="37" t="inlineStr"/>
      <c r="M288" s="38" t="inlineStr">
        <is>
          <t>СК3</t>
        </is>
      </c>
      <c r="N288" s="38" t="n"/>
      <c r="O288" s="37" t="n">
        <v>45</v>
      </c>
      <c r="P288" s="1229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88" s="1072" t="n"/>
      <c r="R288" s="1072" t="n"/>
      <c r="S288" s="1072" t="n"/>
      <c r="T288" s="1073" t="n"/>
      <c r="U288" s="39" t="inlineStr"/>
      <c r="V288" s="39" t="inlineStr"/>
      <c r="W288" s="40" t="inlineStr">
        <is>
          <t>кг</t>
        </is>
      </c>
      <c r="X288" s="1074" t="n">
        <v>0</v>
      </c>
      <c r="Y288" s="1075">
        <f>IFERROR(IF(X288="",0,CEILING((X288/$H288),1)*$H288),"")</f>
        <v/>
      </c>
      <c r="Z288" s="41">
        <f>IFERROR(IF(Y288=0,"",ROUNDUP(Y288/H288,0)*0.00902),"")</f>
        <v/>
      </c>
      <c r="AA288" s="68" t="inlineStr"/>
      <c r="AB288" s="69" t="inlineStr"/>
      <c r="AC288" s="386" t="inlineStr">
        <is>
          <t>ЕАЭС N RU Д-RU.РА09.В.39078/25</t>
        </is>
      </c>
      <c r="AG288" s="78" t="n"/>
      <c r="AJ288" s="84" t="inlineStr"/>
      <c r="AK288" s="84" t="n">
        <v>0</v>
      </c>
      <c r="BB288" s="387" t="inlineStr">
        <is>
          <t>КИ</t>
        </is>
      </c>
      <c r="BM288" s="78">
        <f>IFERROR(X288*I288/H288,"0")</f>
        <v/>
      </c>
      <c r="BN288" s="78">
        <f>IFERROR(Y288*I288/H288,"0")</f>
        <v/>
      </c>
      <c r="BO288" s="78">
        <f>IFERROR(1/J288*(X288/H288),"0")</f>
        <v/>
      </c>
      <c r="BP288" s="78">
        <f>IFERROR(1/J288*(Y288/H288),"0")</f>
        <v/>
      </c>
    </row>
    <row r="289" ht="27" customHeight="1">
      <c r="A289" s="63" t="inlineStr">
        <is>
          <t>SU002618</t>
        </is>
      </c>
      <c r="B289" s="63" t="inlineStr">
        <is>
          <t>P003957</t>
        </is>
      </c>
      <c r="C289" s="36" t="n">
        <v>4301051666</v>
      </c>
      <c r="D289" s="723" t="n">
        <v>4680115880092</v>
      </c>
      <c r="E289" s="1031" t="n"/>
      <c r="F289" s="1070" t="n">
        <v>0.4</v>
      </c>
      <c r="G289" s="37" t="n">
        <v>6</v>
      </c>
      <c r="H289" s="1070" t="n">
        <v>2.4</v>
      </c>
      <c r="I289" s="1070" t="n">
        <v>2.652</v>
      </c>
      <c r="J289" s="37" t="n">
        <v>182</v>
      </c>
      <c r="K289" s="37" t="inlineStr">
        <is>
          <t>14</t>
        </is>
      </c>
      <c r="L289" s="37" t="inlineStr"/>
      <c r="M289" s="38" t="inlineStr">
        <is>
          <t>СК3</t>
        </is>
      </c>
      <c r="N289" s="38" t="n"/>
      <c r="O289" s="37" t="n">
        <v>45</v>
      </c>
      <c r="P289" s="1230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89" s="1072" t="n"/>
      <c r="R289" s="1072" t="n"/>
      <c r="S289" s="1072" t="n"/>
      <c r="T289" s="1073" t="n"/>
      <c r="U289" s="39" t="inlineStr"/>
      <c r="V289" s="39" t="inlineStr"/>
      <c r="W289" s="40" t="inlineStr">
        <is>
          <t>кг</t>
        </is>
      </c>
      <c r="X289" s="1074" t="n">
        <v>227</v>
      </c>
      <c r="Y289" s="1075">
        <f>IFERROR(IF(X289="",0,CEILING((X289/$H289),1)*$H289),"")</f>
        <v/>
      </c>
      <c r="Z289" s="41">
        <f>IFERROR(IF(Y289=0,"",ROUNDUP(Y289/H289,0)*0.00651),"")</f>
        <v/>
      </c>
      <c r="AA289" s="68" t="inlineStr"/>
      <c r="AB289" s="69" t="inlineStr"/>
      <c r="AC289" s="388" t="inlineStr">
        <is>
          <t>ЕАЭС N RU Д-RU.РА09.В.39078/25, ЕАЭС N RU Д-RU.РА10.В.20056/25</t>
        </is>
      </c>
      <c r="AG289" s="78" t="n"/>
      <c r="AJ289" s="84" t="inlineStr"/>
      <c r="AK289" s="84" t="n">
        <v>0</v>
      </c>
      <c r="BB289" s="389" t="inlineStr">
        <is>
          <t>КИ</t>
        </is>
      </c>
      <c r="BM289" s="78">
        <f>IFERROR(X289*I289/H289,"0")</f>
        <v/>
      </c>
      <c r="BN289" s="78">
        <f>IFERROR(Y289*I289/H289,"0")</f>
        <v/>
      </c>
      <c r="BO289" s="78">
        <f>IFERROR(1/J289*(X289/H289),"0")</f>
        <v/>
      </c>
      <c r="BP289" s="78">
        <f>IFERROR(1/J289*(Y289/H289),"0")</f>
        <v/>
      </c>
    </row>
    <row r="290" ht="27" customHeight="1">
      <c r="A290" s="63" t="inlineStr">
        <is>
          <t>SU004178</t>
        </is>
      </c>
      <c r="B290" s="63" t="inlineStr">
        <is>
          <t>P005433</t>
        </is>
      </c>
      <c r="C290" s="36" t="n">
        <v>4301052214</v>
      </c>
      <c r="D290" s="723" t="n">
        <v>4680115889064</v>
      </c>
      <c r="E290" s="1031" t="n"/>
      <c r="F290" s="1070" t="n">
        <v>0.7</v>
      </c>
      <c r="G290" s="37" t="n">
        <v>6</v>
      </c>
      <c r="H290" s="1070" t="n">
        <v>4.2</v>
      </c>
      <c r="I290" s="1070" t="n">
        <v>4.616</v>
      </c>
      <c r="J290" s="37" t="n">
        <v>104</v>
      </c>
      <c r="K290" s="37" t="inlineStr">
        <is>
          <t>8</t>
        </is>
      </c>
      <c r="L290" s="37" t="inlineStr"/>
      <c r="M290" s="38" t="inlineStr">
        <is>
          <t>СК3</t>
        </is>
      </c>
      <c r="N290" s="38" t="n"/>
      <c r="O290" s="37" t="n">
        <v>45</v>
      </c>
      <c r="P290" s="1231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90" s="1072" t="n"/>
      <c r="R290" s="1072" t="n"/>
      <c r="S290" s="1072" t="n"/>
      <c r="T290" s="1073" t="n"/>
      <c r="U290" s="39" t="inlineStr"/>
      <c r="V290" s="39" t="inlineStr"/>
      <c r="W290" s="40" t="inlineStr">
        <is>
          <t>кг</t>
        </is>
      </c>
      <c r="X290" s="1074" t="n">
        <v>0</v>
      </c>
      <c r="Y290" s="1075">
        <f>IFERROR(IF(X290="",0,CEILING((X290/$H290),1)*$H290),"")</f>
        <v/>
      </c>
      <c r="Z290" s="41">
        <f>IFERROR(IF(Y290=0,"",ROUNDUP(Y290/H290,0)*0.01196),"")</f>
        <v/>
      </c>
      <c r="AA290" s="68" t="inlineStr"/>
      <c r="AB290" s="69" t="inlineStr"/>
      <c r="AC290" s="390" t="inlineStr">
        <is>
          <t>ЕАЭС N RU Д-RU.РА09.В.39078/25</t>
        </is>
      </c>
      <c r="AG290" s="78" t="n"/>
      <c r="AJ290" s="84" t="inlineStr"/>
      <c r="AK290" s="84" t="n">
        <v>0</v>
      </c>
      <c r="BB290" s="391" t="inlineStr">
        <is>
          <t>КИ</t>
        </is>
      </c>
      <c r="BM290" s="78">
        <f>IFERROR(X290*I290/H290,"0")</f>
        <v/>
      </c>
      <c r="BN290" s="78">
        <f>IFERROR(Y290*I290/H290,"0")</f>
        <v/>
      </c>
      <c r="BO290" s="78">
        <f>IFERROR(1/J290*(X290/H290),"0")</f>
        <v/>
      </c>
      <c r="BP290" s="78">
        <f>IFERROR(1/J290*(Y290/H290),"0")</f>
        <v/>
      </c>
    </row>
    <row r="291" ht="27" customHeight="1">
      <c r="A291" s="63" t="inlineStr">
        <is>
          <t>SU002621</t>
        </is>
      </c>
      <c r="B291" s="63" t="inlineStr">
        <is>
          <t>P003958</t>
        </is>
      </c>
      <c r="C291" s="36" t="n">
        <v>4301051668</v>
      </c>
      <c r="D291" s="723" t="n">
        <v>4680115880221</v>
      </c>
      <c r="E291" s="1031" t="n"/>
      <c r="F291" s="1070" t="n">
        <v>0.4</v>
      </c>
      <c r="G291" s="37" t="n">
        <v>6</v>
      </c>
      <c r="H291" s="1070" t="n">
        <v>2.4</v>
      </c>
      <c r="I291" s="1070" t="n">
        <v>2.652</v>
      </c>
      <c r="J291" s="37" t="n">
        <v>182</v>
      </c>
      <c r="K291" s="37" t="inlineStr">
        <is>
          <t>14</t>
        </is>
      </c>
      <c r="L291" s="37" t="inlineStr"/>
      <c r="M291" s="38" t="inlineStr">
        <is>
          <t>СК3</t>
        </is>
      </c>
      <c r="N291" s="38" t="n"/>
      <c r="O291" s="37" t="n">
        <v>45</v>
      </c>
      <c r="P291" s="1232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91" s="1072" t="n"/>
      <c r="R291" s="1072" t="n"/>
      <c r="S291" s="1072" t="n"/>
      <c r="T291" s="1073" t="n"/>
      <c r="U291" s="39" t="inlineStr"/>
      <c r="V291" s="39" t="inlineStr"/>
      <c r="W291" s="40" t="inlineStr">
        <is>
          <t>кг</t>
        </is>
      </c>
      <c r="X291" s="1074" t="n">
        <v>20</v>
      </c>
      <c r="Y291" s="1075">
        <f>IFERROR(IF(X291="",0,CEILING((X291/$H291),1)*$H291),"")</f>
        <v/>
      </c>
      <c r="Z291" s="41">
        <f>IFERROR(IF(Y291=0,"",ROUNDUP(Y291/H291,0)*0.00651),"")</f>
        <v/>
      </c>
      <c r="AA291" s="68" t="inlineStr"/>
      <c r="AB291" s="69" t="inlineStr"/>
      <c r="AC291" s="392" t="inlineStr">
        <is>
          <t>ЕАЭС N RU Д-RU.РА09.В.39078/25, ЕАЭС N RU Д-RU.РА10.В.20056/25</t>
        </is>
      </c>
      <c r="AG291" s="78" t="n"/>
      <c r="AJ291" s="84" t="inlineStr"/>
      <c r="AK291" s="84" t="n">
        <v>0</v>
      </c>
      <c r="BB291" s="393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 ht="27" customHeight="1">
      <c r="A292" s="63" t="inlineStr">
        <is>
          <t>SU002686</t>
        </is>
      </c>
      <c r="B292" s="63" t="inlineStr">
        <is>
          <t>P004178</t>
        </is>
      </c>
      <c r="C292" s="36" t="n">
        <v>4301051945</v>
      </c>
      <c r="D292" s="723" t="n">
        <v>4680115880504</v>
      </c>
      <c r="E292" s="1031" t="n"/>
      <c r="F292" s="1070" t="n">
        <v>0.4</v>
      </c>
      <c r="G292" s="37" t="n">
        <v>6</v>
      </c>
      <c r="H292" s="1070" t="n">
        <v>2.4</v>
      </c>
      <c r="I292" s="1070" t="n">
        <v>2.652</v>
      </c>
      <c r="J292" s="37" t="n">
        <v>182</v>
      </c>
      <c r="K292" s="37" t="inlineStr">
        <is>
          <t>14</t>
        </is>
      </c>
      <c r="L292" s="37" t="inlineStr"/>
      <c r="M292" s="38" t="inlineStr">
        <is>
          <t>СК4</t>
        </is>
      </c>
      <c r="N292" s="38" t="n"/>
      <c r="O292" s="37" t="n">
        <v>40</v>
      </c>
      <c r="P292" s="1233">
        <f>HYPERLINK("https://abi.ru/products/Охлажденные/Стародворье/Сочинка/Сосиски/P004178/","Сосиски Сочинки с сыром Бордо ф/в 0,4 кг п/а Стародворье")</f>
        <v/>
      </c>
      <c r="Q292" s="1072" t="n"/>
      <c r="R292" s="1072" t="n"/>
      <c r="S292" s="1072" t="n"/>
      <c r="T292" s="1073" t="n"/>
      <c r="U292" s="39" t="inlineStr"/>
      <c r="V292" s="39" t="inlineStr"/>
      <c r="W292" s="40" t="inlineStr">
        <is>
          <t>кг</t>
        </is>
      </c>
      <c r="X292" s="1074" t="n">
        <v>0</v>
      </c>
      <c r="Y292" s="1075">
        <f>IFERROR(IF(X292="",0,CEILING((X292/$H292),1)*$H292),"")</f>
        <v/>
      </c>
      <c r="Z292" s="41">
        <f>IFERROR(IF(Y292=0,"",ROUNDUP(Y292/H292,0)*0.00651),"")</f>
        <v/>
      </c>
      <c r="AA292" s="68" t="inlineStr"/>
      <c r="AB292" s="69" t="inlineStr"/>
      <c r="AC292" s="394" t="inlineStr">
        <is>
          <t>ЕАЭС N RU Д-RU.РА03.В.47009/25, ЕАЭС N RU Д-RU.РА09.В.38947/25</t>
        </is>
      </c>
      <c r="AG292" s="78" t="n"/>
      <c r="AJ292" s="84" t="inlineStr"/>
      <c r="AK292" s="84" t="n">
        <v>0</v>
      </c>
      <c r="BB292" s="395" t="inlineStr">
        <is>
          <t>КИ</t>
        </is>
      </c>
      <c r="BM292" s="78">
        <f>IFERROR(X292*I292/H292,"0")</f>
        <v/>
      </c>
      <c r="BN292" s="78">
        <f>IFERROR(Y292*I292/H292,"0")</f>
        <v/>
      </c>
      <c r="BO292" s="78">
        <f>IFERROR(1/J292*(X292/H292),"0")</f>
        <v/>
      </c>
      <c r="BP292" s="78">
        <f>IFERROR(1/J292*(Y292/H292),"0")</f>
        <v/>
      </c>
    </row>
    <row r="293" ht="27" customHeight="1">
      <c r="A293" s="63" t="inlineStr">
        <is>
          <t>SU002844</t>
        </is>
      </c>
      <c r="B293" s="63" t="inlineStr">
        <is>
          <t>P003265</t>
        </is>
      </c>
      <c r="C293" s="36" t="n">
        <v>4301051410</v>
      </c>
      <c r="D293" s="723" t="n">
        <v>4680115882164</v>
      </c>
      <c r="E293" s="1031" t="n"/>
      <c r="F293" s="1070" t="n">
        <v>0.4</v>
      </c>
      <c r="G293" s="37" t="n">
        <v>6</v>
      </c>
      <c r="H293" s="1070" t="n">
        <v>2.4</v>
      </c>
      <c r="I293" s="1070" t="n">
        <v>2.658</v>
      </c>
      <c r="J293" s="37" t="n">
        <v>182</v>
      </c>
      <c r="K293" s="37" t="inlineStr">
        <is>
          <t>14</t>
        </is>
      </c>
      <c r="L293" s="37" t="inlineStr"/>
      <c r="M293" s="38" t="inlineStr">
        <is>
          <t>СК3</t>
        </is>
      </c>
      <c r="N293" s="38" t="n"/>
      <c r="O293" s="37" t="n">
        <v>40</v>
      </c>
      <c r="P293" s="1234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93" s="1072" t="n"/>
      <c r="R293" s="1072" t="n"/>
      <c r="S293" s="1072" t="n"/>
      <c r="T293" s="1073" t="n"/>
      <c r="U293" s="39" t="inlineStr"/>
      <c r="V293" s="39" t="inlineStr"/>
      <c r="W293" s="40" t="inlineStr">
        <is>
          <t>кг</t>
        </is>
      </c>
      <c r="X293" s="1074" t="n">
        <v>56</v>
      </c>
      <c r="Y293" s="1075">
        <f>IFERROR(IF(X293="",0,CEILING((X293/$H293),1)*$H293),"")</f>
        <v/>
      </c>
      <c r="Z293" s="41">
        <f>IFERROR(IF(Y293=0,"",ROUNDUP(Y293/H293,0)*0.00651),"")</f>
        <v/>
      </c>
      <c r="AA293" s="68" t="inlineStr"/>
      <c r="AB293" s="69" t="inlineStr"/>
      <c r="AC293" s="396" t="inlineStr">
        <is>
          <t>ЕАЭС N RU Д-RU.РА01.В.99153/23, ЕАЭС N RU Д-RU.РА01.В.99184/23</t>
        </is>
      </c>
      <c r="AG293" s="78" t="n"/>
      <c r="AJ293" s="84" t="inlineStr"/>
      <c r="AK293" s="84" t="n">
        <v>0</v>
      </c>
      <c r="BB293" s="397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SU004121</t>
        </is>
      </c>
      <c r="B294" s="63" t="inlineStr">
        <is>
          <t>P005381</t>
        </is>
      </c>
      <c r="C294" s="36" t="n">
        <v>4301052180</v>
      </c>
      <c r="D294" s="723" t="n">
        <v>4680115888340</v>
      </c>
      <c r="E294" s="1031" t="n"/>
      <c r="F294" s="1070" t="n">
        <v>0.4</v>
      </c>
      <c r="G294" s="37" t="n">
        <v>6</v>
      </c>
      <c r="H294" s="1070" t="n">
        <v>2.4</v>
      </c>
      <c r="I294" s="1070" t="n">
        <v>2.652</v>
      </c>
      <c r="J294" s="37" t="n">
        <v>182</v>
      </c>
      <c r="K294" s="37" t="inlineStr">
        <is>
          <t>14</t>
        </is>
      </c>
      <c r="L294" s="37" t="inlineStr"/>
      <c r="M294" s="38" t="inlineStr">
        <is>
          <t>СК3</t>
        </is>
      </c>
      <c r="N294" s="38" t="n"/>
      <c r="O294" s="37" t="n">
        <v>45</v>
      </c>
      <c r="P294" s="1235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94" s="1072" t="n"/>
      <c r="R294" s="1072" t="n"/>
      <c r="S294" s="1072" t="n"/>
      <c r="T294" s="1073" t="n"/>
      <c r="U294" s="39" t="inlineStr"/>
      <c r="V294" s="39" t="inlineStr"/>
      <c r="W294" s="40" t="inlineStr">
        <is>
          <t>кг</t>
        </is>
      </c>
      <c r="X294" s="1074" t="n">
        <v>0</v>
      </c>
      <c r="Y294" s="1075">
        <f>IFERROR(IF(X294="",0,CEILING((X294/$H294),1)*$H294),"")</f>
        <v/>
      </c>
      <c r="Z294" s="41">
        <f>IFERROR(IF(Y294=0,"",ROUNDUP(Y294/H294,0)*0.00651),"")</f>
        <v/>
      </c>
      <c r="AA294" s="68" t="inlineStr"/>
      <c r="AB294" s="69" t="inlineStr"/>
      <c r="AC294" s="398" t="inlineStr">
        <is>
          <t>ЕАЭС N RU Д-RU.РА01.В.69206/26, ЕАЭС N RU Д-RU.РА01.В.69319/26</t>
        </is>
      </c>
      <c r="AG294" s="78" t="n"/>
      <c r="AJ294" s="84" t="inlineStr"/>
      <c r="AK294" s="84" t="n">
        <v>0</v>
      </c>
      <c r="BB294" s="399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>
      <c r="A295" s="732" t="n"/>
      <c r="B295" s="1019" t="n"/>
      <c r="C295" s="1019" t="n"/>
      <c r="D295" s="1019" t="n"/>
      <c r="E295" s="1019" t="n"/>
      <c r="F295" s="1019" t="n"/>
      <c r="G295" s="1019" t="n"/>
      <c r="H295" s="1019" t="n"/>
      <c r="I295" s="1019" t="n"/>
      <c r="J295" s="1019" t="n"/>
      <c r="K295" s="1019" t="n"/>
      <c r="L295" s="1019" t="n"/>
      <c r="M295" s="1019" t="n"/>
      <c r="N295" s="1019" t="n"/>
      <c r="O295" s="1077" t="n"/>
      <c r="P295" s="1078" t="inlineStr">
        <is>
          <t>Итого</t>
        </is>
      </c>
      <c r="Q295" s="1039" t="n"/>
      <c r="R295" s="1039" t="n"/>
      <c r="S295" s="1039" t="n"/>
      <c r="T295" s="1039" t="n"/>
      <c r="U295" s="1039" t="n"/>
      <c r="V295" s="1040" t="n"/>
      <c r="W295" s="42" t="inlineStr">
        <is>
          <t>кор</t>
        </is>
      </c>
      <c r="X295" s="1079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/>
      </c>
      <c r="Y295" s="1079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/>
      </c>
      <c r="Z295" s="1079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/>
      </c>
      <c r="AA295" s="1080" t="n"/>
      <c r="AB295" s="1080" t="n"/>
      <c r="AC295" s="1080" t="n"/>
    </row>
    <row r="296">
      <c r="A296" s="1019" t="n"/>
      <c r="B296" s="1019" t="n"/>
      <c r="C296" s="1019" t="n"/>
      <c r="D296" s="1019" t="n"/>
      <c r="E296" s="1019" t="n"/>
      <c r="F296" s="1019" t="n"/>
      <c r="G296" s="1019" t="n"/>
      <c r="H296" s="1019" t="n"/>
      <c r="I296" s="1019" t="n"/>
      <c r="J296" s="1019" t="n"/>
      <c r="K296" s="1019" t="n"/>
      <c r="L296" s="1019" t="n"/>
      <c r="M296" s="1019" t="n"/>
      <c r="N296" s="1019" t="n"/>
      <c r="O296" s="1077" t="n"/>
      <c r="P296" s="1078" t="inlineStr">
        <is>
          <t>Итого</t>
        </is>
      </c>
      <c r="Q296" s="1039" t="n"/>
      <c r="R296" s="1039" t="n"/>
      <c r="S296" s="1039" t="n"/>
      <c r="T296" s="1039" t="n"/>
      <c r="U296" s="1039" t="n"/>
      <c r="V296" s="1040" t="n"/>
      <c r="W296" s="42" t="inlineStr">
        <is>
          <t>кг</t>
        </is>
      </c>
      <c r="X296" s="1079">
        <f>IFERROR(SUM(X283:X294),"0")</f>
        <v/>
      </c>
      <c r="Y296" s="1079">
        <f>IFERROR(SUM(Y283:Y294),"0")</f>
        <v/>
      </c>
      <c r="Z296" s="42" t="n"/>
      <c r="AA296" s="1080" t="n"/>
      <c r="AB296" s="1080" t="n"/>
      <c r="AC296" s="1080" t="n"/>
    </row>
    <row r="297" ht="14.25" customHeight="1">
      <c r="A297" s="722" t="inlineStr">
        <is>
          <t>Сардельки</t>
        </is>
      </c>
      <c r="B297" s="1019" t="n"/>
      <c r="C297" s="1019" t="n"/>
      <c r="D297" s="1019" t="n"/>
      <c r="E297" s="1019" t="n"/>
      <c r="F297" s="1019" t="n"/>
      <c r="G297" s="1019" t="n"/>
      <c r="H297" s="1019" t="n"/>
      <c r="I297" s="1019" t="n"/>
      <c r="J297" s="1019" t="n"/>
      <c r="K297" s="1019" t="n"/>
      <c r="L297" s="1019" t="n"/>
      <c r="M297" s="1019" t="n"/>
      <c r="N297" s="1019" t="n"/>
      <c r="O297" s="1019" t="n"/>
      <c r="P297" s="1019" t="n"/>
      <c r="Q297" s="1019" t="n"/>
      <c r="R297" s="1019" t="n"/>
      <c r="S297" s="1019" t="n"/>
      <c r="T297" s="1019" t="n"/>
      <c r="U297" s="1019" t="n"/>
      <c r="V297" s="1019" t="n"/>
      <c r="W297" s="1019" t="n"/>
      <c r="X297" s="1019" t="n"/>
      <c r="Y297" s="1019" t="n"/>
      <c r="Z297" s="1019" t="n"/>
      <c r="AA297" s="722" t="n"/>
      <c r="AB297" s="722" t="n"/>
      <c r="AC297" s="722" t="n"/>
    </row>
    <row r="298" ht="27" customHeight="1">
      <c r="A298" s="63" t="inlineStr">
        <is>
          <t>SU002759</t>
        </is>
      </c>
      <c r="B298" s="63" t="inlineStr">
        <is>
          <t>P003961</t>
        </is>
      </c>
      <c r="C298" s="36" t="n">
        <v>4301060463</v>
      </c>
      <c r="D298" s="723" t="n">
        <v>4680115880818</v>
      </c>
      <c r="E298" s="1031" t="n"/>
      <c r="F298" s="1070" t="n">
        <v>0.4</v>
      </c>
      <c r="G298" s="37" t="n">
        <v>6</v>
      </c>
      <c r="H298" s="1070" t="n">
        <v>2.4</v>
      </c>
      <c r="I298" s="1070" t="n">
        <v>2.652</v>
      </c>
      <c r="J298" s="37" t="n">
        <v>182</v>
      </c>
      <c r="K298" s="37" t="inlineStr">
        <is>
          <t>14</t>
        </is>
      </c>
      <c r="L298" s="37" t="inlineStr"/>
      <c r="M298" s="38" t="inlineStr">
        <is>
          <t>СК4</t>
        </is>
      </c>
      <c r="N298" s="38" t="n"/>
      <c r="O298" s="37" t="n">
        <v>40</v>
      </c>
      <c r="P298" s="1236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98" s="1072" t="n"/>
      <c r="R298" s="1072" t="n"/>
      <c r="S298" s="1072" t="n"/>
      <c r="T298" s="1073" t="n"/>
      <c r="U298" s="39" t="inlineStr"/>
      <c r="V298" s="39" t="inlineStr"/>
      <c r="W298" s="40" t="inlineStr">
        <is>
          <t>кг</t>
        </is>
      </c>
      <c r="X298" s="1074" t="n">
        <v>2</v>
      </c>
      <c r="Y298" s="1075">
        <f>IFERROR(IF(X298="",0,CEILING((X298/$H298),1)*$H298),"")</f>
        <v/>
      </c>
      <c r="Z298" s="41">
        <f>IFERROR(IF(Y298=0,"",ROUNDUP(Y298/H298,0)*0.00651),"")</f>
        <v/>
      </c>
      <c r="AA298" s="68" t="inlineStr"/>
      <c r="AB298" s="69" t="inlineStr"/>
      <c r="AC298" s="400" t="inlineStr">
        <is>
          <t>ЕАЭС N RU Д-RU.РА09.В.28678/25</t>
        </is>
      </c>
      <c r="AG298" s="78" t="n"/>
      <c r="AJ298" s="84" t="inlineStr"/>
      <c r="AK298" s="84" t="n">
        <v>0</v>
      </c>
      <c r="BB298" s="401" t="inlineStr">
        <is>
          <t>КИ</t>
        </is>
      </c>
      <c r="BM298" s="78">
        <f>IFERROR(X298*I298/H298,"0")</f>
        <v/>
      </c>
      <c r="BN298" s="78">
        <f>IFERROR(Y298*I298/H298,"0")</f>
        <v/>
      </c>
      <c r="BO298" s="78">
        <f>IFERROR(1/J298*(X298/H298),"0")</f>
        <v/>
      </c>
      <c r="BP298" s="78">
        <f>IFERROR(1/J298*(Y298/H298),"0")</f>
        <v/>
      </c>
    </row>
    <row r="299" ht="27" customHeight="1">
      <c r="A299" s="63" t="inlineStr">
        <is>
          <t>SU002758</t>
        </is>
      </c>
      <c r="B299" s="63" t="inlineStr">
        <is>
          <t>P003960</t>
        </is>
      </c>
      <c r="C299" s="36" t="n">
        <v>4301060389</v>
      </c>
      <c r="D299" s="723" t="n">
        <v>4680115880801</v>
      </c>
      <c r="E299" s="1031" t="n"/>
      <c r="F299" s="1070" t="n">
        <v>0.4</v>
      </c>
      <c r="G299" s="37" t="n">
        <v>6</v>
      </c>
      <c r="H299" s="1070" t="n">
        <v>2.4</v>
      </c>
      <c r="I299" s="1070" t="n">
        <v>2.652</v>
      </c>
      <c r="J299" s="37" t="n">
        <v>182</v>
      </c>
      <c r="K299" s="37" t="inlineStr">
        <is>
          <t>14</t>
        </is>
      </c>
      <c r="L299" s="37" t="inlineStr"/>
      <c r="M299" s="38" t="inlineStr">
        <is>
          <t>СК3</t>
        </is>
      </c>
      <c r="N299" s="38" t="n"/>
      <c r="O299" s="37" t="n">
        <v>40</v>
      </c>
      <c r="P299" s="1237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99" s="1072" t="n"/>
      <c r="R299" s="1072" t="n"/>
      <c r="S299" s="1072" t="n"/>
      <c r="T299" s="1073" t="n"/>
      <c r="U299" s="39" t="inlineStr"/>
      <c r="V299" s="39" t="inlineStr"/>
      <c r="W299" s="40" t="inlineStr">
        <is>
          <t>кг</t>
        </is>
      </c>
      <c r="X299" s="1074" t="n">
        <v>12</v>
      </c>
      <c r="Y299" s="1075">
        <f>IFERROR(IF(X299="",0,CEILING((X299/$H299),1)*$H299),"")</f>
        <v/>
      </c>
      <c r="Z299" s="41">
        <f>IFERROR(IF(Y299=0,"",ROUNDUP(Y299/H299,0)*0.00651),"")</f>
        <v/>
      </c>
      <c r="AA299" s="68" t="inlineStr"/>
      <c r="AB299" s="69" t="inlineStr"/>
      <c r="AC299" s="402" t="inlineStr">
        <is>
          <t>ЕАЭС N RU Д-RU.РА01.В.17805/26, ЕАЭС N RU Д-RU.РА09.В.34969/25</t>
        </is>
      </c>
      <c r="AG299" s="78" t="n"/>
      <c r="AJ299" s="84" t="inlineStr"/>
      <c r="AK299" s="84" t="n">
        <v>0</v>
      </c>
      <c r="BB299" s="403" t="inlineStr">
        <is>
          <t>КИ</t>
        </is>
      </c>
      <c r="BM299" s="78">
        <f>IFERROR(X299*I299/H299,"0")</f>
        <v/>
      </c>
      <c r="BN299" s="78">
        <f>IFERROR(Y299*I299/H299,"0")</f>
        <v/>
      </c>
      <c r="BO299" s="78">
        <f>IFERROR(1/J299*(X299/H299),"0")</f>
        <v/>
      </c>
      <c r="BP299" s="78">
        <f>IFERROR(1/J299*(Y299/H299),"0")</f>
        <v/>
      </c>
    </row>
    <row r="300">
      <c r="A300" s="732" t="n"/>
      <c r="B300" s="1019" t="n"/>
      <c r="C300" s="1019" t="n"/>
      <c r="D300" s="1019" t="n"/>
      <c r="E300" s="1019" t="n"/>
      <c r="F300" s="1019" t="n"/>
      <c r="G300" s="1019" t="n"/>
      <c r="H300" s="1019" t="n"/>
      <c r="I300" s="1019" t="n"/>
      <c r="J300" s="1019" t="n"/>
      <c r="K300" s="1019" t="n"/>
      <c r="L300" s="1019" t="n"/>
      <c r="M300" s="1019" t="n"/>
      <c r="N300" s="1019" t="n"/>
      <c r="O300" s="1077" t="n"/>
      <c r="P300" s="1078" t="inlineStr">
        <is>
          <t>Итого</t>
        </is>
      </c>
      <c r="Q300" s="1039" t="n"/>
      <c r="R300" s="1039" t="n"/>
      <c r="S300" s="1039" t="n"/>
      <c r="T300" s="1039" t="n"/>
      <c r="U300" s="1039" t="n"/>
      <c r="V300" s="1040" t="n"/>
      <c r="W300" s="42" t="inlineStr">
        <is>
          <t>кор</t>
        </is>
      </c>
      <c r="X300" s="1079">
        <f>IFERROR(X298/H298,"0")+IFERROR(X299/H299,"0")</f>
        <v/>
      </c>
      <c r="Y300" s="1079">
        <f>IFERROR(Y298/H298,"0")+IFERROR(Y299/H299,"0")</f>
        <v/>
      </c>
      <c r="Z300" s="1079">
        <f>IFERROR(IF(Z298="",0,Z298),"0")+IFERROR(IF(Z299="",0,Z299),"0")</f>
        <v/>
      </c>
      <c r="AA300" s="1080" t="n"/>
      <c r="AB300" s="1080" t="n"/>
      <c r="AC300" s="1080" t="n"/>
    </row>
    <row r="301">
      <c r="A301" s="1019" t="n"/>
      <c r="B301" s="1019" t="n"/>
      <c r="C301" s="1019" t="n"/>
      <c r="D301" s="1019" t="n"/>
      <c r="E301" s="1019" t="n"/>
      <c r="F301" s="1019" t="n"/>
      <c r="G301" s="1019" t="n"/>
      <c r="H301" s="1019" t="n"/>
      <c r="I301" s="1019" t="n"/>
      <c r="J301" s="1019" t="n"/>
      <c r="K301" s="1019" t="n"/>
      <c r="L301" s="1019" t="n"/>
      <c r="M301" s="1019" t="n"/>
      <c r="N301" s="1019" t="n"/>
      <c r="O301" s="1077" t="n"/>
      <c r="P301" s="1078" t="inlineStr">
        <is>
          <t>Итого</t>
        </is>
      </c>
      <c r="Q301" s="1039" t="n"/>
      <c r="R301" s="1039" t="n"/>
      <c r="S301" s="1039" t="n"/>
      <c r="T301" s="1039" t="n"/>
      <c r="U301" s="1039" t="n"/>
      <c r="V301" s="1040" t="n"/>
      <c r="W301" s="42" t="inlineStr">
        <is>
          <t>кг</t>
        </is>
      </c>
      <c r="X301" s="1079">
        <f>IFERROR(SUM(X298:X299),"0")</f>
        <v/>
      </c>
      <c r="Y301" s="1079">
        <f>IFERROR(SUM(Y298:Y299),"0")</f>
        <v/>
      </c>
      <c r="Z301" s="42" t="n"/>
      <c r="AA301" s="1080" t="n"/>
      <c r="AB301" s="1080" t="n"/>
      <c r="AC301" s="1080" t="n"/>
    </row>
    <row r="302" ht="16.5" customHeight="1">
      <c r="A302" s="721" t="inlineStr">
        <is>
          <t>Стародворская</t>
        </is>
      </c>
      <c r="B302" s="1019" t="n"/>
      <c r="C302" s="1019" t="n"/>
      <c r="D302" s="1019" t="n"/>
      <c r="E302" s="1019" t="n"/>
      <c r="F302" s="1019" t="n"/>
      <c r="G302" s="1019" t="n"/>
      <c r="H302" s="1019" t="n"/>
      <c r="I302" s="1019" t="n"/>
      <c r="J302" s="1019" t="n"/>
      <c r="K302" s="1019" t="n"/>
      <c r="L302" s="1019" t="n"/>
      <c r="M302" s="1019" t="n"/>
      <c r="N302" s="1019" t="n"/>
      <c r="O302" s="1019" t="n"/>
      <c r="P302" s="1019" t="n"/>
      <c r="Q302" s="1019" t="n"/>
      <c r="R302" s="1019" t="n"/>
      <c r="S302" s="1019" t="n"/>
      <c r="T302" s="1019" t="n"/>
      <c r="U302" s="1019" t="n"/>
      <c r="V302" s="1019" t="n"/>
      <c r="W302" s="1019" t="n"/>
      <c r="X302" s="1019" t="n"/>
      <c r="Y302" s="1019" t="n"/>
      <c r="Z302" s="1019" t="n"/>
      <c r="AA302" s="721" t="n"/>
      <c r="AB302" s="721" t="n"/>
      <c r="AC302" s="721" t="n"/>
    </row>
    <row r="303" ht="14.25" customHeight="1">
      <c r="A303" s="722" t="inlineStr">
        <is>
          <t>Вареные колбасы</t>
        </is>
      </c>
      <c r="B303" s="1019" t="n"/>
      <c r="C303" s="1019" t="n"/>
      <c r="D303" s="1019" t="n"/>
      <c r="E303" s="1019" t="n"/>
      <c r="F303" s="1019" t="n"/>
      <c r="G303" s="1019" t="n"/>
      <c r="H303" s="1019" t="n"/>
      <c r="I303" s="1019" t="n"/>
      <c r="J303" s="1019" t="n"/>
      <c r="K303" s="1019" t="n"/>
      <c r="L303" s="1019" t="n"/>
      <c r="M303" s="1019" t="n"/>
      <c r="N303" s="1019" t="n"/>
      <c r="O303" s="1019" t="n"/>
      <c r="P303" s="1019" t="n"/>
      <c r="Q303" s="1019" t="n"/>
      <c r="R303" s="1019" t="n"/>
      <c r="S303" s="1019" t="n"/>
      <c r="T303" s="1019" t="n"/>
      <c r="U303" s="1019" t="n"/>
      <c r="V303" s="1019" t="n"/>
      <c r="W303" s="1019" t="n"/>
      <c r="X303" s="1019" t="n"/>
      <c r="Y303" s="1019" t="n"/>
      <c r="Z303" s="1019" t="n"/>
      <c r="AA303" s="722" t="n"/>
      <c r="AB303" s="722" t="n"/>
      <c r="AC303" s="722" t="n"/>
    </row>
    <row r="304" ht="27" customHeight="1">
      <c r="A304" s="63" t="inlineStr">
        <is>
          <t>SU003273</t>
        </is>
      </c>
      <c r="B304" s="63" t="inlineStr">
        <is>
          <t>P004070</t>
        </is>
      </c>
      <c r="C304" s="36" t="n">
        <v>4301011826</v>
      </c>
      <c r="D304" s="723" t="n">
        <v>4680115884137</v>
      </c>
      <c r="E304" s="1031" t="n"/>
      <c r="F304" s="1070" t="n">
        <v>1.45</v>
      </c>
      <c r="G304" s="37" t="n">
        <v>8</v>
      </c>
      <c r="H304" s="1070" t="n">
        <v>11.6</v>
      </c>
      <c r="I304" s="1070" t="n">
        <v>12.01</v>
      </c>
      <c r="J304" s="37" t="n">
        <v>64</v>
      </c>
      <c r="K304" s="37" t="inlineStr">
        <is>
          <t>8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38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304" s="1072" t="n"/>
      <c r="R304" s="1072" t="n"/>
      <c r="S304" s="1072" t="n"/>
      <c r="T304" s="1073" t="n"/>
      <c r="U304" s="39" t="inlineStr"/>
      <c r="V304" s="39" t="inlineStr"/>
      <c r="W304" s="40" t="inlineStr">
        <is>
          <t>кг</t>
        </is>
      </c>
      <c r="X304" s="1074" t="n">
        <v>0</v>
      </c>
      <c r="Y304" s="1075">
        <f>IFERROR(IF(X304="",0,CEILING((X304/$H304),1)*$H304),"")</f>
        <v/>
      </c>
      <c r="Z304" s="41">
        <f>IFERROR(IF(Y304=0,"",ROUNDUP(Y304/H304,0)*0.01898),"")</f>
        <v/>
      </c>
      <c r="AA304" s="68" t="inlineStr"/>
      <c r="AB304" s="69" t="inlineStr"/>
      <c r="AC304" s="404" t="inlineStr">
        <is>
          <t>ЕАЭС N RU Д-RU.РА09.В.47899/25</t>
        </is>
      </c>
      <c r="AG304" s="78" t="n"/>
      <c r="AJ304" s="84" t="inlineStr"/>
      <c r="AK304" s="84" t="n">
        <v>0</v>
      </c>
      <c r="BB304" s="405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 ht="27" customHeight="1">
      <c r="A305" s="63" t="inlineStr">
        <is>
          <t>SU003275</t>
        </is>
      </c>
      <c r="B305" s="63" t="inlineStr">
        <is>
          <t>P003950</t>
        </is>
      </c>
      <c r="C305" s="36" t="n">
        <v>4301011724</v>
      </c>
      <c r="D305" s="723" t="n">
        <v>4680115884236</v>
      </c>
      <c r="E305" s="1031" t="n"/>
      <c r="F305" s="1070" t="n">
        <v>1.45</v>
      </c>
      <c r="G305" s="37" t="n">
        <v>8</v>
      </c>
      <c r="H305" s="1070" t="n">
        <v>11.6</v>
      </c>
      <c r="I305" s="1070" t="n">
        <v>12.01</v>
      </c>
      <c r="J305" s="37" t="n">
        <v>64</v>
      </c>
      <c r="K305" s="37" t="inlineStr">
        <is>
          <t>8</t>
        </is>
      </c>
      <c r="L305" s="37" t="inlineStr"/>
      <c r="M305" s="38" t="inlineStr">
        <is>
          <t>СК1</t>
        </is>
      </c>
      <c r="N305" s="38" t="n"/>
      <c r="O305" s="37" t="n">
        <v>55</v>
      </c>
      <c r="P305" s="1239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305" s="1072" t="n"/>
      <c r="R305" s="1072" t="n"/>
      <c r="S305" s="1072" t="n"/>
      <c r="T305" s="1073" t="n"/>
      <c r="U305" s="39" t="inlineStr"/>
      <c r="V305" s="39" t="inlineStr"/>
      <c r="W305" s="40" t="inlineStr">
        <is>
          <t>кг</t>
        </is>
      </c>
      <c r="X305" s="1074" t="n">
        <v>0</v>
      </c>
      <c r="Y305" s="1075">
        <f>IFERROR(IF(X305="",0,CEILING((X305/$H305),1)*$H305),"")</f>
        <v/>
      </c>
      <c r="Z305" s="41">
        <f>IFERROR(IF(Y305=0,"",ROUNDUP(Y305/H305,0)*0.01898),"")</f>
        <v/>
      </c>
      <c r="AA305" s="68" t="inlineStr"/>
      <c r="AB305" s="69" t="inlineStr"/>
      <c r="AC305" s="406" t="inlineStr">
        <is>
          <t>ЕАЭС N RU Д-RU.РА11.В.73101/25</t>
        </is>
      </c>
      <c r="AG305" s="78" t="n"/>
      <c r="AJ305" s="84" t="inlineStr"/>
      <c r="AK305" s="84" t="n">
        <v>0</v>
      </c>
      <c r="BB305" s="407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 ht="27" customHeight="1">
      <c r="A306" s="63" t="inlineStr">
        <is>
          <t>SU003271</t>
        </is>
      </c>
      <c r="B306" s="63" t="inlineStr">
        <is>
          <t>P003945</t>
        </is>
      </c>
      <c r="C306" s="36" t="n">
        <v>4301011721</v>
      </c>
      <c r="D306" s="723" t="n">
        <v>4680115884175</v>
      </c>
      <c r="E306" s="1031" t="n"/>
      <c r="F306" s="1070" t="n">
        <v>1.45</v>
      </c>
      <c r="G306" s="37" t="n">
        <v>8</v>
      </c>
      <c r="H306" s="1070" t="n">
        <v>11.6</v>
      </c>
      <c r="I306" s="1070" t="n">
        <v>12.01</v>
      </c>
      <c r="J306" s="37" t="n">
        <v>64</v>
      </c>
      <c r="K306" s="37" t="inlineStr">
        <is>
          <t>8</t>
        </is>
      </c>
      <c r="L306" s="37" t="inlineStr"/>
      <c r="M306" s="38" t="inlineStr">
        <is>
          <t>СК1</t>
        </is>
      </c>
      <c r="N306" s="38" t="n"/>
      <c r="O306" s="37" t="n">
        <v>55</v>
      </c>
      <c r="P306" s="1240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306" s="1072" t="n"/>
      <c r="R306" s="1072" t="n"/>
      <c r="S306" s="1072" t="n"/>
      <c r="T306" s="1073" t="n"/>
      <c r="U306" s="39" t="inlineStr"/>
      <c r="V306" s="39" t="inlineStr"/>
      <c r="W306" s="40" t="inlineStr">
        <is>
          <t>кг</t>
        </is>
      </c>
      <c r="X306" s="1074" t="n">
        <v>0</v>
      </c>
      <c r="Y306" s="1075">
        <f>IFERROR(IF(X306="",0,CEILING((X306/$H306),1)*$H306),"")</f>
        <v/>
      </c>
      <c r="Z306" s="41">
        <f>IFERROR(IF(Y306=0,"",ROUNDUP(Y306/H306,0)*0.01898),"")</f>
        <v/>
      </c>
      <c r="AA306" s="68" t="inlineStr"/>
      <c r="AB306" s="69" t="inlineStr"/>
      <c r="AC306" s="408" t="inlineStr">
        <is>
          <t>ЕАЭС N RU Д-RU.РА09.В.49311/25</t>
        </is>
      </c>
      <c r="AG306" s="78" t="n"/>
      <c r="AJ306" s="84" t="inlineStr"/>
      <c r="AK306" s="84" t="n">
        <v>0</v>
      </c>
      <c r="BB306" s="409" t="inlineStr">
        <is>
          <t>КИ</t>
        </is>
      </c>
      <c r="BM306" s="78">
        <f>IFERROR(X306*I306/H306,"0")</f>
        <v/>
      </c>
      <c r="BN306" s="78">
        <f>IFERROR(Y306*I306/H306,"0")</f>
        <v/>
      </c>
      <c r="BO306" s="78">
        <f>IFERROR(1/J306*(X306/H306),"0")</f>
        <v/>
      </c>
      <c r="BP306" s="78">
        <f>IFERROR(1/J306*(Y306/H306),"0")</f>
        <v/>
      </c>
    </row>
    <row r="307" ht="27" customHeight="1">
      <c r="A307" s="63" t="inlineStr">
        <is>
          <t>SU003274</t>
        </is>
      </c>
      <c r="B307" s="63" t="inlineStr">
        <is>
          <t>P004067</t>
        </is>
      </c>
      <c r="C307" s="36" t="n">
        <v>4301011824</v>
      </c>
      <c r="D307" s="723" t="n">
        <v>4680115884144</v>
      </c>
      <c r="E307" s="1031" t="n"/>
      <c r="F307" s="1070" t="n">
        <v>0.4</v>
      </c>
      <c r="G307" s="37" t="n">
        <v>10</v>
      </c>
      <c r="H307" s="1070" t="n">
        <v>4</v>
      </c>
      <c r="I307" s="1070" t="n">
        <v>4.19</v>
      </c>
      <c r="J307" s="37" t="n">
        <v>132</v>
      </c>
      <c r="K307" s="37" t="inlineStr">
        <is>
          <t>12</t>
        </is>
      </c>
      <c r="L307" s="37" t="inlineStr"/>
      <c r="M307" s="38" t="inlineStr">
        <is>
          <t>СК1</t>
        </is>
      </c>
      <c r="N307" s="38" t="n"/>
      <c r="O307" s="37" t="n">
        <v>55</v>
      </c>
      <c r="P307" s="1241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307" s="1072" t="n"/>
      <c r="R307" s="1072" t="n"/>
      <c r="S307" s="1072" t="n"/>
      <c r="T307" s="1073" t="n"/>
      <c r="U307" s="39" t="inlineStr"/>
      <c r="V307" s="39" t="inlineStr"/>
      <c r="W307" s="40" t="inlineStr">
        <is>
          <t>кг</t>
        </is>
      </c>
      <c r="X307" s="1074" t="n">
        <v>0</v>
      </c>
      <c r="Y307" s="1075">
        <f>IFERROR(IF(X307="",0,CEILING((X307/$H307),1)*$H307),"")</f>
        <v/>
      </c>
      <c r="Z307" s="41">
        <f>IFERROR(IF(Y307=0,"",ROUNDUP(Y307/H307,0)*0.00902),"")</f>
        <v/>
      </c>
      <c r="AA307" s="68" t="inlineStr"/>
      <c r="AB307" s="69" t="inlineStr"/>
      <c r="AC307" s="410" t="inlineStr">
        <is>
          <t>ЕАЭС N RU Д-RU.РА09.В.47899/25</t>
        </is>
      </c>
      <c r="AG307" s="78" t="n"/>
      <c r="AJ307" s="84" t="inlineStr"/>
      <c r="AK307" s="84" t="n">
        <v>0</v>
      </c>
      <c r="BB307" s="411" t="inlineStr">
        <is>
          <t>КИ</t>
        </is>
      </c>
      <c r="BM307" s="78">
        <f>IFERROR(X307*I307/H307,"0")</f>
        <v/>
      </c>
      <c r="BN307" s="78">
        <f>IFERROR(Y307*I307/H307,"0")</f>
        <v/>
      </c>
      <c r="BO307" s="78">
        <f>IFERROR(1/J307*(X307/H307),"0")</f>
        <v/>
      </c>
      <c r="BP307" s="78">
        <f>IFERROR(1/J307*(Y307/H307),"0")</f>
        <v/>
      </c>
    </row>
    <row r="308" ht="27" customHeight="1">
      <c r="A308" s="63" t="inlineStr">
        <is>
          <t>SU003859</t>
        </is>
      </c>
      <c r="B308" s="63" t="inlineStr">
        <is>
          <t>P004942</t>
        </is>
      </c>
      <c r="C308" s="36" t="n">
        <v>4301012149</v>
      </c>
      <c r="D308" s="723" t="n">
        <v>4680115886551</v>
      </c>
      <c r="E308" s="1031" t="n"/>
      <c r="F308" s="1070" t="n">
        <v>0.4</v>
      </c>
      <c r="G308" s="37" t="n">
        <v>10</v>
      </c>
      <c r="H308" s="1070" t="n">
        <v>4</v>
      </c>
      <c r="I308" s="1070" t="n">
        <v>4.19</v>
      </c>
      <c r="J308" s="37" t="n">
        <v>132</v>
      </c>
      <c r="K308" s="37" t="inlineStr">
        <is>
          <t>12</t>
        </is>
      </c>
      <c r="L308" s="37" t="inlineStr"/>
      <c r="M308" s="38" t="inlineStr">
        <is>
          <t>СК1</t>
        </is>
      </c>
      <c r="N308" s="38" t="n"/>
      <c r="O308" s="37" t="n">
        <v>55</v>
      </c>
      <c r="P308" s="1242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308" s="1072" t="n"/>
      <c r="R308" s="1072" t="n"/>
      <c r="S308" s="1072" t="n"/>
      <c r="T308" s="1073" t="n"/>
      <c r="U308" s="39" t="inlineStr"/>
      <c r="V308" s="39" t="inlineStr"/>
      <c r="W308" s="40" t="inlineStr">
        <is>
          <t>кг</t>
        </is>
      </c>
      <c r="X308" s="1074" t="n">
        <v>0</v>
      </c>
      <c r="Y308" s="1075">
        <f>IFERROR(IF(X308="",0,CEILING((X308/$H308),1)*$H308),"")</f>
        <v/>
      </c>
      <c r="Z308" s="41">
        <f>IFERROR(IF(Y308=0,"",ROUNDUP(Y308/H308,0)*0.00902),"")</f>
        <v/>
      </c>
      <c r="AA308" s="68" t="inlineStr"/>
      <c r="AB308" s="69" t="inlineStr"/>
      <c r="AC308" s="412" t="inlineStr">
        <is>
          <t>ЕАЭС N RU Д-RU.РА09.В.48164/25</t>
        </is>
      </c>
      <c r="AG308" s="78" t="n"/>
      <c r="AJ308" s="84" t="inlineStr"/>
      <c r="AK308" s="84" t="n">
        <v>0</v>
      </c>
      <c r="BB308" s="413" t="inlineStr">
        <is>
          <t>КИ</t>
        </is>
      </c>
      <c r="BM308" s="78">
        <f>IFERROR(X308*I308/H308,"0")</f>
        <v/>
      </c>
      <c r="BN308" s="78">
        <f>IFERROR(Y308*I308/H308,"0")</f>
        <v/>
      </c>
      <c r="BO308" s="78">
        <f>IFERROR(1/J308*(X308/H308),"0")</f>
        <v/>
      </c>
      <c r="BP308" s="78">
        <f>IFERROR(1/J308*(Y308/H308),"0")</f>
        <v/>
      </c>
    </row>
    <row r="309" ht="27" customHeight="1">
      <c r="A309" s="63" t="inlineStr">
        <is>
          <t>SU004011</t>
        </is>
      </c>
      <c r="B309" s="63" t="inlineStr">
        <is>
          <t>P005130</t>
        </is>
      </c>
      <c r="C309" s="36" t="n">
        <v>4301012228</v>
      </c>
      <c r="D309" s="723" t="n">
        <v>4680115887282</v>
      </c>
      <c r="E309" s="1031" t="n"/>
      <c r="F309" s="1070" t="n">
        <v>0.4</v>
      </c>
      <c r="G309" s="37" t="n">
        <v>6</v>
      </c>
      <c r="H309" s="1070" t="n">
        <v>2.4</v>
      </c>
      <c r="I309" s="1070" t="n">
        <v>2.58</v>
      </c>
      <c r="J309" s="37" t="n">
        <v>182</v>
      </c>
      <c r="K309" s="37" t="inlineStr">
        <is>
          <t>14</t>
        </is>
      </c>
      <c r="L309" s="37" t="inlineStr"/>
      <c r="M309" s="38" t="inlineStr">
        <is>
          <t>СК1</t>
        </is>
      </c>
      <c r="N309" s="38" t="n"/>
      <c r="O309" s="37" t="n">
        <v>55</v>
      </c>
      <c r="P309" s="1243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309" s="1072" t="n"/>
      <c r="R309" s="1072" t="n"/>
      <c r="S309" s="1072" t="n"/>
      <c r="T309" s="1073" t="n"/>
      <c r="U309" s="39" t="inlineStr"/>
      <c r="V309" s="39" t="inlineStr"/>
      <c r="W309" s="40" t="inlineStr">
        <is>
          <t>кг</t>
        </is>
      </c>
      <c r="X309" s="1074" t="n">
        <v>0</v>
      </c>
      <c r="Y309" s="1075">
        <f>IFERROR(IF(X309="",0,CEILING((X309/$H309),1)*$H309),"")</f>
        <v/>
      </c>
      <c r="Z309" s="41">
        <f>IFERROR(IF(Y309=0,"",ROUNDUP(Y309/H309,0)*0.00651),"")</f>
        <v/>
      </c>
      <c r="AA309" s="68" t="inlineStr"/>
      <c r="AB309" s="69" t="inlineStr"/>
      <c r="AC309" s="414" t="inlineStr">
        <is>
          <t>ЕАЭС N RU Д-RU.РА10.В.27759/23</t>
        </is>
      </c>
      <c r="AG309" s="78" t="n"/>
      <c r="AJ309" s="84" t="inlineStr"/>
      <c r="AK309" s="84" t="n">
        <v>0</v>
      </c>
      <c r="BB309" s="415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 ht="27" customHeight="1">
      <c r="A310" s="63" t="inlineStr">
        <is>
          <t>SU003272</t>
        </is>
      </c>
      <c r="B310" s="63" t="inlineStr">
        <is>
          <t>P003947</t>
        </is>
      </c>
      <c r="C310" s="36" t="n">
        <v>4301011722</v>
      </c>
      <c r="D310" s="723" t="n">
        <v>4680115884205</v>
      </c>
      <c r="E310" s="1031" t="n"/>
      <c r="F310" s="1070" t="n">
        <v>0.4</v>
      </c>
      <c r="G310" s="37" t="n">
        <v>10</v>
      </c>
      <c r="H310" s="1070" t="n">
        <v>4</v>
      </c>
      <c r="I310" s="1070" t="n">
        <v>4.19</v>
      </c>
      <c r="J310" s="37" t="n">
        <v>132</v>
      </c>
      <c r="K310" s="37" t="inlineStr">
        <is>
          <t>12</t>
        </is>
      </c>
      <c r="L310" s="37" t="inlineStr"/>
      <c r="M310" s="38" t="inlineStr">
        <is>
          <t>СК1</t>
        </is>
      </c>
      <c r="N310" s="38" t="n"/>
      <c r="O310" s="37" t="n">
        <v>55</v>
      </c>
      <c r="P310" s="1244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310" s="1072" t="n"/>
      <c r="R310" s="1072" t="n"/>
      <c r="S310" s="1072" t="n"/>
      <c r="T310" s="1073" t="n"/>
      <c r="U310" s="39" t="inlineStr"/>
      <c r="V310" s="39" t="inlineStr"/>
      <c r="W310" s="40" t="inlineStr">
        <is>
          <t>кг</t>
        </is>
      </c>
      <c r="X310" s="1074" t="n">
        <v>0</v>
      </c>
      <c r="Y310" s="1075">
        <f>IFERROR(IF(X310="",0,CEILING((X310/$H310),1)*$H310),"")</f>
        <v/>
      </c>
      <c r="Z310" s="41">
        <f>IFERROR(IF(Y310=0,"",ROUNDUP(Y310/H310,0)*0.00902),"")</f>
        <v/>
      </c>
      <c r="AA310" s="68" t="inlineStr"/>
      <c r="AB310" s="69" t="inlineStr"/>
      <c r="AC310" s="416" t="inlineStr">
        <is>
          <t>ЕАЭС N RU Д-RU.РА09.В.49311/25</t>
        </is>
      </c>
      <c r="AG310" s="78" t="n"/>
      <c r="AJ310" s="84" t="inlineStr"/>
      <c r="AK310" s="84" t="n">
        <v>0</v>
      </c>
      <c r="BB310" s="417" t="inlineStr">
        <is>
          <t>КИ</t>
        </is>
      </c>
      <c r="BM310" s="78">
        <f>IFERROR(X310*I310/H310,"0")</f>
        <v/>
      </c>
      <c r="BN310" s="78">
        <f>IFERROR(Y310*I310/H310,"0")</f>
        <v/>
      </c>
      <c r="BO310" s="78">
        <f>IFERROR(1/J310*(X310/H310),"0")</f>
        <v/>
      </c>
      <c r="BP310" s="78">
        <f>IFERROR(1/J310*(Y310/H310),"0")</f>
        <v/>
      </c>
    </row>
    <row r="311">
      <c r="A311" s="732" t="n"/>
      <c r="B311" s="1019" t="n"/>
      <c r="C311" s="1019" t="n"/>
      <c r="D311" s="1019" t="n"/>
      <c r="E311" s="1019" t="n"/>
      <c r="F311" s="1019" t="n"/>
      <c r="G311" s="1019" t="n"/>
      <c r="H311" s="1019" t="n"/>
      <c r="I311" s="1019" t="n"/>
      <c r="J311" s="1019" t="n"/>
      <c r="K311" s="1019" t="n"/>
      <c r="L311" s="1019" t="n"/>
      <c r="M311" s="1019" t="n"/>
      <c r="N311" s="1019" t="n"/>
      <c r="O311" s="1077" t="n"/>
      <c r="P311" s="1078" t="inlineStr">
        <is>
          <t>Итого</t>
        </is>
      </c>
      <c r="Q311" s="1039" t="n"/>
      <c r="R311" s="1039" t="n"/>
      <c r="S311" s="1039" t="n"/>
      <c r="T311" s="1039" t="n"/>
      <c r="U311" s="1039" t="n"/>
      <c r="V311" s="1040" t="n"/>
      <c r="W311" s="42" t="inlineStr">
        <is>
          <t>кор</t>
        </is>
      </c>
      <c r="X311" s="1079">
        <f>IFERROR(X304/H304,"0")+IFERROR(X305/H305,"0")+IFERROR(X306/H306,"0")+IFERROR(X307/H307,"0")+IFERROR(X308/H308,"0")+IFERROR(X309/H309,"0")+IFERROR(X310/H310,"0")</f>
        <v/>
      </c>
      <c r="Y311" s="1079">
        <f>IFERROR(Y304/H304,"0")+IFERROR(Y305/H305,"0")+IFERROR(Y306/H306,"0")+IFERROR(Y307/H307,"0")+IFERROR(Y308/H308,"0")+IFERROR(Y309/H309,"0")+IFERROR(Y310/H310,"0")</f>
        <v/>
      </c>
      <c r="Z311" s="1079">
        <f>IFERROR(IF(Z304="",0,Z304),"0")+IFERROR(IF(Z305="",0,Z305),"0")+IFERROR(IF(Z306="",0,Z306),"0")+IFERROR(IF(Z307="",0,Z307),"0")+IFERROR(IF(Z308="",0,Z308),"0")+IFERROR(IF(Z309="",0,Z309),"0")+IFERROR(IF(Z310="",0,Z310),"0")</f>
        <v/>
      </c>
      <c r="AA311" s="1080" t="n"/>
      <c r="AB311" s="1080" t="n"/>
      <c r="AC311" s="1080" t="n"/>
    </row>
    <row r="312">
      <c r="A312" s="1019" t="n"/>
      <c r="B312" s="1019" t="n"/>
      <c r="C312" s="1019" t="n"/>
      <c r="D312" s="1019" t="n"/>
      <c r="E312" s="1019" t="n"/>
      <c r="F312" s="1019" t="n"/>
      <c r="G312" s="1019" t="n"/>
      <c r="H312" s="1019" t="n"/>
      <c r="I312" s="1019" t="n"/>
      <c r="J312" s="1019" t="n"/>
      <c r="K312" s="1019" t="n"/>
      <c r="L312" s="1019" t="n"/>
      <c r="M312" s="1019" t="n"/>
      <c r="N312" s="1019" t="n"/>
      <c r="O312" s="1077" t="n"/>
      <c r="P312" s="1078" t="inlineStr">
        <is>
          <t>Итого</t>
        </is>
      </c>
      <c r="Q312" s="1039" t="n"/>
      <c r="R312" s="1039" t="n"/>
      <c r="S312" s="1039" t="n"/>
      <c r="T312" s="1039" t="n"/>
      <c r="U312" s="1039" t="n"/>
      <c r="V312" s="1040" t="n"/>
      <c r="W312" s="42" t="inlineStr">
        <is>
          <t>кг</t>
        </is>
      </c>
      <c r="X312" s="1079">
        <f>IFERROR(SUM(X304:X310),"0")</f>
        <v/>
      </c>
      <c r="Y312" s="1079">
        <f>IFERROR(SUM(Y304:Y310),"0")</f>
        <v/>
      </c>
      <c r="Z312" s="42" t="n"/>
      <c r="AA312" s="1080" t="n"/>
      <c r="AB312" s="1080" t="n"/>
      <c r="AC312" s="1080" t="n"/>
    </row>
    <row r="313" ht="14.25" customHeight="1">
      <c r="A313" s="722" t="inlineStr">
        <is>
          <t>Ветчины</t>
        </is>
      </c>
      <c r="B313" s="1019" t="n"/>
      <c r="C313" s="1019" t="n"/>
      <c r="D313" s="1019" t="n"/>
      <c r="E313" s="1019" t="n"/>
      <c r="F313" s="1019" t="n"/>
      <c r="G313" s="1019" t="n"/>
      <c r="H313" s="1019" t="n"/>
      <c r="I313" s="1019" t="n"/>
      <c r="J313" s="1019" t="n"/>
      <c r="K313" s="1019" t="n"/>
      <c r="L313" s="1019" t="n"/>
      <c r="M313" s="1019" t="n"/>
      <c r="N313" s="1019" t="n"/>
      <c r="O313" s="1019" t="n"/>
      <c r="P313" s="1019" t="n"/>
      <c r="Q313" s="1019" t="n"/>
      <c r="R313" s="1019" t="n"/>
      <c r="S313" s="1019" t="n"/>
      <c r="T313" s="1019" t="n"/>
      <c r="U313" s="1019" t="n"/>
      <c r="V313" s="1019" t="n"/>
      <c r="W313" s="1019" t="n"/>
      <c r="X313" s="1019" t="n"/>
      <c r="Y313" s="1019" t="n"/>
      <c r="Z313" s="1019" t="n"/>
      <c r="AA313" s="722" t="n"/>
      <c r="AB313" s="722" t="n"/>
      <c r="AC313" s="722" t="n"/>
    </row>
    <row r="314" ht="27" customHeight="1">
      <c r="A314" s="63" t="inlineStr">
        <is>
          <t>SU003573</t>
        </is>
      </c>
      <c r="B314" s="63" t="inlineStr">
        <is>
          <t>P004891</t>
        </is>
      </c>
      <c r="C314" s="36" t="n">
        <v>4301020377</v>
      </c>
      <c r="D314" s="723" t="n">
        <v>4680115885981</v>
      </c>
      <c r="E314" s="1031" t="n"/>
      <c r="F314" s="1070" t="n">
        <v>0.33</v>
      </c>
      <c r="G314" s="37" t="n">
        <v>6</v>
      </c>
      <c r="H314" s="1070" t="n">
        <v>1.98</v>
      </c>
      <c r="I314" s="1070" t="n">
        <v>2.08</v>
      </c>
      <c r="J314" s="37" t="n">
        <v>234</v>
      </c>
      <c r="K314" s="37" t="inlineStr">
        <is>
          <t>18</t>
        </is>
      </c>
      <c r="L314" s="37" t="inlineStr"/>
      <c r="M314" s="38" t="inlineStr">
        <is>
          <t>СК3</t>
        </is>
      </c>
      <c r="N314" s="38" t="n"/>
      <c r="O314" s="37" t="n">
        <v>50</v>
      </c>
      <c r="P314" s="1245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14" s="1072" t="n"/>
      <c r="R314" s="1072" t="n"/>
      <c r="S314" s="1072" t="n"/>
      <c r="T314" s="1073" t="n"/>
      <c r="U314" s="39" t="inlineStr"/>
      <c r="V314" s="39" t="inlineStr"/>
      <c r="W314" s="40" t="inlineStr">
        <is>
          <t>кг</t>
        </is>
      </c>
      <c r="X314" s="1074" t="n">
        <v>0</v>
      </c>
      <c r="Y314" s="1075">
        <f>IFERROR(IF(X314="",0,CEILING((X314/$H314),1)*$H314),"")</f>
        <v/>
      </c>
      <c r="Z314" s="41">
        <f>IFERROR(IF(Y314=0,"",ROUNDUP(Y314/H314,0)*0.00502),"")</f>
        <v/>
      </c>
      <c r="AA314" s="68" t="inlineStr"/>
      <c r="AB314" s="69" t="inlineStr"/>
      <c r="AC314" s="418" t="inlineStr">
        <is>
          <t>ЕАЭС N RU Д-RU.РА09.В.39204/25</t>
        </is>
      </c>
      <c r="AG314" s="78" t="n"/>
      <c r="AJ314" s="84" t="inlineStr"/>
      <c r="AK314" s="84" t="n">
        <v>0</v>
      </c>
      <c r="BB314" s="419" t="inlineStr">
        <is>
          <t>КИ</t>
        </is>
      </c>
      <c r="BM314" s="78">
        <f>IFERROR(X314*I314/H314,"0")</f>
        <v/>
      </c>
      <c r="BN314" s="78">
        <f>IFERROR(Y314*I314/H314,"0")</f>
        <v/>
      </c>
      <c r="BO314" s="78">
        <f>IFERROR(1/J314*(X314/H314),"0")</f>
        <v/>
      </c>
      <c r="BP314" s="78">
        <f>IFERROR(1/J314*(Y314/H314),"0")</f>
        <v/>
      </c>
    </row>
    <row r="315">
      <c r="A315" s="732" t="n"/>
      <c r="B315" s="1019" t="n"/>
      <c r="C315" s="1019" t="n"/>
      <c r="D315" s="1019" t="n"/>
      <c r="E315" s="1019" t="n"/>
      <c r="F315" s="1019" t="n"/>
      <c r="G315" s="1019" t="n"/>
      <c r="H315" s="1019" t="n"/>
      <c r="I315" s="1019" t="n"/>
      <c r="J315" s="1019" t="n"/>
      <c r="K315" s="1019" t="n"/>
      <c r="L315" s="1019" t="n"/>
      <c r="M315" s="1019" t="n"/>
      <c r="N315" s="1019" t="n"/>
      <c r="O315" s="1077" t="n"/>
      <c r="P315" s="1078" t="inlineStr">
        <is>
          <t>Итого</t>
        </is>
      </c>
      <c r="Q315" s="1039" t="n"/>
      <c r="R315" s="1039" t="n"/>
      <c r="S315" s="1039" t="n"/>
      <c r="T315" s="1039" t="n"/>
      <c r="U315" s="1039" t="n"/>
      <c r="V315" s="1040" t="n"/>
      <c r="W315" s="42" t="inlineStr">
        <is>
          <t>кор</t>
        </is>
      </c>
      <c r="X315" s="1079">
        <f>IFERROR(X314/H314,"0")</f>
        <v/>
      </c>
      <c r="Y315" s="1079">
        <f>IFERROR(Y314/H314,"0")</f>
        <v/>
      </c>
      <c r="Z315" s="1079">
        <f>IFERROR(IF(Z314="",0,Z314),"0")</f>
        <v/>
      </c>
      <c r="AA315" s="1080" t="n"/>
      <c r="AB315" s="1080" t="n"/>
      <c r="AC315" s="1080" t="n"/>
    </row>
    <row r="316">
      <c r="A316" s="1019" t="n"/>
      <c r="B316" s="1019" t="n"/>
      <c r="C316" s="1019" t="n"/>
      <c r="D316" s="1019" t="n"/>
      <c r="E316" s="1019" t="n"/>
      <c r="F316" s="1019" t="n"/>
      <c r="G316" s="1019" t="n"/>
      <c r="H316" s="1019" t="n"/>
      <c r="I316" s="1019" t="n"/>
      <c r="J316" s="1019" t="n"/>
      <c r="K316" s="1019" t="n"/>
      <c r="L316" s="1019" t="n"/>
      <c r="M316" s="1019" t="n"/>
      <c r="N316" s="1019" t="n"/>
      <c r="O316" s="1077" t="n"/>
      <c r="P316" s="1078" t="inlineStr">
        <is>
          <t>Итого</t>
        </is>
      </c>
      <c r="Q316" s="1039" t="n"/>
      <c r="R316" s="1039" t="n"/>
      <c r="S316" s="1039" t="n"/>
      <c r="T316" s="1039" t="n"/>
      <c r="U316" s="1039" t="n"/>
      <c r="V316" s="1040" t="n"/>
      <c r="W316" s="42" t="inlineStr">
        <is>
          <t>кг</t>
        </is>
      </c>
      <c r="X316" s="1079">
        <f>IFERROR(SUM(X314:X314),"0")</f>
        <v/>
      </c>
      <c r="Y316" s="1079">
        <f>IFERROR(SUM(Y314:Y314),"0")</f>
        <v/>
      </c>
      <c r="Z316" s="42" t="n"/>
      <c r="AA316" s="1080" t="n"/>
      <c r="AB316" s="1080" t="n"/>
      <c r="AC316" s="1080" t="n"/>
    </row>
    <row r="317" ht="14.25" customHeight="1">
      <c r="A317" s="722" t="inlineStr">
        <is>
          <t>Деликатесы в/к</t>
        </is>
      </c>
      <c r="B317" s="1019" t="n"/>
      <c r="C317" s="1019" t="n"/>
      <c r="D317" s="1019" t="n"/>
      <c r="E317" s="1019" t="n"/>
      <c r="F317" s="1019" t="n"/>
      <c r="G317" s="1019" t="n"/>
      <c r="H317" s="1019" t="n"/>
      <c r="I317" s="1019" t="n"/>
      <c r="J317" s="1019" t="n"/>
      <c r="K317" s="1019" t="n"/>
      <c r="L317" s="1019" t="n"/>
      <c r="M317" s="1019" t="n"/>
      <c r="N317" s="1019" t="n"/>
      <c r="O317" s="1019" t="n"/>
      <c r="P317" s="1019" t="n"/>
      <c r="Q317" s="1019" t="n"/>
      <c r="R317" s="1019" t="n"/>
      <c r="S317" s="1019" t="n"/>
      <c r="T317" s="1019" t="n"/>
      <c r="U317" s="1019" t="n"/>
      <c r="V317" s="1019" t="n"/>
      <c r="W317" s="1019" t="n"/>
      <c r="X317" s="1019" t="n"/>
      <c r="Y317" s="1019" t="n"/>
      <c r="Z317" s="1019" t="n"/>
      <c r="AA317" s="722" t="n"/>
      <c r="AB317" s="722" t="n"/>
      <c r="AC317" s="722" t="n"/>
    </row>
    <row r="318" ht="27" customHeight="1">
      <c r="A318" s="63" t="inlineStr">
        <is>
          <t>SU003921</t>
        </is>
      </c>
      <c r="B318" s="63" t="inlineStr">
        <is>
          <t>P005060</t>
        </is>
      </c>
      <c r="C318" s="36" t="n">
        <v>4301040362</v>
      </c>
      <c r="D318" s="723" t="n">
        <v>4680115886803</v>
      </c>
      <c r="E318" s="1031" t="n"/>
      <c r="F318" s="1070" t="n">
        <v>0.12</v>
      </c>
      <c r="G318" s="37" t="n">
        <v>15</v>
      </c>
      <c r="H318" s="1070" t="n">
        <v>1.8</v>
      </c>
      <c r="I318" s="1070" t="n">
        <v>1.975</v>
      </c>
      <c r="J318" s="37" t="n">
        <v>216</v>
      </c>
      <c r="K318" s="37" t="inlineStr">
        <is>
          <t>27</t>
        </is>
      </c>
      <c r="L318" s="37" t="inlineStr"/>
      <c r="M318" s="38" t="inlineStr">
        <is>
          <t>МЗР</t>
        </is>
      </c>
      <c r="N318" s="38" t="n"/>
      <c r="O318" s="37" t="n">
        <v>45</v>
      </c>
      <c r="P318" s="1246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18" s="1072" t="n"/>
      <c r="R318" s="1072" t="n"/>
      <c r="S318" s="1072" t="n"/>
      <c r="T318" s="1073" t="n"/>
      <c r="U318" s="39" t="inlineStr"/>
      <c r="V318" s="39" t="inlineStr"/>
      <c r="W318" s="40" t="inlineStr">
        <is>
          <t>кг</t>
        </is>
      </c>
      <c r="X318" s="1074" t="n">
        <v>5</v>
      </c>
      <c r="Y318" s="1075">
        <f>IFERROR(IF(X318="",0,CEILING((X318/$H318),1)*$H318),"")</f>
        <v/>
      </c>
      <c r="Z318" s="41">
        <f>IFERROR(IF(Y318=0,"",ROUNDUP(Y318/H318,0)*0.0059),"")</f>
        <v/>
      </c>
      <c r="AA318" s="68" t="inlineStr"/>
      <c r="AB318" s="69" t="inlineStr"/>
      <c r="AC318" s="420" t="inlineStr">
        <is>
          <t>ЕАЭС N RU Д-RU.РА03.В.02309/25</t>
        </is>
      </c>
      <c r="AG318" s="78" t="n"/>
      <c r="AJ318" s="84" t="inlineStr"/>
      <c r="AK318" s="84" t="n">
        <v>0</v>
      </c>
      <c r="BB318" s="421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>
      <c r="A319" s="732" t="n"/>
      <c r="B319" s="1019" t="n"/>
      <c r="C319" s="1019" t="n"/>
      <c r="D319" s="1019" t="n"/>
      <c r="E319" s="1019" t="n"/>
      <c r="F319" s="1019" t="n"/>
      <c r="G319" s="1019" t="n"/>
      <c r="H319" s="1019" t="n"/>
      <c r="I319" s="1019" t="n"/>
      <c r="J319" s="1019" t="n"/>
      <c r="K319" s="1019" t="n"/>
      <c r="L319" s="1019" t="n"/>
      <c r="M319" s="1019" t="n"/>
      <c r="N319" s="1019" t="n"/>
      <c r="O319" s="1077" t="n"/>
      <c r="P319" s="1078" t="inlineStr">
        <is>
          <t>Итого</t>
        </is>
      </c>
      <c r="Q319" s="1039" t="n"/>
      <c r="R319" s="1039" t="n"/>
      <c r="S319" s="1039" t="n"/>
      <c r="T319" s="1039" t="n"/>
      <c r="U319" s="1039" t="n"/>
      <c r="V319" s="1040" t="n"/>
      <c r="W319" s="42" t="inlineStr">
        <is>
          <t>кор</t>
        </is>
      </c>
      <c r="X319" s="1079">
        <f>IFERROR(X318/H318,"0")</f>
        <v/>
      </c>
      <c r="Y319" s="1079">
        <f>IFERROR(Y318/H318,"0")</f>
        <v/>
      </c>
      <c r="Z319" s="1079">
        <f>IFERROR(IF(Z318="",0,Z318),"0")</f>
        <v/>
      </c>
      <c r="AA319" s="1080" t="n"/>
      <c r="AB319" s="1080" t="n"/>
      <c r="AC319" s="1080" t="n"/>
    </row>
    <row r="320">
      <c r="A320" s="1019" t="n"/>
      <c r="B320" s="1019" t="n"/>
      <c r="C320" s="1019" t="n"/>
      <c r="D320" s="1019" t="n"/>
      <c r="E320" s="1019" t="n"/>
      <c r="F320" s="1019" t="n"/>
      <c r="G320" s="1019" t="n"/>
      <c r="H320" s="1019" t="n"/>
      <c r="I320" s="1019" t="n"/>
      <c r="J320" s="1019" t="n"/>
      <c r="K320" s="1019" t="n"/>
      <c r="L320" s="1019" t="n"/>
      <c r="M320" s="1019" t="n"/>
      <c r="N320" s="1019" t="n"/>
      <c r="O320" s="1077" t="n"/>
      <c r="P320" s="1078" t="inlineStr">
        <is>
          <t>Итого</t>
        </is>
      </c>
      <c r="Q320" s="1039" t="n"/>
      <c r="R320" s="1039" t="n"/>
      <c r="S320" s="1039" t="n"/>
      <c r="T320" s="1039" t="n"/>
      <c r="U320" s="1039" t="n"/>
      <c r="V320" s="1040" t="n"/>
      <c r="W320" s="42" t="inlineStr">
        <is>
          <t>кг</t>
        </is>
      </c>
      <c r="X320" s="1079">
        <f>IFERROR(SUM(X318:X318),"0")</f>
        <v/>
      </c>
      <c r="Y320" s="1079">
        <f>IFERROR(SUM(Y318:Y318),"0")</f>
        <v/>
      </c>
      <c r="Z320" s="42" t="n"/>
      <c r="AA320" s="1080" t="n"/>
      <c r="AB320" s="1080" t="n"/>
      <c r="AC320" s="1080" t="n"/>
    </row>
    <row r="321" ht="14.25" customHeight="1">
      <c r="A321" s="722" t="inlineStr">
        <is>
          <t>Деликатесы с/к</t>
        </is>
      </c>
      <c r="B321" s="1019" t="n"/>
      <c r="C321" s="1019" t="n"/>
      <c r="D321" s="1019" t="n"/>
      <c r="E321" s="1019" t="n"/>
      <c r="F321" s="1019" t="n"/>
      <c r="G321" s="1019" t="n"/>
      <c r="H321" s="1019" t="n"/>
      <c r="I321" s="1019" t="n"/>
      <c r="J321" s="1019" t="n"/>
      <c r="K321" s="1019" t="n"/>
      <c r="L321" s="1019" t="n"/>
      <c r="M321" s="1019" t="n"/>
      <c r="N321" s="1019" t="n"/>
      <c r="O321" s="1019" t="n"/>
      <c r="P321" s="1019" t="n"/>
      <c r="Q321" s="1019" t="n"/>
      <c r="R321" s="1019" t="n"/>
      <c r="S321" s="1019" t="n"/>
      <c r="T321" s="1019" t="n"/>
      <c r="U321" s="1019" t="n"/>
      <c r="V321" s="1019" t="n"/>
      <c r="W321" s="1019" t="n"/>
      <c r="X321" s="1019" t="n"/>
      <c r="Y321" s="1019" t="n"/>
      <c r="Z321" s="1019" t="n"/>
      <c r="AA321" s="722" t="n"/>
      <c r="AB321" s="722" t="n"/>
      <c r="AC321" s="722" t="n"/>
    </row>
    <row r="322" ht="27" customHeight="1">
      <c r="A322" s="63" t="inlineStr">
        <is>
          <t>SU003920</t>
        </is>
      </c>
      <c r="B322" s="63" t="inlineStr">
        <is>
          <t>P005059</t>
        </is>
      </c>
      <c r="C322" s="36" t="n">
        <v>4301041008</v>
      </c>
      <c r="D322" s="723" t="n">
        <v>4680115886681</v>
      </c>
      <c r="E322" s="1031" t="n"/>
      <c r="F322" s="1070" t="n">
        <v>0.12</v>
      </c>
      <c r="G322" s="37" t="n">
        <v>15</v>
      </c>
      <c r="H322" s="1070" t="n">
        <v>1.8</v>
      </c>
      <c r="I322" s="1070" t="n">
        <v>1.975</v>
      </c>
      <c r="J322" s="37" t="n">
        <v>216</v>
      </c>
      <c r="K322" s="37" t="inlineStr">
        <is>
          <t>27</t>
        </is>
      </c>
      <c r="L322" s="37" t="inlineStr"/>
      <c r="M322" s="38" t="inlineStr">
        <is>
          <t>МЗР</t>
        </is>
      </c>
      <c r="N322" s="38" t="n"/>
      <c r="O322" s="37" t="n">
        <v>90</v>
      </c>
      <c r="P322" s="1247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22" s="1072" t="n"/>
      <c r="R322" s="1072" t="n"/>
      <c r="S322" s="1072" t="n"/>
      <c r="T322" s="1073" t="n"/>
      <c r="U322" s="39" t="inlineStr"/>
      <c r="V322" s="39" t="inlineStr"/>
      <c r="W322" s="40" t="inlineStr">
        <is>
          <t>кг</t>
        </is>
      </c>
      <c r="X322" s="1074" t="n">
        <v>0</v>
      </c>
      <c r="Y322" s="1075">
        <f>IFERROR(IF(X322="",0,CEILING((X322/$H322),1)*$H322),"")</f>
        <v/>
      </c>
      <c r="Z322" s="41">
        <f>IFERROR(IF(Y322=0,"",ROUNDUP(Y322/H322,0)*0.0059),"")</f>
        <v/>
      </c>
      <c r="AA322" s="68" t="inlineStr"/>
      <c r="AB322" s="69" t="inlineStr"/>
      <c r="AC322" s="422" t="inlineStr">
        <is>
          <t>ЕАЭС N RU Д-RU.РА03.В.02637/25</t>
        </is>
      </c>
      <c r="AG322" s="78" t="n"/>
      <c r="AJ322" s="84" t="inlineStr"/>
      <c r="AK322" s="84" t="n">
        <v>0</v>
      </c>
      <c r="BB322" s="423" t="inlineStr">
        <is>
          <t>КИ</t>
        </is>
      </c>
      <c r="BM322" s="78">
        <f>IFERROR(X322*I322/H322,"0")</f>
        <v/>
      </c>
      <c r="BN322" s="78">
        <f>IFERROR(Y322*I322/H322,"0")</f>
        <v/>
      </c>
      <c r="BO322" s="78">
        <f>IFERROR(1/J322*(X322/H322),"0")</f>
        <v/>
      </c>
      <c r="BP322" s="78">
        <f>IFERROR(1/J322*(Y322/H322),"0")</f>
        <v/>
      </c>
    </row>
    <row r="323">
      <c r="A323" s="732" t="n"/>
      <c r="B323" s="1019" t="n"/>
      <c r="C323" s="1019" t="n"/>
      <c r="D323" s="1019" t="n"/>
      <c r="E323" s="1019" t="n"/>
      <c r="F323" s="1019" t="n"/>
      <c r="G323" s="1019" t="n"/>
      <c r="H323" s="1019" t="n"/>
      <c r="I323" s="1019" t="n"/>
      <c r="J323" s="1019" t="n"/>
      <c r="K323" s="1019" t="n"/>
      <c r="L323" s="1019" t="n"/>
      <c r="M323" s="1019" t="n"/>
      <c r="N323" s="1019" t="n"/>
      <c r="O323" s="1077" t="n"/>
      <c r="P323" s="1078" t="inlineStr">
        <is>
          <t>Итого</t>
        </is>
      </c>
      <c r="Q323" s="1039" t="n"/>
      <c r="R323" s="1039" t="n"/>
      <c r="S323" s="1039" t="n"/>
      <c r="T323" s="1039" t="n"/>
      <c r="U323" s="1039" t="n"/>
      <c r="V323" s="1040" t="n"/>
      <c r="W323" s="42" t="inlineStr">
        <is>
          <t>кор</t>
        </is>
      </c>
      <c r="X323" s="1079">
        <f>IFERROR(X322/H322,"0")</f>
        <v/>
      </c>
      <c r="Y323" s="1079">
        <f>IFERROR(Y322/H322,"0")</f>
        <v/>
      </c>
      <c r="Z323" s="1079">
        <f>IFERROR(IF(Z322="",0,Z322),"0")</f>
        <v/>
      </c>
      <c r="AA323" s="1080" t="n"/>
      <c r="AB323" s="1080" t="n"/>
      <c r="AC323" s="1080" t="n"/>
    </row>
    <row r="324">
      <c r="A324" s="1019" t="n"/>
      <c r="B324" s="1019" t="n"/>
      <c r="C324" s="1019" t="n"/>
      <c r="D324" s="1019" t="n"/>
      <c r="E324" s="1019" t="n"/>
      <c r="F324" s="1019" t="n"/>
      <c r="G324" s="1019" t="n"/>
      <c r="H324" s="1019" t="n"/>
      <c r="I324" s="1019" t="n"/>
      <c r="J324" s="1019" t="n"/>
      <c r="K324" s="1019" t="n"/>
      <c r="L324" s="1019" t="n"/>
      <c r="M324" s="1019" t="n"/>
      <c r="N324" s="1019" t="n"/>
      <c r="O324" s="1077" t="n"/>
      <c r="P324" s="1078" t="inlineStr">
        <is>
          <t>Итого</t>
        </is>
      </c>
      <c r="Q324" s="1039" t="n"/>
      <c r="R324" s="1039" t="n"/>
      <c r="S324" s="1039" t="n"/>
      <c r="T324" s="1039" t="n"/>
      <c r="U324" s="1039" t="n"/>
      <c r="V324" s="1040" t="n"/>
      <c r="W324" s="42" t="inlineStr">
        <is>
          <t>кг</t>
        </is>
      </c>
      <c r="X324" s="1079">
        <f>IFERROR(SUM(X322:X322),"0")</f>
        <v/>
      </c>
      <c r="Y324" s="1079">
        <f>IFERROR(SUM(Y322:Y322),"0")</f>
        <v/>
      </c>
      <c r="Z324" s="42" t="n"/>
      <c r="AA324" s="1080" t="n"/>
      <c r="AB324" s="1080" t="n"/>
      <c r="AC324" s="1080" t="n"/>
    </row>
    <row r="325" ht="16.5" customHeight="1">
      <c r="A325" s="721" t="inlineStr">
        <is>
          <t>Филедворская по-стародворски</t>
        </is>
      </c>
      <c r="B325" s="1019" t="n"/>
      <c r="C325" s="1019" t="n"/>
      <c r="D325" s="1019" t="n"/>
      <c r="E325" s="1019" t="n"/>
      <c r="F325" s="1019" t="n"/>
      <c r="G325" s="1019" t="n"/>
      <c r="H325" s="1019" t="n"/>
      <c r="I325" s="1019" t="n"/>
      <c r="J325" s="1019" t="n"/>
      <c r="K325" s="1019" t="n"/>
      <c r="L325" s="1019" t="n"/>
      <c r="M325" s="1019" t="n"/>
      <c r="N325" s="1019" t="n"/>
      <c r="O325" s="1019" t="n"/>
      <c r="P325" s="1019" t="n"/>
      <c r="Q325" s="1019" t="n"/>
      <c r="R325" s="1019" t="n"/>
      <c r="S325" s="1019" t="n"/>
      <c r="T325" s="1019" t="n"/>
      <c r="U325" s="1019" t="n"/>
      <c r="V325" s="1019" t="n"/>
      <c r="W325" s="1019" t="n"/>
      <c r="X325" s="1019" t="n"/>
      <c r="Y325" s="1019" t="n"/>
      <c r="Z325" s="1019" t="n"/>
      <c r="AA325" s="721" t="n"/>
      <c r="AB325" s="721" t="n"/>
      <c r="AC325" s="721" t="n"/>
    </row>
    <row r="326" ht="14.25" customHeight="1">
      <c r="A326" s="722" t="inlineStr">
        <is>
          <t>Вареные колбасы</t>
        </is>
      </c>
      <c r="B326" s="1019" t="n"/>
      <c r="C326" s="1019" t="n"/>
      <c r="D326" s="1019" t="n"/>
      <c r="E326" s="1019" t="n"/>
      <c r="F326" s="1019" t="n"/>
      <c r="G326" s="1019" t="n"/>
      <c r="H326" s="1019" t="n"/>
      <c r="I326" s="1019" t="n"/>
      <c r="J326" s="1019" t="n"/>
      <c r="K326" s="1019" t="n"/>
      <c r="L326" s="1019" t="n"/>
      <c r="M326" s="1019" t="n"/>
      <c r="N326" s="1019" t="n"/>
      <c r="O326" s="1019" t="n"/>
      <c r="P326" s="1019" t="n"/>
      <c r="Q326" s="1019" t="n"/>
      <c r="R326" s="1019" t="n"/>
      <c r="S326" s="1019" t="n"/>
      <c r="T326" s="1019" t="n"/>
      <c r="U326" s="1019" t="n"/>
      <c r="V326" s="1019" t="n"/>
      <c r="W326" s="1019" t="n"/>
      <c r="X326" s="1019" t="n"/>
      <c r="Y326" s="1019" t="n"/>
      <c r="Z326" s="1019" t="n"/>
      <c r="AA326" s="722" t="n"/>
      <c r="AB326" s="722" t="n"/>
      <c r="AC326" s="722" t="n"/>
    </row>
    <row r="327" ht="27" customHeight="1">
      <c r="A327" s="63" t="inlineStr">
        <is>
          <t>SU004315</t>
        </is>
      </c>
      <c r="B327" s="63" t="inlineStr">
        <is>
          <t>P005664</t>
        </is>
      </c>
      <c r="C327" s="36" t="n">
        <v>4301012390</v>
      </c>
      <c r="D327" s="723" t="n">
        <v>4680115889637</v>
      </c>
      <c r="E327" s="1031" t="n"/>
      <c r="F327" s="1070" t="n">
        <v>1.35</v>
      </c>
      <c r="G327" s="37" t="n">
        <v>8</v>
      </c>
      <c r="H327" s="1070" t="n">
        <v>10.8</v>
      </c>
      <c r="I327" s="1070" t="n">
        <v>11.21</v>
      </c>
      <c r="J327" s="37" t="n">
        <v>64</v>
      </c>
      <c r="K327" s="37" t="inlineStr">
        <is>
          <t>8</t>
        </is>
      </c>
      <c r="L327" s="37" t="inlineStr"/>
      <c r="M327" s="38" t="inlineStr">
        <is>
          <t>СК1</t>
        </is>
      </c>
      <c r="N327" s="38" t="n"/>
      <c r="O327" s="37" t="n">
        <v>55</v>
      </c>
      <c r="P327" s="1248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/>
      </c>
      <c r="Q327" s="1072" t="n"/>
      <c r="R327" s="1072" t="n"/>
      <c r="S327" s="1072" t="n"/>
      <c r="T327" s="1073" t="n"/>
      <c r="U327" s="39" t="inlineStr"/>
      <c r="V327" s="39" t="inlineStr"/>
      <c r="W327" s="40" t="inlineStr">
        <is>
          <t>кг</t>
        </is>
      </c>
      <c r="X327" s="1074" t="n">
        <v>0</v>
      </c>
      <c r="Y327" s="1075">
        <f>IFERROR(IF(X327="",0,CEILING((X327/$H327),1)*$H327),"")</f>
        <v/>
      </c>
      <c r="Z327" s="41">
        <f>IFERROR(IF(Y327=0,"",ROUNDUP(Y327/H327,0)*0.01898),"")</f>
        <v/>
      </c>
      <c r="AA327" s="68" t="inlineStr"/>
      <c r="AB327" s="69" t="inlineStr">
        <is>
          <t>Новинка</t>
        </is>
      </c>
      <c r="AC327" s="424" t="inlineStr">
        <is>
          <t>ЕАЭС N RU Д-RU.РА04.В.39417/26</t>
        </is>
      </c>
      <c r="AG327" s="78" t="n"/>
      <c r="AJ327" s="84" t="inlineStr"/>
      <c r="AK327" s="84" t="n">
        <v>0</v>
      </c>
      <c r="BB327" s="425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 ht="27" customHeight="1">
      <c r="A328" s="63" t="inlineStr">
        <is>
          <t>SU003389</t>
        </is>
      </c>
      <c r="B328" s="63" t="inlineStr">
        <is>
          <t>P004212</t>
        </is>
      </c>
      <c r="C328" s="36" t="n">
        <v>4301011855</v>
      </c>
      <c r="D328" s="723" t="n">
        <v>4680115885837</v>
      </c>
      <c r="E328" s="1031" t="n"/>
      <c r="F328" s="1070" t="n">
        <v>1.35</v>
      </c>
      <c r="G328" s="37" t="n">
        <v>8</v>
      </c>
      <c r="H328" s="1070" t="n">
        <v>10.8</v>
      </c>
      <c r="I328" s="1070" t="n">
        <v>11.21</v>
      </c>
      <c r="J328" s="37" t="n">
        <v>64</v>
      </c>
      <c r="K328" s="37" t="inlineStr">
        <is>
          <t>8</t>
        </is>
      </c>
      <c r="L328" s="37" t="inlineStr"/>
      <c r="M328" s="38" t="inlineStr">
        <is>
          <t>СК1</t>
        </is>
      </c>
      <c r="N328" s="38" t="n"/>
      <c r="O328" s="37" t="n">
        <v>55</v>
      </c>
      <c r="P328" s="1249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28" s="1072" t="n"/>
      <c r="R328" s="1072" t="n"/>
      <c r="S328" s="1072" t="n"/>
      <c r="T328" s="1073" t="n"/>
      <c r="U328" s="39" t="inlineStr"/>
      <c r="V328" s="39" t="inlineStr"/>
      <c r="W328" s="40" t="inlineStr">
        <is>
          <t>кг</t>
        </is>
      </c>
      <c r="X328" s="1074" t="n">
        <v>0</v>
      </c>
      <c r="Y328" s="1075">
        <f>IFERROR(IF(X328="",0,CEILING((X328/$H328),1)*$H328),"")</f>
        <v/>
      </c>
      <c r="Z328" s="41">
        <f>IFERROR(IF(Y328=0,"",ROUNDUP(Y328/H328,0)*0.01898),"")</f>
        <v/>
      </c>
      <c r="AA328" s="68" t="inlineStr"/>
      <c r="AB328" s="69" t="inlineStr"/>
      <c r="AC328" s="426" t="inlineStr">
        <is>
          <t>ЕАЭС N RU Д-RU.РА03.В.10450/26, ЕАЭС N RU Д-RU.РА05.В.80817/24</t>
        </is>
      </c>
      <c r="AG328" s="78" t="n"/>
      <c r="AJ328" s="84" t="inlineStr"/>
      <c r="AK328" s="84" t="n">
        <v>0</v>
      </c>
      <c r="BB328" s="427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 ht="37.5" customHeight="1">
      <c r="A329" s="63" t="inlineStr">
        <is>
          <t>SU004008</t>
        </is>
      </c>
      <c r="B329" s="63" t="inlineStr">
        <is>
          <t>P005137</t>
        </is>
      </c>
      <c r="C329" s="36" t="n">
        <v>4301012234</v>
      </c>
      <c r="D329" s="723" t="n">
        <v>4680115887237</v>
      </c>
      <c r="E329" s="1031" t="n"/>
      <c r="F329" s="1070" t="n">
        <v>1.35</v>
      </c>
      <c r="G329" s="37" t="n">
        <v>8</v>
      </c>
      <c r="H329" s="1070" t="n">
        <v>10.8</v>
      </c>
      <c r="I329" s="1070" t="n">
        <v>11.21</v>
      </c>
      <c r="J329" s="37" t="n">
        <v>64</v>
      </c>
      <c r="K329" s="37" t="inlineStr">
        <is>
          <t>8</t>
        </is>
      </c>
      <c r="L329" s="37" t="inlineStr"/>
      <c r="M329" s="38" t="inlineStr">
        <is>
          <t>СК1</t>
        </is>
      </c>
      <c r="N329" s="38" t="n"/>
      <c r="O329" s="37" t="n">
        <v>55</v>
      </c>
      <c r="P329" s="1250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29" s="1072" t="n"/>
      <c r="R329" s="1072" t="n"/>
      <c r="S329" s="1072" t="n"/>
      <c r="T329" s="1073" t="n"/>
      <c r="U329" s="39" t="inlineStr"/>
      <c r="V329" s="39" t="inlineStr"/>
      <c r="W329" s="40" t="inlineStr">
        <is>
          <t>кг</t>
        </is>
      </c>
      <c r="X329" s="1074" t="n">
        <v>0</v>
      </c>
      <c r="Y329" s="1075">
        <f>IFERROR(IF(X329="",0,CEILING((X329/$H329),1)*$H329),"")</f>
        <v/>
      </c>
      <c r="Z329" s="41">
        <f>IFERROR(IF(Y329=0,"",ROUNDUP(Y329/H329,0)*0.01898),"")</f>
        <v/>
      </c>
      <c r="AA329" s="68" t="inlineStr"/>
      <c r="AB329" s="69" t="inlineStr"/>
      <c r="AC329" s="428" t="inlineStr">
        <is>
          <t>ЕАЭС N RU Д-RU.РА09.В.01891/25</t>
        </is>
      </c>
      <c r="AG329" s="78" t="n"/>
      <c r="AJ329" s="84" t="inlineStr"/>
      <c r="AK329" s="84" t="n">
        <v>0</v>
      </c>
      <c r="BB329" s="429" t="inlineStr">
        <is>
          <t>КИ</t>
        </is>
      </c>
      <c r="BM329" s="78">
        <f>IFERROR(X329*I329/H329,"0")</f>
        <v/>
      </c>
      <c r="BN329" s="78">
        <f>IFERROR(Y329*I329/H329,"0")</f>
        <v/>
      </c>
      <c r="BO329" s="78">
        <f>IFERROR(1/J329*(X329/H329),"0")</f>
        <v/>
      </c>
      <c r="BP329" s="78">
        <f>IFERROR(1/J329*(Y329/H329),"0")</f>
        <v/>
      </c>
    </row>
    <row r="330" ht="27" customHeight="1">
      <c r="A330" s="63" t="inlineStr">
        <is>
          <t>SU003387</t>
        </is>
      </c>
      <c r="B330" s="63" t="inlineStr">
        <is>
          <t>P004206</t>
        </is>
      </c>
      <c r="C330" s="36" t="n">
        <v>4301011850</v>
      </c>
      <c r="D330" s="723" t="n">
        <v>4680115885806</v>
      </c>
      <c r="E330" s="1031" t="n"/>
      <c r="F330" s="1070" t="n">
        <v>1.35</v>
      </c>
      <c r="G330" s="37" t="n">
        <v>8</v>
      </c>
      <c r="H330" s="1070" t="n">
        <v>10.8</v>
      </c>
      <c r="I330" s="1070" t="n">
        <v>11.21</v>
      </c>
      <c r="J330" s="37" t="n">
        <v>64</v>
      </c>
      <c r="K330" s="37" t="inlineStr">
        <is>
          <t>8</t>
        </is>
      </c>
      <c r="L330" s="37" t="inlineStr"/>
      <c r="M330" s="38" t="inlineStr">
        <is>
          <t>СК1</t>
        </is>
      </c>
      <c r="N330" s="38" t="n"/>
      <c r="O330" s="37" t="n">
        <v>55</v>
      </c>
      <c r="P330" s="1251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30" s="1072" t="n"/>
      <c r="R330" s="1072" t="n"/>
      <c r="S330" s="1072" t="n"/>
      <c r="T330" s="1073" t="n"/>
      <c r="U330" s="39" t="inlineStr"/>
      <c r="V330" s="39" t="inlineStr"/>
      <c r="W330" s="40" t="inlineStr">
        <is>
          <t>кг</t>
        </is>
      </c>
      <c r="X330" s="1074" t="n">
        <v>0</v>
      </c>
      <c r="Y330" s="1075">
        <f>IFERROR(IF(X330="",0,CEILING((X330/$H330),1)*$H330),"")</f>
        <v/>
      </c>
      <c r="Z330" s="41">
        <f>IFERROR(IF(Y330=0,"",ROUNDUP(Y330/H330,0)*0.01898),"")</f>
        <v/>
      </c>
      <c r="AA330" s="68" t="inlineStr"/>
      <c r="AB330" s="69" t="inlineStr"/>
      <c r="AC330" s="430" t="inlineStr">
        <is>
          <t>ЕАЭС N RU Д-RU.РА02.В.98016/26, ЕАЭС N RU Д-RU.РА03.В.06112/26</t>
        </is>
      </c>
      <c r="AG330" s="78" t="n"/>
      <c r="AJ330" s="84" t="inlineStr"/>
      <c r="AK330" s="84" t="n">
        <v>0</v>
      </c>
      <c r="BB330" s="431" t="inlineStr">
        <is>
          <t>КИ</t>
        </is>
      </c>
      <c r="BM330" s="78">
        <f>IFERROR(X330*I330/H330,"0")</f>
        <v/>
      </c>
      <c r="BN330" s="78">
        <f>IFERROR(Y330*I330/H330,"0")</f>
        <v/>
      </c>
      <c r="BO330" s="78">
        <f>IFERROR(1/J330*(X330/H330),"0")</f>
        <v/>
      </c>
      <c r="BP330" s="78">
        <f>IFERROR(1/J330*(Y330/H330),"0")</f>
        <v/>
      </c>
    </row>
    <row r="331" ht="27" customHeight="1">
      <c r="A331" s="63" t="inlineStr">
        <is>
          <t>SU003390</t>
        </is>
      </c>
      <c r="B331" s="63" t="inlineStr">
        <is>
          <t>P004208</t>
        </is>
      </c>
      <c r="C331" s="36" t="n">
        <v>4301011852</v>
      </c>
      <c r="D331" s="723" t="n">
        <v>4680115885844</v>
      </c>
      <c r="E331" s="1031" t="n"/>
      <c r="F331" s="1070" t="n">
        <v>0.4</v>
      </c>
      <c r="G331" s="37" t="n">
        <v>10</v>
      </c>
      <c r="H331" s="1070" t="n">
        <v>4</v>
      </c>
      <c r="I331" s="1070" t="n">
        <v>4.19</v>
      </c>
      <c r="J331" s="37" t="n">
        <v>132</v>
      </c>
      <c r="K331" s="37" t="inlineStr">
        <is>
          <t>12</t>
        </is>
      </c>
      <c r="L331" s="37" t="inlineStr"/>
      <c r="M331" s="38" t="inlineStr">
        <is>
          <t>СК1</t>
        </is>
      </c>
      <c r="N331" s="38" t="n"/>
      <c r="O331" s="37" t="n">
        <v>55</v>
      </c>
      <c r="P331" s="1252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31" s="1072" t="n"/>
      <c r="R331" s="1072" t="n"/>
      <c r="S331" s="1072" t="n"/>
      <c r="T331" s="1073" t="n"/>
      <c r="U331" s="39" t="inlineStr"/>
      <c r="V331" s="39" t="inlineStr"/>
      <c r="W331" s="40" t="inlineStr">
        <is>
          <t>кг</t>
        </is>
      </c>
      <c r="X331" s="1074" t="n">
        <v>0</v>
      </c>
      <c r="Y331" s="1075">
        <f>IFERROR(IF(X331="",0,CEILING((X331/$H331),1)*$H331),"")</f>
        <v/>
      </c>
      <c r="Z331" s="41">
        <f>IFERROR(IF(Y331=0,"",ROUNDUP(Y331/H331,0)*0.00902),"")</f>
        <v/>
      </c>
      <c r="AA331" s="68" t="inlineStr"/>
      <c r="AB331" s="69" t="inlineStr"/>
      <c r="AC331" s="432" t="inlineStr">
        <is>
          <t>ЕАЭС N RU Д-RU.РА03.В.10450/26</t>
        </is>
      </c>
      <c r="AG331" s="78" t="n"/>
      <c r="AJ331" s="84" t="inlineStr"/>
      <c r="AK331" s="84" t="n">
        <v>0</v>
      </c>
      <c r="BB331" s="433" t="inlineStr">
        <is>
          <t>КИ</t>
        </is>
      </c>
      <c r="BM331" s="78">
        <f>IFERROR(X331*I331/H331,"0")</f>
        <v/>
      </c>
      <c r="BN331" s="78">
        <f>IFERROR(Y331*I331/H331,"0")</f>
        <v/>
      </c>
      <c r="BO331" s="78">
        <f>IFERROR(1/J331*(X331/H331),"0")</f>
        <v/>
      </c>
      <c r="BP331" s="78">
        <f>IFERROR(1/J331*(Y331/H331),"0")</f>
        <v/>
      </c>
    </row>
    <row r="332" ht="37.5" customHeight="1">
      <c r="A332" s="63" t="inlineStr">
        <is>
          <t>SU003388</t>
        </is>
      </c>
      <c r="B332" s="63" t="inlineStr">
        <is>
          <t>P004207</t>
        </is>
      </c>
      <c r="C332" s="36" t="n">
        <v>4301011851</v>
      </c>
      <c r="D332" s="723" t="n">
        <v>4680115885820</v>
      </c>
      <c r="E332" s="1031" t="n"/>
      <c r="F332" s="1070" t="n">
        <v>0.4</v>
      </c>
      <c r="G332" s="37" t="n">
        <v>10</v>
      </c>
      <c r="H332" s="1070" t="n">
        <v>4</v>
      </c>
      <c r="I332" s="1070" t="n">
        <v>4.19</v>
      </c>
      <c r="J332" s="37" t="n">
        <v>132</v>
      </c>
      <c r="K332" s="37" t="inlineStr">
        <is>
          <t>12</t>
        </is>
      </c>
      <c r="L332" s="37" t="inlineStr"/>
      <c r="M332" s="38" t="inlineStr">
        <is>
          <t>СК1</t>
        </is>
      </c>
      <c r="N332" s="38" t="n"/>
      <c r="O332" s="37" t="n">
        <v>55</v>
      </c>
      <c r="P332" s="1253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32" s="1072" t="n"/>
      <c r="R332" s="1072" t="n"/>
      <c r="S332" s="1072" t="n"/>
      <c r="T332" s="1073" t="n"/>
      <c r="U332" s="39" t="inlineStr"/>
      <c r="V332" s="39" t="inlineStr"/>
      <c r="W332" s="40" t="inlineStr">
        <is>
          <t>кг</t>
        </is>
      </c>
      <c r="X332" s="1074" t="n">
        <v>0</v>
      </c>
      <c r="Y332" s="1075">
        <f>IFERROR(IF(X332="",0,CEILING((X332/$H332),1)*$H332),"")</f>
        <v/>
      </c>
      <c r="Z332" s="41">
        <f>IFERROR(IF(Y332=0,"",ROUNDUP(Y332/H332,0)*0.00902),"")</f>
        <v/>
      </c>
      <c r="AA332" s="68" t="inlineStr"/>
      <c r="AB332" s="69" t="inlineStr"/>
      <c r="AC332" s="434" t="inlineStr">
        <is>
          <t>ЕАЭС N RU Д-RU.РА03.В.06112/26</t>
        </is>
      </c>
      <c r="AG332" s="78" t="n"/>
      <c r="AJ332" s="84" t="inlineStr"/>
      <c r="AK332" s="84" t="n">
        <v>0</v>
      </c>
      <c r="BB332" s="435" t="inlineStr">
        <is>
          <t>КИ</t>
        </is>
      </c>
      <c r="BM332" s="78">
        <f>IFERROR(X332*I332/H332,"0")</f>
        <v/>
      </c>
      <c r="BN332" s="78">
        <f>IFERROR(Y332*I332/H332,"0")</f>
        <v/>
      </c>
      <c r="BO332" s="78">
        <f>IFERROR(1/J332*(X332/H332),"0")</f>
        <v/>
      </c>
      <c r="BP332" s="78">
        <f>IFERROR(1/J332*(Y332/H332),"0")</f>
        <v/>
      </c>
    </row>
    <row r="333">
      <c r="A333" s="732" t="n"/>
      <c r="B333" s="1019" t="n"/>
      <c r="C333" s="1019" t="n"/>
      <c r="D333" s="1019" t="n"/>
      <c r="E333" s="1019" t="n"/>
      <c r="F333" s="1019" t="n"/>
      <c r="G333" s="1019" t="n"/>
      <c r="H333" s="1019" t="n"/>
      <c r="I333" s="1019" t="n"/>
      <c r="J333" s="1019" t="n"/>
      <c r="K333" s="1019" t="n"/>
      <c r="L333" s="1019" t="n"/>
      <c r="M333" s="1019" t="n"/>
      <c r="N333" s="1019" t="n"/>
      <c r="O333" s="1077" t="n"/>
      <c r="P333" s="1078" t="inlineStr">
        <is>
          <t>Итого</t>
        </is>
      </c>
      <c r="Q333" s="1039" t="n"/>
      <c r="R333" s="1039" t="n"/>
      <c r="S333" s="1039" t="n"/>
      <c r="T333" s="1039" t="n"/>
      <c r="U333" s="1039" t="n"/>
      <c r="V333" s="1040" t="n"/>
      <c r="W333" s="42" t="inlineStr">
        <is>
          <t>кор</t>
        </is>
      </c>
      <c r="X333" s="1079">
        <f>IFERROR(X327/H327,"0")+IFERROR(X328/H328,"0")+IFERROR(X329/H329,"0")+IFERROR(X330/H330,"0")+IFERROR(X331/H331,"0")+IFERROR(X332/H332,"0")</f>
        <v/>
      </c>
      <c r="Y333" s="1079">
        <f>IFERROR(Y327/H327,"0")+IFERROR(Y328/H328,"0")+IFERROR(Y329/H329,"0")+IFERROR(Y330/H330,"0")+IFERROR(Y331/H331,"0")+IFERROR(Y332/H332,"0")</f>
        <v/>
      </c>
      <c r="Z333" s="1079">
        <f>IFERROR(IF(Z327="",0,Z327),"0")+IFERROR(IF(Z328="",0,Z328),"0")+IFERROR(IF(Z329="",0,Z329),"0")+IFERROR(IF(Z330="",0,Z330),"0")+IFERROR(IF(Z331="",0,Z331),"0")+IFERROR(IF(Z332="",0,Z332),"0")</f>
        <v/>
      </c>
      <c r="AA333" s="1080" t="n"/>
      <c r="AB333" s="1080" t="n"/>
      <c r="AC333" s="1080" t="n"/>
    </row>
    <row r="334">
      <c r="A334" s="1019" t="n"/>
      <c r="B334" s="1019" t="n"/>
      <c r="C334" s="1019" t="n"/>
      <c r="D334" s="1019" t="n"/>
      <c r="E334" s="1019" t="n"/>
      <c r="F334" s="1019" t="n"/>
      <c r="G334" s="1019" t="n"/>
      <c r="H334" s="1019" t="n"/>
      <c r="I334" s="1019" t="n"/>
      <c r="J334" s="1019" t="n"/>
      <c r="K334" s="1019" t="n"/>
      <c r="L334" s="1019" t="n"/>
      <c r="M334" s="1019" t="n"/>
      <c r="N334" s="1019" t="n"/>
      <c r="O334" s="1077" t="n"/>
      <c r="P334" s="1078" t="inlineStr">
        <is>
          <t>Итого</t>
        </is>
      </c>
      <c r="Q334" s="1039" t="n"/>
      <c r="R334" s="1039" t="n"/>
      <c r="S334" s="1039" t="n"/>
      <c r="T334" s="1039" t="n"/>
      <c r="U334" s="1039" t="n"/>
      <c r="V334" s="1040" t="n"/>
      <c r="W334" s="42" t="inlineStr">
        <is>
          <t>кг</t>
        </is>
      </c>
      <c r="X334" s="1079">
        <f>IFERROR(SUM(X327:X332),"0")</f>
        <v/>
      </c>
      <c r="Y334" s="1079">
        <f>IFERROR(SUM(Y327:Y332),"0")</f>
        <v/>
      </c>
      <c r="Z334" s="42" t="n"/>
      <c r="AA334" s="1080" t="n"/>
      <c r="AB334" s="1080" t="n"/>
      <c r="AC334" s="1080" t="n"/>
    </row>
    <row r="335" ht="16.5" customHeight="1">
      <c r="A335" s="721" t="inlineStr">
        <is>
          <t>Сочинка по-баварски</t>
        </is>
      </c>
      <c r="B335" s="1019" t="n"/>
      <c r="C335" s="1019" t="n"/>
      <c r="D335" s="1019" t="n"/>
      <c r="E335" s="1019" t="n"/>
      <c r="F335" s="1019" t="n"/>
      <c r="G335" s="1019" t="n"/>
      <c r="H335" s="1019" t="n"/>
      <c r="I335" s="1019" t="n"/>
      <c r="J335" s="1019" t="n"/>
      <c r="K335" s="1019" t="n"/>
      <c r="L335" s="1019" t="n"/>
      <c r="M335" s="1019" t="n"/>
      <c r="N335" s="1019" t="n"/>
      <c r="O335" s="1019" t="n"/>
      <c r="P335" s="1019" t="n"/>
      <c r="Q335" s="1019" t="n"/>
      <c r="R335" s="1019" t="n"/>
      <c r="S335" s="1019" t="n"/>
      <c r="T335" s="1019" t="n"/>
      <c r="U335" s="1019" t="n"/>
      <c r="V335" s="1019" t="n"/>
      <c r="W335" s="1019" t="n"/>
      <c r="X335" s="1019" t="n"/>
      <c r="Y335" s="1019" t="n"/>
      <c r="Z335" s="1019" t="n"/>
      <c r="AA335" s="721" t="n"/>
      <c r="AB335" s="721" t="n"/>
      <c r="AC335" s="721" t="n"/>
    </row>
    <row r="336" ht="14.25" customHeight="1">
      <c r="A336" s="722" t="inlineStr">
        <is>
          <t>Сосиски</t>
        </is>
      </c>
      <c r="B336" s="1019" t="n"/>
      <c r="C336" s="1019" t="n"/>
      <c r="D336" s="1019" t="n"/>
      <c r="E336" s="1019" t="n"/>
      <c r="F336" s="1019" t="n"/>
      <c r="G336" s="1019" t="n"/>
      <c r="H336" s="1019" t="n"/>
      <c r="I336" s="1019" t="n"/>
      <c r="J336" s="1019" t="n"/>
      <c r="K336" s="1019" t="n"/>
      <c r="L336" s="1019" t="n"/>
      <c r="M336" s="1019" t="n"/>
      <c r="N336" s="1019" t="n"/>
      <c r="O336" s="1019" t="n"/>
      <c r="P336" s="1019" t="n"/>
      <c r="Q336" s="1019" t="n"/>
      <c r="R336" s="1019" t="n"/>
      <c r="S336" s="1019" t="n"/>
      <c r="T336" s="1019" t="n"/>
      <c r="U336" s="1019" t="n"/>
      <c r="V336" s="1019" t="n"/>
      <c r="W336" s="1019" t="n"/>
      <c r="X336" s="1019" t="n"/>
      <c r="Y336" s="1019" t="n"/>
      <c r="Z336" s="1019" t="n"/>
      <c r="AA336" s="722" t="n"/>
      <c r="AB336" s="722" t="n"/>
      <c r="AC336" s="722" t="n"/>
    </row>
    <row r="337" ht="27" customHeight="1">
      <c r="A337" s="63" t="inlineStr">
        <is>
          <t>SU003814</t>
        </is>
      </c>
      <c r="B337" s="63" t="inlineStr">
        <is>
          <t>P004838</t>
        </is>
      </c>
      <c r="C337" s="36" t="n">
        <v>4301051893</v>
      </c>
      <c r="D337" s="723" t="n">
        <v>4680115886186</v>
      </c>
      <c r="E337" s="1031" t="n"/>
      <c r="F337" s="1070" t="n">
        <v>0.3</v>
      </c>
      <c r="G337" s="37" t="n">
        <v>6</v>
      </c>
      <c r="H337" s="1070" t="n">
        <v>1.8</v>
      </c>
      <c r="I337" s="1070" t="n">
        <v>1.98</v>
      </c>
      <c r="J337" s="37" t="n">
        <v>182</v>
      </c>
      <c r="K337" s="37" t="inlineStr">
        <is>
          <t>14</t>
        </is>
      </c>
      <c r="L337" s="37" t="inlineStr"/>
      <c r="M337" s="38" t="inlineStr">
        <is>
          <t>СК3</t>
        </is>
      </c>
      <c r="N337" s="38" t="n"/>
      <c r="O337" s="37" t="n">
        <v>45</v>
      </c>
      <c r="P337" s="1254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37" s="1072" t="n"/>
      <c r="R337" s="1072" t="n"/>
      <c r="S337" s="1072" t="n"/>
      <c r="T337" s="1073" t="n"/>
      <c r="U337" s="39" t="inlineStr"/>
      <c r="V337" s="39" t="inlineStr"/>
      <c r="W337" s="40" t="inlineStr">
        <is>
          <t>кг</t>
        </is>
      </c>
      <c r="X337" s="1074" t="n">
        <v>0</v>
      </c>
      <c r="Y337" s="1075">
        <f>IFERROR(IF(X337="",0,CEILING((X337/$H337),1)*$H337),"")</f>
        <v/>
      </c>
      <c r="Z337" s="41">
        <f>IFERROR(IF(Y337=0,"",ROUNDUP(Y337/H337,0)*0.00651),"")</f>
        <v/>
      </c>
      <c r="AA337" s="68" t="inlineStr"/>
      <c r="AB337" s="69" t="inlineStr"/>
      <c r="AC337" s="436" t="inlineStr">
        <is>
          <t>ЕАЭС N RU Д-RU.РА07.В.46813/25, ЕАЭС N RU Д-RU.РА09.В.38629/25</t>
        </is>
      </c>
      <c r="AG337" s="78" t="n"/>
      <c r="AJ337" s="84" t="inlineStr"/>
      <c r="AK337" s="84" t="n">
        <v>0</v>
      </c>
      <c r="BB337" s="437" t="inlineStr">
        <is>
          <t>КИ</t>
        </is>
      </c>
      <c r="BM337" s="78">
        <f>IFERROR(X337*I337/H337,"0")</f>
        <v/>
      </c>
      <c r="BN337" s="78">
        <f>IFERROR(Y337*I337/H337,"0")</f>
        <v/>
      </c>
      <c r="BO337" s="78">
        <f>IFERROR(1/J337*(X337/H337),"0")</f>
        <v/>
      </c>
      <c r="BP337" s="78">
        <f>IFERROR(1/J337*(Y337/H337),"0")</f>
        <v/>
      </c>
    </row>
    <row r="338" ht="27" customHeight="1">
      <c r="A338" s="63" t="inlineStr">
        <is>
          <t>SU002801</t>
        </is>
      </c>
      <c r="B338" s="63" t="inlineStr">
        <is>
          <t>P003475</t>
        </is>
      </c>
      <c r="C338" s="36" t="n">
        <v>4301051795</v>
      </c>
      <c r="D338" s="723" t="n">
        <v>4680115881228</v>
      </c>
      <c r="E338" s="1031" t="n"/>
      <c r="F338" s="1070" t="n">
        <v>0.4</v>
      </c>
      <c r="G338" s="37" t="n">
        <v>6</v>
      </c>
      <c r="H338" s="1070" t="n">
        <v>2.4</v>
      </c>
      <c r="I338" s="1070" t="n">
        <v>2.652</v>
      </c>
      <c r="J338" s="37" t="n">
        <v>182</v>
      </c>
      <c r="K338" s="37" t="inlineStr">
        <is>
          <t>14</t>
        </is>
      </c>
      <c r="L338" s="37" t="inlineStr"/>
      <c r="M338" s="38" t="inlineStr">
        <is>
          <t>СК4</t>
        </is>
      </c>
      <c r="N338" s="38" t="n"/>
      <c r="O338" s="37" t="n">
        <v>40</v>
      </c>
      <c r="P338" s="1255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38" s="1072" t="n"/>
      <c r="R338" s="1072" t="n"/>
      <c r="S338" s="1072" t="n"/>
      <c r="T338" s="1073" t="n"/>
      <c r="U338" s="39" t="inlineStr"/>
      <c r="V338" s="39" t="inlineStr"/>
      <c r="W338" s="40" t="inlineStr">
        <is>
          <t>кг</t>
        </is>
      </c>
      <c r="X338" s="1074" t="n">
        <v>34</v>
      </c>
      <c r="Y338" s="1075">
        <f>IFERROR(IF(X338="",0,CEILING((X338/$H338),1)*$H338),"")</f>
        <v/>
      </c>
      <c r="Z338" s="41">
        <f>IFERROR(IF(Y338=0,"",ROUNDUP(Y338/H338,0)*0.00651),"")</f>
        <v/>
      </c>
      <c r="AA338" s="68" t="inlineStr"/>
      <c r="AB338" s="69" t="inlineStr"/>
      <c r="AC338" s="438" t="inlineStr">
        <is>
          <t>ЕАЭС N RU Д-RU.РА09.В.38306/25</t>
        </is>
      </c>
      <c r="AG338" s="78" t="n"/>
      <c r="AJ338" s="84" t="inlineStr"/>
      <c r="AK338" s="84" t="n">
        <v>0</v>
      </c>
      <c r="BB338" s="439" t="inlineStr">
        <is>
          <t>КИ</t>
        </is>
      </c>
      <c r="BM338" s="78">
        <f>IFERROR(X338*I338/H338,"0")</f>
        <v/>
      </c>
      <c r="BN338" s="78">
        <f>IFERROR(Y338*I338/H338,"0")</f>
        <v/>
      </c>
      <c r="BO338" s="78">
        <f>IFERROR(1/J338*(X338/H338),"0")</f>
        <v/>
      </c>
      <c r="BP338" s="78">
        <f>IFERROR(1/J338*(Y338/H338),"0")</f>
        <v/>
      </c>
    </row>
    <row r="339" ht="27" customHeight="1">
      <c r="A339" s="63" t="inlineStr">
        <is>
          <t>SU002799</t>
        </is>
      </c>
      <c r="B339" s="63" t="inlineStr">
        <is>
          <t>P003217</t>
        </is>
      </c>
      <c r="C339" s="36" t="n">
        <v>4301051388</v>
      </c>
      <c r="D339" s="723" t="n">
        <v>4680115881211</v>
      </c>
      <c r="E339" s="1031" t="n"/>
      <c r="F339" s="1070" t="n">
        <v>0.4</v>
      </c>
      <c r="G339" s="37" t="n">
        <v>6</v>
      </c>
      <c r="H339" s="1070" t="n">
        <v>2.4</v>
      </c>
      <c r="I339" s="1070" t="n">
        <v>2.58</v>
      </c>
      <c r="J339" s="37" t="n">
        <v>182</v>
      </c>
      <c r="K339" s="37" t="inlineStr">
        <is>
          <t>14</t>
        </is>
      </c>
      <c r="L339" s="37" t="inlineStr"/>
      <c r="M339" s="38" t="inlineStr">
        <is>
          <t>СК3</t>
        </is>
      </c>
      <c r="N339" s="38" t="n"/>
      <c r="O339" s="37" t="n">
        <v>45</v>
      </c>
      <c r="P339" s="1256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39" s="1072" t="n"/>
      <c r="R339" s="1072" t="n"/>
      <c r="S339" s="1072" t="n"/>
      <c r="T339" s="1073" t="n"/>
      <c r="U339" s="39" t="inlineStr"/>
      <c r="V339" s="39" t="inlineStr"/>
      <c r="W339" s="40" t="inlineStr">
        <is>
          <t>кг</t>
        </is>
      </c>
      <c r="X339" s="1074" t="n">
        <v>50</v>
      </c>
      <c r="Y339" s="1075">
        <f>IFERROR(IF(X339="",0,CEILING((X339/$H339),1)*$H339),"")</f>
        <v/>
      </c>
      <c r="Z339" s="41">
        <f>IFERROR(IF(Y339=0,"",ROUNDUP(Y339/H339,0)*0.00651),"")</f>
        <v/>
      </c>
      <c r="AA339" s="68" t="inlineStr"/>
      <c r="AB339" s="69" t="inlineStr"/>
      <c r="AC339" s="440" t="inlineStr">
        <is>
          <t>ЕАЭС N RU Д-RU.РА07.В.46813/25, ЕАЭС N RU Д-RU.РА09.В.38629/25</t>
        </is>
      </c>
      <c r="AG339" s="78" t="n"/>
      <c r="AJ339" s="84" t="inlineStr"/>
      <c r="AK339" s="84" t="n">
        <v>0</v>
      </c>
      <c r="BB339" s="441" t="inlineStr">
        <is>
          <t>КИ</t>
        </is>
      </c>
      <c r="BM339" s="78">
        <f>IFERROR(X339*I339/H339,"0")</f>
        <v/>
      </c>
      <c r="BN339" s="78">
        <f>IFERROR(Y339*I339/H339,"0")</f>
        <v/>
      </c>
      <c r="BO339" s="78">
        <f>IFERROR(1/J339*(X339/H339),"0")</f>
        <v/>
      </c>
      <c r="BP339" s="78">
        <f>IFERROR(1/J339*(Y339/H339),"0")</f>
        <v/>
      </c>
    </row>
    <row r="340">
      <c r="A340" s="732" t="n"/>
      <c r="B340" s="1019" t="n"/>
      <c r="C340" s="1019" t="n"/>
      <c r="D340" s="1019" t="n"/>
      <c r="E340" s="1019" t="n"/>
      <c r="F340" s="1019" t="n"/>
      <c r="G340" s="1019" t="n"/>
      <c r="H340" s="1019" t="n"/>
      <c r="I340" s="1019" t="n"/>
      <c r="J340" s="1019" t="n"/>
      <c r="K340" s="1019" t="n"/>
      <c r="L340" s="1019" t="n"/>
      <c r="M340" s="1019" t="n"/>
      <c r="N340" s="1019" t="n"/>
      <c r="O340" s="1077" t="n"/>
      <c r="P340" s="1078" t="inlineStr">
        <is>
          <t>Итого</t>
        </is>
      </c>
      <c r="Q340" s="1039" t="n"/>
      <c r="R340" s="1039" t="n"/>
      <c r="S340" s="1039" t="n"/>
      <c r="T340" s="1039" t="n"/>
      <c r="U340" s="1039" t="n"/>
      <c r="V340" s="1040" t="n"/>
      <c r="W340" s="42" t="inlineStr">
        <is>
          <t>кор</t>
        </is>
      </c>
      <c r="X340" s="1079">
        <f>IFERROR(X337/H337,"0")+IFERROR(X338/H338,"0")+IFERROR(X339/H339,"0")</f>
        <v/>
      </c>
      <c r="Y340" s="1079">
        <f>IFERROR(Y337/H337,"0")+IFERROR(Y338/H338,"0")+IFERROR(Y339/H339,"0")</f>
        <v/>
      </c>
      <c r="Z340" s="1079">
        <f>IFERROR(IF(Z337="",0,Z337),"0")+IFERROR(IF(Z338="",0,Z338),"0")+IFERROR(IF(Z339="",0,Z339),"0")</f>
        <v/>
      </c>
      <c r="AA340" s="1080" t="n"/>
      <c r="AB340" s="1080" t="n"/>
      <c r="AC340" s="1080" t="n"/>
    </row>
    <row r="341">
      <c r="A341" s="1019" t="n"/>
      <c r="B341" s="1019" t="n"/>
      <c r="C341" s="1019" t="n"/>
      <c r="D341" s="1019" t="n"/>
      <c r="E341" s="1019" t="n"/>
      <c r="F341" s="1019" t="n"/>
      <c r="G341" s="1019" t="n"/>
      <c r="H341" s="1019" t="n"/>
      <c r="I341" s="1019" t="n"/>
      <c r="J341" s="1019" t="n"/>
      <c r="K341" s="1019" t="n"/>
      <c r="L341" s="1019" t="n"/>
      <c r="M341" s="1019" t="n"/>
      <c r="N341" s="1019" t="n"/>
      <c r="O341" s="1077" t="n"/>
      <c r="P341" s="1078" t="inlineStr">
        <is>
          <t>Итого</t>
        </is>
      </c>
      <c r="Q341" s="1039" t="n"/>
      <c r="R341" s="1039" t="n"/>
      <c r="S341" s="1039" t="n"/>
      <c r="T341" s="1039" t="n"/>
      <c r="U341" s="1039" t="n"/>
      <c r="V341" s="1040" t="n"/>
      <c r="W341" s="42" t="inlineStr">
        <is>
          <t>кг</t>
        </is>
      </c>
      <c r="X341" s="1079">
        <f>IFERROR(SUM(X337:X339),"0")</f>
        <v/>
      </c>
      <c r="Y341" s="1079">
        <f>IFERROR(SUM(Y337:Y339),"0")</f>
        <v/>
      </c>
      <c r="Z341" s="42" t="n"/>
      <c r="AA341" s="1080" t="n"/>
      <c r="AB341" s="1080" t="n"/>
      <c r="AC341" s="1080" t="n"/>
    </row>
    <row r="342" ht="16.5" customHeight="1">
      <c r="A342" s="721" t="inlineStr">
        <is>
          <t>Стародворская EDLP/EDPP</t>
        </is>
      </c>
      <c r="B342" s="1019" t="n"/>
      <c r="C342" s="1019" t="n"/>
      <c r="D342" s="1019" t="n"/>
      <c r="E342" s="1019" t="n"/>
      <c r="F342" s="1019" t="n"/>
      <c r="G342" s="1019" t="n"/>
      <c r="H342" s="1019" t="n"/>
      <c r="I342" s="1019" t="n"/>
      <c r="J342" s="1019" t="n"/>
      <c r="K342" s="1019" t="n"/>
      <c r="L342" s="1019" t="n"/>
      <c r="M342" s="1019" t="n"/>
      <c r="N342" s="1019" t="n"/>
      <c r="O342" s="1019" t="n"/>
      <c r="P342" s="1019" t="n"/>
      <c r="Q342" s="1019" t="n"/>
      <c r="R342" s="1019" t="n"/>
      <c r="S342" s="1019" t="n"/>
      <c r="T342" s="1019" t="n"/>
      <c r="U342" s="1019" t="n"/>
      <c r="V342" s="1019" t="n"/>
      <c r="W342" s="1019" t="n"/>
      <c r="X342" s="1019" t="n"/>
      <c r="Y342" s="1019" t="n"/>
      <c r="Z342" s="1019" t="n"/>
      <c r="AA342" s="721" t="n"/>
      <c r="AB342" s="721" t="n"/>
      <c r="AC342" s="721" t="n"/>
    </row>
    <row r="343" ht="14.25" customHeight="1">
      <c r="A343" s="722" t="inlineStr">
        <is>
          <t>Копченые колбасы</t>
        </is>
      </c>
      <c r="B343" s="1019" t="n"/>
      <c r="C343" s="1019" t="n"/>
      <c r="D343" s="1019" t="n"/>
      <c r="E343" s="1019" t="n"/>
      <c r="F343" s="1019" t="n"/>
      <c r="G343" s="1019" t="n"/>
      <c r="H343" s="1019" t="n"/>
      <c r="I343" s="1019" t="n"/>
      <c r="J343" s="1019" t="n"/>
      <c r="K343" s="1019" t="n"/>
      <c r="L343" s="1019" t="n"/>
      <c r="M343" s="1019" t="n"/>
      <c r="N343" s="1019" t="n"/>
      <c r="O343" s="1019" t="n"/>
      <c r="P343" s="1019" t="n"/>
      <c r="Q343" s="1019" t="n"/>
      <c r="R343" s="1019" t="n"/>
      <c r="S343" s="1019" t="n"/>
      <c r="T343" s="1019" t="n"/>
      <c r="U343" s="1019" t="n"/>
      <c r="V343" s="1019" t="n"/>
      <c r="W343" s="1019" t="n"/>
      <c r="X343" s="1019" t="n"/>
      <c r="Y343" s="1019" t="n"/>
      <c r="Z343" s="1019" t="n"/>
      <c r="AA343" s="722" t="n"/>
      <c r="AB343" s="722" t="n"/>
      <c r="AC343" s="722" t="n"/>
    </row>
    <row r="344" ht="27" customHeight="1">
      <c r="A344" s="63" t="inlineStr">
        <is>
          <t>SU003999</t>
        </is>
      </c>
      <c r="B344" s="63" t="inlineStr">
        <is>
          <t>P005146</t>
        </is>
      </c>
      <c r="C344" s="36" t="n">
        <v>4301031445</v>
      </c>
      <c r="D344" s="723" t="n">
        <v>4680115888319</v>
      </c>
      <c r="E344" s="1031" t="n"/>
      <c r="F344" s="1070" t="n">
        <v>0.35</v>
      </c>
      <c r="G344" s="37" t="n">
        <v>6</v>
      </c>
      <c r="H344" s="1070" t="n">
        <v>2.1</v>
      </c>
      <c r="I344" s="1070" t="n">
        <v>2.23</v>
      </c>
      <c r="J344" s="37" t="n">
        <v>234</v>
      </c>
      <c r="K344" s="37" t="inlineStr">
        <is>
          <t>18</t>
        </is>
      </c>
      <c r="L344" s="37" t="inlineStr"/>
      <c r="M344" s="38" t="inlineStr">
        <is>
          <t>СК2</t>
        </is>
      </c>
      <c r="N344" s="38" t="n"/>
      <c r="O344" s="37" t="n">
        <v>45</v>
      </c>
      <c r="P344" s="1257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44" s="1072" t="n"/>
      <c r="R344" s="1072" t="n"/>
      <c r="S344" s="1072" t="n"/>
      <c r="T344" s="1073" t="n"/>
      <c r="U344" s="39" t="inlineStr"/>
      <c r="V344" s="39" t="inlineStr"/>
      <c r="W344" s="40" t="inlineStr">
        <is>
          <t>кг</t>
        </is>
      </c>
      <c r="X344" s="1074" t="n">
        <v>0</v>
      </c>
      <c r="Y344" s="1075">
        <f>IFERROR(IF(X344="",0,CEILING((X344/$H344),1)*$H344),"")</f>
        <v/>
      </c>
      <c r="Z344" s="41">
        <f>IFERROR(IF(Y344=0,"",ROUNDUP(Y344/H344,0)*0.00502),"")</f>
        <v/>
      </c>
      <c r="AA344" s="68" t="inlineStr"/>
      <c r="AB344" s="69" t="inlineStr"/>
      <c r="AC344" s="442" t="inlineStr">
        <is>
          <t>ЕАЭС N RU Д-RU.РА01.В.16547/26</t>
        </is>
      </c>
      <c r="AG344" s="78" t="n"/>
      <c r="AJ344" s="84" t="inlineStr"/>
      <c r="AK344" s="84" t="n">
        <v>0</v>
      </c>
      <c r="BB344" s="443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 ht="27" customHeight="1">
      <c r="A345" s="63" t="inlineStr">
        <is>
          <t>SU003356</t>
        </is>
      </c>
      <c r="B345" s="63" t="inlineStr">
        <is>
          <t>P005424</t>
        </is>
      </c>
      <c r="C345" s="36" t="n">
        <v>4301031502</v>
      </c>
      <c r="D345" s="723" t="n">
        <v>4680115884700</v>
      </c>
      <c r="E345" s="1031" t="n"/>
      <c r="F345" s="1070" t="n">
        <v>0.58</v>
      </c>
      <c r="G345" s="37" t="n">
        <v>4</v>
      </c>
      <c r="H345" s="1070" t="n">
        <v>2.32</v>
      </c>
      <c r="I345" s="1070" t="n">
        <v>2.42</v>
      </c>
      <c r="J345" s="37" t="n">
        <v>234</v>
      </c>
      <c r="K345" s="37" t="inlineStr">
        <is>
          <t>18</t>
        </is>
      </c>
      <c r="L345" s="37" t="inlineStr"/>
      <c r="M345" s="38" t="inlineStr">
        <is>
          <t>СК2</t>
        </is>
      </c>
      <c r="N345" s="38" t="n"/>
      <c r="O345" s="37" t="n">
        <v>40</v>
      </c>
      <c r="P345" s="1258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45" s="1072" t="n"/>
      <c r="R345" s="1072" t="n"/>
      <c r="S345" s="1072" t="n"/>
      <c r="T345" s="1073" t="n"/>
      <c r="U345" s="39" t="inlineStr"/>
      <c r="V345" s="39" t="inlineStr"/>
      <c r="W345" s="40" t="inlineStr">
        <is>
          <t>кг</t>
        </is>
      </c>
      <c r="X345" s="1074" t="n">
        <v>0</v>
      </c>
      <c r="Y345" s="1075">
        <f>IFERROR(IF(X345="",0,CEILING((X345/$H345),1)*$H345),"")</f>
        <v/>
      </c>
      <c r="Z345" s="41">
        <f>IFERROR(IF(Y345=0,"",ROUNDUP(Y345/H345,0)*0.00502),"")</f>
        <v/>
      </c>
      <c r="AA345" s="68" t="inlineStr"/>
      <c r="AB345" s="69" t="inlineStr"/>
      <c r="AC345" s="444" t="inlineStr">
        <is>
          <t>ЕАЭС N RU Д-RU.РА01.В.52146/26</t>
        </is>
      </c>
      <c r="AG345" s="78" t="n"/>
      <c r="AJ345" s="84" t="inlineStr"/>
      <c r="AK345" s="84" t="n">
        <v>0</v>
      </c>
      <c r="BB345" s="445" t="inlineStr">
        <is>
          <t>КИ</t>
        </is>
      </c>
      <c r="BM345" s="78">
        <f>IFERROR(X345*I345/H345,"0")</f>
        <v/>
      </c>
      <c r="BN345" s="78">
        <f>IFERROR(Y345*I345/H345,"0")</f>
        <v/>
      </c>
      <c r="BO345" s="78">
        <f>IFERROR(1/J345*(X345/H345),"0")</f>
        <v/>
      </c>
      <c r="BP345" s="78">
        <f>IFERROR(1/J345*(Y345/H345),"0")</f>
        <v/>
      </c>
    </row>
    <row r="346" ht="27" customHeight="1">
      <c r="A346" s="63" t="inlineStr">
        <is>
          <t>SU002698</t>
        </is>
      </c>
      <c r="B346" s="63" t="inlineStr">
        <is>
          <t>P004231</t>
        </is>
      </c>
      <c r="C346" s="36" t="n">
        <v>4301031307</v>
      </c>
      <c r="D346" s="723" t="n">
        <v>4680115880344</v>
      </c>
      <c r="E346" s="1031" t="n"/>
      <c r="F346" s="1070" t="n">
        <v>0.28</v>
      </c>
      <c r="G346" s="37" t="n">
        <v>6</v>
      </c>
      <c r="H346" s="1070" t="n">
        <v>1.68</v>
      </c>
      <c r="I346" s="1070" t="n">
        <v>1.78</v>
      </c>
      <c r="J346" s="37" t="n">
        <v>234</v>
      </c>
      <c r="K346" s="37" t="inlineStr">
        <is>
          <t>18</t>
        </is>
      </c>
      <c r="L346" s="37" t="inlineStr"/>
      <c r="M346" s="38" t="inlineStr">
        <is>
          <t>СК2</t>
        </is>
      </c>
      <c r="N346" s="38" t="n"/>
      <c r="O346" s="37" t="n">
        <v>40</v>
      </c>
      <c r="P346" s="1259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46" s="1072" t="n"/>
      <c r="R346" s="1072" t="n"/>
      <c r="S346" s="1072" t="n"/>
      <c r="T346" s="1073" t="n"/>
      <c r="U346" s="39" t="inlineStr"/>
      <c r="V346" s="39" t="inlineStr"/>
      <c r="W346" s="40" t="inlineStr">
        <is>
          <t>кг</t>
        </is>
      </c>
      <c r="X346" s="1074" t="n">
        <v>0</v>
      </c>
      <c r="Y346" s="1075">
        <f>IFERROR(IF(X346="",0,CEILING((X346/$H346),1)*$H346),"")</f>
        <v/>
      </c>
      <c r="Z346" s="41">
        <f>IFERROR(IF(Y346=0,"",ROUNDUP(Y346/H346,0)*0.00502),"")</f>
        <v/>
      </c>
      <c r="AA346" s="68" t="inlineStr"/>
      <c r="AB346" s="69" t="inlineStr"/>
      <c r="AC346" s="446" t="inlineStr">
        <is>
          <t>ЕАЭС N RU Д-RU.РА01.В.23455/26</t>
        </is>
      </c>
      <c r="AG346" s="78" t="n"/>
      <c r="AJ346" s="84" t="inlineStr"/>
      <c r="AK346" s="84" t="n">
        <v>0</v>
      </c>
      <c r="BB346" s="447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 ht="27" customHeight="1">
      <c r="A347" s="63" t="inlineStr">
        <is>
          <t>SU003942</t>
        </is>
      </c>
      <c r="B347" s="63" t="inlineStr">
        <is>
          <t>P005423</t>
        </is>
      </c>
      <c r="C347" s="36" t="n">
        <v>4301031501</v>
      </c>
      <c r="D347" s="723" t="n">
        <v>4680115886919</v>
      </c>
      <c r="E347" s="1031" t="n"/>
      <c r="F347" s="1070" t="n">
        <v>0.4</v>
      </c>
      <c r="G347" s="37" t="n">
        <v>6</v>
      </c>
      <c r="H347" s="1070" t="n">
        <v>2.4</v>
      </c>
      <c r="I347" s="1070" t="n">
        <v>2.58</v>
      </c>
      <c r="J347" s="37" t="n">
        <v>182</v>
      </c>
      <c r="K347" s="37" t="inlineStr">
        <is>
          <t>14</t>
        </is>
      </c>
      <c r="L347" s="37" t="inlineStr"/>
      <c r="M347" s="38" t="inlineStr">
        <is>
          <t>СК2</t>
        </is>
      </c>
      <c r="N347" s="38" t="n"/>
      <c r="O347" s="37" t="n">
        <v>40</v>
      </c>
      <c r="P347" s="1260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47" s="1072" t="n"/>
      <c r="R347" s="1072" t="n"/>
      <c r="S347" s="1072" t="n"/>
      <c r="T347" s="1073" t="n"/>
      <c r="U347" s="39" t="inlineStr"/>
      <c r="V347" s="39" t="inlineStr"/>
      <c r="W347" s="40" t="inlineStr">
        <is>
          <t>кг</t>
        </is>
      </c>
      <c r="X347" s="1074" t="n">
        <v>0</v>
      </c>
      <c r="Y347" s="1075">
        <f>IFERROR(IF(X347="",0,CEILING((X347/$H347),1)*$H347),"")</f>
        <v/>
      </c>
      <c r="Z347" s="41">
        <f>IFERROR(IF(Y347=0,"",ROUNDUP(Y347/H347,0)*0.00651),"")</f>
        <v/>
      </c>
      <c r="AA347" s="68" t="inlineStr"/>
      <c r="AB347" s="69" t="inlineStr"/>
      <c r="AC347" s="448" t="inlineStr">
        <is>
          <t>ЕАЭС N RU Д-RU.РА04.В.38656/25</t>
        </is>
      </c>
      <c r="AG347" s="78" t="n"/>
      <c r="AJ347" s="84" t="inlineStr"/>
      <c r="AK347" s="84" t="n">
        <v>0</v>
      </c>
      <c r="BB347" s="449" t="inlineStr">
        <is>
          <t>КИ</t>
        </is>
      </c>
      <c r="BM347" s="78">
        <f>IFERROR(X347*I347/H347,"0")</f>
        <v/>
      </c>
      <c r="BN347" s="78">
        <f>IFERROR(Y347*I347/H347,"0")</f>
        <v/>
      </c>
      <c r="BO347" s="78">
        <f>IFERROR(1/J347*(X347/H347),"0")</f>
        <v/>
      </c>
      <c r="BP347" s="78">
        <f>IFERROR(1/J347*(Y347/H347),"0")</f>
        <v/>
      </c>
    </row>
    <row r="348" ht="27" customHeight="1">
      <c r="A348" s="63" t="inlineStr">
        <is>
          <t>SU003050</t>
        </is>
      </c>
      <c r="B348" s="63" t="inlineStr">
        <is>
          <t>P003602</t>
        </is>
      </c>
      <c r="C348" s="36" t="n">
        <v>4301031246</v>
      </c>
      <c r="D348" s="723" t="n">
        <v>4680115883970</v>
      </c>
      <c r="E348" s="1031" t="n"/>
      <c r="F348" s="1070" t="n">
        <v>0.28</v>
      </c>
      <c r="G348" s="37" t="n">
        <v>6</v>
      </c>
      <c r="H348" s="1070" t="n">
        <v>1.68</v>
      </c>
      <c r="I348" s="1070" t="n">
        <v>2.5</v>
      </c>
      <c r="J348" s="37" t="n">
        <v>234</v>
      </c>
      <c r="K348" s="37" t="inlineStr">
        <is>
          <t>18</t>
        </is>
      </c>
      <c r="L348" s="37" t="inlineStr"/>
      <c r="M348" s="38" t="inlineStr">
        <is>
          <t>СК2</t>
        </is>
      </c>
      <c r="N348" s="38" t="n"/>
      <c r="O348" s="37" t="n">
        <v>40</v>
      </c>
      <c r="P348" s="1261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48" s="1072" t="n"/>
      <c r="R348" s="1072" t="n"/>
      <c r="S348" s="1072" t="n"/>
      <c r="T348" s="1073" t="n"/>
      <c r="U348" s="39" t="inlineStr"/>
      <c r="V348" s="39" t="inlineStr"/>
      <c r="W348" s="40" t="inlineStr">
        <is>
          <t>кг</t>
        </is>
      </c>
      <c r="X348" s="1074" t="n">
        <v>0</v>
      </c>
      <c r="Y348" s="1075">
        <f>IFERROR(IF(X348="",0,CEILING((X348/$H348),1)*$H348),"")</f>
        <v/>
      </c>
      <c r="Z348" s="41">
        <f>IFERROR(IF(Y348=0,"",ROUNDUP(Y348/H348,0)*0.00502),"")</f>
        <v/>
      </c>
      <c r="AA348" s="68" t="inlineStr"/>
      <c r="AB348" s="69" t="inlineStr"/>
      <c r="AC348" s="450" t="inlineStr">
        <is>
          <t>ЕАЭС N RU Д-RU.РА03.В.16772/26</t>
        </is>
      </c>
      <c r="AG348" s="78" t="n"/>
      <c r="AJ348" s="84" t="inlineStr"/>
      <c r="AK348" s="84" t="n">
        <v>0</v>
      </c>
      <c r="BB348" s="451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>
      <c r="A349" s="732" t="n"/>
      <c r="B349" s="1019" t="n"/>
      <c r="C349" s="1019" t="n"/>
      <c r="D349" s="1019" t="n"/>
      <c r="E349" s="1019" t="n"/>
      <c r="F349" s="1019" t="n"/>
      <c r="G349" s="1019" t="n"/>
      <c r="H349" s="1019" t="n"/>
      <c r="I349" s="1019" t="n"/>
      <c r="J349" s="1019" t="n"/>
      <c r="K349" s="1019" t="n"/>
      <c r="L349" s="1019" t="n"/>
      <c r="M349" s="1019" t="n"/>
      <c r="N349" s="1019" t="n"/>
      <c r="O349" s="1077" t="n"/>
      <c r="P349" s="1078" t="inlineStr">
        <is>
          <t>Итого</t>
        </is>
      </c>
      <c r="Q349" s="1039" t="n"/>
      <c r="R349" s="1039" t="n"/>
      <c r="S349" s="1039" t="n"/>
      <c r="T349" s="1039" t="n"/>
      <c r="U349" s="1039" t="n"/>
      <c r="V349" s="1040" t="n"/>
      <c r="W349" s="42" t="inlineStr">
        <is>
          <t>кор</t>
        </is>
      </c>
      <c r="X349" s="1079">
        <f>IFERROR(X344/H344,"0")+IFERROR(X345/H345,"0")+IFERROR(X346/H346,"0")+IFERROR(X347/H347,"0")+IFERROR(X348/H348,"0")</f>
        <v/>
      </c>
      <c r="Y349" s="1079">
        <f>IFERROR(Y344/H344,"0")+IFERROR(Y345/H345,"0")+IFERROR(Y346/H346,"0")+IFERROR(Y347/H347,"0")+IFERROR(Y348/H348,"0")</f>
        <v/>
      </c>
      <c r="Z349" s="1079">
        <f>IFERROR(IF(Z344="",0,Z344),"0")+IFERROR(IF(Z345="",0,Z345),"0")+IFERROR(IF(Z346="",0,Z346),"0")+IFERROR(IF(Z347="",0,Z347),"0")+IFERROR(IF(Z348="",0,Z348),"0")</f>
        <v/>
      </c>
      <c r="AA349" s="1080" t="n"/>
      <c r="AB349" s="1080" t="n"/>
      <c r="AC349" s="1080" t="n"/>
    </row>
    <row r="350">
      <c r="A350" s="1019" t="n"/>
      <c r="B350" s="1019" t="n"/>
      <c r="C350" s="1019" t="n"/>
      <c r="D350" s="1019" t="n"/>
      <c r="E350" s="1019" t="n"/>
      <c r="F350" s="1019" t="n"/>
      <c r="G350" s="1019" t="n"/>
      <c r="H350" s="1019" t="n"/>
      <c r="I350" s="1019" t="n"/>
      <c r="J350" s="1019" t="n"/>
      <c r="K350" s="1019" t="n"/>
      <c r="L350" s="1019" t="n"/>
      <c r="M350" s="1019" t="n"/>
      <c r="N350" s="1019" t="n"/>
      <c r="O350" s="1077" t="n"/>
      <c r="P350" s="1078" t="inlineStr">
        <is>
          <t>Итого</t>
        </is>
      </c>
      <c r="Q350" s="1039" t="n"/>
      <c r="R350" s="1039" t="n"/>
      <c r="S350" s="1039" t="n"/>
      <c r="T350" s="1039" t="n"/>
      <c r="U350" s="1039" t="n"/>
      <c r="V350" s="1040" t="n"/>
      <c r="W350" s="42" t="inlineStr">
        <is>
          <t>кг</t>
        </is>
      </c>
      <c r="X350" s="1079">
        <f>IFERROR(SUM(X344:X348),"0")</f>
        <v/>
      </c>
      <c r="Y350" s="1079">
        <f>IFERROR(SUM(Y344:Y348),"0")</f>
        <v/>
      </c>
      <c r="Z350" s="42" t="n"/>
      <c r="AA350" s="1080" t="n"/>
      <c r="AB350" s="1080" t="n"/>
      <c r="AC350" s="1080" t="n"/>
    </row>
    <row r="351" ht="14.25" customHeight="1">
      <c r="A351" s="722" t="inlineStr">
        <is>
          <t>Сосиски</t>
        </is>
      </c>
      <c r="B351" s="1019" t="n"/>
      <c r="C351" s="1019" t="n"/>
      <c r="D351" s="1019" t="n"/>
      <c r="E351" s="1019" t="n"/>
      <c r="F351" s="1019" t="n"/>
      <c r="G351" s="1019" t="n"/>
      <c r="H351" s="1019" t="n"/>
      <c r="I351" s="1019" t="n"/>
      <c r="J351" s="1019" t="n"/>
      <c r="K351" s="1019" t="n"/>
      <c r="L351" s="1019" t="n"/>
      <c r="M351" s="1019" t="n"/>
      <c r="N351" s="1019" t="n"/>
      <c r="O351" s="1019" t="n"/>
      <c r="P351" s="1019" t="n"/>
      <c r="Q351" s="1019" t="n"/>
      <c r="R351" s="1019" t="n"/>
      <c r="S351" s="1019" t="n"/>
      <c r="T351" s="1019" t="n"/>
      <c r="U351" s="1019" t="n"/>
      <c r="V351" s="1019" t="n"/>
      <c r="W351" s="1019" t="n"/>
      <c r="X351" s="1019" t="n"/>
      <c r="Y351" s="1019" t="n"/>
      <c r="Z351" s="1019" t="n"/>
      <c r="AA351" s="722" t="n"/>
      <c r="AB351" s="722" t="n"/>
      <c r="AC351" s="722" t="n"/>
    </row>
    <row r="352" ht="27" customHeight="1">
      <c r="A352" s="63" t="inlineStr">
        <is>
          <t>SU003340</t>
        </is>
      </c>
      <c r="B352" s="63" t="inlineStr">
        <is>
          <t>P004090</t>
        </is>
      </c>
      <c r="C352" s="36" t="n">
        <v>4301051782</v>
      </c>
      <c r="D352" s="723" t="n">
        <v>4680115884618</v>
      </c>
      <c r="E352" s="1031" t="n"/>
      <c r="F352" s="1070" t="n">
        <v>0.6</v>
      </c>
      <c r="G352" s="37" t="n">
        <v>6</v>
      </c>
      <c r="H352" s="1070" t="n">
        <v>3.6</v>
      </c>
      <c r="I352" s="1070" t="n">
        <v>3.79</v>
      </c>
      <c r="J352" s="37" t="n">
        <v>132</v>
      </c>
      <c r="K352" s="37" t="inlineStr">
        <is>
          <t>12</t>
        </is>
      </c>
      <c r="L352" s="37" t="inlineStr"/>
      <c r="M352" s="38" t="inlineStr">
        <is>
          <t>СК3</t>
        </is>
      </c>
      <c r="N352" s="38" t="n"/>
      <c r="O352" s="37" t="n">
        <v>45</v>
      </c>
      <c r="P352" s="1262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52" s="1072" t="n"/>
      <c r="R352" s="1072" t="n"/>
      <c r="S352" s="1072" t="n"/>
      <c r="T352" s="1073" t="n"/>
      <c r="U352" s="39" t="inlineStr"/>
      <c r="V352" s="39" t="inlineStr"/>
      <c r="W352" s="40" t="inlineStr">
        <is>
          <t>кг</t>
        </is>
      </c>
      <c r="X352" s="1074" t="n">
        <v>0</v>
      </c>
      <c r="Y352" s="1075">
        <f>IFERROR(IF(X352="",0,CEILING((X352/$H352),1)*$H352),"")</f>
        <v/>
      </c>
      <c r="Z352" s="41">
        <f>IFERROR(IF(Y352=0,"",ROUNDUP(Y352/H352,0)*0.00902),"")</f>
        <v/>
      </c>
      <c r="AA352" s="68" t="inlineStr"/>
      <c r="AB352" s="69" t="inlineStr"/>
      <c r="AC352" s="452" t="inlineStr">
        <is>
          <t>ЕАЭС N RU Д-RU.РА03.В.17885/26, ЕАЭС N RU Д-RU.РА03.В.47009/25</t>
        </is>
      </c>
      <c r="AG352" s="78" t="n"/>
      <c r="AJ352" s="84" t="inlineStr"/>
      <c r="AK352" s="84" t="n">
        <v>0</v>
      </c>
      <c r="BB352" s="453" t="inlineStr">
        <is>
          <t>КИ</t>
        </is>
      </c>
      <c r="BM352" s="78">
        <f>IFERROR(X352*I352/H352,"0")</f>
        <v/>
      </c>
      <c r="BN352" s="78">
        <f>IFERROR(Y352*I352/H352,"0")</f>
        <v/>
      </c>
      <c r="BO352" s="78">
        <f>IFERROR(1/J352*(X352/H352),"0")</f>
        <v/>
      </c>
      <c r="BP352" s="78">
        <f>IFERROR(1/J352*(Y352/H352),"0")</f>
        <v/>
      </c>
    </row>
    <row r="353" ht="27" customHeight="1">
      <c r="A353" s="63" t="inlineStr">
        <is>
          <t>SU003962</t>
        </is>
      </c>
      <c r="B353" s="63" t="inlineStr">
        <is>
          <t>P005092</t>
        </is>
      </c>
      <c r="C353" s="36" t="n">
        <v>4301052057</v>
      </c>
      <c r="D353" s="723" t="n">
        <v>4680115887114</v>
      </c>
      <c r="E353" s="1031" t="n"/>
      <c r="F353" s="1070" t="n">
        <v>0.55</v>
      </c>
      <c r="G353" s="37" t="n">
        <v>6</v>
      </c>
      <c r="H353" s="1070" t="n">
        <v>3.3</v>
      </c>
      <c r="I353" s="1070" t="n">
        <v>3.49</v>
      </c>
      <c r="J353" s="37" t="n">
        <v>132</v>
      </c>
      <c r="K353" s="37" t="inlineStr">
        <is>
          <t>12</t>
        </is>
      </c>
      <c r="L353" s="37" t="inlineStr"/>
      <c r="M353" s="38" t="inlineStr">
        <is>
          <t>СК3</t>
        </is>
      </c>
      <c r="N353" s="38" t="n"/>
      <c r="O353" s="37" t="n">
        <v>45</v>
      </c>
      <c r="P353" s="1263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53" s="1072" t="n"/>
      <c r="R353" s="1072" t="n"/>
      <c r="S353" s="1072" t="n"/>
      <c r="T353" s="1073" t="n"/>
      <c r="U353" s="39" t="inlineStr"/>
      <c r="V353" s="39" t="inlineStr"/>
      <c r="W353" s="40" t="inlineStr">
        <is>
          <t>кг</t>
        </is>
      </c>
      <c r="X353" s="1074" t="n">
        <v>0</v>
      </c>
      <c r="Y353" s="1075">
        <f>IFERROR(IF(X353="",0,CEILING((X353/$H353),1)*$H353),"")</f>
        <v/>
      </c>
      <c r="Z353" s="41">
        <f>IFERROR(IF(Y353=0,"",ROUNDUP(Y353/H353,0)*0.00902),"")</f>
        <v/>
      </c>
      <c r="AA353" s="68" t="inlineStr"/>
      <c r="AB353" s="69" t="inlineStr"/>
      <c r="AC353" s="454" t="inlineStr">
        <is>
          <t>ЕАЭС N RU Д-RU.РА06.В.40336/25</t>
        </is>
      </c>
      <c r="AG353" s="78" t="n"/>
      <c r="AJ353" s="84" t="inlineStr"/>
      <c r="AK353" s="84" t="n">
        <v>0</v>
      </c>
      <c r="BB353" s="455" t="inlineStr">
        <is>
          <t>КИ</t>
        </is>
      </c>
      <c r="BM353" s="78">
        <f>IFERROR(X353*I353/H353,"0")</f>
        <v/>
      </c>
      <c r="BN353" s="78">
        <f>IFERROR(Y353*I353/H353,"0")</f>
        <v/>
      </c>
      <c r="BO353" s="78">
        <f>IFERROR(1/J353*(X353/H353),"0")</f>
        <v/>
      </c>
      <c r="BP353" s="78">
        <f>IFERROR(1/J353*(Y353/H353),"0")</f>
        <v/>
      </c>
    </row>
    <row r="354">
      <c r="A354" s="732" t="n"/>
      <c r="B354" s="1019" t="n"/>
      <c r="C354" s="1019" t="n"/>
      <c r="D354" s="1019" t="n"/>
      <c r="E354" s="1019" t="n"/>
      <c r="F354" s="1019" t="n"/>
      <c r="G354" s="1019" t="n"/>
      <c r="H354" s="1019" t="n"/>
      <c r="I354" s="1019" t="n"/>
      <c r="J354" s="1019" t="n"/>
      <c r="K354" s="1019" t="n"/>
      <c r="L354" s="1019" t="n"/>
      <c r="M354" s="1019" t="n"/>
      <c r="N354" s="1019" t="n"/>
      <c r="O354" s="1077" t="n"/>
      <c r="P354" s="1078" t="inlineStr">
        <is>
          <t>Итого</t>
        </is>
      </c>
      <c r="Q354" s="1039" t="n"/>
      <c r="R354" s="1039" t="n"/>
      <c r="S354" s="1039" t="n"/>
      <c r="T354" s="1039" t="n"/>
      <c r="U354" s="1039" t="n"/>
      <c r="V354" s="1040" t="n"/>
      <c r="W354" s="42" t="inlineStr">
        <is>
          <t>кор</t>
        </is>
      </c>
      <c r="X354" s="1079">
        <f>IFERROR(X352/H352,"0")+IFERROR(X353/H353,"0")</f>
        <v/>
      </c>
      <c r="Y354" s="1079">
        <f>IFERROR(Y352/H352,"0")+IFERROR(Y353/H353,"0")</f>
        <v/>
      </c>
      <c r="Z354" s="1079">
        <f>IFERROR(IF(Z352="",0,Z352),"0")+IFERROR(IF(Z353="",0,Z353),"0")</f>
        <v/>
      </c>
      <c r="AA354" s="1080" t="n"/>
      <c r="AB354" s="1080" t="n"/>
      <c r="AC354" s="1080" t="n"/>
    </row>
    <row r="355">
      <c r="A355" s="1019" t="n"/>
      <c r="B355" s="1019" t="n"/>
      <c r="C355" s="1019" t="n"/>
      <c r="D355" s="1019" t="n"/>
      <c r="E355" s="1019" t="n"/>
      <c r="F355" s="1019" t="n"/>
      <c r="G355" s="1019" t="n"/>
      <c r="H355" s="1019" t="n"/>
      <c r="I355" s="1019" t="n"/>
      <c r="J355" s="1019" t="n"/>
      <c r="K355" s="1019" t="n"/>
      <c r="L355" s="1019" t="n"/>
      <c r="M355" s="1019" t="n"/>
      <c r="N355" s="1019" t="n"/>
      <c r="O355" s="1077" t="n"/>
      <c r="P355" s="1078" t="inlineStr">
        <is>
          <t>Итого</t>
        </is>
      </c>
      <c r="Q355" s="1039" t="n"/>
      <c r="R355" s="1039" t="n"/>
      <c r="S355" s="1039" t="n"/>
      <c r="T355" s="1039" t="n"/>
      <c r="U355" s="1039" t="n"/>
      <c r="V355" s="1040" t="n"/>
      <c r="W355" s="42" t="inlineStr">
        <is>
          <t>кг</t>
        </is>
      </c>
      <c r="X355" s="1079">
        <f>IFERROR(SUM(X352:X353),"0")</f>
        <v/>
      </c>
      <c r="Y355" s="1079">
        <f>IFERROR(SUM(Y352:Y353),"0")</f>
        <v/>
      </c>
      <c r="Z355" s="42" t="n"/>
      <c r="AA355" s="1080" t="n"/>
      <c r="AB355" s="1080" t="n"/>
      <c r="AC355" s="1080" t="n"/>
    </row>
    <row r="356" ht="16.5" customHeight="1">
      <c r="A356" s="721" t="inlineStr">
        <is>
          <t>Тамбовская в обвязке</t>
        </is>
      </c>
      <c r="B356" s="1019" t="n"/>
      <c r="C356" s="1019" t="n"/>
      <c r="D356" s="1019" t="n"/>
      <c r="E356" s="1019" t="n"/>
      <c r="F356" s="1019" t="n"/>
      <c r="G356" s="1019" t="n"/>
      <c r="H356" s="1019" t="n"/>
      <c r="I356" s="1019" t="n"/>
      <c r="J356" s="1019" t="n"/>
      <c r="K356" s="1019" t="n"/>
      <c r="L356" s="1019" t="n"/>
      <c r="M356" s="1019" t="n"/>
      <c r="N356" s="1019" t="n"/>
      <c r="O356" s="1019" t="n"/>
      <c r="P356" s="1019" t="n"/>
      <c r="Q356" s="1019" t="n"/>
      <c r="R356" s="1019" t="n"/>
      <c r="S356" s="1019" t="n"/>
      <c r="T356" s="1019" t="n"/>
      <c r="U356" s="1019" t="n"/>
      <c r="V356" s="1019" t="n"/>
      <c r="W356" s="1019" t="n"/>
      <c r="X356" s="1019" t="n"/>
      <c r="Y356" s="1019" t="n"/>
      <c r="Z356" s="1019" t="n"/>
      <c r="AA356" s="721" t="n"/>
      <c r="AB356" s="721" t="n"/>
      <c r="AC356" s="721" t="n"/>
    </row>
    <row r="357" ht="14.25" customHeight="1">
      <c r="A357" s="722" t="inlineStr">
        <is>
          <t>Вареные колбасы</t>
        </is>
      </c>
      <c r="B357" s="1019" t="n"/>
      <c r="C357" s="1019" t="n"/>
      <c r="D357" s="1019" t="n"/>
      <c r="E357" s="1019" t="n"/>
      <c r="F357" s="1019" t="n"/>
      <c r="G357" s="1019" t="n"/>
      <c r="H357" s="1019" t="n"/>
      <c r="I357" s="1019" t="n"/>
      <c r="J357" s="1019" t="n"/>
      <c r="K357" s="1019" t="n"/>
      <c r="L357" s="1019" t="n"/>
      <c r="M357" s="1019" t="n"/>
      <c r="N357" s="1019" t="n"/>
      <c r="O357" s="1019" t="n"/>
      <c r="P357" s="1019" t="n"/>
      <c r="Q357" s="1019" t="n"/>
      <c r="R357" s="1019" t="n"/>
      <c r="S357" s="1019" t="n"/>
      <c r="T357" s="1019" t="n"/>
      <c r="U357" s="1019" t="n"/>
      <c r="V357" s="1019" t="n"/>
      <c r="W357" s="1019" t="n"/>
      <c r="X357" s="1019" t="n"/>
      <c r="Y357" s="1019" t="n"/>
      <c r="Z357" s="1019" t="n"/>
      <c r="AA357" s="722" t="n"/>
      <c r="AB357" s="722" t="n"/>
      <c r="AC357" s="722" t="n"/>
    </row>
    <row r="358" ht="27" customHeight="1">
      <c r="A358" s="63" t="inlineStr">
        <is>
          <t>SU004103</t>
        </is>
      </c>
      <c r="B358" s="63" t="inlineStr">
        <is>
          <t>P005360</t>
        </is>
      </c>
      <c r="C358" s="36" t="n">
        <v>4301012324</v>
      </c>
      <c r="D358" s="723" t="n">
        <v>4680115887947</v>
      </c>
      <c r="E358" s="1031" t="n"/>
      <c r="F358" s="1070" t="n">
        <v>1.3</v>
      </c>
      <c r="G358" s="37" t="n">
        <v>6</v>
      </c>
      <c r="H358" s="1070" t="n">
        <v>7.8</v>
      </c>
      <c r="I358" s="1070" t="n">
        <v>8.210000000000001</v>
      </c>
      <c r="J358" s="37" t="n">
        <v>64</v>
      </c>
      <c r="K358" s="37" t="inlineStr">
        <is>
          <t>8</t>
        </is>
      </c>
      <c r="L358" s="37" t="inlineStr"/>
      <c r="M358" s="38" t="inlineStr">
        <is>
          <t>СК3</t>
        </is>
      </c>
      <c r="N358" s="38" t="n"/>
      <c r="O358" s="37" t="n">
        <v>60</v>
      </c>
      <c r="P358" s="1264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58" s="1072" t="n"/>
      <c r="R358" s="1072" t="n"/>
      <c r="S358" s="1072" t="n"/>
      <c r="T358" s="1073" t="n"/>
      <c r="U358" s="39" t="inlineStr"/>
      <c r="V358" s="39" t="inlineStr"/>
      <c r="W358" s="40" t="inlineStr">
        <is>
          <t>кг</t>
        </is>
      </c>
      <c r="X358" s="1074" t="n">
        <v>50</v>
      </c>
      <c r="Y358" s="1075">
        <f>IFERROR(IF(X358="",0,CEILING((X358/$H358),1)*$H358),"")</f>
        <v/>
      </c>
      <c r="Z358" s="41">
        <f>IFERROR(IF(Y358=0,"",ROUNDUP(Y358/H358,0)*0.01898),"")</f>
        <v/>
      </c>
      <c r="AA358" s="68" t="inlineStr"/>
      <c r="AB358" s="69" t="inlineStr"/>
      <c r="AC358" s="456" t="inlineStr">
        <is>
          <t>ЕАЭС N RU Д-RU.РА11.В.91964/25</t>
        </is>
      </c>
      <c r="AG358" s="78" t="n"/>
      <c r="AJ358" s="84" t="inlineStr"/>
      <c r="AK358" s="84" t="n">
        <v>0</v>
      </c>
      <c r="BB358" s="457" t="inlineStr">
        <is>
          <t>КИ</t>
        </is>
      </c>
      <c r="BM358" s="78">
        <f>IFERROR(X358*I358/H358,"0")</f>
        <v/>
      </c>
      <c r="BN358" s="78">
        <f>IFERROR(Y358*I358/H358,"0")</f>
        <v/>
      </c>
      <c r="BO358" s="78">
        <f>IFERROR(1/J358*(X358/H358),"0")</f>
        <v/>
      </c>
      <c r="BP358" s="78">
        <f>IFERROR(1/J358*(Y358/H358),"0")</f>
        <v/>
      </c>
    </row>
    <row r="359" ht="27" customHeight="1">
      <c r="A359" s="63" t="inlineStr">
        <is>
          <t>SU004104</t>
        </is>
      </c>
      <c r="B359" s="63" t="inlineStr">
        <is>
          <t>P005361</t>
        </is>
      </c>
      <c r="C359" s="36" t="n">
        <v>4301012325</v>
      </c>
      <c r="D359" s="723" t="n">
        <v>4680115887978</v>
      </c>
      <c r="E359" s="1031" t="n"/>
      <c r="F359" s="1070" t="n">
        <v>1.3</v>
      </c>
      <c r="G359" s="37" t="n">
        <v>6</v>
      </c>
      <c r="H359" s="1070" t="n">
        <v>7.8</v>
      </c>
      <c r="I359" s="1070" t="n">
        <v>8.210000000000001</v>
      </c>
      <c r="J359" s="37" t="n">
        <v>64</v>
      </c>
      <c r="K359" s="37" t="inlineStr">
        <is>
          <t>8</t>
        </is>
      </c>
      <c r="L359" s="37" t="inlineStr"/>
      <c r="M359" s="38" t="inlineStr">
        <is>
          <t>СК3</t>
        </is>
      </c>
      <c r="N359" s="38" t="n"/>
      <c r="O359" s="37" t="n">
        <v>60</v>
      </c>
      <c r="P359" s="1265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59" s="1072" t="n"/>
      <c r="R359" s="1072" t="n"/>
      <c r="S359" s="1072" t="n"/>
      <c r="T359" s="1073" t="n"/>
      <c r="U359" s="39" t="inlineStr"/>
      <c r="V359" s="39" t="inlineStr"/>
      <c r="W359" s="40" t="inlineStr">
        <is>
          <t>кг</t>
        </is>
      </c>
      <c r="X359" s="1074" t="n">
        <v>0</v>
      </c>
      <c r="Y359" s="1075">
        <f>IFERROR(IF(X359="",0,CEILING((X359/$H359),1)*$H359),"")</f>
        <v/>
      </c>
      <c r="Z359" s="41">
        <f>IFERROR(IF(Y359=0,"",ROUNDUP(Y359/H359,0)*0.01898),"")</f>
        <v/>
      </c>
      <c r="AA359" s="68" t="inlineStr"/>
      <c r="AB359" s="69" t="inlineStr"/>
      <c r="AC359" s="458" t="inlineStr">
        <is>
          <t>ЕАЭС N RU Д-RU.РА01.В.82649/26</t>
        </is>
      </c>
      <c r="AG359" s="78" t="n"/>
      <c r="AJ359" s="84" t="inlineStr"/>
      <c r="AK359" s="84" t="n">
        <v>0</v>
      </c>
      <c r="BB359" s="459" t="inlineStr">
        <is>
          <t>КИ</t>
        </is>
      </c>
      <c r="BM359" s="78">
        <f>IFERROR(X359*I359/H359,"0")</f>
        <v/>
      </c>
      <c r="BN359" s="78">
        <f>IFERROR(Y359*I359/H359,"0")</f>
        <v/>
      </c>
      <c r="BO359" s="78">
        <f>IFERROR(1/J359*(X359/H359),"0")</f>
        <v/>
      </c>
      <c r="BP359" s="78">
        <f>IFERROR(1/J359*(Y359/H359),"0")</f>
        <v/>
      </c>
    </row>
    <row r="360" ht="27" customHeight="1">
      <c r="A360" s="63" t="inlineStr">
        <is>
          <t>SU004106</t>
        </is>
      </c>
      <c r="B360" s="63" t="inlineStr">
        <is>
          <t>P005363</t>
        </is>
      </c>
      <c r="C360" s="36" t="n">
        <v>4301012327</v>
      </c>
      <c r="D360" s="723" t="n">
        <v>4680115887992</v>
      </c>
      <c r="E360" s="1031" t="n"/>
      <c r="F360" s="1070" t="n">
        <v>1.3</v>
      </c>
      <c r="G360" s="37" t="n">
        <v>6</v>
      </c>
      <c r="H360" s="1070" t="n">
        <v>7.8</v>
      </c>
      <c r="I360" s="1070" t="n">
        <v>8.210000000000001</v>
      </c>
      <c r="J360" s="37" t="n">
        <v>64</v>
      </c>
      <c r="K360" s="37" t="inlineStr">
        <is>
          <t>8</t>
        </is>
      </c>
      <c r="L360" s="37" t="inlineStr"/>
      <c r="M360" s="38" t="inlineStr">
        <is>
          <t>СК3</t>
        </is>
      </c>
      <c r="N360" s="38" t="n"/>
      <c r="O360" s="37" t="n">
        <v>60</v>
      </c>
      <c r="P360" s="1266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60" s="1072" t="n"/>
      <c r="R360" s="1072" t="n"/>
      <c r="S360" s="1072" t="n"/>
      <c r="T360" s="1073" t="n"/>
      <c r="U360" s="39" t="inlineStr"/>
      <c r="V360" s="39" t="inlineStr"/>
      <c r="W360" s="40" t="inlineStr">
        <is>
          <t>кг</t>
        </is>
      </c>
      <c r="X360" s="1074" t="n">
        <v>0</v>
      </c>
      <c r="Y360" s="1075">
        <f>IFERROR(IF(X360="",0,CEILING((X360/$H360),1)*$H360),"")</f>
        <v/>
      </c>
      <c r="Z360" s="41">
        <f>IFERROR(IF(Y360=0,"",ROUNDUP(Y360/H360,0)*0.01898),"")</f>
        <v/>
      </c>
      <c r="AA360" s="68" t="inlineStr"/>
      <c r="AB360" s="69" t="inlineStr"/>
      <c r="AC360" s="460" t="inlineStr">
        <is>
          <t>ЕАЭС N RU Д-RU.РА11.В.91844/25</t>
        </is>
      </c>
      <c r="AG360" s="78" t="n"/>
      <c r="AJ360" s="84" t="inlineStr"/>
      <c r="AK360" s="84" t="n">
        <v>0</v>
      </c>
      <c r="BB360" s="461" t="inlineStr">
        <is>
          <t>КИ</t>
        </is>
      </c>
      <c r="BM360" s="78">
        <f>IFERROR(X360*I360/H360,"0")</f>
        <v/>
      </c>
      <c r="BN360" s="78">
        <f>IFERROR(Y360*I360/H360,"0")</f>
        <v/>
      </c>
      <c r="BO360" s="78">
        <f>IFERROR(1/J360*(X360/H360),"0")</f>
        <v/>
      </c>
      <c r="BP360" s="78">
        <f>IFERROR(1/J360*(Y360/H360),"0")</f>
        <v/>
      </c>
    </row>
    <row r="361">
      <c r="A361" s="732" t="n"/>
      <c r="B361" s="1019" t="n"/>
      <c r="C361" s="1019" t="n"/>
      <c r="D361" s="1019" t="n"/>
      <c r="E361" s="1019" t="n"/>
      <c r="F361" s="1019" t="n"/>
      <c r="G361" s="1019" t="n"/>
      <c r="H361" s="1019" t="n"/>
      <c r="I361" s="1019" t="n"/>
      <c r="J361" s="1019" t="n"/>
      <c r="K361" s="1019" t="n"/>
      <c r="L361" s="1019" t="n"/>
      <c r="M361" s="1019" t="n"/>
      <c r="N361" s="1019" t="n"/>
      <c r="O361" s="1077" t="n"/>
      <c r="P361" s="1078" t="inlineStr">
        <is>
          <t>Итого</t>
        </is>
      </c>
      <c r="Q361" s="1039" t="n"/>
      <c r="R361" s="1039" t="n"/>
      <c r="S361" s="1039" t="n"/>
      <c r="T361" s="1039" t="n"/>
      <c r="U361" s="1039" t="n"/>
      <c r="V361" s="1040" t="n"/>
      <c r="W361" s="42" t="inlineStr">
        <is>
          <t>кор</t>
        </is>
      </c>
      <c r="X361" s="1079">
        <f>IFERROR(X358/H358,"0")+IFERROR(X359/H359,"0")+IFERROR(X360/H360,"0")</f>
        <v/>
      </c>
      <c r="Y361" s="1079">
        <f>IFERROR(Y358/H358,"0")+IFERROR(Y359/H359,"0")+IFERROR(Y360/H360,"0")</f>
        <v/>
      </c>
      <c r="Z361" s="1079">
        <f>IFERROR(IF(Z358="",0,Z358),"0")+IFERROR(IF(Z359="",0,Z359),"0")+IFERROR(IF(Z360="",0,Z360),"0")</f>
        <v/>
      </c>
      <c r="AA361" s="1080" t="n"/>
      <c r="AB361" s="1080" t="n"/>
      <c r="AC361" s="1080" t="n"/>
    </row>
    <row r="362">
      <c r="A362" s="1019" t="n"/>
      <c r="B362" s="1019" t="n"/>
      <c r="C362" s="1019" t="n"/>
      <c r="D362" s="1019" t="n"/>
      <c r="E362" s="1019" t="n"/>
      <c r="F362" s="1019" t="n"/>
      <c r="G362" s="1019" t="n"/>
      <c r="H362" s="1019" t="n"/>
      <c r="I362" s="1019" t="n"/>
      <c r="J362" s="1019" t="n"/>
      <c r="K362" s="1019" t="n"/>
      <c r="L362" s="1019" t="n"/>
      <c r="M362" s="1019" t="n"/>
      <c r="N362" s="1019" t="n"/>
      <c r="O362" s="1077" t="n"/>
      <c r="P362" s="1078" t="inlineStr">
        <is>
          <t>Итого</t>
        </is>
      </c>
      <c r="Q362" s="1039" t="n"/>
      <c r="R362" s="1039" t="n"/>
      <c r="S362" s="1039" t="n"/>
      <c r="T362" s="1039" t="n"/>
      <c r="U362" s="1039" t="n"/>
      <c r="V362" s="1040" t="n"/>
      <c r="W362" s="42" t="inlineStr">
        <is>
          <t>кг</t>
        </is>
      </c>
      <c r="X362" s="1079">
        <f>IFERROR(SUM(X358:X360),"0")</f>
        <v/>
      </c>
      <c r="Y362" s="1079">
        <f>IFERROR(SUM(Y358:Y360),"0")</f>
        <v/>
      </c>
      <c r="Z362" s="42" t="n"/>
      <c r="AA362" s="1080" t="n"/>
      <c r="AB362" s="1080" t="n"/>
      <c r="AC362" s="1080" t="n"/>
    </row>
    <row r="363" ht="16.5" customHeight="1">
      <c r="A363" s="721" t="inlineStr">
        <is>
          <t>Бордо</t>
        </is>
      </c>
      <c r="B363" s="1019" t="n"/>
      <c r="C363" s="1019" t="n"/>
      <c r="D363" s="1019" t="n"/>
      <c r="E363" s="1019" t="n"/>
      <c r="F363" s="1019" t="n"/>
      <c r="G363" s="1019" t="n"/>
      <c r="H363" s="1019" t="n"/>
      <c r="I363" s="1019" t="n"/>
      <c r="J363" s="1019" t="n"/>
      <c r="K363" s="1019" t="n"/>
      <c r="L363" s="1019" t="n"/>
      <c r="M363" s="1019" t="n"/>
      <c r="N363" s="1019" t="n"/>
      <c r="O363" s="1019" t="n"/>
      <c r="P363" s="1019" t="n"/>
      <c r="Q363" s="1019" t="n"/>
      <c r="R363" s="1019" t="n"/>
      <c r="S363" s="1019" t="n"/>
      <c r="T363" s="1019" t="n"/>
      <c r="U363" s="1019" t="n"/>
      <c r="V363" s="1019" t="n"/>
      <c r="W363" s="1019" t="n"/>
      <c r="X363" s="1019" t="n"/>
      <c r="Y363" s="1019" t="n"/>
      <c r="Z363" s="1019" t="n"/>
      <c r="AA363" s="721" t="n"/>
      <c r="AB363" s="721" t="n"/>
      <c r="AC363" s="721" t="n"/>
    </row>
    <row r="364" ht="14.25" customHeight="1">
      <c r="A364" s="722" t="inlineStr">
        <is>
          <t>Вареные колбасы</t>
        </is>
      </c>
      <c r="B364" s="1019" t="n"/>
      <c r="C364" s="1019" t="n"/>
      <c r="D364" s="1019" t="n"/>
      <c r="E364" s="1019" t="n"/>
      <c r="F364" s="1019" t="n"/>
      <c r="G364" s="1019" t="n"/>
      <c r="H364" s="1019" t="n"/>
      <c r="I364" s="1019" t="n"/>
      <c r="J364" s="1019" t="n"/>
      <c r="K364" s="1019" t="n"/>
      <c r="L364" s="1019" t="n"/>
      <c r="M364" s="1019" t="n"/>
      <c r="N364" s="1019" t="n"/>
      <c r="O364" s="1019" t="n"/>
      <c r="P364" s="1019" t="n"/>
      <c r="Q364" s="1019" t="n"/>
      <c r="R364" s="1019" t="n"/>
      <c r="S364" s="1019" t="n"/>
      <c r="T364" s="1019" t="n"/>
      <c r="U364" s="1019" t="n"/>
      <c r="V364" s="1019" t="n"/>
      <c r="W364" s="1019" t="n"/>
      <c r="X364" s="1019" t="n"/>
      <c r="Y364" s="1019" t="n"/>
      <c r="Z364" s="1019" t="n"/>
      <c r="AA364" s="722" t="n"/>
      <c r="AB364" s="722" t="n"/>
      <c r="AC364" s="722" t="n"/>
    </row>
    <row r="365" ht="27" customHeight="1">
      <c r="A365" s="63" t="inlineStr">
        <is>
          <t>SU004332</t>
        </is>
      </c>
      <c r="B365" s="63" t="inlineStr">
        <is>
          <t>P005680</t>
        </is>
      </c>
      <c r="C365" s="36" t="n">
        <v>4301012400</v>
      </c>
      <c r="D365" s="723" t="n">
        <v>4680115889880</v>
      </c>
      <c r="E365" s="1031" t="n"/>
      <c r="F365" s="1070" t="n">
        <v>1.35</v>
      </c>
      <c r="G365" s="37" t="n">
        <v>8</v>
      </c>
      <c r="H365" s="1070" t="n">
        <v>10.8</v>
      </c>
      <c r="I365" s="1070" t="n">
        <v>11.21</v>
      </c>
      <c r="J365" s="37" t="n">
        <v>64</v>
      </c>
      <c r="K365" s="37" t="inlineStr">
        <is>
          <t>8</t>
        </is>
      </c>
      <c r="L365" s="37" t="inlineStr"/>
      <c r="M365" s="38" t="inlineStr">
        <is>
          <t>СК1</t>
        </is>
      </c>
      <c r="N365" s="38" t="n"/>
      <c r="O365" s="37" t="n">
        <v>55</v>
      </c>
      <c r="P365" s="1267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/>
      </c>
      <c r="Q365" s="1072" t="n"/>
      <c r="R365" s="1072" t="n"/>
      <c r="S365" s="1072" t="n"/>
      <c r="T365" s="1073" t="n"/>
      <c r="U365" s="39" t="inlineStr"/>
      <c r="V365" s="39" t="inlineStr"/>
      <c r="W365" s="40" t="inlineStr">
        <is>
          <t>кг</t>
        </is>
      </c>
      <c r="X365" s="1074" t="n">
        <v>0</v>
      </c>
      <c r="Y365" s="1075">
        <f>IFERROR(IF(X365="",0,CEILING((X365/$H365),1)*$H365),"")</f>
        <v/>
      </c>
      <c r="Z365" s="41">
        <f>IFERROR(IF(Y365=0,"",ROUNDUP(Y365/H365,0)*0.01898),"")</f>
        <v/>
      </c>
      <c r="AA365" s="68" t="inlineStr"/>
      <c r="AB365" s="69" t="inlineStr">
        <is>
          <t>Новинка</t>
        </is>
      </c>
      <c r="AC365" s="462" t="inlineStr">
        <is>
          <t>ЕАЭС N RU Д-RU.РА09.В.48164/25</t>
        </is>
      </c>
      <c r="AG365" s="78" t="n"/>
      <c r="AJ365" s="84" t="inlineStr"/>
      <c r="AK365" s="84" t="n">
        <v>0</v>
      </c>
      <c r="BB365" s="463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SU004265</t>
        </is>
      </c>
      <c r="B366" s="63" t="inlineStr">
        <is>
          <t>P005542</t>
        </is>
      </c>
      <c r="C366" s="36" t="n">
        <v>4301012360</v>
      </c>
      <c r="D366" s="723" t="n">
        <v>4680115889293</v>
      </c>
      <c r="E366" s="1031" t="n"/>
      <c r="F366" s="1070" t="n">
        <v>1.35</v>
      </c>
      <c r="G366" s="37" t="n">
        <v>8</v>
      </c>
      <c r="H366" s="1070" t="n">
        <v>10.8</v>
      </c>
      <c r="I366" s="1070" t="n">
        <v>11.21</v>
      </c>
      <c r="J366" s="37" t="n">
        <v>64</v>
      </c>
      <c r="K366" s="37" t="inlineStr">
        <is>
          <t>8</t>
        </is>
      </c>
      <c r="L366" s="37" t="inlineStr"/>
      <c r="M366" s="38" t="inlineStr">
        <is>
          <t>СК1</t>
        </is>
      </c>
      <c r="N366" s="38" t="n"/>
      <c r="O366" s="37" t="n">
        <v>55</v>
      </c>
      <c r="P366" s="1268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/>
      </c>
      <c r="Q366" s="1072" t="n"/>
      <c r="R366" s="1072" t="n"/>
      <c r="S366" s="1072" t="n"/>
      <c r="T366" s="1073" t="n"/>
      <c r="U366" s="39" t="inlineStr"/>
      <c r="V366" s="39" t="inlineStr"/>
      <c r="W366" s="40" t="inlineStr">
        <is>
          <t>кг</t>
        </is>
      </c>
      <c r="X366" s="1074" t="n">
        <v>0</v>
      </c>
      <c r="Y366" s="1075">
        <f>IFERROR(IF(X366="",0,CEILING((X366/$H366),1)*$H366),"")</f>
        <v/>
      </c>
      <c r="Z366" s="41">
        <f>IFERROR(IF(Y366=0,"",ROUNDUP(Y366/H366,0)*0.01898),"")</f>
        <v/>
      </c>
      <c r="AA366" s="68" t="inlineStr"/>
      <c r="AB366" s="69" t="inlineStr"/>
      <c r="AC366" s="464" t="inlineStr">
        <is>
          <t>ЕАЭС N RU Д-RU.РА05.В.11279/26</t>
        </is>
      </c>
      <c r="AG366" s="78" t="n"/>
      <c r="AJ366" s="84" t="inlineStr"/>
      <c r="AK366" s="84" t="n">
        <v>0</v>
      </c>
      <c r="BB366" s="465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SU004009</t>
        </is>
      </c>
      <c r="B367" s="63" t="inlineStr">
        <is>
          <t>P005138</t>
        </is>
      </c>
      <c r="C367" s="36" t="n">
        <v>4301012235</v>
      </c>
      <c r="D367" s="723" t="n">
        <v>4680115887190</v>
      </c>
      <c r="E367" s="1031" t="n"/>
      <c r="F367" s="1070" t="n">
        <v>1.35</v>
      </c>
      <c r="G367" s="37" t="n">
        <v>8</v>
      </c>
      <c r="H367" s="1070" t="n">
        <v>10.8</v>
      </c>
      <c r="I367" s="1070" t="n">
        <v>11.21</v>
      </c>
      <c r="J367" s="37" t="n">
        <v>64</v>
      </c>
      <c r="K367" s="37" t="inlineStr">
        <is>
          <t>8</t>
        </is>
      </c>
      <c r="L367" s="37" t="inlineStr"/>
      <c r="M367" s="38" t="inlineStr">
        <is>
          <t>СК1</t>
        </is>
      </c>
      <c r="N367" s="38" t="n"/>
      <c r="O367" s="37" t="n">
        <v>55</v>
      </c>
      <c r="P367" s="1269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67" s="1072" t="n"/>
      <c r="R367" s="1072" t="n"/>
      <c r="S367" s="1072" t="n"/>
      <c r="T367" s="1073" t="n"/>
      <c r="U367" s="39" t="inlineStr"/>
      <c r="V367" s="39" t="inlineStr"/>
      <c r="W367" s="40" t="inlineStr">
        <is>
          <t>кг</t>
        </is>
      </c>
      <c r="X367" s="1074" t="n">
        <v>0</v>
      </c>
      <c r="Y367" s="1075">
        <f>IFERROR(IF(X367="",0,CEILING((X367/$H367),1)*$H367),"")</f>
        <v/>
      </c>
      <c r="Z367" s="41">
        <f>IFERROR(IF(Y367=0,"",ROUNDUP(Y367/H367,0)*0.01898),"")</f>
        <v/>
      </c>
      <c r="AA367" s="68" t="inlineStr"/>
      <c r="AB367" s="69" t="inlineStr"/>
      <c r="AC367" s="466" t="inlineStr">
        <is>
          <t>ЕАЭС N RU Д-RU.РА09.В.01730/25</t>
        </is>
      </c>
      <c r="AG367" s="78" t="n"/>
      <c r="AJ367" s="84" t="inlineStr"/>
      <c r="AK367" s="84" t="n">
        <v>0</v>
      </c>
      <c r="BB367" s="467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 ht="37.5" customHeight="1">
      <c r="A368" s="63" t="inlineStr">
        <is>
          <t>SU004007</t>
        </is>
      </c>
      <c r="B368" s="63" t="inlineStr">
        <is>
          <t>P005136</t>
        </is>
      </c>
      <c r="C368" s="36" t="n">
        <v>4301012233</v>
      </c>
      <c r="D368" s="723" t="n">
        <v>4680115887138</v>
      </c>
      <c r="E368" s="1031" t="n"/>
      <c r="F368" s="1070" t="n">
        <v>1.35</v>
      </c>
      <c r="G368" s="37" t="n">
        <v>8</v>
      </c>
      <c r="H368" s="1070" t="n">
        <v>10.8</v>
      </c>
      <c r="I368" s="1070" t="n">
        <v>11.21</v>
      </c>
      <c r="J368" s="37" t="n">
        <v>64</v>
      </c>
      <c r="K368" s="37" t="inlineStr">
        <is>
          <t>8</t>
        </is>
      </c>
      <c r="L368" s="37" t="inlineStr"/>
      <c r="M368" s="38" t="inlineStr">
        <is>
          <t>СК1</t>
        </is>
      </c>
      <c r="N368" s="38" t="n"/>
      <c r="O368" s="37" t="n">
        <v>55</v>
      </c>
      <c r="P368" s="1270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68" s="1072" t="n"/>
      <c r="R368" s="1072" t="n"/>
      <c r="S368" s="1072" t="n"/>
      <c r="T368" s="1073" t="n"/>
      <c r="U368" s="39" t="inlineStr"/>
      <c r="V368" s="39" t="inlineStr"/>
      <c r="W368" s="40" t="inlineStr">
        <is>
          <t>кг</t>
        </is>
      </c>
      <c r="X368" s="1074" t="n">
        <v>0</v>
      </c>
      <c r="Y368" s="1075">
        <f>IFERROR(IF(X368="",0,CEILING((X368/$H368),1)*$H368),"")</f>
        <v/>
      </c>
      <c r="Z368" s="41">
        <f>IFERROR(IF(Y368=0,"",ROUNDUP(Y368/H368,0)*0.01898),"")</f>
        <v/>
      </c>
      <c r="AA368" s="68" t="inlineStr"/>
      <c r="AB368" s="69" t="inlineStr"/>
      <c r="AC368" s="468" t="inlineStr">
        <is>
          <t>ЕАЭС N RU Д-RU.РА09.В.02072/25</t>
        </is>
      </c>
      <c r="AG368" s="78" t="n"/>
      <c r="AJ368" s="84" t="inlineStr"/>
      <c r="AK368" s="84" t="n">
        <v>0</v>
      </c>
      <c r="BB368" s="469" t="inlineStr">
        <is>
          <t>КИ</t>
        </is>
      </c>
      <c r="BM368" s="78">
        <f>IFERROR(X368*I368/H368,"0")</f>
        <v/>
      </c>
      <c r="BN368" s="78">
        <f>IFERROR(Y368*I368/H368,"0")</f>
        <v/>
      </c>
      <c r="BO368" s="78">
        <f>IFERROR(1/J368*(X368/H368),"0")</f>
        <v/>
      </c>
      <c r="BP368" s="78">
        <f>IFERROR(1/J368*(Y368/H368),"0")</f>
        <v/>
      </c>
    </row>
    <row r="369" ht="27" customHeight="1">
      <c r="A369" s="63" t="inlineStr">
        <is>
          <t>SU003392</t>
        </is>
      </c>
      <c r="B369" s="63" t="inlineStr">
        <is>
          <t>P004210</t>
        </is>
      </c>
      <c r="C369" s="36" t="n">
        <v>4301012016</v>
      </c>
      <c r="D369" s="723" t="n">
        <v>4680115885554</v>
      </c>
      <c r="E369" s="1031" t="n"/>
      <c r="F369" s="1070" t="n">
        <v>1.35</v>
      </c>
      <c r="G369" s="37" t="n">
        <v>8</v>
      </c>
      <c r="H369" s="1070" t="n">
        <v>10.8</v>
      </c>
      <c r="I369" s="1070" t="n">
        <v>11.21</v>
      </c>
      <c r="J369" s="37" t="n">
        <v>64</v>
      </c>
      <c r="K369" s="37" t="inlineStr">
        <is>
          <t>8</t>
        </is>
      </c>
      <c r="L369" s="37" t="inlineStr"/>
      <c r="M369" s="38" t="inlineStr">
        <is>
          <t>СК3</t>
        </is>
      </c>
      <c r="N369" s="38" t="n"/>
      <c r="O369" s="37" t="n">
        <v>55</v>
      </c>
      <c r="P369" s="1271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69" s="1072" t="n"/>
      <c r="R369" s="1072" t="n"/>
      <c r="S369" s="1072" t="n"/>
      <c r="T369" s="1073" t="n"/>
      <c r="U369" s="39" t="inlineStr"/>
      <c r="V369" s="39" t="inlineStr"/>
      <c r="W369" s="40" t="inlineStr">
        <is>
          <t>кг</t>
        </is>
      </c>
      <c r="X369" s="1074" t="n">
        <v>0</v>
      </c>
      <c r="Y369" s="1075">
        <f>IFERROR(IF(X369="",0,CEILING((X369/$H369),1)*$H369),"")</f>
        <v/>
      </c>
      <c r="Z369" s="41">
        <f>IFERROR(IF(Y369=0,"",ROUNDUP(Y369/H369,0)*0.01898),"")</f>
        <v/>
      </c>
      <c r="AA369" s="68" t="inlineStr"/>
      <c r="AB369" s="69" t="inlineStr"/>
      <c r="AC369" s="470" t="inlineStr">
        <is>
          <t>ЕАЭС N RU Д-RU.РА01.В.51811/26, ЕАЭС N RU Д-RU.РА02.В.98175/26</t>
        </is>
      </c>
      <c r="AG369" s="78" t="n"/>
      <c r="AJ369" s="84" t="inlineStr"/>
      <c r="AK369" s="84" t="n">
        <v>0</v>
      </c>
      <c r="BB369" s="471" t="inlineStr">
        <is>
          <t>КИ</t>
        </is>
      </c>
      <c r="BM369" s="78">
        <f>IFERROR(X369*I369/H369,"0")</f>
        <v/>
      </c>
      <c r="BN369" s="78">
        <f>IFERROR(Y369*I369/H369,"0")</f>
        <v/>
      </c>
      <c r="BO369" s="78">
        <f>IFERROR(1/J369*(X369/H369),"0")</f>
        <v/>
      </c>
      <c r="BP369" s="78">
        <f>IFERROR(1/J369*(Y369/H369),"0")</f>
        <v/>
      </c>
    </row>
    <row r="370" ht="27" customHeight="1">
      <c r="A370" s="63" t="inlineStr">
        <is>
          <t>SU004010</t>
        </is>
      </c>
      <c r="B370" s="63" t="inlineStr">
        <is>
          <t>P005139</t>
        </is>
      </c>
      <c r="C370" s="36" t="n">
        <v>4301012236</v>
      </c>
      <c r="D370" s="723" t="n">
        <v>4680115887220</v>
      </c>
      <c r="E370" s="1031" t="n"/>
      <c r="F370" s="1070" t="n">
        <v>0.4</v>
      </c>
      <c r="G370" s="37" t="n">
        <v>10</v>
      </c>
      <c r="H370" s="1070" t="n">
        <v>4</v>
      </c>
      <c r="I370" s="1070" t="n">
        <v>4.19</v>
      </c>
      <c r="J370" s="37" t="n">
        <v>132</v>
      </c>
      <c r="K370" s="37" t="inlineStr">
        <is>
          <t>12</t>
        </is>
      </c>
      <c r="L370" s="37" t="inlineStr"/>
      <c r="M370" s="38" t="inlineStr">
        <is>
          <t>СК1</t>
        </is>
      </c>
      <c r="N370" s="38" t="n"/>
      <c r="O370" s="37" t="n">
        <v>55</v>
      </c>
      <c r="P370" s="1272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70" s="1072" t="n"/>
      <c r="R370" s="1072" t="n"/>
      <c r="S370" s="1072" t="n"/>
      <c r="T370" s="1073" t="n"/>
      <c r="U370" s="39" t="inlineStr"/>
      <c r="V370" s="39" t="inlineStr"/>
      <c r="W370" s="40" t="inlineStr">
        <is>
          <t>кг</t>
        </is>
      </c>
      <c r="X370" s="1074" t="n">
        <v>0</v>
      </c>
      <c r="Y370" s="1075">
        <f>IFERROR(IF(X370="",0,CEILING((X370/$H370),1)*$H370),"")</f>
        <v/>
      </c>
      <c r="Z370" s="41">
        <f>IFERROR(IF(Y370=0,"",ROUNDUP(Y370/H370,0)*0.00902),"")</f>
        <v/>
      </c>
      <c r="AA370" s="68" t="inlineStr"/>
      <c r="AB370" s="69" t="inlineStr"/>
      <c r="AC370" s="472" t="inlineStr">
        <is>
          <t>ЕАЭС N RU Д-RU.РА09.В.01730/25</t>
        </is>
      </c>
      <c r="AG370" s="78" t="n"/>
      <c r="AJ370" s="84" t="inlineStr"/>
      <c r="AK370" s="84" t="n">
        <v>0</v>
      </c>
      <c r="BB370" s="473" t="inlineStr">
        <is>
          <t>КИ</t>
        </is>
      </c>
      <c r="BM370" s="78">
        <f>IFERROR(X370*I370/H370,"0")</f>
        <v/>
      </c>
      <c r="BN370" s="78">
        <f>IFERROR(Y370*I370/H370,"0")</f>
        <v/>
      </c>
      <c r="BO370" s="78">
        <f>IFERROR(1/J370*(X370/H370),"0")</f>
        <v/>
      </c>
      <c r="BP370" s="78">
        <f>IFERROR(1/J370*(Y370/H370),"0")</f>
        <v/>
      </c>
    </row>
    <row r="371" ht="27" customHeight="1">
      <c r="A371" s="63" t="inlineStr">
        <is>
          <t>SU003393</t>
        </is>
      </c>
      <c r="B371" s="63" t="inlineStr">
        <is>
          <t>P004211</t>
        </is>
      </c>
      <c r="C371" s="36" t="n">
        <v>4301011859</v>
      </c>
      <c r="D371" s="723" t="n">
        <v>4680115885608</v>
      </c>
      <c r="E371" s="1031" t="n"/>
      <c r="F371" s="1070" t="n">
        <v>0.4</v>
      </c>
      <c r="G371" s="37" t="n">
        <v>10</v>
      </c>
      <c r="H371" s="1070" t="n">
        <v>4</v>
      </c>
      <c r="I371" s="1070" t="n">
        <v>4.19</v>
      </c>
      <c r="J371" s="37" t="n">
        <v>132</v>
      </c>
      <c r="K371" s="37" t="inlineStr">
        <is>
          <t>12</t>
        </is>
      </c>
      <c r="L371" s="37" t="inlineStr"/>
      <c r="M371" s="38" t="inlineStr">
        <is>
          <t>СК1</t>
        </is>
      </c>
      <c r="N371" s="38" t="n"/>
      <c r="O371" s="37" t="n">
        <v>55</v>
      </c>
      <c r="P371" s="1273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71" s="1072" t="n"/>
      <c r="R371" s="1072" t="n"/>
      <c r="S371" s="1072" t="n"/>
      <c r="T371" s="1073" t="n"/>
      <c r="U371" s="39" t="inlineStr"/>
      <c r="V371" s="39" t="inlineStr"/>
      <c r="W371" s="40" t="inlineStr">
        <is>
          <t>кг</t>
        </is>
      </c>
      <c r="X371" s="1074" t="n">
        <v>0</v>
      </c>
      <c r="Y371" s="1075">
        <f>IFERROR(IF(X371="",0,CEILING((X371/$H371),1)*$H371),"")</f>
        <v/>
      </c>
      <c r="Z371" s="41">
        <f>IFERROR(IF(Y371=0,"",ROUNDUP(Y371/H371,0)*0.00902),"")</f>
        <v/>
      </c>
      <c r="AA371" s="68" t="inlineStr"/>
      <c r="AB371" s="69" t="inlineStr"/>
      <c r="AC371" s="474" t="inlineStr">
        <is>
          <t>ЕАЭС N RU Д-RU.РА01.В.51811/26</t>
        </is>
      </c>
      <c r="AG371" s="78" t="n"/>
      <c r="AJ371" s="84" t="inlineStr"/>
      <c r="AK371" s="84" t="n">
        <v>0</v>
      </c>
      <c r="BB371" s="475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>
      <c r="A372" s="732" t="n"/>
      <c r="B372" s="1019" t="n"/>
      <c r="C372" s="1019" t="n"/>
      <c r="D372" s="1019" t="n"/>
      <c r="E372" s="1019" t="n"/>
      <c r="F372" s="1019" t="n"/>
      <c r="G372" s="1019" t="n"/>
      <c r="H372" s="1019" t="n"/>
      <c r="I372" s="1019" t="n"/>
      <c r="J372" s="1019" t="n"/>
      <c r="K372" s="1019" t="n"/>
      <c r="L372" s="1019" t="n"/>
      <c r="M372" s="1019" t="n"/>
      <c r="N372" s="1019" t="n"/>
      <c r="O372" s="1077" t="n"/>
      <c r="P372" s="1078" t="inlineStr">
        <is>
          <t>Итого</t>
        </is>
      </c>
      <c r="Q372" s="1039" t="n"/>
      <c r="R372" s="1039" t="n"/>
      <c r="S372" s="1039" t="n"/>
      <c r="T372" s="1039" t="n"/>
      <c r="U372" s="1039" t="n"/>
      <c r="V372" s="1040" t="n"/>
      <c r="W372" s="42" t="inlineStr">
        <is>
          <t>кор</t>
        </is>
      </c>
      <c r="X372" s="1079">
        <f>IFERROR(X365/H365,"0")+IFERROR(X366/H366,"0")+IFERROR(X367/H367,"0")+IFERROR(X368/H368,"0")+IFERROR(X369/H369,"0")+IFERROR(X370/H370,"0")+IFERROR(X371/H371,"0")</f>
        <v/>
      </c>
      <c r="Y372" s="1079">
        <f>IFERROR(Y365/H365,"0")+IFERROR(Y366/H366,"0")+IFERROR(Y367/H367,"0")+IFERROR(Y368/H368,"0")+IFERROR(Y369/H369,"0")+IFERROR(Y370/H370,"0")+IFERROR(Y371/H371,"0")</f>
        <v/>
      </c>
      <c r="Z372" s="1079">
        <f>IFERROR(IF(Z365="",0,Z365),"0")+IFERROR(IF(Z366="",0,Z366),"0")+IFERROR(IF(Z367="",0,Z367),"0")+IFERROR(IF(Z368="",0,Z368),"0")+IFERROR(IF(Z369="",0,Z369),"0")+IFERROR(IF(Z370="",0,Z370),"0")+IFERROR(IF(Z371="",0,Z371),"0")</f>
        <v/>
      </c>
      <c r="AA372" s="1080" t="n"/>
      <c r="AB372" s="1080" t="n"/>
      <c r="AC372" s="1080" t="n"/>
    </row>
    <row r="373">
      <c r="A373" s="1019" t="n"/>
      <c r="B373" s="1019" t="n"/>
      <c r="C373" s="1019" t="n"/>
      <c r="D373" s="1019" t="n"/>
      <c r="E373" s="1019" t="n"/>
      <c r="F373" s="1019" t="n"/>
      <c r="G373" s="1019" t="n"/>
      <c r="H373" s="1019" t="n"/>
      <c r="I373" s="1019" t="n"/>
      <c r="J373" s="1019" t="n"/>
      <c r="K373" s="1019" t="n"/>
      <c r="L373" s="1019" t="n"/>
      <c r="M373" s="1019" t="n"/>
      <c r="N373" s="1019" t="n"/>
      <c r="O373" s="1077" t="n"/>
      <c r="P373" s="1078" t="inlineStr">
        <is>
          <t>Итого</t>
        </is>
      </c>
      <c r="Q373" s="1039" t="n"/>
      <c r="R373" s="1039" t="n"/>
      <c r="S373" s="1039" t="n"/>
      <c r="T373" s="1039" t="n"/>
      <c r="U373" s="1039" t="n"/>
      <c r="V373" s="1040" t="n"/>
      <c r="W373" s="42" t="inlineStr">
        <is>
          <t>кг</t>
        </is>
      </c>
      <c r="X373" s="1079">
        <f>IFERROR(SUM(X365:X371),"0")</f>
        <v/>
      </c>
      <c r="Y373" s="1079">
        <f>IFERROR(SUM(Y365:Y371),"0")</f>
        <v/>
      </c>
      <c r="Z373" s="42" t="n"/>
      <c r="AA373" s="1080" t="n"/>
      <c r="AB373" s="1080" t="n"/>
      <c r="AC373" s="1080" t="n"/>
    </row>
    <row r="374" ht="14.25" customHeight="1">
      <c r="A374" s="722" t="inlineStr">
        <is>
          <t>Копченые колбасы</t>
        </is>
      </c>
      <c r="B374" s="1019" t="n"/>
      <c r="C374" s="1019" t="n"/>
      <c r="D374" s="1019" t="n"/>
      <c r="E374" s="1019" t="n"/>
      <c r="F374" s="1019" t="n"/>
      <c r="G374" s="1019" t="n"/>
      <c r="H374" s="1019" t="n"/>
      <c r="I374" s="1019" t="n"/>
      <c r="J374" s="1019" t="n"/>
      <c r="K374" s="1019" t="n"/>
      <c r="L374" s="1019" t="n"/>
      <c r="M374" s="1019" t="n"/>
      <c r="N374" s="1019" t="n"/>
      <c r="O374" s="1019" t="n"/>
      <c r="P374" s="1019" t="n"/>
      <c r="Q374" s="1019" t="n"/>
      <c r="R374" s="1019" t="n"/>
      <c r="S374" s="1019" t="n"/>
      <c r="T374" s="1019" t="n"/>
      <c r="U374" s="1019" t="n"/>
      <c r="V374" s="1019" t="n"/>
      <c r="W374" s="1019" t="n"/>
      <c r="X374" s="1019" t="n"/>
      <c r="Y374" s="1019" t="n"/>
      <c r="Z374" s="1019" t="n"/>
      <c r="AA374" s="722" t="n"/>
      <c r="AB374" s="722" t="n"/>
      <c r="AC374" s="722" t="n"/>
    </row>
    <row r="375" ht="27" customHeight="1">
      <c r="A375" s="63" t="inlineStr">
        <is>
          <t>SU001820</t>
        </is>
      </c>
      <c r="B375" s="63" t="inlineStr">
        <is>
          <t>P001820</t>
        </is>
      </c>
      <c r="C375" s="36" t="n">
        <v>4301030878</v>
      </c>
      <c r="D375" s="723" t="n">
        <v>4607091387193</v>
      </c>
      <c r="E375" s="1031" t="n"/>
      <c r="F375" s="1070" t="n">
        <v>0.7</v>
      </c>
      <c r="G375" s="37" t="n">
        <v>6</v>
      </c>
      <c r="H375" s="1070" t="n">
        <v>4.2</v>
      </c>
      <c r="I375" s="1070" t="n">
        <v>4.45</v>
      </c>
      <c r="J375" s="37" t="n">
        <v>132</v>
      </c>
      <c r="K375" s="37" t="inlineStr">
        <is>
          <t>12</t>
        </is>
      </c>
      <c r="L375" s="37" t="inlineStr"/>
      <c r="M375" s="38" t="inlineStr">
        <is>
          <t>СК2</t>
        </is>
      </c>
      <c r="N375" s="38" t="n"/>
      <c r="O375" s="37" t="n">
        <v>35</v>
      </c>
      <c r="P375" s="1274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75" s="1072" t="n"/>
      <c r="R375" s="1072" t="n"/>
      <c r="S375" s="1072" t="n"/>
      <c r="T375" s="1073" t="n"/>
      <c r="U375" s="39" t="inlineStr"/>
      <c r="V375" s="39" t="inlineStr"/>
      <c r="W375" s="40" t="inlineStr">
        <is>
          <t>кг</t>
        </is>
      </c>
      <c r="X375" s="1074" t="n">
        <v>0</v>
      </c>
      <c r="Y375" s="1075">
        <f>IFERROR(IF(X375="",0,CEILING((X375/$H375),1)*$H375),"")</f>
        <v/>
      </c>
      <c r="Z375" s="41">
        <f>IFERROR(IF(Y375=0,"",ROUNDUP(Y375/H375,0)*0.00902),"")</f>
        <v/>
      </c>
      <c r="AA375" s="68" t="inlineStr"/>
      <c r="AB375" s="69" t="inlineStr"/>
      <c r="AC375" s="476" t="inlineStr">
        <is>
          <t>ЕАЭС N RU Д-RU.РА01.В.54347/25</t>
        </is>
      </c>
      <c r="AG375" s="78" t="n"/>
      <c r="AJ375" s="84" t="inlineStr"/>
      <c r="AK375" s="84" t="n">
        <v>0</v>
      </c>
      <c r="BB375" s="477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 ht="27" customHeight="1">
      <c r="A376" s="63" t="inlineStr">
        <is>
          <t>SU001822</t>
        </is>
      </c>
      <c r="B376" s="63" t="inlineStr">
        <is>
          <t>P003013</t>
        </is>
      </c>
      <c r="C376" s="36" t="n">
        <v>4301031153</v>
      </c>
      <c r="D376" s="723" t="n">
        <v>4607091387230</v>
      </c>
      <c r="E376" s="1031" t="n"/>
      <c r="F376" s="1070" t="n">
        <v>0.7</v>
      </c>
      <c r="G376" s="37" t="n">
        <v>6</v>
      </c>
      <c r="H376" s="1070" t="n">
        <v>4.2</v>
      </c>
      <c r="I376" s="1070" t="n">
        <v>4.45</v>
      </c>
      <c r="J376" s="37" t="n">
        <v>132</v>
      </c>
      <c r="K376" s="37" t="inlineStr">
        <is>
          <t>12</t>
        </is>
      </c>
      <c r="L376" s="37" t="inlineStr"/>
      <c r="M376" s="38" t="inlineStr">
        <is>
          <t>СК2</t>
        </is>
      </c>
      <c r="N376" s="38" t="n"/>
      <c r="O376" s="37" t="n">
        <v>40</v>
      </c>
      <c r="P376" s="1275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76" s="1072" t="n"/>
      <c r="R376" s="1072" t="n"/>
      <c r="S376" s="1072" t="n"/>
      <c r="T376" s="1073" t="n"/>
      <c r="U376" s="39" t="inlineStr"/>
      <c r="V376" s="39" t="inlineStr"/>
      <c r="W376" s="40" t="inlineStr">
        <is>
          <t>кг</t>
        </is>
      </c>
      <c r="X376" s="1074" t="n">
        <v>0</v>
      </c>
      <c r="Y376" s="1075">
        <f>IFERROR(IF(X376="",0,CEILING((X376/$H376),1)*$H376),"")</f>
        <v/>
      </c>
      <c r="Z376" s="41">
        <f>IFERROR(IF(Y376=0,"",ROUNDUP(Y376/H376,0)*0.00902),"")</f>
        <v/>
      </c>
      <c r="AA376" s="68" t="inlineStr"/>
      <c r="AB376" s="69" t="inlineStr"/>
      <c r="AC376" s="478" t="inlineStr">
        <is>
          <t>ЕАЭС N RU Д-RU.РА02.В.50456/26</t>
        </is>
      </c>
      <c r="AG376" s="78" t="n"/>
      <c r="AJ376" s="84" t="inlineStr"/>
      <c r="AK376" s="84" t="n">
        <v>0</v>
      </c>
      <c r="BB376" s="479" t="inlineStr">
        <is>
          <t>КИ</t>
        </is>
      </c>
      <c r="BM376" s="78">
        <f>IFERROR(X376*I376/H376,"0")</f>
        <v/>
      </c>
      <c r="BN376" s="78">
        <f>IFERROR(Y376*I376/H376,"0")</f>
        <v/>
      </c>
      <c r="BO376" s="78">
        <f>IFERROR(1/J376*(X376/H376),"0")</f>
        <v/>
      </c>
      <c r="BP376" s="78">
        <f>IFERROR(1/J376*(Y376/H376),"0")</f>
        <v/>
      </c>
    </row>
    <row r="377" ht="27" customHeight="1">
      <c r="A377" s="63" t="inlineStr">
        <is>
          <t>SU001801</t>
        </is>
      </c>
      <c r="B377" s="63" t="inlineStr">
        <is>
          <t>P003014</t>
        </is>
      </c>
      <c r="C377" s="36" t="n">
        <v>4301031154</v>
      </c>
      <c r="D377" s="723" t="n">
        <v>4607091387292</v>
      </c>
      <c r="E377" s="1031" t="n"/>
      <c r="F377" s="1070" t="n">
        <v>0.73</v>
      </c>
      <c r="G377" s="37" t="n">
        <v>6</v>
      </c>
      <c r="H377" s="1070" t="n">
        <v>4.38</v>
      </c>
      <c r="I377" s="1070" t="n">
        <v>4.63</v>
      </c>
      <c r="J377" s="37" t="n">
        <v>132</v>
      </c>
      <c r="K377" s="37" t="inlineStr">
        <is>
          <t>12</t>
        </is>
      </c>
      <c r="L377" s="37" t="inlineStr"/>
      <c r="M377" s="38" t="inlineStr">
        <is>
          <t>СК2</t>
        </is>
      </c>
      <c r="N377" s="38" t="n"/>
      <c r="O377" s="37" t="n">
        <v>45</v>
      </c>
      <c r="P377" s="1276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77" s="1072" t="n"/>
      <c r="R377" s="1072" t="n"/>
      <c r="S377" s="1072" t="n"/>
      <c r="T377" s="1073" t="n"/>
      <c r="U377" s="39" t="inlineStr"/>
      <c r="V377" s="39" t="inlineStr"/>
      <c r="W377" s="40" t="inlineStr">
        <is>
          <t>кг</t>
        </is>
      </c>
      <c r="X377" s="1074" t="n">
        <v>0</v>
      </c>
      <c r="Y377" s="1075">
        <f>IFERROR(IF(X377="",0,CEILING((X377/$H377),1)*$H377),"")</f>
        <v/>
      </c>
      <c r="Z377" s="41">
        <f>IFERROR(IF(Y377=0,"",ROUNDUP(Y377/H377,0)*0.00902),"")</f>
        <v/>
      </c>
      <c r="AA377" s="68" t="inlineStr"/>
      <c r="AB377" s="69" t="inlineStr"/>
      <c r="AC377" s="480" t="inlineStr">
        <is>
          <t>ЕАЭС N RU Д-RU.РА08.В.55680/25</t>
        </is>
      </c>
      <c r="AG377" s="78" t="n"/>
      <c r="AJ377" s="84" t="inlineStr"/>
      <c r="AK377" s="84" t="n">
        <v>0</v>
      </c>
      <c r="BB377" s="481" t="inlineStr">
        <is>
          <t>КИ</t>
        </is>
      </c>
      <c r="BM377" s="78">
        <f>IFERROR(X377*I377/H377,"0")</f>
        <v/>
      </c>
      <c r="BN377" s="78">
        <f>IFERROR(Y377*I377/H377,"0")</f>
        <v/>
      </c>
      <c r="BO377" s="78">
        <f>IFERROR(1/J377*(X377/H377),"0")</f>
        <v/>
      </c>
      <c r="BP377" s="78">
        <f>IFERROR(1/J377*(Y377/H377),"0")</f>
        <v/>
      </c>
    </row>
    <row r="378" ht="27" customHeight="1">
      <c r="A378" s="63" t="inlineStr">
        <is>
          <t>SU002579</t>
        </is>
      </c>
      <c r="B378" s="63" t="inlineStr">
        <is>
          <t>P003012</t>
        </is>
      </c>
      <c r="C378" s="36" t="n">
        <v>4301031152</v>
      </c>
      <c r="D378" s="723" t="n">
        <v>4607091387285</v>
      </c>
      <c r="E378" s="1031" t="n"/>
      <c r="F378" s="1070" t="n">
        <v>0.35</v>
      </c>
      <c r="G378" s="37" t="n">
        <v>6</v>
      </c>
      <c r="H378" s="1070" t="n">
        <v>2.1</v>
      </c>
      <c r="I378" s="1070" t="n">
        <v>2.23</v>
      </c>
      <c r="J378" s="37" t="n">
        <v>234</v>
      </c>
      <c r="K378" s="37" t="inlineStr">
        <is>
          <t>18</t>
        </is>
      </c>
      <c r="L378" s="37" t="inlineStr"/>
      <c r="M378" s="38" t="inlineStr">
        <is>
          <t>СК2</t>
        </is>
      </c>
      <c r="N378" s="38" t="n"/>
      <c r="O378" s="37" t="n">
        <v>40</v>
      </c>
      <c r="P378" s="1277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78" s="1072" t="n"/>
      <c r="R378" s="1072" t="n"/>
      <c r="S378" s="1072" t="n"/>
      <c r="T378" s="1073" t="n"/>
      <c r="U378" s="39" t="inlineStr"/>
      <c r="V378" s="39" t="inlineStr"/>
      <c r="W378" s="40" t="inlineStr">
        <is>
          <t>кг</t>
        </is>
      </c>
      <c r="X378" s="1074" t="n">
        <v>0</v>
      </c>
      <c r="Y378" s="1075">
        <f>IFERROR(IF(X378="",0,CEILING((X378/$H378),1)*$H378),"")</f>
        <v/>
      </c>
      <c r="Z378" s="41">
        <f>IFERROR(IF(Y378=0,"",ROUNDUP(Y378/H378,0)*0.00502),"")</f>
        <v/>
      </c>
      <c r="AA378" s="68" t="inlineStr"/>
      <c r="AB378" s="69" t="inlineStr"/>
      <c r="AC378" s="482" t="inlineStr">
        <is>
          <t>ЕАЭС N RU Д-RU.РА02.В.50456/26</t>
        </is>
      </c>
      <c r="AG378" s="78" t="n"/>
      <c r="AJ378" s="84" t="inlineStr"/>
      <c r="AK378" s="84" t="n">
        <v>0</v>
      </c>
      <c r="BB378" s="483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27" customHeight="1">
      <c r="A379" s="63" t="inlineStr">
        <is>
          <t>SU002617</t>
        </is>
      </c>
      <c r="B379" s="63" t="inlineStr">
        <is>
          <t>P004229</t>
        </is>
      </c>
      <c r="C379" s="36" t="n">
        <v>4301031305</v>
      </c>
      <c r="D379" s="723" t="n">
        <v>4607091389845</v>
      </c>
      <c r="E379" s="1031" t="n"/>
      <c r="F379" s="1070" t="n">
        <v>0.35</v>
      </c>
      <c r="G379" s="37" t="n">
        <v>6</v>
      </c>
      <c r="H379" s="1070" t="n">
        <v>2.1</v>
      </c>
      <c r="I379" s="1070" t="n">
        <v>2.2</v>
      </c>
      <c r="J379" s="37" t="n">
        <v>234</v>
      </c>
      <c r="K379" s="37" t="inlineStr">
        <is>
          <t>18</t>
        </is>
      </c>
      <c r="L379" s="37" t="inlineStr"/>
      <c r="M379" s="38" t="inlineStr">
        <is>
          <t>СК2</t>
        </is>
      </c>
      <c r="N379" s="38" t="n"/>
      <c r="O379" s="37" t="n">
        <v>40</v>
      </c>
      <c r="P379" s="1278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79" s="1072" t="n"/>
      <c r="R379" s="1072" t="n"/>
      <c r="S379" s="1072" t="n"/>
      <c r="T379" s="1073" t="n"/>
      <c r="U379" s="39" t="inlineStr"/>
      <c r="V379" s="39" t="inlineStr"/>
      <c r="W379" s="40" t="inlineStr">
        <is>
          <t>кг</t>
        </is>
      </c>
      <c r="X379" s="1074" t="n">
        <v>0</v>
      </c>
      <c r="Y379" s="1075">
        <f>IFERROR(IF(X379="",0,CEILING((X379/$H379),1)*$H379),"")</f>
        <v/>
      </c>
      <c r="Z379" s="41">
        <f>IFERROR(IF(Y379=0,"",ROUNDUP(Y379/H379,0)*0.00502),"")</f>
        <v/>
      </c>
      <c r="AA379" s="68" t="inlineStr"/>
      <c r="AB379" s="69" t="inlineStr"/>
      <c r="AC379" s="484" t="inlineStr">
        <is>
          <t>ЕАЭС N RU Д-RU.РА01.В.23406/26</t>
        </is>
      </c>
      <c r="AG379" s="78" t="n"/>
      <c r="AJ379" s="84" t="inlineStr"/>
      <c r="AK379" s="84" t="n">
        <v>0</v>
      </c>
      <c r="BB379" s="485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27" customHeight="1">
      <c r="A380" s="63" t="inlineStr">
        <is>
          <t>SU004054</t>
        </is>
      </c>
      <c r="B380" s="63" t="inlineStr">
        <is>
          <t>P005197</t>
        </is>
      </c>
      <c r="C380" s="36" t="n">
        <v>4301031460</v>
      </c>
      <c r="D380" s="723" t="n">
        <v>4680115887442</v>
      </c>
      <c r="E380" s="1031" t="n"/>
      <c r="F380" s="1070" t="n">
        <v>0.73</v>
      </c>
      <c r="G380" s="37" t="n">
        <v>6</v>
      </c>
      <c r="H380" s="1070" t="n">
        <v>4.38</v>
      </c>
      <c r="I380" s="1070" t="n">
        <v>4.63</v>
      </c>
      <c r="J380" s="37" t="n">
        <v>132</v>
      </c>
      <c r="K380" s="37" t="inlineStr">
        <is>
          <t>12</t>
        </is>
      </c>
      <c r="L380" s="37" t="inlineStr"/>
      <c r="M380" s="38" t="inlineStr">
        <is>
          <t>СК2</t>
        </is>
      </c>
      <c r="N380" s="38" t="n"/>
      <c r="O380" s="37" t="n">
        <v>45</v>
      </c>
      <c r="P380" s="1279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80" s="1072" t="n"/>
      <c r="R380" s="1072" t="n"/>
      <c r="S380" s="1072" t="n"/>
      <c r="T380" s="1073" t="n"/>
      <c r="U380" s="39" t="inlineStr"/>
      <c r="V380" s="39" t="inlineStr"/>
      <c r="W380" s="40" t="inlineStr">
        <is>
          <t>кг</t>
        </is>
      </c>
      <c r="X380" s="1074" t="n">
        <v>0</v>
      </c>
      <c r="Y380" s="1075">
        <f>IFERROR(IF(X380="",0,CEILING((X380/$H380),1)*$H380),"")</f>
        <v/>
      </c>
      <c r="Z380" s="41">
        <f>IFERROR(IF(Y380=0,"",ROUNDUP(Y380/H380,0)*0.00902),"")</f>
        <v/>
      </c>
      <c r="AA380" s="68" t="inlineStr"/>
      <c r="AB380" s="69" t="inlineStr"/>
      <c r="AC380" s="486" t="inlineStr">
        <is>
          <t>ЕАЭС N RU Д-RU.РА08.В.55680/25</t>
        </is>
      </c>
      <c r="AG380" s="78" t="n"/>
      <c r="AJ380" s="84" t="inlineStr"/>
      <c r="AK380" s="84" t="n">
        <v>0</v>
      </c>
      <c r="BB380" s="487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 ht="27" customHeight="1">
      <c r="A381" s="63" t="inlineStr">
        <is>
          <t>SU002252</t>
        </is>
      </c>
      <c r="B381" s="63" t="inlineStr">
        <is>
          <t>P002461</t>
        </is>
      </c>
      <c r="C381" s="36" t="n">
        <v>4301031066</v>
      </c>
      <c r="D381" s="723" t="n">
        <v>4607091383836</v>
      </c>
      <c r="E381" s="1031" t="n"/>
      <c r="F381" s="1070" t="n">
        <v>0.3</v>
      </c>
      <c r="G381" s="37" t="n">
        <v>6</v>
      </c>
      <c r="H381" s="1070" t="n">
        <v>1.8</v>
      </c>
      <c r="I381" s="1070" t="n">
        <v>2.028</v>
      </c>
      <c r="J381" s="37" t="n">
        <v>182</v>
      </c>
      <c r="K381" s="37" t="inlineStr">
        <is>
          <t>14</t>
        </is>
      </c>
      <c r="L381" s="37" t="inlineStr"/>
      <c r="M381" s="38" t="inlineStr">
        <is>
          <t>СК2</t>
        </is>
      </c>
      <c r="N381" s="38" t="n"/>
      <c r="O381" s="37" t="n">
        <v>40</v>
      </c>
      <c r="P381" s="1280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81" s="1072" t="n"/>
      <c r="R381" s="1072" t="n"/>
      <c r="S381" s="1072" t="n"/>
      <c r="T381" s="1073" t="n"/>
      <c r="U381" s="39" t="inlineStr"/>
      <c r="V381" s="39" t="inlineStr"/>
      <c r="W381" s="40" t="inlineStr">
        <is>
          <t>кг</t>
        </is>
      </c>
      <c r="X381" s="1074" t="n">
        <v>25</v>
      </c>
      <c r="Y381" s="1075">
        <f>IFERROR(IF(X381="",0,CEILING((X381/$H381),1)*$H381),"")</f>
        <v/>
      </c>
      <c r="Z381" s="41">
        <f>IFERROR(IF(Y381=0,"",ROUNDUP(Y381/H381,0)*0.00651),"")</f>
        <v/>
      </c>
      <c r="AA381" s="68" t="inlineStr"/>
      <c r="AB381" s="69" t="inlineStr"/>
      <c r="AC381" s="488" t="inlineStr">
        <is>
          <t>ЕАЭС N RU Д-RU.РА03.В.16220/26</t>
        </is>
      </c>
      <c r="AG381" s="78" t="n"/>
      <c r="AJ381" s="84" t="inlineStr"/>
      <c r="AK381" s="84" t="n">
        <v>0</v>
      </c>
      <c r="BB381" s="489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>
      <c r="A382" s="732" t="n"/>
      <c r="B382" s="1019" t="n"/>
      <c r="C382" s="1019" t="n"/>
      <c r="D382" s="1019" t="n"/>
      <c r="E382" s="1019" t="n"/>
      <c r="F382" s="1019" t="n"/>
      <c r="G382" s="1019" t="n"/>
      <c r="H382" s="1019" t="n"/>
      <c r="I382" s="1019" t="n"/>
      <c r="J382" s="1019" t="n"/>
      <c r="K382" s="1019" t="n"/>
      <c r="L382" s="1019" t="n"/>
      <c r="M382" s="1019" t="n"/>
      <c r="N382" s="1019" t="n"/>
      <c r="O382" s="1077" t="n"/>
      <c r="P382" s="1078" t="inlineStr">
        <is>
          <t>Итого</t>
        </is>
      </c>
      <c r="Q382" s="1039" t="n"/>
      <c r="R382" s="1039" t="n"/>
      <c r="S382" s="1039" t="n"/>
      <c r="T382" s="1039" t="n"/>
      <c r="U382" s="1039" t="n"/>
      <c r="V382" s="1040" t="n"/>
      <c r="W382" s="42" t="inlineStr">
        <is>
          <t>кор</t>
        </is>
      </c>
      <c r="X382" s="1079">
        <f>IFERROR(X375/H375,"0")+IFERROR(X376/H376,"0")+IFERROR(X377/H377,"0")+IFERROR(X378/H378,"0")+IFERROR(X379/H379,"0")+IFERROR(X380/H380,"0")+IFERROR(X381/H381,"0")</f>
        <v/>
      </c>
      <c r="Y382" s="1079">
        <f>IFERROR(Y375/H375,"0")+IFERROR(Y376/H376,"0")+IFERROR(Y377/H377,"0")+IFERROR(Y378/H378,"0")+IFERROR(Y379/H379,"0")+IFERROR(Y380/H380,"0")+IFERROR(Y381/H381,"0")</f>
        <v/>
      </c>
      <c r="Z382" s="1079">
        <f>IFERROR(IF(Z375="",0,Z375),"0")+IFERROR(IF(Z376="",0,Z376),"0")+IFERROR(IF(Z377="",0,Z377),"0")+IFERROR(IF(Z378="",0,Z378),"0")+IFERROR(IF(Z379="",0,Z379),"0")+IFERROR(IF(Z380="",0,Z380),"0")+IFERROR(IF(Z381="",0,Z381),"0")</f>
        <v/>
      </c>
      <c r="AA382" s="1080" t="n"/>
      <c r="AB382" s="1080" t="n"/>
      <c r="AC382" s="1080" t="n"/>
    </row>
    <row r="383">
      <c r="A383" s="1019" t="n"/>
      <c r="B383" s="1019" t="n"/>
      <c r="C383" s="1019" t="n"/>
      <c r="D383" s="1019" t="n"/>
      <c r="E383" s="1019" t="n"/>
      <c r="F383" s="1019" t="n"/>
      <c r="G383" s="1019" t="n"/>
      <c r="H383" s="1019" t="n"/>
      <c r="I383" s="1019" t="n"/>
      <c r="J383" s="1019" t="n"/>
      <c r="K383" s="1019" t="n"/>
      <c r="L383" s="1019" t="n"/>
      <c r="M383" s="1019" t="n"/>
      <c r="N383" s="1019" t="n"/>
      <c r="O383" s="1077" t="n"/>
      <c r="P383" s="1078" t="inlineStr">
        <is>
          <t>Итого</t>
        </is>
      </c>
      <c r="Q383" s="1039" t="n"/>
      <c r="R383" s="1039" t="n"/>
      <c r="S383" s="1039" t="n"/>
      <c r="T383" s="1039" t="n"/>
      <c r="U383" s="1039" t="n"/>
      <c r="V383" s="1040" t="n"/>
      <c r="W383" s="42" t="inlineStr">
        <is>
          <t>кг</t>
        </is>
      </c>
      <c r="X383" s="1079">
        <f>IFERROR(SUM(X375:X381),"0")</f>
        <v/>
      </c>
      <c r="Y383" s="1079">
        <f>IFERROR(SUM(Y375:Y381),"0")</f>
        <v/>
      </c>
      <c r="Z383" s="42" t="n"/>
      <c r="AA383" s="1080" t="n"/>
      <c r="AB383" s="1080" t="n"/>
      <c r="AC383" s="1080" t="n"/>
    </row>
    <row r="384" ht="14.25" customHeight="1">
      <c r="A384" s="722" t="inlineStr">
        <is>
          <t>Сосиски</t>
        </is>
      </c>
      <c r="B384" s="1019" t="n"/>
      <c r="C384" s="1019" t="n"/>
      <c r="D384" s="1019" t="n"/>
      <c r="E384" s="1019" t="n"/>
      <c r="F384" s="1019" t="n"/>
      <c r="G384" s="1019" t="n"/>
      <c r="H384" s="1019" t="n"/>
      <c r="I384" s="1019" t="n"/>
      <c r="J384" s="1019" t="n"/>
      <c r="K384" s="1019" t="n"/>
      <c r="L384" s="1019" t="n"/>
      <c r="M384" s="1019" t="n"/>
      <c r="N384" s="1019" t="n"/>
      <c r="O384" s="1019" t="n"/>
      <c r="P384" s="1019" t="n"/>
      <c r="Q384" s="1019" t="n"/>
      <c r="R384" s="1019" t="n"/>
      <c r="S384" s="1019" t="n"/>
      <c r="T384" s="1019" t="n"/>
      <c r="U384" s="1019" t="n"/>
      <c r="V384" s="1019" t="n"/>
      <c r="W384" s="1019" t="n"/>
      <c r="X384" s="1019" t="n"/>
      <c r="Y384" s="1019" t="n"/>
      <c r="Z384" s="1019" t="n"/>
      <c r="AA384" s="722" t="n"/>
      <c r="AB384" s="722" t="n"/>
      <c r="AC384" s="722" t="n"/>
    </row>
    <row r="385" ht="27" customHeight="1">
      <c r="A385" s="63" t="inlineStr">
        <is>
          <t>SU001340</t>
        </is>
      </c>
      <c r="B385" s="63" t="inlineStr">
        <is>
          <t>P002209</t>
        </is>
      </c>
      <c r="C385" s="36" t="n">
        <v>4301051100</v>
      </c>
      <c r="D385" s="723" t="n">
        <v>4607091387766</v>
      </c>
      <c r="E385" s="1031" t="n"/>
      <c r="F385" s="1070" t="n">
        <v>1.3</v>
      </c>
      <c r="G385" s="37" t="n">
        <v>6</v>
      </c>
      <c r="H385" s="1070" t="n">
        <v>7.8</v>
      </c>
      <c r="I385" s="1070" t="n">
        <v>8.288</v>
      </c>
      <c r="J385" s="37" t="n">
        <v>64</v>
      </c>
      <c r="K385" s="37" t="inlineStr">
        <is>
          <t>8</t>
        </is>
      </c>
      <c r="L385" s="37" t="inlineStr"/>
      <c r="M385" s="38" t="inlineStr">
        <is>
          <t>СК3</t>
        </is>
      </c>
      <c r="N385" s="38" t="n"/>
      <c r="O385" s="37" t="n">
        <v>40</v>
      </c>
      <c r="P385" s="1281">
        <f>HYPERLINK("https://abi.ru/products/Охлажденные/Стародворье/Бордо/Сосиски/P002209/","Сосиски Ганноверские Бордо Весовые П/а мгс Баварушка")</f>
        <v/>
      </c>
      <c r="Q385" s="1072" t="n"/>
      <c r="R385" s="1072" t="n"/>
      <c r="S385" s="1072" t="n"/>
      <c r="T385" s="1073" t="n"/>
      <c r="U385" s="39" t="inlineStr"/>
      <c r="V385" s="39" t="inlineStr"/>
      <c r="W385" s="40" t="inlineStr">
        <is>
          <t>кг</t>
        </is>
      </c>
      <c r="X385" s="1074" t="n">
        <v>0</v>
      </c>
      <c r="Y385" s="1075">
        <f>IFERROR(IF(X385="",0,CEILING((X385/$H385),1)*$H385),"")</f>
        <v/>
      </c>
      <c r="Z385" s="41">
        <f>IFERROR(IF(Y385=0,"",ROUNDUP(Y385/H385,0)*0.01898),"")</f>
        <v/>
      </c>
      <c r="AA385" s="68" t="inlineStr"/>
      <c r="AB385" s="69" t="inlineStr"/>
      <c r="AC385" s="490" t="inlineStr">
        <is>
          <t>ЕАЭС N RU Д-RU.РА01.В.50365/26, ЕАЭС N RU Д-RU.РА02.В.87927/26</t>
        </is>
      </c>
      <c r="AG385" s="78" t="n"/>
      <c r="AJ385" s="84" t="inlineStr"/>
      <c r="AK385" s="84" t="n">
        <v>0</v>
      </c>
      <c r="BB385" s="491" t="inlineStr">
        <is>
          <t>КИ</t>
        </is>
      </c>
      <c r="BM385" s="78">
        <f>IFERROR(X385*I385/H385,"0")</f>
        <v/>
      </c>
      <c r="BN385" s="78">
        <f>IFERROR(Y385*I385/H385,"0")</f>
        <v/>
      </c>
      <c r="BO385" s="78">
        <f>IFERROR(1/J385*(X385/H385),"0")</f>
        <v/>
      </c>
      <c r="BP385" s="78">
        <f>IFERROR(1/J385*(Y385/H385),"0")</f>
        <v/>
      </c>
    </row>
    <row r="386" ht="27" customHeight="1">
      <c r="A386" s="63" t="inlineStr">
        <is>
          <t>SU001727</t>
        </is>
      </c>
      <c r="B386" s="63" t="inlineStr">
        <is>
          <t>P002205</t>
        </is>
      </c>
      <c r="C386" s="36" t="n">
        <v>4301051818</v>
      </c>
      <c r="D386" s="723" t="n">
        <v>4607091387957</v>
      </c>
      <c r="E386" s="1031" t="n"/>
      <c r="F386" s="1070" t="n">
        <v>1.3</v>
      </c>
      <c r="G386" s="37" t="n">
        <v>6</v>
      </c>
      <c r="H386" s="1070" t="n">
        <v>7.8</v>
      </c>
      <c r="I386" s="1070" t="n">
        <v>8.294</v>
      </c>
      <c r="J386" s="37" t="n">
        <v>64</v>
      </c>
      <c r="K386" s="37" t="inlineStr">
        <is>
          <t>8</t>
        </is>
      </c>
      <c r="L386" s="37" t="inlineStr"/>
      <c r="M386" s="38" t="inlineStr">
        <is>
          <t>СК3</t>
        </is>
      </c>
      <c r="N386" s="38" t="n"/>
      <c r="O386" s="37" t="n">
        <v>40</v>
      </c>
      <c r="P386" s="1282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86" s="1072" t="n"/>
      <c r="R386" s="1072" t="n"/>
      <c r="S386" s="1072" t="n"/>
      <c r="T386" s="1073" t="n"/>
      <c r="U386" s="39" t="inlineStr"/>
      <c r="V386" s="39" t="inlineStr"/>
      <c r="W386" s="40" t="inlineStr">
        <is>
          <t>кг</t>
        </is>
      </c>
      <c r="X386" s="1074" t="n">
        <v>0</v>
      </c>
      <c r="Y386" s="1075">
        <f>IFERROR(IF(X386="",0,CEILING((X386/$H386),1)*$H386),"")</f>
        <v/>
      </c>
      <c r="Z386" s="41">
        <f>IFERROR(IF(Y386=0,"",ROUNDUP(Y386/H386,0)*0.01898),"")</f>
        <v/>
      </c>
      <c r="AA386" s="68" t="inlineStr"/>
      <c r="AB386" s="69" t="inlineStr"/>
      <c r="AC386" s="492" t="inlineStr">
        <is>
          <t>ЕАЭС N RU Д-RU.РА04.В.81906/25, ЕАЭС N RU Д-RU.РА08.В.82467/25</t>
        </is>
      </c>
      <c r="AG386" s="78" t="n"/>
      <c r="AJ386" s="84" t="inlineStr"/>
      <c r="AK386" s="84" t="n">
        <v>0</v>
      </c>
      <c r="BB386" s="493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SU001728</t>
        </is>
      </c>
      <c r="B387" s="63" t="inlineStr">
        <is>
          <t>P002207</t>
        </is>
      </c>
      <c r="C387" s="36" t="n">
        <v>4301051819</v>
      </c>
      <c r="D387" s="723" t="n">
        <v>4607091387964</v>
      </c>
      <c r="E387" s="1031" t="n"/>
      <c r="F387" s="1070" t="n">
        <v>1.35</v>
      </c>
      <c r="G387" s="37" t="n">
        <v>6</v>
      </c>
      <c r="H387" s="1070" t="n">
        <v>8.1</v>
      </c>
      <c r="I387" s="1070" t="n">
        <v>8.576000000000001</v>
      </c>
      <c r="J387" s="37" t="n">
        <v>64</v>
      </c>
      <c r="K387" s="37" t="inlineStr">
        <is>
          <t>8</t>
        </is>
      </c>
      <c r="L387" s="37" t="inlineStr"/>
      <c r="M387" s="38" t="inlineStr">
        <is>
          <t>СК3</t>
        </is>
      </c>
      <c r="N387" s="38" t="n"/>
      <c r="O387" s="37" t="n">
        <v>40</v>
      </c>
      <c r="P387" s="1283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87" s="1072" t="n"/>
      <c r="R387" s="1072" t="n"/>
      <c r="S387" s="1072" t="n"/>
      <c r="T387" s="1073" t="n"/>
      <c r="U387" s="39" t="inlineStr"/>
      <c r="V387" s="39" t="inlineStr"/>
      <c r="W387" s="40" t="inlineStr">
        <is>
          <t>кг</t>
        </is>
      </c>
      <c r="X387" s="1074" t="n">
        <v>0</v>
      </c>
      <c r="Y387" s="1075">
        <f>IFERROR(IF(X387="",0,CEILING((X387/$H387),1)*$H387),"")</f>
        <v/>
      </c>
      <c r="Z387" s="41">
        <f>IFERROR(IF(Y387=0,"",ROUNDUP(Y387/H387,0)*0.01898),"")</f>
        <v/>
      </c>
      <c r="AA387" s="68" t="inlineStr"/>
      <c r="AB387" s="69" t="inlineStr"/>
      <c r="AC387" s="494" t="inlineStr">
        <is>
          <t>ЕАЭС N RU Д-RU.РА02.В.97454/26, ЕАЭС N RU Д-RU.РА03.В.07456/26</t>
        </is>
      </c>
      <c r="AG387" s="78" t="n"/>
      <c r="AJ387" s="84" t="inlineStr"/>
      <c r="AK387" s="84" t="n">
        <v>0</v>
      </c>
      <c r="BB387" s="495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 ht="27" customHeight="1">
      <c r="A388" s="63" t="inlineStr">
        <is>
          <t>SU003333</t>
        </is>
      </c>
      <c r="B388" s="63" t="inlineStr">
        <is>
          <t>P004082</t>
        </is>
      </c>
      <c r="C388" s="36" t="n">
        <v>4301051734</v>
      </c>
      <c r="D388" s="723" t="n">
        <v>4680115884588</v>
      </c>
      <c r="E388" s="1031" t="n"/>
      <c r="F388" s="1070" t="n">
        <v>0.5</v>
      </c>
      <c r="G388" s="37" t="n">
        <v>6</v>
      </c>
      <c r="H388" s="1070" t="n">
        <v>3</v>
      </c>
      <c r="I388" s="1070" t="n">
        <v>3.246</v>
      </c>
      <c r="J388" s="37" t="n">
        <v>182</v>
      </c>
      <c r="K388" s="37" t="inlineStr">
        <is>
          <t>14</t>
        </is>
      </c>
      <c r="L388" s="37" t="inlineStr"/>
      <c r="M388" s="38" t="inlineStr">
        <is>
          <t>СК3</t>
        </is>
      </c>
      <c r="N388" s="38" t="n"/>
      <c r="O388" s="37" t="n">
        <v>40</v>
      </c>
      <c r="P388" s="1284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88" s="1072" t="n"/>
      <c r="R388" s="1072" t="n"/>
      <c r="S388" s="1072" t="n"/>
      <c r="T388" s="1073" t="n"/>
      <c r="U388" s="39" t="inlineStr"/>
      <c r="V388" s="39" t="inlineStr"/>
      <c r="W388" s="40" t="inlineStr">
        <is>
          <t>кг</t>
        </is>
      </c>
      <c r="X388" s="1074" t="n">
        <v>0</v>
      </c>
      <c r="Y388" s="1075">
        <f>IFERROR(IF(X388="",0,CEILING((X388/$H388),1)*$H388),"")</f>
        <v/>
      </c>
      <c r="Z388" s="41">
        <f>IFERROR(IF(Y388=0,"",ROUNDUP(Y388/H388,0)*0.00651),"")</f>
        <v/>
      </c>
      <c r="AA388" s="68" t="inlineStr"/>
      <c r="AB388" s="69" t="inlineStr"/>
      <c r="AC388" s="496" t="inlineStr">
        <is>
          <t>ЕАЭС N RU Д-RU.РА01.В.50365/26, ЕАЭС N RU Д-RU.РА02.В.87927/26</t>
        </is>
      </c>
      <c r="AG388" s="78" t="n"/>
      <c r="AJ388" s="84" t="inlineStr"/>
      <c r="AK388" s="84" t="n">
        <v>0</v>
      </c>
      <c r="BB388" s="497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>
      <c r="A389" s="732" t="n"/>
      <c r="B389" s="1019" t="n"/>
      <c r="C389" s="1019" t="n"/>
      <c r="D389" s="1019" t="n"/>
      <c r="E389" s="1019" t="n"/>
      <c r="F389" s="1019" t="n"/>
      <c r="G389" s="1019" t="n"/>
      <c r="H389" s="1019" t="n"/>
      <c r="I389" s="1019" t="n"/>
      <c r="J389" s="1019" t="n"/>
      <c r="K389" s="1019" t="n"/>
      <c r="L389" s="1019" t="n"/>
      <c r="M389" s="1019" t="n"/>
      <c r="N389" s="1019" t="n"/>
      <c r="O389" s="1077" t="n"/>
      <c r="P389" s="1078" t="inlineStr">
        <is>
          <t>Итого</t>
        </is>
      </c>
      <c r="Q389" s="1039" t="n"/>
      <c r="R389" s="1039" t="n"/>
      <c r="S389" s="1039" t="n"/>
      <c r="T389" s="1039" t="n"/>
      <c r="U389" s="1039" t="n"/>
      <c r="V389" s="1040" t="n"/>
      <c r="W389" s="42" t="inlineStr">
        <is>
          <t>кор</t>
        </is>
      </c>
      <c r="X389" s="1079">
        <f>IFERROR(X385/H385,"0")+IFERROR(X386/H386,"0")+IFERROR(X387/H387,"0")+IFERROR(X388/H388,"0")</f>
        <v/>
      </c>
      <c r="Y389" s="1079">
        <f>IFERROR(Y385/H385,"0")+IFERROR(Y386/H386,"0")+IFERROR(Y387/H387,"0")+IFERROR(Y388/H388,"0")</f>
        <v/>
      </c>
      <c r="Z389" s="1079">
        <f>IFERROR(IF(Z385="",0,Z385),"0")+IFERROR(IF(Z386="",0,Z386),"0")+IFERROR(IF(Z387="",0,Z387),"0")+IFERROR(IF(Z388="",0,Z388),"0")</f>
        <v/>
      </c>
      <c r="AA389" s="1080" t="n"/>
      <c r="AB389" s="1080" t="n"/>
      <c r="AC389" s="1080" t="n"/>
    </row>
    <row r="390">
      <c r="A390" s="1019" t="n"/>
      <c r="B390" s="1019" t="n"/>
      <c r="C390" s="1019" t="n"/>
      <c r="D390" s="1019" t="n"/>
      <c r="E390" s="1019" t="n"/>
      <c r="F390" s="1019" t="n"/>
      <c r="G390" s="1019" t="n"/>
      <c r="H390" s="1019" t="n"/>
      <c r="I390" s="1019" t="n"/>
      <c r="J390" s="1019" t="n"/>
      <c r="K390" s="1019" t="n"/>
      <c r="L390" s="1019" t="n"/>
      <c r="M390" s="1019" t="n"/>
      <c r="N390" s="1019" t="n"/>
      <c r="O390" s="1077" t="n"/>
      <c r="P390" s="1078" t="inlineStr">
        <is>
          <t>Итого</t>
        </is>
      </c>
      <c r="Q390" s="1039" t="n"/>
      <c r="R390" s="1039" t="n"/>
      <c r="S390" s="1039" t="n"/>
      <c r="T390" s="1039" t="n"/>
      <c r="U390" s="1039" t="n"/>
      <c r="V390" s="1040" t="n"/>
      <c r="W390" s="42" t="inlineStr">
        <is>
          <t>кг</t>
        </is>
      </c>
      <c r="X390" s="1079">
        <f>IFERROR(SUM(X385:X388),"0")</f>
        <v/>
      </c>
      <c r="Y390" s="1079">
        <f>IFERROR(SUM(Y385:Y388),"0")</f>
        <v/>
      </c>
      <c r="Z390" s="42" t="n"/>
      <c r="AA390" s="1080" t="n"/>
      <c r="AB390" s="1080" t="n"/>
      <c r="AC390" s="1080" t="n"/>
    </row>
    <row r="391" ht="14.25" customHeight="1">
      <c r="A391" s="722" t="inlineStr">
        <is>
          <t>Сардельки</t>
        </is>
      </c>
      <c r="B391" s="1019" t="n"/>
      <c r="C391" s="1019" t="n"/>
      <c r="D391" s="1019" t="n"/>
      <c r="E391" s="1019" t="n"/>
      <c r="F391" s="1019" t="n"/>
      <c r="G391" s="1019" t="n"/>
      <c r="H391" s="1019" t="n"/>
      <c r="I391" s="1019" t="n"/>
      <c r="J391" s="1019" t="n"/>
      <c r="K391" s="1019" t="n"/>
      <c r="L391" s="1019" t="n"/>
      <c r="M391" s="1019" t="n"/>
      <c r="N391" s="1019" t="n"/>
      <c r="O391" s="1019" t="n"/>
      <c r="P391" s="1019" t="n"/>
      <c r="Q391" s="1019" t="n"/>
      <c r="R391" s="1019" t="n"/>
      <c r="S391" s="1019" t="n"/>
      <c r="T391" s="1019" t="n"/>
      <c r="U391" s="1019" t="n"/>
      <c r="V391" s="1019" t="n"/>
      <c r="W391" s="1019" t="n"/>
      <c r="X391" s="1019" t="n"/>
      <c r="Y391" s="1019" t="n"/>
      <c r="Z391" s="1019" t="n"/>
      <c r="AA391" s="722" t="n"/>
      <c r="AB391" s="722" t="n"/>
      <c r="AC391" s="722" t="n"/>
    </row>
    <row r="392" ht="27" customHeight="1">
      <c r="A392" s="63" t="inlineStr">
        <is>
          <t>SU001051</t>
        </is>
      </c>
      <c r="B392" s="63" t="inlineStr">
        <is>
          <t>P003997</t>
        </is>
      </c>
      <c r="C392" s="36" t="n">
        <v>4301060387</v>
      </c>
      <c r="D392" s="723" t="n">
        <v>4607091380880</v>
      </c>
      <c r="E392" s="1031" t="n"/>
      <c r="F392" s="1070" t="n">
        <v>1.4</v>
      </c>
      <c r="G392" s="37" t="n">
        <v>6</v>
      </c>
      <c r="H392" s="1070" t="n">
        <v>8.4</v>
      </c>
      <c r="I392" s="1070" t="n">
        <v>8.894</v>
      </c>
      <c r="J392" s="37" t="n">
        <v>64</v>
      </c>
      <c r="K392" s="37" t="inlineStr">
        <is>
          <t>8</t>
        </is>
      </c>
      <c r="L392" s="37" t="inlineStr"/>
      <c r="M392" s="38" t="inlineStr">
        <is>
          <t>СК3</t>
        </is>
      </c>
      <c r="N392" s="38" t="n"/>
      <c r="O392" s="37" t="n">
        <v>30</v>
      </c>
      <c r="P392" s="1285">
        <f>HYPERLINK("https://abi.ru/products/Охлажденные/Стародворье/Бордо/Сардельки/P003997/","Сардельки «Нежные» Весовые NDX мгс ТМ «Стародворье»")</f>
        <v/>
      </c>
      <c r="Q392" s="1072" t="n"/>
      <c r="R392" s="1072" t="n"/>
      <c r="S392" s="1072" t="n"/>
      <c r="T392" s="1073" t="n"/>
      <c r="U392" s="39" t="inlineStr"/>
      <c r="V392" s="39" t="inlineStr"/>
      <c r="W392" s="40" t="inlineStr">
        <is>
          <t>кг</t>
        </is>
      </c>
      <c r="X392" s="1074" t="n">
        <v>55</v>
      </c>
      <c r="Y392" s="1075">
        <f>IFERROR(IF(X392="",0,CEILING((X392/$H392),1)*$H392),"")</f>
        <v/>
      </c>
      <c r="Z392" s="41">
        <f>IFERROR(IF(Y392=0,"",ROUNDUP(Y392/H392,0)*0.01898),"")</f>
        <v/>
      </c>
      <c r="AA392" s="68" t="inlineStr"/>
      <c r="AB392" s="69" t="inlineStr"/>
      <c r="AC392" s="498" t="inlineStr">
        <is>
          <t>ЕАЭС N RU Д-RU.РА01.В.49740/26, ЕАЭС N RU Д-RU.РА01.В.49814/26</t>
        </is>
      </c>
      <c r="AG392" s="78" t="n"/>
      <c r="AJ392" s="84" t="inlineStr"/>
      <c r="AK392" s="84" t="n">
        <v>0</v>
      </c>
      <c r="BB392" s="499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SU000227</t>
        </is>
      </c>
      <c r="B393" s="63" t="inlineStr">
        <is>
          <t>P002536</t>
        </is>
      </c>
      <c r="C393" s="36" t="n">
        <v>4301060406</v>
      </c>
      <c r="D393" s="723" t="n">
        <v>4607091384482</v>
      </c>
      <c r="E393" s="1031" t="n"/>
      <c r="F393" s="1070" t="n">
        <v>1.3</v>
      </c>
      <c r="G393" s="37" t="n">
        <v>6</v>
      </c>
      <c r="H393" s="1070" t="n">
        <v>7.8</v>
      </c>
      <c r="I393" s="1070" t="n">
        <v>8.294</v>
      </c>
      <c r="J393" s="37" t="n">
        <v>64</v>
      </c>
      <c r="K393" s="37" t="inlineStr">
        <is>
          <t>8</t>
        </is>
      </c>
      <c r="L393" s="37" t="inlineStr"/>
      <c r="M393" s="38" t="inlineStr">
        <is>
          <t>СК3</t>
        </is>
      </c>
      <c r="N393" s="38" t="n"/>
      <c r="O393" s="37" t="n">
        <v>30</v>
      </c>
      <c r="P393" s="1286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93" s="1072" t="n"/>
      <c r="R393" s="1072" t="n"/>
      <c r="S393" s="1072" t="n"/>
      <c r="T393" s="1073" t="n"/>
      <c r="U393" s="39" t="inlineStr"/>
      <c r="V393" s="39" t="inlineStr"/>
      <c r="W393" s="40" t="inlineStr">
        <is>
          <t>кг</t>
        </is>
      </c>
      <c r="X393" s="1074" t="n">
        <v>0</v>
      </c>
      <c r="Y393" s="1075">
        <f>IFERROR(IF(X393="",0,CEILING((X393/$H393),1)*$H393),"")</f>
        <v/>
      </c>
      <c r="Z393" s="41">
        <f>IFERROR(IF(Y393=0,"",ROUNDUP(Y393/H393,0)*0.01898),"")</f>
        <v/>
      </c>
      <c r="AA393" s="68" t="inlineStr"/>
      <c r="AB393" s="69" t="inlineStr"/>
      <c r="AC393" s="500" t="inlineStr">
        <is>
          <t>ЕАЭС N RU Д-RU.РА01.В.50205/26, ЕАЭС N RU Д-RU.РА03.В.24110/24</t>
        </is>
      </c>
      <c r="AG393" s="78" t="n"/>
      <c r="AJ393" s="84" t="inlineStr"/>
      <c r="AK393" s="84" t="n">
        <v>0</v>
      </c>
      <c r="BB393" s="501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 ht="27" customHeight="1">
      <c r="A394" s="63" t="inlineStr">
        <is>
          <t>SU001430</t>
        </is>
      </c>
      <c r="B394" s="63" t="inlineStr">
        <is>
          <t>P004913</t>
        </is>
      </c>
      <c r="C394" s="36" t="n">
        <v>4301060484</v>
      </c>
      <c r="D394" s="723" t="n">
        <v>4607091380897</v>
      </c>
      <c r="E394" s="1031" t="n"/>
      <c r="F394" s="1070" t="n">
        <v>1.4</v>
      </c>
      <c r="G394" s="37" t="n">
        <v>6</v>
      </c>
      <c r="H394" s="1070" t="n">
        <v>8.4</v>
      </c>
      <c r="I394" s="1070" t="n">
        <v>8.894</v>
      </c>
      <c r="J394" s="37" t="n">
        <v>64</v>
      </c>
      <c r="K394" s="37" t="inlineStr">
        <is>
          <t>8</t>
        </is>
      </c>
      <c r="L394" s="37" t="inlineStr"/>
      <c r="M394" s="38" t="inlineStr">
        <is>
          <t>СК4</t>
        </is>
      </c>
      <c r="N394" s="38" t="n"/>
      <c r="O394" s="37" t="n">
        <v>30</v>
      </c>
      <c r="P394" s="1287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94" s="1072" t="n"/>
      <c r="R394" s="1072" t="n"/>
      <c r="S394" s="1072" t="n"/>
      <c r="T394" s="1073" t="n"/>
      <c r="U394" s="39" t="inlineStr"/>
      <c r="V394" s="39" t="inlineStr"/>
      <c r="W394" s="40" t="inlineStr">
        <is>
          <t>кг</t>
        </is>
      </c>
      <c r="X394" s="1074" t="n">
        <v>0</v>
      </c>
      <c r="Y394" s="1075">
        <f>IFERROR(IF(X394="",0,CEILING((X394/$H394),1)*$H394),"")</f>
        <v/>
      </c>
      <c r="Z394" s="41">
        <f>IFERROR(IF(Y394=0,"",ROUNDUP(Y394/H394,0)*0.01898),"")</f>
        <v/>
      </c>
      <c r="AA394" s="68" t="inlineStr"/>
      <c r="AB394" s="69" t="inlineStr"/>
      <c r="AC394" s="502" t="inlineStr">
        <is>
          <t>ЕАЭС N RU Д-RU.РА02.В.89320/26</t>
        </is>
      </c>
      <c r="AG394" s="78" t="n"/>
      <c r="AJ394" s="84" t="inlineStr"/>
      <c r="AK394" s="84" t="n">
        <v>0</v>
      </c>
      <c r="BB394" s="503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>
      <c r="A395" s="732" t="n"/>
      <c r="B395" s="1019" t="n"/>
      <c r="C395" s="1019" t="n"/>
      <c r="D395" s="1019" t="n"/>
      <c r="E395" s="1019" t="n"/>
      <c r="F395" s="1019" t="n"/>
      <c r="G395" s="1019" t="n"/>
      <c r="H395" s="1019" t="n"/>
      <c r="I395" s="1019" t="n"/>
      <c r="J395" s="1019" t="n"/>
      <c r="K395" s="1019" t="n"/>
      <c r="L395" s="1019" t="n"/>
      <c r="M395" s="1019" t="n"/>
      <c r="N395" s="1019" t="n"/>
      <c r="O395" s="1077" t="n"/>
      <c r="P395" s="1078" t="inlineStr">
        <is>
          <t>Итого</t>
        </is>
      </c>
      <c r="Q395" s="1039" t="n"/>
      <c r="R395" s="1039" t="n"/>
      <c r="S395" s="1039" t="n"/>
      <c r="T395" s="1039" t="n"/>
      <c r="U395" s="1039" t="n"/>
      <c r="V395" s="1040" t="n"/>
      <c r="W395" s="42" t="inlineStr">
        <is>
          <t>кор</t>
        </is>
      </c>
      <c r="X395" s="1079">
        <f>IFERROR(X392/H392,"0")+IFERROR(X393/H393,"0")+IFERROR(X394/H394,"0")</f>
        <v/>
      </c>
      <c r="Y395" s="1079">
        <f>IFERROR(Y392/H392,"0")+IFERROR(Y393/H393,"0")+IFERROR(Y394/H394,"0")</f>
        <v/>
      </c>
      <c r="Z395" s="1079">
        <f>IFERROR(IF(Z392="",0,Z392),"0")+IFERROR(IF(Z393="",0,Z393),"0")+IFERROR(IF(Z394="",0,Z394),"0")</f>
        <v/>
      </c>
      <c r="AA395" s="1080" t="n"/>
      <c r="AB395" s="1080" t="n"/>
      <c r="AC395" s="1080" t="n"/>
    </row>
    <row r="396">
      <c r="A396" s="1019" t="n"/>
      <c r="B396" s="1019" t="n"/>
      <c r="C396" s="1019" t="n"/>
      <c r="D396" s="1019" t="n"/>
      <c r="E396" s="1019" t="n"/>
      <c r="F396" s="1019" t="n"/>
      <c r="G396" s="1019" t="n"/>
      <c r="H396" s="1019" t="n"/>
      <c r="I396" s="1019" t="n"/>
      <c r="J396" s="1019" t="n"/>
      <c r="K396" s="1019" t="n"/>
      <c r="L396" s="1019" t="n"/>
      <c r="M396" s="1019" t="n"/>
      <c r="N396" s="1019" t="n"/>
      <c r="O396" s="1077" t="n"/>
      <c r="P396" s="1078" t="inlineStr">
        <is>
          <t>Итого</t>
        </is>
      </c>
      <c r="Q396" s="1039" t="n"/>
      <c r="R396" s="1039" t="n"/>
      <c r="S396" s="1039" t="n"/>
      <c r="T396" s="1039" t="n"/>
      <c r="U396" s="1039" t="n"/>
      <c r="V396" s="1040" t="n"/>
      <c r="W396" s="42" t="inlineStr">
        <is>
          <t>кг</t>
        </is>
      </c>
      <c r="X396" s="1079">
        <f>IFERROR(SUM(X392:X394),"0")</f>
        <v/>
      </c>
      <c r="Y396" s="1079">
        <f>IFERROR(SUM(Y392:Y394),"0")</f>
        <v/>
      </c>
      <c r="Z396" s="42" t="n"/>
      <c r="AA396" s="1080" t="n"/>
      <c r="AB396" s="1080" t="n"/>
      <c r="AC396" s="1080" t="n"/>
    </row>
    <row r="397" ht="14.25" customHeight="1">
      <c r="A397" s="722" t="inlineStr">
        <is>
          <t>Сырокопченые колбасы</t>
        </is>
      </c>
      <c r="B397" s="1019" t="n"/>
      <c r="C397" s="1019" t="n"/>
      <c r="D397" s="1019" t="n"/>
      <c r="E397" s="1019" t="n"/>
      <c r="F397" s="1019" t="n"/>
      <c r="G397" s="1019" t="n"/>
      <c r="H397" s="1019" t="n"/>
      <c r="I397" s="1019" t="n"/>
      <c r="J397" s="1019" t="n"/>
      <c r="K397" s="1019" t="n"/>
      <c r="L397" s="1019" t="n"/>
      <c r="M397" s="1019" t="n"/>
      <c r="N397" s="1019" t="n"/>
      <c r="O397" s="1019" t="n"/>
      <c r="P397" s="1019" t="n"/>
      <c r="Q397" s="1019" t="n"/>
      <c r="R397" s="1019" t="n"/>
      <c r="S397" s="1019" t="n"/>
      <c r="T397" s="1019" t="n"/>
      <c r="U397" s="1019" t="n"/>
      <c r="V397" s="1019" t="n"/>
      <c r="W397" s="1019" t="n"/>
      <c r="X397" s="1019" t="n"/>
      <c r="Y397" s="1019" t="n"/>
      <c r="Z397" s="1019" t="n"/>
      <c r="AA397" s="722" t="n"/>
      <c r="AB397" s="722" t="n"/>
      <c r="AC397" s="722" t="n"/>
    </row>
    <row r="398" ht="27" customHeight="1">
      <c r="A398" s="63" t="inlineStr">
        <is>
          <t>SU001921</t>
        </is>
      </c>
      <c r="B398" s="63" t="inlineStr">
        <is>
          <t>P001916</t>
        </is>
      </c>
      <c r="C398" s="36" t="n">
        <v>4301030235</v>
      </c>
      <c r="D398" s="723" t="n">
        <v>4607091388381</v>
      </c>
      <c r="E398" s="1031" t="n"/>
      <c r="F398" s="1070" t="n">
        <v>0.38</v>
      </c>
      <c r="G398" s="37" t="n">
        <v>8</v>
      </c>
      <c r="H398" s="1070" t="n">
        <v>3.04</v>
      </c>
      <c r="I398" s="1070" t="n">
        <v>3.31</v>
      </c>
      <c r="J398" s="37" t="n">
        <v>132</v>
      </c>
      <c r="K398" s="37" t="inlineStr">
        <is>
          <t>12</t>
        </is>
      </c>
      <c r="L398" s="37" t="inlineStr"/>
      <c r="M398" s="38" t="inlineStr">
        <is>
          <t>АК</t>
        </is>
      </c>
      <c r="N398" s="38" t="n"/>
      <c r="O398" s="37" t="n">
        <v>180</v>
      </c>
      <c r="P398" s="1288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98" s="1072" t="n"/>
      <c r="R398" s="1072" t="n"/>
      <c r="S398" s="1072" t="n"/>
      <c r="T398" s="1073" t="n"/>
      <c r="U398" s="39" t="inlineStr"/>
      <c r="V398" s="39" t="inlineStr"/>
      <c r="W398" s="40" t="inlineStr">
        <is>
          <t>кг</t>
        </is>
      </c>
      <c r="X398" s="1074" t="n">
        <v>0</v>
      </c>
      <c r="Y398" s="1075">
        <f>IFERROR(IF(X398="",0,CEILING((X398/$H398),1)*$H398),"")</f>
        <v/>
      </c>
      <c r="Z398" s="41">
        <f>IFERROR(IF(Y398=0,"",ROUNDUP(Y398/H398,0)*0.00902),"")</f>
        <v/>
      </c>
      <c r="AA398" s="68" t="inlineStr"/>
      <c r="AB398" s="69" t="inlineStr"/>
      <c r="AC398" s="504" t="inlineStr">
        <is>
          <t>ЕАЭС N RU Д-RU.РА01.В.12510/25</t>
        </is>
      </c>
      <c r="AG398" s="78" t="n"/>
      <c r="AJ398" s="84" t="inlineStr"/>
      <c r="AK398" s="84" t="n">
        <v>0</v>
      </c>
      <c r="BB398" s="505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 ht="27" customHeight="1">
      <c r="A399" s="63" t="inlineStr">
        <is>
          <t>SU001920</t>
        </is>
      </c>
      <c r="B399" s="63" t="inlineStr">
        <is>
          <t>P001900</t>
        </is>
      </c>
      <c r="C399" s="36" t="n">
        <v>4301030232</v>
      </c>
      <c r="D399" s="723" t="n">
        <v>4607091388374</v>
      </c>
      <c r="E399" s="1031" t="n"/>
      <c r="F399" s="1070" t="n">
        <v>0.38</v>
      </c>
      <c r="G399" s="37" t="n">
        <v>8</v>
      </c>
      <c r="H399" s="1070" t="n">
        <v>3.04</v>
      </c>
      <c r="I399" s="1070" t="n">
        <v>3.27</v>
      </c>
      <c r="J399" s="37" t="n">
        <v>132</v>
      </c>
      <c r="K399" s="37" t="inlineStr">
        <is>
          <t>12</t>
        </is>
      </c>
      <c r="L399" s="37" t="inlineStr"/>
      <c r="M399" s="38" t="inlineStr">
        <is>
          <t>АК</t>
        </is>
      </c>
      <c r="N399" s="38" t="n"/>
      <c r="O399" s="37" t="n">
        <v>180</v>
      </c>
      <c r="P399" s="1289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99" s="1072" t="n"/>
      <c r="R399" s="1072" t="n"/>
      <c r="S399" s="1072" t="n"/>
      <c r="T399" s="1073" t="n"/>
      <c r="U399" s="39" t="inlineStr"/>
      <c r="V399" s="39" t="inlineStr"/>
      <c r="W399" s="40" t="inlineStr">
        <is>
          <t>кг</t>
        </is>
      </c>
      <c r="X399" s="1074" t="n">
        <v>0</v>
      </c>
      <c r="Y399" s="1075">
        <f>IFERROR(IF(X399="",0,CEILING((X399/$H399),1)*$H399),"")</f>
        <v/>
      </c>
      <c r="Z399" s="41">
        <f>IFERROR(IF(Y399=0,"",ROUNDUP(Y399/H399,0)*0.00902),"")</f>
        <v/>
      </c>
      <c r="AA399" s="68" t="inlineStr"/>
      <c r="AB399" s="69" t="inlineStr"/>
      <c r="AC399" s="506" t="inlineStr">
        <is>
          <t>ЕАЭС N RU Д-RU.РА01.В.12510/25</t>
        </is>
      </c>
      <c r="AG399" s="78" t="n"/>
      <c r="AJ399" s="84" t="inlineStr"/>
      <c r="AK399" s="84" t="n">
        <v>0</v>
      </c>
      <c r="BB399" s="507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 ht="27" customHeight="1">
      <c r="A400" s="63" t="inlineStr">
        <is>
          <t>SU002092</t>
        </is>
      </c>
      <c r="B400" s="63" t="inlineStr">
        <is>
          <t>P002290</t>
        </is>
      </c>
      <c r="C400" s="36" t="n">
        <v>4301032015</v>
      </c>
      <c r="D400" s="723" t="n">
        <v>4607091383102</v>
      </c>
      <c r="E400" s="1031" t="n"/>
      <c r="F400" s="1070" t="n">
        <v>0.17</v>
      </c>
      <c r="G400" s="37" t="n">
        <v>15</v>
      </c>
      <c r="H400" s="1070" t="n">
        <v>2.55</v>
      </c>
      <c r="I400" s="1070" t="n">
        <v>2.955</v>
      </c>
      <c r="J400" s="37" t="n">
        <v>182</v>
      </c>
      <c r="K400" s="37" t="inlineStr">
        <is>
          <t>14</t>
        </is>
      </c>
      <c r="L400" s="37" t="inlineStr"/>
      <c r="M400" s="38" t="inlineStr">
        <is>
          <t>АК</t>
        </is>
      </c>
      <c r="N400" s="38" t="n"/>
      <c r="O400" s="37" t="n">
        <v>180</v>
      </c>
      <c r="P400" s="1290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400" s="1072" t="n"/>
      <c r="R400" s="1072" t="n"/>
      <c r="S400" s="1072" t="n"/>
      <c r="T400" s="1073" t="n"/>
      <c r="U400" s="39" t="inlineStr"/>
      <c r="V400" s="39" t="inlineStr"/>
      <c r="W400" s="40" t="inlineStr">
        <is>
          <t>кг</t>
        </is>
      </c>
      <c r="X400" s="1074" t="n">
        <v>23</v>
      </c>
      <c r="Y400" s="1075">
        <f>IFERROR(IF(X400="",0,CEILING((X400/$H400),1)*$H400),"")</f>
        <v/>
      </c>
      <c r="Z400" s="41">
        <f>IFERROR(IF(Y400=0,"",ROUNDUP(Y400/H400,0)*0.00651),"")</f>
        <v/>
      </c>
      <c r="AA400" s="68" t="inlineStr"/>
      <c r="AB400" s="69" t="inlineStr"/>
      <c r="AC400" s="508" t="inlineStr">
        <is>
          <t>ЕАЭС N RU Д-RU.РА01.В.12510/25</t>
        </is>
      </c>
      <c r="AG400" s="78" t="n"/>
      <c r="AJ400" s="84" t="inlineStr"/>
      <c r="AK400" s="84" t="n">
        <v>0</v>
      </c>
      <c r="BB400" s="509" t="inlineStr">
        <is>
          <t>КИ</t>
        </is>
      </c>
      <c r="BM400" s="78">
        <f>IFERROR(X400*I400/H400,"0")</f>
        <v/>
      </c>
      <c r="BN400" s="78">
        <f>IFERROR(Y400*I400/H400,"0")</f>
        <v/>
      </c>
      <c r="BO400" s="78">
        <f>IFERROR(1/J400*(X400/H400),"0")</f>
        <v/>
      </c>
      <c r="BP400" s="78">
        <f>IFERROR(1/J400*(Y400/H400),"0")</f>
        <v/>
      </c>
    </row>
    <row r="401" ht="27" customHeight="1">
      <c r="A401" s="63" t="inlineStr">
        <is>
          <t>SU001869</t>
        </is>
      </c>
      <c r="B401" s="63" t="inlineStr">
        <is>
          <t>P001909</t>
        </is>
      </c>
      <c r="C401" s="36" t="n">
        <v>4301030233</v>
      </c>
      <c r="D401" s="723" t="n">
        <v>4607091388404</v>
      </c>
      <c r="E401" s="1031" t="n"/>
      <c r="F401" s="1070" t="n">
        <v>0.17</v>
      </c>
      <c r="G401" s="37" t="n">
        <v>15</v>
      </c>
      <c r="H401" s="1070" t="n">
        <v>2.55</v>
      </c>
      <c r="I401" s="1070" t="n">
        <v>2.88</v>
      </c>
      <c r="J401" s="37" t="n">
        <v>182</v>
      </c>
      <c r="K401" s="37" t="inlineStr">
        <is>
          <t>14</t>
        </is>
      </c>
      <c r="L401" s="37" t="inlineStr"/>
      <c r="M401" s="38" t="inlineStr">
        <is>
          <t>АК</t>
        </is>
      </c>
      <c r="N401" s="38" t="n"/>
      <c r="O401" s="37" t="n">
        <v>180</v>
      </c>
      <c r="P401" s="1291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401" s="1072" t="n"/>
      <c r="R401" s="1072" t="n"/>
      <c r="S401" s="1072" t="n"/>
      <c r="T401" s="1073" t="n"/>
      <c r="U401" s="39" t="inlineStr"/>
      <c r="V401" s="39" t="inlineStr"/>
      <c r="W401" s="40" t="inlineStr">
        <is>
          <t>кг</t>
        </is>
      </c>
      <c r="X401" s="1074" t="n">
        <v>0</v>
      </c>
      <c r="Y401" s="1075">
        <f>IFERROR(IF(X401="",0,CEILING((X401/$H401),1)*$H401),"")</f>
        <v/>
      </c>
      <c r="Z401" s="41">
        <f>IFERROR(IF(Y401=0,"",ROUNDUP(Y401/H401,0)*0.00651),"")</f>
        <v/>
      </c>
      <c r="AA401" s="68" t="inlineStr"/>
      <c r="AB401" s="69" t="inlineStr"/>
      <c r="AC401" s="510" t="inlineStr">
        <is>
          <t>ЕАЭС N RU Д-RU.РА01.В.12510/25</t>
        </is>
      </c>
      <c r="AG401" s="78" t="n"/>
      <c r="AJ401" s="84" t="inlineStr"/>
      <c r="AK401" s="84" t="n">
        <v>0</v>
      </c>
      <c r="BB401" s="511" t="inlineStr">
        <is>
          <t>КИ</t>
        </is>
      </c>
      <c r="BM401" s="78">
        <f>IFERROR(X401*I401/H401,"0")</f>
        <v/>
      </c>
      <c r="BN401" s="78">
        <f>IFERROR(Y401*I401/H401,"0")</f>
        <v/>
      </c>
      <c r="BO401" s="78">
        <f>IFERROR(1/J401*(X401/H401),"0")</f>
        <v/>
      </c>
      <c r="BP401" s="78">
        <f>IFERROR(1/J401*(Y401/H401),"0")</f>
        <v/>
      </c>
    </row>
    <row r="402">
      <c r="A402" s="732" t="n"/>
      <c r="B402" s="1019" t="n"/>
      <c r="C402" s="1019" t="n"/>
      <c r="D402" s="1019" t="n"/>
      <c r="E402" s="1019" t="n"/>
      <c r="F402" s="1019" t="n"/>
      <c r="G402" s="1019" t="n"/>
      <c r="H402" s="1019" t="n"/>
      <c r="I402" s="1019" t="n"/>
      <c r="J402" s="1019" t="n"/>
      <c r="K402" s="1019" t="n"/>
      <c r="L402" s="1019" t="n"/>
      <c r="M402" s="1019" t="n"/>
      <c r="N402" s="1019" t="n"/>
      <c r="O402" s="1077" t="n"/>
      <c r="P402" s="1078" t="inlineStr">
        <is>
          <t>Итого</t>
        </is>
      </c>
      <c r="Q402" s="1039" t="n"/>
      <c r="R402" s="1039" t="n"/>
      <c r="S402" s="1039" t="n"/>
      <c r="T402" s="1039" t="n"/>
      <c r="U402" s="1039" t="n"/>
      <c r="V402" s="1040" t="n"/>
      <c r="W402" s="42" t="inlineStr">
        <is>
          <t>кор</t>
        </is>
      </c>
      <c r="X402" s="1079">
        <f>IFERROR(X398/H398,"0")+IFERROR(X399/H399,"0")+IFERROR(X400/H400,"0")+IFERROR(X401/H401,"0")</f>
        <v/>
      </c>
      <c r="Y402" s="1079">
        <f>IFERROR(Y398/H398,"0")+IFERROR(Y399/H399,"0")+IFERROR(Y400/H400,"0")+IFERROR(Y401/H401,"0")</f>
        <v/>
      </c>
      <c r="Z402" s="1079">
        <f>IFERROR(IF(Z398="",0,Z398),"0")+IFERROR(IF(Z399="",0,Z399),"0")+IFERROR(IF(Z400="",0,Z400),"0")+IFERROR(IF(Z401="",0,Z401),"0")</f>
        <v/>
      </c>
      <c r="AA402" s="1080" t="n"/>
      <c r="AB402" s="1080" t="n"/>
      <c r="AC402" s="1080" t="n"/>
    </row>
    <row r="403">
      <c r="A403" s="1019" t="n"/>
      <c r="B403" s="1019" t="n"/>
      <c r="C403" s="1019" t="n"/>
      <c r="D403" s="1019" t="n"/>
      <c r="E403" s="1019" t="n"/>
      <c r="F403" s="1019" t="n"/>
      <c r="G403" s="1019" t="n"/>
      <c r="H403" s="1019" t="n"/>
      <c r="I403" s="1019" t="n"/>
      <c r="J403" s="1019" t="n"/>
      <c r="K403" s="1019" t="n"/>
      <c r="L403" s="1019" t="n"/>
      <c r="M403" s="1019" t="n"/>
      <c r="N403" s="1019" t="n"/>
      <c r="O403" s="1077" t="n"/>
      <c r="P403" s="1078" t="inlineStr">
        <is>
          <t>Итого</t>
        </is>
      </c>
      <c r="Q403" s="1039" t="n"/>
      <c r="R403" s="1039" t="n"/>
      <c r="S403" s="1039" t="n"/>
      <c r="T403" s="1039" t="n"/>
      <c r="U403" s="1039" t="n"/>
      <c r="V403" s="1040" t="n"/>
      <c r="W403" s="42" t="inlineStr">
        <is>
          <t>кг</t>
        </is>
      </c>
      <c r="X403" s="1079">
        <f>IFERROR(SUM(X398:X401),"0")</f>
        <v/>
      </c>
      <c r="Y403" s="1079">
        <f>IFERROR(SUM(Y398:Y401),"0")</f>
        <v/>
      </c>
      <c r="Z403" s="42" t="n"/>
      <c r="AA403" s="1080" t="n"/>
      <c r="AB403" s="1080" t="n"/>
      <c r="AC403" s="1080" t="n"/>
    </row>
    <row r="404" ht="14.25" customHeight="1">
      <c r="A404" s="722" t="inlineStr">
        <is>
          <t>Паштеты</t>
        </is>
      </c>
      <c r="B404" s="1019" t="n"/>
      <c r="C404" s="1019" t="n"/>
      <c r="D404" s="1019" t="n"/>
      <c r="E404" s="1019" t="n"/>
      <c r="F404" s="1019" t="n"/>
      <c r="G404" s="1019" t="n"/>
      <c r="H404" s="1019" t="n"/>
      <c r="I404" s="1019" t="n"/>
      <c r="J404" s="1019" t="n"/>
      <c r="K404" s="1019" t="n"/>
      <c r="L404" s="1019" t="n"/>
      <c r="M404" s="1019" t="n"/>
      <c r="N404" s="1019" t="n"/>
      <c r="O404" s="1019" t="n"/>
      <c r="P404" s="1019" t="n"/>
      <c r="Q404" s="1019" t="n"/>
      <c r="R404" s="1019" t="n"/>
      <c r="S404" s="1019" t="n"/>
      <c r="T404" s="1019" t="n"/>
      <c r="U404" s="1019" t="n"/>
      <c r="V404" s="1019" t="n"/>
      <c r="W404" s="1019" t="n"/>
      <c r="X404" s="1019" t="n"/>
      <c r="Y404" s="1019" t="n"/>
      <c r="Z404" s="1019" t="n"/>
      <c r="AA404" s="722" t="n"/>
      <c r="AB404" s="722" t="n"/>
      <c r="AC404" s="722" t="n"/>
    </row>
    <row r="405" ht="16.5" customHeight="1">
      <c r="A405" s="63" t="inlineStr">
        <is>
          <t>SU002841</t>
        </is>
      </c>
      <c r="B405" s="63" t="inlineStr">
        <is>
          <t>P003253</t>
        </is>
      </c>
      <c r="C405" s="36" t="n">
        <v>4301180007</v>
      </c>
      <c r="D405" s="723" t="n">
        <v>4680115881808</v>
      </c>
      <c r="E405" s="1031" t="n"/>
      <c r="F405" s="1070" t="n">
        <v>0.1</v>
      </c>
      <c r="G405" s="37" t="n">
        <v>20</v>
      </c>
      <c r="H405" s="1070" t="n">
        <v>2</v>
      </c>
      <c r="I405" s="1070" t="n">
        <v>2.24</v>
      </c>
      <c r="J405" s="37" t="n">
        <v>238</v>
      </c>
      <c r="K405" s="37" t="inlineStr">
        <is>
          <t>14</t>
        </is>
      </c>
      <c r="L405" s="37" t="inlineStr"/>
      <c r="M405" s="38" t="inlineStr">
        <is>
          <t>РК</t>
        </is>
      </c>
      <c r="N405" s="38" t="n"/>
      <c r="O405" s="37" t="n">
        <v>731</v>
      </c>
      <c r="P405" s="1292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405" s="1072" t="n"/>
      <c r="R405" s="1072" t="n"/>
      <c r="S405" s="1072" t="n"/>
      <c r="T405" s="1073" t="n"/>
      <c r="U405" s="39" t="inlineStr"/>
      <c r="V405" s="39" t="inlineStr"/>
      <c r="W405" s="40" t="inlineStr">
        <is>
          <t>кг</t>
        </is>
      </c>
      <c r="X405" s="1074" t="n">
        <v>22</v>
      </c>
      <c r="Y405" s="1075">
        <f>IFERROR(IF(X405="",0,CEILING((X405/$H405),1)*$H405),"")</f>
        <v/>
      </c>
      <c r="Z405" s="41">
        <f>IFERROR(IF(Y405=0,"",ROUNDUP(Y405/H405,0)*0.00474),"")</f>
        <v/>
      </c>
      <c r="AA405" s="68" t="inlineStr"/>
      <c r="AB405" s="69" t="inlineStr"/>
      <c r="AC405" s="512" t="inlineStr">
        <is>
          <t>ЕАЭС N RU Д-RU.РА04.В.53299/22</t>
        </is>
      </c>
      <c r="AG405" s="78" t="n"/>
      <c r="AJ405" s="84" t="inlineStr"/>
      <c r="AK405" s="84" t="n">
        <v>0</v>
      </c>
      <c r="BB405" s="513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SU002840</t>
        </is>
      </c>
      <c r="B406" s="63" t="inlineStr">
        <is>
          <t>P003252</t>
        </is>
      </c>
      <c r="C406" s="36" t="n">
        <v>4301180006</v>
      </c>
      <c r="D406" s="723" t="n">
        <v>4680115881822</v>
      </c>
      <c r="E406" s="1031" t="n"/>
      <c r="F406" s="1070" t="n">
        <v>0.1</v>
      </c>
      <c r="G406" s="37" t="n">
        <v>20</v>
      </c>
      <c r="H406" s="1070" t="n">
        <v>2</v>
      </c>
      <c r="I406" s="1070" t="n">
        <v>2.24</v>
      </c>
      <c r="J406" s="37" t="n">
        <v>238</v>
      </c>
      <c r="K406" s="37" t="inlineStr">
        <is>
          <t>14</t>
        </is>
      </c>
      <c r="L406" s="37" t="inlineStr"/>
      <c r="M406" s="38" t="inlineStr">
        <is>
          <t>РК</t>
        </is>
      </c>
      <c r="N406" s="38" t="n"/>
      <c r="O406" s="37" t="n">
        <v>731</v>
      </c>
      <c r="P406" s="1293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406" s="1072" t="n"/>
      <c r="R406" s="1072" t="n"/>
      <c r="S406" s="1072" t="n"/>
      <c r="T406" s="1073" t="n"/>
      <c r="U406" s="39" t="inlineStr"/>
      <c r="V406" s="39" t="inlineStr"/>
      <c r="W406" s="40" t="inlineStr">
        <is>
          <t>кг</t>
        </is>
      </c>
      <c r="X406" s="1074" t="n">
        <v>9</v>
      </c>
      <c r="Y406" s="1075">
        <f>IFERROR(IF(X406="",0,CEILING((X406/$H406),1)*$H406),"")</f>
        <v/>
      </c>
      <c r="Z406" s="41">
        <f>IFERROR(IF(Y406=0,"",ROUNDUP(Y406/H406,0)*0.00474),"")</f>
        <v/>
      </c>
      <c r="AA406" s="68" t="inlineStr"/>
      <c r="AB406" s="69" t="inlineStr"/>
      <c r="AC406" s="514" t="inlineStr">
        <is>
          <t>ЕАЭС N RU Д-RU.РА04.В.53299/22</t>
        </is>
      </c>
      <c r="AG406" s="78" t="n"/>
      <c r="AJ406" s="84" t="inlineStr"/>
      <c r="AK406" s="84" t="n">
        <v>0</v>
      </c>
      <c r="BB406" s="515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 ht="27" customHeight="1">
      <c r="A407" s="63" t="inlineStr">
        <is>
          <t>SU002368</t>
        </is>
      </c>
      <c r="B407" s="63" t="inlineStr">
        <is>
          <t>P002648</t>
        </is>
      </c>
      <c r="C407" s="36" t="n">
        <v>4301180001</v>
      </c>
      <c r="D407" s="723" t="n">
        <v>4680115880016</v>
      </c>
      <c r="E407" s="1031" t="n"/>
      <c r="F407" s="1070" t="n">
        <v>0.1</v>
      </c>
      <c r="G407" s="37" t="n">
        <v>20</v>
      </c>
      <c r="H407" s="1070" t="n">
        <v>2</v>
      </c>
      <c r="I407" s="1070" t="n">
        <v>2.24</v>
      </c>
      <c r="J407" s="37" t="n">
        <v>238</v>
      </c>
      <c r="K407" s="37" t="inlineStr">
        <is>
          <t>14</t>
        </is>
      </c>
      <c r="L407" s="37" t="inlineStr"/>
      <c r="M407" s="38" t="inlineStr">
        <is>
          <t>РК</t>
        </is>
      </c>
      <c r="N407" s="38" t="n"/>
      <c r="O407" s="37" t="n">
        <v>731</v>
      </c>
      <c r="P407" s="1294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407" s="1072" t="n"/>
      <c r="R407" s="1072" t="n"/>
      <c r="S407" s="1072" t="n"/>
      <c r="T407" s="1073" t="n"/>
      <c r="U407" s="39" t="inlineStr"/>
      <c r="V407" s="39" t="inlineStr"/>
      <c r="W407" s="40" t="inlineStr">
        <is>
          <t>кг</t>
        </is>
      </c>
      <c r="X407" s="1074" t="n">
        <v>28</v>
      </c>
      <c r="Y407" s="1075">
        <f>IFERROR(IF(X407="",0,CEILING((X407/$H407),1)*$H407),"")</f>
        <v/>
      </c>
      <c r="Z407" s="41">
        <f>IFERROR(IF(Y407=0,"",ROUNDUP(Y407/H407,0)*0.00474),"")</f>
        <v/>
      </c>
      <c r="AA407" s="68" t="inlineStr"/>
      <c r="AB407" s="69" t="inlineStr"/>
      <c r="AC407" s="516" t="inlineStr">
        <is>
          <t>ЕАЭС N RU Д-RU.РА04.В.53299/22</t>
        </is>
      </c>
      <c r="AG407" s="78" t="n"/>
      <c r="AJ407" s="84" t="inlineStr"/>
      <c r="AK407" s="84" t="n">
        <v>0</v>
      </c>
      <c r="BB407" s="517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>
      <c r="A408" s="732" t="n"/>
      <c r="B408" s="1019" t="n"/>
      <c r="C408" s="1019" t="n"/>
      <c r="D408" s="1019" t="n"/>
      <c r="E408" s="1019" t="n"/>
      <c r="F408" s="1019" t="n"/>
      <c r="G408" s="1019" t="n"/>
      <c r="H408" s="1019" t="n"/>
      <c r="I408" s="1019" t="n"/>
      <c r="J408" s="1019" t="n"/>
      <c r="K408" s="1019" t="n"/>
      <c r="L408" s="1019" t="n"/>
      <c r="M408" s="1019" t="n"/>
      <c r="N408" s="1019" t="n"/>
      <c r="O408" s="1077" t="n"/>
      <c r="P408" s="1078" t="inlineStr">
        <is>
          <t>Итого</t>
        </is>
      </c>
      <c r="Q408" s="1039" t="n"/>
      <c r="R408" s="1039" t="n"/>
      <c r="S408" s="1039" t="n"/>
      <c r="T408" s="1039" t="n"/>
      <c r="U408" s="1039" t="n"/>
      <c r="V408" s="1040" t="n"/>
      <c r="W408" s="42" t="inlineStr">
        <is>
          <t>кор</t>
        </is>
      </c>
      <c r="X408" s="1079">
        <f>IFERROR(X405/H405,"0")+IFERROR(X406/H406,"0")+IFERROR(X407/H407,"0")</f>
        <v/>
      </c>
      <c r="Y408" s="1079">
        <f>IFERROR(Y405/H405,"0")+IFERROR(Y406/H406,"0")+IFERROR(Y407/H407,"0")</f>
        <v/>
      </c>
      <c r="Z408" s="1079">
        <f>IFERROR(IF(Z405="",0,Z405),"0")+IFERROR(IF(Z406="",0,Z406),"0")+IFERROR(IF(Z407="",0,Z407),"0")</f>
        <v/>
      </c>
      <c r="AA408" s="1080" t="n"/>
      <c r="AB408" s="1080" t="n"/>
      <c r="AC408" s="1080" t="n"/>
    </row>
    <row r="409">
      <c r="A409" s="1019" t="n"/>
      <c r="B409" s="1019" t="n"/>
      <c r="C409" s="1019" t="n"/>
      <c r="D409" s="1019" t="n"/>
      <c r="E409" s="1019" t="n"/>
      <c r="F409" s="1019" t="n"/>
      <c r="G409" s="1019" t="n"/>
      <c r="H409" s="1019" t="n"/>
      <c r="I409" s="1019" t="n"/>
      <c r="J409" s="1019" t="n"/>
      <c r="K409" s="1019" t="n"/>
      <c r="L409" s="1019" t="n"/>
      <c r="M409" s="1019" t="n"/>
      <c r="N409" s="1019" t="n"/>
      <c r="O409" s="1077" t="n"/>
      <c r="P409" s="1078" t="inlineStr">
        <is>
          <t>Итого</t>
        </is>
      </c>
      <c r="Q409" s="1039" t="n"/>
      <c r="R409" s="1039" t="n"/>
      <c r="S409" s="1039" t="n"/>
      <c r="T409" s="1039" t="n"/>
      <c r="U409" s="1039" t="n"/>
      <c r="V409" s="1040" t="n"/>
      <c r="W409" s="42" t="inlineStr">
        <is>
          <t>кг</t>
        </is>
      </c>
      <c r="X409" s="1079">
        <f>IFERROR(SUM(X405:X407),"0")</f>
        <v/>
      </c>
      <c r="Y409" s="1079">
        <f>IFERROR(SUM(Y405:Y407),"0")</f>
        <v/>
      </c>
      <c r="Z409" s="42" t="n"/>
      <c r="AA409" s="1080" t="n"/>
      <c r="AB409" s="1080" t="n"/>
      <c r="AC409" s="1080" t="n"/>
    </row>
    <row r="410" ht="14.25" customHeight="1">
      <c r="A410" s="722" t="inlineStr">
        <is>
          <t>Консервы</t>
        </is>
      </c>
      <c r="B410" s="1019" t="n"/>
      <c r="C410" s="1019" t="n"/>
      <c r="D410" s="1019" t="n"/>
      <c r="E410" s="1019" t="n"/>
      <c r="F410" s="1019" t="n"/>
      <c r="G410" s="1019" t="n"/>
      <c r="H410" s="1019" t="n"/>
      <c r="I410" s="1019" t="n"/>
      <c r="J410" s="1019" t="n"/>
      <c r="K410" s="1019" t="n"/>
      <c r="L410" s="1019" t="n"/>
      <c r="M410" s="1019" t="n"/>
      <c r="N410" s="1019" t="n"/>
      <c r="O410" s="1019" t="n"/>
      <c r="P410" s="1019" t="n"/>
      <c r="Q410" s="1019" t="n"/>
      <c r="R410" s="1019" t="n"/>
      <c r="S410" s="1019" t="n"/>
      <c r="T410" s="1019" t="n"/>
      <c r="U410" s="1019" t="n"/>
      <c r="V410" s="1019" t="n"/>
      <c r="W410" s="1019" t="n"/>
      <c r="X410" s="1019" t="n"/>
      <c r="Y410" s="1019" t="n"/>
      <c r="Z410" s="1019" t="n"/>
      <c r="AA410" s="722" t="n"/>
      <c r="AB410" s="722" t="n"/>
      <c r="AC410" s="722" t="n"/>
    </row>
    <row r="411" ht="27" customHeight="1">
      <c r="A411" s="63" t="inlineStr">
        <is>
          <t>SU004146</t>
        </is>
      </c>
      <c r="B411" s="63" t="inlineStr">
        <is>
          <t>P005419</t>
        </is>
      </c>
      <c r="C411" s="36" t="n">
        <v>4301220003</v>
      </c>
      <c r="D411" s="723" t="n">
        <v>4680115888678</v>
      </c>
      <c r="E411" s="1031" t="n"/>
      <c r="F411" s="1070" t="n">
        <v>0.25</v>
      </c>
      <c r="G411" s="37" t="n">
        <v>12</v>
      </c>
      <c r="H411" s="1070" t="n">
        <v>3</v>
      </c>
      <c r="I411" s="1070" t="n">
        <v>3.22</v>
      </c>
      <c r="J411" s="37" t="n">
        <v>224</v>
      </c>
      <c r="K411" s="37" t="inlineStr">
        <is>
          <t>14</t>
        </is>
      </c>
      <c r="L411" s="37" t="inlineStr"/>
      <c r="M411" s="38" t="inlineStr">
        <is>
          <t>РК</t>
        </is>
      </c>
      <c r="N411" s="38" t="n"/>
      <c r="O411" s="37" t="n">
        <v>1096</v>
      </c>
      <c r="P411" s="1295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411" s="1072" t="n"/>
      <c r="R411" s="1072" t="n"/>
      <c r="S411" s="1072" t="n"/>
      <c r="T411" s="1073" t="n"/>
      <c r="U411" s="39" t="inlineStr"/>
      <c r="V411" s="39" t="inlineStr"/>
      <c r="W411" s="40" t="inlineStr">
        <is>
          <t>кг</t>
        </is>
      </c>
      <c r="X411" s="1074" t="n">
        <v>0</v>
      </c>
      <c r="Y411" s="1075">
        <f>IFERROR(IF(X411="",0,CEILING((X411/$H411),1)*$H411),"")</f>
        <v/>
      </c>
      <c r="Z411" s="41">
        <f>IFERROR(IF(Y411=0,"",ROUNDUP(Y411/H411,0)*0.0045),"")</f>
        <v/>
      </c>
      <c r="AA411" s="68" t="inlineStr"/>
      <c r="AB411" s="69" t="inlineStr"/>
      <c r="AC411" s="518" t="inlineStr">
        <is>
          <t>ЕАЭС N RU Д-RU.РА04.В.59130/26</t>
        </is>
      </c>
      <c r="AG411" s="78" t="n"/>
      <c r="AJ411" s="84" t="inlineStr"/>
      <c r="AK411" s="84" t="n">
        <v>0</v>
      </c>
      <c r="BB411" s="519" t="inlineStr">
        <is>
          <t>КИ</t>
        </is>
      </c>
      <c r="BM411" s="78">
        <f>IFERROR(X411*I411/H411,"0")</f>
        <v/>
      </c>
      <c r="BN411" s="78">
        <f>IFERROR(Y411*I411/H411,"0")</f>
        <v/>
      </c>
      <c r="BO411" s="78">
        <f>IFERROR(1/J411*(X411/H411),"0")</f>
        <v/>
      </c>
      <c r="BP411" s="78">
        <f>IFERROR(1/J411*(Y411/H411),"0")</f>
        <v/>
      </c>
    </row>
    <row r="412" ht="27" customHeight="1">
      <c r="A412" s="63" t="inlineStr">
        <is>
          <t>SU004144</t>
        </is>
      </c>
      <c r="B412" s="63" t="inlineStr">
        <is>
          <t>P005417</t>
        </is>
      </c>
      <c r="C412" s="36" t="n">
        <v>4301220001</v>
      </c>
      <c r="D412" s="723" t="n">
        <v>4680115888654</v>
      </c>
      <c r="E412" s="1031" t="n"/>
      <c r="F412" s="1070" t="n">
        <v>0.325</v>
      </c>
      <c r="G412" s="37" t="n">
        <v>12</v>
      </c>
      <c r="H412" s="1070" t="n">
        <v>3.9</v>
      </c>
      <c r="I412" s="1070" t="n">
        <v>4.17</v>
      </c>
      <c r="J412" s="37" t="n">
        <v>144</v>
      </c>
      <c r="K412" s="37" t="inlineStr">
        <is>
          <t>12</t>
        </is>
      </c>
      <c r="L412" s="37" t="inlineStr"/>
      <c r="M412" s="38" t="inlineStr">
        <is>
          <t>РК</t>
        </is>
      </c>
      <c r="N412" s="38" t="n"/>
      <c r="O412" s="37" t="n">
        <v>1096</v>
      </c>
      <c r="P412" s="1296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412" s="1072" t="n"/>
      <c r="R412" s="1072" t="n"/>
      <c r="S412" s="1072" t="n"/>
      <c r="T412" s="1073" t="n"/>
      <c r="U412" s="39" t="inlineStr"/>
      <c r="V412" s="39" t="inlineStr"/>
      <c r="W412" s="40" t="inlineStr">
        <is>
          <t>кг</t>
        </is>
      </c>
      <c r="X412" s="1074" t="n">
        <v>0</v>
      </c>
      <c r="Y412" s="1075">
        <f>IFERROR(IF(X412="",0,CEILING((X412/$H412),1)*$H412),"")</f>
        <v/>
      </c>
      <c r="Z412" s="41">
        <f>IFERROR(IF(Y412=0,"",ROUNDUP(Y412/H412,0)*0.006),"")</f>
        <v/>
      </c>
      <c r="AA412" s="68" t="inlineStr"/>
      <c r="AB412" s="69" t="inlineStr"/>
      <c r="AC412" s="520" t="inlineStr">
        <is>
          <t>ЕАЭС N RU Д-RU.РА04.В.16148/26</t>
        </is>
      </c>
      <c r="AG412" s="78" t="n"/>
      <c r="AJ412" s="84" t="inlineStr"/>
      <c r="AK412" s="84" t="n">
        <v>0</v>
      </c>
      <c r="BB412" s="521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27" customHeight="1">
      <c r="A413" s="63" t="inlineStr">
        <is>
          <t>SU004145</t>
        </is>
      </c>
      <c r="B413" s="63" t="inlineStr">
        <is>
          <t>P005418</t>
        </is>
      </c>
      <c r="C413" s="36" t="n">
        <v>4301220002</v>
      </c>
      <c r="D413" s="723" t="n">
        <v>4680115888753</v>
      </c>
      <c r="E413" s="1031" t="n"/>
      <c r="F413" s="1070" t="n">
        <v>0.25</v>
      </c>
      <c r="G413" s="37" t="n">
        <v>12</v>
      </c>
      <c r="H413" s="1070" t="n">
        <v>3</v>
      </c>
      <c r="I413" s="1070" t="n">
        <v>3.22</v>
      </c>
      <c r="J413" s="37" t="n">
        <v>224</v>
      </c>
      <c r="K413" s="37" t="inlineStr">
        <is>
          <t>14</t>
        </is>
      </c>
      <c r="L413" s="37" t="inlineStr"/>
      <c r="M413" s="38" t="inlineStr">
        <is>
          <t>РК</t>
        </is>
      </c>
      <c r="N413" s="38" t="n"/>
      <c r="O413" s="37" t="n">
        <v>1096</v>
      </c>
      <c r="P413" s="1297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413" s="1072" t="n"/>
      <c r="R413" s="1072" t="n"/>
      <c r="S413" s="1072" t="n"/>
      <c r="T413" s="1073" t="n"/>
      <c r="U413" s="39" t="inlineStr"/>
      <c r="V413" s="39" t="inlineStr"/>
      <c r="W413" s="40" t="inlineStr">
        <is>
          <t>кг</t>
        </is>
      </c>
      <c r="X413" s="1074" t="n">
        <v>0</v>
      </c>
      <c r="Y413" s="1075">
        <f>IFERROR(IF(X413="",0,CEILING((X413/$H413),1)*$H413),"")</f>
        <v/>
      </c>
      <c r="Z413" s="41">
        <f>IFERROR(IF(Y413=0,"",ROUNDUP(Y413/H413,0)*0.0045),"")</f>
        <v/>
      </c>
      <c r="AA413" s="68" t="inlineStr"/>
      <c r="AB413" s="69" t="inlineStr"/>
      <c r="AC413" s="522" t="inlineStr">
        <is>
          <t>ЕАЭС N RU Д-RU.РА04.В.59130/26</t>
        </is>
      </c>
      <c r="AG413" s="78" t="n"/>
      <c r="AJ413" s="84" t="inlineStr"/>
      <c r="AK413" s="84" t="n">
        <v>0</v>
      </c>
      <c r="BB413" s="523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>
      <c r="A414" s="732" t="n"/>
      <c r="B414" s="1019" t="n"/>
      <c r="C414" s="1019" t="n"/>
      <c r="D414" s="1019" t="n"/>
      <c r="E414" s="1019" t="n"/>
      <c r="F414" s="1019" t="n"/>
      <c r="G414" s="1019" t="n"/>
      <c r="H414" s="1019" t="n"/>
      <c r="I414" s="1019" t="n"/>
      <c r="J414" s="1019" t="n"/>
      <c r="K414" s="1019" t="n"/>
      <c r="L414" s="1019" t="n"/>
      <c r="M414" s="1019" t="n"/>
      <c r="N414" s="1019" t="n"/>
      <c r="O414" s="1077" t="n"/>
      <c r="P414" s="1078" t="inlineStr">
        <is>
          <t>Итого</t>
        </is>
      </c>
      <c r="Q414" s="1039" t="n"/>
      <c r="R414" s="1039" t="n"/>
      <c r="S414" s="1039" t="n"/>
      <c r="T414" s="1039" t="n"/>
      <c r="U414" s="1039" t="n"/>
      <c r="V414" s="1040" t="n"/>
      <c r="W414" s="42" t="inlineStr">
        <is>
          <t>кор</t>
        </is>
      </c>
      <c r="X414" s="1079">
        <f>IFERROR(X411/H411,"0")+IFERROR(X412/H412,"0")+IFERROR(X413/H413,"0")</f>
        <v/>
      </c>
      <c r="Y414" s="1079">
        <f>IFERROR(Y411/H411,"0")+IFERROR(Y412/H412,"0")+IFERROR(Y413/H413,"0")</f>
        <v/>
      </c>
      <c r="Z414" s="1079">
        <f>IFERROR(IF(Z411="",0,Z411),"0")+IFERROR(IF(Z412="",0,Z412),"0")+IFERROR(IF(Z413="",0,Z413),"0")</f>
        <v/>
      </c>
      <c r="AA414" s="1080" t="n"/>
      <c r="AB414" s="1080" t="n"/>
      <c r="AC414" s="1080" t="n"/>
    </row>
    <row r="415">
      <c r="A415" s="1019" t="n"/>
      <c r="B415" s="1019" t="n"/>
      <c r="C415" s="1019" t="n"/>
      <c r="D415" s="1019" t="n"/>
      <c r="E415" s="1019" t="n"/>
      <c r="F415" s="1019" t="n"/>
      <c r="G415" s="1019" t="n"/>
      <c r="H415" s="1019" t="n"/>
      <c r="I415" s="1019" t="n"/>
      <c r="J415" s="1019" t="n"/>
      <c r="K415" s="1019" t="n"/>
      <c r="L415" s="1019" t="n"/>
      <c r="M415" s="1019" t="n"/>
      <c r="N415" s="1019" t="n"/>
      <c r="O415" s="1077" t="n"/>
      <c r="P415" s="1078" t="inlineStr">
        <is>
          <t>Итого</t>
        </is>
      </c>
      <c r="Q415" s="1039" t="n"/>
      <c r="R415" s="1039" t="n"/>
      <c r="S415" s="1039" t="n"/>
      <c r="T415" s="1039" t="n"/>
      <c r="U415" s="1039" t="n"/>
      <c r="V415" s="1040" t="n"/>
      <c r="W415" s="42" t="inlineStr">
        <is>
          <t>кг</t>
        </is>
      </c>
      <c r="X415" s="1079">
        <f>IFERROR(SUM(X411:X413),"0")</f>
        <v/>
      </c>
      <c r="Y415" s="1079">
        <f>IFERROR(SUM(Y411:Y413),"0")</f>
        <v/>
      </c>
      <c r="Z415" s="42" t="n"/>
      <c r="AA415" s="1080" t="n"/>
      <c r="AB415" s="1080" t="n"/>
      <c r="AC415" s="1080" t="n"/>
    </row>
    <row r="416" ht="16.5" customHeight="1">
      <c r="A416" s="721" t="inlineStr">
        <is>
          <t>Хорека</t>
        </is>
      </c>
      <c r="B416" s="1019" t="n"/>
      <c r="C416" s="1019" t="n"/>
      <c r="D416" s="1019" t="n"/>
      <c r="E416" s="1019" t="n"/>
      <c r="F416" s="1019" t="n"/>
      <c r="G416" s="1019" t="n"/>
      <c r="H416" s="1019" t="n"/>
      <c r="I416" s="1019" t="n"/>
      <c r="J416" s="1019" t="n"/>
      <c r="K416" s="1019" t="n"/>
      <c r="L416" s="1019" t="n"/>
      <c r="M416" s="1019" t="n"/>
      <c r="N416" s="1019" t="n"/>
      <c r="O416" s="1019" t="n"/>
      <c r="P416" s="1019" t="n"/>
      <c r="Q416" s="1019" t="n"/>
      <c r="R416" s="1019" t="n"/>
      <c r="S416" s="1019" t="n"/>
      <c r="T416" s="1019" t="n"/>
      <c r="U416" s="1019" t="n"/>
      <c r="V416" s="1019" t="n"/>
      <c r="W416" s="1019" t="n"/>
      <c r="X416" s="1019" t="n"/>
      <c r="Y416" s="1019" t="n"/>
      <c r="Z416" s="1019" t="n"/>
      <c r="AA416" s="721" t="n"/>
      <c r="AB416" s="721" t="n"/>
      <c r="AC416" s="721" t="n"/>
    </row>
    <row r="417" ht="14.25" customHeight="1">
      <c r="A417" s="722" t="inlineStr">
        <is>
          <t>Сосиски</t>
        </is>
      </c>
      <c r="B417" s="1019" t="n"/>
      <c r="C417" s="1019" t="n"/>
      <c r="D417" s="1019" t="n"/>
      <c r="E417" s="1019" t="n"/>
      <c r="F417" s="1019" t="n"/>
      <c r="G417" s="1019" t="n"/>
      <c r="H417" s="1019" t="n"/>
      <c r="I417" s="1019" t="n"/>
      <c r="J417" s="1019" t="n"/>
      <c r="K417" s="1019" t="n"/>
      <c r="L417" s="1019" t="n"/>
      <c r="M417" s="1019" t="n"/>
      <c r="N417" s="1019" t="n"/>
      <c r="O417" s="1019" t="n"/>
      <c r="P417" s="1019" t="n"/>
      <c r="Q417" s="1019" t="n"/>
      <c r="R417" s="1019" t="n"/>
      <c r="S417" s="1019" t="n"/>
      <c r="T417" s="1019" t="n"/>
      <c r="U417" s="1019" t="n"/>
      <c r="V417" s="1019" t="n"/>
      <c r="W417" s="1019" t="n"/>
      <c r="X417" s="1019" t="n"/>
      <c r="Y417" s="1019" t="n"/>
      <c r="Z417" s="1019" t="n"/>
      <c r="AA417" s="722" t="n"/>
      <c r="AB417" s="722" t="n"/>
      <c r="AC417" s="722" t="n"/>
    </row>
    <row r="418" ht="16.5" customHeight="1">
      <c r="A418" s="63" t="inlineStr">
        <is>
          <t>SU004291</t>
        </is>
      </c>
      <c r="B418" s="63" t="inlineStr">
        <is>
          <t>P005581</t>
        </is>
      </c>
      <c r="C418" s="36" t="n">
        <v>4301052235</v>
      </c>
      <c r="D418" s="723" t="n">
        <v>4680115889415</v>
      </c>
      <c r="E418" s="1031" t="n"/>
      <c r="F418" s="1070" t="n">
        <v>1.3</v>
      </c>
      <c r="G418" s="37" t="n">
        <v>6</v>
      </c>
      <c r="H418" s="1070" t="n">
        <v>7.8</v>
      </c>
      <c r="I418" s="1070" t="n">
        <v>8.210000000000001</v>
      </c>
      <c r="J418" s="37" t="n">
        <v>64</v>
      </c>
      <c r="K418" s="37" t="inlineStr">
        <is>
          <t>8</t>
        </is>
      </c>
      <c r="L418" s="37" t="inlineStr"/>
      <c r="M418" s="38" t="inlineStr">
        <is>
          <t>СК3</t>
        </is>
      </c>
      <c r="N418" s="38" t="n"/>
      <c r="O418" s="37" t="n">
        <v>40</v>
      </c>
      <c r="P418" s="1298">
        <f>HYPERLINK("https://abi.ru/products/Охлажденные/Стародворье/Хорека/Сосиски/P005581/","Сосиски «Аппетитные для Хореки» Весовой п/а ТМ «Стародворье»")</f>
        <v/>
      </c>
      <c r="Q418" s="1072" t="n"/>
      <c r="R418" s="1072" t="n"/>
      <c r="S418" s="1072" t="n"/>
      <c r="T418" s="1073" t="n"/>
      <c r="U418" s="39" t="inlineStr"/>
      <c r="V418" s="39" t="inlineStr"/>
      <c r="W418" s="40" t="inlineStr">
        <is>
          <t>кг</t>
        </is>
      </c>
      <c r="X418" s="1074" t="n">
        <v>0</v>
      </c>
      <c r="Y418" s="1075">
        <f>IFERROR(IF(X418="",0,CEILING((X418/$H418),1)*$H418),"")</f>
        <v/>
      </c>
      <c r="Z418" s="41">
        <f>IFERROR(IF(Y418=0,"",ROUNDUP(Y418/H418,0)*0.01898),"")</f>
        <v/>
      </c>
      <c r="AA418" s="68" t="inlineStr"/>
      <c r="AB418" s="69" t="inlineStr"/>
      <c r="AC418" s="524" t="inlineStr">
        <is>
          <t>ЕАЭС N RU Д-RU.РА04.В.42596/26</t>
        </is>
      </c>
      <c r="AG418" s="78" t="n"/>
      <c r="AJ418" s="84" t="inlineStr"/>
      <c r="AK418" s="84" t="n">
        <v>0</v>
      </c>
      <c r="BB418" s="525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16.5" customHeight="1">
      <c r="A419" s="63" t="inlineStr">
        <is>
          <t>SU004292</t>
        </is>
      </c>
      <c r="B419" s="63" t="inlineStr">
        <is>
          <t>P005582</t>
        </is>
      </c>
      <c r="C419" s="36" t="n">
        <v>4301052236</v>
      </c>
      <c r="D419" s="723" t="n">
        <v>4680115889422</v>
      </c>
      <c r="E419" s="1031" t="n"/>
      <c r="F419" s="1070" t="n">
        <v>1.3</v>
      </c>
      <c r="G419" s="37" t="n">
        <v>6</v>
      </c>
      <c r="H419" s="1070" t="n">
        <v>7.8</v>
      </c>
      <c r="I419" s="1070" t="n">
        <v>8.210000000000001</v>
      </c>
      <c r="J419" s="37" t="n">
        <v>64</v>
      </c>
      <c r="K419" s="37" t="inlineStr">
        <is>
          <t>8</t>
        </is>
      </c>
      <c r="L419" s="37" t="inlineStr"/>
      <c r="M419" s="38" t="inlineStr">
        <is>
          <t>СК3</t>
        </is>
      </c>
      <c r="N419" s="38" t="n"/>
      <c r="O419" s="37" t="n">
        <v>40</v>
      </c>
      <c r="P419" s="1299">
        <f>HYPERLINK("https://abi.ru/products/Охлажденные/Стародворье/Хорека/Сосиски/P005582/","Сосиски «Сочные для Хореки» Весовой п/а ТМ «Стародворье»")</f>
        <v/>
      </c>
      <c r="Q419" s="1072" t="n"/>
      <c r="R419" s="1072" t="n"/>
      <c r="S419" s="1072" t="n"/>
      <c r="T419" s="1073" t="n"/>
      <c r="U419" s="39" t="inlineStr"/>
      <c r="V419" s="39" t="inlineStr"/>
      <c r="W419" s="40" t="inlineStr">
        <is>
          <t>кг</t>
        </is>
      </c>
      <c r="X419" s="1074" t="n">
        <v>0</v>
      </c>
      <c r="Y419" s="1075">
        <f>IFERROR(IF(X419="",0,CEILING((X419/$H419),1)*$H419),"")</f>
        <v/>
      </c>
      <c r="Z419" s="41">
        <f>IFERROR(IF(Y419=0,"",ROUNDUP(Y419/H419,0)*0.01898),"")</f>
        <v/>
      </c>
      <c r="AA419" s="68" t="inlineStr"/>
      <c r="AB419" s="69" t="inlineStr"/>
      <c r="AC419" s="526" t="inlineStr">
        <is>
          <t>ЕАЭС N RU Д-RU.РА04.В.42602/26</t>
        </is>
      </c>
      <c r="AG419" s="78" t="n"/>
      <c r="AJ419" s="84" t="inlineStr"/>
      <c r="AK419" s="84" t="n">
        <v>0</v>
      </c>
      <c r="BB419" s="527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>
      <c r="A420" s="732" t="n"/>
      <c r="B420" s="1019" t="n"/>
      <c r="C420" s="1019" t="n"/>
      <c r="D420" s="1019" t="n"/>
      <c r="E420" s="1019" t="n"/>
      <c r="F420" s="1019" t="n"/>
      <c r="G420" s="1019" t="n"/>
      <c r="H420" s="1019" t="n"/>
      <c r="I420" s="1019" t="n"/>
      <c r="J420" s="1019" t="n"/>
      <c r="K420" s="1019" t="n"/>
      <c r="L420" s="1019" t="n"/>
      <c r="M420" s="1019" t="n"/>
      <c r="N420" s="1019" t="n"/>
      <c r="O420" s="1077" t="n"/>
      <c r="P420" s="1078" t="inlineStr">
        <is>
          <t>Итого</t>
        </is>
      </c>
      <c r="Q420" s="1039" t="n"/>
      <c r="R420" s="1039" t="n"/>
      <c r="S420" s="1039" t="n"/>
      <c r="T420" s="1039" t="n"/>
      <c r="U420" s="1039" t="n"/>
      <c r="V420" s="1040" t="n"/>
      <c r="W420" s="42" t="inlineStr">
        <is>
          <t>кор</t>
        </is>
      </c>
      <c r="X420" s="1079">
        <f>IFERROR(X418/H418,"0")+IFERROR(X419/H419,"0")</f>
        <v/>
      </c>
      <c r="Y420" s="1079">
        <f>IFERROR(Y418/H418,"0")+IFERROR(Y419/H419,"0")</f>
        <v/>
      </c>
      <c r="Z420" s="1079">
        <f>IFERROR(IF(Z418="",0,Z418),"0")+IFERROR(IF(Z419="",0,Z419),"0")</f>
        <v/>
      </c>
      <c r="AA420" s="1080" t="n"/>
      <c r="AB420" s="1080" t="n"/>
      <c r="AC420" s="1080" t="n"/>
    </row>
    <row r="421">
      <c r="A421" s="1019" t="n"/>
      <c r="B421" s="1019" t="n"/>
      <c r="C421" s="1019" t="n"/>
      <c r="D421" s="1019" t="n"/>
      <c r="E421" s="1019" t="n"/>
      <c r="F421" s="1019" t="n"/>
      <c r="G421" s="1019" t="n"/>
      <c r="H421" s="1019" t="n"/>
      <c r="I421" s="1019" t="n"/>
      <c r="J421" s="1019" t="n"/>
      <c r="K421" s="1019" t="n"/>
      <c r="L421" s="1019" t="n"/>
      <c r="M421" s="1019" t="n"/>
      <c r="N421" s="1019" t="n"/>
      <c r="O421" s="1077" t="n"/>
      <c r="P421" s="1078" t="inlineStr">
        <is>
          <t>Итого</t>
        </is>
      </c>
      <c r="Q421" s="1039" t="n"/>
      <c r="R421" s="1039" t="n"/>
      <c r="S421" s="1039" t="n"/>
      <c r="T421" s="1039" t="n"/>
      <c r="U421" s="1039" t="n"/>
      <c r="V421" s="1040" t="n"/>
      <c r="W421" s="42" t="inlineStr">
        <is>
          <t>кг</t>
        </is>
      </c>
      <c r="X421" s="1079">
        <f>IFERROR(SUM(X418:X419),"0")</f>
        <v/>
      </c>
      <c r="Y421" s="1079">
        <f>IFERROR(SUM(Y418:Y419),"0")</f>
        <v/>
      </c>
      <c r="Z421" s="42" t="n"/>
      <c r="AA421" s="1080" t="n"/>
      <c r="AB421" s="1080" t="n"/>
      <c r="AC421" s="1080" t="n"/>
    </row>
    <row r="422" ht="16.5" customHeight="1">
      <c r="A422" s="721" t="inlineStr">
        <is>
          <t>Бавария</t>
        </is>
      </c>
      <c r="B422" s="1019" t="n"/>
      <c r="C422" s="1019" t="n"/>
      <c r="D422" s="1019" t="n"/>
      <c r="E422" s="1019" t="n"/>
      <c r="F422" s="1019" t="n"/>
      <c r="G422" s="1019" t="n"/>
      <c r="H422" s="1019" t="n"/>
      <c r="I422" s="1019" t="n"/>
      <c r="J422" s="1019" t="n"/>
      <c r="K422" s="1019" t="n"/>
      <c r="L422" s="1019" t="n"/>
      <c r="M422" s="1019" t="n"/>
      <c r="N422" s="1019" t="n"/>
      <c r="O422" s="1019" t="n"/>
      <c r="P422" s="1019" t="n"/>
      <c r="Q422" s="1019" t="n"/>
      <c r="R422" s="1019" t="n"/>
      <c r="S422" s="1019" t="n"/>
      <c r="T422" s="1019" t="n"/>
      <c r="U422" s="1019" t="n"/>
      <c r="V422" s="1019" t="n"/>
      <c r="W422" s="1019" t="n"/>
      <c r="X422" s="1019" t="n"/>
      <c r="Y422" s="1019" t="n"/>
      <c r="Z422" s="1019" t="n"/>
      <c r="AA422" s="721" t="n"/>
      <c r="AB422" s="721" t="n"/>
      <c r="AC422" s="721" t="n"/>
    </row>
    <row r="423" ht="14.25" customHeight="1">
      <c r="A423" s="722" t="inlineStr">
        <is>
          <t>Сосиски</t>
        </is>
      </c>
      <c r="B423" s="1019" t="n"/>
      <c r="C423" s="1019" t="n"/>
      <c r="D423" s="1019" t="n"/>
      <c r="E423" s="1019" t="n"/>
      <c r="F423" s="1019" t="n"/>
      <c r="G423" s="1019" t="n"/>
      <c r="H423" s="1019" t="n"/>
      <c r="I423" s="1019" t="n"/>
      <c r="J423" s="1019" t="n"/>
      <c r="K423" s="1019" t="n"/>
      <c r="L423" s="1019" t="n"/>
      <c r="M423" s="1019" t="n"/>
      <c r="N423" s="1019" t="n"/>
      <c r="O423" s="1019" t="n"/>
      <c r="P423" s="1019" t="n"/>
      <c r="Q423" s="1019" t="n"/>
      <c r="R423" s="1019" t="n"/>
      <c r="S423" s="1019" t="n"/>
      <c r="T423" s="1019" t="n"/>
      <c r="U423" s="1019" t="n"/>
      <c r="V423" s="1019" t="n"/>
      <c r="W423" s="1019" t="n"/>
      <c r="X423" s="1019" t="n"/>
      <c r="Y423" s="1019" t="n"/>
      <c r="Z423" s="1019" t="n"/>
      <c r="AA423" s="722" t="n"/>
      <c r="AB423" s="722" t="n"/>
      <c r="AC423" s="722" t="n"/>
    </row>
    <row r="424" ht="27" customHeight="1">
      <c r="A424" s="63" t="inlineStr">
        <is>
          <t>SU001835</t>
        </is>
      </c>
      <c r="B424" s="63" t="inlineStr">
        <is>
          <t>P002202</t>
        </is>
      </c>
      <c r="C424" s="36" t="n">
        <v>4301051489</v>
      </c>
      <c r="D424" s="723" t="n">
        <v>4607091387919</v>
      </c>
      <c r="E424" s="1031" t="n"/>
      <c r="F424" s="1070" t="n">
        <v>1.35</v>
      </c>
      <c r="G424" s="37" t="n">
        <v>6</v>
      </c>
      <c r="H424" s="1070" t="n">
        <v>8.1</v>
      </c>
      <c r="I424" s="1070" t="n">
        <v>8.593999999999999</v>
      </c>
      <c r="J424" s="37" t="n">
        <v>64</v>
      </c>
      <c r="K424" s="37" t="inlineStr">
        <is>
          <t>8</t>
        </is>
      </c>
      <c r="L424" s="37" t="inlineStr"/>
      <c r="M424" s="38" t="inlineStr">
        <is>
          <t>СК4</t>
        </is>
      </c>
      <c r="N424" s="38" t="n"/>
      <c r="O424" s="37" t="n">
        <v>45</v>
      </c>
      <c r="P424" s="1300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24" s="1072" t="n"/>
      <c r="R424" s="1072" t="n"/>
      <c r="S424" s="1072" t="n"/>
      <c r="T424" s="1073" t="n"/>
      <c r="U424" s="39" t="inlineStr"/>
      <c r="V424" s="39" t="inlineStr"/>
      <c r="W424" s="40" t="inlineStr">
        <is>
          <t>кг</t>
        </is>
      </c>
      <c r="X424" s="1074" t="n">
        <v>0</v>
      </c>
      <c r="Y424" s="1075">
        <f>IFERROR(IF(X424="",0,CEILING((X424/$H424),1)*$H424),"")</f>
        <v/>
      </c>
      <c r="Z424" s="41">
        <f>IFERROR(IF(Y424=0,"",ROUNDUP(Y424/H424,0)*0.01898),"")</f>
        <v/>
      </c>
      <c r="AA424" s="68" t="inlineStr"/>
      <c r="AB424" s="69" t="inlineStr"/>
      <c r="AC424" s="528" t="inlineStr">
        <is>
          <t>ЕАЭС N RU Д-RU.РА03.В.21237/26, ЕАЭС N RU Д-RU.РА11.В.38696/25</t>
        </is>
      </c>
      <c r="AG424" s="78" t="n"/>
      <c r="AJ424" s="84" t="inlineStr"/>
      <c r="AK424" s="84" t="n">
        <v>0</v>
      </c>
      <c r="BB424" s="529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SU003167</t>
        </is>
      </c>
      <c r="B425" s="63" t="inlineStr">
        <is>
          <t>P003363</t>
        </is>
      </c>
      <c r="C425" s="36" t="n">
        <v>4301051461</v>
      </c>
      <c r="D425" s="723" t="n">
        <v>4680115883604</v>
      </c>
      <c r="E425" s="1031" t="n"/>
      <c r="F425" s="1070" t="n">
        <v>0.35</v>
      </c>
      <c r="G425" s="37" t="n">
        <v>6</v>
      </c>
      <c r="H425" s="1070" t="n">
        <v>2.1</v>
      </c>
      <c r="I425" s="1070" t="n">
        <v>2.352</v>
      </c>
      <c r="J425" s="37" t="n">
        <v>182</v>
      </c>
      <c r="K425" s="37" t="inlineStr">
        <is>
          <t>14</t>
        </is>
      </c>
      <c r="L425" s="37" t="inlineStr"/>
      <c r="M425" s="38" t="inlineStr">
        <is>
          <t>СК3</t>
        </is>
      </c>
      <c r="N425" s="38" t="n"/>
      <c r="O425" s="37" t="n">
        <v>45</v>
      </c>
      <c r="P425" s="1301">
        <f>HYPERLINK("https://abi.ru/products/Охлажденные/Стародворье/Бавария/Сосиски/P003363/","Сосиски «Баварские» Фикс.вес 0,35 П/а ТМ «Стародворье»")</f>
        <v/>
      </c>
      <c r="Q425" s="1072" t="n"/>
      <c r="R425" s="1072" t="n"/>
      <c r="S425" s="1072" t="n"/>
      <c r="T425" s="1073" t="n"/>
      <c r="U425" s="39" t="inlineStr"/>
      <c r="V425" s="39" t="inlineStr"/>
      <c r="W425" s="40" t="inlineStr">
        <is>
          <t>кг</t>
        </is>
      </c>
      <c r="X425" s="1074" t="n">
        <v>6</v>
      </c>
      <c r="Y425" s="1075">
        <f>IFERROR(IF(X425="",0,CEILING((X425/$H425),1)*$H425),"")</f>
        <v/>
      </c>
      <c r="Z425" s="41">
        <f>IFERROR(IF(Y425=0,"",ROUNDUP(Y425/H425,0)*0.00651),"")</f>
        <v/>
      </c>
      <c r="AA425" s="68" t="inlineStr"/>
      <c r="AB425" s="69" t="inlineStr"/>
      <c r="AC425" s="530" t="inlineStr">
        <is>
          <t>ЕАЭС N RU Д-RU.РА03.В.17858/26, ЕАЭС N RU Д-RU.РА03.В.17919/26</t>
        </is>
      </c>
      <c r="AG425" s="78" t="n"/>
      <c r="AJ425" s="84" t="inlineStr"/>
      <c r="AK425" s="84" t="n">
        <v>0</v>
      </c>
      <c r="BB425" s="531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 ht="27" customHeight="1">
      <c r="A426" s="63" t="inlineStr">
        <is>
          <t>SU003168</t>
        </is>
      </c>
      <c r="B426" s="63" t="inlineStr">
        <is>
          <t>P003364</t>
        </is>
      </c>
      <c r="C426" s="36" t="n">
        <v>4301051864</v>
      </c>
      <c r="D426" s="723" t="n">
        <v>4680115883567</v>
      </c>
      <c r="E426" s="1031" t="n"/>
      <c r="F426" s="1070" t="n">
        <v>0.35</v>
      </c>
      <c r="G426" s="37" t="n">
        <v>6</v>
      </c>
      <c r="H426" s="1070" t="n">
        <v>2.1</v>
      </c>
      <c r="I426" s="1070" t="n">
        <v>2.34</v>
      </c>
      <c r="J426" s="37" t="n">
        <v>182</v>
      </c>
      <c r="K426" s="37" t="inlineStr">
        <is>
          <t>14</t>
        </is>
      </c>
      <c r="L426" s="37" t="inlineStr"/>
      <c r="M426" s="38" t="inlineStr">
        <is>
          <t>СК4</t>
        </is>
      </c>
      <c r="N426" s="38" t="n"/>
      <c r="O426" s="37" t="n">
        <v>40</v>
      </c>
      <c r="P426" s="1302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26" s="1072" t="n"/>
      <c r="R426" s="1072" t="n"/>
      <c r="S426" s="1072" t="n"/>
      <c r="T426" s="1073" t="n"/>
      <c r="U426" s="39" t="inlineStr"/>
      <c r="V426" s="39" t="inlineStr"/>
      <c r="W426" s="40" t="inlineStr">
        <is>
          <t>кг</t>
        </is>
      </c>
      <c r="X426" s="1074" t="n">
        <v>6</v>
      </c>
      <c r="Y426" s="1075">
        <f>IFERROR(IF(X426="",0,CEILING((X426/$H426),1)*$H426),"")</f>
        <v/>
      </c>
      <c r="Z426" s="41">
        <f>IFERROR(IF(Y426=0,"",ROUNDUP(Y426/H426,0)*0.00651),"")</f>
        <v/>
      </c>
      <c r="AA426" s="68" t="inlineStr"/>
      <c r="AB426" s="69" t="inlineStr"/>
      <c r="AC426" s="532" t="inlineStr">
        <is>
          <t>ЕАЭС N RU Д-RU.РА03.В.16893/26, ЕАЭС N RU Д-RU.РА04.В.80100/25</t>
        </is>
      </c>
      <c r="AG426" s="78" t="n"/>
      <c r="AJ426" s="84" t="inlineStr"/>
      <c r="AK426" s="84" t="n">
        <v>0</v>
      </c>
      <c r="BB426" s="533" t="inlineStr">
        <is>
          <t>КИ</t>
        </is>
      </c>
      <c r="BM426" s="78">
        <f>IFERROR(X426*I426/H426,"0")</f>
        <v/>
      </c>
      <c r="BN426" s="78">
        <f>IFERROR(Y426*I426/H426,"0")</f>
        <v/>
      </c>
      <c r="BO426" s="78">
        <f>IFERROR(1/J426*(X426/H426),"0")</f>
        <v/>
      </c>
      <c r="BP426" s="78">
        <f>IFERROR(1/J426*(Y426/H426),"0")</f>
        <v/>
      </c>
    </row>
    <row r="427">
      <c r="A427" s="732" t="n"/>
      <c r="B427" s="1019" t="n"/>
      <c r="C427" s="1019" t="n"/>
      <c r="D427" s="1019" t="n"/>
      <c r="E427" s="1019" t="n"/>
      <c r="F427" s="1019" t="n"/>
      <c r="G427" s="1019" t="n"/>
      <c r="H427" s="1019" t="n"/>
      <c r="I427" s="1019" t="n"/>
      <c r="J427" s="1019" t="n"/>
      <c r="K427" s="1019" t="n"/>
      <c r="L427" s="1019" t="n"/>
      <c r="M427" s="1019" t="n"/>
      <c r="N427" s="1019" t="n"/>
      <c r="O427" s="1077" t="n"/>
      <c r="P427" s="1078" t="inlineStr">
        <is>
          <t>Итого</t>
        </is>
      </c>
      <c r="Q427" s="1039" t="n"/>
      <c r="R427" s="1039" t="n"/>
      <c r="S427" s="1039" t="n"/>
      <c r="T427" s="1039" t="n"/>
      <c r="U427" s="1039" t="n"/>
      <c r="V427" s="1040" t="n"/>
      <c r="W427" s="42" t="inlineStr">
        <is>
          <t>кор</t>
        </is>
      </c>
      <c r="X427" s="1079">
        <f>IFERROR(X424/H424,"0")+IFERROR(X425/H425,"0")+IFERROR(X426/H426,"0")</f>
        <v/>
      </c>
      <c r="Y427" s="1079">
        <f>IFERROR(Y424/H424,"0")+IFERROR(Y425/H425,"0")+IFERROR(Y426/H426,"0")</f>
        <v/>
      </c>
      <c r="Z427" s="1079">
        <f>IFERROR(IF(Z424="",0,Z424),"0")+IFERROR(IF(Z425="",0,Z425),"0")+IFERROR(IF(Z426="",0,Z426),"0")</f>
        <v/>
      </c>
      <c r="AA427" s="1080" t="n"/>
      <c r="AB427" s="1080" t="n"/>
      <c r="AC427" s="1080" t="n"/>
    </row>
    <row r="428">
      <c r="A428" s="1019" t="n"/>
      <c r="B428" s="1019" t="n"/>
      <c r="C428" s="1019" t="n"/>
      <c r="D428" s="1019" t="n"/>
      <c r="E428" s="1019" t="n"/>
      <c r="F428" s="1019" t="n"/>
      <c r="G428" s="1019" t="n"/>
      <c r="H428" s="1019" t="n"/>
      <c r="I428" s="1019" t="n"/>
      <c r="J428" s="1019" t="n"/>
      <c r="K428" s="1019" t="n"/>
      <c r="L428" s="1019" t="n"/>
      <c r="M428" s="1019" t="n"/>
      <c r="N428" s="1019" t="n"/>
      <c r="O428" s="1077" t="n"/>
      <c r="P428" s="1078" t="inlineStr">
        <is>
          <t>Итого</t>
        </is>
      </c>
      <c r="Q428" s="1039" t="n"/>
      <c r="R428" s="1039" t="n"/>
      <c r="S428" s="1039" t="n"/>
      <c r="T428" s="1039" t="n"/>
      <c r="U428" s="1039" t="n"/>
      <c r="V428" s="1040" t="n"/>
      <c r="W428" s="42" t="inlineStr">
        <is>
          <t>кг</t>
        </is>
      </c>
      <c r="X428" s="1079">
        <f>IFERROR(SUM(X424:X426),"0")</f>
        <v/>
      </c>
      <c r="Y428" s="1079">
        <f>IFERROR(SUM(Y424:Y426),"0")</f>
        <v/>
      </c>
      <c r="Z428" s="42" t="n"/>
      <c r="AA428" s="1080" t="n"/>
      <c r="AB428" s="1080" t="n"/>
      <c r="AC428" s="1080" t="n"/>
    </row>
    <row r="429" ht="27.75" customHeight="1">
      <c r="A429" s="720" t="inlineStr">
        <is>
          <t>Особый рецепт</t>
        </is>
      </c>
      <c r="B429" s="1069" t="n"/>
      <c r="C429" s="1069" t="n"/>
      <c r="D429" s="1069" t="n"/>
      <c r="E429" s="1069" t="n"/>
      <c r="F429" s="1069" t="n"/>
      <c r="G429" s="1069" t="n"/>
      <c r="H429" s="1069" t="n"/>
      <c r="I429" s="1069" t="n"/>
      <c r="J429" s="1069" t="n"/>
      <c r="K429" s="1069" t="n"/>
      <c r="L429" s="1069" t="n"/>
      <c r="M429" s="1069" t="n"/>
      <c r="N429" s="1069" t="n"/>
      <c r="O429" s="1069" t="n"/>
      <c r="P429" s="1069" t="n"/>
      <c r="Q429" s="1069" t="n"/>
      <c r="R429" s="1069" t="n"/>
      <c r="S429" s="1069" t="n"/>
      <c r="T429" s="1069" t="n"/>
      <c r="U429" s="1069" t="n"/>
      <c r="V429" s="1069" t="n"/>
      <c r="W429" s="1069" t="n"/>
      <c r="X429" s="1069" t="n"/>
      <c r="Y429" s="1069" t="n"/>
      <c r="Z429" s="1069" t="n"/>
      <c r="AA429" s="54" t="n"/>
      <c r="AB429" s="54" t="n"/>
      <c r="AC429" s="54" t="n"/>
    </row>
    <row r="430" ht="16.5" customHeight="1">
      <c r="A430" s="721" t="inlineStr">
        <is>
          <t>Особая</t>
        </is>
      </c>
      <c r="B430" s="1019" t="n"/>
      <c r="C430" s="1019" t="n"/>
      <c r="D430" s="1019" t="n"/>
      <c r="E430" s="1019" t="n"/>
      <c r="F430" s="1019" t="n"/>
      <c r="G430" s="1019" t="n"/>
      <c r="H430" s="1019" t="n"/>
      <c r="I430" s="1019" t="n"/>
      <c r="J430" s="1019" t="n"/>
      <c r="K430" s="1019" t="n"/>
      <c r="L430" s="1019" t="n"/>
      <c r="M430" s="1019" t="n"/>
      <c r="N430" s="1019" t="n"/>
      <c r="O430" s="1019" t="n"/>
      <c r="P430" s="1019" t="n"/>
      <c r="Q430" s="1019" t="n"/>
      <c r="R430" s="1019" t="n"/>
      <c r="S430" s="1019" t="n"/>
      <c r="T430" s="1019" t="n"/>
      <c r="U430" s="1019" t="n"/>
      <c r="V430" s="1019" t="n"/>
      <c r="W430" s="1019" t="n"/>
      <c r="X430" s="1019" t="n"/>
      <c r="Y430" s="1019" t="n"/>
      <c r="Z430" s="1019" t="n"/>
      <c r="AA430" s="721" t="n"/>
      <c r="AB430" s="721" t="n"/>
      <c r="AC430" s="721" t="n"/>
    </row>
    <row r="431" ht="14.25" customHeight="1">
      <c r="A431" s="722" t="inlineStr">
        <is>
          <t>Вареные колбасы</t>
        </is>
      </c>
      <c r="B431" s="1019" t="n"/>
      <c r="C431" s="1019" t="n"/>
      <c r="D431" s="1019" t="n"/>
      <c r="E431" s="1019" t="n"/>
      <c r="F431" s="1019" t="n"/>
      <c r="G431" s="1019" t="n"/>
      <c r="H431" s="1019" t="n"/>
      <c r="I431" s="1019" t="n"/>
      <c r="J431" s="1019" t="n"/>
      <c r="K431" s="1019" t="n"/>
      <c r="L431" s="1019" t="n"/>
      <c r="M431" s="1019" t="n"/>
      <c r="N431" s="1019" t="n"/>
      <c r="O431" s="1019" t="n"/>
      <c r="P431" s="1019" t="n"/>
      <c r="Q431" s="1019" t="n"/>
      <c r="R431" s="1019" t="n"/>
      <c r="S431" s="1019" t="n"/>
      <c r="T431" s="1019" t="n"/>
      <c r="U431" s="1019" t="n"/>
      <c r="V431" s="1019" t="n"/>
      <c r="W431" s="1019" t="n"/>
      <c r="X431" s="1019" t="n"/>
      <c r="Y431" s="1019" t="n"/>
      <c r="Z431" s="1019" t="n"/>
      <c r="AA431" s="722" t="n"/>
      <c r="AB431" s="722" t="n"/>
      <c r="AC431" s="722" t="n"/>
    </row>
    <row r="432" ht="27" customHeight="1">
      <c r="A432" s="63" t="inlineStr">
        <is>
          <t>SU004131</t>
        </is>
      </c>
      <c r="B432" s="63" t="inlineStr">
        <is>
          <t>P005388</t>
        </is>
      </c>
      <c r="C432" s="36" t="n">
        <v>4301012332</v>
      </c>
      <c r="D432" s="723" t="n">
        <v>4680115888401</v>
      </c>
      <c r="E432" s="1031" t="n"/>
      <c r="F432" s="1070" t="n">
        <v>2.5</v>
      </c>
      <c r="G432" s="37" t="n">
        <v>6</v>
      </c>
      <c r="H432" s="1070" t="n">
        <v>15</v>
      </c>
      <c r="I432" s="1070" t="n">
        <v>15.47</v>
      </c>
      <c r="J432" s="37" t="n">
        <v>48</v>
      </c>
      <c r="K432" s="37" t="inlineStr">
        <is>
          <t>8</t>
        </is>
      </c>
      <c r="L432" s="37" t="inlineStr"/>
      <c r="M432" s="38" t="inlineStr">
        <is>
          <t>СК4</t>
        </is>
      </c>
      <c r="N432" s="38" t="n"/>
      <c r="O432" s="37" t="n">
        <v>60</v>
      </c>
      <c r="P432" s="1303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32" s="1072" t="n"/>
      <c r="R432" s="1072" t="n"/>
      <c r="S432" s="1072" t="n"/>
      <c r="T432" s="1073" t="n"/>
      <c r="U432" s="39" t="inlineStr"/>
      <c r="V432" s="39" t="inlineStr"/>
      <c r="W432" s="40" t="inlineStr">
        <is>
          <t>кг</t>
        </is>
      </c>
      <c r="X432" s="1074" t="n">
        <v>0</v>
      </c>
      <c r="Y432" s="1075">
        <f>IFERROR(IF(X432="",0,CEILING((X432/$H432),1)*$H432),"")</f>
        <v/>
      </c>
      <c r="Z432" s="41">
        <f>IFERROR(IF(Y432=0,"",ROUNDUP(Y432/H432,0)*0.02175),"")</f>
        <v/>
      </c>
      <c r="AA432" s="68" t="inlineStr"/>
      <c r="AB432" s="69" t="inlineStr"/>
      <c r="AC432" s="534" t="inlineStr">
        <is>
          <t>ЕАЭС N RU Д-RU.РА02.В.09568/26</t>
        </is>
      </c>
      <c r="AG432" s="78" t="n"/>
      <c r="AJ432" s="84" t="inlineStr"/>
      <c r="AK432" s="84" t="n">
        <v>0</v>
      </c>
      <c r="BB432" s="535" t="inlineStr">
        <is>
          <t>КИ</t>
        </is>
      </c>
      <c r="BM432" s="78">
        <f>IFERROR(X432*I432/H432,"0")</f>
        <v/>
      </c>
      <c r="BN432" s="78">
        <f>IFERROR(Y432*I432/H432,"0")</f>
        <v/>
      </c>
      <c r="BO432" s="78">
        <f>IFERROR(1/J432*(X432/H432),"0")</f>
        <v/>
      </c>
      <c r="BP432" s="78">
        <f>IFERROR(1/J432*(Y432/H432),"0")</f>
        <v/>
      </c>
    </row>
    <row r="433" ht="37.5" customHeight="1">
      <c r="A433" s="63" t="inlineStr">
        <is>
          <t>SU003422</t>
        </is>
      </c>
      <c r="B433" s="63" t="inlineStr">
        <is>
          <t>P004256</t>
        </is>
      </c>
      <c r="C433" s="36" t="n">
        <v>4301011869</v>
      </c>
      <c r="D433" s="723" t="n">
        <v>4680115884847</v>
      </c>
      <c r="E433" s="1031" t="n"/>
      <c r="F433" s="1070" t="n">
        <v>2.5</v>
      </c>
      <c r="G433" s="37" t="n">
        <v>6</v>
      </c>
      <c r="H433" s="1070" t="n">
        <v>15</v>
      </c>
      <c r="I433" s="1070" t="n">
        <v>15.47</v>
      </c>
      <c r="J433" s="37" t="n">
        <v>48</v>
      </c>
      <c r="K433" s="37" t="inlineStr">
        <is>
          <t>8</t>
        </is>
      </c>
      <c r="L433" s="37" t="inlineStr"/>
      <c r="M433" s="38" t="inlineStr">
        <is>
          <t>СК2</t>
        </is>
      </c>
      <c r="N433" s="38" t="n"/>
      <c r="O433" s="37" t="n">
        <v>60</v>
      </c>
      <c r="P433" s="1304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33" s="1072" t="n"/>
      <c r="R433" s="1072" t="n"/>
      <c r="S433" s="1072" t="n"/>
      <c r="T433" s="1073" t="n"/>
      <c r="U433" s="39" t="inlineStr"/>
      <c r="V433" s="39" t="inlineStr"/>
      <c r="W433" s="40" t="inlineStr">
        <is>
          <t>кг</t>
        </is>
      </c>
      <c r="X433" s="1074" t="n">
        <v>132</v>
      </c>
      <c r="Y433" s="1075">
        <f>IFERROR(IF(X433="",0,CEILING((X433/$H433),1)*$H433),"")</f>
        <v/>
      </c>
      <c r="Z433" s="41">
        <f>IFERROR(IF(Y433=0,"",ROUNDUP(Y433/H433,0)*0.02175),"")</f>
        <v/>
      </c>
      <c r="AA433" s="68" t="inlineStr"/>
      <c r="AB433" s="69" t="inlineStr"/>
      <c r="AC433" s="536" t="inlineStr">
        <is>
          <t>ЕАЭС N RU Д-RU.РА08.В.47937/25, ЕАЭС N RU Д-RU.РА08.В.48219/25, ЕАЭС N RU Д-RU.РА08.В.48410/25</t>
        </is>
      </c>
      <c r="AG433" s="78" t="n"/>
      <c r="AJ433" s="84" t="inlineStr"/>
      <c r="AK433" s="84" t="n">
        <v>0</v>
      </c>
      <c r="BB433" s="537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 ht="27" customHeight="1">
      <c r="A434" s="63" t="inlineStr">
        <is>
          <t>SU003423</t>
        </is>
      </c>
      <c r="B434" s="63" t="inlineStr">
        <is>
          <t>P004257</t>
        </is>
      </c>
      <c r="C434" s="36" t="n">
        <v>4301012083</v>
      </c>
      <c r="D434" s="723" t="n">
        <v>4680115884854</v>
      </c>
      <c r="E434" s="1031" t="n"/>
      <c r="F434" s="1070" t="n">
        <v>2.5</v>
      </c>
      <c r="G434" s="37" t="n">
        <v>6</v>
      </c>
      <c r="H434" s="1070" t="n">
        <v>15</v>
      </c>
      <c r="I434" s="1070" t="n">
        <v>15.47</v>
      </c>
      <c r="J434" s="37" t="n">
        <v>48</v>
      </c>
      <c r="K434" s="37" t="inlineStr">
        <is>
          <t>8</t>
        </is>
      </c>
      <c r="L434" s="37" t="inlineStr"/>
      <c r="M434" s="38" t="inlineStr">
        <is>
          <t>СК1</t>
        </is>
      </c>
      <c r="N434" s="38" t="n"/>
      <c r="O434" s="37" t="n">
        <v>60</v>
      </c>
      <c r="P434" s="1305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34" s="1072" t="n"/>
      <c r="R434" s="1072" t="n"/>
      <c r="S434" s="1072" t="n"/>
      <c r="T434" s="1073" t="n"/>
      <c r="U434" s="39" t="inlineStr"/>
      <c r="V434" s="39" t="inlineStr"/>
      <c r="W434" s="40" t="inlineStr">
        <is>
          <t>кг</t>
        </is>
      </c>
      <c r="X434" s="1074" t="n">
        <v>627</v>
      </c>
      <c r="Y434" s="1075">
        <f>IFERROR(IF(X434="",0,CEILING((X434/$H434),1)*$H434),"")</f>
        <v/>
      </c>
      <c r="Z434" s="41">
        <f>IFERROR(IF(Y434=0,"",ROUNDUP(Y434/H434,0)*0.02175),"")</f>
        <v/>
      </c>
      <c r="AA434" s="68" t="inlineStr"/>
      <c r="AB434" s="69" t="inlineStr"/>
      <c r="AC434" s="538" t="inlineStr">
        <is>
          <t>ЕАЭС N RU Д-RU.РА08.В.48516/25</t>
        </is>
      </c>
      <c r="AG434" s="78" t="n"/>
      <c r="AJ434" s="84" t="inlineStr"/>
      <c r="AK434" s="84" t="n">
        <v>0</v>
      </c>
      <c r="BB434" s="539" t="inlineStr">
        <is>
          <t>КИ</t>
        </is>
      </c>
      <c r="BM434" s="78">
        <f>IFERROR(X434*I434/H434,"0")</f>
        <v/>
      </c>
      <c r="BN434" s="78">
        <f>IFERROR(Y434*I434/H434,"0")</f>
        <v/>
      </c>
      <c r="BO434" s="78">
        <f>IFERROR(1/J434*(X434/H434),"0")</f>
        <v/>
      </c>
      <c r="BP434" s="78">
        <f>IFERROR(1/J434*(Y434/H434),"0")</f>
        <v/>
      </c>
    </row>
    <row r="435" ht="27" customHeight="1">
      <c r="A435" s="63" t="inlineStr">
        <is>
          <t>SU003420</t>
        </is>
      </c>
      <c r="B435" s="63" t="inlineStr">
        <is>
          <t>P004252</t>
        </is>
      </c>
      <c r="C435" s="36" t="n">
        <v>4301011867</v>
      </c>
      <c r="D435" s="723" t="n">
        <v>4680115884830</v>
      </c>
      <c r="E435" s="1031" t="n"/>
      <c r="F435" s="1070" t="n">
        <v>2.5</v>
      </c>
      <c r="G435" s="37" t="n">
        <v>6</v>
      </c>
      <c r="H435" s="1070" t="n">
        <v>15</v>
      </c>
      <c r="I435" s="1070" t="n">
        <v>15.47</v>
      </c>
      <c r="J435" s="37" t="n">
        <v>48</v>
      </c>
      <c r="K435" s="37" t="inlineStr">
        <is>
          <t>8</t>
        </is>
      </c>
      <c r="L435" s="37" t="inlineStr"/>
      <c r="M435" s="38" t="inlineStr">
        <is>
          <t>СК2</t>
        </is>
      </c>
      <c r="N435" s="38" t="n"/>
      <c r="O435" s="37" t="n">
        <v>60</v>
      </c>
      <c r="P435" s="1306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35" s="1072" t="n"/>
      <c r="R435" s="1072" t="n"/>
      <c r="S435" s="1072" t="n"/>
      <c r="T435" s="1073" t="n"/>
      <c r="U435" s="39" t="inlineStr"/>
      <c r="V435" s="39" t="inlineStr"/>
      <c r="W435" s="40" t="inlineStr">
        <is>
          <t>кг</t>
        </is>
      </c>
      <c r="X435" s="1074" t="n">
        <v>875</v>
      </c>
      <c r="Y435" s="1075">
        <f>IFERROR(IF(X435="",0,CEILING((X435/$H435),1)*$H435),"")</f>
        <v/>
      </c>
      <c r="Z435" s="41">
        <f>IFERROR(IF(Y435=0,"",ROUNDUP(Y435/H435,0)*0.02175),"")</f>
        <v/>
      </c>
      <c r="AA435" s="68" t="inlineStr"/>
      <c r="AB435" s="69" t="inlineStr"/>
      <c r="AC435" s="540" t="inlineStr">
        <is>
          <t>ЕАЭС N RU Д-RU.РА09.В.21652/25, ЕАЭС N RU Д-RU.РА11.В.72187/25</t>
        </is>
      </c>
      <c r="AG435" s="78" t="n"/>
      <c r="AJ435" s="84" t="inlineStr"/>
      <c r="AK435" s="84" t="n">
        <v>0</v>
      </c>
      <c r="BB435" s="54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27" customHeight="1">
      <c r="A436" s="63" t="inlineStr">
        <is>
          <t>SU004238</t>
        </is>
      </c>
      <c r="B436" s="63" t="inlineStr">
        <is>
          <t>P005467</t>
        </is>
      </c>
      <c r="C436" s="36" t="n">
        <v>4301012356</v>
      </c>
      <c r="D436" s="723" t="n">
        <v>4680115889231</v>
      </c>
      <c r="E436" s="1031" t="n"/>
      <c r="F436" s="1070" t="n">
        <v>2.5</v>
      </c>
      <c r="G436" s="37" t="n">
        <v>6</v>
      </c>
      <c r="H436" s="1070" t="n">
        <v>15</v>
      </c>
      <c r="I436" s="1070" t="n">
        <v>15.47</v>
      </c>
      <c r="J436" s="37" t="n">
        <v>48</v>
      </c>
      <c r="K436" s="37" t="inlineStr">
        <is>
          <t>8</t>
        </is>
      </c>
      <c r="L436" s="37" t="inlineStr"/>
      <c r="M436" s="38" t="inlineStr">
        <is>
          <t>СК4</t>
        </is>
      </c>
      <c r="N436" s="38" t="n"/>
      <c r="O436" s="37" t="n">
        <v>60</v>
      </c>
      <c r="P436" s="1307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36" s="1072" t="n"/>
      <c r="R436" s="1072" t="n"/>
      <c r="S436" s="1072" t="n"/>
      <c r="T436" s="1073" t="n"/>
      <c r="U436" s="39" t="inlineStr"/>
      <c r="V436" s="39" t="inlineStr"/>
      <c r="W436" s="40" t="inlineStr">
        <is>
          <t>кг</t>
        </is>
      </c>
      <c r="X436" s="1074" t="n">
        <v>0</v>
      </c>
      <c r="Y436" s="1075">
        <f>IFERROR(IF(X436="",0,CEILING((X436/$H436),1)*$H436),"")</f>
        <v/>
      </c>
      <c r="Z436" s="41">
        <f>IFERROR(IF(Y436=0,"",ROUNDUP(Y436/H436,0)*0.02175),"")</f>
        <v/>
      </c>
      <c r="AA436" s="68" t="inlineStr"/>
      <c r="AB436" s="69" t="inlineStr"/>
      <c r="AC436" s="542" t="inlineStr">
        <is>
          <t>ЕАЭС N RU Д-RU.РА05.В.11079/26</t>
        </is>
      </c>
      <c r="AG436" s="78" t="n"/>
      <c r="AJ436" s="84" t="inlineStr"/>
      <c r="AK436" s="84" t="n">
        <v>0</v>
      </c>
      <c r="BB436" s="54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 ht="27" customHeight="1">
      <c r="A437" s="63" t="inlineStr">
        <is>
          <t>SU002787</t>
        </is>
      </c>
      <c r="B437" s="63" t="inlineStr">
        <is>
          <t>P003189</t>
        </is>
      </c>
      <c r="C437" s="36" t="n">
        <v>4301011433</v>
      </c>
      <c r="D437" s="723" t="n">
        <v>4680115882638</v>
      </c>
      <c r="E437" s="1031" t="n"/>
      <c r="F437" s="1070" t="n">
        <v>0.4</v>
      </c>
      <c r="G437" s="37" t="n">
        <v>10</v>
      </c>
      <c r="H437" s="1070" t="n">
        <v>4</v>
      </c>
      <c r="I437" s="1070" t="n">
        <v>4.19</v>
      </c>
      <c r="J437" s="37" t="n">
        <v>132</v>
      </c>
      <c r="K437" s="37" t="inlineStr">
        <is>
          <t>12</t>
        </is>
      </c>
      <c r="L437" s="37" t="inlineStr"/>
      <c r="M437" s="38" t="inlineStr">
        <is>
          <t>СК1</t>
        </is>
      </c>
      <c r="N437" s="38" t="n"/>
      <c r="O437" s="37" t="n">
        <v>90</v>
      </c>
      <c r="P437" s="1308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37" s="1072" t="n"/>
      <c r="R437" s="1072" t="n"/>
      <c r="S437" s="1072" t="n"/>
      <c r="T437" s="1073" t="n"/>
      <c r="U437" s="39" t="inlineStr"/>
      <c r="V437" s="39" t="inlineStr"/>
      <c r="W437" s="40" t="inlineStr">
        <is>
          <t>кг</t>
        </is>
      </c>
      <c r="X437" s="1074" t="n">
        <v>0</v>
      </c>
      <c r="Y437" s="1075">
        <f>IFERROR(IF(X437="",0,CEILING((X437/$H437),1)*$H437),"")</f>
        <v/>
      </c>
      <c r="Z437" s="41">
        <f>IFERROR(IF(Y437=0,"",ROUNDUP(Y437/H437,0)*0.00902),"")</f>
        <v/>
      </c>
      <c r="AA437" s="68" t="inlineStr"/>
      <c r="AB437" s="69" t="inlineStr"/>
      <c r="AC437" s="544" t="inlineStr">
        <is>
          <t>ЕАЭС N RU Д-RU.РА05.В.71568/26</t>
        </is>
      </c>
      <c r="AG437" s="78" t="n"/>
      <c r="AJ437" s="84" t="inlineStr"/>
      <c r="AK437" s="84" t="n">
        <v>0</v>
      </c>
      <c r="BB437" s="545" t="inlineStr">
        <is>
          <t>КИ</t>
        </is>
      </c>
      <c r="BM437" s="78">
        <f>IFERROR(X437*I437/H437,"0")</f>
        <v/>
      </c>
      <c r="BN437" s="78">
        <f>IFERROR(Y437*I437/H437,"0")</f>
        <v/>
      </c>
      <c r="BO437" s="78">
        <f>IFERROR(1/J437*(X437/H437),"0")</f>
        <v/>
      </c>
      <c r="BP437" s="78">
        <f>IFERROR(1/J437*(Y437/H437),"0")</f>
        <v/>
      </c>
    </row>
    <row r="438" ht="27" customHeight="1">
      <c r="A438" s="63" t="inlineStr">
        <is>
          <t>SU003432</t>
        </is>
      </c>
      <c r="B438" s="63" t="inlineStr">
        <is>
          <t>P004347</t>
        </is>
      </c>
      <c r="C438" s="36" t="n">
        <v>4301011952</v>
      </c>
      <c r="D438" s="723" t="n">
        <v>4680115884922</v>
      </c>
      <c r="E438" s="1031" t="n"/>
      <c r="F438" s="1070" t="n">
        <v>0.5</v>
      </c>
      <c r="G438" s="37" t="n">
        <v>10</v>
      </c>
      <c r="H438" s="1070" t="n">
        <v>5</v>
      </c>
      <c r="I438" s="1070" t="n">
        <v>5.19</v>
      </c>
      <c r="J438" s="37" t="n">
        <v>132</v>
      </c>
      <c r="K438" s="37" t="inlineStr">
        <is>
          <t>12</t>
        </is>
      </c>
      <c r="L438" s="37" t="inlineStr"/>
      <c r="M438" s="38" t="inlineStr">
        <is>
          <t>СК2</t>
        </is>
      </c>
      <c r="N438" s="38" t="n"/>
      <c r="O438" s="37" t="n">
        <v>60</v>
      </c>
      <c r="P438" s="1309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38" s="1072" t="n"/>
      <c r="R438" s="1072" t="n"/>
      <c r="S438" s="1072" t="n"/>
      <c r="T438" s="1073" t="n"/>
      <c r="U438" s="39" t="inlineStr"/>
      <c r="V438" s="39" t="inlineStr"/>
      <c r="W438" s="40" t="inlineStr">
        <is>
          <t>кг</t>
        </is>
      </c>
      <c r="X438" s="1074" t="n">
        <v>0</v>
      </c>
      <c r="Y438" s="1075">
        <f>IFERROR(IF(X438="",0,CEILING((X438/$H438),1)*$H438),"")</f>
        <v/>
      </c>
      <c r="Z438" s="41">
        <f>IFERROR(IF(Y438=0,"",ROUNDUP(Y438/H438,0)*0.00902),"")</f>
        <v/>
      </c>
      <c r="AA438" s="68" t="inlineStr"/>
      <c r="AB438" s="69" t="inlineStr"/>
      <c r="AC438" s="546" t="inlineStr">
        <is>
          <t>ЕАЭС N RU Д-RU.РА02.В.61635/24, ЕАЭС N RU Д-RU.РА08.В.48516/25</t>
        </is>
      </c>
      <c r="AG438" s="78" t="n"/>
      <c r="AJ438" s="84" t="inlineStr"/>
      <c r="AK438" s="84" t="n">
        <v>0</v>
      </c>
      <c r="BB438" s="547" t="inlineStr">
        <is>
          <t>КИ</t>
        </is>
      </c>
      <c r="BM438" s="78">
        <f>IFERROR(X438*I438/H438,"0")</f>
        <v/>
      </c>
      <c r="BN438" s="78">
        <f>IFERROR(Y438*I438/H438,"0")</f>
        <v/>
      </c>
      <c r="BO438" s="78">
        <f>IFERROR(1/J438*(X438/H438),"0")</f>
        <v/>
      </c>
      <c r="BP438" s="78">
        <f>IFERROR(1/J438*(Y438/H438),"0")</f>
        <v/>
      </c>
    </row>
    <row r="439" ht="37.5" customHeight="1">
      <c r="A439" s="63" t="inlineStr">
        <is>
          <t>SU003421</t>
        </is>
      </c>
      <c r="B439" s="63" t="inlineStr">
        <is>
          <t>P004253</t>
        </is>
      </c>
      <c r="C439" s="36" t="n">
        <v>4301011868</v>
      </c>
      <c r="D439" s="723" t="n">
        <v>4680115884861</v>
      </c>
      <c r="E439" s="1031" t="n"/>
      <c r="F439" s="1070" t="n">
        <v>0.5</v>
      </c>
      <c r="G439" s="37" t="n">
        <v>10</v>
      </c>
      <c r="H439" s="1070" t="n">
        <v>5</v>
      </c>
      <c r="I439" s="1070" t="n">
        <v>5.19</v>
      </c>
      <c r="J439" s="37" t="n">
        <v>132</v>
      </c>
      <c r="K439" s="37" t="inlineStr">
        <is>
          <t>12</t>
        </is>
      </c>
      <c r="L439" s="37" t="inlineStr"/>
      <c r="M439" s="38" t="inlineStr">
        <is>
          <t>СК2</t>
        </is>
      </c>
      <c r="N439" s="38" t="n"/>
      <c r="O439" s="37" t="n">
        <v>60</v>
      </c>
      <c r="P439" s="1310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39" s="1072" t="n"/>
      <c r="R439" s="1072" t="n"/>
      <c r="S439" s="1072" t="n"/>
      <c r="T439" s="1073" t="n"/>
      <c r="U439" s="39" t="inlineStr"/>
      <c r="V439" s="39" t="inlineStr"/>
      <c r="W439" s="40" t="inlineStr">
        <is>
          <t>кг</t>
        </is>
      </c>
      <c r="X439" s="1074" t="n">
        <v>0</v>
      </c>
      <c r="Y439" s="1075">
        <f>IFERROR(IF(X439="",0,CEILING((X439/$H439),1)*$H439),"")</f>
        <v/>
      </c>
      <c r="Z439" s="41">
        <f>IFERROR(IF(Y439=0,"",ROUNDUP(Y439/H439,0)*0.00902),"")</f>
        <v/>
      </c>
      <c r="AA439" s="68" t="inlineStr"/>
      <c r="AB439" s="69" t="inlineStr"/>
      <c r="AC439" s="548" t="inlineStr">
        <is>
          <t>ЕАЭС N RU Д-RU.РА03.В.08506/26, ЕАЭС N RU Д-RU.РА09.В.21652/25, ЕАЭС N RU Д-RU.РА11.В.72187/25</t>
        </is>
      </c>
      <c r="AG439" s="78" t="n"/>
      <c r="AJ439" s="84" t="inlineStr"/>
      <c r="AK439" s="84" t="n">
        <v>0</v>
      </c>
      <c r="BB439" s="549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>
      <c r="A440" s="732" t="n"/>
      <c r="B440" s="1019" t="n"/>
      <c r="C440" s="1019" t="n"/>
      <c r="D440" s="1019" t="n"/>
      <c r="E440" s="1019" t="n"/>
      <c r="F440" s="1019" t="n"/>
      <c r="G440" s="1019" t="n"/>
      <c r="H440" s="1019" t="n"/>
      <c r="I440" s="1019" t="n"/>
      <c r="J440" s="1019" t="n"/>
      <c r="K440" s="1019" t="n"/>
      <c r="L440" s="1019" t="n"/>
      <c r="M440" s="1019" t="n"/>
      <c r="N440" s="1019" t="n"/>
      <c r="O440" s="1077" t="n"/>
      <c r="P440" s="1078" t="inlineStr">
        <is>
          <t>Итого</t>
        </is>
      </c>
      <c r="Q440" s="1039" t="n"/>
      <c r="R440" s="1039" t="n"/>
      <c r="S440" s="1039" t="n"/>
      <c r="T440" s="1039" t="n"/>
      <c r="U440" s="1039" t="n"/>
      <c r="V440" s="1040" t="n"/>
      <c r="W440" s="42" t="inlineStr">
        <is>
          <t>кор</t>
        </is>
      </c>
      <c r="X440" s="1079">
        <f>IFERROR(X432/H432,"0")+IFERROR(X433/H433,"0")+IFERROR(X434/H434,"0")+IFERROR(X435/H435,"0")+IFERROR(X436/H436,"0")+IFERROR(X437/H437,"0")+IFERROR(X438/H438,"0")+IFERROR(X439/H439,"0")</f>
        <v/>
      </c>
      <c r="Y440" s="1079">
        <f>IFERROR(Y432/H432,"0")+IFERROR(Y433/H433,"0")+IFERROR(Y434/H434,"0")+IFERROR(Y435/H435,"0")+IFERROR(Y436/H436,"0")+IFERROR(Y437/H437,"0")+IFERROR(Y438/H438,"0")+IFERROR(Y439/H439,"0")</f>
        <v/>
      </c>
      <c r="Z440" s="1079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/>
      </c>
      <c r="AA440" s="1080" t="n"/>
      <c r="AB440" s="1080" t="n"/>
      <c r="AC440" s="1080" t="n"/>
    </row>
    <row r="441">
      <c r="A441" s="1019" t="n"/>
      <c r="B441" s="1019" t="n"/>
      <c r="C441" s="1019" t="n"/>
      <c r="D441" s="1019" t="n"/>
      <c r="E441" s="1019" t="n"/>
      <c r="F441" s="1019" t="n"/>
      <c r="G441" s="1019" t="n"/>
      <c r="H441" s="1019" t="n"/>
      <c r="I441" s="1019" t="n"/>
      <c r="J441" s="1019" t="n"/>
      <c r="K441" s="1019" t="n"/>
      <c r="L441" s="1019" t="n"/>
      <c r="M441" s="1019" t="n"/>
      <c r="N441" s="1019" t="n"/>
      <c r="O441" s="1077" t="n"/>
      <c r="P441" s="1078" t="inlineStr">
        <is>
          <t>Итого</t>
        </is>
      </c>
      <c r="Q441" s="1039" t="n"/>
      <c r="R441" s="1039" t="n"/>
      <c r="S441" s="1039" t="n"/>
      <c r="T441" s="1039" t="n"/>
      <c r="U441" s="1039" t="n"/>
      <c r="V441" s="1040" t="n"/>
      <c r="W441" s="42" t="inlineStr">
        <is>
          <t>кг</t>
        </is>
      </c>
      <c r="X441" s="1079">
        <f>IFERROR(SUM(X432:X439),"0")</f>
        <v/>
      </c>
      <c r="Y441" s="1079">
        <f>IFERROR(SUM(Y432:Y439),"0")</f>
        <v/>
      </c>
      <c r="Z441" s="42" t="n"/>
      <c r="AA441" s="1080" t="n"/>
      <c r="AB441" s="1080" t="n"/>
      <c r="AC441" s="1080" t="n"/>
    </row>
    <row r="442" ht="14.25" customHeight="1">
      <c r="A442" s="722" t="inlineStr">
        <is>
          <t>Ветчины</t>
        </is>
      </c>
      <c r="B442" s="1019" t="n"/>
      <c r="C442" s="1019" t="n"/>
      <c r="D442" s="1019" t="n"/>
      <c r="E442" s="1019" t="n"/>
      <c r="F442" s="1019" t="n"/>
      <c r="G442" s="1019" t="n"/>
      <c r="H442" s="1019" t="n"/>
      <c r="I442" s="1019" t="n"/>
      <c r="J442" s="1019" t="n"/>
      <c r="K442" s="1019" t="n"/>
      <c r="L442" s="1019" t="n"/>
      <c r="M442" s="1019" t="n"/>
      <c r="N442" s="1019" t="n"/>
      <c r="O442" s="1019" t="n"/>
      <c r="P442" s="1019" t="n"/>
      <c r="Q442" s="1019" t="n"/>
      <c r="R442" s="1019" t="n"/>
      <c r="S442" s="1019" t="n"/>
      <c r="T442" s="1019" t="n"/>
      <c r="U442" s="1019" t="n"/>
      <c r="V442" s="1019" t="n"/>
      <c r="W442" s="1019" t="n"/>
      <c r="X442" s="1019" t="n"/>
      <c r="Y442" s="1019" t="n"/>
      <c r="Z442" s="1019" t="n"/>
      <c r="AA442" s="722" t="n"/>
      <c r="AB442" s="722" t="n"/>
      <c r="AC442" s="722" t="n"/>
    </row>
    <row r="443" ht="27" customHeight="1">
      <c r="A443" s="63" t="inlineStr">
        <is>
          <t>SU000126</t>
        </is>
      </c>
      <c r="B443" s="63" t="inlineStr">
        <is>
          <t>P002555</t>
        </is>
      </c>
      <c r="C443" s="36" t="n">
        <v>4301020178</v>
      </c>
      <c r="D443" s="723" t="n">
        <v>4607091383980</v>
      </c>
      <c r="E443" s="1031" t="n"/>
      <c r="F443" s="1070" t="n">
        <v>2.5</v>
      </c>
      <c r="G443" s="37" t="n">
        <v>6</v>
      </c>
      <c r="H443" s="1070" t="n">
        <v>15</v>
      </c>
      <c r="I443" s="1070" t="n">
        <v>15.47</v>
      </c>
      <c r="J443" s="37" t="n">
        <v>48</v>
      </c>
      <c r="K443" s="37" t="inlineStr">
        <is>
          <t>8</t>
        </is>
      </c>
      <c r="L443" s="37" t="inlineStr"/>
      <c r="M443" s="38" t="inlineStr">
        <is>
          <t>СК1</t>
        </is>
      </c>
      <c r="N443" s="38" t="n"/>
      <c r="O443" s="37" t="n">
        <v>50</v>
      </c>
      <c r="P443" s="1311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43" s="1072" t="n"/>
      <c r="R443" s="1072" t="n"/>
      <c r="S443" s="1072" t="n"/>
      <c r="T443" s="1073" t="n"/>
      <c r="U443" s="39" t="inlineStr"/>
      <c r="V443" s="39" t="inlineStr"/>
      <c r="W443" s="40" t="inlineStr">
        <is>
          <t>кг</t>
        </is>
      </c>
      <c r="X443" s="1074" t="n">
        <v>200</v>
      </c>
      <c r="Y443" s="1075">
        <f>IFERROR(IF(X443="",0,CEILING((X443/$H443),1)*$H443),"")</f>
        <v/>
      </c>
      <c r="Z443" s="41">
        <f>IFERROR(IF(Y443=0,"",ROUNDUP(Y443/H443,0)*0.02175),"")</f>
        <v/>
      </c>
      <c r="AA443" s="68" t="inlineStr"/>
      <c r="AB443" s="69" t="inlineStr"/>
      <c r="AC443" s="550" t="inlineStr">
        <is>
          <t>ЕАЭС N RU Д-RU.РА03.В.02703/25</t>
        </is>
      </c>
      <c r="AG443" s="78" t="n"/>
      <c r="AJ443" s="84" t="inlineStr"/>
      <c r="AK443" s="84" t="n">
        <v>0</v>
      </c>
      <c r="BB443" s="551" t="inlineStr">
        <is>
          <t>КИ</t>
        </is>
      </c>
      <c r="BM443" s="78">
        <f>IFERROR(X443*I443/H443,"0")</f>
        <v/>
      </c>
      <c r="BN443" s="78">
        <f>IFERROR(Y443*I443/H443,"0")</f>
        <v/>
      </c>
      <c r="BO443" s="78">
        <f>IFERROR(1/J443*(X443/H443),"0")</f>
        <v/>
      </c>
      <c r="BP443" s="78">
        <f>IFERROR(1/J443*(Y443/H443),"0")</f>
        <v/>
      </c>
    </row>
    <row r="444" ht="27" customHeight="1">
      <c r="A444" s="63" t="inlineStr">
        <is>
          <t>SU003686</t>
        </is>
      </c>
      <c r="B444" s="63" t="inlineStr">
        <is>
          <t>P004675</t>
        </is>
      </c>
      <c r="C444" s="36" t="n">
        <v>4301020355</v>
      </c>
      <c r="D444" s="723" t="n">
        <v>4680115888425</v>
      </c>
      <c r="E444" s="1031" t="n"/>
      <c r="F444" s="1070" t="n">
        <v>2.5</v>
      </c>
      <c r="G444" s="37" t="n">
        <v>6</v>
      </c>
      <c r="H444" s="1070" t="n">
        <v>15</v>
      </c>
      <c r="I444" s="1070" t="n">
        <v>15.47</v>
      </c>
      <c r="J444" s="37" t="n">
        <v>48</v>
      </c>
      <c r="K444" s="37" t="inlineStr">
        <is>
          <t>8</t>
        </is>
      </c>
      <c r="L444" s="37" t="inlineStr"/>
      <c r="M444" s="38" t="inlineStr">
        <is>
          <t>СК1</t>
        </is>
      </c>
      <c r="N444" s="38" t="n"/>
      <c r="O444" s="37" t="n">
        <v>50</v>
      </c>
      <c r="P444" s="1312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44" s="1072" t="n"/>
      <c r="R444" s="1072" t="n"/>
      <c r="S444" s="1072" t="n"/>
      <c r="T444" s="1073" t="n"/>
      <c r="U444" s="39" t="inlineStr"/>
      <c r="V444" s="39" t="inlineStr"/>
      <c r="W444" s="40" t="inlineStr">
        <is>
          <t>кг</t>
        </is>
      </c>
      <c r="X444" s="1074" t="n">
        <v>0</v>
      </c>
      <c r="Y444" s="1075">
        <f>IFERROR(IF(X444="",0,CEILING((X444/$H444),1)*$H444),"")</f>
        <v/>
      </c>
      <c r="Z444" s="41">
        <f>IFERROR(IF(Y444=0,"",ROUNDUP(Y444/H444,0)*0.02175),"")</f>
        <v/>
      </c>
      <c r="AA444" s="68" t="inlineStr"/>
      <c r="AB444" s="69" t="inlineStr"/>
      <c r="AC444" s="552" t="inlineStr">
        <is>
          <t>ЕАЭС N RU Д-RU.РА02.В.10046/26</t>
        </is>
      </c>
      <c r="AG444" s="78" t="n"/>
      <c r="AJ444" s="84" t="inlineStr"/>
      <c r="AK444" s="84" t="n">
        <v>0</v>
      </c>
      <c r="BB444" s="553" t="inlineStr">
        <is>
          <t>КИ</t>
        </is>
      </c>
      <c r="BM444" s="78">
        <f>IFERROR(X444*I444/H444,"0")</f>
        <v/>
      </c>
      <c r="BN444" s="78">
        <f>IFERROR(Y444*I444/H444,"0")</f>
        <v/>
      </c>
      <c r="BO444" s="78">
        <f>IFERROR(1/J444*(X444/H444),"0")</f>
        <v/>
      </c>
      <c r="BP444" s="78">
        <f>IFERROR(1/J444*(Y444/H444),"0")</f>
        <v/>
      </c>
    </row>
    <row r="445" ht="27" customHeight="1">
      <c r="A445" s="63" t="inlineStr">
        <is>
          <t>SU002027</t>
        </is>
      </c>
      <c r="B445" s="63" t="inlineStr">
        <is>
          <t>P002556</t>
        </is>
      </c>
      <c r="C445" s="36" t="n">
        <v>4301020179</v>
      </c>
      <c r="D445" s="723" t="n">
        <v>4607091384178</v>
      </c>
      <c r="E445" s="1031" t="n"/>
      <c r="F445" s="1070" t="n">
        <v>0.4</v>
      </c>
      <c r="G445" s="37" t="n">
        <v>10</v>
      </c>
      <c r="H445" s="1070" t="n">
        <v>4</v>
      </c>
      <c r="I445" s="1070" t="n">
        <v>4.19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СК1</t>
        </is>
      </c>
      <c r="N445" s="38" t="n"/>
      <c r="O445" s="37" t="n">
        <v>50</v>
      </c>
      <c r="P445" s="1313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45" s="1072" t="n"/>
      <c r="R445" s="1072" t="n"/>
      <c r="S445" s="1072" t="n"/>
      <c r="T445" s="1073" t="n"/>
      <c r="U445" s="39" t="inlineStr"/>
      <c r="V445" s="39" t="inlineStr"/>
      <c r="W445" s="40" t="inlineStr">
        <is>
          <t>кг</t>
        </is>
      </c>
      <c r="X445" s="1074" t="n">
        <v>0</v>
      </c>
      <c r="Y445" s="1075">
        <f>IFERROR(IF(X445="",0,CEILING((X445/$H445),1)*$H445),"")</f>
        <v/>
      </c>
      <c r="Z445" s="41">
        <f>IFERROR(IF(Y445=0,"",ROUNDUP(Y445/H445,0)*0.00902),"")</f>
        <v/>
      </c>
      <c r="AA445" s="68" t="inlineStr"/>
      <c r="AB445" s="69" t="inlineStr"/>
      <c r="AC445" s="554" t="inlineStr">
        <is>
          <t>ЕАЭС N RU Д-RU.РА03.В.02703/25, ЕАЭС № RU Д- RU.АБ75.В.01032/20</t>
        </is>
      </c>
      <c r="AG445" s="78" t="n"/>
      <c r="AJ445" s="84" t="inlineStr"/>
      <c r="AK445" s="84" t="n">
        <v>0</v>
      </c>
      <c r="BB445" s="555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>
      <c r="A446" s="732" t="n"/>
      <c r="B446" s="1019" t="n"/>
      <c r="C446" s="1019" t="n"/>
      <c r="D446" s="1019" t="n"/>
      <c r="E446" s="1019" t="n"/>
      <c r="F446" s="1019" t="n"/>
      <c r="G446" s="1019" t="n"/>
      <c r="H446" s="1019" t="n"/>
      <c r="I446" s="1019" t="n"/>
      <c r="J446" s="1019" t="n"/>
      <c r="K446" s="1019" t="n"/>
      <c r="L446" s="1019" t="n"/>
      <c r="M446" s="1019" t="n"/>
      <c r="N446" s="1019" t="n"/>
      <c r="O446" s="1077" t="n"/>
      <c r="P446" s="1078" t="inlineStr">
        <is>
          <t>Итого</t>
        </is>
      </c>
      <c r="Q446" s="1039" t="n"/>
      <c r="R446" s="1039" t="n"/>
      <c r="S446" s="1039" t="n"/>
      <c r="T446" s="1039" t="n"/>
      <c r="U446" s="1039" t="n"/>
      <c r="V446" s="1040" t="n"/>
      <c r="W446" s="42" t="inlineStr">
        <is>
          <t>кор</t>
        </is>
      </c>
      <c r="X446" s="1079">
        <f>IFERROR(X443/H443,"0")+IFERROR(X444/H444,"0")+IFERROR(X445/H445,"0")</f>
        <v/>
      </c>
      <c r="Y446" s="1079">
        <f>IFERROR(Y443/H443,"0")+IFERROR(Y444/H444,"0")+IFERROR(Y445/H445,"0")</f>
        <v/>
      </c>
      <c r="Z446" s="1079">
        <f>IFERROR(IF(Z443="",0,Z443),"0")+IFERROR(IF(Z444="",0,Z444),"0")+IFERROR(IF(Z445="",0,Z445),"0")</f>
        <v/>
      </c>
      <c r="AA446" s="1080" t="n"/>
      <c r="AB446" s="1080" t="n"/>
      <c r="AC446" s="1080" t="n"/>
    </row>
    <row r="447">
      <c r="A447" s="1019" t="n"/>
      <c r="B447" s="1019" t="n"/>
      <c r="C447" s="1019" t="n"/>
      <c r="D447" s="1019" t="n"/>
      <c r="E447" s="1019" t="n"/>
      <c r="F447" s="1019" t="n"/>
      <c r="G447" s="1019" t="n"/>
      <c r="H447" s="1019" t="n"/>
      <c r="I447" s="1019" t="n"/>
      <c r="J447" s="1019" t="n"/>
      <c r="K447" s="1019" t="n"/>
      <c r="L447" s="1019" t="n"/>
      <c r="M447" s="1019" t="n"/>
      <c r="N447" s="1019" t="n"/>
      <c r="O447" s="1077" t="n"/>
      <c r="P447" s="1078" t="inlineStr">
        <is>
          <t>Итого</t>
        </is>
      </c>
      <c r="Q447" s="1039" t="n"/>
      <c r="R447" s="1039" t="n"/>
      <c r="S447" s="1039" t="n"/>
      <c r="T447" s="1039" t="n"/>
      <c r="U447" s="1039" t="n"/>
      <c r="V447" s="1040" t="n"/>
      <c r="W447" s="42" t="inlineStr">
        <is>
          <t>кг</t>
        </is>
      </c>
      <c r="X447" s="1079">
        <f>IFERROR(SUM(X443:X445),"0")</f>
        <v/>
      </c>
      <c r="Y447" s="1079">
        <f>IFERROR(SUM(Y443:Y445),"0")</f>
        <v/>
      </c>
      <c r="Z447" s="42" t="n"/>
      <c r="AA447" s="1080" t="n"/>
      <c r="AB447" s="1080" t="n"/>
      <c r="AC447" s="1080" t="n"/>
    </row>
    <row r="448" ht="14.25" customHeight="1">
      <c r="A448" s="722" t="inlineStr">
        <is>
          <t>Сосиски</t>
        </is>
      </c>
      <c r="B448" s="1019" t="n"/>
      <c r="C448" s="1019" t="n"/>
      <c r="D448" s="1019" t="n"/>
      <c r="E448" s="1019" t="n"/>
      <c r="F448" s="1019" t="n"/>
      <c r="G448" s="1019" t="n"/>
      <c r="H448" s="1019" t="n"/>
      <c r="I448" s="1019" t="n"/>
      <c r="J448" s="1019" t="n"/>
      <c r="K448" s="1019" t="n"/>
      <c r="L448" s="1019" t="n"/>
      <c r="M448" s="1019" t="n"/>
      <c r="N448" s="1019" t="n"/>
      <c r="O448" s="1019" t="n"/>
      <c r="P448" s="1019" t="n"/>
      <c r="Q448" s="1019" t="n"/>
      <c r="R448" s="1019" t="n"/>
      <c r="S448" s="1019" t="n"/>
      <c r="T448" s="1019" t="n"/>
      <c r="U448" s="1019" t="n"/>
      <c r="V448" s="1019" t="n"/>
      <c r="W448" s="1019" t="n"/>
      <c r="X448" s="1019" t="n"/>
      <c r="Y448" s="1019" t="n"/>
      <c r="Z448" s="1019" t="n"/>
      <c r="AA448" s="722" t="n"/>
      <c r="AB448" s="722" t="n"/>
      <c r="AC448" s="722" t="n"/>
    </row>
    <row r="449" ht="27" customHeight="1">
      <c r="A449" s="63" t="inlineStr">
        <is>
          <t>SU003161</t>
        </is>
      </c>
      <c r="B449" s="63" t="inlineStr">
        <is>
          <t>P004847</t>
        </is>
      </c>
      <c r="C449" s="36" t="n">
        <v>4301051903</v>
      </c>
      <c r="D449" s="723" t="n">
        <v>4607091383928</v>
      </c>
      <c r="E449" s="1031" t="n"/>
      <c r="F449" s="1070" t="n">
        <v>1.5</v>
      </c>
      <c r="G449" s="37" t="n">
        <v>6</v>
      </c>
      <c r="H449" s="1070" t="n">
        <v>9</v>
      </c>
      <c r="I449" s="1070" t="n">
        <v>9.5</v>
      </c>
      <c r="J449" s="37" t="n">
        <v>64</v>
      </c>
      <c r="K449" s="37" t="inlineStr">
        <is>
          <t>8</t>
        </is>
      </c>
      <c r="L449" s="37" t="inlineStr"/>
      <c r="M449" s="38" t="inlineStr">
        <is>
          <t>СК3</t>
        </is>
      </c>
      <c r="N449" s="38" t="n"/>
      <c r="O449" s="37" t="n">
        <v>40</v>
      </c>
      <c r="P449" s="1314">
        <f>HYPERLINK("https://abi.ru/products/Охлажденные/Особый рецепт/Особая/Сосиски/P004847/","Сосиски «Датские» Весовой п/а ТМ «Особый рецепт»")</f>
        <v/>
      </c>
      <c r="Q449" s="1072" t="n"/>
      <c r="R449" s="1072" t="n"/>
      <c r="S449" s="1072" t="n"/>
      <c r="T449" s="1073" t="n"/>
      <c r="U449" s="39" t="inlineStr"/>
      <c r="V449" s="39" t="inlineStr"/>
      <c r="W449" s="40" t="inlineStr">
        <is>
          <t>кг</t>
        </is>
      </c>
      <c r="X449" s="1074" t="n">
        <v>0</v>
      </c>
      <c r="Y449" s="1075">
        <f>IFERROR(IF(X449="",0,CEILING((X449/$H449),1)*$H449),"")</f>
        <v/>
      </c>
      <c r="Z449" s="41">
        <f>IFERROR(IF(Y449=0,"",ROUNDUP(Y449/H449,0)*0.01898),"")</f>
        <v/>
      </c>
      <c r="AA449" s="68" t="inlineStr"/>
      <c r="AB449" s="69" t="inlineStr"/>
      <c r="AC449" s="556" t="inlineStr">
        <is>
          <t>ЕАЭС N RU Д-RU.РА09.В.23245/25, ЕАЭС N RU Д-RU.РА09.В.23811/25</t>
        </is>
      </c>
      <c r="AG449" s="78" t="n"/>
      <c r="AJ449" s="84" t="inlineStr"/>
      <c r="AK449" s="84" t="n">
        <v>0</v>
      </c>
      <c r="BB449" s="557" t="inlineStr">
        <is>
          <t>КИ</t>
        </is>
      </c>
      <c r="BM449" s="78">
        <f>IFERROR(X449*I449/H449,"0")</f>
        <v/>
      </c>
      <c r="BN449" s="78">
        <f>IFERROR(Y449*I449/H449,"0")</f>
        <v/>
      </c>
      <c r="BO449" s="78">
        <f>IFERROR(1/J449*(X449/H449),"0")</f>
        <v/>
      </c>
      <c r="BP449" s="78">
        <f>IFERROR(1/J449*(Y449/H449),"0")</f>
        <v/>
      </c>
    </row>
    <row r="450" ht="27" customHeight="1">
      <c r="A450" s="63" t="inlineStr">
        <is>
          <t>SU000246</t>
        </is>
      </c>
      <c r="B450" s="63" t="inlineStr">
        <is>
          <t>P004843</t>
        </is>
      </c>
      <c r="C450" s="36" t="n">
        <v>4301051897</v>
      </c>
      <c r="D450" s="723" t="n">
        <v>4607091384260</v>
      </c>
      <c r="E450" s="1031" t="n"/>
      <c r="F450" s="1070" t="n">
        <v>1.5</v>
      </c>
      <c r="G450" s="37" t="n">
        <v>6</v>
      </c>
      <c r="H450" s="1070" t="n">
        <v>9</v>
      </c>
      <c r="I450" s="1070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315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50" s="1072" t="n"/>
      <c r="R450" s="1072" t="n"/>
      <c r="S450" s="1072" t="n"/>
      <c r="T450" s="1073" t="n"/>
      <c r="U450" s="39" t="inlineStr"/>
      <c r="V450" s="39" t="inlineStr"/>
      <c r="W450" s="40" t="inlineStr">
        <is>
          <t>кг</t>
        </is>
      </c>
      <c r="X450" s="1074" t="n">
        <v>35</v>
      </c>
      <c r="Y450" s="1075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58" t="inlineStr">
        <is>
          <t>ЕАЭС N RU Д-RU.РА01.В.50243/26, ЕАЭС N RU Д-RU.РА11.В.65862/25</t>
        </is>
      </c>
      <c r="AG450" s="78" t="n"/>
      <c r="AJ450" s="84" t="inlineStr"/>
      <c r="AK450" s="84" t="n">
        <v>0</v>
      </c>
      <c r="BB450" s="559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 ht="27" customHeight="1">
      <c r="A451" s="63" t="inlineStr">
        <is>
          <t>SU004239</t>
        </is>
      </c>
      <c r="B451" s="63" t="inlineStr">
        <is>
          <t>P005503</t>
        </is>
      </c>
      <c r="C451" s="36" t="n">
        <v>4301052220</v>
      </c>
      <c r="D451" s="723" t="n">
        <v>4680115889538</v>
      </c>
      <c r="E451" s="1031" t="n"/>
      <c r="F451" s="1070" t="n">
        <v>0.8</v>
      </c>
      <c r="G451" s="37" t="n">
        <v>6</v>
      </c>
      <c r="H451" s="1070" t="n">
        <v>4.8</v>
      </c>
      <c r="I451" s="1070" t="n">
        <v>5.216</v>
      </c>
      <c r="J451" s="37" t="n">
        <v>104</v>
      </c>
      <c r="K451" s="37" t="inlineStr">
        <is>
          <t>8</t>
        </is>
      </c>
      <c r="L451" s="37" t="inlineStr"/>
      <c r="M451" s="38" t="inlineStr">
        <is>
          <t>СК3</t>
        </is>
      </c>
      <c r="N451" s="38" t="n"/>
      <c r="O451" s="37" t="n">
        <v>45</v>
      </c>
      <c r="P451" s="1316">
        <f>HYPERLINK("https://abi.ru/products/Охлажденные/Особый рецепт/Особая/Сосиски/P005503/","Сосиски «Сливочные» Весовой п/а ТМ «Особый рецепт»")</f>
        <v/>
      </c>
      <c r="Q451" s="1072" t="n"/>
      <c r="R451" s="1072" t="n"/>
      <c r="S451" s="1072" t="n"/>
      <c r="T451" s="1073" t="n"/>
      <c r="U451" s="39" t="inlineStr"/>
      <c r="V451" s="39" t="inlineStr"/>
      <c r="W451" s="40" t="inlineStr">
        <is>
          <t>кг</t>
        </is>
      </c>
      <c r="X451" s="1074" t="n">
        <v>0</v>
      </c>
      <c r="Y451" s="1075">
        <f>IFERROR(IF(X451="",0,CEILING((X451/$H451),1)*$H451),"")</f>
        <v/>
      </c>
      <c r="Z451" s="41">
        <f>IFERROR(IF(Y451=0,"",ROUNDUP(Y451/H451,0)*0.01196),"")</f>
        <v/>
      </c>
      <c r="AA451" s="68" t="inlineStr"/>
      <c r="AB451" s="69" t="inlineStr"/>
      <c r="AC451" s="560" t="inlineStr">
        <is>
          <t>ЕАЭС N RU Д-RU.РА04.В.31445/26, ЕАЭС N RU Д-RU.РА04.В.31488/26</t>
        </is>
      </c>
      <c r="AG451" s="78" t="n"/>
      <c r="AJ451" s="84" t="inlineStr"/>
      <c r="AK451" s="84" t="n">
        <v>0</v>
      </c>
      <c r="BB451" s="561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>
      <c r="A452" s="732" t="n"/>
      <c r="B452" s="1019" t="n"/>
      <c r="C452" s="1019" t="n"/>
      <c r="D452" s="1019" t="n"/>
      <c r="E452" s="1019" t="n"/>
      <c r="F452" s="1019" t="n"/>
      <c r="G452" s="1019" t="n"/>
      <c r="H452" s="1019" t="n"/>
      <c r="I452" s="1019" t="n"/>
      <c r="J452" s="1019" t="n"/>
      <c r="K452" s="1019" t="n"/>
      <c r="L452" s="1019" t="n"/>
      <c r="M452" s="1019" t="n"/>
      <c r="N452" s="1019" t="n"/>
      <c r="O452" s="1077" t="n"/>
      <c r="P452" s="1078" t="inlineStr">
        <is>
          <t>Итого</t>
        </is>
      </c>
      <c r="Q452" s="1039" t="n"/>
      <c r="R452" s="1039" t="n"/>
      <c r="S452" s="1039" t="n"/>
      <c r="T452" s="1039" t="n"/>
      <c r="U452" s="1039" t="n"/>
      <c r="V452" s="1040" t="n"/>
      <c r="W452" s="42" t="inlineStr">
        <is>
          <t>кор</t>
        </is>
      </c>
      <c r="X452" s="1079">
        <f>IFERROR(X449/H449,"0")+IFERROR(X450/H450,"0")+IFERROR(X451/H451,"0")</f>
        <v/>
      </c>
      <c r="Y452" s="1079">
        <f>IFERROR(Y449/H449,"0")+IFERROR(Y450/H450,"0")+IFERROR(Y451/H451,"0")</f>
        <v/>
      </c>
      <c r="Z452" s="1079">
        <f>IFERROR(IF(Z449="",0,Z449),"0")+IFERROR(IF(Z450="",0,Z450),"0")+IFERROR(IF(Z451="",0,Z451),"0")</f>
        <v/>
      </c>
      <c r="AA452" s="1080" t="n"/>
      <c r="AB452" s="1080" t="n"/>
      <c r="AC452" s="1080" t="n"/>
    </row>
    <row r="453">
      <c r="A453" s="1019" t="n"/>
      <c r="B453" s="1019" t="n"/>
      <c r="C453" s="1019" t="n"/>
      <c r="D453" s="1019" t="n"/>
      <c r="E453" s="1019" t="n"/>
      <c r="F453" s="1019" t="n"/>
      <c r="G453" s="1019" t="n"/>
      <c r="H453" s="1019" t="n"/>
      <c r="I453" s="1019" t="n"/>
      <c r="J453" s="1019" t="n"/>
      <c r="K453" s="1019" t="n"/>
      <c r="L453" s="1019" t="n"/>
      <c r="M453" s="1019" t="n"/>
      <c r="N453" s="1019" t="n"/>
      <c r="O453" s="1077" t="n"/>
      <c r="P453" s="1078" t="inlineStr">
        <is>
          <t>Итого</t>
        </is>
      </c>
      <c r="Q453" s="1039" t="n"/>
      <c r="R453" s="1039" t="n"/>
      <c r="S453" s="1039" t="n"/>
      <c r="T453" s="1039" t="n"/>
      <c r="U453" s="1039" t="n"/>
      <c r="V453" s="1040" t="n"/>
      <c r="W453" s="42" t="inlineStr">
        <is>
          <t>кг</t>
        </is>
      </c>
      <c r="X453" s="1079">
        <f>IFERROR(SUM(X449:X451),"0")</f>
        <v/>
      </c>
      <c r="Y453" s="1079">
        <f>IFERROR(SUM(Y449:Y451),"0")</f>
        <v/>
      </c>
      <c r="Z453" s="42" t="n"/>
      <c r="AA453" s="1080" t="n"/>
      <c r="AB453" s="1080" t="n"/>
      <c r="AC453" s="1080" t="n"/>
    </row>
    <row r="454" ht="14.25" customHeight="1">
      <c r="A454" s="722" t="inlineStr">
        <is>
          <t>Сардельки</t>
        </is>
      </c>
      <c r="B454" s="1019" t="n"/>
      <c r="C454" s="1019" t="n"/>
      <c r="D454" s="1019" t="n"/>
      <c r="E454" s="1019" t="n"/>
      <c r="F454" s="1019" t="n"/>
      <c r="G454" s="1019" t="n"/>
      <c r="H454" s="1019" t="n"/>
      <c r="I454" s="1019" t="n"/>
      <c r="J454" s="1019" t="n"/>
      <c r="K454" s="1019" t="n"/>
      <c r="L454" s="1019" t="n"/>
      <c r="M454" s="1019" t="n"/>
      <c r="N454" s="1019" t="n"/>
      <c r="O454" s="1019" t="n"/>
      <c r="P454" s="1019" t="n"/>
      <c r="Q454" s="1019" t="n"/>
      <c r="R454" s="1019" t="n"/>
      <c r="S454" s="1019" t="n"/>
      <c r="T454" s="1019" t="n"/>
      <c r="U454" s="1019" t="n"/>
      <c r="V454" s="1019" t="n"/>
      <c r="W454" s="1019" t="n"/>
      <c r="X454" s="1019" t="n"/>
      <c r="Y454" s="1019" t="n"/>
      <c r="Z454" s="1019" t="n"/>
      <c r="AA454" s="722" t="n"/>
      <c r="AB454" s="722" t="n"/>
      <c r="AC454" s="722" t="n"/>
    </row>
    <row r="455" ht="27" customHeight="1">
      <c r="A455" s="63" t="inlineStr">
        <is>
          <t>SU004240</t>
        </is>
      </c>
      <c r="B455" s="63" t="inlineStr">
        <is>
          <t>P005506</t>
        </is>
      </c>
      <c r="C455" s="36" t="n">
        <v>4301060537</v>
      </c>
      <c r="D455" s="723" t="n">
        <v>4680115889545</v>
      </c>
      <c r="E455" s="1031" t="n"/>
      <c r="F455" s="1070" t="n">
        <v>0.7</v>
      </c>
      <c r="G455" s="37" t="n">
        <v>6</v>
      </c>
      <c r="H455" s="1070" t="n">
        <v>4.2</v>
      </c>
      <c r="I455" s="1070" t="n">
        <v>4.616</v>
      </c>
      <c r="J455" s="37" t="n">
        <v>104</v>
      </c>
      <c r="K455" s="37" t="inlineStr">
        <is>
          <t>8</t>
        </is>
      </c>
      <c r="L455" s="37" t="inlineStr"/>
      <c r="M455" s="38" t="inlineStr">
        <is>
          <t>СК3</t>
        </is>
      </c>
      <c r="N455" s="38" t="n"/>
      <c r="O455" s="37" t="n">
        <v>30</v>
      </c>
      <c r="P455" s="1317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55" s="1072" t="n"/>
      <c r="R455" s="1072" t="n"/>
      <c r="S455" s="1072" t="n"/>
      <c r="T455" s="1073" t="n"/>
      <c r="U455" s="39" t="inlineStr"/>
      <c r="V455" s="39" t="inlineStr"/>
      <c r="W455" s="40" t="inlineStr">
        <is>
          <t>кг</t>
        </is>
      </c>
      <c r="X455" s="1074" t="n">
        <v>0</v>
      </c>
      <c r="Y455" s="1075">
        <f>IFERROR(IF(X455="",0,CEILING((X455/$H455),1)*$H455),"")</f>
        <v/>
      </c>
      <c r="Z455" s="41">
        <f>IFERROR(IF(Y455=0,"",ROUNDUP(Y455/H455,0)*0.01196),"")</f>
        <v/>
      </c>
      <c r="AA455" s="68" t="inlineStr"/>
      <c r="AB455" s="69" t="inlineStr"/>
      <c r="AC455" s="562" t="inlineStr">
        <is>
          <t>ЕАЭС N RU Д-RU.РА04.В.31713/26, ЕАЭС N RU Д-RU.РА04.В.31783/26</t>
        </is>
      </c>
      <c r="AG455" s="78" t="n"/>
      <c r="AJ455" s="84" t="inlineStr"/>
      <c r="AK455" s="84" t="n">
        <v>0</v>
      </c>
      <c r="BB455" s="563" t="inlineStr">
        <is>
          <t>КИ</t>
        </is>
      </c>
      <c r="BM455" s="78">
        <f>IFERROR(X455*I455/H455,"0")</f>
        <v/>
      </c>
      <c r="BN455" s="78">
        <f>IFERROR(Y455*I455/H455,"0")</f>
        <v/>
      </c>
      <c r="BO455" s="78">
        <f>IFERROR(1/J455*(X455/H455),"0")</f>
        <v/>
      </c>
      <c r="BP455" s="78">
        <f>IFERROR(1/J455*(Y455/H455),"0")</f>
        <v/>
      </c>
    </row>
    <row r="456" ht="16.5" customHeight="1">
      <c r="A456" s="63" t="inlineStr">
        <is>
          <t>SU002287</t>
        </is>
      </c>
      <c r="B456" s="63" t="inlineStr">
        <is>
          <t>P005080</t>
        </is>
      </c>
      <c r="C456" s="36" t="n">
        <v>4301060524</v>
      </c>
      <c r="D456" s="723" t="n">
        <v>4607091384673</v>
      </c>
      <c r="E456" s="1031" t="n"/>
      <c r="F456" s="1070" t="n">
        <v>1.5</v>
      </c>
      <c r="G456" s="37" t="n">
        <v>6</v>
      </c>
      <c r="H456" s="1070" t="n">
        <v>9</v>
      </c>
      <c r="I456" s="1070" t="n">
        <v>9.494</v>
      </c>
      <c r="J456" s="37" t="n">
        <v>64</v>
      </c>
      <c r="K456" s="37" t="inlineStr">
        <is>
          <t>8</t>
        </is>
      </c>
      <c r="L456" s="37" t="inlineStr"/>
      <c r="M456" s="38" t="inlineStr">
        <is>
          <t>СК3</t>
        </is>
      </c>
      <c r="N456" s="38" t="n"/>
      <c r="O456" s="37" t="n">
        <v>40</v>
      </c>
      <c r="P456" s="1318">
        <f>HYPERLINK("https://abi.ru/products/Охлажденные/Особый рецепт/Особая/Сардельки/P005080/","Сардельки «Сочные» Весовой п/а ТМ «Особый рецепт»")</f>
        <v/>
      </c>
      <c r="Q456" s="1072" t="n"/>
      <c r="R456" s="1072" t="n"/>
      <c r="S456" s="1072" t="n"/>
      <c r="T456" s="1073" t="n"/>
      <c r="U456" s="39" t="inlineStr"/>
      <c r="V456" s="39" t="inlineStr"/>
      <c r="W456" s="40" t="inlineStr">
        <is>
          <t>кг</t>
        </is>
      </c>
      <c r="X456" s="1074" t="n">
        <v>126</v>
      </c>
      <c r="Y456" s="1075">
        <f>IFERROR(IF(X456="",0,CEILING((X456/$H456),1)*$H456),"")</f>
        <v/>
      </c>
      <c r="Z456" s="41">
        <f>IFERROR(IF(Y456=0,"",ROUNDUP(Y456/H456,0)*0.01898),"")</f>
        <v/>
      </c>
      <c r="AA456" s="68" t="inlineStr"/>
      <c r="AB456" s="69" t="inlineStr"/>
      <c r="AC456" s="564" t="inlineStr">
        <is>
          <t>ЕАЭС N RU Д-RU.РА11.В.38897/25</t>
        </is>
      </c>
      <c r="AG456" s="78" t="n"/>
      <c r="AJ456" s="84" t="inlineStr"/>
      <c r="AK456" s="84" t="n">
        <v>0</v>
      </c>
      <c r="BB456" s="565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>
      <c r="A457" s="732" t="n"/>
      <c r="B457" s="1019" t="n"/>
      <c r="C457" s="1019" t="n"/>
      <c r="D457" s="1019" t="n"/>
      <c r="E457" s="1019" t="n"/>
      <c r="F457" s="1019" t="n"/>
      <c r="G457" s="1019" t="n"/>
      <c r="H457" s="1019" t="n"/>
      <c r="I457" s="1019" t="n"/>
      <c r="J457" s="1019" t="n"/>
      <c r="K457" s="1019" t="n"/>
      <c r="L457" s="1019" t="n"/>
      <c r="M457" s="1019" t="n"/>
      <c r="N457" s="1019" t="n"/>
      <c r="O457" s="1077" t="n"/>
      <c r="P457" s="1078" t="inlineStr">
        <is>
          <t>Итого</t>
        </is>
      </c>
      <c r="Q457" s="1039" t="n"/>
      <c r="R457" s="1039" t="n"/>
      <c r="S457" s="1039" t="n"/>
      <c r="T457" s="1039" t="n"/>
      <c r="U457" s="1039" t="n"/>
      <c r="V457" s="1040" t="n"/>
      <c r="W457" s="42" t="inlineStr">
        <is>
          <t>кор</t>
        </is>
      </c>
      <c r="X457" s="1079">
        <f>IFERROR(X455/H455,"0")+IFERROR(X456/H456,"0")</f>
        <v/>
      </c>
      <c r="Y457" s="1079">
        <f>IFERROR(Y455/H455,"0")+IFERROR(Y456/H456,"0")</f>
        <v/>
      </c>
      <c r="Z457" s="1079">
        <f>IFERROR(IF(Z455="",0,Z455),"0")+IFERROR(IF(Z456="",0,Z456),"0")</f>
        <v/>
      </c>
      <c r="AA457" s="1080" t="n"/>
      <c r="AB457" s="1080" t="n"/>
      <c r="AC457" s="1080" t="n"/>
    </row>
    <row r="458">
      <c r="A458" s="1019" t="n"/>
      <c r="B458" s="1019" t="n"/>
      <c r="C458" s="1019" t="n"/>
      <c r="D458" s="1019" t="n"/>
      <c r="E458" s="1019" t="n"/>
      <c r="F458" s="1019" t="n"/>
      <c r="G458" s="1019" t="n"/>
      <c r="H458" s="1019" t="n"/>
      <c r="I458" s="1019" t="n"/>
      <c r="J458" s="1019" t="n"/>
      <c r="K458" s="1019" t="n"/>
      <c r="L458" s="1019" t="n"/>
      <c r="M458" s="1019" t="n"/>
      <c r="N458" s="1019" t="n"/>
      <c r="O458" s="1077" t="n"/>
      <c r="P458" s="1078" t="inlineStr">
        <is>
          <t>Итого</t>
        </is>
      </c>
      <c r="Q458" s="1039" t="n"/>
      <c r="R458" s="1039" t="n"/>
      <c r="S458" s="1039" t="n"/>
      <c r="T458" s="1039" t="n"/>
      <c r="U458" s="1039" t="n"/>
      <c r="V458" s="1040" t="n"/>
      <c r="W458" s="42" t="inlineStr">
        <is>
          <t>кг</t>
        </is>
      </c>
      <c r="X458" s="1079">
        <f>IFERROR(SUM(X455:X456),"0")</f>
        <v/>
      </c>
      <c r="Y458" s="1079">
        <f>IFERROR(SUM(Y455:Y456),"0")</f>
        <v/>
      </c>
      <c r="Z458" s="42" t="n"/>
      <c r="AA458" s="1080" t="n"/>
      <c r="AB458" s="1080" t="n"/>
      <c r="AC458" s="1080" t="n"/>
    </row>
    <row r="459" ht="16.5" customHeight="1">
      <c r="A459" s="721" t="inlineStr">
        <is>
          <t>Особая Без свинины</t>
        </is>
      </c>
      <c r="B459" s="1019" t="n"/>
      <c r="C459" s="1019" t="n"/>
      <c r="D459" s="1019" t="n"/>
      <c r="E459" s="1019" t="n"/>
      <c r="F459" s="1019" t="n"/>
      <c r="G459" s="1019" t="n"/>
      <c r="H459" s="1019" t="n"/>
      <c r="I459" s="1019" t="n"/>
      <c r="J459" s="1019" t="n"/>
      <c r="K459" s="1019" t="n"/>
      <c r="L459" s="1019" t="n"/>
      <c r="M459" s="1019" t="n"/>
      <c r="N459" s="1019" t="n"/>
      <c r="O459" s="1019" t="n"/>
      <c r="P459" s="1019" t="n"/>
      <c r="Q459" s="1019" t="n"/>
      <c r="R459" s="1019" t="n"/>
      <c r="S459" s="1019" t="n"/>
      <c r="T459" s="1019" t="n"/>
      <c r="U459" s="1019" t="n"/>
      <c r="V459" s="1019" t="n"/>
      <c r="W459" s="1019" t="n"/>
      <c r="X459" s="1019" t="n"/>
      <c r="Y459" s="1019" t="n"/>
      <c r="Z459" s="1019" t="n"/>
      <c r="AA459" s="721" t="n"/>
      <c r="AB459" s="721" t="n"/>
      <c r="AC459" s="721" t="n"/>
    </row>
    <row r="460" ht="14.25" customHeight="1">
      <c r="A460" s="722" t="inlineStr">
        <is>
          <t>Вареные колбасы</t>
        </is>
      </c>
      <c r="B460" s="1019" t="n"/>
      <c r="C460" s="1019" t="n"/>
      <c r="D460" s="1019" t="n"/>
      <c r="E460" s="1019" t="n"/>
      <c r="F460" s="1019" t="n"/>
      <c r="G460" s="1019" t="n"/>
      <c r="H460" s="1019" t="n"/>
      <c r="I460" s="1019" t="n"/>
      <c r="J460" s="1019" t="n"/>
      <c r="K460" s="1019" t="n"/>
      <c r="L460" s="1019" t="n"/>
      <c r="M460" s="1019" t="n"/>
      <c r="N460" s="1019" t="n"/>
      <c r="O460" s="1019" t="n"/>
      <c r="P460" s="1019" t="n"/>
      <c r="Q460" s="1019" t="n"/>
      <c r="R460" s="1019" t="n"/>
      <c r="S460" s="1019" t="n"/>
      <c r="T460" s="1019" t="n"/>
      <c r="U460" s="1019" t="n"/>
      <c r="V460" s="1019" t="n"/>
      <c r="W460" s="1019" t="n"/>
      <c r="X460" s="1019" t="n"/>
      <c r="Y460" s="1019" t="n"/>
      <c r="Z460" s="1019" t="n"/>
      <c r="AA460" s="722" t="n"/>
      <c r="AB460" s="722" t="n"/>
      <c r="AC460" s="722" t="n"/>
    </row>
    <row r="461" ht="27" customHeight="1">
      <c r="A461" s="63" t="inlineStr">
        <is>
          <t>SU003425</t>
        </is>
      </c>
      <c r="B461" s="63" t="inlineStr">
        <is>
          <t>P004273</t>
        </is>
      </c>
      <c r="C461" s="36" t="n">
        <v>4301011875</v>
      </c>
      <c r="D461" s="723" t="n">
        <v>4680115884885</v>
      </c>
      <c r="E461" s="1031" t="n"/>
      <c r="F461" s="1070" t="n">
        <v>0.8</v>
      </c>
      <c r="G461" s="37" t="n">
        <v>15</v>
      </c>
      <c r="H461" s="1070" t="n">
        <v>12</v>
      </c>
      <c r="I461" s="1070" t="n">
        <v>12.41</v>
      </c>
      <c r="J461" s="37" t="n">
        <v>64</v>
      </c>
      <c r="K461" s="37" t="inlineStr">
        <is>
          <t>8</t>
        </is>
      </c>
      <c r="L461" s="37" t="inlineStr"/>
      <c r="M461" s="38" t="inlineStr">
        <is>
          <t>СК2</t>
        </is>
      </c>
      <c r="N461" s="38" t="n"/>
      <c r="O461" s="37" t="n">
        <v>60</v>
      </c>
      <c r="P461" s="1319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61" s="1072" t="n"/>
      <c r="R461" s="1072" t="n"/>
      <c r="S461" s="1072" t="n"/>
      <c r="T461" s="1073" t="n"/>
      <c r="U461" s="39" t="inlineStr"/>
      <c r="V461" s="39" t="inlineStr"/>
      <c r="W461" s="40" t="inlineStr">
        <is>
          <t>кг</t>
        </is>
      </c>
      <c r="X461" s="1074" t="n">
        <v>0</v>
      </c>
      <c r="Y461" s="1075">
        <f>IFERROR(IF(X461="",0,CEILING((X461/$H461),1)*$H461),"")</f>
        <v/>
      </c>
      <c r="Z461" s="41">
        <f>IFERROR(IF(Y461=0,"",ROUNDUP(Y461/H461,0)*0.01898),"")</f>
        <v/>
      </c>
      <c r="AA461" s="68" t="inlineStr"/>
      <c r="AB461" s="69" t="inlineStr"/>
      <c r="AC461" s="566" t="inlineStr">
        <is>
          <t>ЕАЭС N RU Д-RU.РА08.В.72086/25, ЕАЭС N RU Д-RU.РА09.В.20743/25</t>
        </is>
      </c>
      <c r="AG461" s="78" t="n"/>
      <c r="AJ461" s="84" t="inlineStr"/>
      <c r="AK461" s="84" t="n">
        <v>0</v>
      </c>
      <c r="BB461" s="567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37.5" customHeight="1">
      <c r="A462" s="63" t="inlineStr">
        <is>
          <t>SU003426</t>
        </is>
      </c>
      <c r="B462" s="63" t="inlineStr">
        <is>
          <t>P004258</t>
        </is>
      </c>
      <c r="C462" s="36" t="n">
        <v>4301011871</v>
      </c>
      <c r="D462" s="723" t="n">
        <v>4680115884908</v>
      </c>
      <c r="E462" s="1031" t="n"/>
      <c r="F462" s="1070" t="n">
        <v>0.4</v>
      </c>
      <c r="G462" s="37" t="n">
        <v>10</v>
      </c>
      <c r="H462" s="1070" t="n">
        <v>4</v>
      </c>
      <c r="I462" s="1070" t="n">
        <v>4.19</v>
      </c>
      <c r="J462" s="37" t="n">
        <v>132</v>
      </c>
      <c r="K462" s="37" t="inlineStr">
        <is>
          <t>12</t>
        </is>
      </c>
      <c r="L462" s="37" t="inlineStr"/>
      <c r="M462" s="38" t="inlineStr">
        <is>
          <t>СК2</t>
        </is>
      </c>
      <c r="N462" s="38" t="n"/>
      <c r="O462" s="37" t="n">
        <v>60</v>
      </c>
      <c r="P462" s="1320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62" s="1072" t="n"/>
      <c r="R462" s="1072" t="n"/>
      <c r="S462" s="1072" t="n"/>
      <c r="T462" s="1073" t="n"/>
      <c r="U462" s="39" t="inlineStr"/>
      <c r="V462" s="39" t="inlineStr"/>
      <c r="W462" s="40" t="inlineStr">
        <is>
          <t>кг</t>
        </is>
      </c>
      <c r="X462" s="1074" t="n">
        <v>0</v>
      </c>
      <c r="Y462" s="1075">
        <f>IFERROR(IF(X462="",0,CEILING((X462/$H462),1)*$H462),"")</f>
        <v/>
      </c>
      <c r="Z462" s="41">
        <f>IFERROR(IF(Y462=0,"",ROUNDUP(Y462/H462,0)*0.00902),"")</f>
        <v/>
      </c>
      <c r="AA462" s="68" t="inlineStr"/>
      <c r="AB462" s="69" t="inlineStr"/>
      <c r="AC462" s="568" t="inlineStr">
        <is>
          <t>ЕАЭС N RU Д-RU.РА08.В.72086/25, ЕАЭС N RU Д-RU.РА09.В.20743/25</t>
        </is>
      </c>
      <c r="AG462" s="78" t="n"/>
      <c r="AJ462" s="84" t="inlineStr"/>
      <c r="AK462" s="84" t="n">
        <v>0</v>
      </c>
      <c r="BB462" s="569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>
      <c r="A463" s="732" t="n"/>
      <c r="B463" s="1019" t="n"/>
      <c r="C463" s="1019" t="n"/>
      <c r="D463" s="1019" t="n"/>
      <c r="E463" s="1019" t="n"/>
      <c r="F463" s="1019" t="n"/>
      <c r="G463" s="1019" t="n"/>
      <c r="H463" s="1019" t="n"/>
      <c r="I463" s="1019" t="n"/>
      <c r="J463" s="1019" t="n"/>
      <c r="K463" s="1019" t="n"/>
      <c r="L463" s="1019" t="n"/>
      <c r="M463" s="1019" t="n"/>
      <c r="N463" s="1019" t="n"/>
      <c r="O463" s="1077" t="n"/>
      <c r="P463" s="1078" t="inlineStr">
        <is>
          <t>Итого</t>
        </is>
      </c>
      <c r="Q463" s="1039" t="n"/>
      <c r="R463" s="1039" t="n"/>
      <c r="S463" s="1039" t="n"/>
      <c r="T463" s="1039" t="n"/>
      <c r="U463" s="1039" t="n"/>
      <c r="V463" s="1040" t="n"/>
      <c r="W463" s="42" t="inlineStr">
        <is>
          <t>кор</t>
        </is>
      </c>
      <c r="X463" s="1079">
        <f>IFERROR(X461/H461,"0")+IFERROR(X462/H462,"0")</f>
        <v/>
      </c>
      <c r="Y463" s="1079">
        <f>IFERROR(Y461/H461,"0")+IFERROR(Y462/H462,"0")</f>
        <v/>
      </c>
      <c r="Z463" s="1079">
        <f>IFERROR(IF(Z461="",0,Z461),"0")+IFERROR(IF(Z462="",0,Z462),"0")</f>
        <v/>
      </c>
      <c r="AA463" s="1080" t="n"/>
      <c r="AB463" s="1080" t="n"/>
      <c r="AC463" s="1080" t="n"/>
    </row>
    <row r="464">
      <c r="A464" s="1019" t="n"/>
      <c r="B464" s="1019" t="n"/>
      <c r="C464" s="1019" t="n"/>
      <c r="D464" s="1019" t="n"/>
      <c r="E464" s="1019" t="n"/>
      <c r="F464" s="1019" t="n"/>
      <c r="G464" s="1019" t="n"/>
      <c r="H464" s="1019" t="n"/>
      <c r="I464" s="1019" t="n"/>
      <c r="J464" s="1019" t="n"/>
      <c r="K464" s="1019" t="n"/>
      <c r="L464" s="1019" t="n"/>
      <c r="M464" s="1019" t="n"/>
      <c r="N464" s="1019" t="n"/>
      <c r="O464" s="1077" t="n"/>
      <c r="P464" s="1078" t="inlineStr">
        <is>
          <t>Итого</t>
        </is>
      </c>
      <c r="Q464" s="1039" t="n"/>
      <c r="R464" s="1039" t="n"/>
      <c r="S464" s="1039" t="n"/>
      <c r="T464" s="1039" t="n"/>
      <c r="U464" s="1039" t="n"/>
      <c r="V464" s="1040" t="n"/>
      <c r="W464" s="42" t="inlineStr">
        <is>
          <t>кг</t>
        </is>
      </c>
      <c r="X464" s="1079">
        <f>IFERROR(SUM(X461:X462),"0")</f>
        <v/>
      </c>
      <c r="Y464" s="1079">
        <f>IFERROR(SUM(Y461:Y462),"0")</f>
        <v/>
      </c>
      <c r="Z464" s="42" t="n"/>
      <c r="AA464" s="1080" t="n"/>
      <c r="AB464" s="1080" t="n"/>
      <c r="AC464" s="1080" t="n"/>
    </row>
    <row r="465" ht="14.25" customHeight="1">
      <c r="A465" s="722" t="inlineStr">
        <is>
          <t>Копченые колбасы</t>
        </is>
      </c>
      <c r="B465" s="1019" t="n"/>
      <c r="C465" s="1019" t="n"/>
      <c r="D465" s="1019" t="n"/>
      <c r="E465" s="1019" t="n"/>
      <c r="F465" s="1019" t="n"/>
      <c r="G465" s="1019" t="n"/>
      <c r="H465" s="1019" t="n"/>
      <c r="I465" s="1019" t="n"/>
      <c r="J465" s="1019" t="n"/>
      <c r="K465" s="1019" t="n"/>
      <c r="L465" s="1019" t="n"/>
      <c r="M465" s="1019" t="n"/>
      <c r="N465" s="1019" t="n"/>
      <c r="O465" s="1019" t="n"/>
      <c r="P465" s="1019" t="n"/>
      <c r="Q465" s="1019" t="n"/>
      <c r="R465" s="1019" t="n"/>
      <c r="S465" s="1019" t="n"/>
      <c r="T465" s="1019" t="n"/>
      <c r="U465" s="1019" t="n"/>
      <c r="V465" s="1019" t="n"/>
      <c r="W465" s="1019" t="n"/>
      <c r="X465" s="1019" t="n"/>
      <c r="Y465" s="1019" t="n"/>
      <c r="Z465" s="1019" t="n"/>
      <c r="AA465" s="722" t="n"/>
      <c r="AB465" s="722" t="n"/>
      <c r="AC465" s="722" t="n"/>
    </row>
    <row r="466" ht="27" customHeight="1">
      <c r="A466" s="63" t="inlineStr">
        <is>
          <t>SU002360</t>
        </is>
      </c>
      <c r="B466" s="63" t="inlineStr">
        <is>
          <t>P005172</t>
        </is>
      </c>
      <c r="C466" s="36" t="n">
        <v>4301031457</v>
      </c>
      <c r="D466" s="723" t="n">
        <v>4607091384802</v>
      </c>
      <c r="E466" s="1031" t="n"/>
      <c r="F466" s="1070" t="n">
        <v>0.7</v>
      </c>
      <c r="G466" s="37" t="n">
        <v>6</v>
      </c>
      <c r="H466" s="1070" t="n">
        <v>4.2</v>
      </c>
      <c r="I466" s="1070" t="n">
        <v>4.45</v>
      </c>
      <c r="J466" s="37" t="n">
        <v>132</v>
      </c>
      <c r="K466" s="37" t="inlineStr">
        <is>
          <t>12</t>
        </is>
      </c>
      <c r="L466" s="37" t="inlineStr"/>
      <c r="M466" s="38" t="inlineStr">
        <is>
          <t>СК2</t>
        </is>
      </c>
      <c r="N466" s="38" t="n"/>
      <c r="O466" s="37" t="n">
        <v>50</v>
      </c>
      <c r="P466" s="1321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66" s="1072" t="n"/>
      <c r="R466" s="1072" t="n"/>
      <c r="S466" s="1072" t="n"/>
      <c r="T466" s="1073" t="n"/>
      <c r="U466" s="39" t="inlineStr"/>
      <c r="V466" s="39" t="inlineStr"/>
      <c r="W466" s="40" t="inlineStr">
        <is>
          <t>кг</t>
        </is>
      </c>
      <c r="X466" s="1074" t="n">
        <v>0</v>
      </c>
      <c r="Y466" s="1075">
        <f>IFERROR(IF(X466="",0,CEILING((X466/$H466),1)*$H466),"")</f>
        <v/>
      </c>
      <c r="Z466" s="41">
        <f>IFERROR(IF(Y466=0,"",ROUNDUP(Y466/H466,0)*0.00902),"")</f>
        <v/>
      </c>
      <c r="AA466" s="68" t="inlineStr"/>
      <c r="AB466" s="69" t="inlineStr"/>
      <c r="AC466" s="570" t="inlineStr">
        <is>
          <t>ЕАЭС N RU Д-RU.РА02.В.61652/24</t>
        </is>
      </c>
      <c r="AG466" s="78" t="n"/>
      <c r="AJ466" s="84" t="inlineStr"/>
      <c r="AK466" s="84" t="n">
        <v>0</v>
      </c>
      <c r="BB466" s="571" t="inlineStr">
        <is>
          <t>КИ</t>
        </is>
      </c>
      <c r="BM466" s="78">
        <f>IFERROR(X466*I466/H466,"0")</f>
        <v/>
      </c>
      <c r="BN466" s="78">
        <f>IFERROR(Y466*I466/H466,"0")</f>
        <v/>
      </c>
      <c r="BO466" s="78">
        <f>IFERROR(1/J466*(X466/H466),"0")</f>
        <v/>
      </c>
      <c r="BP466" s="78">
        <f>IFERROR(1/J466*(Y466/H466),"0")</f>
        <v/>
      </c>
    </row>
    <row r="467">
      <c r="A467" s="732" t="n"/>
      <c r="B467" s="1019" t="n"/>
      <c r="C467" s="1019" t="n"/>
      <c r="D467" s="1019" t="n"/>
      <c r="E467" s="1019" t="n"/>
      <c r="F467" s="1019" t="n"/>
      <c r="G467" s="1019" t="n"/>
      <c r="H467" s="1019" t="n"/>
      <c r="I467" s="1019" t="n"/>
      <c r="J467" s="1019" t="n"/>
      <c r="K467" s="1019" t="n"/>
      <c r="L467" s="1019" t="n"/>
      <c r="M467" s="1019" t="n"/>
      <c r="N467" s="1019" t="n"/>
      <c r="O467" s="1077" t="n"/>
      <c r="P467" s="1078" t="inlineStr">
        <is>
          <t>Итого</t>
        </is>
      </c>
      <c r="Q467" s="1039" t="n"/>
      <c r="R467" s="1039" t="n"/>
      <c r="S467" s="1039" t="n"/>
      <c r="T467" s="1039" t="n"/>
      <c r="U467" s="1039" t="n"/>
      <c r="V467" s="1040" t="n"/>
      <c r="W467" s="42" t="inlineStr">
        <is>
          <t>кор</t>
        </is>
      </c>
      <c r="X467" s="1079">
        <f>IFERROR(X466/H466,"0")</f>
        <v/>
      </c>
      <c r="Y467" s="1079">
        <f>IFERROR(Y466/H466,"0")</f>
        <v/>
      </c>
      <c r="Z467" s="1079">
        <f>IFERROR(IF(Z466="",0,Z466),"0")</f>
        <v/>
      </c>
      <c r="AA467" s="1080" t="n"/>
      <c r="AB467" s="1080" t="n"/>
      <c r="AC467" s="1080" t="n"/>
    </row>
    <row r="468">
      <c r="A468" s="1019" t="n"/>
      <c r="B468" s="1019" t="n"/>
      <c r="C468" s="1019" t="n"/>
      <c r="D468" s="1019" t="n"/>
      <c r="E468" s="1019" t="n"/>
      <c r="F468" s="1019" t="n"/>
      <c r="G468" s="1019" t="n"/>
      <c r="H468" s="1019" t="n"/>
      <c r="I468" s="1019" t="n"/>
      <c r="J468" s="1019" t="n"/>
      <c r="K468" s="1019" t="n"/>
      <c r="L468" s="1019" t="n"/>
      <c r="M468" s="1019" t="n"/>
      <c r="N468" s="1019" t="n"/>
      <c r="O468" s="1077" t="n"/>
      <c r="P468" s="1078" t="inlineStr">
        <is>
          <t>Итого</t>
        </is>
      </c>
      <c r="Q468" s="1039" t="n"/>
      <c r="R468" s="1039" t="n"/>
      <c r="S468" s="1039" t="n"/>
      <c r="T468" s="1039" t="n"/>
      <c r="U468" s="1039" t="n"/>
      <c r="V468" s="1040" t="n"/>
      <c r="W468" s="42" t="inlineStr">
        <is>
          <t>кг</t>
        </is>
      </c>
      <c r="X468" s="1079">
        <f>IFERROR(SUM(X466:X466),"0")</f>
        <v/>
      </c>
      <c r="Y468" s="1079">
        <f>IFERROR(SUM(Y466:Y466),"0")</f>
        <v/>
      </c>
      <c r="Z468" s="42" t="n"/>
      <c r="AA468" s="1080" t="n"/>
      <c r="AB468" s="1080" t="n"/>
      <c r="AC468" s="1080" t="n"/>
    </row>
    <row r="469" ht="14.25" customHeight="1">
      <c r="A469" s="722" t="inlineStr">
        <is>
          <t>Сосиски</t>
        </is>
      </c>
      <c r="B469" s="1019" t="n"/>
      <c r="C469" s="1019" t="n"/>
      <c r="D469" s="1019" t="n"/>
      <c r="E469" s="1019" t="n"/>
      <c r="F469" s="1019" t="n"/>
      <c r="G469" s="1019" t="n"/>
      <c r="H469" s="1019" t="n"/>
      <c r="I469" s="1019" t="n"/>
      <c r="J469" s="1019" t="n"/>
      <c r="K469" s="1019" t="n"/>
      <c r="L469" s="1019" t="n"/>
      <c r="M469" s="1019" t="n"/>
      <c r="N469" s="1019" t="n"/>
      <c r="O469" s="1019" t="n"/>
      <c r="P469" s="1019" t="n"/>
      <c r="Q469" s="1019" t="n"/>
      <c r="R469" s="1019" t="n"/>
      <c r="S469" s="1019" t="n"/>
      <c r="T469" s="1019" t="n"/>
      <c r="U469" s="1019" t="n"/>
      <c r="V469" s="1019" t="n"/>
      <c r="W469" s="1019" t="n"/>
      <c r="X469" s="1019" t="n"/>
      <c r="Y469" s="1019" t="n"/>
      <c r="Z469" s="1019" t="n"/>
      <c r="AA469" s="722" t="n"/>
      <c r="AB469" s="722" t="n"/>
      <c r="AC469" s="722" t="n"/>
    </row>
    <row r="470" ht="27" customHeight="1">
      <c r="A470" s="63" t="inlineStr">
        <is>
          <t>SU002074</t>
        </is>
      </c>
      <c r="B470" s="63" t="inlineStr">
        <is>
          <t>P004844</t>
        </is>
      </c>
      <c r="C470" s="36" t="n">
        <v>4301051899</v>
      </c>
      <c r="D470" s="723" t="n">
        <v>4607091384246</v>
      </c>
      <c r="E470" s="1031" t="n"/>
      <c r="F470" s="1070" t="n">
        <v>1.5</v>
      </c>
      <c r="G470" s="37" t="n">
        <v>6</v>
      </c>
      <c r="H470" s="1070" t="n">
        <v>9</v>
      </c>
      <c r="I470" s="1070" t="n">
        <v>9.494</v>
      </c>
      <c r="J470" s="37" t="n">
        <v>64</v>
      </c>
      <c r="K470" s="37" t="inlineStr">
        <is>
          <t>8</t>
        </is>
      </c>
      <c r="L470" s="37" t="inlineStr"/>
      <c r="M470" s="38" t="inlineStr">
        <is>
          <t>СК3</t>
        </is>
      </c>
      <c r="N470" s="38" t="n"/>
      <c r="O470" s="37" t="n">
        <v>40</v>
      </c>
      <c r="P470" s="1322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70" s="1072" t="n"/>
      <c r="R470" s="1072" t="n"/>
      <c r="S470" s="1072" t="n"/>
      <c r="T470" s="1073" t="n"/>
      <c r="U470" s="39" t="inlineStr"/>
      <c r="V470" s="39" t="inlineStr"/>
      <c r="W470" s="40" t="inlineStr">
        <is>
          <t>кг</t>
        </is>
      </c>
      <c r="X470" s="1074" t="n">
        <v>0</v>
      </c>
      <c r="Y470" s="1075">
        <f>IFERROR(IF(X470="",0,CEILING((X470/$H470),1)*$H470),"")</f>
        <v/>
      </c>
      <c r="Z470" s="41">
        <f>IFERROR(IF(Y470=0,"",ROUNDUP(Y470/H470,0)*0.01898),"")</f>
        <v/>
      </c>
      <c r="AA470" s="68" t="inlineStr"/>
      <c r="AB470" s="69" t="inlineStr"/>
      <c r="AC470" s="572" t="inlineStr">
        <is>
          <t>ЕАЭС N RU Д-RU.РА09.В.24006/25, ЕАЭС N RU Д-RU.РА09.В.26911/25</t>
        </is>
      </c>
      <c r="AG470" s="78" t="n"/>
      <c r="AJ470" s="84" t="inlineStr"/>
      <c r="AK470" s="84" t="n">
        <v>0</v>
      </c>
      <c r="BB470" s="573" t="inlineStr">
        <is>
          <t>КИ</t>
        </is>
      </c>
      <c r="BM470" s="78">
        <f>IFERROR(X470*I470/H470,"0")</f>
        <v/>
      </c>
      <c r="BN470" s="78">
        <f>IFERROR(Y470*I470/H470,"0")</f>
        <v/>
      </c>
      <c r="BO470" s="78">
        <f>IFERROR(1/J470*(X470/H470),"0")</f>
        <v/>
      </c>
      <c r="BP470" s="78">
        <f>IFERROR(1/J470*(Y470/H470),"0")</f>
        <v/>
      </c>
    </row>
    <row r="471" ht="27" customHeight="1">
      <c r="A471" s="63" t="inlineStr">
        <is>
          <t>SU002205</t>
        </is>
      </c>
      <c r="B471" s="63" t="inlineStr">
        <is>
          <t>P003969</t>
        </is>
      </c>
      <c r="C471" s="36" t="n">
        <v>4301051660</v>
      </c>
      <c r="D471" s="723" t="n">
        <v>4607091384253</v>
      </c>
      <c r="E471" s="1031" t="n"/>
      <c r="F471" s="1070" t="n">
        <v>0.4</v>
      </c>
      <c r="G471" s="37" t="n">
        <v>6</v>
      </c>
      <c r="H471" s="1070" t="n">
        <v>2.4</v>
      </c>
      <c r="I471" s="1070" t="n">
        <v>2.664</v>
      </c>
      <c r="J471" s="37" t="n">
        <v>182</v>
      </c>
      <c r="K471" s="37" t="inlineStr">
        <is>
          <t>14</t>
        </is>
      </c>
      <c r="L471" s="37" t="inlineStr"/>
      <c r="M471" s="38" t="inlineStr">
        <is>
          <t>СК3</t>
        </is>
      </c>
      <c r="N471" s="38" t="n"/>
      <c r="O471" s="37" t="n">
        <v>40</v>
      </c>
      <c r="P471" s="1323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71" s="1072" t="n"/>
      <c r="R471" s="1072" t="n"/>
      <c r="S471" s="1072" t="n"/>
      <c r="T471" s="1073" t="n"/>
      <c r="U471" s="39" t="inlineStr"/>
      <c r="V471" s="39" t="inlineStr"/>
      <c r="W471" s="40" t="inlineStr">
        <is>
          <t>кг</t>
        </is>
      </c>
      <c r="X471" s="1074" t="n">
        <v>30</v>
      </c>
      <c r="Y471" s="1075">
        <f>IFERROR(IF(X471="",0,CEILING((X471/$H471),1)*$H471),"")</f>
        <v/>
      </c>
      <c r="Z471" s="41">
        <f>IFERROR(IF(Y471=0,"",ROUNDUP(Y471/H471,0)*0.00651),"")</f>
        <v/>
      </c>
      <c r="AA471" s="68" t="inlineStr"/>
      <c r="AB471" s="69" t="inlineStr"/>
      <c r="AC471" s="574" t="inlineStr">
        <is>
          <t>ЕАЭС N RU Д-RU.РА09.В.24006/25, ЕАЭС N RU Д-RU.РА09.В.26911/25</t>
        </is>
      </c>
      <c r="AG471" s="78" t="n"/>
      <c r="AJ471" s="84" t="inlineStr"/>
      <c r="AK471" s="84" t="n">
        <v>0</v>
      </c>
      <c r="BB471" s="575" t="inlineStr">
        <is>
          <t>КИ</t>
        </is>
      </c>
      <c r="BM471" s="78">
        <f>IFERROR(X471*I471/H471,"0")</f>
        <v/>
      </c>
      <c r="BN471" s="78">
        <f>IFERROR(Y471*I471/H471,"0")</f>
        <v/>
      </c>
      <c r="BO471" s="78">
        <f>IFERROR(1/J471*(X471/H471),"0")</f>
        <v/>
      </c>
      <c r="BP471" s="78">
        <f>IFERROR(1/J471*(Y471/H471),"0")</f>
        <v/>
      </c>
    </row>
    <row r="472" ht="27" customHeight="1">
      <c r="A472" s="63" t="inlineStr">
        <is>
          <t>SU002205</t>
        </is>
      </c>
      <c r="B472" s="63" t="inlineStr">
        <is>
          <t>P005198</t>
        </is>
      </c>
      <c r="C472" s="36" t="n">
        <v>4301052069</v>
      </c>
      <c r="D472" s="723" t="n">
        <v>4607091384253</v>
      </c>
      <c r="E472" s="1031" t="n"/>
      <c r="F472" s="1070" t="n">
        <v>0.4</v>
      </c>
      <c r="G472" s="37" t="n">
        <v>6</v>
      </c>
      <c r="H472" s="1070" t="n">
        <v>2.4</v>
      </c>
      <c r="I472" s="1070" t="n">
        <v>2.664</v>
      </c>
      <c r="J472" s="37" t="n">
        <v>182</v>
      </c>
      <c r="K472" s="37" t="inlineStr">
        <is>
          <t>14</t>
        </is>
      </c>
      <c r="L472" s="37" t="inlineStr"/>
      <c r="M472" s="38" t="inlineStr">
        <is>
          <t>СК3</t>
        </is>
      </c>
      <c r="N472" s="38" t="n"/>
      <c r="O472" s="37" t="n">
        <v>40</v>
      </c>
      <c r="P472" s="1324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72" s="1072" t="n"/>
      <c r="R472" s="1072" t="n"/>
      <c r="S472" s="1072" t="n"/>
      <c r="T472" s="1073" t="n"/>
      <c r="U472" s="39" t="inlineStr"/>
      <c r="V472" s="39" t="inlineStr"/>
      <c r="W472" s="40" t="inlineStr">
        <is>
          <t>кг</t>
        </is>
      </c>
      <c r="X472" s="1074" t="n">
        <v>0</v>
      </c>
      <c r="Y472" s="1075">
        <f>IFERROR(IF(X472="",0,CEILING((X472/$H472),1)*$H472),"")</f>
        <v/>
      </c>
      <c r="Z472" s="41">
        <f>IFERROR(IF(Y472=0,"",ROUNDUP(Y472/H472,0)*0.00651),"")</f>
        <v/>
      </c>
      <c r="AA472" s="68" t="inlineStr"/>
      <c r="AB472" s="69" t="inlineStr"/>
      <c r="AC472" s="576" t="inlineStr">
        <is>
          <t>ЕАЭС N RU Д-RU.РА09.В.35629/22</t>
        </is>
      </c>
      <c r="AG472" s="78" t="n"/>
      <c r="AJ472" s="84" t="inlineStr"/>
      <c r="AK472" s="84" t="n">
        <v>0</v>
      </c>
      <c r="BB472" s="577" t="inlineStr">
        <is>
          <t>КИ</t>
        </is>
      </c>
      <c r="BM472" s="78">
        <f>IFERROR(X472*I472/H472,"0")</f>
        <v/>
      </c>
      <c r="BN472" s="78">
        <f>IFERROR(Y472*I472/H472,"0")</f>
        <v/>
      </c>
      <c r="BO472" s="78">
        <f>IFERROR(1/J472*(X472/H472),"0")</f>
        <v/>
      </c>
      <c r="BP472" s="78">
        <f>IFERROR(1/J472*(Y472/H472),"0")</f>
        <v/>
      </c>
    </row>
    <row r="473">
      <c r="A473" s="732" t="n"/>
      <c r="B473" s="1019" t="n"/>
      <c r="C473" s="1019" t="n"/>
      <c r="D473" s="1019" t="n"/>
      <c r="E473" s="1019" t="n"/>
      <c r="F473" s="1019" t="n"/>
      <c r="G473" s="1019" t="n"/>
      <c r="H473" s="1019" t="n"/>
      <c r="I473" s="1019" t="n"/>
      <c r="J473" s="1019" t="n"/>
      <c r="K473" s="1019" t="n"/>
      <c r="L473" s="1019" t="n"/>
      <c r="M473" s="1019" t="n"/>
      <c r="N473" s="1019" t="n"/>
      <c r="O473" s="1077" t="n"/>
      <c r="P473" s="1078" t="inlineStr">
        <is>
          <t>Итого</t>
        </is>
      </c>
      <c r="Q473" s="1039" t="n"/>
      <c r="R473" s="1039" t="n"/>
      <c r="S473" s="1039" t="n"/>
      <c r="T473" s="1039" t="n"/>
      <c r="U473" s="1039" t="n"/>
      <c r="V473" s="1040" t="n"/>
      <c r="W473" s="42" t="inlineStr">
        <is>
          <t>кор</t>
        </is>
      </c>
      <c r="X473" s="1079">
        <f>IFERROR(X470/H470,"0")+IFERROR(X471/H471,"0")+IFERROR(X472/H472,"0")</f>
        <v/>
      </c>
      <c r="Y473" s="1079">
        <f>IFERROR(Y470/H470,"0")+IFERROR(Y471/H471,"0")+IFERROR(Y472/H472,"0")</f>
        <v/>
      </c>
      <c r="Z473" s="1079">
        <f>IFERROR(IF(Z470="",0,Z470),"0")+IFERROR(IF(Z471="",0,Z471),"0")+IFERROR(IF(Z472="",0,Z472),"0")</f>
        <v/>
      </c>
      <c r="AA473" s="1080" t="n"/>
      <c r="AB473" s="1080" t="n"/>
      <c r="AC473" s="1080" t="n"/>
    </row>
    <row r="474">
      <c r="A474" s="1019" t="n"/>
      <c r="B474" s="1019" t="n"/>
      <c r="C474" s="1019" t="n"/>
      <c r="D474" s="1019" t="n"/>
      <c r="E474" s="1019" t="n"/>
      <c r="F474" s="1019" t="n"/>
      <c r="G474" s="1019" t="n"/>
      <c r="H474" s="1019" t="n"/>
      <c r="I474" s="1019" t="n"/>
      <c r="J474" s="1019" t="n"/>
      <c r="K474" s="1019" t="n"/>
      <c r="L474" s="1019" t="n"/>
      <c r="M474" s="1019" t="n"/>
      <c r="N474" s="1019" t="n"/>
      <c r="O474" s="1077" t="n"/>
      <c r="P474" s="1078" t="inlineStr">
        <is>
          <t>Итого</t>
        </is>
      </c>
      <c r="Q474" s="1039" t="n"/>
      <c r="R474" s="1039" t="n"/>
      <c r="S474" s="1039" t="n"/>
      <c r="T474" s="1039" t="n"/>
      <c r="U474" s="1039" t="n"/>
      <c r="V474" s="1040" t="n"/>
      <c r="W474" s="42" t="inlineStr">
        <is>
          <t>кг</t>
        </is>
      </c>
      <c r="X474" s="1079">
        <f>IFERROR(SUM(X470:X472),"0")</f>
        <v/>
      </c>
      <c r="Y474" s="1079">
        <f>IFERROR(SUM(Y470:Y472),"0")</f>
        <v/>
      </c>
      <c r="Z474" s="42" t="n"/>
      <c r="AA474" s="1080" t="n"/>
      <c r="AB474" s="1080" t="n"/>
      <c r="AC474" s="1080" t="n"/>
    </row>
    <row r="475" ht="27.75" customHeight="1">
      <c r="A475" s="720" t="inlineStr">
        <is>
          <t>Баварушка</t>
        </is>
      </c>
      <c r="B475" s="1069" t="n"/>
      <c r="C475" s="1069" t="n"/>
      <c r="D475" s="1069" t="n"/>
      <c r="E475" s="1069" t="n"/>
      <c r="F475" s="1069" t="n"/>
      <c r="G475" s="1069" t="n"/>
      <c r="H475" s="1069" t="n"/>
      <c r="I475" s="1069" t="n"/>
      <c r="J475" s="1069" t="n"/>
      <c r="K475" s="1069" t="n"/>
      <c r="L475" s="1069" t="n"/>
      <c r="M475" s="1069" t="n"/>
      <c r="N475" s="1069" t="n"/>
      <c r="O475" s="1069" t="n"/>
      <c r="P475" s="1069" t="n"/>
      <c r="Q475" s="1069" t="n"/>
      <c r="R475" s="1069" t="n"/>
      <c r="S475" s="1069" t="n"/>
      <c r="T475" s="1069" t="n"/>
      <c r="U475" s="1069" t="n"/>
      <c r="V475" s="1069" t="n"/>
      <c r="W475" s="1069" t="n"/>
      <c r="X475" s="1069" t="n"/>
      <c r="Y475" s="1069" t="n"/>
      <c r="Z475" s="1069" t="n"/>
      <c r="AA475" s="54" t="n"/>
      <c r="AB475" s="54" t="n"/>
      <c r="AC475" s="54" t="n"/>
    </row>
    <row r="476" ht="16.5" customHeight="1">
      <c r="A476" s="721" t="inlineStr">
        <is>
          <t>Филейбургская</t>
        </is>
      </c>
      <c r="B476" s="1019" t="n"/>
      <c r="C476" s="1019" t="n"/>
      <c r="D476" s="1019" t="n"/>
      <c r="E476" s="1019" t="n"/>
      <c r="F476" s="1019" t="n"/>
      <c r="G476" s="1019" t="n"/>
      <c r="H476" s="1019" t="n"/>
      <c r="I476" s="1019" t="n"/>
      <c r="J476" s="1019" t="n"/>
      <c r="K476" s="1019" t="n"/>
      <c r="L476" s="1019" t="n"/>
      <c r="M476" s="1019" t="n"/>
      <c r="N476" s="1019" t="n"/>
      <c r="O476" s="1019" t="n"/>
      <c r="P476" s="1019" t="n"/>
      <c r="Q476" s="1019" t="n"/>
      <c r="R476" s="1019" t="n"/>
      <c r="S476" s="1019" t="n"/>
      <c r="T476" s="1019" t="n"/>
      <c r="U476" s="1019" t="n"/>
      <c r="V476" s="1019" t="n"/>
      <c r="W476" s="1019" t="n"/>
      <c r="X476" s="1019" t="n"/>
      <c r="Y476" s="1019" t="n"/>
      <c r="Z476" s="1019" t="n"/>
      <c r="AA476" s="721" t="n"/>
      <c r="AB476" s="721" t="n"/>
      <c r="AC476" s="721" t="n"/>
    </row>
    <row r="477" ht="14.25" customHeight="1">
      <c r="A477" s="722" t="inlineStr">
        <is>
          <t>Копченые колбасы</t>
        </is>
      </c>
      <c r="B477" s="1019" t="n"/>
      <c r="C477" s="1019" t="n"/>
      <c r="D477" s="1019" t="n"/>
      <c r="E477" s="1019" t="n"/>
      <c r="F477" s="1019" t="n"/>
      <c r="G477" s="1019" t="n"/>
      <c r="H477" s="1019" t="n"/>
      <c r="I477" s="1019" t="n"/>
      <c r="J477" s="1019" t="n"/>
      <c r="K477" s="1019" t="n"/>
      <c r="L477" s="1019" t="n"/>
      <c r="M477" s="1019" t="n"/>
      <c r="N477" s="1019" t="n"/>
      <c r="O477" s="1019" t="n"/>
      <c r="P477" s="1019" t="n"/>
      <c r="Q477" s="1019" t="n"/>
      <c r="R477" s="1019" t="n"/>
      <c r="S477" s="1019" t="n"/>
      <c r="T477" s="1019" t="n"/>
      <c r="U477" s="1019" t="n"/>
      <c r="V477" s="1019" t="n"/>
      <c r="W477" s="1019" t="n"/>
      <c r="X477" s="1019" t="n"/>
      <c r="Y477" s="1019" t="n"/>
      <c r="Z477" s="1019" t="n"/>
      <c r="AA477" s="722" t="n"/>
      <c r="AB477" s="722" t="n"/>
      <c r="AC477" s="722" t="n"/>
    </row>
    <row r="478" ht="27" customHeight="1">
      <c r="A478" s="63" t="inlineStr">
        <is>
          <t>SU002614</t>
        </is>
      </c>
      <c r="B478" s="63" t="inlineStr">
        <is>
          <t>P004898</t>
        </is>
      </c>
      <c r="C478" s="36" t="n">
        <v>4301031405</v>
      </c>
      <c r="D478" s="723" t="n">
        <v>4680115886100</v>
      </c>
      <c r="E478" s="1031" t="n"/>
      <c r="F478" s="1070" t="n">
        <v>0.9</v>
      </c>
      <c r="G478" s="37" t="n">
        <v>6</v>
      </c>
      <c r="H478" s="1070" t="n">
        <v>5.4</v>
      </c>
      <c r="I478" s="1070" t="n">
        <v>5.59</v>
      </c>
      <c r="J478" s="37" t="n">
        <v>132</v>
      </c>
      <c r="K478" s="37" t="inlineStr">
        <is>
          <t>12</t>
        </is>
      </c>
      <c r="L478" s="37" t="inlineStr"/>
      <c r="M478" s="38" t="inlineStr">
        <is>
          <t>СК2</t>
        </is>
      </c>
      <c r="N478" s="38" t="n"/>
      <c r="O478" s="37" t="n">
        <v>50</v>
      </c>
      <c r="P478" s="1325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78" s="1072" t="n"/>
      <c r="R478" s="1072" t="n"/>
      <c r="S478" s="1072" t="n"/>
      <c r="T478" s="1073" t="n"/>
      <c r="U478" s="39" t="inlineStr"/>
      <c r="V478" s="39" t="inlineStr"/>
      <c r="W478" s="40" t="inlineStr">
        <is>
          <t>кг</t>
        </is>
      </c>
      <c r="X478" s="1074" t="n">
        <v>126</v>
      </c>
      <c r="Y478" s="1075">
        <f>IFERROR(IF(X478="",0,CEILING((X478/$H478),1)*$H478),"")</f>
        <v/>
      </c>
      <c r="Z478" s="41">
        <f>IFERROR(IF(Y478=0,"",ROUNDUP(Y478/H478,0)*0.00902),"")</f>
        <v/>
      </c>
      <c r="AA478" s="68" t="inlineStr"/>
      <c r="AB478" s="69" t="inlineStr"/>
      <c r="AC478" s="578" t="inlineStr">
        <is>
          <t>ЕАЭС N RU Д-RU.РА11.В.30785/25</t>
        </is>
      </c>
      <c r="AG478" s="78" t="n"/>
      <c r="AJ478" s="84" t="inlineStr"/>
      <c r="AK478" s="84" t="n">
        <v>0</v>
      </c>
      <c r="BB478" s="579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 ht="27" customHeight="1">
      <c r="A479" s="63" t="inlineStr">
        <is>
          <t>SU002613</t>
        </is>
      </c>
      <c r="B479" s="63" t="inlineStr">
        <is>
          <t>P004895</t>
        </is>
      </c>
      <c r="C479" s="36" t="n">
        <v>4301031402</v>
      </c>
      <c r="D479" s="723" t="n">
        <v>4680115886124</v>
      </c>
      <c r="E479" s="1031" t="n"/>
      <c r="F479" s="1070" t="n">
        <v>0.9</v>
      </c>
      <c r="G479" s="37" t="n">
        <v>6</v>
      </c>
      <c r="H479" s="1070" t="n">
        <v>5.4</v>
      </c>
      <c r="I479" s="1070" t="n">
        <v>5.59</v>
      </c>
      <c r="J479" s="37" t="n">
        <v>132</v>
      </c>
      <c r="K479" s="37" t="inlineStr">
        <is>
          <t>12</t>
        </is>
      </c>
      <c r="L479" s="37" t="inlineStr"/>
      <c r="M479" s="38" t="inlineStr">
        <is>
          <t>СК2</t>
        </is>
      </c>
      <c r="N479" s="38" t="n"/>
      <c r="O479" s="37" t="n">
        <v>50</v>
      </c>
      <c r="P479" s="1326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79" s="1072" t="n"/>
      <c r="R479" s="1072" t="n"/>
      <c r="S479" s="1072" t="n"/>
      <c r="T479" s="1073" t="n"/>
      <c r="U479" s="39" t="inlineStr"/>
      <c r="V479" s="39" t="inlineStr"/>
      <c r="W479" s="40" t="inlineStr">
        <is>
          <t>кг</t>
        </is>
      </c>
      <c r="X479" s="1074" t="n">
        <v>0</v>
      </c>
      <c r="Y479" s="1075">
        <f>IFERROR(IF(X479="",0,CEILING((X479/$H479),1)*$H479),"")</f>
        <v/>
      </c>
      <c r="Z479" s="41">
        <f>IFERROR(IF(Y479=0,"",ROUNDUP(Y479/H479,0)*0.00902),"")</f>
        <v/>
      </c>
      <c r="AA479" s="68" t="inlineStr"/>
      <c r="AB479" s="69" t="inlineStr"/>
      <c r="AC479" s="580" t="inlineStr">
        <is>
          <t>ЕАЭС N RU Д-RU.РА02.В.47033/26</t>
        </is>
      </c>
      <c r="AG479" s="78" t="n"/>
      <c r="AJ479" s="84" t="inlineStr"/>
      <c r="AK479" s="84" t="n">
        <v>0</v>
      </c>
      <c r="BB479" s="581" t="inlineStr">
        <is>
          <t>КИ</t>
        </is>
      </c>
      <c r="BM479" s="78">
        <f>IFERROR(X479*I479/H479,"0")</f>
        <v/>
      </c>
      <c r="BN479" s="78">
        <f>IFERROR(Y479*I479/H479,"0")</f>
        <v/>
      </c>
      <c r="BO479" s="78">
        <f>IFERROR(1/J479*(X479/H479),"0")</f>
        <v/>
      </c>
      <c r="BP479" s="78">
        <f>IFERROR(1/J479*(Y479/H479),"0")</f>
        <v/>
      </c>
    </row>
    <row r="480" ht="27" customHeight="1">
      <c r="A480" s="63" t="inlineStr">
        <is>
          <t>SU002538</t>
        </is>
      </c>
      <c r="B480" s="63" t="inlineStr">
        <is>
          <t>P004517</t>
        </is>
      </c>
      <c r="C480" s="36" t="n">
        <v>4301031362</v>
      </c>
      <c r="D480" s="723" t="n">
        <v>4607091384338</v>
      </c>
      <c r="E480" s="1031" t="n"/>
      <c r="F480" s="1070" t="n">
        <v>0.35</v>
      </c>
      <c r="G480" s="37" t="n">
        <v>6</v>
      </c>
      <c r="H480" s="1070" t="n">
        <v>2.1</v>
      </c>
      <c r="I480" s="1070" t="n">
        <v>2.23</v>
      </c>
      <c r="J480" s="37" t="n">
        <v>234</v>
      </c>
      <c r="K480" s="37" t="inlineStr">
        <is>
          <t>18</t>
        </is>
      </c>
      <c r="L480" s="37" t="inlineStr"/>
      <c r="M480" s="38" t="inlineStr">
        <is>
          <t>СК2</t>
        </is>
      </c>
      <c r="N480" s="38" t="n"/>
      <c r="O480" s="37" t="n">
        <v>50</v>
      </c>
      <c r="P480" s="1327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80" s="1072" t="n"/>
      <c r="R480" s="1072" t="n"/>
      <c r="S480" s="1072" t="n"/>
      <c r="T480" s="1073" t="n"/>
      <c r="U480" s="39" t="inlineStr"/>
      <c r="V480" s="39" t="inlineStr"/>
      <c r="W480" s="40" t="inlineStr">
        <is>
          <t>кг</t>
        </is>
      </c>
      <c r="X480" s="1074" t="n">
        <v>0</v>
      </c>
      <c r="Y480" s="1075">
        <f>IFERROR(IF(X480="",0,CEILING((X480/$H480),1)*$H480),"")</f>
        <v/>
      </c>
      <c r="Z480" s="41">
        <f>IFERROR(IF(Y480=0,"",ROUNDUP(Y480/H480,0)*0.00502),"")</f>
        <v/>
      </c>
      <c r="AA480" s="68" t="inlineStr"/>
      <c r="AB480" s="69" t="inlineStr"/>
      <c r="AC480" s="582" t="inlineStr">
        <is>
          <t>ЕАЭС N RU Д-RU.РА11.В.30785/25</t>
        </is>
      </c>
      <c r="AG480" s="78" t="n"/>
      <c r="AJ480" s="84" t="inlineStr"/>
      <c r="AK480" s="84" t="n">
        <v>0</v>
      </c>
      <c r="BB480" s="583" t="inlineStr">
        <is>
          <t>КИ</t>
        </is>
      </c>
      <c r="BM480" s="78">
        <f>IFERROR(X480*I480/H480,"0")</f>
        <v/>
      </c>
      <c r="BN480" s="78">
        <f>IFERROR(Y480*I480/H480,"0")</f>
        <v/>
      </c>
      <c r="BO480" s="78">
        <f>IFERROR(1/J480*(X480/H480),"0")</f>
        <v/>
      </c>
      <c r="BP480" s="78">
        <f>IFERROR(1/J480*(Y480/H480),"0")</f>
        <v/>
      </c>
    </row>
    <row r="481" ht="27" customHeight="1">
      <c r="A481" s="63" t="inlineStr">
        <is>
          <t>SU003080</t>
        </is>
      </c>
      <c r="B481" s="63" t="inlineStr">
        <is>
          <t>P004525</t>
        </is>
      </c>
      <c r="C481" s="36" t="n">
        <v>4301031364</v>
      </c>
      <c r="D481" s="723" t="n">
        <v>4680115883161</v>
      </c>
      <c r="E481" s="1031" t="n"/>
      <c r="F481" s="1070" t="n">
        <v>0.28</v>
      </c>
      <c r="G481" s="37" t="n">
        <v>6</v>
      </c>
      <c r="H481" s="1070" t="n">
        <v>1.68</v>
      </c>
      <c r="I481" s="1070" t="n">
        <v>1.81</v>
      </c>
      <c r="J481" s="37" t="n">
        <v>234</v>
      </c>
      <c r="K481" s="37" t="inlineStr">
        <is>
          <t>18</t>
        </is>
      </c>
      <c r="L481" s="37" t="inlineStr"/>
      <c r="M481" s="38" t="inlineStr">
        <is>
          <t>СК2</t>
        </is>
      </c>
      <c r="N481" s="38" t="n"/>
      <c r="O481" s="37" t="n">
        <v>50</v>
      </c>
      <c r="P481" s="1328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81" s="1072" t="n"/>
      <c r="R481" s="1072" t="n"/>
      <c r="S481" s="1072" t="n"/>
      <c r="T481" s="1073" t="n"/>
      <c r="U481" s="39" t="inlineStr"/>
      <c r="V481" s="39" t="inlineStr"/>
      <c r="W481" s="40" t="inlineStr">
        <is>
          <t>кг</t>
        </is>
      </c>
      <c r="X481" s="1074" t="n">
        <v>0</v>
      </c>
      <c r="Y481" s="1075">
        <f>IFERROR(IF(X481="",0,CEILING((X481/$H481),1)*$H481),"")</f>
        <v/>
      </c>
      <c r="Z481" s="41">
        <f>IFERROR(IF(Y481=0,"",ROUNDUP(Y481/H481,0)*0.00502),"")</f>
        <v/>
      </c>
      <c r="AA481" s="68" t="inlineStr"/>
      <c r="AB481" s="69" t="inlineStr"/>
      <c r="AC481" s="584" t="inlineStr">
        <is>
          <t>ЕАЭС N RU Д-RU.РА01.В.80532/26</t>
        </is>
      </c>
      <c r="AG481" s="78" t="n"/>
      <c r="AJ481" s="84" t="inlineStr"/>
      <c r="AK481" s="84" t="n">
        <v>0</v>
      </c>
      <c r="BB481" s="585" t="inlineStr">
        <is>
          <t>КИ</t>
        </is>
      </c>
      <c r="BM481" s="78">
        <f>IFERROR(X481*I481/H481,"0")</f>
        <v/>
      </c>
      <c r="BN481" s="78">
        <f>IFERROR(Y481*I481/H481,"0")</f>
        <v/>
      </c>
      <c r="BO481" s="78">
        <f>IFERROR(1/J481*(X481/H481),"0")</f>
        <v/>
      </c>
      <c r="BP481" s="78">
        <f>IFERROR(1/J481*(Y481/H481),"0")</f>
        <v/>
      </c>
    </row>
    <row r="482" ht="27" customHeight="1">
      <c r="A482" s="63" t="inlineStr">
        <is>
          <t>SU002606</t>
        </is>
      </c>
      <c r="B482" s="63" t="inlineStr">
        <is>
          <t>P004521</t>
        </is>
      </c>
      <c r="C482" s="36" t="n">
        <v>4301031358</v>
      </c>
      <c r="D482" s="723" t="n">
        <v>4607091389531</v>
      </c>
      <c r="E482" s="1031" t="n"/>
      <c r="F482" s="1070" t="n">
        <v>0.35</v>
      </c>
      <c r="G482" s="37" t="n">
        <v>6</v>
      </c>
      <c r="H482" s="1070" t="n">
        <v>2.1</v>
      </c>
      <c r="I482" s="1070" t="n">
        <v>2.23</v>
      </c>
      <c r="J482" s="37" t="n">
        <v>234</v>
      </c>
      <c r="K482" s="37" t="inlineStr">
        <is>
          <t>18</t>
        </is>
      </c>
      <c r="L482" s="37" t="inlineStr"/>
      <c r="M482" s="38" t="inlineStr">
        <is>
          <t>СК2</t>
        </is>
      </c>
      <c r="N482" s="38" t="n"/>
      <c r="O482" s="37" t="n">
        <v>50</v>
      </c>
      <c r="P482" s="1329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82" s="1072" t="n"/>
      <c r="R482" s="1072" t="n"/>
      <c r="S482" s="1072" t="n"/>
      <c r="T482" s="1073" t="n"/>
      <c r="U482" s="39" t="inlineStr"/>
      <c r="V482" s="39" t="inlineStr"/>
      <c r="W482" s="40" t="inlineStr">
        <is>
          <t>кг</t>
        </is>
      </c>
      <c r="X482" s="1074" t="n">
        <v>0</v>
      </c>
      <c r="Y482" s="1075">
        <f>IFERROR(IF(X482="",0,CEILING((X482/$H482),1)*$H482),"")</f>
        <v/>
      </c>
      <c r="Z482" s="41">
        <f>IFERROR(IF(Y482=0,"",ROUNDUP(Y482/H482,0)*0.00502),"")</f>
        <v/>
      </c>
      <c r="AA482" s="68" t="inlineStr"/>
      <c r="AB482" s="69" t="inlineStr"/>
      <c r="AC482" s="586" t="inlineStr">
        <is>
          <t>ЕАЭС N RU Д-RU.РА02.В.39101/26</t>
        </is>
      </c>
      <c r="AG482" s="78" t="n"/>
      <c r="AJ482" s="84" t="inlineStr"/>
      <c r="AK482" s="84" t="n">
        <v>0</v>
      </c>
      <c r="BB482" s="587" t="inlineStr">
        <is>
          <t>КИ</t>
        </is>
      </c>
      <c r="BM482" s="78">
        <f>IFERROR(X482*I482/H482,"0")</f>
        <v/>
      </c>
      <c r="BN482" s="78">
        <f>IFERROR(Y482*I482/H482,"0")</f>
        <v/>
      </c>
      <c r="BO482" s="78">
        <f>IFERROR(1/J482*(X482/H482),"0")</f>
        <v/>
      </c>
      <c r="BP482" s="78">
        <f>IFERROR(1/J482*(Y482/H482),"0")</f>
        <v/>
      </c>
    </row>
    <row r="483" ht="37.5" customHeight="1">
      <c r="A483" s="63" t="inlineStr">
        <is>
          <t>SU002603</t>
        </is>
      </c>
      <c r="B483" s="63" t="inlineStr">
        <is>
          <t>P004519</t>
        </is>
      </c>
      <c r="C483" s="36" t="n">
        <v>4301031360</v>
      </c>
      <c r="D483" s="723" t="n">
        <v>4607091384345</v>
      </c>
      <c r="E483" s="1031" t="n"/>
      <c r="F483" s="1070" t="n">
        <v>0.35</v>
      </c>
      <c r="G483" s="37" t="n">
        <v>6</v>
      </c>
      <c r="H483" s="1070" t="n">
        <v>2.1</v>
      </c>
      <c r="I483" s="1070" t="n">
        <v>2.23</v>
      </c>
      <c r="J483" s="37" t="n">
        <v>234</v>
      </c>
      <c r="K483" s="37" t="inlineStr">
        <is>
          <t>18</t>
        </is>
      </c>
      <c r="L483" s="37" t="inlineStr"/>
      <c r="M483" s="38" t="inlineStr">
        <is>
          <t>СК2</t>
        </is>
      </c>
      <c r="N483" s="38" t="n"/>
      <c r="O483" s="37" t="n">
        <v>50</v>
      </c>
      <c r="P483" s="1330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83" s="1072" t="n"/>
      <c r="R483" s="1072" t="n"/>
      <c r="S483" s="1072" t="n"/>
      <c r="T483" s="1073" t="n"/>
      <c r="U483" s="39" t="inlineStr"/>
      <c r="V483" s="39" t="inlineStr"/>
      <c r="W483" s="40" t="inlineStr">
        <is>
          <t>кг</t>
        </is>
      </c>
      <c r="X483" s="1074" t="n">
        <v>0</v>
      </c>
      <c r="Y483" s="1075">
        <f>IFERROR(IF(X483="",0,CEILING((X483/$H483),1)*$H483),"")</f>
        <v/>
      </c>
      <c r="Z483" s="41">
        <f>IFERROR(IF(Y483=0,"",ROUNDUP(Y483/H483,0)*0.00502),"")</f>
        <v/>
      </c>
      <c r="AA483" s="68" t="inlineStr"/>
      <c r="AB483" s="69" t="inlineStr"/>
      <c r="AC483" s="588" t="inlineStr">
        <is>
          <t>ЕАЭС N RU Д-RU.РА01.В.80532/26</t>
        </is>
      </c>
      <c r="AG483" s="78" t="n"/>
      <c r="AJ483" s="84" t="inlineStr"/>
      <c r="AK483" s="84" t="n">
        <v>0</v>
      </c>
      <c r="BB483" s="589" t="inlineStr">
        <is>
          <t>КИ</t>
        </is>
      </c>
      <c r="BM483" s="78">
        <f>IFERROR(X483*I483/H483,"0")</f>
        <v/>
      </c>
      <c r="BN483" s="78">
        <f>IFERROR(Y483*I483/H483,"0")</f>
        <v/>
      </c>
      <c r="BO483" s="78">
        <f>IFERROR(1/J483*(X483/H483),"0")</f>
        <v/>
      </c>
      <c r="BP483" s="78">
        <f>IFERROR(1/J483*(Y483/H483),"0")</f>
        <v/>
      </c>
    </row>
    <row r="484">
      <c r="A484" s="732" t="n"/>
      <c r="B484" s="1019" t="n"/>
      <c r="C484" s="1019" t="n"/>
      <c r="D484" s="1019" t="n"/>
      <c r="E484" s="1019" t="n"/>
      <c r="F484" s="1019" t="n"/>
      <c r="G484" s="1019" t="n"/>
      <c r="H484" s="1019" t="n"/>
      <c r="I484" s="1019" t="n"/>
      <c r="J484" s="1019" t="n"/>
      <c r="K484" s="1019" t="n"/>
      <c r="L484" s="1019" t="n"/>
      <c r="M484" s="1019" t="n"/>
      <c r="N484" s="1019" t="n"/>
      <c r="O484" s="1077" t="n"/>
      <c r="P484" s="1078" t="inlineStr">
        <is>
          <t>Итого</t>
        </is>
      </c>
      <c r="Q484" s="1039" t="n"/>
      <c r="R484" s="1039" t="n"/>
      <c r="S484" s="1039" t="n"/>
      <c r="T484" s="1039" t="n"/>
      <c r="U484" s="1039" t="n"/>
      <c r="V484" s="1040" t="n"/>
      <c r="W484" s="42" t="inlineStr">
        <is>
          <t>кор</t>
        </is>
      </c>
      <c r="X484" s="1079">
        <f>IFERROR(X478/H478,"0")+IFERROR(X479/H479,"0")+IFERROR(X480/H480,"0")+IFERROR(X481/H481,"0")+IFERROR(X482/H482,"0")+IFERROR(X483/H483,"0")</f>
        <v/>
      </c>
      <c r="Y484" s="1079">
        <f>IFERROR(Y478/H478,"0")+IFERROR(Y479/H479,"0")+IFERROR(Y480/H480,"0")+IFERROR(Y481/H481,"0")+IFERROR(Y482/H482,"0")+IFERROR(Y483/H483,"0")</f>
        <v/>
      </c>
      <c r="Z484" s="1079">
        <f>IFERROR(IF(Z478="",0,Z478),"0")+IFERROR(IF(Z479="",0,Z479),"0")+IFERROR(IF(Z480="",0,Z480),"0")+IFERROR(IF(Z481="",0,Z481),"0")+IFERROR(IF(Z482="",0,Z482),"0")+IFERROR(IF(Z483="",0,Z483),"0")</f>
        <v/>
      </c>
      <c r="AA484" s="1080" t="n"/>
      <c r="AB484" s="1080" t="n"/>
      <c r="AC484" s="1080" t="n"/>
    </row>
    <row r="485">
      <c r="A485" s="1019" t="n"/>
      <c r="B485" s="1019" t="n"/>
      <c r="C485" s="1019" t="n"/>
      <c r="D485" s="1019" t="n"/>
      <c r="E485" s="1019" t="n"/>
      <c r="F485" s="1019" t="n"/>
      <c r="G485" s="1019" t="n"/>
      <c r="H485" s="1019" t="n"/>
      <c r="I485" s="1019" t="n"/>
      <c r="J485" s="1019" t="n"/>
      <c r="K485" s="1019" t="n"/>
      <c r="L485" s="1019" t="n"/>
      <c r="M485" s="1019" t="n"/>
      <c r="N485" s="1019" t="n"/>
      <c r="O485" s="1077" t="n"/>
      <c r="P485" s="1078" t="inlineStr">
        <is>
          <t>Итого</t>
        </is>
      </c>
      <c r="Q485" s="1039" t="n"/>
      <c r="R485" s="1039" t="n"/>
      <c r="S485" s="1039" t="n"/>
      <c r="T485" s="1039" t="n"/>
      <c r="U485" s="1039" t="n"/>
      <c r="V485" s="1040" t="n"/>
      <c r="W485" s="42" t="inlineStr">
        <is>
          <t>кг</t>
        </is>
      </c>
      <c r="X485" s="1079">
        <f>IFERROR(SUM(X478:X483),"0")</f>
        <v/>
      </c>
      <c r="Y485" s="1079">
        <f>IFERROR(SUM(Y478:Y483),"0")</f>
        <v/>
      </c>
      <c r="Z485" s="42" t="n"/>
      <c r="AA485" s="1080" t="n"/>
      <c r="AB485" s="1080" t="n"/>
      <c r="AC485" s="1080" t="n"/>
    </row>
    <row r="486" ht="14.25" customHeight="1">
      <c r="A486" s="722" t="inlineStr">
        <is>
          <t>Сосиски</t>
        </is>
      </c>
      <c r="B486" s="1019" t="n"/>
      <c r="C486" s="1019" t="n"/>
      <c r="D486" s="1019" t="n"/>
      <c r="E486" s="1019" t="n"/>
      <c r="F486" s="1019" t="n"/>
      <c r="G486" s="1019" t="n"/>
      <c r="H486" s="1019" t="n"/>
      <c r="I486" s="1019" t="n"/>
      <c r="J486" s="1019" t="n"/>
      <c r="K486" s="1019" t="n"/>
      <c r="L486" s="1019" t="n"/>
      <c r="M486" s="1019" t="n"/>
      <c r="N486" s="1019" t="n"/>
      <c r="O486" s="1019" t="n"/>
      <c r="P486" s="1019" t="n"/>
      <c r="Q486" s="1019" t="n"/>
      <c r="R486" s="1019" t="n"/>
      <c r="S486" s="1019" t="n"/>
      <c r="T486" s="1019" t="n"/>
      <c r="U486" s="1019" t="n"/>
      <c r="V486" s="1019" t="n"/>
      <c r="W486" s="1019" t="n"/>
      <c r="X486" s="1019" t="n"/>
      <c r="Y486" s="1019" t="n"/>
      <c r="Z486" s="1019" t="n"/>
      <c r="AA486" s="722" t="n"/>
      <c r="AB486" s="722" t="n"/>
      <c r="AC486" s="722" t="n"/>
    </row>
    <row r="487" ht="27" customHeight="1">
      <c r="A487" s="63" t="inlineStr">
        <is>
          <t>SU002285</t>
        </is>
      </c>
      <c r="B487" s="63" t="inlineStr">
        <is>
          <t>P002969</t>
        </is>
      </c>
      <c r="C487" s="36" t="n">
        <v>4301051284</v>
      </c>
      <c r="D487" s="723" t="n">
        <v>4607091384352</v>
      </c>
      <c r="E487" s="1031" t="n"/>
      <c r="F487" s="1070" t="n">
        <v>0.6</v>
      </c>
      <c r="G487" s="37" t="n">
        <v>4</v>
      </c>
      <c r="H487" s="1070" t="n">
        <v>2.4</v>
      </c>
      <c r="I487" s="1070" t="n">
        <v>2.626</v>
      </c>
      <c r="J487" s="37" t="n">
        <v>132</v>
      </c>
      <c r="K487" s="37" t="inlineStr">
        <is>
          <t>12</t>
        </is>
      </c>
      <c r="L487" s="37" t="inlineStr"/>
      <c r="M487" s="38" t="inlineStr">
        <is>
          <t>СК3</t>
        </is>
      </c>
      <c r="N487" s="38" t="n"/>
      <c r="O487" s="37" t="n">
        <v>45</v>
      </c>
      <c r="P487" s="1331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87" s="1072" t="n"/>
      <c r="R487" s="1072" t="n"/>
      <c r="S487" s="1072" t="n"/>
      <c r="T487" s="1073" t="n"/>
      <c r="U487" s="39" t="inlineStr"/>
      <c r="V487" s="39" t="inlineStr"/>
      <c r="W487" s="40" t="inlineStr">
        <is>
          <t>кг</t>
        </is>
      </c>
      <c r="X487" s="1074" t="n">
        <v>0</v>
      </c>
      <c r="Y487" s="1075">
        <f>IFERROR(IF(X487="",0,CEILING((X487/$H487),1)*$H487),"")</f>
        <v/>
      </c>
      <c r="Z487" s="41">
        <f>IFERROR(IF(Y487=0,"",ROUNDUP(Y487/H487,0)*0.00902),"")</f>
        <v/>
      </c>
      <c r="AA487" s="68" t="inlineStr"/>
      <c r="AB487" s="69" t="inlineStr"/>
      <c r="AC487" s="590" t="inlineStr">
        <is>
          <t>ЕАЭС N RU Д-RU.РА10.В.31132/25</t>
        </is>
      </c>
      <c r="AG487" s="78" t="n"/>
      <c r="AJ487" s="84" t="inlineStr"/>
      <c r="AK487" s="84" t="n">
        <v>0</v>
      </c>
      <c r="BB487" s="591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SU002557</t>
        </is>
      </c>
      <c r="B488" s="63" t="inlineStr">
        <is>
          <t>P003318</t>
        </is>
      </c>
      <c r="C488" s="36" t="n">
        <v>4301051431</v>
      </c>
      <c r="D488" s="723" t="n">
        <v>4607091389654</v>
      </c>
      <c r="E488" s="1031" t="n"/>
      <c r="F488" s="1070" t="n">
        <v>0.33</v>
      </c>
      <c r="G488" s="37" t="n">
        <v>6</v>
      </c>
      <c r="H488" s="1070" t="n">
        <v>1.98</v>
      </c>
      <c r="I488" s="1070" t="n">
        <v>2.238</v>
      </c>
      <c r="J488" s="37" t="n">
        <v>182</v>
      </c>
      <c r="K488" s="37" t="inlineStr">
        <is>
          <t>14</t>
        </is>
      </c>
      <c r="L488" s="37" t="inlineStr"/>
      <c r="M488" s="38" t="inlineStr">
        <is>
          <t>СК3</t>
        </is>
      </c>
      <c r="N488" s="38" t="n"/>
      <c r="O488" s="37" t="n">
        <v>45</v>
      </c>
      <c r="P488" s="1332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88" s="1072" t="n"/>
      <c r="R488" s="1072" t="n"/>
      <c r="S488" s="1072" t="n"/>
      <c r="T488" s="1073" t="n"/>
      <c r="U488" s="39" t="inlineStr"/>
      <c r="V488" s="39" t="inlineStr"/>
      <c r="W488" s="40" t="inlineStr">
        <is>
          <t>кг</t>
        </is>
      </c>
      <c r="X488" s="1074" t="n">
        <v>0</v>
      </c>
      <c r="Y488" s="1075">
        <f>IFERROR(IF(X488="",0,CEILING((X488/$H488),1)*$H488),"")</f>
        <v/>
      </c>
      <c r="Z488" s="41">
        <f>IFERROR(IF(Y488=0,"",ROUNDUP(Y488/H488,0)*0.00651),"")</f>
        <v/>
      </c>
      <c r="AA488" s="68" t="inlineStr"/>
      <c r="AB488" s="69" t="inlineStr"/>
      <c r="AC488" s="592" t="inlineStr">
        <is>
          <t>ЕАЭС N RU Д-RU.РА07.В.45058/25</t>
        </is>
      </c>
      <c r="AG488" s="78" t="n"/>
      <c r="AJ488" s="84" t="inlineStr"/>
      <c r="AK488" s="84" t="n">
        <v>0</v>
      </c>
      <c r="BB488" s="593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>
      <c r="A489" s="732" t="n"/>
      <c r="B489" s="1019" t="n"/>
      <c r="C489" s="1019" t="n"/>
      <c r="D489" s="1019" t="n"/>
      <c r="E489" s="1019" t="n"/>
      <c r="F489" s="1019" t="n"/>
      <c r="G489" s="1019" t="n"/>
      <c r="H489" s="1019" t="n"/>
      <c r="I489" s="1019" t="n"/>
      <c r="J489" s="1019" t="n"/>
      <c r="K489" s="1019" t="n"/>
      <c r="L489" s="1019" t="n"/>
      <c r="M489" s="1019" t="n"/>
      <c r="N489" s="1019" t="n"/>
      <c r="O489" s="1077" t="n"/>
      <c r="P489" s="1078" t="inlineStr">
        <is>
          <t>Итого</t>
        </is>
      </c>
      <c r="Q489" s="1039" t="n"/>
      <c r="R489" s="1039" t="n"/>
      <c r="S489" s="1039" t="n"/>
      <c r="T489" s="1039" t="n"/>
      <c r="U489" s="1039" t="n"/>
      <c r="V489" s="1040" t="n"/>
      <c r="W489" s="42" t="inlineStr">
        <is>
          <t>кор</t>
        </is>
      </c>
      <c r="X489" s="1079">
        <f>IFERROR(X487/H487,"0")+IFERROR(X488/H488,"0")</f>
        <v/>
      </c>
      <c r="Y489" s="1079">
        <f>IFERROR(Y487/H487,"0")+IFERROR(Y488/H488,"0")</f>
        <v/>
      </c>
      <c r="Z489" s="1079">
        <f>IFERROR(IF(Z487="",0,Z487),"0")+IFERROR(IF(Z488="",0,Z488),"0")</f>
        <v/>
      </c>
      <c r="AA489" s="1080" t="n"/>
      <c r="AB489" s="1080" t="n"/>
      <c r="AC489" s="1080" t="n"/>
    </row>
    <row r="490">
      <c r="A490" s="1019" t="n"/>
      <c r="B490" s="1019" t="n"/>
      <c r="C490" s="1019" t="n"/>
      <c r="D490" s="1019" t="n"/>
      <c r="E490" s="1019" t="n"/>
      <c r="F490" s="1019" t="n"/>
      <c r="G490" s="1019" t="n"/>
      <c r="H490" s="1019" t="n"/>
      <c r="I490" s="1019" t="n"/>
      <c r="J490" s="1019" t="n"/>
      <c r="K490" s="1019" t="n"/>
      <c r="L490" s="1019" t="n"/>
      <c r="M490" s="1019" t="n"/>
      <c r="N490" s="1019" t="n"/>
      <c r="O490" s="1077" t="n"/>
      <c r="P490" s="1078" t="inlineStr">
        <is>
          <t>Итого</t>
        </is>
      </c>
      <c r="Q490" s="1039" t="n"/>
      <c r="R490" s="1039" t="n"/>
      <c r="S490" s="1039" t="n"/>
      <c r="T490" s="1039" t="n"/>
      <c r="U490" s="1039" t="n"/>
      <c r="V490" s="1040" t="n"/>
      <c r="W490" s="42" t="inlineStr">
        <is>
          <t>кг</t>
        </is>
      </c>
      <c r="X490" s="1079">
        <f>IFERROR(SUM(X487:X488),"0")</f>
        <v/>
      </c>
      <c r="Y490" s="1079">
        <f>IFERROR(SUM(Y487:Y488),"0")</f>
        <v/>
      </c>
      <c r="Z490" s="42" t="n"/>
      <c r="AA490" s="1080" t="n"/>
      <c r="AB490" s="1080" t="n"/>
      <c r="AC490" s="1080" t="n"/>
    </row>
    <row r="491" ht="16.5" customHeight="1">
      <c r="A491" s="721" t="inlineStr">
        <is>
          <t>Балыкбургская</t>
        </is>
      </c>
      <c r="B491" s="1019" t="n"/>
      <c r="C491" s="1019" t="n"/>
      <c r="D491" s="1019" t="n"/>
      <c r="E491" s="1019" t="n"/>
      <c r="F491" s="1019" t="n"/>
      <c r="G491" s="1019" t="n"/>
      <c r="H491" s="1019" t="n"/>
      <c r="I491" s="1019" t="n"/>
      <c r="J491" s="1019" t="n"/>
      <c r="K491" s="1019" t="n"/>
      <c r="L491" s="1019" t="n"/>
      <c r="M491" s="1019" t="n"/>
      <c r="N491" s="1019" t="n"/>
      <c r="O491" s="1019" t="n"/>
      <c r="P491" s="1019" t="n"/>
      <c r="Q491" s="1019" t="n"/>
      <c r="R491" s="1019" t="n"/>
      <c r="S491" s="1019" t="n"/>
      <c r="T491" s="1019" t="n"/>
      <c r="U491" s="1019" t="n"/>
      <c r="V491" s="1019" t="n"/>
      <c r="W491" s="1019" t="n"/>
      <c r="X491" s="1019" t="n"/>
      <c r="Y491" s="1019" t="n"/>
      <c r="Z491" s="1019" t="n"/>
      <c r="AA491" s="721" t="n"/>
      <c r="AB491" s="721" t="n"/>
      <c r="AC491" s="721" t="n"/>
    </row>
    <row r="492" ht="14.25" customHeight="1">
      <c r="A492" s="722" t="inlineStr">
        <is>
          <t>Ветчины</t>
        </is>
      </c>
      <c r="B492" s="1019" t="n"/>
      <c r="C492" s="1019" t="n"/>
      <c r="D492" s="1019" t="n"/>
      <c r="E492" s="1019" t="n"/>
      <c r="F492" s="1019" t="n"/>
      <c r="G492" s="1019" t="n"/>
      <c r="H492" s="1019" t="n"/>
      <c r="I492" s="1019" t="n"/>
      <c r="J492" s="1019" t="n"/>
      <c r="K492" s="1019" t="n"/>
      <c r="L492" s="1019" t="n"/>
      <c r="M492" s="1019" t="n"/>
      <c r="N492" s="1019" t="n"/>
      <c r="O492" s="1019" t="n"/>
      <c r="P492" s="1019" t="n"/>
      <c r="Q492" s="1019" t="n"/>
      <c r="R492" s="1019" t="n"/>
      <c r="S492" s="1019" t="n"/>
      <c r="T492" s="1019" t="n"/>
      <c r="U492" s="1019" t="n"/>
      <c r="V492" s="1019" t="n"/>
      <c r="W492" s="1019" t="n"/>
      <c r="X492" s="1019" t="n"/>
      <c r="Y492" s="1019" t="n"/>
      <c r="Z492" s="1019" t="n"/>
      <c r="AA492" s="722" t="n"/>
      <c r="AB492" s="722" t="n"/>
      <c r="AC492" s="722" t="n"/>
    </row>
    <row r="493" ht="27" customHeight="1">
      <c r="A493" s="63" t="inlineStr">
        <is>
          <t>SU003500</t>
        </is>
      </c>
      <c r="B493" s="63" t="inlineStr">
        <is>
          <t>P004400</t>
        </is>
      </c>
      <c r="C493" s="36" t="n">
        <v>4301020416</v>
      </c>
      <c r="D493" s="723" t="n">
        <v>4680115885240</v>
      </c>
      <c r="E493" s="1031" t="n"/>
      <c r="F493" s="1070" t="n">
        <v>0.35</v>
      </c>
      <c r="G493" s="37" t="n">
        <v>6</v>
      </c>
      <c r="H493" s="1070" t="n">
        <v>2.1</v>
      </c>
      <c r="I493" s="1070" t="n">
        <v>2.31</v>
      </c>
      <c r="J493" s="37" t="n">
        <v>182</v>
      </c>
      <c r="K493" s="37" t="inlineStr">
        <is>
          <t>14</t>
        </is>
      </c>
      <c r="L493" s="37" t="inlineStr"/>
      <c r="M493" s="38" t="inlineStr">
        <is>
          <t>СК2</t>
        </is>
      </c>
      <c r="N493" s="38" t="n"/>
      <c r="O493" s="37" t="n">
        <v>40</v>
      </c>
      <c r="P493" s="1333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93" s="1072" t="n"/>
      <c r="R493" s="1072" t="n"/>
      <c r="S493" s="1072" t="n"/>
      <c r="T493" s="1073" t="n"/>
      <c r="U493" s="39" t="inlineStr"/>
      <c r="V493" s="39" t="inlineStr"/>
      <c r="W493" s="40" t="inlineStr">
        <is>
          <t>кг</t>
        </is>
      </c>
      <c r="X493" s="1074" t="n">
        <v>0</v>
      </c>
      <c r="Y493" s="1075">
        <f>IFERROR(IF(X493="",0,CEILING((X493/$H493),1)*$H493),"")</f>
        <v/>
      </c>
      <c r="Z493" s="41">
        <f>IFERROR(IF(Y493=0,"",ROUNDUP(Y493/H493,0)*0.00651),"")</f>
        <v/>
      </c>
      <c r="AA493" s="68" t="inlineStr"/>
      <c r="AB493" s="69" t="inlineStr"/>
      <c r="AC493" s="594" t="inlineStr">
        <is>
          <t>ЕАЭС N RU Д-RU.РА04.В.08736/24</t>
        </is>
      </c>
      <c r="AG493" s="78" t="n"/>
      <c r="AJ493" s="84" t="inlineStr"/>
      <c r="AK493" s="84" t="n">
        <v>0</v>
      </c>
      <c r="BB493" s="595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32" t="n"/>
      <c r="B494" s="1019" t="n"/>
      <c r="C494" s="1019" t="n"/>
      <c r="D494" s="1019" t="n"/>
      <c r="E494" s="1019" t="n"/>
      <c r="F494" s="1019" t="n"/>
      <c r="G494" s="1019" t="n"/>
      <c r="H494" s="1019" t="n"/>
      <c r="I494" s="1019" t="n"/>
      <c r="J494" s="1019" t="n"/>
      <c r="K494" s="1019" t="n"/>
      <c r="L494" s="1019" t="n"/>
      <c r="M494" s="1019" t="n"/>
      <c r="N494" s="1019" t="n"/>
      <c r="O494" s="1077" t="n"/>
      <c r="P494" s="1078" t="inlineStr">
        <is>
          <t>Итого</t>
        </is>
      </c>
      <c r="Q494" s="1039" t="n"/>
      <c r="R494" s="1039" t="n"/>
      <c r="S494" s="1039" t="n"/>
      <c r="T494" s="1039" t="n"/>
      <c r="U494" s="1039" t="n"/>
      <c r="V494" s="1040" t="n"/>
      <c r="W494" s="42" t="inlineStr">
        <is>
          <t>кор</t>
        </is>
      </c>
      <c r="X494" s="1079">
        <f>IFERROR(X493/H493,"0")</f>
        <v/>
      </c>
      <c r="Y494" s="1079">
        <f>IFERROR(Y493/H493,"0")</f>
        <v/>
      </c>
      <c r="Z494" s="1079">
        <f>IFERROR(IF(Z493="",0,Z493),"0")</f>
        <v/>
      </c>
      <c r="AA494" s="1080" t="n"/>
      <c r="AB494" s="1080" t="n"/>
      <c r="AC494" s="1080" t="n"/>
    </row>
    <row r="495">
      <c r="A495" s="1019" t="n"/>
      <c r="B495" s="1019" t="n"/>
      <c r="C495" s="1019" t="n"/>
      <c r="D495" s="1019" t="n"/>
      <c r="E495" s="1019" t="n"/>
      <c r="F495" s="1019" t="n"/>
      <c r="G495" s="1019" t="n"/>
      <c r="H495" s="1019" t="n"/>
      <c r="I495" s="1019" t="n"/>
      <c r="J495" s="1019" t="n"/>
      <c r="K495" s="1019" t="n"/>
      <c r="L495" s="1019" t="n"/>
      <c r="M495" s="1019" t="n"/>
      <c r="N495" s="1019" t="n"/>
      <c r="O495" s="1077" t="n"/>
      <c r="P495" s="1078" t="inlineStr">
        <is>
          <t>Итого</t>
        </is>
      </c>
      <c r="Q495" s="1039" t="n"/>
      <c r="R495" s="1039" t="n"/>
      <c r="S495" s="1039" t="n"/>
      <c r="T495" s="1039" t="n"/>
      <c r="U495" s="1039" t="n"/>
      <c r="V495" s="1040" t="n"/>
      <c r="W495" s="42" t="inlineStr">
        <is>
          <t>кг</t>
        </is>
      </c>
      <c r="X495" s="1079">
        <f>IFERROR(SUM(X493:X493),"0")</f>
        <v/>
      </c>
      <c r="Y495" s="1079">
        <f>IFERROR(SUM(Y493:Y493),"0")</f>
        <v/>
      </c>
      <c r="Z495" s="42" t="n"/>
      <c r="AA495" s="1080" t="n"/>
      <c r="AB495" s="1080" t="n"/>
      <c r="AC495" s="1080" t="n"/>
    </row>
    <row r="496" ht="14.25" customHeight="1">
      <c r="A496" s="722" t="inlineStr">
        <is>
          <t>Копченые колбасы</t>
        </is>
      </c>
      <c r="B496" s="1019" t="n"/>
      <c r="C496" s="1019" t="n"/>
      <c r="D496" s="1019" t="n"/>
      <c r="E496" s="1019" t="n"/>
      <c r="F496" s="1019" t="n"/>
      <c r="G496" s="1019" t="n"/>
      <c r="H496" s="1019" t="n"/>
      <c r="I496" s="1019" t="n"/>
      <c r="J496" s="1019" t="n"/>
      <c r="K496" s="1019" t="n"/>
      <c r="L496" s="1019" t="n"/>
      <c r="M496" s="1019" t="n"/>
      <c r="N496" s="1019" t="n"/>
      <c r="O496" s="1019" t="n"/>
      <c r="P496" s="1019" t="n"/>
      <c r="Q496" s="1019" t="n"/>
      <c r="R496" s="1019" t="n"/>
      <c r="S496" s="1019" t="n"/>
      <c r="T496" s="1019" t="n"/>
      <c r="U496" s="1019" t="n"/>
      <c r="V496" s="1019" t="n"/>
      <c r="W496" s="1019" t="n"/>
      <c r="X496" s="1019" t="n"/>
      <c r="Y496" s="1019" t="n"/>
      <c r="Z496" s="1019" t="n"/>
      <c r="AA496" s="722" t="n"/>
      <c r="AB496" s="722" t="n"/>
      <c r="AC496" s="722" t="n"/>
    </row>
    <row r="497" ht="27" customHeight="1">
      <c r="A497" s="63" t="inlineStr">
        <is>
          <t>SU002612</t>
        </is>
      </c>
      <c r="B497" s="63" t="inlineStr">
        <is>
          <t>P004896</t>
        </is>
      </c>
      <c r="C497" s="36" t="n">
        <v>4301031407</v>
      </c>
      <c r="D497" s="723" t="n">
        <v>4680115886094</v>
      </c>
      <c r="E497" s="1031" t="n"/>
      <c r="F497" s="1070" t="n">
        <v>0.9</v>
      </c>
      <c r="G497" s="37" t="n">
        <v>6</v>
      </c>
      <c r="H497" s="1070" t="n">
        <v>5.4</v>
      </c>
      <c r="I497" s="1070" t="n">
        <v>5.59</v>
      </c>
      <c r="J497" s="37" t="n">
        <v>132</v>
      </c>
      <c r="K497" s="37" t="inlineStr">
        <is>
          <t>12</t>
        </is>
      </c>
      <c r="L497" s="37" t="inlineStr"/>
      <c r="M497" s="38" t="inlineStr">
        <is>
          <t>СК2</t>
        </is>
      </c>
      <c r="N497" s="38" t="n"/>
      <c r="O497" s="37" t="n">
        <v>50</v>
      </c>
      <c r="P497" s="1334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97" s="1072" t="n"/>
      <c r="R497" s="1072" t="n"/>
      <c r="S497" s="1072" t="n"/>
      <c r="T497" s="1073" t="n"/>
      <c r="U497" s="39" t="inlineStr"/>
      <c r="V497" s="39" t="inlineStr"/>
      <c r="W497" s="40" t="inlineStr">
        <is>
          <t>кг</t>
        </is>
      </c>
      <c r="X497" s="1074" t="n">
        <v>0</v>
      </c>
      <c r="Y497" s="1075">
        <f>IFERROR(IF(X497="",0,CEILING((X497/$H497),1)*$H497),"")</f>
        <v/>
      </c>
      <c r="Z497" s="41">
        <f>IFERROR(IF(Y497=0,"",ROUNDUP(Y497/H497,0)*0.00902),"")</f>
        <v/>
      </c>
      <c r="AA497" s="68" t="inlineStr"/>
      <c r="AB497" s="69" t="inlineStr"/>
      <c r="AC497" s="596" t="inlineStr">
        <is>
          <t>ЕАЭС N RU Д-RU.РА02.В.38950/26</t>
        </is>
      </c>
      <c r="AG497" s="78" t="n"/>
      <c r="AJ497" s="84" t="inlineStr"/>
      <c r="AK497" s="84" t="n">
        <v>0</v>
      </c>
      <c r="BB497" s="597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27" customHeight="1">
      <c r="A498" s="63" t="inlineStr">
        <is>
          <t>SU002726</t>
        </is>
      </c>
      <c r="B498" s="63" t="inlineStr">
        <is>
          <t>P004546</t>
        </is>
      </c>
      <c r="C498" s="36" t="n">
        <v>4301031373</v>
      </c>
      <c r="D498" s="723" t="n">
        <v>4680115880771</v>
      </c>
      <c r="E498" s="1031" t="n"/>
      <c r="F498" s="1070" t="n">
        <v>0.28</v>
      </c>
      <c r="G498" s="37" t="n">
        <v>6</v>
      </c>
      <c r="H498" s="1070" t="n">
        <v>1.68</v>
      </c>
      <c r="I498" s="1070" t="n">
        <v>1.81</v>
      </c>
      <c r="J498" s="37" t="n">
        <v>234</v>
      </c>
      <c r="K498" s="37" t="inlineStr">
        <is>
          <t>18</t>
        </is>
      </c>
      <c r="L498" s="37" t="inlineStr"/>
      <c r="M498" s="38" t="inlineStr">
        <is>
          <t>СК2</t>
        </is>
      </c>
      <c r="N498" s="38" t="n"/>
      <c r="O498" s="37" t="n">
        <v>50</v>
      </c>
      <c r="P498" s="1335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98" s="1072" t="n"/>
      <c r="R498" s="1072" t="n"/>
      <c r="S498" s="1072" t="n"/>
      <c r="T498" s="1073" t="n"/>
      <c r="U498" s="39" t="inlineStr"/>
      <c r="V498" s="39" t="inlineStr"/>
      <c r="W498" s="40" t="inlineStr">
        <is>
          <t>кг</t>
        </is>
      </c>
      <c r="X498" s="1074" t="n">
        <v>0</v>
      </c>
      <c r="Y498" s="1075">
        <f>IFERROR(IF(X498="",0,CEILING((X498/$H498),1)*$H498),"")</f>
        <v/>
      </c>
      <c r="Z498" s="41">
        <f>IFERROR(IF(Y498=0,"",ROUNDUP(Y498/H498,0)*0.00502),"")</f>
        <v/>
      </c>
      <c r="AA498" s="68" t="inlineStr"/>
      <c r="AB498" s="69" t="inlineStr"/>
      <c r="AC498" s="598" t="inlineStr">
        <is>
          <t>ЕАЭС N RU Д-RU.РА03.В.99806/26</t>
        </is>
      </c>
      <c r="AG498" s="78" t="n"/>
      <c r="AJ498" s="84" t="inlineStr"/>
      <c r="AK498" s="84" t="n">
        <v>0</v>
      </c>
      <c r="BB498" s="599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27" customHeight="1">
      <c r="A499" s="63" t="inlineStr">
        <is>
          <t>SU002604</t>
        </is>
      </c>
      <c r="B499" s="63" t="inlineStr">
        <is>
          <t>P004520</t>
        </is>
      </c>
      <c r="C499" s="36" t="n">
        <v>4301031359</v>
      </c>
      <c r="D499" s="723" t="n">
        <v>4607091389500</v>
      </c>
      <c r="E499" s="1031" t="n"/>
      <c r="F499" s="1070" t="n">
        <v>0.35</v>
      </c>
      <c r="G499" s="37" t="n">
        <v>6</v>
      </c>
      <c r="H499" s="1070" t="n">
        <v>2.1</v>
      </c>
      <c r="I499" s="1070" t="n">
        <v>2.23</v>
      </c>
      <c r="J499" s="37" t="n">
        <v>234</v>
      </c>
      <c r="K499" s="37" t="inlineStr">
        <is>
          <t>18</t>
        </is>
      </c>
      <c r="L499" s="37" t="inlineStr"/>
      <c r="M499" s="38" t="inlineStr">
        <is>
          <t>СК2</t>
        </is>
      </c>
      <c r="N499" s="38" t="n"/>
      <c r="O499" s="37" t="n">
        <v>50</v>
      </c>
      <c r="P499" s="1336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99" s="1072" t="n"/>
      <c r="R499" s="1072" t="n"/>
      <c r="S499" s="1072" t="n"/>
      <c r="T499" s="1073" t="n"/>
      <c r="U499" s="39" t="inlineStr"/>
      <c r="V499" s="39" t="inlineStr"/>
      <c r="W499" s="40" t="inlineStr">
        <is>
          <t>кг</t>
        </is>
      </c>
      <c r="X499" s="1074" t="n">
        <v>0</v>
      </c>
      <c r="Y499" s="1075">
        <f>IFERROR(IF(X499="",0,CEILING((X499/$H499),1)*$H499),"")</f>
        <v/>
      </c>
      <c r="Z499" s="41">
        <f>IFERROR(IF(Y499=0,"",ROUNDUP(Y499/H499,0)*0.00502),"")</f>
        <v/>
      </c>
      <c r="AA499" s="68" t="inlineStr"/>
      <c r="AB499" s="69" t="inlineStr"/>
      <c r="AC499" s="600" t="inlineStr">
        <is>
          <t>ЕАЭС N RU Д-RU.РА03.В.99806/26</t>
        </is>
      </c>
      <c r="AG499" s="78" t="n"/>
      <c r="AJ499" s="84" t="inlineStr"/>
      <c r="AK499" s="84" t="n">
        <v>0</v>
      </c>
      <c r="BB499" s="601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>
      <c r="A500" s="732" t="n"/>
      <c r="B500" s="1019" t="n"/>
      <c r="C500" s="1019" t="n"/>
      <c r="D500" s="1019" t="n"/>
      <c r="E500" s="1019" t="n"/>
      <c r="F500" s="1019" t="n"/>
      <c r="G500" s="1019" t="n"/>
      <c r="H500" s="1019" t="n"/>
      <c r="I500" s="1019" t="n"/>
      <c r="J500" s="1019" t="n"/>
      <c r="K500" s="1019" t="n"/>
      <c r="L500" s="1019" t="n"/>
      <c r="M500" s="1019" t="n"/>
      <c r="N500" s="1019" t="n"/>
      <c r="O500" s="1077" t="n"/>
      <c r="P500" s="1078" t="inlineStr">
        <is>
          <t>Итого</t>
        </is>
      </c>
      <c r="Q500" s="1039" t="n"/>
      <c r="R500" s="1039" t="n"/>
      <c r="S500" s="1039" t="n"/>
      <c r="T500" s="1039" t="n"/>
      <c r="U500" s="1039" t="n"/>
      <c r="V500" s="1040" t="n"/>
      <c r="W500" s="42" t="inlineStr">
        <is>
          <t>кор</t>
        </is>
      </c>
      <c r="X500" s="1079">
        <f>IFERROR(X497/H497,"0")+IFERROR(X498/H498,"0")+IFERROR(X499/H499,"0")</f>
        <v/>
      </c>
      <c r="Y500" s="1079">
        <f>IFERROR(Y497/H497,"0")+IFERROR(Y498/H498,"0")+IFERROR(Y499/H499,"0")</f>
        <v/>
      </c>
      <c r="Z500" s="1079">
        <f>IFERROR(IF(Z497="",0,Z497),"0")+IFERROR(IF(Z498="",0,Z498),"0")+IFERROR(IF(Z499="",0,Z499),"0")</f>
        <v/>
      </c>
      <c r="AA500" s="1080" t="n"/>
      <c r="AB500" s="1080" t="n"/>
      <c r="AC500" s="1080" t="n"/>
    </row>
    <row r="501">
      <c r="A501" s="1019" t="n"/>
      <c r="B501" s="1019" t="n"/>
      <c r="C501" s="1019" t="n"/>
      <c r="D501" s="1019" t="n"/>
      <c r="E501" s="1019" t="n"/>
      <c r="F501" s="1019" t="n"/>
      <c r="G501" s="1019" t="n"/>
      <c r="H501" s="1019" t="n"/>
      <c r="I501" s="1019" t="n"/>
      <c r="J501" s="1019" t="n"/>
      <c r="K501" s="1019" t="n"/>
      <c r="L501" s="1019" t="n"/>
      <c r="M501" s="1019" t="n"/>
      <c r="N501" s="1019" t="n"/>
      <c r="O501" s="1077" t="n"/>
      <c r="P501" s="1078" t="inlineStr">
        <is>
          <t>Итого</t>
        </is>
      </c>
      <c r="Q501" s="1039" t="n"/>
      <c r="R501" s="1039" t="n"/>
      <c r="S501" s="1039" t="n"/>
      <c r="T501" s="1039" t="n"/>
      <c r="U501" s="1039" t="n"/>
      <c r="V501" s="1040" t="n"/>
      <c r="W501" s="42" t="inlineStr">
        <is>
          <t>кг</t>
        </is>
      </c>
      <c r="X501" s="1079">
        <f>IFERROR(SUM(X497:X499),"0")</f>
        <v/>
      </c>
      <c r="Y501" s="1079">
        <f>IFERROR(SUM(Y497:Y499),"0")</f>
        <v/>
      </c>
      <c r="Z501" s="42" t="n"/>
      <c r="AA501" s="1080" t="n"/>
      <c r="AB501" s="1080" t="n"/>
      <c r="AC501" s="1080" t="n"/>
    </row>
    <row r="502" ht="27.75" customHeight="1">
      <c r="A502" s="720" t="inlineStr">
        <is>
          <t>Дугушка</t>
        </is>
      </c>
      <c r="B502" s="1069" t="n"/>
      <c r="C502" s="1069" t="n"/>
      <c r="D502" s="1069" t="n"/>
      <c r="E502" s="1069" t="n"/>
      <c r="F502" s="1069" t="n"/>
      <c r="G502" s="1069" t="n"/>
      <c r="H502" s="1069" t="n"/>
      <c r="I502" s="1069" t="n"/>
      <c r="J502" s="1069" t="n"/>
      <c r="K502" s="1069" t="n"/>
      <c r="L502" s="1069" t="n"/>
      <c r="M502" s="1069" t="n"/>
      <c r="N502" s="1069" t="n"/>
      <c r="O502" s="1069" t="n"/>
      <c r="P502" s="1069" t="n"/>
      <c r="Q502" s="1069" t="n"/>
      <c r="R502" s="1069" t="n"/>
      <c r="S502" s="1069" t="n"/>
      <c r="T502" s="1069" t="n"/>
      <c r="U502" s="1069" t="n"/>
      <c r="V502" s="1069" t="n"/>
      <c r="W502" s="1069" t="n"/>
      <c r="X502" s="1069" t="n"/>
      <c r="Y502" s="1069" t="n"/>
      <c r="Z502" s="1069" t="n"/>
      <c r="AA502" s="54" t="n"/>
      <c r="AB502" s="54" t="n"/>
      <c r="AC502" s="54" t="n"/>
    </row>
    <row r="503" ht="16.5" customHeight="1">
      <c r="A503" s="721" t="inlineStr">
        <is>
          <t>Дугушка</t>
        </is>
      </c>
      <c r="B503" s="1019" t="n"/>
      <c r="C503" s="1019" t="n"/>
      <c r="D503" s="1019" t="n"/>
      <c r="E503" s="1019" t="n"/>
      <c r="F503" s="1019" t="n"/>
      <c r="G503" s="1019" t="n"/>
      <c r="H503" s="1019" t="n"/>
      <c r="I503" s="1019" t="n"/>
      <c r="J503" s="1019" t="n"/>
      <c r="K503" s="1019" t="n"/>
      <c r="L503" s="1019" t="n"/>
      <c r="M503" s="1019" t="n"/>
      <c r="N503" s="1019" t="n"/>
      <c r="O503" s="1019" t="n"/>
      <c r="P503" s="1019" t="n"/>
      <c r="Q503" s="1019" t="n"/>
      <c r="R503" s="1019" t="n"/>
      <c r="S503" s="1019" t="n"/>
      <c r="T503" s="1019" t="n"/>
      <c r="U503" s="1019" t="n"/>
      <c r="V503" s="1019" t="n"/>
      <c r="W503" s="1019" t="n"/>
      <c r="X503" s="1019" t="n"/>
      <c r="Y503" s="1019" t="n"/>
      <c r="Z503" s="1019" t="n"/>
      <c r="AA503" s="721" t="n"/>
      <c r="AB503" s="721" t="n"/>
      <c r="AC503" s="721" t="n"/>
    </row>
    <row r="504" ht="14.25" customHeight="1">
      <c r="A504" s="722" t="inlineStr">
        <is>
          <t>Вареные колбасы</t>
        </is>
      </c>
      <c r="B504" s="1019" t="n"/>
      <c r="C504" s="1019" t="n"/>
      <c r="D504" s="1019" t="n"/>
      <c r="E504" s="1019" t="n"/>
      <c r="F504" s="1019" t="n"/>
      <c r="G504" s="1019" t="n"/>
      <c r="H504" s="1019" t="n"/>
      <c r="I504" s="1019" t="n"/>
      <c r="J504" s="1019" t="n"/>
      <c r="K504" s="1019" t="n"/>
      <c r="L504" s="1019" t="n"/>
      <c r="M504" s="1019" t="n"/>
      <c r="N504" s="1019" t="n"/>
      <c r="O504" s="1019" t="n"/>
      <c r="P504" s="1019" t="n"/>
      <c r="Q504" s="1019" t="n"/>
      <c r="R504" s="1019" t="n"/>
      <c r="S504" s="1019" t="n"/>
      <c r="T504" s="1019" t="n"/>
      <c r="U504" s="1019" t="n"/>
      <c r="V504" s="1019" t="n"/>
      <c r="W504" s="1019" t="n"/>
      <c r="X504" s="1019" t="n"/>
      <c r="Y504" s="1019" t="n"/>
      <c r="Z504" s="1019" t="n"/>
      <c r="AA504" s="722" t="n"/>
      <c r="AB504" s="722" t="n"/>
      <c r="AC504" s="722" t="n"/>
    </row>
    <row r="505" ht="27" customHeight="1">
      <c r="A505" s="63" t="inlineStr">
        <is>
          <t>SU002011</t>
        </is>
      </c>
      <c r="B505" s="63" t="inlineStr">
        <is>
          <t>P004028</t>
        </is>
      </c>
      <c r="C505" s="36" t="n">
        <v>4301011769</v>
      </c>
      <c r="D505" s="723" t="n">
        <v>4607091389067</v>
      </c>
      <c r="E505" s="1031" t="n"/>
      <c r="F505" s="1070" t="n">
        <v>0.88</v>
      </c>
      <c r="G505" s="37" t="n">
        <v>6</v>
      </c>
      <c r="H505" s="1070" t="n">
        <v>5.28</v>
      </c>
      <c r="I505" s="1070" t="n">
        <v>5.63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СК3</t>
        </is>
      </c>
      <c r="N505" s="38" t="n"/>
      <c r="O505" s="37" t="n">
        <v>60</v>
      </c>
      <c r="P505" s="1337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505" s="1072" t="n"/>
      <c r="R505" s="1072" t="n"/>
      <c r="S505" s="1072" t="n"/>
      <c r="T505" s="1073" t="n"/>
      <c r="U505" s="39" t="inlineStr"/>
      <c r="V505" s="39" t="inlineStr"/>
      <c r="W505" s="40" t="inlineStr">
        <is>
          <t>кг</t>
        </is>
      </c>
      <c r="X505" s="1074" t="n">
        <v>0</v>
      </c>
      <c r="Y505" s="1075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602" t="inlineStr">
        <is>
          <t>ЕАЭС N RU Д-RU.РА08.В.45907/25</t>
        </is>
      </c>
      <c r="AG505" s="78" t="n"/>
      <c r="AJ505" s="84" t="inlineStr"/>
      <c r="AK505" s="84" t="n">
        <v>0</v>
      </c>
      <c r="BB505" s="603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16.5" customHeight="1">
      <c r="A506" s="63" t="inlineStr">
        <is>
          <t>SU004309</t>
        </is>
      </c>
      <c r="B506" s="63" t="inlineStr">
        <is>
          <t>P005632</t>
        </is>
      </c>
      <c r="C506" s="36" t="n">
        <v>4301012380</v>
      </c>
      <c r="D506" s="723" t="n">
        <v>4680115889576</v>
      </c>
      <c r="E506" s="1031" t="n"/>
      <c r="F506" s="1070" t="n">
        <v>0.88</v>
      </c>
      <c r="G506" s="37" t="n">
        <v>6</v>
      </c>
      <c r="H506" s="1070" t="n">
        <v>5.28</v>
      </c>
      <c r="I506" s="1070" t="n">
        <v>5.63</v>
      </c>
      <c r="J506" s="37" t="n">
        <v>104</v>
      </c>
      <c r="K506" s="37" t="inlineStr">
        <is>
          <t>8</t>
        </is>
      </c>
      <c r="L506" s="37" t="inlineStr"/>
      <c r="M506" s="38" t="inlineStr">
        <is>
          <t>СК1</t>
        </is>
      </c>
      <c r="N506" s="38" t="n"/>
      <c r="O506" s="37" t="n">
        <v>60</v>
      </c>
      <c r="P506" s="1338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506" s="1072" t="n"/>
      <c r="R506" s="1072" t="n"/>
      <c r="S506" s="1072" t="n"/>
      <c r="T506" s="1073" t="n"/>
      <c r="U506" s="39" t="inlineStr"/>
      <c r="V506" s="39" t="inlineStr"/>
      <c r="W506" s="40" t="inlineStr">
        <is>
          <t>кг</t>
        </is>
      </c>
      <c r="X506" s="1074" t="n">
        <v>0</v>
      </c>
      <c r="Y506" s="1075">
        <f>IFERROR(IF(X506="",0,CEILING((X506/$H506),1)*$H506),"")</f>
        <v/>
      </c>
      <c r="Z506" s="41">
        <f>IFERROR(IF(Y506=0,"",ROUNDUP(Y506/H506,0)*0.01196),"")</f>
        <v/>
      </c>
      <c r="AA506" s="68" t="inlineStr"/>
      <c r="AB506" s="69" t="inlineStr"/>
      <c r="AC506" s="604" t="inlineStr">
        <is>
          <t>ЕАЭС N RU Д-RU.РА02.В.94367/26</t>
        </is>
      </c>
      <c r="AG506" s="78" t="n"/>
      <c r="AJ506" s="84" t="inlineStr"/>
      <c r="AK506" s="84" t="n">
        <v>0</v>
      </c>
      <c r="BB506" s="605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SU002182</t>
        </is>
      </c>
      <c r="B507" s="63" t="inlineStr">
        <is>
          <t>P004406</t>
        </is>
      </c>
      <c r="C507" s="36" t="n">
        <v>4301011961</v>
      </c>
      <c r="D507" s="723" t="n">
        <v>4680115885271</v>
      </c>
      <c r="E507" s="1031" t="n"/>
      <c r="F507" s="1070" t="n">
        <v>0.88</v>
      </c>
      <c r="G507" s="37" t="n">
        <v>6</v>
      </c>
      <c r="H507" s="1070" t="n">
        <v>5.28</v>
      </c>
      <c r="I507" s="1070" t="n">
        <v>5.63</v>
      </c>
      <c r="J507" s="37" t="n">
        <v>104</v>
      </c>
      <c r="K507" s="37" t="inlineStr">
        <is>
          <t>8</t>
        </is>
      </c>
      <c r="L507" s="37" t="inlineStr"/>
      <c r="M507" s="38" t="inlineStr">
        <is>
          <t>СК1</t>
        </is>
      </c>
      <c r="N507" s="38" t="n"/>
      <c r="O507" s="37" t="n">
        <v>60</v>
      </c>
      <c r="P507" s="1339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507" s="1072" t="n"/>
      <c r="R507" s="1072" t="n"/>
      <c r="S507" s="1072" t="n"/>
      <c r="T507" s="1073" t="n"/>
      <c r="U507" s="39" t="inlineStr"/>
      <c r="V507" s="39" t="inlineStr"/>
      <c r="W507" s="40" t="inlineStr">
        <is>
          <t>кг</t>
        </is>
      </c>
      <c r="X507" s="1074" t="n">
        <v>0</v>
      </c>
      <c r="Y507" s="1075">
        <f>IFERROR(IF(X507="",0,CEILING((X507/$H507),1)*$H507),"")</f>
        <v/>
      </c>
      <c r="Z507" s="41">
        <f>IFERROR(IF(Y507=0,"",ROUNDUP(Y507/H507,0)*0.01196),"")</f>
        <v/>
      </c>
      <c r="AA507" s="68" t="inlineStr"/>
      <c r="AB507" s="69" t="inlineStr"/>
      <c r="AC507" s="606" t="inlineStr">
        <is>
          <t>ЕАЭС N RU Д-RU.РА01.В.49910/26</t>
        </is>
      </c>
      <c r="AG507" s="78" t="n"/>
      <c r="AJ507" s="84" t="inlineStr"/>
      <c r="AK507" s="84" t="n">
        <v>0</v>
      </c>
      <c r="BB507" s="607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SU002634</t>
        </is>
      </c>
      <c r="B508" s="63" t="inlineStr">
        <is>
          <t>P002989</t>
        </is>
      </c>
      <c r="C508" s="36" t="n">
        <v>4301011369</v>
      </c>
      <c r="D508" s="723" t="n">
        <v>4680115885226</v>
      </c>
      <c r="E508" s="1031" t="n"/>
      <c r="F508" s="1070" t="n">
        <v>0.88</v>
      </c>
      <c r="G508" s="37" t="n">
        <v>6</v>
      </c>
      <c r="H508" s="1070" t="n">
        <v>5.28</v>
      </c>
      <c r="I508" s="1070" t="n">
        <v>5.63</v>
      </c>
      <c r="J508" s="37" t="n">
        <v>104</v>
      </c>
      <c r="K508" s="37" t="inlineStr">
        <is>
          <t>8</t>
        </is>
      </c>
      <c r="L508" s="37" t="inlineStr"/>
      <c r="M508" s="38" t="inlineStr">
        <is>
          <t>СК1</t>
        </is>
      </c>
      <c r="N508" s="38" t="n"/>
      <c r="O508" s="37" t="n">
        <v>60</v>
      </c>
      <c r="P508" s="1340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508" s="1072" t="n"/>
      <c r="R508" s="1072" t="n"/>
      <c r="S508" s="1072" t="n"/>
      <c r="T508" s="1073" t="n"/>
      <c r="U508" s="39" t="inlineStr"/>
      <c r="V508" s="39" t="inlineStr"/>
      <c r="W508" s="40" t="inlineStr">
        <is>
          <t>кг</t>
        </is>
      </c>
      <c r="X508" s="1074" t="n">
        <v>31</v>
      </c>
      <c r="Y508" s="1075">
        <f>IFERROR(IF(X508="",0,CEILING((X508/$H508),1)*$H508),"")</f>
        <v/>
      </c>
      <c r="Z508" s="41">
        <f>IFERROR(IF(Y508=0,"",ROUNDUP(Y508/H508,0)*0.01196),"")</f>
        <v/>
      </c>
      <c r="AA508" s="68" t="inlineStr"/>
      <c r="AB508" s="69" t="inlineStr"/>
      <c r="AC508" s="608" t="inlineStr">
        <is>
          <t>ЕАЭС N RU Д-RU.РА01.В.50299/26</t>
        </is>
      </c>
      <c r="AG508" s="78" t="n"/>
      <c r="AJ508" s="84" t="inlineStr"/>
      <c r="AK508" s="84" t="n">
        <v>0</v>
      </c>
      <c r="BB508" s="609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16.5" customHeight="1">
      <c r="A509" s="63" t="inlineStr">
        <is>
          <t>SU002998</t>
        </is>
      </c>
      <c r="B509" s="63" t="inlineStr">
        <is>
          <t>P004033</t>
        </is>
      </c>
      <c r="C509" s="36" t="n">
        <v>4301011797</v>
      </c>
      <c r="D509" s="723" t="n">
        <v>4680115884502</v>
      </c>
      <c r="E509" s="1031" t="n"/>
      <c r="F509" s="1070" t="n">
        <v>0.88</v>
      </c>
      <c r="G509" s="37" t="n">
        <v>6</v>
      </c>
      <c r="H509" s="1070" t="n">
        <v>5.28</v>
      </c>
      <c r="I509" s="1070" t="n">
        <v>5.63</v>
      </c>
      <c r="J509" s="37" t="n">
        <v>104</v>
      </c>
      <c r="K509" s="37" t="inlineStr">
        <is>
          <t>8</t>
        </is>
      </c>
      <c r="L509" s="37" t="inlineStr"/>
      <c r="M509" s="38" t="inlineStr">
        <is>
          <t>СК3</t>
        </is>
      </c>
      <c r="N509" s="38" t="n"/>
      <c r="O509" s="37" t="n">
        <v>60</v>
      </c>
      <c r="P509" s="1341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509" s="1072" t="n"/>
      <c r="R509" s="1072" t="n"/>
      <c r="S509" s="1072" t="n"/>
      <c r="T509" s="1073" t="n"/>
      <c r="U509" s="39" t="inlineStr"/>
      <c r="V509" s="39" t="inlineStr"/>
      <c r="W509" s="40" t="inlineStr">
        <is>
          <t>кг</t>
        </is>
      </c>
      <c r="X509" s="1074" t="n">
        <v>0</v>
      </c>
      <c r="Y509" s="1075">
        <f>IFERROR(IF(X509="",0,CEILING((X509/$H509),1)*$H509),"")</f>
        <v/>
      </c>
      <c r="Z509" s="41">
        <f>IFERROR(IF(Y509=0,"",ROUNDUP(Y509/H509,0)*0.01196),"")</f>
        <v/>
      </c>
      <c r="AA509" s="68" t="inlineStr"/>
      <c r="AB509" s="69" t="inlineStr"/>
      <c r="AC509" s="610" t="inlineStr">
        <is>
          <t>ЕАЭС N RU Д-RU.РА03.В.87123/25</t>
        </is>
      </c>
      <c r="AG509" s="78" t="n"/>
      <c r="AJ509" s="84" t="inlineStr"/>
      <c r="AK509" s="84" t="n">
        <v>0</v>
      </c>
      <c r="BB509" s="611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 ht="27" customHeight="1">
      <c r="A510" s="63" t="inlineStr">
        <is>
          <t>SU002010</t>
        </is>
      </c>
      <c r="B510" s="63" t="inlineStr">
        <is>
          <t>P004030</t>
        </is>
      </c>
      <c r="C510" s="36" t="n">
        <v>4301011771</v>
      </c>
      <c r="D510" s="723" t="n">
        <v>4607091389104</v>
      </c>
      <c r="E510" s="1031" t="n"/>
      <c r="F510" s="1070" t="n">
        <v>0.88</v>
      </c>
      <c r="G510" s="37" t="n">
        <v>6</v>
      </c>
      <c r="H510" s="1070" t="n">
        <v>5.28</v>
      </c>
      <c r="I510" s="1070" t="n">
        <v>5.63</v>
      </c>
      <c r="J510" s="37" t="n">
        <v>104</v>
      </c>
      <c r="K510" s="37" t="inlineStr">
        <is>
          <t>8</t>
        </is>
      </c>
      <c r="L510" s="37" t="inlineStr"/>
      <c r="M510" s="38" t="inlineStr">
        <is>
          <t>СК1</t>
        </is>
      </c>
      <c r="N510" s="38" t="n"/>
      <c r="O510" s="37" t="n">
        <v>60</v>
      </c>
      <c r="P510" s="1342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510" s="1072" t="n"/>
      <c r="R510" s="1072" t="n"/>
      <c r="S510" s="1072" t="n"/>
      <c r="T510" s="1073" t="n"/>
      <c r="U510" s="39" t="inlineStr"/>
      <c r="V510" s="39" t="inlineStr"/>
      <c r="W510" s="40" t="inlineStr">
        <is>
          <t>кг</t>
        </is>
      </c>
      <c r="X510" s="1074" t="n">
        <v>120</v>
      </c>
      <c r="Y510" s="1075">
        <f>IFERROR(IF(X510="",0,CEILING((X510/$H510),1)*$H510),"")</f>
        <v/>
      </c>
      <c r="Z510" s="41">
        <f>IFERROR(IF(Y510=0,"",ROUNDUP(Y510/H510,0)*0.01196),"")</f>
        <v/>
      </c>
      <c r="AA510" s="68" t="inlineStr"/>
      <c r="AB510" s="69" t="inlineStr"/>
      <c r="AC510" s="612" t="inlineStr">
        <is>
          <t>ЕАЭС N RU Д-RU.РА07.В.46175/25</t>
        </is>
      </c>
      <c r="AG510" s="78" t="n"/>
      <c r="AJ510" s="84" t="inlineStr"/>
      <c r="AK510" s="84" t="n">
        <v>0</v>
      </c>
      <c r="BB510" s="613" t="inlineStr">
        <is>
          <t>КИ</t>
        </is>
      </c>
      <c r="BM510" s="78">
        <f>IFERROR(X510*I510/H510,"0")</f>
        <v/>
      </c>
      <c r="BN510" s="78">
        <f>IFERROR(Y510*I510/H510,"0")</f>
        <v/>
      </c>
      <c r="BO510" s="78">
        <f>IFERROR(1/J510*(X510/H510),"0")</f>
        <v/>
      </c>
      <c r="BP510" s="78">
        <f>IFERROR(1/J510*(Y510/H510),"0")</f>
        <v/>
      </c>
    </row>
    <row r="511" ht="27" customHeight="1">
      <c r="A511" s="63" t="inlineStr">
        <is>
          <t>SU003847</t>
        </is>
      </c>
      <c r="B511" s="63" t="inlineStr">
        <is>
          <t>P004917</t>
        </is>
      </c>
      <c r="C511" s="36" t="n">
        <v>4301012125</v>
      </c>
      <c r="D511" s="723" t="n">
        <v>4680115886391</v>
      </c>
      <c r="E511" s="1031" t="n"/>
      <c r="F511" s="1070" t="n">
        <v>0.4</v>
      </c>
      <c r="G511" s="37" t="n">
        <v>6</v>
      </c>
      <c r="H511" s="1070" t="n">
        <v>2.4</v>
      </c>
      <c r="I511" s="1070" t="n">
        <v>2.58</v>
      </c>
      <c r="J511" s="37" t="n">
        <v>182</v>
      </c>
      <c r="K511" s="37" t="inlineStr">
        <is>
          <t>14</t>
        </is>
      </c>
      <c r="L511" s="37" t="inlineStr"/>
      <c r="M511" s="38" t="inlineStr">
        <is>
          <t>СК3</t>
        </is>
      </c>
      <c r="N511" s="38" t="n"/>
      <c r="O511" s="37" t="n">
        <v>60</v>
      </c>
      <c r="P511" s="1343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511" s="1072" t="n"/>
      <c r="R511" s="1072" t="n"/>
      <c r="S511" s="1072" t="n"/>
      <c r="T511" s="1073" t="n"/>
      <c r="U511" s="39" t="inlineStr"/>
      <c r="V511" s="39" t="inlineStr"/>
      <c r="W511" s="40" t="inlineStr">
        <is>
          <t>кг</t>
        </is>
      </c>
      <c r="X511" s="1074" t="n">
        <v>0</v>
      </c>
      <c r="Y511" s="1075">
        <f>IFERROR(IF(X511="",0,CEILING((X511/$H511),1)*$H511),"")</f>
        <v/>
      </c>
      <c r="Z511" s="41">
        <f>IFERROR(IF(Y511=0,"",ROUNDUP(Y511/H511,0)*0.00651),"")</f>
        <v/>
      </c>
      <c r="AA511" s="68" t="inlineStr"/>
      <c r="AB511" s="69" t="inlineStr"/>
      <c r="AC511" s="614" t="inlineStr">
        <is>
          <t>ЕАЭС N RU Д-RU.РА08.В.45907/25</t>
        </is>
      </c>
      <c r="AG511" s="78" t="n"/>
      <c r="AJ511" s="84" t="inlineStr"/>
      <c r="AK511" s="84" t="n">
        <v>0</v>
      </c>
      <c r="BB511" s="615" t="inlineStr">
        <is>
          <t>КИ</t>
        </is>
      </c>
      <c r="BM511" s="78">
        <f>IFERROR(X511*I511/H511,"0")</f>
        <v/>
      </c>
      <c r="BN511" s="78">
        <f>IFERROR(Y511*I511/H511,"0")</f>
        <v/>
      </c>
      <c r="BO511" s="78">
        <f>IFERROR(1/J511*(X511/H511),"0")</f>
        <v/>
      </c>
      <c r="BP511" s="78">
        <f>IFERROR(1/J511*(Y511/H511),"0")</f>
        <v/>
      </c>
    </row>
    <row r="512" ht="27" customHeight="1">
      <c r="A512" s="63" t="inlineStr">
        <is>
          <t>SU002632</t>
        </is>
      </c>
      <c r="B512" s="63" t="inlineStr">
        <is>
          <t>P004689</t>
        </is>
      </c>
      <c r="C512" s="36" t="n">
        <v>4301012048</v>
      </c>
      <c r="D512" s="723" t="n">
        <v>4680115880603</v>
      </c>
      <c r="E512" s="1031" t="n"/>
      <c r="F512" s="1070" t="n">
        <v>0.6</v>
      </c>
      <c r="G512" s="37" t="n">
        <v>8</v>
      </c>
      <c r="H512" s="1070" t="n">
        <v>4.8</v>
      </c>
      <c r="I512" s="1070" t="n">
        <v>6.91</v>
      </c>
      <c r="J512" s="37" t="n">
        <v>132</v>
      </c>
      <c r="K512" s="37" t="inlineStr">
        <is>
          <t>12</t>
        </is>
      </c>
      <c r="L512" s="37" t="inlineStr"/>
      <c r="M512" s="38" t="inlineStr">
        <is>
          <t>СК3</t>
        </is>
      </c>
      <c r="N512" s="38" t="n"/>
      <c r="O512" s="37" t="n">
        <v>60</v>
      </c>
      <c r="P512" s="1344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512" s="1072" t="n"/>
      <c r="R512" s="1072" t="n"/>
      <c r="S512" s="1072" t="n"/>
      <c r="T512" s="1073" t="n"/>
      <c r="U512" s="39" t="inlineStr"/>
      <c r="V512" s="39" t="inlineStr"/>
      <c r="W512" s="40" t="inlineStr">
        <is>
          <t>кг</t>
        </is>
      </c>
      <c r="X512" s="1074" t="n">
        <v>47</v>
      </c>
      <c r="Y512" s="1075">
        <f>IFERROR(IF(X512="",0,CEILING((X512/$H512),1)*$H512),"")</f>
        <v/>
      </c>
      <c r="Z512" s="41">
        <f>IFERROR(IF(Y512=0,"",ROUNDUP(Y512/H512,0)*0.00902),"")</f>
        <v/>
      </c>
      <c r="AA512" s="68" t="inlineStr"/>
      <c r="AB512" s="69" t="inlineStr"/>
      <c r="AC512" s="616" t="inlineStr">
        <is>
          <t>ЕАЭС N RU Д-RU.РА08.В.45907/25</t>
        </is>
      </c>
      <c r="AG512" s="78" t="n"/>
      <c r="AJ512" s="84" t="inlineStr"/>
      <c r="AK512" s="84" t="n">
        <v>0</v>
      </c>
      <c r="BB512" s="617" t="inlineStr">
        <is>
          <t>КИ</t>
        </is>
      </c>
      <c r="BM512" s="78">
        <f>IFERROR(X512*I512/H512,"0")</f>
        <v/>
      </c>
      <c r="BN512" s="78">
        <f>IFERROR(Y512*I512/H512,"0")</f>
        <v/>
      </c>
      <c r="BO512" s="78">
        <f>IFERROR(1/J512*(X512/H512),"0")</f>
        <v/>
      </c>
      <c r="BP512" s="78">
        <f>IFERROR(1/J512*(Y512/H512),"0")</f>
        <v/>
      </c>
    </row>
    <row r="513" ht="27" customHeight="1">
      <c r="A513" s="63" t="inlineStr">
        <is>
          <t>SU002631</t>
        </is>
      </c>
      <c r="B513" s="63" t="inlineStr">
        <is>
          <t>P004688</t>
        </is>
      </c>
      <c r="C513" s="36" t="n">
        <v>4301012034</v>
      </c>
      <c r="D513" s="723" t="n">
        <v>4607091389982</v>
      </c>
      <c r="E513" s="1031" t="n"/>
      <c r="F513" s="1070" t="n">
        <v>0.6</v>
      </c>
      <c r="G513" s="37" t="n">
        <v>8</v>
      </c>
      <c r="H513" s="1070" t="n">
        <v>4.8</v>
      </c>
      <c r="I513" s="1070" t="n">
        <v>6.91</v>
      </c>
      <c r="J513" s="37" t="n">
        <v>132</v>
      </c>
      <c r="K513" s="37" t="inlineStr">
        <is>
          <t>12</t>
        </is>
      </c>
      <c r="L513" s="37" t="inlineStr"/>
      <c r="M513" s="38" t="inlineStr">
        <is>
          <t>СК1</t>
        </is>
      </c>
      <c r="N513" s="38" t="n"/>
      <c r="O513" s="37" t="n">
        <v>60</v>
      </c>
      <c r="P513" s="1345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513" s="1072" t="n"/>
      <c r="R513" s="1072" t="n"/>
      <c r="S513" s="1072" t="n"/>
      <c r="T513" s="1073" t="n"/>
      <c r="U513" s="39" t="inlineStr"/>
      <c r="V513" s="39" t="inlineStr"/>
      <c r="W513" s="40" t="inlineStr">
        <is>
          <t>кг</t>
        </is>
      </c>
      <c r="X513" s="1074" t="n">
        <v>40</v>
      </c>
      <c r="Y513" s="1075">
        <f>IFERROR(IF(X513="",0,CEILING((X513/$H513),1)*$H513),"")</f>
        <v/>
      </c>
      <c r="Z513" s="41">
        <f>IFERROR(IF(Y513=0,"",ROUNDUP(Y513/H513,0)*0.00902),"")</f>
        <v/>
      </c>
      <c r="AA513" s="68" t="inlineStr"/>
      <c r="AB513" s="69" t="inlineStr"/>
      <c r="AC513" s="618" t="inlineStr">
        <is>
          <t>ЕАЭС N RU Д-RU.РА07.В.46175/25</t>
        </is>
      </c>
      <c r="AG513" s="78" t="n"/>
      <c r="AJ513" s="84" t="inlineStr"/>
      <c r="AK513" s="84" t="n">
        <v>0</v>
      </c>
      <c r="BB513" s="619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>
      <c r="A514" s="732" t="n"/>
      <c r="B514" s="1019" t="n"/>
      <c r="C514" s="1019" t="n"/>
      <c r="D514" s="1019" t="n"/>
      <c r="E514" s="1019" t="n"/>
      <c r="F514" s="1019" t="n"/>
      <c r="G514" s="1019" t="n"/>
      <c r="H514" s="1019" t="n"/>
      <c r="I514" s="1019" t="n"/>
      <c r="J514" s="1019" t="n"/>
      <c r="K514" s="1019" t="n"/>
      <c r="L514" s="1019" t="n"/>
      <c r="M514" s="1019" t="n"/>
      <c r="N514" s="1019" t="n"/>
      <c r="O514" s="1077" t="n"/>
      <c r="P514" s="1078" t="inlineStr">
        <is>
          <t>Итого</t>
        </is>
      </c>
      <c r="Q514" s="1039" t="n"/>
      <c r="R514" s="1039" t="n"/>
      <c r="S514" s="1039" t="n"/>
      <c r="T514" s="1039" t="n"/>
      <c r="U514" s="1039" t="n"/>
      <c r="V514" s="1040" t="n"/>
      <c r="W514" s="42" t="inlineStr">
        <is>
          <t>кор</t>
        </is>
      </c>
      <c r="X514" s="1079">
        <f>IFERROR(X505/H505,"0")+IFERROR(X506/H506,"0")+IFERROR(X507/H507,"0")+IFERROR(X508/H508,"0")+IFERROR(X509/H509,"0")+IFERROR(X510/H510,"0")+IFERROR(X511/H511,"0")+IFERROR(X512/H512,"0")+IFERROR(X513/H513,"0")</f>
        <v/>
      </c>
      <c r="Y514" s="1079">
        <f>IFERROR(Y505/H505,"0")+IFERROR(Y506/H506,"0")+IFERROR(Y507/H507,"0")+IFERROR(Y508/H508,"0")+IFERROR(Y509/H509,"0")+IFERROR(Y510/H510,"0")+IFERROR(Y511/H511,"0")+IFERROR(Y512/H512,"0")+IFERROR(Y513/H513,"0")</f>
        <v/>
      </c>
      <c r="Z514" s="1079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/>
      </c>
      <c r="AA514" s="1080" t="n"/>
      <c r="AB514" s="1080" t="n"/>
      <c r="AC514" s="1080" t="n"/>
    </row>
    <row r="515">
      <c r="A515" s="1019" t="n"/>
      <c r="B515" s="1019" t="n"/>
      <c r="C515" s="1019" t="n"/>
      <c r="D515" s="1019" t="n"/>
      <c r="E515" s="1019" t="n"/>
      <c r="F515" s="1019" t="n"/>
      <c r="G515" s="1019" t="n"/>
      <c r="H515" s="1019" t="n"/>
      <c r="I515" s="1019" t="n"/>
      <c r="J515" s="1019" t="n"/>
      <c r="K515" s="1019" t="n"/>
      <c r="L515" s="1019" t="n"/>
      <c r="M515" s="1019" t="n"/>
      <c r="N515" s="1019" t="n"/>
      <c r="O515" s="1077" t="n"/>
      <c r="P515" s="1078" t="inlineStr">
        <is>
          <t>Итого</t>
        </is>
      </c>
      <c r="Q515" s="1039" t="n"/>
      <c r="R515" s="1039" t="n"/>
      <c r="S515" s="1039" t="n"/>
      <c r="T515" s="1039" t="n"/>
      <c r="U515" s="1039" t="n"/>
      <c r="V515" s="1040" t="n"/>
      <c r="W515" s="42" t="inlineStr">
        <is>
          <t>кг</t>
        </is>
      </c>
      <c r="X515" s="1079">
        <f>IFERROR(SUM(X505:X513),"0")</f>
        <v/>
      </c>
      <c r="Y515" s="1079">
        <f>IFERROR(SUM(Y505:Y513),"0")</f>
        <v/>
      </c>
      <c r="Z515" s="42" t="n"/>
      <c r="AA515" s="1080" t="n"/>
      <c r="AB515" s="1080" t="n"/>
      <c r="AC515" s="1080" t="n"/>
    </row>
    <row r="516" ht="14.25" customHeight="1">
      <c r="A516" s="722" t="inlineStr">
        <is>
          <t>Ветчины</t>
        </is>
      </c>
      <c r="B516" s="1019" t="n"/>
      <c r="C516" s="1019" t="n"/>
      <c r="D516" s="1019" t="n"/>
      <c r="E516" s="1019" t="n"/>
      <c r="F516" s="1019" t="n"/>
      <c r="G516" s="1019" t="n"/>
      <c r="H516" s="1019" t="n"/>
      <c r="I516" s="1019" t="n"/>
      <c r="J516" s="1019" t="n"/>
      <c r="K516" s="1019" t="n"/>
      <c r="L516" s="1019" t="n"/>
      <c r="M516" s="1019" t="n"/>
      <c r="N516" s="1019" t="n"/>
      <c r="O516" s="1019" t="n"/>
      <c r="P516" s="1019" t="n"/>
      <c r="Q516" s="1019" t="n"/>
      <c r="R516" s="1019" t="n"/>
      <c r="S516" s="1019" t="n"/>
      <c r="T516" s="1019" t="n"/>
      <c r="U516" s="1019" t="n"/>
      <c r="V516" s="1019" t="n"/>
      <c r="W516" s="1019" t="n"/>
      <c r="X516" s="1019" t="n"/>
      <c r="Y516" s="1019" t="n"/>
      <c r="Z516" s="1019" t="n"/>
      <c r="AA516" s="722" t="n"/>
      <c r="AB516" s="722" t="n"/>
      <c r="AC516" s="722" t="n"/>
    </row>
    <row r="517" ht="16.5" customHeight="1">
      <c r="A517" s="63" t="inlineStr">
        <is>
          <t>SU002035</t>
        </is>
      </c>
      <c r="B517" s="63" t="inlineStr">
        <is>
          <t>P004460</t>
        </is>
      </c>
      <c r="C517" s="36" t="n">
        <v>4301020334</v>
      </c>
      <c r="D517" s="723" t="n">
        <v>4607091388930</v>
      </c>
      <c r="E517" s="1031" t="n"/>
      <c r="F517" s="1070" t="n">
        <v>0.88</v>
      </c>
      <c r="G517" s="37" t="n">
        <v>6</v>
      </c>
      <c r="H517" s="1070" t="n">
        <v>5.28</v>
      </c>
      <c r="I517" s="1070" t="n">
        <v>5.63</v>
      </c>
      <c r="J517" s="37" t="n">
        <v>104</v>
      </c>
      <c r="K517" s="37" t="inlineStr">
        <is>
          <t>8</t>
        </is>
      </c>
      <c r="L517" s="37" t="inlineStr"/>
      <c r="M517" s="38" t="inlineStr">
        <is>
          <t>СК3</t>
        </is>
      </c>
      <c r="N517" s="38" t="n"/>
      <c r="O517" s="37" t="n">
        <v>70</v>
      </c>
      <c r="P517" s="1346">
        <f>HYPERLINK("https://abi.ru/products/Охлажденные/Дугушка/Дугушка/Ветчины/P004460/","Ветчины Дугушка Дугушка Вес б/о Дугушка")</f>
        <v/>
      </c>
      <c r="Q517" s="1072" t="n"/>
      <c r="R517" s="1072" t="n"/>
      <c r="S517" s="1072" t="n"/>
      <c r="T517" s="1073" t="n"/>
      <c r="U517" s="39" t="inlineStr"/>
      <c r="V517" s="39" t="inlineStr"/>
      <c r="W517" s="40" t="inlineStr">
        <is>
          <t>кг</t>
        </is>
      </c>
      <c r="X517" s="1074" t="n">
        <v>127</v>
      </c>
      <c r="Y517" s="1075">
        <f>IFERROR(IF(X517="",0,CEILING((X517/$H517),1)*$H517),"")</f>
        <v/>
      </c>
      <c r="Z517" s="41">
        <f>IFERROR(IF(Y517=0,"",ROUNDUP(Y517/H517,0)*0.01196),"")</f>
        <v/>
      </c>
      <c r="AA517" s="68" t="inlineStr"/>
      <c r="AB517" s="69" t="inlineStr"/>
      <c r="AC517" s="620" t="inlineStr">
        <is>
          <t>ЕАЭС N RU Д-RU.РА03.В.04088/26</t>
        </is>
      </c>
      <c r="AG517" s="78" t="n"/>
      <c r="AJ517" s="84" t="inlineStr"/>
      <c r="AK517" s="84" t="n">
        <v>0</v>
      </c>
      <c r="BB517" s="621" t="inlineStr">
        <is>
          <t>КИ</t>
        </is>
      </c>
      <c r="BM517" s="78">
        <f>IFERROR(X517*I517/H517,"0")</f>
        <v/>
      </c>
      <c r="BN517" s="78">
        <f>IFERROR(Y517*I517/H517,"0")</f>
        <v/>
      </c>
      <c r="BO517" s="78">
        <f>IFERROR(1/J517*(X517/H517),"0")</f>
        <v/>
      </c>
      <c r="BP517" s="78">
        <f>IFERROR(1/J517*(Y517/H517),"0")</f>
        <v/>
      </c>
    </row>
    <row r="518" ht="16.5" customHeight="1">
      <c r="A518" s="63" t="inlineStr">
        <is>
          <t>SU003742</t>
        </is>
      </c>
      <c r="B518" s="63" t="inlineStr">
        <is>
          <t>P004757</t>
        </is>
      </c>
      <c r="C518" s="36" t="n">
        <v>4301020374</v>
      </c>
      <c r="D518" s="723" t="n">
        <v>4680115886407</v>
      </c>
      <c r="E518" s="1031" t="n"/>
      <c r="F518" s="1070" t="n">
        <v>0.4</v>
      </c>
      <c r="G518" s="37" t="n">
        <v>6</v>
      </c>
      <c r="H518" s="1070" t="n">
        <v>2.4</v>
      </c>
      <c r="I518" s="1070" t="n">
        <v>2.58</v>
      </c>
      <c r="J518" s="37" t="n">
        <v>182</v>
      </c>
      <c r="K518" s="37" t="inlineStr">
        <is>
          <t>14</t>
        </is>
      </c>
      <c r="L518" s="37" t="inlineStr"/>
      <c r="M518" s="38" t="inlineStr">
        <is>
          <t>СК1</t>
        </is>
      </c>
      <c r="N518" s="38" t="n"/>
      <c r="O518" s="37" t="n">
        <v>70</v>
      </c>
      <c r="P518" s="1347">
        <f>HYPERLINK("https://abi.ru/products/Охлажденные/Дугушка/Дугушка/Ветчины/P004757/","Ветчины «Дугушка» Фикс.вес 0,4 полиамид ТМ «Стародворье»")</f>
        <v/>
      </c>
      <c r="Q518" s="1072" t="n"/>
      <c r="R518" s="1072" t="n"/>
      <c r="S518" s="1072" t="n"/>
      <c r="T518" s="1073" t="n"/>
      <c r="U518" s="39" t="inlineStr"/>
      <c r="V518" s="39" t="inlineStr"/>
      <c r="W518" s="40" t="inlineStr">
        <is>
          <t>кг</t>
        </is>
      </c>
      <c r="X518" s="1074" t="n">
        <v>0</v>
      </c>
      <c r="Y518" s="1075">
        <f>IFERROR(IF(X518="",0,CEILING((X518/$H518),1)*$H518),"")</f>
        <v/>
      </c>
      <c r="Z518" s="41">
        <f>IFERROR(IF(Y518=0,"",ROUNDUP(Y518/H518,0)*0.00651),"")</f>
        <v/>
      </c>
      <c r="AA518" s="68" t="inlineStr"/>
      <c r="AB518" s="69" t="inlineStr"/>
      <c r="AC518" s="622" t="inlineStr">
        <is>
          <t>ЕАЭС N RU Д-RU.РА03.В.04088/26</t>
        </is>
      </c>
      <c r="AG518" s="78" t="n"/>
      <c r="AJ518" s="84" t="inlineStr"/>
      <c r="AK518" s="84" t="n">
        <v>0</v>
      </c>
      <c r="BB518" s="623" t="inlineStr">
        <is>
          <t>КИ</t>
        </is>
      </c>
      <c r="BM518" s="78">
        <f>IFERROR(X518*I518/H518,"0")</f>
        <v/>
      </c>
      <c r="BN518" s="78">
        <f>IFERROR(Y518*I518/H518,"0")</f>
        <v/>
      </c>
      <c r="BO518" s="78">
        <f>IFERROR(1/J518*(X518/H518),"0")</f>
        <v/>
      </c>
      <c r="BP518" s="78">
        <f>IFERROR(1/J518*(Y518/H518),"0")</f>
        <v/>
      </c>
    </row>
    <row r="519" ht="16.5" customHeight="1">
      <c r="A519" s="63" t="inlineStr">
        <is>
          <t>SU002643</t>
        </is>
      </c>
      <c r="B519" s="63" t="inlineStr">
        <is>
          <t>P004923</t>
        </is>
      </c>
      <c r="C519" s="36" t="n">
        <v>4301020385</v>
      </c>
      <c r="D519" s="723" t="n">
        <v>4680115880054</v>
      </c>
      <c r="E519" s="1031" t="n"/>
      <c r="F519" s="1070" t="n">
        <v>0.6</v>
      </c>
      <c r="G519" s="37" t="n">
        <v>8</v>
      </c>
      <c r="H519" s="1070" t="n">
        <v>4.8</v>
      </c>
      <c r="I519" s="1070" t="n">
        <v>6.91</v>
      </c>
      <c r="J519" s="37" t="n">
        <v>132</v>
      </c>
      <c r="K519" s="37" t="inlineStr">
        <is>
          <t>12</t>
        </is>
      </c>
      <c r="L519" s="37" t="inlineStr"/>
      <c r="M519" s="38" t="inlineStr">
        <is>
          <t>СК1</t>
        </is>
      </c>
      <c r="N519" s="38" t="n"/>
      <c r="O519" s="37" t="n">
        <v>70</v>
      </c>
      <c r="P519" s="1348">
        <f>HYPERLINK("https://abi.ru/products/Охлажденные/Дугушка/Дугушка/Ветчины/P004923/","Ветчины «Дугушка» Фикс.вес 0,6 полиамид ТМ «Дугушка»")</f>
        <v/>
      </c>
      <c r="Q519" s="1072" t="n"/>
      <c r="R519" s="1072" t="n"/>
      <c r="S519" s="1072" t="n"/>
      <c r="T519" s="1073" t="n"/>
      <c r="U519" s="39" t="inlineStr"/>
      <c r="V519" s="39" t="inlineStr"/>
      <c r="W519" s="40" t="inlineStr">
        <is>
          <t>кг</t>
        </is>
      </c>
      <c r="X519" s="1074" t="n">
        <v>22</v>
      </c>
      <c r="Y519" s="1075">
        <f>IFERROR(IF(X519="",0,CEILING((X519/$H519),1)*$H519),"")</f>
        <v/>
      </c>
      <c r="Z519" s="41">
        <f>IFERROR(IF(Y519=0,"",ROUNDUP(Y519/H519,0)*0.00902),"")</f>
        <v/>
      </c>
      <c r="AA519" s="68" t="inlineStr"/>
      <c r="AB519" s="69" t="inlineStr"/>
      <c r="AC519" s="624" t="inlineStr">
        <is>
          <t>ЕАЭС N RU Д-RU.РА03.В.04088/26</t>
        </is>
      </c>
      <c r="AG519" s="78" t="n"/>
      <c r="AJ519" s="84" t="inlineStr"/>
      <c r="AK519" s="84" t="n">
        <v>0</v>
      </c>
      <c r="BB519" s="625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32" t="n"/>
      <c r="B520" s="1019" t="n"/>
      <c r="C520" s="1019" t="n"/>
      <c r="D520" s="1019" t="n"/>
      <c r="E520" s="1019" t="n"/>
      <c r="F520" s="1019" t="n"/>
      <c r="G520" s="1019" t="n"/>
      <c r="H520" s="1019" t="n"/>
      <c r="I520" s="1019" t="n"/>
      <c r="J520" s="1019" t="n"/>
      <c r="K520" s="1019" t="n"/>
      <c r="L520" s="1019" t="n"/>
      <c r="M520" s="1019" t="n"/>
      <c r="N520" s="1019" t="n"/>
      <c r="O520" s="1077" t="n"/>
      <c r="P520" s="1078" t="inlineStr">
        <is>
          <t>Итого</t>
        </is>
      </c>
      <c r="Q520" s="1039" t="n"/>
      <c r="R520" s="1039" t="n"/>
      <c r="S520" s="1039" t="n"/>
      <c r="T520" s="1039" t="n"/>
      <c r="U520" s="1039" t="n"/>
      <c r="V520" s="1040" t="n"/>
      <c r="W520" s="42" t="inlineStr">
        <is>
          <t>кор</t>
        </is>
      </c>
      <c r="X520" s="1079">
        <f>IFERROR(X517/H517,"0")+IFERROR(X518/H518,"0")+IFERROR(X519/H519,"0")</f>
        <v/>
      </c>
      <c r="Y520" s="1079">
        <f>IFERROR(Y517/H517,"0")+IFERROR(Y518/H518,"0")+IFERROR(Y519/H519,"0")</f>
        <v/>
      </c>
      <c r="Z520" s="1079">
        <f>IFERROR(IF(Z517="",0,Z517),"0")+IFERROR(IF(Z518="",0,Z518),"0")+IFERROR(IF(Z519="",0,Z519),"0")</f>
        <v/>
      </c>
      <c r="AA520" s="1080" t="n"/>
      <c r="AB520" s="1080" t="n"/>
      <c r="AC520" s="1080" t="n"/>
    </row>
    <row r="521">
      <c r="A521" s="1019" t="n"/>
      <c r="B521" s="1019" t="n"/>
      <c r="C521" s="1019" t="n"/>
      <c r="D521" s="1019" t="n"/>
      <c r="E521" s="1019" t="n"/>
      <c r="F521" s="1019" t="n"/>
      <c r="G521" s="1019" t="n"/>
      <c r="H521" s="1019" t="n"/>
      <c r="I521" s="1019" t="n"/>
      <c r="J521" s="1019" t="n"/>
      <c r="K521" s="1019" t="n"/>
      <c r="L521" s="1019" t="n"/>
      <c r="M521" s="1019" t="n"/>
      <c r="N521" s="1019" t="n"/>
      <c r="O521" s="1077" t="n"/>
      <c r="P521" s="1078" t="inlineStr">
        <is>
          <t>Итого</t>
        </is>
      </c>
      <c r="Q521" s="1039" t="n"/>
      <c r="R521" s="1039" t="n"/>
      <c r="S521" s="1039" t="n"/>
      <c r="T521" s="1039" t="n"/>
      <c r="U521" s="1039" t="n"/>
      <c r="V521" s="1040" t="n"/>
      <c r="W521" s="42" t="inlineStr">
        <is>
          <t>кг</t>
        </is>
      </c>
      <c r="X521" s="1079">
        <f>IFERROR(SUM(X517:X519),"0")</f>
        <v/>
      </c>
      <c r="Y521" s="1079">
        <f>IFERROR(SUM(Y517:Y519),"0")</f>
        <v/>
      </c>
      <c r="Z521" s="42" t="n"/>
      <c r="AA521" s="1080" t="n"/>
      <c r="AB521" s="1080" t="n"/>
      <c r="AC521" s="1080" t="n"/>
    </row>
    <row r="522" ht="14.25" customHeight="1">
      <c r="A522" s="722" t="inlineStr">
        <is>
          <t>Копченые колбасы</t>
        </is>
      </c>
      <c r="B522" s="1019" t="n"/>
      <c r="C522" s="1019" t="n"/>
      <c r="D522" s="1019" t="n"/>
      <c r="E522" s="1019" t="n"/>
      <c r="F522" s="1019" t="n"/>
      <c r="G522" s="1019" t="n"/>
      <c r="H522" s="1019" t="n"/>
      <c r="I522" s="1019" t="n"/>
      <c r="J522" s="1019" t="n"/>
      <c r="K522" s="1019" t="n"/>
      <c r="L522" s="1019" t="n"/>
      <c r="M522" s="1019" t="n"/>
      <c r="N522" s="1019" t="n"/>
      <c r="O522" s="1019" t="n"/>
      <c r="P522" s="1019" t="n"/>
      <c r="Q522" s="1019" t="n"/>
      <c r="R522" s="1019" t="n"/>
      <c r="S522" s="1019" t="n"/>
      <c r="T522" s="1019" t="n"/>
      <c r="U522" s="1019" t="n"/>
      <c r="V522" s="1019" t="n"/>
      <c r="W522" s="1019" t="n"/>
      <c r="X522" s="1019" t="n"/>
      <c r="Y522" s="1019" t="n"/>
      <c r="Z522" s="1019" t="n"/>
      <c r="AA522" s="722" t="n"/>
      <c r="AB522" s="722" t="n"/>
      <c r="AC522" s="722" t="n"/>
    </row>
    <row r="523" ht="27" customHeight="1">
      <c r="A523" s="63" t="inlineStr">
        <is>
          <t>SU002150</t>
        </is>
      </c>
      <c r="B523" s="63" t="inlineStr">
        <is>
          <t>P004465</t>
        </is>
      </c>
      <c r="C523" s="36" t="n">
        <v>4301031349</v>
      </c>
      <c r="D523" s="723" t="n">
        <v>4680115883116</v>
      </c>
      <c r="E523" s="1031" t="n"/>
      <c r="F523" s="1070" t="n">
        <v>0.88</v>
      </c>
      <c r="G523" s="37" t="n">
        <v>6</v>
      </c>
      <c r="H523" s="1070" t="n">
        <v>5.28</v>
      </c>
      <c r="I523" s="1070" t="n">
        <v>5.63</v>
      </c>
      <c r="J523" s="37" t="n">
        <v>104</v>
      </c>
      <c r="K523" s="37" t="inlineStr">
        <is>
          <t>8</t>
        </is>
      </c>
      <c r="L523" s="37" t="inlineStr"/>
      <c r="M523" s="38" t="inlineStr">
        <is>
          <t>СК1</t>
        </is>
      </c>
      <c r="N523" s="38" t="n"/>
      <c r="O523" s="37" t="n">
        <v>70</v>
      </c>
      <c r="P523" s="1349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23" s="1072" t="n"/>
      <c r="R523" s="1072" t="n"/>
      <c r="S523" s="1072" t="n"/>
      <c r="T523" s="1073" t="n"/>
      <c r="U523" s="39" t="inlineStr"/>
      <c r="V523" s="39" t="inlineStr"/>
      <c r="W523" s="40" t="inlineStr">
        <is>
          <t>кг</t>
        </is>
      </c>
      <c r="X523" s="1074" t="n">
        <v>0</v>
      </c>
      <c r="Y523" s="1075">
        <f>IFERROR(IF(X523="",0,CEILING((X523/$H523),1)*$H523),"")</f>
        <v/>
      </c>
      <c r="Z523" s="41">
        <f>IFERROR(IF(Y523=0,"",ROUNDUP(Y523/H523,0)*0.01196),"")</f>
        <v/>
      </c>
      <c r="AA523" s="68" t="inlineStr"/>
      <c r="AB523" s="69" t="inlineStr"/>
      <c r="AC523" s="626" t="inlineStr">
        <is>
          <t>ЕАЭС N RU Д-RU.РА09.В.59606/25</t>
        </is>
      </c>
      <c r="AG523" s="78" t="n"/>
      <c r="AJ523" s="84" t="inlineStr"/>
      <c r="AK523" s="84" t="n">
        <v>0</v>
      </c>
      <c r="BB523" s="627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 ht="27" customHeight="1">
      <c r="A524" s="63" t="inlineStr">
        <is>
          <t>SU002158</t>
        </is>
      </c>
      <c r="B524" s="63" t="inlineStr">
        <is>
          <t>P004466</t>
        </is>
      </c>
      <c r="C524" s="36" t="n">
        <v>4301031350</v>
      </c>
      <c r="D524" s="723" t="n">
        <v>4680115883093</v>
      </c>
      <c r="E524" s="1031" t="n"/>
      <c r="F524" s="1070" t="n">
        <v>0.88</v>
      </c>
      <c r="G524" s="37" t="n">
        <v>6</v>
      </c>
      <c r="H524" s="1070" t="n">
        <v>5.28</v>
      </c>
      <c r="I524" s="1070" t="n">
        <v>5.63</v>
      </c>
      <c r="J524" s="37" t="n">
        <v>104</v>
      </c>
      <c r="K524" s="37" t="inlineStr">
        <is>
          <t>8</t>
        </is>
      </c>
      <c r="L524" s="37" t="inlineStr"/>
      <c r="M524" s="38" t="inlineStr">
        <is>
          <t>СК2</t>
        </is>
      </c>
      <c r="N524" s="38" t="n"/>
      <c r="O524" s="37" t="n">
        <v>70</v>
      </c>
      <c r="P524" s="1350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24" s="1072" t="n"/>
      <c r="R524" s="1072" t="n"/>
      <c r="S524" s="1072" t="n"/>
      <c r="T524" s="1073" t="n"/>
      <c r="U524" s="39" t="inlineStr"/>
      <c r="V524" s="39" t="inlineStr"/>
      <c r="W524" s="40" t="inlineStr">
        <is>
          <t>кг</t>
        </is>
      </c>
      <c r="X524" s="1074" t="n">
        <v>0</v>
      </c>
      <c r="Y524" s="1075">
        <f>IFERROR(IF(X524="",0,CEILING((X524/$H524),1)*$H524),"")</f>
        <v/>
      </c>
      <c r="Z524" s="41">
        <f>IFERROR(IF(Y524=0,"",ROUNDUP(Y524/H524,0)*0.01196),"")</f>
        <v/>
      </c>
      <c r="AA524" s="68" t="inlineStr"/>
      <c r="AB524" s="69" t="inlineStr"/>
      <c r="AC524" s="628" t="inlineStr">
        <is>
          <t>ЕАЭС N RU Д-RU.РА02.В.80229/26</t>
        </is>
      </c>
      <c r="AG524" s="78" t="n"/>
      <c r="AJ524" s="84" t="inlineStr"/>
      <c r="AK524" s="84" t="n">
        <v>0</v>
      </c>
      <c r="BB524" s="629" t="inlineStr">
        <is>
          <t>КИ</t>
        </is>
      </c>
      <c r="BM524" s="78">
        <f>IFERROR(X524*I524/H524,"0")</f>
        <v/>
      </c>
      <c r="BN524" s="78">
        <f>IFERROR(Y524*I524/H524,"0")</f>
        <v/>
      </c>
      <c r="BO524" s="78">
        <f>IFERROR(1/J524*(X524/H524),"0")</f>
        <v/>
      </c>
      <c r="BP524" s="78">
        <f>IFERROR(1/J524*(Y524/H524),"0")</f>
        <v/>
      </c>
    </row>
    <row r="525" ht="27" customHeight="1">
      <c r="A525" s="63" t="inlineStr">
        <is>
          <t>SU002151</t>
        </is>
      </c>
      <c r="B525" s="63" t="inlineStr">
        <is>
          <t>P004470</t>
        </is>
      </c>
      <c r="C525" s="36" t="n">
        <v>4301031353</v>
      </c>
      <c r="D525" s="723" t="n">
        <v>4680115883109</v>
      </c>
      <c r="E525" s="1031" t="n"/>
      <c r="F525" s="1070" t="n">
        <v>0.88</v>
      </c>
      <c r="G525" s="37" t="n">
        <v>6</v>
      </c>
      <c r="H525" s="1070" t="n">
        <v>5.28</v>
      </c>
      <c r="I525" s="1070" t="n">
        <v>5.63</v>
      </c>
      <c r="J525" s="37" t="n">
        <v>104</v>
      </c>
      <c r="K525" s="37" t="inlineStr">
        <is>
          <t>8</t>
        </is>
      </c>
      <c r="L525" s="37" t="inlineStr"/>
      <c r="M525" s="38" t="inlineStr">
        <is>
          <t>СК2</t>
        </is>
      </c>
      <c r="N525" s="38" t="n"/>
      <c r="O525" s="37" t="n">
        <v>70</v>
      </c>
      <c r="P525" s="1351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25" s="1072" t="n"/>
      <c r="R525" s="1072" t="n"/>
      <c r="S525" s="1072" t="n"/>
      <c r="T525" s="1073" t="n"/>
      <c r="U525" s="39" t="inlineStr"/>
      <c r="V525" s="39" t="inlineStr"/>
      <c r="W525" s="40" t="inlineStr">
        <is>
          <t>кг</t>
        </is>
      </c>
      <c r="X525" s="1074" t="n">
        <v>0</v>
      </c>
      <c r="Y525" s="1075">
        <f>IFERROR(IF(X525="",0,CEILING((X525/$H525),1)*$H525),"")</f>
        <v/>
      </c>
      <c r="Z525" s="41">
        <f>IFERROR(IF(Y525=0,"",ROUNDUP(Y525/H525,0)*0.01196),"")</f>
        <v/>
      </c>
      <c r="AA525" s="68" t="inlineStr"/>
      <c r="AB525" s="69" t="inlineStr"/>
      <c r="AC525" s="630" t="inlineStr">
        <is>
          <t>ЕАЭС N RU Д-RU.РА02.В.80013/26</t>
        </is>
      </c>
      <c r="AG525" s="78" t="n"/>
      <c r="AJ525" s="84" t="inlineStr"/>
      <c r="AK525" s="84" t="n">
        <v>0</v>
      </c>
      <c r="BB525" s="631" t="inlineStr">
        <is>
          <t>КИ</t>
        </is>
      </c>
      <c r="BM525" s="78">
        <f>IFERROR(X525*I525/H525,"0")</f>
        <v/>
      </c>
      <c r="BN525" s="78">
        <f>IFERROR(Y525*I525/H525,"0")</f>
        <v/>
      </c>
      <c r="BO525" s="78">
        <f>IFERROR(1/J525*(X525/H525),"0")</f>
        <v/>
      </c>
      <c r="BP525" s="78">
        <f>IFERROR(1/J525*(Y525/H525),"0")</f>
        <v/>
      </c>
    </row>
    <row r="526" ht="27" customHeight="1">
      <c r="A526" s="63" t="inlineStr">
        <is>
          <t>SU002916</t>
        </is>
      </c>
      <c r="B526" s="63" t="inlineStr">
        <is>
          <t>P004934</t>
        </is>
      </c>
      <c r="C526" s="36" t="n">
        <v>4301031419</v>
      </c>
      <c r="D526" s="723" t="n">
        <v>4680115882072</v>
      </c>
      <c r="E526" s="1031" t="n"/>
      <c r="F526" s="1070" t="n">
        <v>0.6</v>
      </c>
      <c r="G526" s="37" t="n">
        <v>8</v>
      </c>
      <c r="H526" s="1070" t="n">
        <v>4.8</v>
      </c>
      <c r="I526" s="1070" t="n">
        <v>6.91</v>
      </c>
      <c r="J526" s="37" t="n">
        <v>132</v>
      </c>
      <c r="K526" s="37" t="inlineStr">
        <is>
          <t>12</t>
        </is>
      </c>
      <c r="L526" s="37" t="inlineStr"/>
      <c r="M526" s="38" t="inlineStr">
        <is>
          <t>СК1</t>
        </is>
      </c>
      <c r="N526" s="38" t="n"/>
      <c r="O526" s="37" t="n">
        <v>70</v>
      </c>
      <c r="P526" s="1352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26" s="1072" t="n"/>
      <c r="R526" s="1072" t="n"/>
      <c r="S526" s="1072" t="n"/>
      <c r="T526" s="1073" t="n"/>
      <c r="U526" s="39" t="inlineStr"/>
      <c r="V526" s="39" t="inlineStr"/>
      <c r="W526" s="40" t="inlineStr">
        <is>
          <t>кг</t>
        </is>
      </c>
      <c r="X526" s="1074" t="n">
        <v>0</v>
      </c>
      <c r="Y526" s="1075">
        <f>IFERROR(IF(X526="",0,CEILING((X526/$H526),1)*$H526),"")</f>
        <v/>
      </c>
      <c r="Z526" s="41">
        <f>IFERROR(IF(Y526=0,"",ROUNDUP(Y526/H526,0)*0.00902),"")</f>
        <v/>
      </c>
      <c r="AA526" s="68" t="inlineStr"/>
      <c r="AB526" s="69" t="inlineStr"/>
      <c r="AC526" s="632" t="inlineStr">
        <is>
          <t>ЕАЭС N RU Д-RU.РА09.В.59606/25</t>
        </is>
      </c>
      <c r="AG526" s="78" t="n"/>
      <c r="AJ526" s="84" t="inlineStr"/>
      <c r="AK526" s="84" t="n">
        <v>0</v>
      </c>
      <c r="BB526" s="633" t="inlineStr">
        <is>
          <t>КИ</t>
        </is>
      </c>
      <c r="BM526" s="78">
        <f>IFERROR(X526*I526/H526,"0")</f>
        <v/>
      </c>
      <c r="BN526" s="78">
        <f>IFERROR(Y526*I526/H526,"0")</f>
        <v/>
      </c>
      <c r="BO526" s="78">
        <f>IFERROR(1/J526*(X526/H526),"0")</f>
        <v/>
      </c>
      <c r="BP526" s="78">
        <f>IFERROR(1/J526*(Y526/H526),"0")</f>
        <v/>
      </c>
    </row>
    <row r="527" ht="27" customHeight="1">
      <c r="A527" s="63" t="inlineStr">
        <is>
          <t>SU002919</t>
        </is>
      </c>
      <c r="B527" s="63" t="inlineStr">
        <is>
          <t>P004469</t>
        </is>
      </c>
      <c r="C527" s="36" t="n">
        <v>4301031352</v>
      </c>
      <c r="D527" s="723" t="n">
        <v>4680115882102</v>
      </c>
      <c r="E527" s="1031" t="n"/>
      <c r="F527" s="1070" t="n">
        <v>0.6</v>
      </c>
      <c r="G527" s="37" t="n">
        <v>6</v>
      </c>
      <c r="H527" s="1070" t="n">
        <v>3.6</v>
      </c>
      <c r="I527" s="1070" t="n">
        <v>3.79</v>
      </c>
      <c r="J527" s="37" t="n">
        <v>132</v>
      </c>
      <c r="K527" s="37" t="inlineStr">
        <is>
          <t>12</t>
        </is>
      </c>
      <c r="L527" s="37" t="inlineStr"/>
      <c r="M527" s="38" t="inlineStr">
        <is>
          <t>СК2</t>
        </is>
      </c>
      <c r="N527" s="38" t="n"/>
      <c r="O527" s="37" t="n">
        <v>70</v>
      </c>
      <c r="P527" s="1353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27" s="1072" t="n"/>
      <c r="R527" s="1072" t="n"/>
      <c r="S527" s="1072" t="n"/>
      <c r="T527" s="1073" t="n"/>
      <c r="U527" s="39" t="inlineStr"/>
      <c r="V527" s="39" t="inlineStr"/>
      <c r="W527" s="40" t="inlineStr">
        <is>
          <t>кг</t>
        </is>
      </c>
      <c r="X527" s="1074" t="n">
        <v>0</v>
      </c>
      <c r="Y527" s="1075">
        <f>IFERROR(IF(X527="",0,CEILING((X527/$H527),1)*$H527),"")</f>
        <v/>
      </c>
      <c r="Z527" s="41">
        <f>IFERROR(IF(Y527=0,"",ROUNDUP(Y527/H527,0)*0.00902),"")</f>
        <v/>
      </c>
      <c r="AA527" s="68" t="inlineStr"/>
      <c r="AB527" s="69" t="inlineStr"/>
      <c r="AC527" s="634" t="inlineStr">
        <is>
          <t>ЕАЭС N RU Д-RU.РА02.В.80229/26</t>
        </is>
      </c>
      <c r="AG527" s="78" t="n"/>
      <c r="AJ527" s="84" t="inlineStr"/>
      <c r="AK527" s="84" t="n">
        <v>0</v>
      </c>
      <c r="BB527" s="635" t="inlineStr">
        <is>
          <t>КИ</t>
        </is>
      </c>
      <c r="BM527" s="78">
        <f>IFERROR(X527*I527/H527,"0")</f>
        <v/>
      </c>
      <c r="BN527" s="78">
        <f>IFERROR(Y527*I527/H527,"0")</f>
        <v/>
      </c>
      <c r="BO527" s="78">
        <f>IFERROR(1/J527*(X527/H527),"0")</f>
        <v/>
      </c>
      <c r="BP527" s="78">
        <f>IFERROR(1/J527*(Y527/H527),"0")</f>
        <v/>
      </c>
    </row>
    <row r="528" ht="27" customHeight="1">
      <c r="A528" s="63" t="inlineStr">
        <is>
          <t>SU002919</t>
        </is>
      </c>
      <c r="B528" s="63" t="inlineStr">
        <is>
          <t>P004930</t>
        </is>
      </c>
      <c r="C528" s="36" t="n">
        <v>4301031418</v>
      </c>
      <c r="D528" s="723" t="n">
        <v>4680115882102</v>
      </c>
      <c r="E528" s="1031" t="n"/>
      <c r="F528" s="1070" t="n">
        <v>0.6</v>
      </c>
      <c r="G528" s="37" t="n">
        <v>8</v>
      </c>
      <c r="H528" s="1070" t="n">
        <v>4.8</v>
      </c>
      <c r="I528" s="1070" t="n">
        <v>6.67</v>
      </c>
      <c r="J528" s="37" t="n">
        <v>132</v>
      </c>
      <c r="K528" s="37" t="inlineStr">
        <is>
          <t>12</t>
        </is>
      </c>
      <c r="L528" s="37" t="inlineStr"/>
      <c r="M528" s="38" t="inlineStr">
        <is>
          <t>СК2</t>
        </is>
      </c>
      <c r="N528" s="38" t="n"/>
      <c r="O528" s="37" t="n">
        <v>70</v>
      </c>
      <c r="P528" s="1354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28" s="1072" t="n"/>
      <c r="R528" s="1072" t="n"/>
      <c r="S528" s="1072" t="n"/>
      <c r="T528" s="1073" t="n"/>
      <c r="U528" s="39" t="inlineStr"/>
      <c r="V528" s="39" t="inlineStr"/>
      <c r="W528" s="40" t="inlineStr">
        <is>
          <t>кг</t>
        </is>
      </c>
      <c r="X528" s="1074" t="n">
        <v>0</v>
      </c>
      <c r="Y528" s="1075">
        <f>IFERROR(IF(X528="",0,CEILING((X528/$H528),1)*$H528),"")</f>
        <v/>
      </c>
      <c r="Z528" s="41">
        <f>IFERROR(IF(Y528=0,"",ROUNDUP(Y528/H528,0)*0.00902),"")</f>
        <v/>
      </c>
      <c r="AA528" s="68" t="inlineStr"/>
      <c r="AB528" s="69" t="inlineStr"/>
      <c r="AC528" s="636" t="inlineStr">
        <is>
          <t>ЕАЭС N RU Д-RU.РА02.В.80229/26</t>
        </is>
      </c>
      <c r="AG528" s="78" t="n"/>
      <c r="AJ528" s="84" t="inlineStr"/>
      <c r="AK528" s="84" t="n">
        <v>0</v>
      </c>
      <c r="BB528" s="637" t="inlineStr">
        <is>
          <t>КИ</t>
        </is>
      </c>
      <c r="BM528" s="78">
        <f>IFERROR(X528*I528/H528,"0")</f>
        <v/>
      </c>
      <c r="BN528" s="78">
        <f>IFERROR(Y528*I528/H528,"0")</f>
        <v/>
      </c>
      <c r="BO528" s="78">
        <f>IFERROR(1/J528*(X528/H528),"0")</f>
        <v/>
      </c>
      <c r="BP528" s="78">
        <f>IFERROR(1/J528*(Y528/H528),"0")</f>
        <v/>
      </c>
    </row>
    <row r="529" ht="27" customHeight="1">
      <c r="A529" s="63" t="inlineStr">
        <is>
          <t>SU002918</t>
        </is>
      </c>
      <c r="B529" s="63" t="inlineStr">
        <is>
          <t>P004929</t>
        </is>
      </c>
      <c r="C529" s="36" t="n">
        <v>4301031417</v>
      </c>
      <c r="D529" s="723" t="n">
        <v>4680115882096</v>
      </c>
      <c r="E529" s="1031" t="n"/>
      <c r="F529" s="1070" t="n">
        <v>0.6</v>
      </c>
      <c r="G529" s="37" t="n">
        <v>8</v>
      </c>
      <c r="H529" s="1070" t="n">
        <v>4.8</v>
      </c>
      <c r="I529" s="1070" t="n">
        <v>6.67</v>
      </c>
      <c r="J529" s="37" t="n">
        <v>132</v>
      </c>
      <c r="K529" s="37" t="inlineStr">
        <is>
          <t>12</t>
        </is>
      </c>
      <c r="L529" s="37" t="inlineStr"/>
      <c r="M529" s="38" t="inlineStr">
        <is>
          <t>СК2</t>
        </is>
      </c>
      <c r="N529" s="38" t="n"/>
      <c r="O529" s="37" t="n">
        <v>70</v>
      </c>
      <c r="P529" s="1355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29" s="1072" t="n"/>
      <c r="R529" s="1072" t="n"/>
      <c r="S529" s="1072" t="n"/>
      <c r="T529" s="1073" t="n"/>
      <c r="U529" s="39" t="inlineStr"/>
      <c r="V529" s="39" t="inlineStr"/>
      <c r="W529" s="40" t="inlineStr">
        <is>
          <t>кг</t>
        </is>
      </c>
      <c r="X529" s="1074" t="n">
        <v>0</v>
      </c>
      <c r="Y529" s="1075">
        <f>IFERROR(IF(X529="",0,CEILING((X529/$H529),1)*$H529),"")</f>
        <v/>
      </c>
      <c r="Z529" s="41">
        <f>IFERROR(IF(Y529=0,"",ROUNDUP(Y529/H529,0)*0.00902),"")</f>
        <v/>
      </c>
      <c r="AA529" s="68" t="inlineStr"/>
      <c r="AB529" s="69" t="inlineStr"/>
      <c r="AC529" s="638" t="inlineStr">
        <is>
          <t>ЕАЭС N RU Д-RU.РА02.В.80013/26</t>
        </is>
      </c>
      <c r="AG529" s="78" t="n"/>
      <c r="AJ529" s="84" t="inlineStr"/>
      <c r="AK529" s="84" t="n">
        <v>0</v>
      </c>
      <c r="BB529" s="639" t="inlineStr">
        <is>
          <t>КИ</t>
        </is>
      </c>
      <c r="BM529" s="78">
        <f>IFERROR(X529*I529/H529,"0")</f>
        <v/>
      </c>
      <c r="BN529" s="78">
        <f>IFERROR(Y529*I529/H529,"0")</f>
        <v/>
      </c>
      <c r="BO529" s="78">
        <f>IFERROR(1/J529*(X529/H529),"0")</f>
        <v/>
      </c>
      <c r="BP529" s="78">
        <f>IFERROR(1/J529*(Y529/H529),"0")</f>
        <v/>
      </c>
    </row>
    <row r="530">
      <c r="A530" s="732" t="n"/>
      <c r="B530" s="1019" t="n"/>
      <c r="C530" s="1019" t="n"/>
      <c r="D530" s="1019" t="n"/>
      <c r="E530" s="1019" t="n"/>
      <c r="F530" s="1019" t="n"/>
      <c r="G530" s="1019" t="n"/>
      <c r="H530" s="1019" t="n"/>
      <c r="I530" s="1019" t="n"/>
      <c r="J530" s="1019" t="n"/>
      <c r="K530" s="1019" t="n"/>
      <c r="L530" s="1019" t="n"/>
      <c r="M530" s="1019" t="n"/>
      <c r="N530" s="1019" t="n"/>
      <c r="O530" s="1077" t="n"/>
      <c r="P530" s="1078" t="inlineStr">
        <is>
          <t>Итого</t>
        </is>
      </c>
      <c r="Q530" s="1039" t="n"/>
      <c r="R530" s="1039" t="n"/>
      <c r="S530" s="1039" t="n"/>
      <c r="T530" s="1039" t="n"/>
      <c r="U530" s="1039" t="n"/>
      <c r="V530" s="1040" t="n"/>
      <c r="W530" s="42" t="inlineStr">
        <is>
          <t>кор</t>
        </is>
      </c>
      <c r="X530" s="1079">
        <f>IFERROR(X523/H523,"0")+IFERROR(X524/H524,"0")+IFERROR(X525/H525,"0")+IFERROR(X526/H526,"0")+IFERROR(X527/H527,"0")+IFERROR(X528/H528,"0")+IFERROR(X529/H529,"0")</f>
        <v/>
      </c>
      <c r="Y530" s="1079">
        <f>IFERROR(Y523/H523,"0")+IFERROR(Y524/H524,"0")+IFERROR(Y525/H525,"0")+IFERROR(Y526/H526,"0")+IFERROR(Y527/H527,"0")+IFERROR(Y528/H528,"0")+IFERROR(Y529/H529,"0")</f>
        <v/>
      </c>
      <c r="Z530" s="1079">
        <f>IFERROR(IF(Z523="",0,Z523),"0")+IFERROR(IF(Z524="",0,Z524),"0")+IFERROR(IF(Z525="",0,Z525),"0")+IFERROR(IF(Z526="",0,Z526),"0")+IFERROR(IF(Z527="",0,Z527),"0")+IFERROR(IF(Z528="",0,Z528),"0")+IFERROR(IF(Z529="",0,Z529),"0")</f>
        <v/>
      </c>
      <c r="AA530" s="1080" t="n"/>
      <c r="AB530" s="1080" t="n"/>
      <c r="AC530" s="1080" t="n"/>
    </row>
    <row r="531">
      <c r="A531" s="1019" t="n"/>
      <c r="B531" s="1019" t="n"/>
      <c r="C531" s="1019" t="n"/>
      <c r="D531" s="1019" t="n"/>
      <c r="E531" s="1019" t="n"/>
      <c r="F531" s="1019" t="n"/>
      <c r="G531" s="1019" t="n"/>
      <c r="H531" s="1019" t="n"/>
      <c r="I531" s="1019" t="n"/>
      <c r="J531" s="1019" t="n"/>
      <c r="K531" s="1019" t="n"/>
      <c r="L531" s="1019" t="n"/>
      <c r="M531" s="1019" t="n"/>
      <c r="N531" s="1019" t="n"/>
      <c r="O531" s="1077" t="n"/>
      <c r="P531" s="1078" t="inlineStr">
        <is>
          <t>Итого</t>
        </is>
      </c>
      <c r="Q531" s="1039" t="n"/>
      <c r="R531" s="1039" t="n"/>
      <c r="S531" s="1039" t="n"/>
      <c r="T531" s="1039" t="n"/>
      <c r="U531" s="1039" t="n"/>
      <c r="V531" s="1040" t="n"/>
      <c r="W531" s="42" t="inlineStr">
        <is>
          <t>кг</t>
        </is>
      </c>
      <c r="X531" s="1079">
        <f>IFERROR(SUM(X523:X529),"0")</f>
        <v/>
      </c>
      <c r="Y531" s="1079">
        <f>IFERROR(SUM(Y523:Y529),"0")</f>
        <v/>
      </c>
      <c r="Z531" s="42" t="n"/>
      <c r="AA531" s="1080" t="n"/>
      <c r="AB531" s="1080" t="n"/>
      <c r="AC531" s="1080" t="n"/>
    </row>
    <row r="532" ht="27.75" customHeight="1">
      <c r="A532" s="720" t="inlineStr">
        <is>
          <t>Зареченские продукты</t>
        </is>
      </c>
      <c r="B532" s="1069" t="n"/>
      <c r="C532" s="1069" t="n"/>
      <c r="D532" s="1069" t="n"/>
      <c r="E532" s="1069" t="n"/>
      <c r="F532" s="1069" t="n"/>
      <c r="G532" s="1069" t="n"/>
      <c r="H532" s="1069" t="n"/>
      <c r="I532" s="1069" t="n"/>
      <c r="J532" s="1069" t="n"/>
      <c r="K532" s="1069" t="n"/>
      <c r="L532" s="1069" t="n"/>
      <c r="M532" s="1069" t="n"/>
      <c r="N532" s="1069" t="n"/>
      <c r="O532" s="1069" t="n"/>
      <c r="P532" s="1069" t="n"/>
      <c r="Q532" s="1069" t="n"/>
      <c r="R532" s="1069" t="n"/>
      <c r="S532" s="1069" t="n"/>
      <c r="T532" s="1069" t="n"/>
      <c r="U532" s="1069" t="n"/>
      <c r="V532" s="1069" t="n"/>
      <c r="W532" s="1069" t="n"/>
      <c r="X532" s="1069" t="n"/>
      <c r="Y532" s="1069" t="n"/>
      <c r="Z532" s="1069" t="n"/>
      <c r="AA532" s="54" t="n"/>
      <c r="AB532" s="54" t="n"/>
      <c r="AC532" s="54" t="n"/>
    </row>
    <row r="533" ht="16.5" customHeight="1">
      <c r="A533" s="721" t="inlineStr">
        <is>
          <t>Зареченские продукты</t>
        </is>
      </c>
      <c r="B533" s="1019" t="n"/>
      <c r="C533" s="1019" t="n"/>
      <c r="D533" s="1019" t="n"/>
      <c r="E533" s="1019" t="n"/>
      <c r="F533" s="1019" t="n"/>
      <c r="G533" s="1019" t="n"/>
      <c r="H533" s="1019" t="n"/>
      <c r="I533" s="1019" t="n"/>
      <c r="J533" s="1019" t="n"/>
      <c r="K533" s="1019" t="n"/>
      <c r="L533" s="1019" t="n"/>
      <c r="M533" s="1019" t="n"/>
      <c r="N533" s="1019" t="n"/>
      <c r="O533" s="1019" t="n"/>
      <c r="P533" s="1019" t="n"/>
      <c r="Q533" s="1019" t="n"/>
      <c r="R533" s="1019" t="n"/>
      <c r="S533" s="1019" t="n"/>
      <c r="T533" s="1019" t="n"/>
      <c r="U533" s="1019" t="n"/>
      <c r="V533" s="1019" t="n"/>
      <c r="W533" s="1019" t="n"/>
      <c r="X533" s="1019" t="n"/>
      <c r="Y533" s="1019" t="n"/>
      <c r="Z533" s="1019" t="n"/>
      <c r="AA533" s="721" t="n"/>
      <c r="AB533" s="721" t="n"/>
      <c r="AC533" s="721" t="n"/>
    </row>
    <row r="534" ht="14.25" customHeight="1">
      <c r="A534" s="722" t="inlineStr">
        <is>
          <t>Вареные колбасы</t>
        </is>
      </c>
      <c r="B534" s="1019" t="n"/>
      <c r="C534" s="1019" t="n"/>
      <c r="D534" s="1019" t="n"/>
      <c r="E534" s="1019" t="n"/>
      <c r="F534" s="1019" t="n"/>
      <c r="G534" s="1019" t="n"/>
      <c r="H534" s="1019" t="n"/>
      <c r="I534" s="1019" t="n"/>
      <c r="J534" s="1019" t="n"/>
      <c r="K534" s="1019" t="n"/>
      <c r="L534" s="1019" t="n"/>
      <c r="M534" s="1019" t="n"/>
      <c r="N534" s="1019" t="n"/>
      <c r="O534" s="1019" t="n"/>
      <c r="P534" s="1019" t="n"/>
      <c r="Q534" s="1019" t="n"/>
      <c r="R534" s="1019" t="n"/>
      <c r="S534" s="1019" t="n"/>
      <c r="T534" s="1019" t="n"/>
      <c r="U534" s="1019" t="n"/>
      <c r="V534" s="1019" t="n"/>
      <c r="W534" s="1019" t="n"/>
      <c r="X534" s="1019" t="n"/>
      <c r="Y534" s="1019" t="n"/>
      <c r="Z534" s="1019" t="n"/>
      <c r="AA534" s="722" t="n"/>
      <c r="AB534" s="722" t="n"/>
      <c r="AC534" s="722" t="n"/>
    </row>
    <row r="535" ht="27" customHeight="1">
      <c r="A535" s="63" t="inlineStr">
        <is>
          <t>SU002808</t>
        </is>
      </c>
      <c r="B535" s="63" t="inlineStr">
        <is>
          <t>P003582</t>
        </is>
      </c>
      <c r="C535" s="36" t="n">
        <v>4301011584</v>
      </c>
      <c r="D535" s="723" t="n">
        <v>4640242180564</v>
      </c>
      <c r="E535" s="1031" t="n"/>
      <c r="F535" s="1070" t="n">
        <v>1.5</v>
      </c>
      <c r="G535" s="37" t="n">
        <v>8</v>
      </c>
      <c r="H535" s="1070" t="n">
        <v>12</v>
      </c>
      <c r="I535" s="1070" t="n">
        <v>12.41</v>
      </c>
      <c r="J535" s="37" t="n">
        <v>64</v>
      </c>
      <c r="K535" s="37" t="inlineStr">
        <is>
          <t>8</t>
        </is>
      </c>
      <c r="L535" s="37" t="inlineStr"/>
      <c r="M535" s="38" t="inlineStr">
        <is>
          <t>СК1</t>
        </is>
      </c>
      <c r="N535" s="38" t="n"/>
      <c r="O535" s="37" t="n">
        <v>50</v>
      </c>
      <c r="P535" s="1356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35" s="1072" t="n"/>
      <c r="R535" s="1072" t="n"/>
      <c r="S535" s="1072" t="n"/>
      <c r="T535" s="1073" t="n"/>
      <c r="U535" s="39" t="inlineStr"/>
      <c r="V535" s="39" t="inlineStr"/>
      <c r="W535" s="40" t="inlineStr">
        <is>
          <t>кг</t>
        </is>
      </c>
      <c r="X535" s="1074" t="n">
        <v>0</v>
      </c>
      <c r="Y535" s="1075">
        <f>IFERROR(IF(X535="",0,CEILING((X535/$H535),1)*$H535),"")</f>
        <v/>
      </c>
      <c r="Z535" s="41">
        <f>IFERROR(IF(Y535=0,"",ROUNDUP(Y535/H535,0)*0.01898),"")</f>
        <v/>
      </c>
      <c r="AA535" s="68" t="inlineStr"/>
      <c r="AB535" s="69" t="inlineStr"/>
      <c r="AC535" s="640" t="inlineStr">
        <is>
          <t>ЕАЭС N RU Д-RU.РА05.В.95257/23</t>
        </is>
      </c>
      <c r="AG535" s="78" t="n"/>
      <c r="AJ535" s="84" t="inlineStr"/>
      <c r="AK535" s="84" t="n">
        <v>0</v>
      </c>
      <c r="BB535" s="641" t="inlineStr">
        <is>
          <t>КИ</t>
        </is>
      </c>
      <c r="BM535" s="78">
        <f>IFERROR(X535*I535/H535,"0")</f>
        <v/>
      </c>
      <c r="BN535" s="78">
        <f>IFERROR(Y535*I535/H535,"0")</f>
        <v/>
      </c>
      <c r="BO535" s="78">
        <f>IFERROR(1/J535*(X535/H535),"0")</f>
        <v/>
      </c>
      <c r="BP535" s="78">
        <f>IFERROR(1/J535*(Y535/H535),"0")</f>
        <v/>
      </c>
    </row>
    <row r="536">
      <c r="A536" s="732" t="n"/>
      <c r="B536" s="1019" t="n"/>
      <c r="C536" s="1019" t="n"/>
      <c r="D536" s="1019" t="n"/>
      <c r="E536" s="1019" t="n"/>
      <c r="F536" s="1019" t="n"/>
      <c r="G536" s="1019" t="n"/>
      <c r="H536" s="1019" t="n"/>
      <c r="I536" s="1019" t="n"/>
      <c r="J536" s="1019" t="n"/>
      <c r="K536" s="1019" t="n"/>
      <c r="L536" s="1019" t="n"/>
      <c r="M536" s="1019" t="n"/>
      <c r="N536" s="1019" t="n"/>
      <c r="O536" s="1077" t="n"/>
      <c r="P536" s="1078" t="inlineStr">
        <is>
          <t>Итого</t>
        </is>
      </c>
      <c r="Q536" s="1039" t="n"/>
      <c r="R536" s="1039" t="n"/>
      <c r="S536" s="1039" t="n"/>
      <c r="T536" s="1039" t="n"/>
      <c r="U536" s="1039" t="n"/>
      <c r="V536" s="1040" t="n"/>
      <c r="W536" s="42" t="inlineStr">
        <is>
          <t>кор</t>
        </is>
      </c>
      <c r="X536" s="1079">
        <f>IFERROR(X535/H535,"0")</f>
        <v/>
      </c>
      <c r="Y536" s="1079">
        <f>IFERROR(Y535/H535,"0")</f>
        <v/>
      </c>
      <c r="Z536" s="1079">
        <f>IFERROR(IF(Z535="",0,Z535),"0")</f>
        <v/>
      </c>
      <c r="AA536" s="1080" t="n"/>
      <c r="AB536" s="1080" t="n"/>
      <c r="AC536" s="1080" t="n"/>
    </row>
    <row r="537">
      <c r="A537" s="1019" t="n"/>
      <c r="B537" s="1019" t="n"/>
      <c r="C537" s="1019" t="n"/>
      <c r="D537" s="1019" t="n"/>
      <c r="E537" s="1019" t="n"/>
      <c r="F537" s="1019" t="n"/>
      <c r="G537" s="1019" t="n"/>
      <c r="H537" s="1019" t="n"/>
      <c r="I537" s="1019" t="n"/>
      <c r="J537" s="1019" t="n"/>
      <c r="K537" s="1019" t="n"/>
      <c r="L537" s="1019" t="n"/>
      <c r="M537" s="1019" t="n"/>
      <c r="N537" s="1019" t="n"/>
      <c r="O537" s="1077" t="n"/>
      <c r="P537" s="1078" t="inlineStr">
        <is>
          <t>Итого</t>
        </is>
      </c>
      <c r="Q537" s="1039" t="n"/>
      <c r="R537" s="1039" t="n"/>
      <c r="S537" s="1039" t="n"/>
      <c r="T537" s="1039" t="n"/>
      <c r="U537" s="1039" t="n"/>
      <c r="V537" s="1040" t="n"/>
      <c r="W537" s="42" t="inlineStr">
        <is>
          <t>кг</t>
        </is>
      </c>
      <c r="X537" s="1079">
        <f>IFERROR(SUM(X535:X535),"0")</f>
        <v/>
      </c>
      <c r="Y537" s="1079">
        <f>IFERROR(SUM(Y535:Y535),"0")</f>
        <v/>
      </c>
      <c r="Z537" s="42" t="n"/>
      <c r="AA537" s="1080" t="n"/>
      <c r="AB537" s="1080" t="n"/>
      <c r="AC537" s="1080" t="n"/>
    </row>
    <row r="538" ht="14.25" customHeight="1">
      <c r="A538" s="722" t="inlineStr">
        <is>
          <t>Копченые колбасы</t>
        </is>
      </c>
      <c r="B538" s="1019" t="n"/>
      <c r="C538" s="1019" t="n"/>
      <c r="D538" s="1019" t="n"/>
      <c r="E538" s="1019" t="n"/>
      <c r="F538" s="1019" t="n"/>
      <c r="G538" s="1019" t="n"/>
      <c r="H538" s="1019" t="n"/>
      <c r="I538" s="1019" t="n"/>
      <c r="J538" s="1019" t="n"/>
      <c r="K538" s="1019" t="n"/>
      <c r="L538" s="1019" t="n"/>
      <c r="M538" s="1019" t="n"/>
      <c r="N538" s="1019" t="n"/>
      <c r="O538" s="1019" t="n"/>
      <c r="P538" s="1019" t="n"/>
      <c r="Q538" s="1019" t="n"/>
      <c r="R538" s="1019" t="n"/>
      <c r="S538" s="1019" t="n"/>
      <c r="T538" s="1019" t="n"/>
      <c r="U538" s="1019" t="n"/>
      <c r="V538" s="1019" t="n"/>
      <c r="W538" s="1019" t="n"/>
      <c r="X538" s="1019" t="n"/>
      <c r="Y538" s="1019" t="n"/>
      <c r="Z538" s="1019" t="n"/>
      <c r="AA538" s="722" t="n"/>
      <c r="AB538" s="722" t="n"/>
      <c r="AC538" s="722" t="n"/>
    </row>
    <row r="539" ht="27" customHeight="1">
      <c r="A539" s="63" t="inlineStr">
        <is>
          <t>SU002809</t>
        </is>
      </c>
      <c r="B539" s="63" t="inlineStr">
        <is>
          <t>P005407</t>
        </is>
      </c>
      <c r="C539" s="36" t="n">
        <v>4301031500</v>
      </c>
      <c r="D539" s="723" t="n">
        <v>4640242180595</v>
      </c>
      <c r="E539" s="1031" t="n"/>
      <c r="F539" s="1070" t="n">
        <v>0.7</v>
      </c>
      <c r="G539" s="37" t="n">
        <v>6</v>
      </c>
      <c r="H539" s="1070" t="n">
        <v>4.2</v>
      </c>
      <c r="I539" s="1070" t="n">
        <v>4.45</v>
      </c>
      <c r="J539" s="37" t="n">
        <v>132</v>
      </c>
      <c r="K539" s="37" t="inlineStr">
        <is>
          <t>12</t>
        </is>
      </c>
      <c r="L539" s="37" t="inlineStr"/>
      <c r="M539" s="38" t="inlineStr">
        <is>
          <t>СК2</t>
        </is>
      </c>
      <c r="N539" s="38" t="n"/>
      <c r="O539" s="37" t="n">
        <v>40</v>
      </c>
      <c r="P539" s="1357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39" s="1072" t="n"/>
      <c r="R539" s="1072" t="n"/>
      <c r="S539" s="1072" t="n"/>
      <c r="T539" s="1073" t="n"/>
      <c r="U539" s="39" t="inlineStr"/>
      <c r="V539" s="39" t="inlineStr"/>
      <c r="W539" s="40" t="inlineStr">
        <is>
          <t>кг</t>
        </is>
      </c>
      <c r="X539" s="1074" t="n">
        <v>0</v>
      </c>
      <c r="Y539" s="1075">
        <f>IFERROR(IF(X539="",0,CEILING((X539/$H539),1)*$H539),"")</f>
        <v/>
      </c>
      <c r="Z539" s="41">
        <f>IFERROR(IF(Y539=0,"",ROUNDUP(Y539/H539,0)*0.00902),"")</f>
        <v/>
      </c>
      <c r="AA539" s="68" t="inlineStr"/>
      <c r="AB539" s="69" t="inlineStr"/>
      <c r="AC539" s="642" t="inlineStr">
        <is>
          <t>ЕАЭС N RU Д-RU.РА01.В.02454/26</t>
        </is>
      </c>
      <c r="AG539" s="78" t="n"/>
      <c r="AJ539" s="84" t="inlineStr"/>
      <c r="AK539" s="84" t="n">
        <v>0</v>
      </c>
      <c r="BB539" s="643" t="inlineStr">
        <is>
          <t>КИ</t>
        </is>
      </c>
      <c r="BM539" s="78">
        <f>IFERROR(X539*I539/H539,"0")</f>
        <v/>
      </c>
      <c r="BN539" s="78">
        <f>IFERROR(Y539*I539/H539,"0")</f>
        <v/>
      </c>
      <c r="BO539" s="78">
        <f>IFERROR(1/J539*(X539/H539),"0")</f>
        <v/>
      </c>
      <c r="BP539" s="78">
        <f>IFERROR(1/J539*(Y539/H539),"0")</f>
        <v/>
      </c>
    </row>
    <row r="540">
      <c r="A540" s="732" t="n"/>
      <c r="B540" s="1019" t="n"/>
      <c r="C540" s="1019" t="n"/>
      <c r="D540" s="1019" t="n"/>
      <c r="E540" s="1019" t="n"/>
      <c r="F540" s="1019" t="n"/>
      <c r="G540" s="1019" t="n"/>
      <c r="H540" s="1019" t="n"/>
      <c r="I540" s="1019" t="n"/>
      <c r="J540" s="1019" t="n"/>
      <c r="K540" s="1019" t="n"/>
      <c r="L540" s="1019" t="n"/>
      <c r="M540" s="1019" t="n"/>
      <c r="N540" s="1019" t="n"/>
      <c r="O540" s="1077" t="n"/>
      <c r="P540" s="1078" t="inlineStr">
        <is>
          <t>Итого</t>
        </is>
      </c>
      <c r="Q540" s="1039" t="n"/>
      <c r="R540" s="1039" t="n"/>
      <c r="S540" s="1039" t="n"/>
      <c r="T540" s="1039" t="n"/>
      <c r="U540" s="1039" t="n"/>
      <c r="V540" s="1040" t="n"/>
      <c r="W540" s="42" t="inlineStr">
        <is>
          <t>кор</t>
        </is>
      </c>
      <c r="X540" s="1079">
        <f>IFERROR(X539/H539,"0")</f>
        <v/>
      </c>
      <c r="Y540" s="1079">
        <f>IFERROR(Y539/H539,"0")</f>
        <v/>
      </c>
      <c r="Z540" s="1079">
        <f>IFERROR(IF(Z539="",0,Z539),"0")</f>
        <v/>
      </c>
      <c r="AA540" s="1080" t="n"/>
      <c r="AB540" s="1080" t="n"/>
      <c r="AC540" s="1080" t="n"/>
    </row>
    <row r="541">
      <c r="A541" s="1019" t="n"/>
      <c r="B541" s="1019" t="n"/>
      <c r="C541" s="1019" t="n"/>
      <c r="D541" s="1019" t="n"/>
      <c r="E541" s="1019" t="n"/>
      <c r="F541" s="1019" t="n"/>
      <c r="G541" s="1019" t="n"/>
      <c r="H541" s="1019" t="n"/>
      <c r="I541" s="1019" t="n"/>
      <c r="J541" s="1019" t="n"/>
      <c r="K541" s="1019" t="n"/>
      <c r="L541" s="1019" t="n"/>
      <c r="M541" s="1019" t="n"/>
      <c r="N541" s="1019" t="n"/>
      <c r="O541" s="1077" t="n"/>
      <c r="P541" s="1078" t="inlineStr">
        <is>
          <t>Итого</t>
        </is>
      </c>
      <c r="Q541" s="1039" t="n"/>
      <c r="R541" s="1039" t="n"/>
      <c r="S541" s="1039" t="n"/>
      <c r="T541" s="1039" t="n"/>
      <c r="U541" s="1039" t="n"/>
      <c r="V541" s="1040" t="n"/>
      <c r="W541" s="42" t="inlineStr">
        <is>
          <t>кг</t>
        </is>
      </c>
      <c r="X541" s="1079">
        <f>IFERROR(SUM(X539:X539),"0")</f>
        <v/>
      </c>
      <c r="Y541" s="1079">
        <f>IFERROR(SUM(Y539:Y539),"0")</f>
        <v/>
      </c>
      <c r="Z541" s="42" t="n"/>
      <c r="AA541" s="1080" t="n"/>
      <c r="AB541" s="1080" t="n"/>
      <c r="AC541" s="1080" t="n"/>
    </row>
    <row r="542" ht="14.25" customHeight="1">
      <c r="A542" s="722" t="inlineStr">
        <is>
          <t>Сосиски</t>
        </is>
      </c>
      <c r="B542" s="1019" t="n"/>
      <c r="C542" s="1019" t="n"/>
      <c r="D542" s="1019" t="n"/>
      <c r="E542" s="1019" t="n"/>
      <c r="F542" s="1019" t="n"/>
      <c r="G542" s="1019" t="n"/>
      <c r="H542" s="1019" t="n"/>
      <c r="I542" s="1019" t="n"/>
      <c r="J542" s="1019" t="n"/>
      <c r="K542" s="1019" t="n"/>
      <c r="L542" s="1019" t="n"/>
      <c r="M542" s="1019" t="n"/>
      <c r="N542" s="1019" t="n"/>
      <c r="O542" s="1019" t="n"/>
      <c r="P542" s="1019" t="n"/>
      <c r="Q542" s="1019" t="n"/>
      <c r="R542" s="1019" t="n"/>
      <c r="S542" s="1019" t="n"/>
      <c r="T542" s="1019" t="n"/>
      <c r="U542" s="1019" t="n"/>
      <c r="V542" s="1019" t="n"/>
      <c r="W542" s="1019" t="n"/>
      <c r="X542" s="1019" t="n"/>
      <c r="Y542" s="1019" t="n"/>
      <c r="Z542" s="1019" t="n"/>
      <c r="AA542" s="722" t="n"/>
      <c r="AB542" s="722" t="n"/>
      <c r="AC542" s="722" t="n"/>
    </row>
    <row r="543" ht="27" customHeight="1">
      <c r="A543" s="63" t="inlineStr">
        <is>
          <t>SU002655</t>
        </is>
      </c>
      <c r="B543" s="63" t="inlineStr">
        <is>
          <t>P004991</t>
        </is>
      </c>
      <c r="C543" s="36" t="n">
        <v>4301052043</v>
      </c>
      <c r="D543" s="723" t="n">
        <v>4640242180533</v>
      </c>
      <c r="E543" s="1031" t="n"/>
      <c r="F543" s="1070" t="n">
        <v>1.5</v>
      </c>
      <c r="G543" s="37" t="n">
        <v>6</v>
      </c>
      <c r="H543" s="1070" t="n">
        <v>9</v>
      </c>
      <c r="I543" s="1070" t="n">
        <v>9.494</v>
      </c>
      <c r="J543" s="37" t="n">
        <v>64</v>
      </c>
      <c r="K543" s="37" t="inlineStr">
        <is>
          <t>8</t>
        </is>
      </c>
      <c r="L543" s="37" t="inlineStr"/>
      <c r="M543" s="38" t="inlineStr">
        <is>
          <t>СК3</t>
        </is>
      </c>
      <c r="N543" s="38" t="n"/>
      <c r="O543" s="37" t="n">
        <v>45</v>
      </c>
      <c r="P543" s="1358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43" s="1072" t="n"/>
      <c r="R543" s="1072" t="n"/>
      <c r="S543" s="1072" t="n"/>
      <c r="T543" s="1073" t="n"/>
      <c r="U543" s="39" t="inlineStr"/>
      <c r="V543" s="39" t="inlineStr"/>
      <c r="W543" s="40" t="inlineStr">
        <is>
          <t>кг</t>
        </is>
      </c>
      <c r="X543" s="1074" t="n">
        <v>0</v>
      </c>
      <c r="Y543" s="1075">
        <f>IFERROR(IF(X543="",0,CEILING((X543/$H543),1)*$H543),"")</f>
        <v/>
      </c>
      <c r="Z543" s="41">
        <f>IFERROR(IF(Y543=0,"",ROUNDUP(Y543/H543,0)*0.01898),"")</f>
        <v/>
      </c>
      <c r="AA543" s="68" t="inlineStr"/>
      <c r="AB543" s="69" t="inlineStr"/>
      <c r="AC543" s="644" t="inlineStr">
        <is>
          <t>ЕАЭС N RU Д-RU.РА05.В.94085/23</t>
        </is>
      </c>
      <c r="AG543" s="78" t="n"/>
      <c r="AJ543" s="84" t="inlineStr"/>
      <c r="AK543" s="84" t="n">
        <v>0</v>
      </c>
      <c r="BB543" s="645" t="inlineStr">
        <is>
          <t>КИ</t>
        </is>
      </c>
      <c r="BM543" s="78">
        <f>IFERROR(X543*I543/H543,"0")</f>
        <v/>
      </c>
      <c r="BN543" s="78">
        <f>IFERROR(Y543*I543/H543,"0")</f>
        <v/>
      </c>
      <c r="BO543" s="78">
        <f>IFERROR(1/J543*(X543/H543),"0")</f>
        <v/>
      </c>
      <c r="BP543" s="78">
        <f>IFERROR(1/J543*(Y543/H543),"0")</f>
        <v/>
      </c>
    </row>
    <row r="544">
      <c r="A544" s="732" t="n"/>
      <c r="B544" s="1019" t="n"/>
      <c r="C544" s="1019" t="n"/>
      <c r="D544" s="1019" t="n"/>
      <c r="E544" s="1019" t="n"/>
      <c r="F544" s="1019" t="n"/>
      <c r="G544" s="1019" t="n"/>
      <c r="H544" s="1019" t="n"/>
      <c r="I544" s="1019" t="n"/>
      <c r="J544" s="1019" t="n"/>
      <c r="K544" s="1019" t="n"/>
      <c r="L544" s="1019" t="n"/>
      <c r="M544" s="1019" t="n"/>
      <c r="N544" s="1019" t="n"/>
      <c r="O544" s="1077" t="n"/>
      <c r="P544" s="1078" t="inlineStr">
        <is>
          <t>Итого</t>
        </is>
      </c>
      <c r="Q544" s="1039" t="n"/>
      <c r="R544" s="1039" t="n"/>
      <c r="S544" s="1039" t="n"/>
      <c r="T544" s="1039" t="n"/>
      <c r="U544" s="1039" t="n"/>
      <c r="V544" s="1040" t="n"/>
      <c r="W544" s="42" t="inlineStr">
        <is>
          <t>кор</t>
        </is>
      </c>
      <c r="X544" s="1079">
        <f>IFERROR(X543/H543,"0")</f>
        <v/>
      </c>
      <c r="Y544" s="1079">
        <f>IFERROR(Y543/H543,"0")</f>
        <v/>
      </c>
      <c r="Z544" s="1079">
        <f>IFERROR(IF(Z543="",0,Z543),"0")</f>
        <v/>
      </c>
      <c r="AA544" s="1080" t="n"/>
      <c r="AB544" s="1080" t="n"/>
      <c r="AC544" s="1080" t="n"/>
    </row>
    <row r="545">
      <c r="A545" s="1019" t="n"/>
      <c r="B545" s="1019" t="n"/>
      <c r="C545" s="1019" t="n"/>
      <c r="D545" s="1019" t="n"/>
      <c r="E545" s="1019" t="n"/>
      <c r="F545" s="1019" t="n"/>
      <c r="G545" s="1019" t="n"/>
      <c r="H545" s="1019" t="n"/>
      <c r="I545" s="1019" t="n"/>
      <c r="J545" s="1019" t="n"/>
      <c r="K545" s="1019" t="n"/>
      <c r="L545" s="1019" t="n"/>
      <c r="M545" s="1019" t="n"/>
      <c r="N545" s="1019" t="n"/>
      <c r="O545" s="1077" t="n"/>
      <c r="P545" s="1078" t="inlineStr">
        <is>
          <t>Итого</t>
        </is>
      </c>
      <c r="Q545" s="1039" t="n"/>
      <c r="R545" s="1039" t="n"/>
      <c r="S545" s="1039" t="n"/>
      <c r="T545" s="1039" t="n"/>
      <c r="U545" s="1039" t="n"/>
      <c r="V545" s="1040" t="n"/>
      <c r="W545" s="42" t="inlineStr">
        <is>
          <t>кг</t>
        </is>
      </c>
      <c r="X545" s="1079">
        <f>IFERROR(SUM(X543:X543),"0")</f>
        <v/>
      </c>
      <c r="Y545" s="1079">
        <f>IFERROR(SUM(Y543:Y543),"0")</f>
        <v/>
      </c>
      <c r="Z545" s="42" t="n"/>
      <c r="AA545" s="1080" t="n"/>
      <c r="AB545" s="1080" t="n"/>
      <c r="AC545" s="1080" t="n"/>
    </row>
    <row r="546" ht="14.25" customHeight="1">
      <c r="A546" s="722" t="inlineStr">
        <is>
          <t>Сардельки</t>
        </is>
      </c>
      <c r="B546" s="1019" t="n"/>
      <c r="C546" s="1019" t="n"/>
      <c r="D546" s="1019" t="n"/>
      <c r="E546" s="1019" t="n"/>
      <c r="F546" s="1019" t="n"/>
      <c r="G546" s="1019" t="n"/>
      <c r="H546" s="1019" t="n"/>
      <c r="I546" s="1019" t="n"/>
      <c r="J546" s="1019" t="n"/>
      <c r="K546" s="1019" t="n"/>
      <c r="L546" s="1019" t="n"/>
      <c r="M546" s="1019" t="n"/>
      <c r="N546" s="1019" t="n"/>
      <c r="O546" s="1019" t="n"/>
      <c r="P546" s="1019" t="n"/>
      <c r="Q546" s="1019" t="n"/>
      <c r="R546" s="1019" t="n"/>
      <c r="S546" s="1019" t="n"/>
      <c r="T546" s="1019" t="n"/>
      <c r="U546" s="1019" t="n"/>
      <c r="V546" s="1019" t="n"/>
      <c r="W546" s="1019" t="n"/>
      <c r="X546" s="1019" t="n"/>
      <c r="Y546" s="1019" t="n"/>
      <c r="Z546" s="1019" t="n"/>
      <c r="AA546" s="722" t="n"/>
      <c r="AB546" s="722" t="n"/>
      <c r="AC546" s="722" t="n"/>
    </row>
    <row r="547" ht="27" customHeight="1">
      <c r="A547" s="63" t="inlineStr">
        <is>
          <t>SU002970</t>
        </is>
      </c>
      <c r="B547" s="63" t="inlineStr">
        <is>
          <t>P005413</t>
        </is>
      </c>
      <c r="C547" s="36" t="n">
        <v>4301060535</v>
      </c>
      <c r="D547" s="723" t="n">
        <v>4640242180120</v>
      </c>
      <c r="E547" s="1031" t="n"/>
      <c r="F547" s="1070" t="n">
        <v>1.5</v>
      </c>
      <c r="G547" s="37" t="n">
        <v>6</v>
      </c>
      <c r="H547" s="1070" t="n">
        <v>9</v>
      </c>
      <c r="I547" s="1070" t="n">
        <v>9.41</v>
      </c>
      <c r="J547" s="37" t="n">
        <v>64</v>
      </c>
      <c r="K547" s="37" t="inlineStr">
        <is>
          <t>8</t>
        </is>
      </c>
      <c r="L547" s="37" t="inlineStr"/>
      <c r="M547" s="38" t="inlineStr">
        <is>
          <t>СК3</t>
        </is>
      </c>
      <c r="N547" s="38" t="n"/>
      <c r="O547" s="37" t="n">
        <v>40</v>
      </c>
      <c r="P547" s="1359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47" s="1072" t="n"/>
      <c r="R547" s="1072" t="n"/>
      <c r="S547" s="1072" t="n"/>
      <c r="T547" s="1073" t="n"/>
      <c r="U547" s="39" t="inlineStr"/>
      <c r="V547" s="39" t="inlineStr"/>
      <c r="W547" s="40" t="inlineStr">
        <is>
          <t>кг</t>
        </is>
      </c>
      <c r="X547" s="1074" t="n">
        <v>0</v>
      </c>
      <c r="Y547" s="1075">
        <f>IFERROR(IF(X547="",0,CEILING((X547/$H547),1)*$H547),"")</f>
        <v/>
      </c>
      <c r="Z547" s="41">
        <f>IFERROR(IF(Y547=0,"",ROUNDUP(Y547/H547,0)*0.01898),"")</f>
        <v/>
      </c>
      <c r="AA547" s="68" t="inlineStr"/>
      <c r="AB547" s="69" t="inlineStr"/>
      <c r="AC547" s="646" t="inlineStr">
        <is>
          <t>ЕАЭС N RU Д-RU.РА03.В.14135/26</t>
        </is>
      </c>
      <c r="AG547" s="78" t="n"/>
      <c r="AJ547" s="84" t="inlineStr"/>
      <c r="AK547" s="84" t="n">
        <v>0</v>
      </c>
      <c r="BB547" s="647" t="inlineStr">
        <is>
          <t>КИ</t>
        </is>
      </c>
      <c r="BM547" s="78">
        <f>IFERROR(X547*I547/H547,"0")</f>
        <v/>
      </c>
      <c r="BN547" s="78">
        <f>IFERROR(Y547*I547/H547,"0")</f>
        <v/>
      </c>
      <c r="BO547" s="78">
        <f>IFERROR(1/J547*(X547/H547),"0")</f>
        <v/>
      </c>
      <c r="BP547" s="78">
        <f>IFERROR(1/J547*(Y547/H547),"0")</f>
        <v/>
      </c>
    </row>
    <row r="548" ht="27" customHeight="1">
      <c r="A548" s="63" t="inlineStr">
        <is>
          <t>SU002971</t>
        </is>
      </c>
      <c r="B548" s="63" t="inlineStr">
        <is>
          <t>P005414</t>
        </is>
      </c>
      <c r="C548" s="36" t="n">
        <v>4301060536</v>
      </c>
      <c r="D548" s="723" t="n">
        <v>4640242180137</v>
      </c>
      <c r="E548" s="1031" t="n"/>
      <c r="F548" s="1070" t="n">
        <v>1.5</v>
      </c>
      <c r="G548" s="37" t="n">
        <v>6</v>
      </c>
      <c r="H548" s="1070" t="n">
        <v>9</v>
      </c>
      <c r="I548" s="1070" t="n">
        <v>9.41</v>
      </c>
      <c r="J548" s="37" t="n">
        <v>64</v>
      </c>
      <c r="K548" s="37" t="inlineStr">
        <is>
          <t>8</t>
        </is>
      </c>
      <c r="L548" s="37" t="inlineStr"/>
      <c r="M548" s="38" t="inlineStr">
        <is>
          <t>СК3</t>
        </is>
      </c>
      <c r="N548" s="38" t="n"/>
      <c r="O548" s="37" t="n">
        <v>40</v>
      </c>
      <c r="P548" s="1360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48" s="1072" t="n"/>
      <c r="R548" s="1072" t="n"/>
      <c r="S548" s="1072" t="n"/>
      <c r="T548" s="1073" t="n"/>
      <c r="U548" s="39" t="inlineStr"/>
      <c r="V548" s="39" t="inlineStr"/>
      <c r="W548" s="40" t="inlineStr">
        <is>
          <t>кг</t>
        </is>
      </c>
      <c r="X548" s="1074" t="n">
        <v>0</v>
      </c>
      <c r="Y548" s="1075">
        <f>IFERROR(IF(X548="",0,CEILING((X548/$H548),1)*$H548),"")</f>
        <v/>
      </c>
      <c r="Z548" s="41">
        <f>IFERROR(IF(Y548=0,"",ROUNDUP(Y548/H548,0)*0.01898),"")</f>
        <v/>
      </c>
      <c r="AA548" s="68" t="inlineStr"/>
      <c r="AB548" s="69" t="inlineStr"/>
      <c r="AC548" s="648" t="inlineStr">
        <is>
          <t>ЕАЭС N RU Д-RU.РА03.В.14244/26</t>
        </is>
      </c>
      <c r="AG548" s="78" t="n"/>
      <c r="AJ548" s="84" t="inlineStr"/>
      <c r="AK548" s="84" t="n">
        <v>0</v>
      </c>
      <c r="BB548" s="649" t="inlineStr">
        <is>
          <t>КИ</t>
        </is>
      </c>
      <c r="BM548" s="78">
        <f>IFERROR(X548*I548/H548,"0")</f>
        <v/>
      </c>
      <c r="BN548" s="78">
        <f>IFERROR(Y548*I548/H548,"0")</f>
        <v/>
      </c>
      <c r="BO548" s="78">
        <f>IFERROR(1/J548*(X548/H548),"0")</f>
        <v/>
      </c>
      <c r="BP548" s="78">
        <f>IFERROR(1/J548*(Y548/H548),"0")</f>
        <v/>
      </c>
    </row>
    <row r="549">
      <c r="A549" s="732" t="n"/>
      <c r="B549" s="1019" t="n"/>
      <c r="C549" s="1019" t="n"/>
      <c r="D549" s="1019" t="n"/>
      <c r="E549" s="1019" t="n"/>
      <c r="F549" s="1019" t="n"/>
      <c r="G549" s="1019" t="n"/>
      <c r="H549" s="1019" t="n"/>
      <c r="I549" s="1019" t="n"/>
      <c r="J549" s="1019" t="n"/>
      <c r="K549" s="1019" t="n"/>
      <c r="L549" s="1019" t="n"/>
      <c r="M549" s="1019" t="n"/>
      <c r="N549" s="1019" t="n"/>
      <c r="O549" s="1077" t="n"/>
      <c r="P549" s="1078" t="inlineStr">
        <is>
          <t>Итого</t>
        </is>
      </c>
      <c r="Q549" s="1039" t="n"/>
      <c r="R549" s="1039" t="n"/>
      <c r="S549" s="1039" t="n"/>
      <c r="T549" s="1039" t="n"/>
      <c r="U549" s="1039" t="n"/>
      <c r="V549" s="1040" t="n"/>
      <c r="W549" s="42" t="inlineStr">
        <is>
          <t>кор</t>
        </is>
      </c>
      <c r="X549" s="1079">
        <f>IFERROR(X547/H547,"0")+IFERROR(X548/H548,"0")</f>
        <v/>
      </c>
      <c r="Y549" s="1079">
        <f>IFERROR(Y547/H547,"0")+IFERROR(Y548/H548,"0")</f>
        <v/>
      </c>
      <c r="Z549" s="1079">
        <f>IFERROR(IF(Z547="",0,Z547),"0")+IFERROR(IF(Z548="",0,Z548),"0")</f>
        <v/>
      </c>
      <c r="AA549" s="1080" t="n"/>
      <c r="AB549" s="1080" t="n"/>
      <c r="AC549" s="1080" t="n"/>
    </row>
    <row r="550">
      <c r="A550" s="1019" t="n"/>
      <c r="B550" s="1019" t="n"/>
      <c r="C550" s="1019" t="n"/>
      <c r="D550" s="1019" t="n"/>
      <c r="E550" s="1019" t="n"/>
      <c r="F550" s="1019" t="n"/>
      <c r="G550" s="1019" t="n"/>
      <c r="H550" s="1019" t="n"/>
      <c r="I550" s="1019" t="n"/>
      <c r="J550" s="1019" t="n"/>
      <c r="K550" s="1019" t="n"/>
      <c r="L550" s="1019" t="n"/>
      <c r="M550" s="1019" t="n"/>
      <c r="N550" s="1019" t="n"/>
      <c r="O550" s="1077" t="n"/>
      <c r="P550" s="1078" t="inlineStr">
        <is>
          <t>Итого</t>
        </is>
      </c>
      <c r="Q550" s="1039" t="n"/>
      <c r="R550" s="1039" t="n"/>
      <c r="S550" s="1039" t="n"/>
      <c r="T550" s="1039" t="n"/>
      <c r="U550" s="1039" t="n"/>
      <c r="V550" s="1040" t="n"/>
      <c r="W550" s="42" t="inlineStr">
        <is>
          <t>кг</t>
        </is>
      </c>
      <c r="X550" s="1079">
        <f>IFERROR(SUM(X547:X548),"0")</f>
        <v/>
      </c>
      <c r="Y550" s="1079">
        <f>IFERROR(SUM(Y547:Y548),"0")</f>
        <v/>
      </c>
      <c r="Z550" s="42" t="n"/>
      <c r="AA550" s="1080" t="n"/>
      <c r="AB550" s="1080" t="n"/>
      <c r="AC550" s="1080" t="n"/>
    </row>
    <row r="551" ht="16.5" customHeight="1">
      <c r="A551" s="721" t="inlineStr">
        <is>
          <t>Зареченские продукты Светофор</t>
        </is>
      </c>
      <c r="B551" s="1019" t="n"/>
      <c r="C551" s="1019" t="n"/>
      <c r="D551" s="1019" t="n"/>
      <c r="E551" s="1019" t="n"/>
      <c r="F551" s="1019" t="n"/>
      <c r="G551" s="1019" t="n"/>
      <c r="H551" s="1019" t="n"/>
      <c r="I551" s="1019" t="n"/>
      <c r="J551" s="1019" t="n"/>
      <c r="K551" s="1019" t="n"/>
      <c r="L551" s="1019" t="n"/>
      <c r="M551" s="1019" t="n"/>
      <c r="N551" s="1019" t="n"/>
      <c r="O551" s="1019" t="n"/>
      <c r="P551" s="1019" t="n"/>
      <c r="Q551" s="1019" t="n"/>
      <c r="R551" s="1019" t="n"/>
      <c r="S551" s="1019" t="n"/>
      <c r="T551" s="1019" t="n"/>
      <c r="U551" s="1019" t="n"/>
      <c r="V551" s="1019" t="n"/>
      <c r="W551" s="1019" t="n"/>
      <c r="X551" s="1019" t="n"/>
      <c r="Y551" s="1019" t="n"/>
      <c r="Z551" s="1019" t="n"/>
      <c r="AA551" s="721" t="n"/>
      <c r="AB551" s="721" t="n"/>
      <c r="AC551" s="721" t="n"/>
    </row>
    <row r="552" ht="14.25" customHeight="1">
      <c r="A552" s="722" t="inlineStr">
        <is>
          <t>Ветчины</t>
        </is>
      </c>
      <c r="B552" s="1019" t="n"/>
      <c r="C552" s="1019" t="n"/>
      <c r="D552" s="1019" t="n"/>
      <c r="E552" s="1019" t="n"/>
      <c r="F552" s="1019" t="n"/>
      <c r="G552" s="1019" t="n"/>
      <c r="H552" s="1019" t="n"/>
      <c r="I552" s="1019" t="n"/>
      <c r="J552" s="1019" t="n"/>
      <c r="K552" s="1019" t="n"/>
      <c r="L552" s="1019" t="n"/>
      <c r="M552" s="1019" t="n"/>
      <c r="N552" s="1019" t="n"/>
      <c r="O552" s="1019" t="n"/>
      <c r="P552" s="1019" t="n"/>
      <c r="Q552" s="1019" t="n"/>
      <c r="R552" s="1019" t="n"/>
      <c r="S552" s="1019" t="n"/>
      <c r="T552" s="1019" t="n"/>
      <c r="U552" s="1019" t="n"/>
      <c r="V552" s="1019" t="n"/>
      <c r="W552" s="1019" t="n"/>
      <c r="X552" s="1019" t="n"/>
      <c r="Y552" s="1019" t="n"/>
      <c r="Z552" s="1019" t="n"/>
      <c r="AA552" s="722" t="n"/>
      <c r="AB552" s="722" t="n"/>
      <c r="AC552" s="722" t="n"/>
    </row>
    <row r="553" ht="27" customHeight="1">
      <c r="A553" s="63" t="inlineStr">
        <is>
          <t>SU004381</t>
        </is>
      </c>
      <c r="B553" s="63" t="inlineStr">
        <is>
          <t>P005645</t>
        </is>
      </c>
      <c r="C553" s="36" t="n">
        <v>4301020441</v>
      </c>
      <c r="D553" s="723" t="n">
        <v>4680115889798</v>
      </c>
      <c r="E553" s="1031" t="n"/>
      <c r="F553" s="1070" t="n">
        <v>1.5</v>
      </c>
      <c r="G553" s="37" t="n">
        <v>8</v>
      </c>
      <c r="H553" s="1070" t="n">
        <v>12</v>
      </c>
      <c r="I553" s="1070" t="n">
        <v>12.41</v>
      </c>
      <c r="J553" s="37" t="n">
        <v>64</v>
      </c>
      <c r="K553" s="37" t="inlineStr">
        <is>
          <t>8</t>
        </is>
      </c>
      <c r="L553" s="37" t="inlineStr"/>
      <c r="M553" s="38" t="inlineStr">
        <is>
          <t>СК1</t>
        </is>
      </c>
      <c r="N553" s="38" t="n"/>
      <c r="O553" s="37" t="n">
        <v>50</v>
      </c>
      <c r="P553" s="1361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/>
      </c>
      <c r="Q553" s="1072" t="n"/>
      <c r="R553" s="1072" t="n"/>
      <c r="S553" s="1072" t="n"/>
      <c r="T553" s="1073" t="n"/>
      <c r="U553" s="39" t="inlineStr"/>
      <c r="V553" s="39" t="inlineStr"/>
      <c r="W553" s="40" t="inlineStr">
        <is>
          <t>кг</t>
        </is>
      </c>
      <c r="X553" s="1074" t="n">
        <v>0</v>
      </c>
      <c r="Y553" s="1075">
        <f>IFERROR(IF(X553="",0,CEILING((X553/$H553),1)*$H553),"")</f>
        <v/>
      </c>
      <c r="Z553" s="41">
        <f>IFERROR(IF(Y553=0,"",ROUNDUP(Y553/H553,0)*0.01898),"")</f>
        <v/>
      </c>
      <c r="AA553" s="68" t="inlineStr"/>
      <c r="AB553" s="69" t="inlineStr"/>
      <c r="AC553" s="650" t="inlineStr">
        <is>
          <t>ЕАЭС N RU Д-RU.РА06.В.56779/26</t>
        </is>
      </c>
      <c r="AG553" s="78" t="n"/>
      <c r="AJ553" s="84" t="inlineStr"/>
      <c r="AK553" s="84" t="n">
        <v>0</v>
      </c>
      <c r="BB553" s="651" t="inlineStr">
        <is>
          <t>КИ</t>
        </is>
      </c>
      <c r="BM553" s="78">
        <f>IFERROR(X553*I553/H553,"0")</f>
        <v/>
      </c>
      <c r="BN553" s="78">
        <f>IFERROR(Y553*I553/H553,"0")</f>
        <v/>
      </c>
      <c r="BO553" s="78">
        <f>IFERROR(1/J553*(X553/H553),"0")</f>
        <v/>
      </c>
      <c r="BP553" s="78">
        <f>IFERROR(1/J553*(Y553/H553),"0")</f>
        <v/>
      </c>
    </row>
    <row r="554">
      <c r="A554" s="732" t="n"/>
      <c r="B554" s="1019" t="n"/>
      <c r="C554" s="1019" t="n"/>
      <c r="D554" s="1019" t="n"/>
      <c r="E554" s="1019" t="n"/>
      <c r="F554" s="1019" t="n"/>
      <c r="G554" s="1019" t="n"/>
      <c r="H554" s="1019" t="n"/>
      <c r="I554" s="1019" t="n"/>
      <c r="J554" s="1019" t="n"/>
      <c r="K554" s="1019" t="n"/>
      <c r="L554" s="1019" t="n"/>
      <c r="M554" s="1019" t="n"/>
      <c r="N554" s="1019" t="n"/>
      <c r="O554" s="1077" t="n"/>
      <c r="P554" s="1078" t="inlineStr">
        <is>
          <t>Итого</t>
        </is>
      </c>
      <c r="Q554" s="1039" t="n"/>
      <c r="R554" s="1039" t="n"/>
      <c r="S554" s="1039" t="n"/>
      <c r="T554" s="1039" t="n"/>
      <c r="U554" s="1039" t="n"/>
      <c r="V554" s="1040" t="n"/>
      <c r="W554" s="42" t="inlineStr">
        <is>
          <t>кор</t>
        </is>
      </c>
      <c r="X554" s="1079">
        <f>IFERROR(X553/H553,"0")</f>
        <v/>
      </c>
      <c r="Y554" s="1079">
        <f>IFERROR(Y553/H553,"0")</f>
        <v/>
      </c>
      <c r="Z554" s="1079">
        <f>IFERROR(IF(Z553="",0,Z553),"0")</f>
        <v/>
      </c>
      <c r="AA554" s="1080" t="n"/>
      <c r="AB554" s="1080" t="n"/>
      <c r="AC554" s="1080" t="n"/>
    </row>
    <row r="555">
      <c r="A555" s="1019" t="n"/>
      <c r="B555" s="1019" t="n"/>
      <c r="C555" s="1019" t="n"/>
      <c r="D555" s="1019" t="n"/>
      <c r="E555" s="1019" t="n"/>
      <c r="F555" s="1019" t="n"/>
      <c r="G555" s="1019" t="n"/>
      <c r="H555" s="1019" t="n"/>
      <c r="I555" s="1019" t="n"/>
      <c r="J555" s="1019" t="n"/>
      <c r="K555" s="1019" t="n"/>
      <c r="L555" s="1019" t="n"/>
      <c r="M555" s="1019" t="n"/>
      <c r="N555" s="1019" t="n"/>
      <c r="O555" s="1077" t="n"/>
      <c r="P555" s="1078" t="inlineStr">
        <is>
          <t>Итого</t>
        </is>
      </c>
      <c r="Q555" s="1039" t="n"/>
      <c r="R555" s="1039" t="n"/>
      <c r="S555" s="1039" t="n"/>
      <c r="T555" s="1039" t="n"/>
      <c r="U555" s="1039" t="n"/>
      <c r="V555" s="1040" t="n"/>
      <c r="W555" s="42" t="inlineStr">
        <is>
          <t>кг</t>
        </is>
      </c>
      <c r="X555" s="1079">
        <f>IFERROR(SUM(X553:X553),"0")</f>
        <v/>
      </c>
      <c r="Y555" s="1079">
        <f>IFERROR(SUM(Y553:Y553),"0")</f>
        <v/>
      </c>
      <c r="Z555" s="42" t="n"/>
      <c r="AA555" s="1080" t="n"/>
      <c r="AB555" s="1080" t="n"/>
      <c r="AC555" s="1080" t="n"/>
    </row>
    <row r="556" ht="15" customHeight="1">
      <c r="A556" s="1017" t="n"/>
      <c r="B556" s="1019" t="n"/>
      <c r="C556" s="1019" t="n"/>
      <c r="D556" s="1019" t="n"/>
      <c r="E556" s="1019" t="n"/>
      <c r="F556" s="1019" t="n"/>
      <c r="G556" s="1019" t="n"/>
      <c r="H556" s="1019" t="n"/>
      <c r="I556" s="1019" t="n"/>
      <c r="J556" s="1019" t="n"/>
      <c r="K556" s="1019" t="n"/>
      <c r="L556" s="1019" t="n"/>
      <c r="M556" s="1019" t="n"/>
      <c r="N556" s="1019" t="n"/>
      <c r="O556" s="1028" t="n"/>
      <c r="P556" s="1362" t="inlineStr">
        <is>
          <t>ИТОГО НЕТТО</t>
        </is>
      </c>
      <c r="Q556" s="1022" t="n"/>
      <c r="R556" s="1022" t="n"/>
      <c r="S556" s="1022" t="n"/>
      <c r="T556" s="1022" t="n"/>
      <c r="U556" s="1022" t="n"/>
      <c r="V556" s="1023" t="n"/>
      <c r="W556" s="42" t="inlineStr">
        <is>
          <t>кг</t>
        </is>
      </c>
      <c r="X556" s="1079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/>
      </c>
      <c r="Y556" s="1079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/>
      </c>
      <c r="Z556" s="42" t="n"/>
      <c r="AA556" s="1080" t="n"/>
      <c r="AB556" s="1080" t="n"/>
      <c r="AC556" s="1080" t="n"/>
    </row>
    <row r="557">
      <c r="A557" s="1019" t="n"/>
      <c r="B557" s="1019" t="n"/>
      <c r="C557" s="1019" t="n"/>
      <c r="D557" s="1019" t="n"/>
      <c r="E557" s="1019" t="n"/>
      <c r="F557" s="1019" t="n"/>
      <c r="G557" s="1019" t="n"/>
      <c r="H557" s="1019" t="n"/>
      <c r="I557" s="1019" t="n"/>
      <c r="J557" s="1019" t="n"/>
      <c r="K557" s="1019" t="n"/>
      <c r="L557" s="1019" t="n"/>
      <c r="M557" s="1019" t="n"/>
      <c r="N557" s="1019" t="n"/>
      <c r="O557" s="1028" t="n"/>
      <c r="P557" s="1362" t="inlineStr">
        <is>
          <t>ИТОГО БРУТТО</t>
        </is>
      </c>
      <c r="Q557" s="1022" t="n"/>
      <c r="R557" s="1022" t="n"/>
      <c r="S557" s="1022" t="n"/>
      <c r="T557" s="1022" t="n"/>
      <c r="U557" s="1022" t="n"/>
      <c r="V557" s="1023" t="n"/>
      <c r="W557" s="42" t="inlineStr">
        <is>
          <t>кг</t>
        </is>
      </c>
      <c r="X557" s="1079">
        <f>IFERROR(SUM(BM22:BM553),"0")</f>
        <v/>
      </c>
      <c r="Y557" s="1079">
        <f>IFERROR(SUM(BN22:BN553),"0")</f>
        <v/>
      </c>
      <c r="Z557" s="42" t="n"/>
      <c r="AA557" s="1080" t="n"/>
      <c r="AB557" s="1080" t="n"/>
      <c r="AC557" s="1080" t="n"/>
    </row>
    <row r="558">
      <c r="A558" s="1019" t="n"/>
      <c r="B558" s="1019" t="n"/>
      <c r="C558" s="1019" t="n"/>
      <c r="D558" s="1019" t="n"/>
      <c r="E558" s="1019" t="n"/>
      <c r="F558" s="1019" t="n"/>
      <c r="G558" s="1019" t="n"/>
      <c r="H558" s="1019" t="n"/>
      <c r="I558" s="1019" t="n"/>
      <c r="J558" s="1019" t="n"/>
      <c r="K558" s="1019" t="n"/>
      <c r="L558" s="1019" t="n"/>
      <c r="M558" s="1019" t="n"/>
      <c r="N558" s="1019" t="n"/>
      <c r="O558" s="1028" t="n"/>
      <c r="P558" s="1362" t="inlineStr">
        <is>
          <t>Кол-во паллет</t>
        </is>
      </c>
      <c r="Q558" s="1022" t="n"/>
      <c r="R558" s="1022" t="n"/>
      <c r="S558" s="1022" t="n"/>
      <c r="T558" s="1022" t="n"/>
      <c r="U558" s="1022" t="n"/>
      <c r="V558" s="1023" t="n"/>
      <c r="W558" s="42" t="inlineStr">
        <is>
          <t>шт</t>
        </is>
      </c>
      <c r="X558" s="44">
        <f>ROUNDUP(SUM(BO22:BO553),0)</f>
        <v/>
      </c>
      <c r="Y558" s="44">
        <f>ROUNDUP(SUM(BP22:BP553),0)</f>
        <v/>
      </c>
      <c r="Z558" s="42" t="n"/>
      <c r="AA558" s="1080" t="n"/>
      <c r="AB558" s="1080" t="n"/>
      <c r="AC558" s="1080" t="n"/>
    </row>
    <row r="559">
      <c r="A559" s="1019" t="n"/>
      <c r="B559" s="1019" t="n"/>
      <c r="C559" s="1019" t="n"/>
      <c r="D559" s="1019" t="n"/>
      <c r="E559" s="1019" t="n"/>
      <c r="F559" s="1019" t="n"/>
      <c r="G559" s="1019" t="n"/>
      <c r="H559" s="1019" t="n"/>
      <c r="I559" s="1019" t="n"/>
      <c r="J559" s="1019" t="n"/>
      <c r="K559" s="1019" t="n"/>
      <c r="L559" s="1019" t="n"/>
      <c r="M559" s="1019" t="n"/>
      <c r="N559" s="1019" t="n"/>
      <c r="O559" s="1028" t="n"/>
      <c r="P559" s="1362" t="inlineStr">
        <is>
          <t>Вес брутто  с паллетами</t>
        </is>
      </c>
      <c r="Q559" s="1022" t="n"/>
      <c r="R559" s="1022" t="n"/>
      <c r="S559" s="1022" t="n"/>
      <c r="T559" s="1022" t="n"/>
      <c r="U559" s="1022" t="n"/>
      <c r="V559" s="1023" t="n"/>
      <c r="W559" s="42" t="inlineStr">
        <is>
          <t>кг</t>
        </is>
      </c>
      <c r="X559" s="1079">
        <f>GrossWeightTotal+PalletQtyTotal*25</f>
        <v/>
      </c>
      <c r="Y559" s="1079">
        <f>GrossWeightTotalR+PalletQtyTotalR*25</f>
        <v/>
      </c>
      <c r="Z559" s="42" t="n"/>
      <c r="AA559" s="1080" t="n"/>
      <c r="AB559" s="1080" t="n"/>
      <c r="AC559" s="1080" t="n"/>
    </row>
    <row r="560">
      <c r="A560" s="1019" t="n"/>
      <c r="B560" s="1019" t="n"/>
      <c r="C560" s="1019" t="n"/>
      <c r="D560" s="1019" t="n"/>
      <c r="E560" s="1019" t="n"/>
      <c r="F560" s="1019" t="n"/>
      <c r="G560" s="1019" t="n"/>
      <c r="H560" s="1019" t="n"/>
      <c r="I560" s="1019" t="n"/>
      <c r="J560" s="1019" t="n"/>
      <c r="K560" s="1019" t="n"/>
      <c r="L560" s="1019" t="n"/>
      <c r="M560" s="1019" t="n"/>
      <c r="N560" s="1019" t="n"/>
      <c r="O560" s="1028" t="n"/>
      <c r="P560" s="1362" t="inlineStr">
        <is>
          <t>Кол-во коробок</t>
        </is>
      </c>
      <c r="Q560" s="1022" t="n"/>
      <c r="R560" s="1022" t="n"/>
      <c r="S560" s="1022" t="n"/>
      <c r="T560" s="1022" t="n"/>
      <c r="U560" s="1022" t="n"/>
      <c r="V560" s="1023" t="n"/>
      <c r="W560" s="42" t="inlineStr">
        <is>
          <t>шт</t>
        </is>
      </c>
      <c r="X560" s="1079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/>
      </c>
      <c r="Y560" s="1079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/>
      </c>
      <c r="Z560" s="42" t="n"/>
      <c r="AA560" s="1080" t="n"/>
      <c r="AB560" s="1080" t="n"/>
      <c r="AC560" s="1080" t="n"/>
    </row>
    <row r="561" ht="14.25" customHeight="1">
      <c r="A561" s="1019" t="n"/>
      <c r="B561" s="1019" t="n"/>
      <c r="C561" s="1019" t="n"/>
      <c r="D561" s="1019" t="n"/>
      <c r="E561" s="1019" t="n"/>
      <c r="F561" s="1019" t="n"/>
      <c r="G561" s="1019" t="n"/>
      <c r="H561" s="1019" t="n"/>
      <c r="I561" s="1019" t="n"/>
      <c r="J561" s="1019" t="n"/>
      <c r="K561" s="1019" t="n"/>
      <c r="L561" s="1019" t="n"/>
      <c r="M561" s="1019" t="n"/>
      <c r="N561" s="1019" t="n"/>
      <c r="O561" s="1028" t="n"/>
      <c r="P561" s="1362" t="inlineStr">
        <is>
          <t>Объем заказа</t>
        </is>
      </c>
      <c r="Q561" s="1022" t="n"/>
      <c r="R561" s="1022" t="n"/>
      <c r="S561" s="1022" t="n"/>
      <c r="T561" s="1022" t="n"/>
      <c r="U561" s="1022" t="n"/>
      <c r="V561" s="1023" t="n"/>
      <c r="W561" s="45" t="inlineStr">
        <is>
          <t>м3</t>
        </is>
      </c>
      <c r="X561" s="42" t="n"/>
      <c r="Y561" s="42" t="n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/>
      </c>
      <c r="AA561" s="1080" t="n"/>
      <c r="AB561" s="1080" t="n"/>
      <c r="AC561" s="1080" t="n"/>
    </row>
    <row r="562" ht="13.5" customHeight="1" thickBot="1"/>
    <row r="563" ht="27" customHeight="1" thickBot="1" thickTop="1">
      <c r="A563" s="46" t="inlineStr">
        <is>
          <t>ТОРГОВАЯ МАРКА</t>
        </is>
      </c>
      <c r="B563" s="1018" t="inlineStr">
        <is>
          <t>Ядрена копоть</t>
        </is>
      </c>
      <c r="C563" s="1018" t="inlineStr">
        <is>
          <t>Горячая штучка</t>
        </is>
      </c>
      <c r="D563" s="1018" t="inlineStr">
        <is>
          <t>Вязанка</t>
        </is>
      </c>
      <c r="E563" s="1363" t="n"/>
      <c r="F563" s="1363" t="n"/>
      <c r="G563" s="1363" t="n"/>
      <c r="H563" s="1363" t="n"/>
      <c r="I563" s="1363" t="n"/>
      <c r="J563" s="1364" t="n"/>
      <c r="K563" s="1018" t="inlineStr">
        <is>
          <t>Стародворье</t>
        </is>
      </c>
      <c r="L563" s="1363" t="n"/>
      <c r="M563" s="1363" t="n"/>
      <c r="N563" s="1363" t="n"/>
      <c r="O563" s="1363" t="n"/>
      <c r="P563" s="1363" t="n"/>
      <c r="Q563" s="1363" t="n"/>
      <c r="R563" s="1363" t="n"/>
      <c r="S563" s="1363" t="n"/>
      <c r="T563" s="1363" t="n"/>
      <c r="U563" s="1363" t="n"/>
      <c r="V563" s="1364" t="n"/>
      <c r="W563" s="1018" t="inlineStr">
        <is>
          <t>Особый рецепт</t>
        </is>
      </c>
      <c r="X563" s="1364" t="n"/>
      <c r="Y563" s="1018" t="inlineStr">
        <is>
          <t>Баварушка</t>
        </is>
      </c>
      <c r="Z563" s="1364" t="n"/>
      <c r="AA563" s="1018" t="inlineStr">
        <is>
          <t>Дугушка</t>
        </is>
      </c>
      <c r="AB563" s="1018" t="inlineStr">
        <is>
          <t>Зареченские продукты</t>
        </is>
      </c>
      <c r="AC563" s="1364" t="n"/>
      <c r="AF563" s="1019" t="n"/>
    </row>
    <row r="564" ht="14.25" customHeight="1" thickTop="1">
      <c r="A564" s="1020" t="inlineStr">
        <is>
          <t>СЕРИЯ</t>
        </is>
      </c>
      <c r="B564" s="1018" t="inlineStr">
        <is>
          <t>Ядрена копоть</t>
        </is>
      </c>
      <c r="C564" s="1018" t="inlineStr">
        <is>
          <t>Горячая штучка КИ</t>
        </is>
      </c>
      <c r="D564" s="1018" t="inlineStr">
        <is>
          <t>ГОСТ</t>
        </is>
      </c>
      <c r="E564" s="1018" t="inlineStr">
        <is>
          <t>Филейская</t>
        </is>
      </c>
      <c r="F564" s="1018" t="inlineStr">
        <is>
          <t>Молокуша</t>
        </is>
      </c>
      <c r="G564" s="1018" t="inlineStr">
        <is>
          <t>Сливушка</t>
        </is>
      </c>
      <c r="H564" s="1018" t="inlineStr">
        <is>
          <t>Халяль</t>
        </is>
      </c>
      <c r="I564" s="1018" t="inlineStr">
        <is>
          <t>Хайперсы</t>
        </is>
      </c>
      <c r="J564" s="1018" t="inlineStr">
        <is>
          <t>Вязанка</t>
        </is>
      </c>
      <c r="K564" s="1018" t="inlineStr">
        <is>
          <t>Золоченная в печи</t>
        </is>
      </c>
      <c r="L564" s="1018" t="inlineStr">
        <is>
          <t>Мясорубская</t>
        </is>
      </c>
      <c r="M564" s="1018" t="inlineStr">
        <is>
          <t>Сочинка</t>
        </is>
      </c>
      <c r="N564" s="1019" t="n"/>
      <c r="O564" s="1018" t="inlineStr">
        <is>
          <t>Стародворская</t>
        </is>
      </c>
      <c r="P564" s="1018" t="inlineStr">
        <is>
          <t>Филедворская по-стародворски</t>
        </is>
      </c>
      <c r="Q564" s="1018" t="inlineStr">
        <is>
          <t>Сочинка по-баварски</t>
        </is>
      </c>
      <c r="R564" s="1018" t="inlineStr">
        <is>
          <t>Стародворская EDLP/EDPP</t>
        </is>
      </c>
      <c r="S564" s="1018" t="inlineStr">
        <is>
          <t>Тамбовская в обвязке</t>
        </is>
      </c>
      <c r="T564" s="1018" t="inlineStr">
        <is>
          <t>Бордо</t>
        </is>
      </c>
      <c r="U564" s="1018" t="inlineStr">
        <is>
          <t>Хорека</t>
        </is>
      </c>
      <c r="V564" s="1018" t="inlineStr">
        <is>
          <t>Бавария</t>
        </is>
      </c>
      <c r="W564" s="1018" t="inlineStr">
        <is>
          <t>Особая</t>
        </is>
      </c>
      <c r="X564" s="1018" t="inlineStr">
        <is>
          <t>Особая Без свинины</t>
        </is>
      </c>
      <c r="Y564" s="1018" t="inlineStr">
        <is>
          <t>Филейбургская</t>
        </is>
      </c>
      <c r="Z564" s="1018" t="inlineStr">
        <is>
          <t>Балыкбургская</t>
        </is>
      </c>
      <c r="AA564" s="1018" t="inlineStr">
        <is>
          <t>Дугушка</t>
        </is>
      </c>
      <c r="AB564" s="1018" t="inlineStr">
        <is>
          <t>Зареченские продукты</t>
        </is>
      </c>
      <c r="AC564" s="1018" t="inlineStr">
        <is>
          <t>Зареченские продукты Светофор</t>
        </is>
      </c>
      <c r="AF564" s="1019" t="n"/>
    </row>
    <row r="565" ht="13.5" customHeight="1" thickBot="1">
      <c r="A565" s="1365" t="n"/>
      <c r="B565" s="1366" t="n"/>
      <c r="C565" s="1366" t="n"/>
      <c r="D565" s="1366" t="n"/>
      <c r="E565" s="1366" t="n"/>
      <c r="F565" s="1366" t="n"/>
      <c r="G565" s="1366" t="n"/>
      <c r="H565" s="1366" t="n"/>
      <c r="I565" s="1366" t="n"/>
      <c r="J565" s="1366" t="n"/>
      <c r="K565" s="1366" t="n"/>
      <c r="L565" s="1366" t="n"/>
      <c r="M565" s="1366" t="n"/>
      <c r="N565" s="1019" t="n"/>
      <c r="O565" s="1366" t="n"/>
      <c r="P565" s="1366" t="n"/>
      <c r="Q565" s="1366" t="n"/>
      <c r="R565" s="1366" t="n"/>
      <c r="S565" s="1366" t="n"/>
      <c r="T565" s="1366" t="n"/>
      <c r="U565" s="1366" t="n"/>
      <c r="V565" s="1366" t="n"/>
      <c r="W565" s="1366" t="n"/>
      <c r="X565" s="1366" t="n"/>
      <c r="Y565" s="1366" t="n"/>
      <c r="Z565" s="1366" t="n"/>
      <c r="AA565" s="1366" t="n"/>
      <c r="AB565" s="1366" t="n"/>
      <c r="AC565" s="1366" t="n"/>
      <c r="AF565" s="1019" t="n"/>
    </row>
    <row r="566" ht="18" customHeight="1" thickBot="1" thickTop="1">
      <c r="A566" s="46" t="inlineStr">
        <is>
          <t>ИТОГО, кг</t>
        </is>
      </c>
      <c r="B566" s="52">
        <f>IFERROR(Y22*1,"0")+IFERROR(Y23*1,"0")+IFERROR(Y27*1,"0")+IFERROR(Y28*1,"0")+IFERROR(Y29*1,"0")+IFERROR(Y30*1,"0")+IFERROR(Y31*1,"0")</f>
        <v/>
      </c>
      <c r="C566" s="52">
        <f>IFERROR(Y37*1,"0")+IFERROR(Y38*1,"0")+IFERROR(Y39*1,"0")+IFERROR(Y40*1,"0")+IFERROR(Y41*1,"0")</f>
        <v/>
      </c>
      <c r="D566" s="52">
        <f>IFERROR(Y47*1,"0")+IFERROR(Y48*1,"0")+IFERROR(Y49*1,"0")+IFERROR(Y50*1,"0")</f>
        <v/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/>
      </c>
      <c r="F566" s="52">
        <f>IFERROR(Y88*1,"0")+IFERROR(Y89*1,"0")+IFERROR(Y90*1,"0")+IFERROR(Y91*1,"0")+IFERROR(Y92*1,"0")+IFERROR(Y96*1,"0")+IFERROR(Y97*1,"0")+IFERROR(Y98*1,"0")+IFERROR(Y99*1,"0")</f>
        <v/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/>
      </c>
      <c r="H566" s="52">
        <f>IFERROR(Y134*1,"0")+IFERROR(Y135*1,"0")+IFERROR(Y139*1,"0")+IFERROR(Y140*1,"0")+IFERROR(Y144*1,"0")+IFERROR(Y145*1,"0")</f>
        <v/>
      </c>
      <c r="I566" s="52">
        <f>IFERROR(Y150*1,"0")+IFERROR(Y151*1,"0")+IFERROR(Y152*1,"0")+IFERROR(Y153*1,"0")+IFERROR(Y154*1,"0")+IFERROR(Y155*1,"0")+IFERROR(Y159*1,"0")</f>
        <v/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/>
      </c>
      <c r="K566" s="52">
        <f>IFERROR(Y206*1,"0")+IFERROR(Y207*1,"0")+IFERROR(Y208*1,"0")+IFERROR(Y209*1,"0")+IFERROR(Y210*1,"0")+IFERROR(Y211*1,"0")+IFERROR(Y212*1,"0")</f>
        <v/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/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/>
      </c>
      <c r="N566" s="1019" t="n"/>
      <c r="O566" s="52">
        <f>IFERROR(Y304*1,"0")+IFERROR(Y305*1,"0")+IFERROR(Y306*1,"0")+IFERROR(Y307*1,"0")+IFERROR(Y308*1,"0")+IFERROR(Y309*1,"0")+IFERROR(Y310*1,"0")+IFERROR(Y314*1,"0")+IFERROR(Y318*1,"0")+IFERROR(Y322*1,"0")</f>
        <v/>
      </c>
      <c r="P566" s="52">
        <f>IFERROR(Y327*1,"0")+IFERROR(Y328*1,"0")+IFERROR(Y329*1,"0")+IFERROR(Y330*1,"0")+IFERROR(Y331*1,"0")+IFERROR(Y332*1,"0")</f>
        <v/>
      </c>
      <c r="Q566" s="52">
        <f>IFERROR(Y337*1,"0")+IFERROR(Y338*1,"0")+IFERROR(Y339*1,"0")</f>
        <v/>
      </c>
      <c r="R566" s="52">
        <f>IFERROR(Y344*1,"0")+IFERROR(Y345*1,"0")+IFERROR(Y346*1,"0")+IFERROR(Y347*1,"0")+IFERROR(Y348*1,"0")+IFERROR(Y352*1,"0")+IFERROR(Y353*1,"0")</f>
        <v/>
      </c>
      <c r="S566" s="52">
        <f>IFERROR(Y358*1,"0")+IFERROR(Y359*1,"0")+IFERROR(Y360*1,"0")</f>
        <v/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/>
      </c>
      <c r="U566" s="52">
        <f>IFERROR(Y418*1,"0")+IFERROR(Y419*1,"0")</f>
        <v/>
      </c>
      <c r="V566" s="52">
        <f>IFERROR(Y424*1,"0")+IFERROR(Y425*1,"0")+IFERROR(Y426*1,"0")</f>
        <v/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/>
      </c>
      <c r="X566" s="52">
        <f>IFERROR(Y461*1,"0")+IFERROR(Y462*1,"0")+IFERROR(Y466*1,"0")+IFERROR(Y470*1,"0")+IFERROR(Y471*1,"0")+IFERROR(Y472*1,"0")</f>
        <v/>
      </c>
      <c r="Y566" s="52">
        <f>IFERROR(Y478*1,"0")+IFERROR(Y479*1,"0")+IFERROR(Y480*1,"0")+IFERROR(Y481*1,"0")+IFERROR(Y482*1,"0")+IFERROR(Y483*1,"0")+IFERROR(Y487*1,"0")+IFERROR(Y488*1,"0")</f>
        <v/>
      </c>
      <c r="Z566" s="52">
        <f>IFERROR(Y493*1,"0")+IFERROR(Y497*1,"0")+IFERROR(Y498*1,"0")+IFERROR(Y499*1,"0")</f>
        <v/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/>
      </c>
      <c r="AB566" s="52">
        <f>IFERROR(Y535*1,"0")+IFERROR(Y539*1,"0")+IFERROR(Y543*1,"0")+IFERROR(Y547*1,"0")+IFERROR(Y548*1,"0")</f>
        <v/>
      </c>
      <c r="AC566" s="52">
        <f>IFERROR(Y553*1,"0")</f>
        <v/>
      </c>
      <c r="AF566" s="1019" t="n"/>
    </row>
    <row r="567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bj+lW8bdAsDxdhKz0McOg==" formatRows="1" sort="0" spinCount="100000" hashValue="coXbeZf1sK3NMelxCAJcdDjix/Kob82rwl7htMyuktOrmwBfDvQMLQHpJyA2dXJSe7/7/TNipVdbFIwCOUtpJ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99"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376:E376"/>
    <mergeCell ref="P172:T172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P432:T432"/>
    <mergeCell ref="D98:E98"/>
    <mergeCell ref="P152:T152"/>
    <mergeCell ref="P30:T30"/>
    <mergeCell ref="P446:V446"/>
    <mergeCell ref="P464:V464"/>
    <mergeCell ref="P402:V402"/>
    <mergeCell ref="P290:T290"/>
    <mergeCell ref="P141:V141"/>
    <mergeCell ref="A311:O312"/>
    <mergeCell ref="P275:T275"/>
    <mergeCell ref="P168:V168"/>
    <mergeCell ref="P104:T104"/>
    <mergeCell ref="B17:B18"/>
    <mergeCell ref="D479:E479"/>
    <mergeCell ref="P248:V248"/>
    <mergeCell ref="P441:V441"/>
    <mergeCell ref="A266:Z266"/>
    <mergeCell ref="A431:Z431"/>
    <mergeCell ref="A260:Z260"/>
    <mergeCell ref="A502:Z502"/>
    <mergeCell ref="D543:E543"/>
    <mergeCell ref="D518:E518"/>
    <mergeCell ref="P252:T252"/>
    <mergeCell ref="D124:E124"/>
    <mergeCell ref="P81:T81"/>
    <mergeCell ref="P379:T379"/>
    <mergeCell ref="P56:T56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D47:E47"/>
    <mergeCell ref="A473:O474"/>
    <mergeCell ref="D411:E411"/>
    <mergeCell ref="D482:E482"/>
    <mergeCell ref="D289:E289"/>
    <mergeCell ref="A149:Z149"/>
    <mergeCell ref="P395:V395"/>
    <mergeCell ref="P209:T209"/>
    <mergeCell ref="W563:X563"/>
    <mergeCell ref="P445:T445"/>
    <mergeCell ref="A193:O194"/>
    <mergeCell ref="A264:O265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P485:V485"/>
    <mergeCell ref="D366:E366"/>
    <mergeCell ref="P31:T31"/>
    <mergeCell ref="P329:T329"/>
    <mergeCell ref="D139:E139"/>
    <mergeCell ref="D406:E406"/>
    <mergeCell ref="A446:O447"/>
    <mergeCell ref="P530:V530"/>
    <mergeCell ref="P527:T527"/>
    <mergeCell ref="P331:T331"/>
    <mergeCell ref="D470:E470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K564:K565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67:E67"/>
    <mergeCell ref="D55:E55"/>
    <mergeCell ref="D30:E30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K563:V563"/>
    <mergeCell ref="P33:V33"/>
    <mergeCell ref="D527:E527"/>
    <mergeCell ref="P264:V264"/>
    <mergeCell ref="P93:V93"/>
    <mergeCell ref="J564:J565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D387:E387"/>
    <mergeCell ref="D443:E443"/>
    <mergeCell ref="P400:T400"/>
    <mergeCell ref="A516:Z516"/>
    <mergeCell ref="D381:E381"/>
    <mergeCell ref="D272:E272"/>
    <mergeCell ref="D210:E210"/>
    <mergeCell ref="D308:E308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A26:Z26"/>
    <mergeCell ref="P401:T401"/>
    <mergeCell ref="P268:T268"/>
    <mergeCell ref="P339:T339"/>
    <mergeCell ref="P230:T230"/>
    <mergeCell ref="D211:E211"/>
    <mergeCell ref="P466:T466"/>
    <mergeCell ref="P130:V130"/>
    <mergeCell ref="P97:T97"/>
    <mergeCell ref="A313:Z313"/>
    <mergeCell ref="P47:T47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557:V557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63:T63"/>
    <mergeCell ref="P50:T50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I17:I18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72:E72"/>
    <mergeCell ref="D235:E235"/>
    <mergeCell ref="P214:V214"/>
    <mergeCell ref="P270:V270"/>
    <mergeCell ref="A95:Z95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D517:E517"/>
    <mergeCell ref="P117:T117"/>
    <mergeCell ref="P55:T55"/>
    <mergeCell ref="P182:T182"/>
    <mergeCell ref="P480:T480"/>
    <mergeCell ref="Q12:R12"/>
    <mergeCell ref="D90:E90"/>
    <mergeCell ref="P411:T411"/>
    <mergeCell ref="D388:E388"/>
    <mergeCell ref="A130:O131"/>
    <mergeCell ref="P489:V489"/>
    <mergeCell ref="P354:V354"/>
    <mergeCell ref="P246:T246"/>
    <mergeCell ref="P127:V127"/>
    <mergeCell ref="P198:V198"/>
    <mergeCell ref="A250:Z250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D401:E401"/>
    <mergeCell ref="P358:T358"/>
    <mergeCell ref="D339:E339"/>
    <mergeCell ref="D230:E230"/>
    <mergeCell ref="D466:E466"/>
    <mergeCell ref="D180:E180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P524:T524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A44:Z44"/>
    <mergeCell ref="P146:V146"/>
    <mergeCell ref="D63:E63"/>
    <mergeCell ref="D330:E330"/>
    <mergeCell ref="P540:V540"/>
    <mergeCell ref="P305:T305"/>
    <mergeCell ref="D96:E96"/>
    <mergeCell ref="P515:V515"/>
    <mergeCell ref="A372:O373"/>
    <mergeCell ref="A201:O202"/>
    <mergeCell ref="P513:T513"/>
    <mergeCell ref="A162:Z162"/>
    <mergeCell ref="P408:V408"/>
    <mergeCell ref="D27:E27"/>
    <mergeCell ref="P208:T208"/>
    <mergeCell ref="P15:T16"/>
    <mergeCell ref="P450:T450"/>
    <mergeCell ref="D456:E456"/>
    <mergeCell ref="D116:E116"/>
    <mergeCell ref="D352:E352"/>
    <mergeCell ref="P419:T419"/>
    <mergeCell ref="D91:E91"/>
    <mergeCell ref="P23:T23"/>
    <mergeCell ref="A335:Z335"/>
    <mergeCell ref="A536:O537"/>
    <mergeCell ref="A340:O341"/>
    <mergeCell ref="D327:E327"/>
    <mergeCell ref="D398:E398"/>
    <mergeCell ref="P272:T272"/>
    <mergeCell ref="P210:T210"/>
    <mergeCell ref="P308:T308"/>
    <mergeCell ref="P185:T185"/>
    <mergeCell ref="D106:E106"/>
    <mergeCell ref="A146:O147"/>
    <mergeCell ref="P283:T283"/>
    <mergeCell ref="P277:T277"/>
    <mergeCell ref="P519:T519"/>
    <mergeCell ref="A195:Z195"/>
    <mergeCell ref="P122:T122"/>
    <mergeCell ref="P484:V484"/>
    <mergeCell ref="D328:E328"/>
    <mergeCell ref="P285:T285"/>
    <mergeCell ref="P136:V136"/>
    <mergeCell ref="P65:V65"/>
    <mergeCell ref="D251:E251"/>
    <mergeCell ref="A53:Z53"/>
    <mergeCell ref="A12:M12"/>
    <mergeCell ref="P355:V355"/>
    <mergeCell ref="D487:E487"/>
    <mergeCell ref="A538:Z538"/>
    <mergeCell ref="A416:Z416"/>
    <mergeCell ref="A514:O515"/>
    <mergeCell ref="A19:Z19"/>
    <mergeCell ref="P310:T310"/>
    <mergeCell ref="D182:E182"/>
    <mergeCell ref="A489:O490"/>
    <mergeCell ref="D480:E480"/>
    <mergeCell ref="A160:O161"/>
    <mergeCell ref="D109:E109"/>
    <mergeCell ref="A14:M14"/>
    <mergeCell ref="P424:T424"/>
    <mergeCell ref="D345:E345"/>
    <mergeCell ref="A280:O281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P254:V254"/>
    <mergeCell ref="A549:O550"/>
    <mergeCell ref="A349:O350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554:V554"/>
    <mergeCell ref="P383:V383"/>
    <mergeCell ref="D371:E371"/>
    <mergeCell ref="P84:V84"/>
    <mergeCell ref="P320:V320"/>
    <mergeCell ref="P447:V447"/>
    <mergeCell ref="P387:T387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59:E59"/>
    <mergeCell ref="D178:E178"/>
    <mergeCell ref="D172:E172"/>
    <mergeCell ref="A156:O157"/>
    <mergeCell ref="P88:T88"/>
    <mergeCell ref="P153:T153"/>
    <mergeCell ref="P511:T511"/>
    <mergeCell ref="A261:Z261"/>
    <mergeCell ref="A546:Z546"/>
    <mergeCell ref="A138:Z138"/>
    <mergeCell ref="P373:V373"/>
    <mergeCell ref="P202:V202"/>
    <mergeCell ref="P380:T380"/>
    <mergeCell ref="P500:V500"/>
    <mergeCell ref="A496:Z496"/>
    <mergeCell ref="A325:Z325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179:T179"/>
    <mergeCell ref="D125:E125"/>
    <mergeCell ref="J9:M9"/>
    <mergeCell ref="D283:E283"/>
    <mergeCell ref="D112:E112"/>
    <mergeCell ref="A356:Z356"/>
    <mergeCell ref="D519:E519"/>
    <mergeCell ref="P389:V389"/>
    <mergeCell ref="D348:E348"/>
    <mergeCell ref="D62:E62"/>
    <mergeCell ref="D56:E56"/>
    <mergeCell ref="P377:T377"/>
    <mergeCell ref="P206:T206"/>
    <mergeCell ref="P233:T233"/>
    <mergeCell ref="P37:T37"/>
    <mergeCell ref="D347:E347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157:V157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P159:T159"/>
    <mergeCell ref="D140:E140"/>
    <mergeCell ref="P517:T517"/>
    <mergeCell ref="D438:E438"/>
    <mergeCell ref="D509:E509"/>
    <mergeCell ref="D267:E267"/>
    <mergeCell ref="D425:E425"/>
    <mergeCell ref="D359:E359"/>
    <mergeCell ref="A486:Z486"/>
    <mergeCell ref="P531:V531"/>
    <mergeCell ref="P96:T96"/>
    <mergeCell ref="P90:T90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560:V560"/>
    <mergeCell ref="A78:O79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521:V521"/>
    <mergeCell ref="Z17:Z18"/>
    <mergeCell ref="P173:V173"/>
    <mergeCell ref="A54:Z54"/>
    <mergeCell ref="AB17:AB18"/>
    <mergeCell ref="P100:V100"/>
    <mergeCell ref="E564:E565"/>
    <mergeCell ref="P265:V265"/>
    <mergeCell ref="P458:V458"/>
    <mergeCell ref="G564:G565"/>
    <mergeCell ref="P94:V94"/>
    <mergeCell ref="A448:Z448"/>
    <mergeCell ref="P550:V550"/>
    <mergeCell ref="P237:V237"/>
    <mergeCell ref="D367:E367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512:E512"/>
    <mergeCell ref="P525:T525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P42:V42"/>
    <mergeCell ref="A452:O453"/>
    <mergeCell ref="D288:E288"/>
    <mergeCell ref="A532:Z532"/>
    <mergeCell ref="P59:T59"/>
    <mergeCell ref="P421:V421"/>
    <mergeCell ref="A271:Z271"/>
    <mergeCell ref="P190:T190"/>
    <mergeCell ref="D434:E434"/>
    <mergeCell ref="P488:T48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P48:T48"/>
    <mergeCell ref="D292:E292"/>
    <mergeCell ref="P346:T346"/>
    <mergeCell ref="D227:E227"/>
    <mergeCell ref="A463:O464"/>
    <mergeCell ref="D525:E525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D529:E529"/>
    <mergeCell ref="P537:V537"/>
    <mergeCell ref="D358:E358"/>
    <mergeCell ref="A460:Z460"/>
    <mergeCell ref="A454:Z454"/>
    <mergeCell ref="A556:O561"/>
    <mergeCell ref="P32:V32"/>
    <mergeCell ref="P474:V474"/>
    <mergeCell ref="Q13:R13"/>
    <mergeCell ref="D318:E318"/>
    <mergeCell ref="A391:Z391"/>
    <mergeCell ref="A220:Z220"/>
    <mergeCell ref="P139:T139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P478:T478"/>
    <mergeCell ref="P278:T278"/>
    <mergeCell ref="D150:E150"/>
    <mergeCell ref="A402:O403"/>
    <mergeCell ref="P107:T107"/>
    <mergeCell ref="D386:E386"/>
    <mergeCell ref="P194:V194"/>
    <mergeCell ref="D513:E513"/>
    <mergeCell ref="A75:Z75"/>
    <mergeCell ref="A317:Z317"/>
    <mergeCell ref="A168:O169"/>
    <mergeCell ref="M17:M18"/>
    <mergeCell ref="A469:Z469"/>
    <mergeCell ref="O17:O18"/>
    <mergeCell ref="P131:V131"/>
    <mergeCell ref="P187:V187"/>
    <mergeCell ref="P258:V258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D247:E247"/>
    <mergeCell ref="P495:V495"/>
    <mergeCell ref="A494:O495"/>
    <mergeCell ref="A534:Z534"/>
    <mergeCell ref="P439:T439"/>
    <mergeCell ref="P433:T433"/>
    <mergeCell ref="D276:E27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P499:T499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P160:V160"/>
    <mergeCell ref="D483:E483"/>
    <mergeCell ref="A42:O43"/>
    <mergeCell ref="P83:T83"/>
    <mergeCell ref="V12:W12"/>
    <mergeCell ref="D191:E191"/>
    <mergeCell ref="D433:E433"/>
    <mergeCell ref="D262:E262"/>
    <mergeCell ref="P368:T368"/>
    <mergeCell ref="P43:V43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D57:E57"/>
    <mergeCell ref="P124:T124"/>
    <mergeCell ref="Y17:Y18"/>
    <mergeCell ref="U17:V17"/>
    <mergeCell ref="D293:E293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D344:E344"/>
    <mergeCell ref="D17:E18"/>
    <mergeCell ref="A213:O214"/>
    <mergeCell ref="D471:E471"/>
    <mergeCell ref="P71:T71"/>
    <mergeCell ref="D123:E123"/>
    <mergeCell ref="P307:T307"/>
    <mergeCell ref="I564:I565"/>
    <mergeCell ref="P444:T444"/>
    <mergeCell ref="D50:E50"/>
    <mergeCell ref="P58:T58"/>
    <mergeCell ref="D110:E110"/>
    <mergeCell ref="X17:X18"/>
    <mergeCell ref="C564:C565"/>
    <mergeCell ref="D286:E286"/>
    <mergeCell ref="D563:J563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nDICKMhLPxN//MLW16yI/Q==" formatRows="1" sort="0" spinCount="100000" hashValue="B93oJhifF/sMnCN8G9wvfYtYlCAhPCV+Yp3shOj0HtsbAMsGLvHmQK013Zq5mXGp3SZWX4TLcoSUWuQcEbc/Wg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2026-09-23T11:28:02Z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