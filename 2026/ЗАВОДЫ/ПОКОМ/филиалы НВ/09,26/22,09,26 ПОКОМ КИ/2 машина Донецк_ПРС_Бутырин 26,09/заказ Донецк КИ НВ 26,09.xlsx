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36AE5C5-0B56-49BD-9FDF-6E7DA173F98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5" i="1" l="1"/>
  <c r="X554" i="1"/>
  <c r="BO553" i="1"/>
  <c r="BM553" i="1"/>
  <c r="Y553" i="1"/>
  <c r="P553" i="1"/>
  <c r="X550" i="1"/>
  <c r="X549" i="1"/>
  <c r="BO548" i="1"/>
  <c r="BM548" i="1"/>
  <c r="Y548" i="1"/>
  <c r="P548" i="1"/>
  <c r="BO547" i="1"/>
  <c r="BM547" i="1"/>
  <c r="Y547" i="1"/>
  <c r="Y549" i="1" s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AB566" i="1" s="1"/>
  <c r="P535" i="1"/>
  <c r="X531" i="1"/>
  <c r="X530" i="1"/>
  <c r="BO529" i="1"/>
  <c r="BM529" i="1"/>
  <c r="Y529" i="1"/>
  <c r="P529" i="1"/>
  <c r="BP528" i="1"/>
  <c r="BO528" i="1"/>
  <c r="BN528" i="1"/>
  <c r="BM528" i="1"/>
  <c r="Z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X474" i="1"/>
  <c r="X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8" i="1"/>
  <c r="Y457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X421" i="1"/>
  <c r="Y420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Y395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P358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Z285" i="1"/>
  <c r="Y285" i="1"/>
  <c r="P285" i="1"/>
  <c r="BO284" i="1"/>
  <c r="BM284" i="1"/>
  <c r="Y284" i="1"/>
  <c r="P284" i="1"/>
  <c r="BO283" i="1"/>
  <c r="BM283" i="1"/>
  <c r="Y283" i="1"/>
  <c r="BP283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70" i="1"/>
  <c r="X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X255" i="1"/>
  <c r="X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X249" i="1"/>
  <c r="X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X237" i="1"/>
  <c r="X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Y142" i="1" s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X131" i="1"/>
  <c r="X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Y127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O88" i="1"/>
  <c r="BM88" i="1"/>
  <c r="Y88" i="1"/>
  <c r="BP88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BP82" i="1" s="1"/>
  <c r="P82" i="1"/>
  <c r="BO81" i="1"/>
  <c r="BM81" i="1"/>
  <c r="Y81" i="1"/>
  <c r="Y85" i="1" s="1"/>
  <c r="P81" i="1"/>
  <c r="X79" i="1"/>
  <c r="X78" i="1"/>
  <c r="BP77" i="1"/>
  <c r="BO77" i="1"/>
  <c r="BN77" i="1"/>
  <c r="BM77" i="1"/>
  <c r="Z77" i="1"/>
  <c r="Y77" i="1"/>
  <c r="P77" i="1"/>
  <c r="BO76" i="1"/>
  <c r="BM76" i="1"/>
  <c r="Y76" i="1"/>
  <c r="Y79" i="1" s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Y67" i="1"/>
  <c r="Y73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60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J9" i="1"/>
  <c r="F9" i="1"/>
  <c r="A9" i="1"/>
  <c r="A10" i="1" s="1"/>
  <c r="D7" i="1"/>
  <c r="Q6" i="1"/>
  <c r="P2" i="1"/>
  <c r="BP294" i="1" l="1"/>
  <c r="BN294" i="1"/>
  <c r="Z294" i="1"/>
  <c r="BP309" i="1"/>
  <c r="BN309" i="1"/>
  <c r="Z309" i="1"/>
  <c r="BP337" i="1"/>
  <c r="BN337" i="1"/>
  <c r="Z337" i="1"/>
  <c r="BP352" i="1"/>
  <c r="BN352" i="1"/>
  <c r="Z352" i="1"/>
  <c r="BP370" i="1"/>
  <c r="BN370" i="1"/>
  <c r="Z370" i="1"/>
  <c r="BP386" i="1"/>
  <c r="BN386" i="1"/>
  <c r="Z386" i="1"/>
  <c r="BP400" i="1"/>
  <c r="BN400" i="1"/>
  <c r="Z400" i="1"/>
  <c r="BP426" i="1"/>
  <c r="BN426" i="1"/>
  <c r="Z426" i="1"/>
  <c r="BP438" i="1"/>
  <c r="BN438" i="1"/>
  <c r="Z438" i="1"/>
  <c r="BP471" i="1"/>
  <c r="BN471" i="1"/>
  <c r="Z471" i="1"/>
  <c r="BP487" i="1"/>
  <c r="BN487" i="1"/>
  <c r="Z487" i="1"/>
  <c r="BP510" i="1"/>
  <c r="BN510" i="1"/>
  <c r="Z510" i="1"/>
  <c r="BP526" i="1"/>
  <c r="BN526" i="1"/>
  <c r="Z526" i="1"/>
  <c r="Z22" i="1"/>
  <c r="BN22" i="1"/>
  <c r="Y32" i="1"/>
  <c r="Z30" i="1"/>
  <c r="BN30" i="1"/>
  <c r="C566" i="1"/>
  <c r="Z40" i="1"/>
  <c r="BN40" i="1"/>
  <c r="D566" i="1"/>
  <c r="Z50" i="1"/>
  <c r="BN50" i="1"/>
  <c r="Z57" i="1"/>
  <c r="BN57" i="1"/>
  <c r="Z61" i="1"/>
  <c r="BN61" i="1"/>
  <c r="Z67" i="1"/>
  <c r="BN67" i="1"/>
  <c r="BP67" i="1"/>
  <c r="Z71" i="1"/>
  <c r="BN71" i="1"/>
  <c r="Z81" i="1"/>
  <c r="Z84" i="1" s="1"/>
  <c r="BN81" i="1"/>
  <c r="BP81" i="1"/>
  <c r="Z88" i="1"/>
  <c r="BN88" i="1"/>
  <c r="Z92" i="1"/>
  <c r="BN92" i="1"/>
  <c r="Y100" i="1"/>
  <c r="Z98" i="1"/>
  <c r="BN98" i="1"/>
  <c r="G566" i="1"/>
  <c r="Z107" i="1"/>
  <c r="BN107" i="1"/>
  <c r="Z111" i="1"/>
  <c r="BN111" i="1"/>
  <c r="Y119" i="1"/>
  <c r="Z123" i="1"/>
  <c r="BN123" i="1"/>
  <c r="Z129" i="1"/>
  <c r="Z130" i="1" s="1"/>
  <c r="BN129" i="1"/>
  <c r="BP129" i="1"/>
  <c r="Y130" i="1"/>
  <c r="Z134" i="1"/>
  <c r="BN134" i="1"/>
  <c r="Z144" i="1"/>
  <c r="BN144" i="1"/>
  <c r="BP144" i="1"/>
  <c r="I566" i="1"/>
  <c r="Z153" i="1"/>
  <c r="BN153" i="1"/>
  <c r="Z159" i="1"/>
  <c r="Z160" i="1" s="1"/>
  <c r="BN159" i="1"/>
  <c r="BP159" i="1"/>
  <c r="Y160" i="1"/>
  <c r="Z164" i="1"/>
  <c r="BN164" i="1"/>
  <c r="Z172" i="1"/>
  <c r="BN172" i="1"/>
  <c r="Z178" i="1"/>
  <c r="BN178" i="1"/>
  <c r="Z181" i="1"/>
  <c r="BN181" i="1"/>
  <c r="Z185" i="1"/>
  <c r="BN185" i="1"/>
  <c r="Z207" i="1"/>
  <c r="BN207" i="1"/>
  <c r="Z211" i="1"/>
  <c r="BN211" i="1"/>
  <c r="Z224" i="1"/>
  <c r="BN224" i="1"/>
  <c r="Z228" i="1"/>
  <c r="BN228" i="1"/>
  <c r="Z232" i="1"/>
  <c r="BN232" i="1"/>
  <c r="Z240" i="1"/>
  <c r="BN240" i="1"/>
  <c r="Z244" i="1"/>
  <c r="BN244" i="1"/>
  <c r="Z252" i="1"/>
  <c r="BN252" i="1"/>
  <c r="Z273" i="1"/>
  <c r="BN273" i="1"/>
  <c r="Z277" i="1"/>
  <c r="BN277" i="1"/>
  <c r="Z283" i="1"/>
  <c r="BN283" i="1"/>
  <c r="Z286" i="1"/>
  <c r="BN286" i="1"/>
  <c r="Z290" i="1"/>
  <c r="BN290" i="1"/>
  <c r="BP305" i="1"/>
  <c r="BN305" i="1"/>
  <c r="Z305" i="1"/>
  <c r="BP330" i="1"/>
  <c r="BN330" i="1"/>
  <c r="Z330" i="1"/>
  <c r="Y340" i="1"/>
  <c r="BP346" i="1"/>
  <c r="BN346" i="1"/>
  <c r="Z346" i="1"/>
  <c r="BP366" i="1"/>
  <c r="BN366" i="1"/>
  <c r="Z366" i="1"/>
  <c r="BP378" i="1"/>
  <c r="BN378" i="1"/>
  <c r="Z378" i="1"/>
  <c r="Y396" i="1"/>
  <c r="BP392" i="1"/>
  <c r="BN392" i="1"/>
  <c r="Z392" i="1"/>
  <c r="BP412" i="1"/>
  <c r="BN412" i="1"/>
  <c r="Z412" i="1"/>
  <c r="BP434" i="1"/>
  <c r="BN434" i="1"/>
  <c r="Z434" i="1"/>
  <c r="BP450" i="1"/>
  <c r="BN450" i="1"/>
  <c r="Z450" i="1"/>
  <c r="BP481" i="1"/>
  <c r="BN481" i="1"/>
  <c r="Z481" i="1"/>
  <c r="BP506" i="1"/>
  <c r="BN506" i="1"/>
  <c r="Z506" i="1"/>
  <c r="BP518" i="1"/>
  <c r="BN518" i="1"/>
  <c r="Z518" i="1"/>
  <c r="BP548" i="1"/>
  <c r="BN548" i="1"/>
  <c r="Z548" i="1"/>
  <c r="AC566" i="1"/>
  <c r="Y554" i="1"/>
  <c r="BP553" i="1"/>
  <c r="BN553" i="1"/>
  <c r="Z553" i="1"/>
  <c r="Z554" i="1" s="1"/>
  <c r="Y300" i="1"/>
  <c r="Y25" i="1"/>
  <c r="Y33" i="1"/>
  <c r="Y43" i="1"/>
  <c r="Y51" i="1"/>
  <c r="Y64" i="1"/>
  <c r="Y74" i="1"/>
  <c r="Y78" i="1"/>
  <c r="Y84" i="1"/>
  <c r="Y93" i="1"/>
  <c r="Y101" i="1"/>
  <c r="Y114" i="1"/>
  <c r="Y120" i="1"/>
  <c r="Y126" i="1"/>
  <c r="Y137" i="1"/>
  <c r="Y141" i="1"/>
  <c r="Y147" i="1"/>
  <c r="Y156" i="1"/>
  <c r="Y169" i="1"/>
  <c r="Y173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6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Y237" i="1"/>
  <c r="Y248" i="1"/>
  <c r="BP239" i="1"/>
  <c r="BN239" i="1"/>
  <c r="Z239" i="1"/>
  <c r="BP243" i="1"/>
  <c r="BN243" i="1"/>
  <c r="Z243" i="1"/>
  <c r="BP247" i="1"/>
  <c r="BN247" i="1"/>
  <c r="Z247" i="1"/>
  <c r="Y249" i="1"/>
  <c r="Y254" i="1"/>
  <c r="BP251" i="1"/>
  <c r="BN251" i="1"/>
  <c r="Z251" i="1"/>
  <c r="BP268" i="1"/>
  <c r="BN268" i="1"/>
  <c r="Z268" i="1"/>
  <c r="Z269" i="1" s="1"/>
  <c r="Y270" i="1"/>
  <c r="Y281" i="1"/>
  <c r="BP272" i="1"/>
  <c r="BN272" i="1"/>
  <c r="Z272" i="1"/>
  <c r="BP276" i="1"/>
  <c r="BN276" i="1"/>
  <c r="Z276" i="1"/>
  <c r="Y280" i="1"/>
  <c r="BP284" i="1"/>
  <c r="BN284" i="1"/>
  <c r="Z284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Y334" i="1"/>
  <c r="BP327" i="1"/>
  <c r="BN327" i="1"/>
  <c r="Z327" i="1"/>
  <c r="Y333" i="1"/>
  <c r="BP331" i="1"/>
  <c r="BN331" i="1"/>
  <c r="Z331" i="1"/>
  <c r="BP399" i="1"/>
  <c r="BN399" i="1"/>
  <c r="Z399" i="1"/>
  <c r="Y403" i="1"/>
  <c r="BP407" i="1"/>
  <c r="BN407" i="1"/>
  <c r="Z407" i="1"/>
  <c r="Y409" i="1"/>
  <c r="Y414" i="1"/>
  <c r="BP411" i="1"/>
  <c r="BN411" i="1"/>
  <c r="Z411" i="1"/>
  <c r="Y415" i="1"/>
  <c r="Z427" i="1"/>
  <c r="BP425" i="1"/>
  <c r="BN425" i="1"/>
  <c r="Z425" i="1"/>
  <c r="Y427" i="1"/>
  <c r="P566" i="1"/>
  <c r="H9" i="1"/>
  <c r="B566" i="1"/>
  <c r="X557" i="1"/>
  <c r="X558" i="1"/>
  <c r="Z23" i="1"/>
  <c r="Z24" i="1" s="1"/>
  <c r="BN23" i="1"/>
  <c r="Y24" i="1"/>
  <c r="X556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6" i="1"/>
  <c r="Z56" i="1"/>
  <c r="Z64" i="1" s="1"/>
  <c r="BN56" i="1"/>
  <c r="Z58" i="1"/>
  <c r="BN58" i="1"/>
  <c r="Z60" i="1"/>
  <c r="BN60" i="1"/>
  <c r="Z62" i="1"/>
  <c r="BN62" i="1"/>
  <c r="Y65" i="1"/>
  <c r="Z68" i="1"/>
  <c r="BN68" i="1"/>
  <c r="Z70" i="1"/>
  <c r="BN70" i="1"/>
  <c r="Z72" i="1"/>
  <c r="BN72" i="1"/>
  <c r="Z76" i="1"/>
  <c r="Z78" i="1" s="1"/>
  <c r="BN76" i="1"/>
  <c r="BP76" i="1"/>
  <c r="Z82" i="1"/>
  <c r="BN82" i="1"/>
  <c r="F566" i="1"/>
  <c r="Z89" i="1"/>
  <c r="BN89" i="1"/>
  <c r="Z91" i="1"/>
  <c r="BN91" i="1"/>
  <c r="Y94" i="1"/>
  <c r="Z97" i="1"/>
  <c r="BN97" i="1"/>
  <c r="Z99" i="1"/>
  <c r="BN99" i="1"/>
  <c r="Z104" i="1"/>
  <c r="BN104" i="1"/>
  <c r="BP104" i="1"/>
  <c r="Z106" i="1"/>
  <c r="BN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2" i="1"/>
  <c r="BN122" i="1"/>
  <c r="BP122" i="1"/>
  <c r="Z124" i="1"/>
  <c r="BN124" i="1"/>
  <c r="H566" i="1"/>
  <c r="Z135" i="1"/>
  <c r="BN135" i="1"/>
  <c r="Y136" i="1"/>
  <c r="Z139" i="1"/>
  <c r="Z141" i="1" s="1"/>
  <c r="BN139" i="1"/>
  <c r="BP139" i="1"/>
  <c r="Z145" i="1"/>
  <c r="BN145" i="1"/>
  <c r="Z150" i="1"/>
  <c r="BN150" i="1"/>
  <c r="BP150" i="1"/>
  <c r="Z152" i="1"/>
  <c r="BN152" i="1"/>
  <c r="Z154" i="1"/>
  <c r="BN154" i="1"/>
  <c r="Y157" i="1"/>
  <c r="J566" i="1"/>
  <c r="Z165" i="1"/>
  <c r="Z168" i="1" s="1"/>
  <c r="BN165" i="1"/>
  <c r="Z167" i="1"/>
  <c r="BN167" i="1"/>
  <c r="Y168" i="1"/>
  <c r="Z171" i="1"/>
  <c r="BN171" i="1"/>
  <c r="BP171" i="1"/>
  <c r="Y187" i="1"/>
  <c r="Z177" i="1"/>
  <c r="BN177" i="1"/>
  <c r="Z179" i="1"/>
  <c r="BN179" i="1"/>
  <c r="BP180" i="1"/>
  <c r="BN180" i="1"/>
  <c r="BP182" i="1"/>
  <c r="BN182" i="1"/>
  <c r="Z182" i="1"/>
  <c r="BP186" i="1"/>
  <c r="BN186" i="1"/>
  <c r="Z186" i="1"/>
  <c r="Y188" i="1"/>
  <c r="Y193" i="1"/>
  <c r="BP190" i="1"/>
  <c r="BN190" i="1"/>
  <c r="Z190" i="1"/>
  <c r="Z193" i="1" s="1"/>
  <c r="BP208" i="1"/>
  <c r="BN208" i="1"/>
  <c r="Z208" i="1"/>
  <c r="BP212" i="1"/>
  <c r="BN212" i="1"/>
  <c r="Z212" i="1"/>
  <c r="Y214" i="1"/>
  <c r="L566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BP245" i="1"/>
  <c r="BN245" i="1"/>
  <c r="Z245" i="1"/>
  <c r="BP253" i="1"/>
  <c r="BN253" i="1"/>
  <c r="Z253" i="1"/>
  <c r="Y255" i="1"/>
  <c r="Y258" i="1"/>
  <c r="BP257" i="1"/>
  <c r="BN257" i="1"/>
  <c r="Z257" i="1"/>
  <c r="Z258" i="1" s="1"/>
  <c r="Y259" i="1"/>
  <c r="M566" i="1"/>
  <c r="Y265" i="1"/>
  <c r="BP262" i="1"/>
  <c r="BN262" i="1"/>
  <c r="Z262" i="1"/>
  <c r="Z264" i="1" s="1"/>
  <c r="Y269" i="1"/>
  <c r="BP274" i="1"/>
  <c r="BN274" i="1"/>
  <c r="Z274" i="1"/>
  <c r="BP278" i="1"/>
  <c r="BN278" i="1"/>
  <c r="Z278" i="1"/>
  <c r="BP289" i="1"/>
  <c r="BN289" i="1"/>
  <c r="Z289" i="1"/>
  <c r="BP293" i="1"/>
  <c r="BN293" i="1"/>
  <c r="Z293" i="1"/>
  <c r="BP345" i="1"/>
  <c r="BN345" i="1"/>
  <c r="Z345" i="1"/>
  <c r="Z349" i="1" s="1"/>
  <c r="Y349" i="1"/>
  <c r="BP353" i="1"/>
  <c r="BN353" i="1"/>
  <c r="Z353" i="1"/>
  <c r="Z354" i="1" s="1"/>
  <c r="Y355" i="1"/>
  <c r="S566" i="1"/>
  <c r="Y361" i="1"/>
  <c r="BP358" i="1"/>
  <c r="BN358" i="1"/>
  <c r="Z358" i="1"/>
  <c r="Y362" i="1"/>
  <c r="BP367" i="1"/>
  <c r="BN367" i="1"/>
  <c r="Z367" i="1"/>
  <c r="BP371" i="1"/>
  <c r="BN371" i="1"/>
  <c r="Z371" i="1"/>
  <c r="Y373" i="1"/>
  <c r="Y382" i="1"/>
  <c r="BP375" i="1"/>
  <c r="BN375" i="1"/>
  <c r="Z375" i="1"/>
  <c r="Y383" i="1"/>
  <c r="BP379" i="1"/>
  <c r="BN379" i="1"/>
  <c r="Z379" i="1"/>
  <c r="BP387" i="1"/>
  <c r="BN387" i="1"/>
  <c r="Z387" i="1"/>
  <c r="Y296" i="1"/>
  <c r="BP285" i="1"/>
  <c r="BN285" i="1"/>
  <c r="BP287" i="1"/>
  <c r="BN287" i="1"/>
  <c r="Z287" i="1"/>
  <c r="BP291" i="1"/>
  <c r="BN291" i="1"/>
  <c r="Z291" i="1"/>
  <c r="Y295" i="1"/>
  <c r="BP299" i="1"/>
  <c r="BN299" i="1"/>
  <c r="Z299" i="1"/>
  <c r="Z300" i="1" s="1"/>
  <c r="Y301" i="1"/>
  <c r="O566" i="1"/>
  <c r="Y311" i="1"/>
  <c r="BP304" i="1"/>
  <c r="BN304" i="1"/>
  <c r="Z304" i="1"/>
  <c r="BP308" i="1"/>
  <c r="BN308" i="1"/>
  <c r="Z308" i="1"/>
  <c r="BP329" i="1"/>
  <c r="BN329" i="1"/>
  <c r="Z329" i="1"/>
  <c r="BP338" i="1"/>
  <c r="BN338" i="1"/>
  <c r="Z338" i="1"/>
  <c r="Z340" i="1" s="1"/>
  <c r="BP347" i="1"/>
  <c r="BN347" i="1"/>
  <c r="Z347" i="1"/>
  <c r="Y354" i="1"/>
  <c r="BP360" i="1"/>
  <c r="BN360" i="1"/>
  <c r="Z360" i="1"/>
  <c r="T566" i="1"/>
  <c r="Y372" i="1"/>
  <c r="BP365" i="1"/>
  <c r="BN365" i="1"/>
  <c r="Z365" i="1"/>
  <c r="BP369" i="1"/>
  <c r="BN369" i="1"/>
  <c r="Z369" i="1"/>
  <c r="BP377" i="1"/>
  <c r="BN377" i="1"/>
  <c r="Z377" i="1"/>
  <c r="BP381" i="1"/>
  <c r="BN381" i="1"/>
  <c r="Z381" i="1"/>
  <c r="Y390" i="1"/>
  <c r="BP385" i="1"/>
  <c r="BN385" i="1"/>
  <c r="Z385" i="1"/>
  <c r="Y389" i="1"/>
  <c r="BP393" i="1"/>
  <c r="BN393" i="1"/>
  <c r="Z393" i="1"/>
  <c r="Z395" i="1" s="1"/>
  <c r="Y402" i="1"/>
  <c r="BP401" i="1"/>
  <c r="BN401" i="1"/>
  <c r="Z401" i="1"/>
  <c r="Z402" i="1" s="1"/>
  <c r="Y408" i="1"/>
  <c r="BP405" i="1"/>
  <c r="BN405" i="1"/>
  <c r="Z405" i="1"/>
  <c r="Z408" i="1" s="1"/>
  <c r="BP413" i="1"/>
  <c r="BN413" i="1"/>
  <c r="Z413" i="1"/>
  <c r="U566" i="1"/>
  <c r="Y421" i="1"/>
  <c r="BP418" i="1"/>
  <c r="BN418" i="1"/>
  <c r="Z418" i="1"/>
  <c r="Z420" i="1" s="1"/>
  <c r="BP433" i="1"/>
  <c r="BN433" i="1"/>
  <c r="Z433" i="1"/>
  <c r="BP437" i="1"/>
  <c r="BN437" i="1"/>
  <c r="Z437" i="1"/>
  <c r="BP445" i="1"/>
  <c r="BN445" i="1"/>
  <c r="Z445" i="1"/>
  <c r="Y447" i="1"/>
  <c r="Y452" i="1"/>
  <c r="BP449" i="1"/>
  <c r="BN449" i="1"/>
  <c r="Z449" i="1"/>
  <c r="Z452" i="1" s="1"/>
  <c r="Y453" i="1"/>
  <c r="BP462" i="1"/>
  <c r="BN462" i="1"/>
  <c r="Z462" i="1"/>
  <c r="Z463" i="1" s="1"/>
  <c r="Y464" i="1"/>
  <c r="Y467" i="1"/>
  <c r="BP466" i="1"/>
  <c r="BN466" i="1"/>
  <c r="Z466" i="1"/>
  <c r="Z467" i="1" s="1"/>
  <c r="Y468" i="1"/>
  <c r="Y473" i="1"/>
  <c r="BP470" i="1"/>
  <c r="BN470" i="1"/>
  <c r="Z470" i="1"/>
  <c r="Z473" i="1" s="1"/>
  <c r="Y474" i="1"/>
  <c r="BP480" i="1"/>
  <c r="BN480" i="1"/>
  <c r="Z480" i="1"/>
  <c r="Y484" i="1"/>
  <c r="BP488" i="1"/>
  <c r="BN488" i="1"/>
  <c r="Z488" i="1"/>
  <c r="Z489" i="1" s="1"/>
  <c r="Y490" i="1"/>
  <c r="Y494" i="1"/>
  <c r="BP493" i="1"/>
  <c r="BN493" i="1"/>
  <c r="Z493" i="1"/>
  <c r="Z494" i="1" s="1"/>
  <c r="Z566" i="1"/>
  <c r="Y495" i="1"/>
  <c r="Y500" i="1"/>
  <c r="BP497" i="1"/>
  <c r="BN497" i="1"/>
  <c r="Z497" i="1"/>
  <c r="Y501" i="1"/>
  <c r="BP507" i="1"/>
  <c r="BN507" i="1"/>
  <c r="Z507" i="1"/>
  <c r="BP511" i="1"/>
  <c r="BN511" i="1"/>
  <c r="Z511" i="1"/>
  <c r="BP519" i="1"/>
  <c r="BN519" i="1"/>
  <c r="Z519" i="1"/>
  <c r="Y521" i="1"/>
  <c r="Y530" i="1"/>
  <c r="BP523" i="1"/>
  <c r="BN523" i="1"/>
  <c r="Z523" i="1"/>
  <c r="Y531" i="1"/>
  <c r="BP527" i="1"/>
  <c r="BN527" i="1"/>
  <c r="Z527" i="1"/>
  <c r="X566" i="1"/>
  <c r="Q566" i="1"/>
  <c r="Y341" i="1"/>
  <c r="R566" i="1"/>
  <c r="Y350" i="1"/>
  <c r="V566" i="1"/>
  <c r="Y428" i="1"/>
  <c r="W566" i="1"/>
  <c r="Y440" i="1"/>
  <c r="BP435" i="1"/>
  <c r="BN435" i="1"/>
  <c r="Z435" i="1"/>
  <c r="Z440" i="1" s="1"/>
  <c r="BP439" i="1"/>
  <c r="BN439" i="1"/>
  <c r="Z439" i="1"/>
  <c r="Y441" i="1"/>
  <c r="Y446" i="1"/>
  <c r="BP443" i="1"/>
  <c r="BN443" i="1"/>
  <c r="Z443" i="1"/>
  <c r="Z446" i="1" s="1"/>
  <c r="BP451" i="1"/>
  <c r="BN451" i="1"/>
  <c r="Z451" i="1"/>
  <c r="Y458" i="1"/>
  <c r="BP455" i="1"/>
  <c r="BN455" i="1"/>
  <c r="Z455" i="1"/>
  <c r="Z457" i="1" s="1"/>
  <c r="Y463" i="1"/>
  <c r="BP472" i="1"/>
  <c r="BN472" i="1"/>
  <c r="Z472" i="1"/>
  <c r="Y566" i="1"/>
  <c r="Y485" i="1"/>
  <c r="BP478" i="1"/>
  <c r="BN478" i="1"/>
  <c r="Z478" i="1"/>
  <c r="Z484" i="1" s="1"/>
  <c r="BP482" i="1"/>
  <c r="BN482" i="1"/>
  <c r="Z482" i="1"/>
  <c r="Y489" i="1"/>
  <c r="BP499" i="1"/>
  <c r="BN499" i="1"/>
  <c r="Z499" i="1"/>
  <c r="AA566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Z520" i="1" s="1"/>
  <c r="BP525" i="1"/>
  <c r="BN525" i="1"/>
  <c r="Z525" i="1"/>
  <c r="BP529" i="1"/>
  <c r="BN529" i="1"/>
  <c r="Z529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50" i="1"/>
  <c r="BP547" i="1"/>
  <c r="BN547" i="1"/>
  <c r="Z547" i="1"/>
  <c r="Z549" i="1" s="1"/>
  <c r="Y555" i="1"/>
  <c r="Z100" i="1" l="1"/>
  <c r="Y558" i="1"/>
  <c r="Z389" i="1"/>
  <c r="Z295" i="1"/>
  <c r="Z187" i="1"/>
  <c r="Z173" i="1"/>
  <c r="Z156" i="1"/>
  <c r="Z146" i="1"/>
  <c r="Z136" i="1"/>
  <c r="Z126" i="1"/>
  <c r="Z93" i="1"/>
  <c r="Z73" i="1"/>
  <c r="Z51" i="1"/>
  <c r="Z42" i="1"/>
  <c r="Y557" i="1"/>
  <c r="Z414" i="1"/>
  <c r="Z248" i="1"/>
  <c r="Z213" i="1"/>
  <c r="Y556" i="1"/>
  <c r="Z500" i="1"/>
  <c r="Z372" i="1"/>
  <c r="Z311" i="1"/>
  <c r="Z236" i="1"/>
  <c r="Z119" i="1"/>
  <c r="Z113" i="1"/>
  <c r="Z32" i="1"/>
  <c r="Y560" i="1"/>
  <c r="X559" i="1"/>
  <c r="Z333" i="1"/>
  <c r="Z280" i="1"/>
  <c r="Z254" i="1"/>
  <c r="Z514" i="1"/>
  <c r="Z530" i="1"/>
  <c r="Z382" i="1"/>
  <c r="Z361" i="1"/>
  <c r="Z561" i="1" l="1"/>
  <c r="Y559" i="1"/>
</calcChain>
</file>

<file path=xl/sharedStrings.xml><?xml version="1.0" encoding="utf-8"?>
<sst xmlns="http://schemas.openxmlformats.org/spreadsheetml/2006/main" count="2543" uniqueCount="911">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</sst>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topLeftCell="A436" zoomScaleNormal="100" zoomScaleSheetLayoutView="100" workbookViewId="0">
      <selection activeCell="AA562" sqref="AA562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1" t="s">
        <v>0</v>
      </c>
      <c r="E1" s="678"/>
      <c r="F1" s="678"/>
      <c r="G1" s="12" t="s">
        <v>1</v>
      </c>
      <c r="H1" s="721" t="s">
        <v>2</v>
      </c>
      <c r="I1" s="678"/>
      <c r="J1" s="678"/>
      <c r="K1" s="678"/>
      <c r="L1" s="678"/>
      <c r="M1" s="678"/>
      <c r="N1" s="678"/>
      <c r="O1" s="678"/>
      <c r="P1" s="678"/>
      <c r="Q1" s="678"/>
      <c r="R1" s="677" t="s">
        <v>3</v>
      </c>
      <c r="S1" s="678"/>
      <c r="T1" s="6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7" t="s">
        <v>8</v>
      </c>
      <c r="B5" s="669"/>
      <c r="C5" s="670"/>
      <c r="D5" s="731"/>
      <c r="E5" s="732"/>
      <c r="F5" s="966" t="s">
        <v>9</v>
      </c>
      <c r="G5" s="670"/>
      <c r="H5" s="731"/>
      <c r="I5" s="904"/>
      <c r="J5" s="904"/>
      <c r="K5" s="904"/>
      <c r="L5" s="904"/>
      <c r="M5" s="732"/>
      <c r="N5" s="58"/>
      <c r="P5" s="24" t="s">
        <v>10</v>
      </c>
      <c r="Q5" s="984">
        <v>46291</v>
      </c>
      <c r="R5" s="776"/>
      <c r="T5" s="822" t="s">
        <v>11</v>
      </c>
      <c r="U5" s="823"/>
      <c r="V5" s="825" t="s">
        <v>12</v>
      </c>
      <c r="W5" s="776"/>
      <c r="AB5" s="51"/>
      <c r="AC5" s="51"/>
      <c r="AD5" s="51"/>
      <c r="AE5" s="51"/>
    </row>
    <row r="6" spans="1:32" s="637" customFormat="1" ht="24" customHeight="1" x14ac:dyDescent="0.2">
      <c r="A6" s="777" t="s">
        <v>13</v>
      </c>
      <c r="B6" s="669"/>
      <c r="C6" s="670"/>
      <c r="D6" s="907"/>
      <c r="E6" s="908"/>
      <c r="F6" s="908"/>
      <c r="G6" s="908"/>
      <c r="H6" s="908"/>
      <c r="I6" s="908"/>
      <c r="J6" s="908"/>
      <c r="K6" s="908"/>
      <c r="L6" s="908"/>
      <c r="M6" s="776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Суббота</v>
      </c>
      <c r="R6" s="648"/>
      <c r="T6" s="831" t="s">
        <v>15</v>
      </c>
      <c r="U6" s="823"/>
      <c r="V6" s="888" t="s">
        <v>16</v>
      </c>
      <c r="W6" s="724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8">
        <f>IFERROR(VLOOKUP(DeliveryAddress,Table,3,0),1)</f>
        <v>1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58"/>
      <c r="U7" s="823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12" t="s">
        <v>17</v>
      </c>
      <c r="B8" s="650"/>
      <c r="C8" s="65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18</v>
      </c>
      <c r="Q8" s="786">
        <v>0.41666666666666669</v>
      </c>
      <c r="R8" s="710"/>
      <c r="T8" s="658"/>
      <c r="U8" s="823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7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795"/>
      <c r="E9" s="664"/>
      <c r="F9" s="7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5"/>
      <c r="P9" s="26" t="s">
        <v>19</v>
      </c>
      <c r="Q9" s="772"/>
      <c r="R9" s="773"/>
      <c r="T9" s="658"/>
      <c r="U9" s="823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795"/>
      <c r="E10" s="664"/>
      <c r="F10" s="7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0" t="str">
        <f>IFERROR(VLOOKUP($D$10,Proxy,2,FALSE),"")</f>
        <v/>
      </c>
      <c r="I10" s="658"/>
      <c r="J10" s="658"/>
      <c r="K10" s="658"/>
      <c r="L10" s="658"/>
      <c r="M10" s="658"/>
      <c r="N10" s="636"/>
      <c r="P10" s="26" t="s">
        <v>20</v>
      </c>
      <c r="Q10" s="832"/>
      <c r="R10" s="833"/>
      <c r="U10" s="24" t="s">
        <v>21</v>
      </c>
      <c r="V10" s="723" t="s">
        <v>22</v>
      </c>
      <c r="W10" s="724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2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9" t="s">
        <v>27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28</v>
      </c>
      <c r="Q12" s="786"/>
      <c r="R12" s="710"/>
      <c r="S12" s="23"/>
      <c r="U12" s="24"/>
      <c r="V12" s="678"/>
      <c r="W12" s="658"/>
      <c r="AB12" s="51"/>
      <c r="AC12" s="51"/>
      <c r="AD12" s="51"/>
      <c r="AE12" s="51"/>
    </row>
    <row r="13" spans="1:32" s="637" customFormat="1" ht="23.25" customHeight="1" x14ac:dyDescent="0.2">
      <c r="A13" s="819" t="s">
        <v>29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30</v>
      </c>
      <c r="Q13" s="932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9" t="s">
        <v>31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805" t="s">
        <v>33</v>
      </c>
      <c r="Q15" s="678"/>
      <c r="R15" s="678"/>
      <c r="S15" s="678"/>
      <c r="T15" s="6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6"/>
      <c r="Q16" s="806"/>
      <c r="R16" s="806"/>
      <c r="S16" s="806"/>
      <c r="T16" s="8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34</v>
      </c>
      <c r="B17" s="691" t="s">
        <v>35</v>
      </c>
      <c r="C17" s="792" t="s">
        <v>36</v>
      </c>
      <c r="D17" s="691" t="s">
        <v>37</v>
      </c>
      <c r="E17" s="755"/>
      <c r="F17" s="691" t="s">
        <v>38</v>
      </c>
      <c r="G17" s="691" t="s">
        <v>39</v>
      </c>
      <c r="H17" s="691" t="s">
        <v>40</v>
      </c>
      <c r="I17" s="691" t="s">
        <v>41</v>
      </c>
      <c r="J17" s="691" t="s">
        <v>42</v>
      </c>
      <c r="K17" s="691" t="s">
        <v>43</v>
      </c>
      <c r="L17" s="691" t="s">
        <v>44</v>
      </c>
      <c r="M17" s="691" t="s">
        <v>45</v>
      </c>
      <c r="N17" s="691" t="s">
        <v>46</v>
      </c>
      <c r="O17" s="691" t="s">
        <v>47</v>
      </c>
      <c r="P17" s="691" t="s">
        <v>48</v>
      </c>
      <c r="Q17" s="754"/>
      <c r="R17" s="754"/>
      <c r="S17" s="754"/>
      <c r="T17" s="755"/>
      <c r="U17" s="1010" t="s">
        <v>49</v>
      </c>
      <c r="V17" s="670"/>
      <c r="W17" s="691" t="s">
        <v>50</v>
      </c>
      <c r="X17" s="691" t="s">
        <v>51</v>
      </c>
      <c r="Y17" s="1008" t="s">
        <v>52</v>
      </c>
      <c r="Z17" s="902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2"/>
      <c r="B18" s="692"/>
      <c r="C18" s="692"/>
      <c r="D18" s="756"/>
      <c r="E18" s="75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756"/>
      <c r="Q18" s="757"/>
      <c r="R18" s="757"/>
      <c r="S18" s="757"/>
      <c r="T18" s="758"/>
      <c r="U18" s="67" t="s">
        <v>59</v>
      </c>
      <c r="V18" s="67" t="s">
        <v>60</v>
      </c>
      <c r="W18" s="692"/>
      <c r="X18" s="692"/>
      <c r="Y18" s="1009"/>
      <c r="Z18" s="903"/>
      <c r="AA18" s="879"/>
      <c r="AB18" s="879"/>
      <c r="AC18" s="879"/>
      <c r="AD18" s="962"/>
      <c r="AE18" s="963"/>
      <c r="AF18" s="964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73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38"/>
      <c r="AB20" s="638"/>
      <c r="AC20" s="638"/>
    </row>
    <row r="21" spans="1:68" ht="14.25" hidden="1" customHeight="1" x14ac:dyDescent="0.25">
      <c r="A21" s="66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7">
        <v>4680115886643</v>
      </c>
      <c r="E22" s="648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7">
        <v>4680115889071</v>
      </c>
      <c r="E23" s="648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7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59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59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7">
        <v>4680115885912</v>
      </c>
      <c r="E27" s="648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7">
        <v>4607091388237</v>
      </c>
      <c r="E28" s="648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7">
        <v>4680115887350</v>
      </c>
      <c r="E29" s="648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4"/>
      <c r="V29" s="34"/>
      <c r="W29" s="35" t="s">
        <v>67</v>
      </c>
      <c r="X29" s="643">
        <v>13</v>
      </c>
      <c r="Y29" s="644">
        <f>IFERROR(IF(X29="",0,CEILING((X29/$H29),1)*$H29),"")</f>
        <v>14.4</v>
      </c>
      <c r="Z29" s="36">
        <f>IFERROR(IF(Y29=0,"",ROUNDUP(Y29/H29,0)*0.00651),"")</f>
        <v>5.2080000000000001E-2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22.966666666666669</v>
      </c>
      <c r="BN29" s="64">
        <f>IFERROR(Y29*I29/H29,"0")</f>
        <v>25.44</v>
      </c>
      <c r="BO29" s="64">
        <f>IFERROR(1/J29*(X29/H29),"0")</f>
        <v>3.9682539682539687E-2</v>
      </c>
      <c r="BP29" s="64">
        <f>IFERROR(1/J29*(Y29/H29),"0")</f>
        <v>4.3956043956043959E-2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7">
        <v>4680115885905</v>
      </c>
      <c r="E30" s="648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4"/>
      <c r="V30" s="34"/>
      <c r="W30" s="35" t="s">
        <v>67</v>
      </c>
      <c r="X30" s="643">
        <v>3</v>
      </c>
      <c r="Y30" s="644">
        <f>IFERROR(IF(X30="",0,CEILING((X30/$H30),1)*$H30),"")</f>
        <v>3.6</v>
      </c>
      <c r="Z30" s="36">
        <f>IFERROR(IF(Y30=0,"",ROUNDUP(Y30/H30,0)*0.00651),"")</f>
        <v>1.302E-2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5.3000000000000007</v>
      </c>
      <c r="BN30" s="64">
        <f>IFERROR(Y30*I30/H30,"0")</f>
        <v>6.36</v>
      </c>
      <c r="BO30" s="64">
        <f>IFERROR(1/J30*(X30/H30),"0")</f>
        <v>9.1575091575091579E-3</v>
      </c>
      <c r="BP30" s="64">
        <f>IFERROR(1/J30*(Y30/H30),"0")</f>
        <v>1.098901098901099E-2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7">
        <v>4680115887619</v>
      </c>
      <c r="E31" s="648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7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9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8.8888888888888893</v>
      </c>
      <c r="Y32" s="645">
        <f>IFERROR(Y27/H27,"0")+IFERROR(Y28/H28,"0")+IFERROR(Y29/H29,"0")+IFERROR(Y30/H30,"0")+IFERROR(Y31/H31,"0")</f>
        <v>10</v>
      </c>
      <c r="Z32" s="645">
        <f>IFERROR(IF(Z27="",0,Z27),"0")+IFERROR(IF(Z28="",0,Z28),"0")+IFERROR(IF(Z29="",0,Z29),"0")+IFERROR(IF(Z30="",0,Z30),"0")+IFERROR(IF(Z31="",0,Z31),"0")</f>
        <v>6.5100000000000005E-2</v>
      </c>
      <c r="AA32" s="646"/>
      <c r="AB32" s="646"/>
      <c r="AC32" s="646"/>
    </row>
    <row r="33" spans="1:68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59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16</v>
      </c>
      <c r="Y33" s="645">
        <f>IFERROR(SUM(Y27:Y31),"0")</f>
        <v>18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73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38"/>
      <c r="AB35" s="638"/>
      <c r="AC35" s="638"/>
    </row>
    <row r="36" spans="1:68" ht="14.25" hidden="1" customHeight="1" x14ac:dyDescent="0.25">
      <c r="A36" s="66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7">
        <v>4680115889354</v>
      </c>
      <c r="E37" s="648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7">
        <v>4680115888463</v>
      </c>
      <c r="E38" s="648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7">
        <v>4680115889590</v>
      </c>
      <c r="E39" s="648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7">
        <v>4680115888272</v>
      </c>
      <c r="E40" s="648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3"/>
      <c r="R40" s="653"/>
      <c r="S40" s="653"/>
      <c r="T40" s="654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7">
        <v>4680115888364</v>
      </c>
      <c r="E41" s="648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3"/>
      <c r="R41" s="653"/>
      <c r="S41" s="653"/>
      <c r="T41" s="654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7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59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59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73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38"/>
      <c r="AB45" s="638"/>
      <c r="AC45" s="638"/>
    </row>
    <row r="46" spans="1:68" ht="14.25" hidden="1" customHeight="1" x14ac:dyDescent="0.25">
      <c r="A46" s="66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7">
        <v>4607091385670</v>
      </c>
      <c r="E47" s="648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3"/>
      <c r="R47" s="653"/>
      <c r="S47" s="653"/>
      <c r="T47" s="654"/>
      <c r="U47" s="34"/>
      <c r="V47" s="34"/>
      <c r="W47" s="35" t="s">
        <v>67</v>
      </c>
      <c r="X47" s="643">
        <v>121</v>
      </c>
      <c r="Y47" s="644">
        <f>IFERROR(IF(X47="",0,CEILING((X47/$H47),1)*$H47),"")</f>
        <v>129.60000000000002</v>
      </c>
      <c r="Z47" s="36">
        <f>IFERROR(IF(Y47=0,"",ROUNDUP(Y47/H47,0)*0.01898),"")</f>
        <v>0.22776000000000002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125.59351851851852</v>
      </c>
      <c r="BN47" s="64">
        <f>IFERROR(Y47*I47/H47,"0")</f>
        <v>134.52000000000001</v>
      </c>
      <c r="BO47" s="64">
        <f>IFERROR(1/J47*(X47/H47),"0")</f>
        <v>0.17505787037037035</v>
      </c>
      <c r="BP47" s="64">
        <f>IFERROR(1/J47*(Y47/H47),"0")</f>
        <v>0.18750000000000003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7">
        <v>4680115887725</v>
      </c>
      <c r="E48" s="648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3"/>
      <c r="R48" s="653"/>
      <c r="S48" s="653"/>
      <c r="T48" s="654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7">
        <v>4607091385687</v>
      </c>
      <c r="E49" s="648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3"/>
      <c r="R49" s="653"/>
      <c r="S49" s="653"/>
      <c r="T49" s="654"/>
      <c r="U49" s="34"/>
      <c r="V49" s="34"/>
      <c r="W49" s="35" t="s">
        <v>67</v>
      </c>
      <c r="X49" s="643">
        <v>6</v>
      </c>
      <c r="Y49" s="644">
        <f>IFERROR(IF(X49="",0,CEILING((X49/$H49),1)*$H49),"")</f>
        <v>8</v>
      </c>
      <c r="Z49" s="36">
        <f>IFERROR(IF(Y49=0,"",ROUNDUP(Y49/H49,0)*0.00902),"")</f>
        <v>1.804E-2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6.2850000000000001</v>
      </c>
      <c r="BN49" s="64">
        <f>IFERROR(Y49*I49/H49,"0")</f>
        <v>8.3800000000000008</v>
      </c>
      <c r="BO49" s="64">
        <f>IFERROR(1/J49*(X49/H49),"0")</f>
        <v>1.1363636363636364E-2</v>
      </c>
      <c r="BP49" s="64">
        <f>IFERROR(1/J49*(Y49/H49),"0")</f>
        <v>1.5151515151515152E-2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7">
        <v>4680115882539</v>
      </c>
      <c r="E50" s="648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6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3"/>
      <c r="R50" s="653"/>
      <c r="S50" s="653"/>
      <c r="T50" s="654"/>
      <c r="U50" s="34"/>
      <c r="V50" s="34"/>
      <c r="W50" s="35" t="s">
        <v>67</v>
      </c>
      <c r="X50" s="643">
        <v>9</v>
      </c>
      <c r="Y50" s="644">
        <f>IFERROR(IF(X50="",0,CEILING((X50/$H50),1)*$H50),"")</f>
        <v>11.100000000000001</v>
      </c>
      <c r="Z50" s="36">
        <f>IFERROR(IF(Y50=0,"",ROUNDUP(Y50/H50,0)*0.00902),"")</f>
        <v>2.7060000000000001E-2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9.4621621621621603</v>
      </c>
      <c r="BN50" s="64">
        <f>IFERROR(Y50*I50/H50,"0")</f>
        <v>11.670000000000002</v>
      </c>
      <c r="BO50" s="64">
        <f>IFERROR(1/J50*(X50/H50),"0")</f>
        <v>1.8427518427518427E-2</v>
      </c>
      <c r="BP50" s="64">
        <f>IFERROR(1/J50*(Y50/H50),"0")</f>
        <v>2.2727272727272731E-2</v>
      </c>
    </row>
    <row r="51" spans="1:68" x14ac:dyDescent="0.2">
      <c r="A51" s="657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9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15.136136136136134</v>
      </c>
      <c r="Y51" s="645">
        <f>IFERROR(Y47/H47,"0")+IFERROR(Y48/H48,"0")+IFERROR(Y49/H49,"0")+IFERROR(Y50/H50,"0")</f>
        <v>17.000000000000004</v>
      </c>
      <c r="Z51" s="645">
        <f>IFERROR(IF(Z47="",0,Z47),"0")+IFERROR(IF(Z48="",0,Z48),"0")+IFERROR(IF(Z49="",0,Z49),"0")+IFERROR(IF(Z50="",0,Z50),"0")</f>
        <v>0.27285999999999999</v>
      </c>
      <c r="AA51" s="646"/>
      <c r="AB51" s="646"/>
      <c r="AC51" s="646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59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136</v>
      </c>
      <c r="Y52" s="645">
        <f>IFERROR(SUM(Y47:Y50),"0")</f>
        <v>148.70000000000002</v>
      </c>
      <c r="Z52" s="37"/>
      <c r="AA52" s="646"/>
      <c r="AB52" s="646"/>
      <c r="AC52" s="646"/>
    </row>
    <row r="53" spans="1:68" ht="16.5" hidden="1" customHeight="1" x14ac:dyDescent="0.25">
      <c r="A53" s="673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38"/>
      <c r="AB53" s="638"/>
      <c r="AC53" s="638"/>
    </row>
    <row r="54" spans="1:68" ht="14.25" hidden="1" customHeight="1" x14ac:dyDescent="0.25">
      <c r="A54" s="66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7">
        <v>4680115885882</v>
      </c>
      <c r="E55" s="648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3"/>
      <c r="R55" s="653"/>
      <c r="S55" s="653"/>
      <c r="T55" s="654"/>
      <c r="U55" s="34"/>
      <c r="V55" s="34"/>
      <c r="W55" s="35" t="s">
        <v>67</v>
      </c>
      <c r="X55" s="643">
        <v>64</v>
      </c>
      <c r="Y55" s="644">
        <f t="shared" ref="Y55:Y63" si="0">IFERROR(IF(X55="",0,CEILING((X55/$H55),1)*$H55),"")</f>
        <v>67.199999999999989</v>
      </c>
      <c r="Z55" s="36">
        <f>IFERROR(IF(Y55=0,"",ROUNDUP(Y55/H55,0)*0.01898),"")</f>
        <v>0.11388000000000001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66.342857142857142</v>
      </c>
      <c r="BN55" s="64">
        <f t="shared" ref="BN55:BN63" si="2">IFERROR(Y55*I55/H55,"0")</f>
        <v>69.659999999999982</v>
      </c>
      <c r="BO55" s="64">
        <f t="shared" ref="BO55:BO63" si="3">IFERROR(1/J55*(X55/H55),"0")</f>
        <v>8.9285714285714288E-2</v>
      </c>
      <c r="BP55" s="64">
        <f t="shared" ref="BP55:BP63" si="4">IFERROR(1/J55*(Y55/H55),"0")</f>
        <v>9.3749999999999986E-2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7">
        <v>4680115881426</v>
      </c>
      <c r="E56" s="648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3"/>
      <c r="R56" s="653"/>
      <c r="S56" s="653"/>
      <c r="T56" s="654"/>
      <c r="U56" s="34"/>
      <c r="V56" s="34"/>
      <c r="W56" s="35" t="s">
        <v>67</v>
      </c>
      <c r="X56" s="643">
        <v>233</v>
      </c>
      <c r="Y56" s="644">
        <f t="shared" si="0"/>
        <v>237.60000000000002</v>
      </c>
      <c r="Z56" s="36">
        <f>IFERROR(IF(Y56=0,"",ROUNDUP(Y56/H56,0)*0.01898),"")</f>
        <v>0.41755999999999999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241.84537037037038</v>
      </c>
      <c r="BN56" s="64">
        <f t="shared" si="2"/>
        <v>246.62000000000003</v>
      </c>
      <c r="BO56" s="64">
        <f t="shared" si="3"/>
        <v>0.33709490740740738</v>
      </c>
      <c r="BP56" s="64">
        <f t="shared" si="4"/>
        <v>0.34375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47">
        <v>4680115881426</v>
      </c>
      <c r="E57" s="648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3"/>
      <c r="R57" s="653"/>
      <c r="S57" s="653"/>
      <c r="T57" s="654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47">
        <v>4680115880283</v>
      </c>
      <c r="E58" s="648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138</v>
      </c>
      <c r="B59" s="54" t="s">
        <v>139</v>
      </c>
      <c r="C59" s="31">
        <v>4301011806</v>
      </c>
      <c r="D59" s="647">
        <v>4680115881525</v>
      </c>
      <c r="E59" s="648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4"/>
      <c r="V59" s="34"/>
      <c r="W59" s="35" t="s">
        <v>67</v>
      </c>
      <c r="X59" s="643">
        <v>4</v>
      </c>
      <c r="Y59" s="644">
        <f t="shared" si="0"/>
        <v>4</v>
      </c>
      <c r="Z59" s="36">
        <f>IFERROR(IF(Y59=0,"",ROUNDUP(Y59/H59,0)*0.00902),"")</f>
        <v>9.0200000000000002E-3</v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4.1900000000000004</v>
      </c>
      <c r="BN59" s="64">
        <f t="shared" si="2"/>
        <v>4.1900000000000004</v>
      </c>
      <c r="BO59" s="64">
        <f t="shared" si="3"/>
        <v>7.575757575757576E-3</v>
      </c>
      <c r="BP59" s="64">
        <f t="shared" si="4"/>
        <v>7.575757575757576E-3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47">
        <v>4680115881525</v>
      </c>
      <c r="E60" s="648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3"/>
      <c r="R60" s="653"/>
      <c r="S60" s="653"/>
      <c r="T60" s="654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7">
        <v>4680115885899</v>
      </c>
      <c r="E61" s="648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3"/>
      <c r="R61" s="653"/>
      <c r="S61" s="653"/>
      <c r="T61" s="654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47">
        <v>4680115881419</v>
      </c>
      <c r="E62" s="648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3"/>
      <c r="R62" s="653"/>
      <c r="S62" s="653"/>
      <c r="T62" s="654"/>
      <c r="U62" s="34"/>
      <c r="V62" s="34"/>
      <c r="W62" s="35" t="s">
        <v>67</v>
      </c>
      <c r="X62" s="643">
        <v>0</v>
      </c>
      <c r="Y62" s="64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47">
        <v>4680115881419</v>
      </c>
      <c r="E63" s="648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6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3"/>
      <c r="R63" s="653"/>
      <c r="S63" s="653"/>
      <c r="T63" s="654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7"/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9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28.288359788359788</v>
      </c>
      <c r="Y64" s="645">
        <f>IFERROR(Y55/H55,"0")+IFERROR(Y56/H56,"0")+IFERROR(Y57/H57,"0")+IFERROR(Y58/H58,"0")+IFERROR(Y59/H59,"0")+IFERROR(Y60/H60,"0")+IFERROR(Y61/H61,"0")+IFERROR(Y62/H62,"0")+IFERROR(Y63/H63,"0")</f>
        <v>29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0.54046000000000005</v>
      </c>
      <c r="AA64" s="646"/>
      <c r="AB64" s="646"/>
      <c r="AC64" s="646"/>
    </row>
    <row r="65" spans="1:68" x14ac:dyDescent="0.2">
      <c r="A65" s="658"/>
      <c r="B65" s="658"/>
      <c r="C65" s="658"/>
      <c r="D65" s="658"/>
      <c r="E65" s="658"/>
      <c r="F65" s="658"/>
      <c r="G65" s="658"/>
      <c r="H65" s="658"/>
      <c r="I65" s="658"/>
      <c r="J65" s="658"/>
      <c r="K65" s="658"/>
      <c r="L65" s="658"/>
      <c r="M65" s="658"/>
      <c r="N65" s="658"/>
      <c r="O65" s="659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301</v>
      </c>
      <c r="Y65" s="645">
        <f>IFERROR(SUM(Y55:Y63),"0")</f>
        <v>308.8</v>
      </c>
      <c r="Z65" s="37"/>
      <c r="AA65" s="646"/>
      <c r="AB65" s="646"/>
      <c r="AC65" s="646"/>
    </row>
    <row r="66" spans="1:68" ht="14.25" hidden="1" customHeight="1" x14ac:dyDescent="0.25">
      <c r="A66" s="667" t="s">
        <v>148</v>
      </c>
      <c r="B66" s="658"/>
      <c r="C66" s="658"/>
      <c r="D66" s="658"/>
      <c r="E66" s="658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39"/>
      <c r="AB66" s="639"/>
      <c r="AC66" s="639"/>
    </row>
    <row r="67" spans="1:68" ht="16.5" hidden="1" customHeight="1" x14ac:dyDescent="0.25">
      <c r="A67" s="54" t="s">
        <v>149</v>
      </c>
      <c r="B67" s="54" t="s">
        <v>150</v>
      </c>
      <c r="C67" s="31">
        <v>4301020298</v>
      </c>
      <c r="D67" s="647">
        <v>4680115881440</v>
      </c>
      <c r="E67" s="648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3"/>
      <c r="R67" s="653"/>
      <c r="S67" s="653"/>
      <c r="T67" s="654"/>
      <c r="U67" s="34"/>
      <c r="V67" s="34"/>
      <c r="W67" s="35" t="s">
        <v>67</v>
      </c>
      <c r="X67" s="643">
        <v>0</v>
      </c>
      <c r="Y67" s="644">
        <f t="shared" ref="Y67:Y72" si="5"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0</v>
      </c>
      <c r="BN67" s="64">
        <f t="shared" ref="BN67:BN72" si="7">IFERROR(Y67*I67/H67,"0")</f>
        <v>0</v>
      </c>
      <c r="BO67" s="64">
        <f t="shared" ref="BO67:BO72" si="8">IFERROR(1/J67*(X67/H67),"0")</f>
        <v>0</v>
      </c>
      <c r="BP67" s="64">
        <f t="shared" ref="BP67:BP72" si="9">IFERROR(1/J67*(Y67/H67),"0")</f>
        <v>0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47">
        <v>4680115881440</v>
      </c>
      <c r="E68" s="648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3"/>
      <c r="R68" s="653"/>
      <c r="S68" s="653"/>
      <c r="T68" s="654"/>
      <c r="U68" s="34"/>
      <c r="V68" s="34"/>
      <c r="W68" s="35" t="s">
        <v>67</v>
      </c>
      <c r="X68" s="643">
        <v>0</v>
      </c>
      <c r="Y68" s="644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47">
        <v>4680115885950</v>
      </c>
      <c r="E69" s="648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3"/>
      <c r="R69" s="653"/>
      <c r="S69" s="653"/>
      <c r="T69" s="654"/>
      <c r="U69" s="34"/>
      <c r="V69" s="34"/>
      <c r="W69" s="35" t="s">
        <v>67</v>
      </c>
      <c r="X69" s="643">
        <v>0</v>
      </c>
      <c r="Y69" s="644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47">
        <v>4680115887688</v>
      </c>
      <c r="E70" s="648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8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3"/>
      <c r="R70" s="653"/>
      <c r="S70" s="653"/>
      <c r="T70" s="654"/>
      <c r="U70" s="34"/>
      <c r="V70" s="34"/>
      <c r="W70" s="35" t="s">
        <v>67</v>
      </c>
      <c r="X70" s="643">
        <v>0</v>
      </c>
      <c r="Y70" s="644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4301020296</v>
      </c>
      <c r="D71" s="647">
        <v>4680115881433</v>
      </c>
      <c r="E71" s="648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3"/>
      <c r="R71" s="653"/>
      <c r="S71" s="653"/>
      <c r="T71" s="654"/>
      <c r="U71" s="34"/>
      <c r="V71" s="34"/>
      <c r="W71" s="35" t="s">
        <v>67</v>
      </c>
      <c r="X71" s="643">
        <v>0</v>
      </c>
      <c r="Y71" s="644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151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159</v>
      </c>
      <c r="B72" s="54" t="s">
        <v>161</v>
      </c>
      <c r="C72" s="31">
        <v>4301020389</v>
      </c>
      <c r="D72" s="647">
        <v>4680115881433</v>
      </c>
      <c r="E72" s="648"/>
      <c r="F72" s="642">
        <v>0.45</v>
      </c>
      <c r="G72" s="32">
        <v>6</v>
      </c>
      <c r="H72" s="642">
        <v>2.7</v>
      </c>
      <c r="I72" s="642">
        <v>2.88</v>
      </c>
      <c r="J72" s="32">
        <v>182</v>
      </c>
      <c r="K72" s="32" t="s">
        <v>77</v>
      </c>
      <c r="L72" s="32"/>
      <c r="M72" s="33" t="s">
        <v>115</v>
      </c>
      <c r="N72" s="33"/>
      <c r="O72" s="32">
        <v>50</v>
      </c>
      <c r="P72" s="98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3"/>
      <c r="R72" s="653"/>
      <c r="S72" s="653"/>
      <c r="T72" s="654"/>
      <c r="U72" s="34"/>
      <c r="V72" s="34"/>
      <c r="W72" s="35" t="s">
        <v>67</v>
      </c>
      <c r="X72" s="643">
        <v>0</v>
      </c>
      <c r="Y72" s="644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153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idden="1" x14ac:dyDescent="0.2">
      <c r="A73" s="657"/>
      <c r="B73" s="658"/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9"/>
      <c r="P73" s="649" t="s">
        <v>72</v>
      </c>
      <c r="Q73" s="650"/>
      <c r="R73" s="650"/>
      <c r="S73" s="650"/>
      <c r="T73" s="650"/>
      <c r="U73" s="650"/>
      <c r="V73" s="651"/>
      <c r="W73" s="37" t="s">
        <v>73</v>
      </c>
      <c r="X73" s="645">
        <f>IFERROR(X67/H67,"0")+IFERROR(X68/H68,"0")+IFERROR(X69/H69,"0")+IFERROR(X70/H70,"0")+IFERROR(X71/H71,"0")+IFERROR(X72/H72,"0")</f>
        <v>0</v>
      </c>
      <c r="Y73" s="645">
        <f>IFERROR(Y67/H67,"0")+IFERROR(Y68/H68,"0")+IFERROR(Y69/H69,"0")+IFERROR(Y70/H70,"0")+IFERROR(Y71/H71,"0")+IFERROR(Y72/H72,"0")</f>
        <v>0</v>
      </c>
      <c r="Z73" s="645">
        <f>IFERROR(IF(Z67="",0,Z67),"0")+IFERROR(IF(Z68="",0,Z68),"0")+IFERROR(IF(Z69="",0,Z69),"0")+IFERROR(IF(Z70="",0,Z70),"0")+IFERROR(IF(Z71="",0,Z71),"0")+IFERROR(IF(Z72="",0,Z72),"0")</f>
        <v>0</v>
      </c>
      <c r="AA73" s="646"/>
      <c r="AB73" s="646"/>
      <c r="AC73" s="646"/>
    </row>
    <row r="74" spans="1:68" hidden="1" x14ac:dyDescent="0.2">
      <c r="A74" s="658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9"/>
      <c r="P74" s="649" t="s">
        <v>72</v>
      </c>
      <c r="Q74" s="650"/>
      <c r="R74" s="650"/>
      <c r="S74" s="650"/>
      <c r="T74" s="650"/>
      <c r="U74" s="650"/>
      <c r="V74" s="651"/>
      <c r="W74" s="37" t="s">
        <v>67</v>
      </c>
      <c r="X74" s="645">
        <f>IFERROR(SUM(X67:X72),"0")</f>
        <v>0</v>
      </c>
      <c r="Y74" s="645">
        <f>IFERROR(SUM(Y67:Y72),"0")</f>
        <v>0</v>
      </c>
      <c r="Z74" s="37"/>
      <c r="AA74" s="646"/>
      <c r="AB74" s="646"/>
      <c r="AC74" s="646"/>
    </row>
    <row r="75" spans="1:68" ht="14.25" hidden="1" customHeight="1" x14ac:dyDescent="0.25">
      <c r="A75" s="667" t="s">
        <v>74</v>
      </c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39"/>
      <c r="AB75" s="639"/>
      <c r="AC75" s="639"/>
    </row>
    <row r="76" spans="1:68" ht="16.5" hidden="1" customHeight="1" x14ac:dyDescent="0.25">
      <c r="A76" s="54" t="s">
        <v>162</v>
      </c>
      <c r="B76" s="54" t="s">
        <v>163</v>
      </c>
      <c r="C76" s="31">
        <v>4301051837</v>
      </c>
      <c r="D76" s="647">
        <v>4680115884311</v>
      </c>
      <c r="E76" s="648"/>
      <c r="F76" s="642">
        <v>0.3</v>
      </c>
      <c r="G76" s="32">
        <v>6</v>
      </c>
      <c r="H76" s="642">
        <v>1.8</v>
      </c>
      <c r="I76" s="642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3"/>
      <c r="R76" s="653"/>
      <c r="S76" s="653"/>
      <c r="T76" s="654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164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165</v>
      </c>
      <c r="B77" s="54" t="s">
        <v>166</v>
      </c>
      <c r="C77" s="31">
        <v>4301052083</v>
      </c>
      <c r="D77" s="647">
        <v>4680115884403</v>
      </c>
      <c r="E77" s="648"/>
      <c r="F77" s="642">
        <v>0.3</v>
      </c>
      <c r="G77" s="32">
        <v>6</v>
      </c>
      <c r="H77" s="642">
        <v>1.8</v>
      </c>
      <c r="I77" s="642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4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3"/>
      <c r="R77" s="653"/>
      <c r="S77" s="653"/>
      <c r="T77" s="654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167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7"/>
      <c r="B78" s="658"/>
      <c r="C78" s="658"/>
      <c r="D78" s="658"/>
      <c r="E78" s="658"/>
      <c r="F78" s="658"/>
      <c r="G78" s="658"/>
      <c r="H78" s="658"/>
      <c r="I78" s="658"/>
      <c r="J78" s="658"/>
      <c r="K78" s="658"/>
      <c r="L78" s="658"/>
      <c r="M78" s="658"/>
      <c r="N78" s="658"/>
      <c r="O78" s="659"/>
      <c r="P78" s="649" t="s">
        <v>72</v>
      </c>
      <c r="Q78" s="650"/>
      <c r="R78" s="650"/>
      <c r="S78" s="650"/>
      <c r="T78" s="650"/>
      <c r="U78" s="650"/>
      <c r="V78" s="651"/>
      <c r="W78" s="37" t="s">
        <v>73</v>
      </c>
      <c r="X78" s="645">
        <f>IFERROR(X76/H76,"0")+IFERROR(X77/H77,"0")</f>
        <v>0</v>
      </c>
      <c r="Y78" s="645">
        <f>IFERROR(Y76/H76,"0")+IFERROR(Y77/H77,"0")</f>
        <v>0</v>
      </c>
      <c r="Z78" s="645">
        <f>IFERROR(IF(Z76="",0,Z76),"0")+IFERROR(IF(Z77="",0,Z77),"0")</f>
        <v>0</v>
      </c>
      <c r="AA78" s="646"/>
      <c r="AB78" s="646"/>
      <c r="AC78" s="646"/>
    </row>
    <row r="79" spans="1:68" hidden="1" x14ac:dyDescent="0.2">
      <c r="A79" s="658"/>
      <c r="B79" s="658"/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9"/>
      <c r="P79" s="649" t="s">
        <v>72</v>
      </c>
      <c r="Q79" s="650"/>
      <c r="R79" s="650"/>
      <c r="S79" s="650"/>
      <c r="T79" s="650"/>
      <c r="U79" s="650"/>
      <c r="V79" s="651"/>
      <c r="W79" s="37" t="s">
        <v>67</v>
      </c>
      <c r="X79" s="645">
        <f>IFERROR(SUM(X76:X77),"0")</f>
        <v>0</v>
      </c>
      <c r="Y79" s="645">
        <f>IFERROR(SUM(Y76:Y77),"0")</f>
        <v>0</v>
      </c>
      <c r="Z79" s="37"/>
      <c r="AA79" s="646"/>
      <c r="AB79" s="646"/>
      <c r="AC79" s="646"/>
    </row>
    <row r="80" spans="1:68" ht="14.25" hidden="1" customHeight="1" x14ac:dyDescent="0.25">
      <c r="A80" s="667" t="s">
        <v>168</v>
      </c>
      <c r="B80" s="658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39"/>
      <c r="AB80" s="639"/>
      <c r="AC80" s="639"/>
    </row>
    <row r="81" spans="1:68" ht="27" customHeight="1" x14ac:dyDescent="0.25">
      <c r="A81" s="54" t="s">
        <v>169</v>
      </c>
      <c r="B81" s="54" t="s">
        <v>170</v>
      </c>
      <c r="C81" s="31">
        <v>4301060455</v>
      </c>
      <c r="D81" s="647">
        <v>4680115881532</v>
      </c>
      <c r="E81" s="648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3"/>
      <c r="R81" s="653"/>
      <c r="S81" s="653"/>
      <c r="T81" s="654"/>
      <c r="U81" s="34"/>
      <c r="V81" s="34"/>
      <c r="W81" s="35" t="s">
        <v>67</v>
      </c>
      <c r="X81" s="643">
        <v>65</v>
      </c>
      <c r="Y81" s="644">
        <f>IFERROR(IF(X81="",0,CEILING((X81/$H81),1)*$H81),"")</f>
        <v>70.2</v>
      </c>
      <c r="Z81" s="36">
        <f>IFERROR(IF(Y81=0,"",ROUNDUP(Y81/H81,0)*0.01898),"")</f>
        <v>0.17082</v>
      </c>
      <c r="AA81" s="56"/>
      <c r="AB81" s="57"/>
      <c r="AC81" s="135" t="s">
        <v>171</v>
      </c>
      <c r="AG81" s="64"/>
      <c r="AJ81" s="68"/>
      <c r="AK81" s="68">
        <v>0</v>
      </c>
      <c r="BB81" s="136" t="s">
        <v>1</v>
      </c>
      <c r="BM81" s="64">
        <f>IFERROR(X81*I81/H81,"0")</f>
        <v>68.416666666666686</v>
      </c>
      <c r="BN81" s="64">
        <f>IFERROR(Y81*I81/H81,"0")</f>
        <v>73.890000000000015</v>
      </c>
      <c r="BO81" s="64">
        <f>IFERROR(1/J81*(X81/H81),"0")</f>
        <v>0.13020833333333334</v>
      </c>
      <c r="BP81" s="64">
        <f>IFERROR(1/J81*(Y81/H81),"0")</f>
        <v>0.140625</v>
      </c>
    </row>
    <row r="82" spans="1:68" ht="27" hidden="1" customHeight="1" x14ac:dyDescent="0.25">
      <c r="A82" s="54" t="s">
        <v>169</v>
      </c>
      <c r="B82" s="54" t="s">
        <v>172</v>
      </c>
      <c r="C82" s="31">
        <v>4301060526</v>
      </c>
      <c r="D82" s="647">
        <v>4680115881532</v>
      </c>
      <c r="E82" s="648"/>
      <c r="F82" s="642">
        <v>1.3</v>
      </c>
      <c r="G82" s="32">
        <v>6</v>
      </c>
      <c r="H82" s="642">
        <v>7.8</v>
      </c>
      <c r="I82" s="642">
        <v>8.2100000000000009</v>
      </c>
      <c r="J82" s="32">
        <v>64</v>
      </c>
      <c r="K82" s="32" t="s">
        <v>114</v>
      </c>
      <c r="L82" s="32"/>
      <c r="M82" s="33" t="s">
        <v>84</v>
      </c>
      <c r="N82" s="33"/>
      <c r="O82" s="32">
        <v>30</v>
      </c>
      <c r="P82" s="9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3"/>
      <c r="R82" s="653"/>
      <c r="S82" s="653"/>
      <c r="T82" s="654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171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4301060527</v>
      </c>
      <c r="D83" s="647">
        <v>4680115881464</v>
      </c>
      <c r="E83" s="648"/>
      <c r="F83" s="642">
        <v>0.4</v>
      </c>
      <c r="G83" s="32">
        <v>6</v>
      </c>
      <c r="H83" s="642">
        <v>2.4</v>
      </c>
      <c r="I83" s="642">
        <v>2.59</v>
      </c>
      <c r="J83" s="32">
        <v>132</v>
      </c>
      <c r="K83" s="32" t="s">
        <v>123</v>
      </c>
      <c r="L83" s="32"/>
      <c r="M83" s="33" t="s">
        <v>78</v>
      </c>
      <c r="N83" s="33"/>
      <c r="O83" s="32">
        <v>30</v>
      </c>
      <c r="P83" s="10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4"/>
      <c r="V83" s="34"/>
      <c r="W83" s="35" t="s">
        <v>67</v>
      </c>
      <c r="X83" s="643">
        <v>0</v>
      </c>
      <c r="Y83" s="644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175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7"/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9"/>
      <c r="P84" s="649" t="s">
        <v>72</v>
      </c>
      <c r="Q84" s="650"/>
      <c r="R84" s="650"/>
      <c r="S84" s="650"/>
      <c r="T84" s="650"/>
      <c r="U84" s="650"/>
      <c r="V84" s="651"/>
      <c r="W84" s="37" t="s">
        <v>73</v>
      </c>
      <c r="X84" s="645">
        <f>IFERROR(X81/H81,"0")+IFERROR(X82/H82,"0")+IFERROR(X83/H83,"0")</f>
        <v>8.3333333333333339</v>
      </c>
      <c r="Y84" s="645">
        <f>IFERROR(Y81/H81,"0")+IFERROR(Y82/H82,"0")+IFERROR(Y83/H83,"0")</f>
        <v>9</v>
      </c>
      <c r="Z84" s="645">
        <f>IFERROR(IF(Z81="",0,Z81),"0")+IFERROR(IF(Z82="",0,Z82),"0")+IFERROR(IF(Z83="",0,Z83),"0")</f>
        <v>0.17082</v>
      </c>
      <c r="AA84" s="646"/>
      <c r="AB84" s="646"/>
      <c r="AC84" s="646"/>
    </row>
    <row r="85" spans="1:68" x14ac:dyDescent="0.2">
      <c r="A85" s="658"/>
      <c r="B85" s="658"/>
      <c r="C85" s="658"/>
      <c r="D85" s="658"/>
      <c r="E85" s="658"/>
      <c r="F85" s="658"/>
      <c r="G85" s="658"/>
      <c r="H85" s="658"/>
      <c r="I85" s="658"/>
      <c r="J85" s="658"/>
      <c r="K85" s="658"/>
      <c r="L85" s="658"/>
      <c r="M85" s="658"/>
      <c r="N85" s="658"/>
      <c r="O85" s="659"/>
      <c r="P85" s="649" t="s">
        <v>72</v>
      </c>
      <c r="Q85" s="650"/>
      <c r="R85" s="650"/>
      <c r="S85" s="650"/>
      <c r="T85" s="650"/>
      <c r="U85" s="650"/>
      <c r="V85" s="651"/>
      <c r="W85" s="37" t="s">
        <v>67</v>
      </c>
      <c r="X85" s="645">
        <f>IFERROR(SUM(X81:X83),"0")</f>
        <v>65</v>
      </c>
      <c r="Y85" s="645">
        <f>IFERROR(SUM(Y81:Y83),"0")</f>
        <v>70.2</v>
      </c>
      <c r="Z85" s="37"/>
      <c r="AA85" s="646"/>
      <c r="AB85" s="646"/>
      <c r="AC85" s="646"/>
    </row>
    <row r="86" spans="1:68" ht="16.5" hidden="1" customHeight="1" x14ac:dyDescent="0.25">
      <c r="A86" s="673" t="s">
        <v>176</v>
      </c>
      <c r="B86" s="658"/>
      <c r="C86" s="658"/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8"/>
      <c r="P86" s="658"/>
      <c r="Q86" s="658"/>
      <c r="R86" s="658"/>
      <c r="S86" s="658"/>
      <c r="T86" s="658"/>
      <c r="U86" s="658"/>
      <c r="V86" s="658"/>
      <c r="W86" s="658"/>
      <c r="X86" s="658"/>
      <c r="Y86" s="658"/>
      <c r="Z86" s="658"/>
      <c r="AA86" s="638"/>
      <c r="AB86" s="638"/>
      <c r="AC86" s="638"/>
    </row>
    <row r="87" spans="1:68" ht="14.25" hidden="1" customHeight="1" x14ac:dyDescent="0.25">
      <c r="A87" s="667" t="s">
        <v>111</v>
      </c>
      <c r="B87" s="658"/>
      <c r="C87" s="658"/>
      <c r="D87" s="658"/>
      <c r="E87" s="658"/>
      <c r="F87" s="658"/>
      <c r="G87" s="658"/>
      <c r="H87" s="658"/>
      <c r="I87" s="658"/>
      <c r="J87" s="658"/>
      <c r="K87" s="658"/>
      <c r="L87" s="658"/>
      <c r="M87" s="658"/>
      <c r="N87" s="658"/>
      <c r="O87" s="658"/>
      <c r="P87" s="658"/>
      <c r="Q87" s="658"/>
      <c r="R87" s="658"/>
      <c r="S87" s="658"/>
      <c r="T87" s="658"/>
      <c r="U87" s="658"/>
      <c r="V87" s="658"/>
      <c r="W87" s="658"/>
      <c r="X87" s="658"/>
      <c r="Y87" s="658"/>
      <c r="Z87" s="658"/>
      <c r="AA87" s="639"/>
      <c r="AB87" s="639"/>
      <c r="AC87" s="639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47">
        <v>4680115881327</v>
      </c>
      <c r="E88" s="648"/>
      <c r="F88" s="642">
        <v>1.35</v>
      </c>
      <c r="G88" s="32">
        <v>8</v>
      </c>
      <c r="H88" s="642">
        <v>10.8</v>
      </c>
      <c r="I88" s="642">
        <v>11.21</v>
      </c>
      <c r="J88" s="32">
        <v>64</v>
      </c>
      <c r="K88" s="32" t="s">
        <v>114</v>
      </c>
      <c r="L88" s="32"/>
      <c r="M88" s="33" t="s">
        <v>84</v>
      </c>
      <c r="N88" s="33"/>
      <c r="O88" s="32">
        <v>50</v>
      </c>
      <c r="P88" s="8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4301012392</v>
      </c>
      <c r="D89" s="647">
        <v>4680115887732</v>
      </c>
      <c r="E89" s="648"/>
      <c r="F89" s="642">
        <v>0.17</v>
      </c>
      <c r="G89" s="32">
        <v>8</v>
      </c>
      <c r="H89" s="642">
        <v>1.36</v>
      </c>
      <c r="I89" s="642">
        <v>1.54</v>
      </c>
      <c r="J89" s="32">
        <v>192</v>
      </c>
      <c r="K89" s="32" t="s">
        <v>119</v>
      </c>
      <c r="L89" s="32"/>
      <c r="M89" s="33" t="s">
        <v>66</v>
      </c>
      <c r="N89" s="33"/>
      <c r="O89" s="32">
        <v>30</v>
      </c>
      <c r="P89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43" t="s">
        <v>182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7">
        <v>4680115881518</v>
      </c>
      <c r="E90" s="648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78</v>
      </c>
      <c r="N90" s="33"/>
      <c r="O90" s="32">
        <v>50</v>
      </c>
      <c r="P90" s="8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185</v>
      </c>
      <c r="C91" s="31">
        <v>4301012252</v>
      </c>
      <c r="D91" s="647">
        <v>4680115881518</v>
      </c>
      <c r="E91" s="648"/>
      <c r="F91" s="642">
        <v>0.4</v>
      </c>
      <c r="G91" s="32">
        <v>10</v>
      </c>
      <c r="H91" s="642">
        <v>4</v>
      </c>
      <c r="I91" s="642">
        <v>4.1900000000000004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3"/>
      <c r="R91" s="653"/>
      <c r="S91" s="653"/>
      <c r="T91" s="654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179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4301012250</v>
      </c>
      <c r="D92" s="647">
        <v>4680115881303</v>
      </c>
      <c r="E92" s="648"/>
      <c r="F92" s="642">
        <v>0.45</v>
      </c>
      <c r="G92" s="32">
        <v>10</v>
      </c>
      <c r="H92" s="642">
        <v>4.5</v>
      </c>
      <c r="I92" s="642">
        <v>4.6900000000000004</v>
      </c>
      <c r="J92" s="32">
        <v>132</v>
      </c>
      <c r="K92" s="32" t="s">
        <v>123</v>
      </c>
      <c r="L92" s="32"/>
      <c r="M92" s="33" t="s">
        <v>115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3"/>
      <c r="R92" s="653"/>
      <c r="S92" s="653"/>
      <c r="T92" s="654"/>
      <c r="U92" s="34"/>
      <c r="V92" s="34"/>
      <c r="W92" s="35" t="s">
        <v>67</v>
      </c>
      <c r="X92" s="643">
        <v>54</v>
      </c>
      <c r="Y92" s="644">
        <f>IFERROR(IF(X92="",0,CEILING((X92/$H92),1)*$H92),"")</f>
        <v>54</v>
      </c>
      <c r="Z92" s="36">
        <f>IFERROR(IF(Y92=0,"",ROUNDUP(Y92/H92,0)*0.00902),"")</f>
        <v>0.10824</v>
      </c>
      <c r="AA92" s="56"/>
      <c r="AB92" s="57"/>
      <c r="AC92" s="149" t="s">
        <v>179</v>
      </c>
      <c r="AG92" s="64"/>
      <c r="AJ92" s="68"/>
      <c r="AK92" s="68">
        <v>0</v>
      </c>
      <c r="BB92" s="150" t="s">
        <v>1</v>
      </c>
      <c r="BM92" s="64">
        <f>IFERROR(X92*I92/H92,"0")</f>
        <v>56.28</v>
      </c>
      <c r="BN92" s="64">
        <f>IFERROR(Y92*I92/H92,"0")</f>
        <v>56.28</v>
      </c>
      <c r="BO92" s="64">
        <f>IFERROR(1/J92*(X92/H92),"0")</f>
        <v>9.0909090909090912E-2</v>
      </c>
      <c r="BP92" s="64">
        <f>IFERROR(1/J92*(Y92/H92),"0")</f>
        <v>9.0909090909090912E-2</v>
      </c>
    </row>
    <row r="93" spans="1:68" x14ac:dyDescent="0.2">
      <c r="A93" s="657"/>
      <c r="B93" s="658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9"/>
      <c r="P93" s="649" t="s">
        <v>72</v>
      </c>
      <c r="Q93" s="650"/>
      <c r="R93" s="650"/>
      <c r="S93" s="650"/>
      <c r="T93" s="650"/>
      <c r="U93" s="650"/>
      <c r="V93" s="651"/>
      <c r="W93" s="37" t="s">
        <v>73</v>
      </c>
      <c r="X93" s="645">
        <f>IFERROR(X88/H88,"0")+IFERROR(X89/H89,"0")+IFERROR(X90/H90,"0")+IFERROR(X91/H91,"0")+IFERROR(X92/H92,"0")</f>
        <v>12</v>
      </c>
      <c r="Y93" s="645">
        <f>IFERROR(Y88/H88,"0")+IFERROR(Y89/H89,"0")+IFERROR(Y90/H90,"0")+IFERROR(Y91/H91,"0")+IFERROR(Y92/H92,"0")</f>
        <v>12</v>
      </c>
      <c r="Z93" s="645">
        <f>IFERROR(IF(Z88="",0,Z88),"0")+IFERROR(IF(Z89="",0,Z89),"0")+IFERROR(IF(Z90="",0,Z90),"0")+IFERROR(IF(Z91="",0,Z91),"0")+IFERROR(IF(Z92="",0,Z92),"0")</f>
        <v>0.10824</v>
      </c>
      <c r="AA93" s="646"/>
      <c r="AB93" s="646"/>
      <c r="AC93" s="646"/>
    </row>
    <row r="94" spans="1:68" x14ac:dyDescent="0.2">
      <c r="A94" s="658"/>
      <c r="B94" s="658"/>
      <c r="C94" s="658"/>
      <c r="D94" s="658"/>
      <c r="E94" s="658"/>
      <c r="F94" s="658"/>
      <c r="G94" s="658"/>
      <c r="H94" s="658"/>
      <c r="I94" s="658"/>
      <c r="J94" s="658"/>
      <c r="K94" s="658"/>
      <c r="L94" s="658"/>
      <c r="M94" s="658"/>
      <c r="N94" s="658"/>
      <c r="O94" s="659"/>
      <c r="P94" s="649" t="s">
        <v>72</v>
      </c>
      <c r="Q94" s="650"/>
      <c r="R94" s="650"/>
      <c r="S94" s="650"/>
      <c r="T94" s="650"/>
      <c r="U94" s="650"/>
      <c r="V94" s="651"/>
      <c r="W94" s="37" t="s">
        <v>67</v>
      </c>
      <c r="X94" s="645">
        <f>IFERROR(SUM(X88:X92),"0")</f>
        <v>54</v>
      </c>
      <c r="Y94" s="645">
        <f>IFERROR(SUM(Y88:Y92),"0")</f>
        <v>54</v>
      </c>
      <c r="Z94" s="37"/>
      <c r="AA94" s="646"/>
      <c r="AB94" s="646"/>
      <c r="AC94" s="646"/>
    </row>
    <row r="95" spans="1:68" ht="14.25" hidden="1" customHeight="1" x14ac:dyDescent="0.25">
      <c r="A95" s="667" t="s">
        <v>74</v>
      </c>
      <c r="B95" s="658"/>
      <c r="C95" s="658"/>
      <c r="D95" s="658"/>
      <c r="E95" s="658"/>
      <c r="F95" s="658"/>
      <c r="G95" s="658"/>
      <c r="H95" s="658"/>
      <c r="I95" s="658"/>
      <c r="J95" s="658"/>
      <c r="K95" s="658"/>
      <c r="L95" s="658"/>
      <c r="M95" s="658"/>
      <c r="N95" s="658"/>
      <c r="O95" s="658"/>
      <c r="P95" s="658"/>
      <c r="Q95" s="658"/>
      <c r="R95" s="658"/>
      <c r="S95" s="658"/>
      <c r="T95" s="658"/>
      <c r="U95" s="658"/>
      <c r="V95" s="658"/>
      <c r="W95" s="658"/>
      <c r="X95" s="658"/>
      <c r="Y95" s="658"/>
      <c r="Z95" s="658"/>
      <c r="AA95" s="639"/>
      <c r="AB95" s="639"/>
      <c r="AC95" s="639"/>
    </row>
    <row r="96" spans="1:68" ht="27" hidden="1" customHeight="1" x14ac:dyDescent="0.25">
      <c r="A96" s="54" t="s">
        <v>188</v>
      </c>
      <c r="B96" s="54" t="s">
        <v>189</v>
      </c>
      <c r="C96" s="31">
        <v>4301052101</v>
      </c>
      <c r="D96" s="647">
        <v>4607091386967</v>
      </c>
      <c r="E96" s="648"/>
      <c r="F96" s="642">
        <v>1.35</v>
      </c>
      <c r="G96" s="32">
        <v>6</v>
      </c>
      <c r="H96" s="642">
        <v>8.1</v>
      </c>
      <c r="I96" s="642">
        <v>8.5939999999999994</v>
      </c>
      <c r="J96" s="32">
        <v>64</v>
      </c>
      <c r="K96" s="32" t="s">
        <v>114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3"/>
      <c r="R96" s="653"/>
      <c r="S96" s="653"/>
      <c r="T96" s="654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IFERROR(IF(Y96=0,"",ROUNDUP(Y96/H96,0)*0.01898),"")</f>
        <v/>
      </c>
      <c r="AA96" s="56"/>
      <c r="AB96" s="57"/>
      <c r="AC96" s="151" t="s">
        <v>190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191</v>
      </c>
      <c r="B97" s="54" t="s">
        <v>192</v>
      </c>
      <c r="C97" s="31">
        <v>4301052090</v>
      </c>
      <c r="D97" s="647">
        <v>4680115884953</v>
      </c>
      <c r="E97" s="648"/>
      <c r="F97" s="642">
        <v>0.37</v>
      </c>
      <c r="G97" s="32">
        <v>6</v>
      </c>
      <c r="H97" s="642">
        <v>2.2200000000000002</v>
      </c>
      <c r="I97" s="642">
        <v>2.472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3"/>
      <c r="R97" s="653"/>
      <c r="S97" s="653"/>
      <c r="T97" s="654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193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customHeight="1" x14ac:dyDescent="0.25">
      <c r="A98" s="54" t="s">
        <v>194</v>
      </c>
      <c r="B98" s="54" t="s">
        <v>195</v>
      </c>
      <c r="C98" s="31">
        <v>4301052094</v>
      </c>
      <c r="D98" s="647">
        <v>4607091385731</v>
      </c>
      <c r="E98" s="648"/>
      <c r="F98" s="642">
        <v>0.45</v>
      </c>
      <c r="G98" s="32">
        <v>6</v>
      </c>
      <c r="H98" s="642">
        <v>2.7</v>
      </c>
      <c r="I98" s="642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0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3"/>
      <c r="R98" s="653"/>
      <c r="S98" s="653"/>
      <c r="T98" s="654"/>
      <c r="U98" s="34"/>
      <c r="V98" s="34"/>
      <c r="W98" s="35" t="s">
        <v>67</v>
      </c>
      <c r="X98" s="643">
        <v>180</v>
      </c>
      <c r="Y98" s="644">
        <f>IFERROR(IF(X98="",0,CEILING((X98/$H98),1)*$H98),"")</f>
        <v>180.9</v>
      </c>
      <c r="Z98" s="36">
        <f>IFERROR(IF(Y98=0,"",ROUNDUP(Y98/H98,0)*0.00651),"")</f>
        <v>0.43617</v>
      </c>
      <c r="AA98" s="56"/>
      <c r="AB98" s="57"/>
      <c r="AC98" s="155" t="s">
        <v>190</v>
      </c>
      <c r="AG98" s="64"/>
      <c r="AJ98" s="68"/>
      <c r="AK98" s="68">
        <v>0</v>
      </c>
      <c r="BB98" s="156" t="s">
        <v>1</v>
      </c>
      <c r="BM98" s="64">
        <f>IFERROR(X98*I98/H98,"0")</f>
        <v>196.79999999999998</v>
      </c>
      <c r="BN98" s="64">
        <f>IFERROR(Y98*I98/H98,"0")</f>
        <v>197.78399999999999</v>
      </c>
      <c r="BO98" s="64">
        <f>IFERROR(1/J98*(X98/H98),"0")</f>
        <v>0.36630036630036628</v>
      </c>
      <c r="BP98" s="64">
        <f>IFERROR(1/J98*(Y98/H98),"0")</f>
        <v>0.36813186813186816</v>
      </c>
    </row>
    <row r="99" spans="1:68" ht="16.5" hidden="1" customHeight="1" x14ac:dyDescent="0.25">
      <c r="A99" s="54" t="s">
        <v>196</v>
      </c>
      <c r="B99" s="54" t="s">
        <v>197</v>
      </c>
      <c r="C99" s="31">
        <v>4301052092</v>
      </c>
      <c r="D99" s="647">
        <v>4680115880894</v>
      </c>
      <c r="E99" s="648"/>
      <c r="F99" s="642">
        <v>0.33</v>
      </c>
      <c r="G99" s="32">
        <v>6</v>
      </c>
      <c r="H99" s="642">
        <v>1.98</v>
      </c>
      <c r="I99" s="642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9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3"/>
      <c r="R99" s="653"/>
      <c r="S99" s="653"/>
      <c r="T99" s="654"/>
      <c r="U99" s="34"/>
      <c r="V99" s="34"/>
      <c r="W99" s="35" t="s">
        <v>67</v>
      </c>
      <c r="X99" s="643">
        <v>0</v>
      </c>
      <c r="Y99" s="64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198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7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9"/>
      <c r="P100" s="649" t="s">
        <v>72</v>
      </c>
      <c r="Q100" s="650"/>
      <c r="R100" s="650"/>
      <c r="S100" s="650"/>
      <c r="T100" s="650"/>
      <c r="U100" s="650"/>
      <c r="V100" s="651"/>
      <c r="W100" s="37" t="s">
        <v>73</v>
      </c>
      <c r="X100" s="645">
        <f>IFERROR(X96/H96,"0")+IFERROR(X97/H97,"0")+IFERROR(X98/H98,"0")+IFERROR(X99/H99,"0")</f>
        <v>66.666666666666657</v>
      </c>
      <c r="Y100" s="645">
        <f>IFERROR(Y96/H96,"0")+IFERROR(Y97/H97,"0")+IFERROR(Y98/H98,"0")+IFERROR(Y99/H99,"0")</f>
        <v>67</v>
      </c>
      <c r="Z100" s="645">
        <f>IFERROR(IF(Z96="",0,Z96),"0")+IFERROR(IF(Z97="",0,Z97),"0")+IFERROR(IF(Z98="",0,Z98),"0")+IFERROR(IF(Z99="",0,Z99),"0")</f>
        <v>0.43617</v>
      </c>
      <c r="AA100" s="646"/>
      <c r="AB100" s="646"/>
      <c r="AC100" s="646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9"/>
      <c r="P101" s="649" t="s">
        <v>72</v>
      </c>
      <c r="Q101" s="650"/>
      <c r="R101" s="650"/>
      <c r="S101" s="650"/>
      <c r="T101" s="650"/>
      <c r="U101" s="650"/>
      <c r="V101" s="651"/>
      <c r="W101" s="37" t="s">
        <v>67</v>
      </c>
      <c r="X101" s="645">
        <f>IFERROR(SUM(X96:X99),"0")</f>
        <v>180</v>
      </c>
      <c r="Y101" s="645">
        <f>IFERROR(SUM(Y96:Y99),"0")</f>
        <v>180.9</v>
      </c>
      <c r="Z101" s="37"/>
      <c r="AA101" s="646"/>
      <c r="AB101" s="646"/>
      <c r="AC101" s="646"/>
    </row>
    <row r="102" spans="1:68" ht="16.5" hidden="1" customHeight="1" x14ac:dyDescent="0.25">
      <c r="A102" s="673" t="s">
        <v>199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38"/>
      <c r="AB102" s="638"/>
      <c r="AC102" s="638"/>
    </row>
    <row r="103" spans="1:68" ht="14.25" hidden="1" customHeight="1" x14ac:dyDescent="0.25">
      <c r="A103" s="66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39"/>
      <c r="AB103" s="639"/>
      <c r="AC103" s="639"/>
    </row>
    <row r="104" spans="1:68" ht="37.5" customHeight="1" x14ac:dyDescent="0.25">
      <c r="A104" s="54" t="s">
        <v>200</v>
      </c>
      <c r="B104" s="54" t="s">
        <v>201</v>
      </c>
      <c r="C104" s="31">
        <v>4301011514</v>
      </c>
      <c r="D104" s="647">
        <v>4680115882133</v>
      </c>
      <c r="E104" s="648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3"/>
      <c r="R104" s="653"/>
      <c r="S104" s="653"/>
      <c r="T104" s="654"/>
      <c r="U104" s="34"/>
      <c r="V104" s="34"/>
      <c r="W104" s="35" t="s">
        <v>67</v>
      </c>
      <c r="X104" s="643">
        <v>60</v>
      </c>
      <c r="Y104" s="644">
        <f t="shared" ref="Y104:Y112" si="10">IFERROR(IF(X104="",0,CEILING((X104/$H104),1)*$H104),"")</f>
        <v>64.800000000000011</v>
      </c>
      <c r="Z104" s="36">
        <f>IFERROR(IF(Y104=0,"",ROUNDUP(Y104/H104,0)*0.01898),"")</f>
        <v>0.11388000000000001</v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62.277777777777779</v>
      </c>
      <c r="BN104" s="64">
        <f t="shared" ref="BN104:BN112" si="12">IFERROR(Y104*I104/H104,"0")</f>
        <v>67.260000000000005</v>
      </c>
      <c r="BO104" s="64">
        <f t="shared" ref="BO104:BO112" si="13">IFERROR(1/J104*(X104/H104),"0")</f>
        <v>8.6805555555555552E-2</v>
      </c>
      <c r="BP104" s="64">
        <f t="shared" ref="BP104:BP112" si="14">IFERROR(1/J104*(Y104/H104),"0")</f>
        <v>9.3750000000000014E-2</v>
      </c>
    </row>
    <row r="105" spans="1:68" ht="27" hidden="1" customHeight="1" x14ac:dyDescent="0.25">
      <c r="A105" s="54" t="s">
        <v>200</v>
      </c>
      <c r="B105" s="54" t="s">
        <v>203</v>
      </c>
      <c r="C105" s="31">
        <v>4301012256</v>
      </c>
      <c r="D105" s="647">
        <v>4680115882133</v>
      </c>
      <c r="E105" s="648"/>
      <c r="F105" s="642">
        <v>1.35</v>
      </c>
      <c r="G105" s="32">
        <v>8</v>
      </c>
      <c r="H105" s="642">
        <v>10.8</v>
      </c>
      <c r="I105" s="642">
        <v>11.21</v>
      </c>
      <c r="J105" s="32">
        <v>64</v>
      </c>
      <c r="K105" s="32" t="s">
        <v>114</v>
      </c>
      <c r="L105" s="32"/>
      <c r="M105" s="33" t="s">
        <v>115</v>
      </c>
      <c r="N105" s="33"/>
      <c r="O105" s="32">
        <v>50</v>
      </c>
      <c r="P105" s="94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3"/>
      <c r="R105" s="653"/>
      <c r="S105" s="653"/>
      <c r="T105" s="654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4301012379</v>
      </c>
      <c r="D106" s="647">
        <v>4680115887718</v>
      </c>
      <c r="E106" s="648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3"/>
      <c r="R106" s="653"/>
      <c r="S106" s="653"/>
      <c r="T106" s="654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4301011417</v>
      </c>
      <c r="D107" s="647">
        <v>4680115880269</v>
      </c>
      <c r="E107" s="648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3"/>
      <c r="R107" s="653"/>
      <c r="S107" s="653"/>
      <c r="T107" s="654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208</v>
      </c>
      <c r="B108" s="54" t="s">
        <v>210</v>
      </c>
      <c r="C108" s="31">
        <v>4301012253</v>
      </c>
      <c r="D108" s="647">
        <v>4680115880269</v>
      </c>
      <c r="E108" s="648"/>
      <c r="F108" s="642">
        <v>0.375</v>
      </c>
      <c r="G108" s="32">
        <v>10</v>
      </c>
      <c r="H108" s="642">
        <v>3.75</v>
      </c>
      <c r="I108" s="642">
        <v>3.94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3"/>
      <c r="R108" s="653"/>
      <c r="S108" s="653"/>
      <c r="T108" s="654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211</v>
      </c>
      <c r="B109" s="54" t="s">
        <v>212</v>
      </c>
      <c r="C109" s="31">
        <v>4301012254</v>
      </c>
      <c r="D109" s="647">
        <v>4680115880429</v>
      </c>
      <c r="E109" s="648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3"/>
      <c r="R109" s="653"/>
      <c r="S109" s="653"/>
      <c r="T109" s="654"/>
      <c r="U109" s="34"/>
      <c r="V109" s="34"/>
      <c r="W109" s="35" t="s">
        <v>67</v>
      </c>
      <c r="X109" s="643">
        <v>32</v>
      </c>
      <c r="Y109" s="644">
        <f t="shared" si="10"/>
        <v>36</v>
      </c>
      <c r="Z109" s="36">
        <f>IFERROR(IF(Y109=0,"",ROUNDUP(Y109/H109,0)*0.00902),"")</f>
        <v>7.2160000000000002E-2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33.351111111111116</v>
      </c>
      <c r="BN109" s="64">
        <f t="shared" si="12"/>
        <v>37.520000000000003</v>
      </c>
      <c r="BO109" s="64">
        <f t="shared" si="13"/>
        <v>5.387205387205387E-2</v>
      </c>
      <c r="BP109" s="64">
        <f t="shared" si="14"/>
        <v>6.0606060606060608E-2</v>
      </c>
    </row>
    <row r="110" spans="1:68" ht="37.5" hidden="1" customHeight="1" x14ac:dyDescent="0.25">
      <c r="A110" s="54" t="s">
        <v>213</v>
      </c>
      <c r="B110" s="54" t="s">
        <v>214</v>
      </c>
      <c r="C110" s="31">
        <v>4301011462</v>
      </c>
      <c r="D110" s="647">
        <v>4680115881457</v>
      </c>
      <c r="E110" s="648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3"/>
      <c r="R110" s="653"/>
      <c r="S110" s="653"/>
      <c r="T110" s="654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213</v>
      </c>
      <c r="B111" s="54" t="s">
        <v>215</v>
      </c>
      <c r="C111" s="31">
        <v>4301012255</v>
      </c>
      <c r="D111" s="647">
        <v>4680115881457</v>
      </c>
      <c r="E111" s="648"/>
      <c r="F111" s="642">
        <v>0.75</v>
      </c>
      <c r="G111" s="32">
        <v>6</v>
      </c>
      <c r="H111" s="642">
        <v>4.5</v>
      </c>
      <c r="I111" s="642">
        <v>4.6900000000000004</v>
      </c>
      <c r="J111" s="32">
        <v>132</v>
      </c>
      <c r="K111" s="32" t="s">
        <v>123</v>
      </c>
      <c r="L111" s="32"/>
      <c r="M111" s="33" t="s">
        <v>115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3"/>
      <c r="R111" s="653"/>
      <c r="S111" s="653"/>
      <c r="T111" s="654"/>
      <c r="U111" s="34"/>
      <c r="V111" s="34"/>
      <c r="W111" s="35" t="s">
        <v>67</v>
      </c>
      <c r="X111" s="643">
        <v>0</v>
      </c>
      <c r="Y111" s="644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4301012366</v>
      </c>
      <c r="D112" s="647">
        <v>4680115889477</v>
      </c>
      <c r="E112" s="648"/>
      <c r="F112" s="642">
        <v>0.4</v>
      </c>
      <c r="G112" s="32">
        <v>6</v>
      </c>
      <c r="H112" s="642">
        <v>2.4</v>
      </c>
      <c r="I112" s="642">
        <v>2.58</v>
      </c>
      <c r="J112" s="32">
        <v>182</v>
      </c>
      <c r="K112" s="32" t="s">
        <v>77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3"/>
      <c r="R112" s="653"/>
      <c r="S112" s="653"/>
      <c r="T112" s="654"/>
      <c r="U112" s="34"/>
      <c r="V112" s="34"/>
      <c r="W112" s="35" t="s">
        <v>67</v>
      </c>
      <c r="X112" s="643">
        <v>0</v>
      </c>
      <c r="Y112" s="644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218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7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59"/>
      <c r="P113" s="649" t="s">
        <v>72</v>
      </c>
      <c r="Q113" s="650"/>
      <c r="R113" s="650"/>
      <c r="S113" s="650"/>
      <c r="T113" s="650"/>
      <c r="U113" s="650"/>
      <c r="V113" s="651"/>
      <c r="W113" s="37" t="s">
        <v>73</v>
      </c>
      <c r="X113" s="645">
        <f>IFERROR(X104/H104,"0")+IFERROR(X105/H105,"0")+IFERROR(X106/H106,"0")+IFERROR(X107/H107,"0")+IFERROR(X108/H108,"0")+IFERROR(X109/H109,"0")+IFERROR(X110/H110,"0")+IFERROR(X111/H111,"0")+IFERROR(X112/H112,"0")</f>
        <v>12.666666666666666</v>
      </c>
      <c r="Y113" s="645">
        <f>IFERROR(Y104/H104,"0")+IFERROR(Y105/H105,"0")+IFERROR(Y106/H106,"0")+IFERROR(Y107/H107,"0")+IFERROR(Y108/H108,"0")+IFERROR(Y109/H109,"0")+IFERROR(Y110/H110,"0")+IFERROR(Y111/H111,"0")+IFERROR(Y112/H112,"0")</f>
        <v>14</v>
      </c>
      <c r="Z113" s="645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0.18604000000000001</v>
      </c>
      <c r="AA113" s="646"/>
      <c r="AB113" s="646"/>
      <c r="AC113" s="646"/>
    </row>
    <row r="114" spans="1:68" x14ac:dyDescent="0.2">
      <c r="A114" s="658"/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9"/>
      <c r="P114" s="649" t="s">
        <v>72</v>
      </c>
      <c r="Q114" s="650"/>
      <c r="R114" s="650"/>
      <c r="S114" s="650"/>
      <c r="T114" s="650"/>
      <c r="U114" s="650"/>
      <c r="V114" s="651"/>
      <c r="W114" s="37" t="s">
        <v>67</v>
      </c>
      <c r="X114" s="645">
        <f>IFERROR(SUM(X104:X112),"0")</f>
        <v>92</v>
      </c>
      <c r="Y114" s="645">
        <f>IFERROR(SUM(Y104:Y112),"0")</f>
        <v>100.80000000000001</v>
      </c>
      <c r="Z114" s="37"/>
      <c r="AA114" s="646"/>
      <c r="AB114" s="646"/>
      <c r="AC114" s="646"/>
    </row>
    <row r="115" spans="1:68" ht="14.25" hidden="1" customHeight="1" x14ac:dyDescent="0.25">
      <c r="A115" s="667" t="s">
        <v>148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39"/>
      <c r="AB115" s="639"/>
      <c r="AC115" s="639"/>
    </row>
    <row r="116" spans="1:68" ht="27" hidden="1" customHeight="1" x14ac:dyDescent="0.25">
      <c r="A116" s="54" t="s">
        <v>219</v>
      </c>
      <c r="B116" s="54" t="s">
        <v>220</v>
      </c>
      <c r="C116" s="31">
        <v>4301020391</v>
      </c>
      <c r="D116" s="647">
        <v>4680115881488</v>
      </c>
      <c r="E116" s="648"/>
      <c r="F116" s="642">
        <v>1.35</v>
      </c>
      <c r="G116" s="32">
        <v>8</v>
      </c>
      <c r="H116" s="642">
        <v>10.8</v>
      </c>
      <c r="I116" s="642">
        <v>11.21</v>
      </c>
      <c r="J116" s="32">
        <v>64</v>
      </c>
      <c r="K116" s="32" t="s">
        <v>114</v>
      </c>
      <c r="L116" s="32"/>
      <c r="M116" s="33" t="s">
        <v>115</v>
      </c>
      <c r="N116" s="33"/>
      <c r="O116" s="32">
        <v>55</v>
      </c>
      <c r="P116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3"/>
      <c r="R116" s="653"/>
      <c r="S116" s="653"/>
      <c r="T116" s="654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221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4301020393</v>
      </c>
      <c r="D117" s="647">
        <v>4680115882775</v>
      </c>
      <c r="E117" s="648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3"/>
      <c r="R117" s="653"/>
      <c r="S117" s="653"/>
      <c r="T117" s="654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221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224</v>
      </c>
      <c r="B118" s="54" t="s">
        <v>225</v>
      </c>
      <c r="C118" s="31">
        <v>4301020392</v>
      </c>
      <c r="D118" s="647">
        <v>4680115880658</v>
      </c>
      <c r="E118" s="648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3"/>
      <c r="R118" s="653"/>
      <c r="S118" s="653"/>
      <c r="T118" s="654"/>
      <c r="U118" s="34"/>
      <c r="V118" s="34"/>
      <c r="W118" s="35" t="s">
        <v>67</v>
      </c>
      <c r="X118" s="643">
        <v>12</v>
      </c>
      <c r="Y118" s="644">
        <f>IFERROR(IF(X118="",0,CEILING((X118/$H118),1)*$H118),"")</f>
        <v>12</v>
      </c>
      <c r="Z118" s="36">
        <f>IFERROR(IF(Y118=0,"",ROUNDUP(Y118/H118,0)*0.00651),"")</f>
        <v>3.2550000000000003E-2</v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12.9</v>
      </c>
      <c r="BN118" s="64">
        <f>IFERROR(Y118*I118/H118,"0")</f>
        <v>12.9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657"/>
      <c r="B119" s="658"/>
      <c r="C119" s="658"/>
      <c r="D119" s="658"/>
      <c r="E119" s="658"/>
      <c r="F119" s="658"/>
      <c r="G119" s="658"/>
      <c r="H119" s="658"/>
      <c r="I119" s="658"/>
      <c r="J119" s="658"/>
      <c r="K119" s="658"/>
      <c r="L119" s="658"/>
      <c r="M119" s="658"/>
      <c r="N119" s="658"/>
      <c r="O119" s="659"/>
      <c r="P119" s="649" t="s">
        <v>72</v>
      </c>
      <c r="Q119" s="650"/>
      <c r="R119" s="650"/>
      <c r="S119" s="650"/>
      <c r="T119" s="650"/>
      <c r="U119" s="650"/>
      <c r="V119" s="651"/>
      <c r="W119" s="37" t="s">
        <v>73</v>
      </c>
      <c r="X119" s="645">
        <f>IFERROR(X116/H116,"0")+IFERROR(X117/H117,"0")+IFERROR(X118/H118,"0")</f>
        <v>5</v>
      </c>
      <c r="Y119" s="645">
        <f>IFERROR(Y116/H116,"0")+IFERROR(Y117/H117,"0")+IFERROR(Y118/H118,"0")</f>
        <v>5</v>
      </c>
      <c r="Z119" s="645">
        <f>IFERROR(IF(Z116="",0,Z116),"0")+IFERROR(IF(Z117="",0,Z117),"0")+IFERROR(IF(Z118="",0,Z118),"0")</f>
        <v>3.2550000000000003E-2</v>
      </c>
      <c r="AA119" s="646"/>
      <c r="AB119" s="646"/>
      <c r="AC119" s="646"/>
    </row>
    <row r="120" spans="1:68" x14ac:dyDescent="0.2">
      <c r="A120" s="658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9"/>
      <c r="P120" s="649" t="s">
        <v>72</v>
      </c>
      <c r="Q120" s="650"/>
      <c r="R120" s="650"/>
      <c r="S120" s="650"/>
      <c r="T120" s="650"/>
      <c r="U120" s="650"/>
      <c r="V120" s="651"/>
      <c r="W120" s="37" t="s">
        <v>67</v>
      </c>
      <c r="X120" s="645">
        <f>IFERROR(SUM(X116:X118),"0")</f>
        <v>12</v>
      </c>
      <c r="Y120" s="645">
        <f>IFERROR(SUM(Y116:Y118),"0")</f>
        <v>12</v>
      </c>
      <c r="Z120" s="37"/>
      <c r="AA120" s="646"/>
      <c r="AB120" s="646"/>
      <c r="AC120" s="646"/>
    </row>
    <row r="121" spans="1:68" ht="14.25" hidden="1" customHeight="1" x14ac:dyDescent="0.25">
      <c r="A121" s="667" t="s">
        <v>74</v>
      </c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39"/>
      <c r="AB121" s="639"/>
      <c r="AC121" s="639"/>
    </row>
    <row r="122" spans="1:68" ht="27" hidden="1" customHeight="1" x14ac:dyDescent="0.25">
      <c r="A122" s="54" t="s">
        <v>226</v>
      </c>
      <c r="B122" s="54" t="s">
        <v>227</v>
      </c>
      <c r="C122" s="31">
        <v>4301052088</v>
      </c>
      <c r="D122" s="647">
        <v>4607091385168</v>
      </c>
      <c r="E122" s="648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78</v>
      </c>
      <c r="N122" s="33"/>
      <c r="O122" s="32">
        <v>45</v>
      </c>
      <c r="P122" s="81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3"/>
      <c r="R122" s="653"/>
      <c r="S122" s="653"/>
      <c r="T122" s="654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229</v>
      </c>
      <c r="B123" s="54" t="s">
        <v>230</v>
      </c>
      <c r="C123" s="31">
        <v>4301052087</v>
      </c>
      <c r="D123" s="647">
        <v>4607091383256</v>
      </c>
      <c r="E123" s="648"/>
      <c r="F123" s="642">
        <v>0.33</v>
      </c>
      <c r="G123" s="32">
        <v>6</v>
      </c>
      <c r="H123" s="642">
        <v>1.98</v>
      </c>
      <c r="I123" s="642">
        <v>2.226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3"/>
      <c r="R123" s="653"/>
      <c r="S123" s="653"/>
      <c r="T123" s="654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228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231</v>
      </c>
      <c r="B124" s="54" t="s">
        <v>232</v>
      </c>
      <c r="C124" s="31">
        <v>4301052086</v>
      </c>
      <c r="D124" s="647">
        <v>4607091385748</v>
      </c>
      <c r="E124" s="648"/>
      <c r="F124" s="642">
        <v>0.45</v>
      </c>
      <c r="G124" s="32">
        <v>6</v>
      </c>
      <c r="H124" s="642">
        <v>2.7</v>
      </c>
      <c r="I124" s="642">
        <v>2.952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07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3"/>
      <c r="R124" s="653"/>
      <c r="S124" s="653"/>
      <c r="T124" s="654"/>
      <c r="U124" s="34"/>
      <c r="V124" s="34"/>
      <c r="W124" s="35" t="s">
        <v>67</v>
      </c>
      <c r="X124" s="643">
        <v>102</v>
      </c>
      <c r="Y124" s="644">
        <f>IFERROR(IF(X124="",0,CEILING((X124/$H124),1)*$H124),"")</f>
        <v>102.60000000000001</v>
      </c>
      <c r="Z124" s="36">
        <f>IFERROR(IF(Y124=0,"",ROUNDUP(Y124/H124,0)*0.00651),"")</f>
        <v>0.24738000000000002</v>
      </c>
      <c r="AA124" s="56"/>
      <c r="AB124" s="57"/>
      <c r="AC124" s="187" t="s">
        <v>228</v>
      </c>
      <c r="AG124" s="64"/>
      <c r="AJ124" s="68"/>
      <c r="AK124" s="68">
        <v>0</v>
      </c>
      <c r="BB124" s="188" t="s">
        <v>1</v>
      </c>
      <c r="BM124" s="64">
        <f>IFERROR(X124*I124/H124,"0")</f>
        <v>111.51999999999998</v>
      </c>
      <c r="BN124" s="64">
        <f>IFERROR(Y124*I124/H124,"0")</f>
        <v>112.176</v>
      </c>
      <c r="BO124" s="64">
        <f>IFERROR(1/J124*(X124/H124),"0")</f>
        <v>0.20757020757020758</v>
      </c>
      <c r="BP124" s="64">
        <f>IFERROR(1/J124*(Y124/H124),"0")</f>
        <v>0.2087912087912088</v>
      </c>
    </row>
    <row r="125" spans="1:68" ht="16.5" hidden="1" customHeight="1" x14ac:dyDescent="0.25">
      <c r="A125" s="54" t="s">
        <v>233</v>
      </c>
      <c r="B125" s="54" t="s">
        <v>234</v>
      </c>
      <c r="C125" s="31">
        <v>4301052085</v>
      </c>
      <c r="D125" s="647">
        <v>4680115884533</v>
      </c>
      <c r="E125" s="648"/>
      <c r="F125" s="642">
        <v>0.3</v>
      </c>
      <c r="G125" s="32">
        <v>6</v>
      </c>
      <c r="H125" s="642">
        <v>1.8</v>
      </c>
      <c r="I125" s="642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928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3"/>
      <c r="R125" s="653"/>
      <c r="S125" s="653"/>
      <c r="T125" s="654"/>
      <c r="U125" s="34"/>
      <c r="V125" s="34"/>
      <c r="W125" s="35" t="s">
        <v>67</v>
      </c>
      <c r="X125" s="643">
        <v>0</v>
      </c>
      <c r="Y125" s="6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235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7"/>
      <c r="B126" s="658"/>
      <c r="C126" s="658"/>
      <c r="D126" s="658"/>
      <c r="E126" s="658"/>
      <c r="F126" s="658"/>
      <c r="G126" s="658"/>
      <c r="H126" s="658"/>
      <c r="I126" s="658"/>
      <c r="J126" s="658"/>
      <c r="K126" s="658"/>
      <c r="L126" s="658"/>
      <c r="M126" s="658"/>
      <c r="N126" s="658"/>
      <c r="O126" s="659"/>
      <c r="P126" s="649" t="s">
        <v>72</v>
      </c>
      <c r="Q126" s="650"/>
      <c r="R126" s="650"/>
      <c r="S126" s="650"/>
      <c r="T126" s="650"/>
      <c r="U126" s="650"/>
      <c r="V126" s="651"/>
      <c r="W126" s="37" t="s">
        <v>73</v>
      </c>
      <c r="X126" s="645">
        <f>IFERROR(X122/H122,"0")+IFERROR(X123/H123,"0")+IFERROR(X124/H124,"0")+IFERROR(X125/H125,"0")</f>
        <v>37.777777777777779</v>
      </c>
      <c r="Y126" s="645">
        <f>IFERROR(Y122/H122,"0")+IFERROR(Y123/H123,"0")+IFERROR(Y124/H124,"0")+IFERROR(Y125/H125,"0")</f>
        <v>38</v>
      </c>
      <c r="Z126" s="645">
        <f>IFERROR(IF(Z122="",0,Z122),"0")+IFERROR(IF(Z123="",0,Z123),"0")+IFERROR(IF(Z124="",0,Z124),"0")+IFERROR(IF(Z125="",0,Z125),"0")</f>
        <v>0.24738000000000002</v>
      </c>
      <c r="AA126" s="646"/>
      <c r="AB126" s="646"/>
      <c r="AC126" s="646"/>
    </row>
    <row r="127" spans="1:68" x14ac:dyDescent="0.2">
      <c r="A127" s="658"/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9"/>
      <c r="P127" s="649" t="s">
        <v>72</v>
      </c>
      <c r="Q127" s="650"/>
      <c r="R127" s="650"/>
      <c r="S127" s="650"/>
      <c r="T127" s="650"/>
      <c r="U127" s="650"/>
      <c r="V127" s="651"/>
      <c r="W127" s="37" t="s">
        <v>67</v>
      </c>
      <c r="X127" s="645">
        <f>IFERROR(SUM(X122:X125),"0")</f>
        <v>102</v>
      </c>
      <c r="Y127" s="645">
        <f>IFERROR(SUM(Y122:Y125),"0")</f>
        <v>102.60000000000001</v>
      </c>
      <c r="Z127" s="37"/>
      <c r="AA127" s="646"/>
      <c r="AB127" s="646"/>
      <c r="AC127" s="646"/>
    </row>
    <row r="128" spans="1:68" ht="14.25" hidden="1" customHeight="1" x14ac:dyDescent="0.25">
      <c r="A128" s="667" t="s">
        <v>168</v>
      </c>
      <c r="B128" s="658"/>
      <c r="C128" s="658"/>
      <c r="D128" s="658"/>
      <c r="E128" s="658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39"/>
      <c r="AB128" s="639"/>
      <c r="AC128" s="639"/>
    </row>
    <row r="129" spans="1:68" ht="16.5" customHeight="1" x14ac:dyDescent="0.25">
      <c r="A129" s="54" t="s">
        <v>236</v>
      </c>
      <c r="B129" s="54" t="s">
        <v>237</v>
      </c>
      <c r="C129" s="31">
        <v>4301060525</v>
      </c>
      <c r="D129" s="647">
        <v>4680115880238</v>
      </c>
      <c r="E129" s="648"/>
      <c r="F129" s="642">
        <v>0.33</v>
      </c>
      <c r="G129" s="32">
        <v>6</v>
      </c>
      <c r="H129" s="642">
        <v>1.98</v>
      </c>
      <c r="I129" s="642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5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3"/>
      <c r="R129" s="653"/>
      <c r="S129" s="653"/>
      <c r="T129" s="654"/>
      <c r="U129" s="34"/>
      <c r="V129" s="34"/>
      <c r="W129" s="35" t="s">
        <v>67</v>
      </c>
      <c r="X129" s="643">
        <v>10</v>
      </c>
      <c r="Y129" s="644">
        <f>IFERROR(IF(X129="",0,CEILING((X129/$H129),1)*$H129),"")</f>
        <v>11.879999999999999</v>
      </c>
      <c r="Z129" s="36">
        <f>IFERROR(IF(Y129=0,"",ROUNDUP(Y129/H129,0)*0.00651),"")</f>
        <v>3.9059999999999997E-2</v>
      </c>
      <c r="AA129" s="56"/>
      <c r="AB129" s="57"/>
      <c r="AC129" s="191" t="s">
        <v>238</v>
      </c>
      <c r="AG129" s="64"/>
      <c r="AJ129" s="68"/>
      <c r="AK129" s="68">
        <v>0</v>
      </c>
      <c r="BB129" s="192" t="s">
        <v>1</v>
      </c>
      <c r="BM129" s="64">
        <f>IFERROR(X129*I129/H129,"0")</f>
        <v>11.303030303030303</v>
      </c>
      <c r="BN129" s="64">
        <f>IFERROR(Y129*I129/H129,"0")</f>
        <v>13.427999999999999</v>
      </c>
      <c r="BO129" s="64">
        <f>IFERROR(1/J129*(X129/H129),"0")</f>
        <v>2.7750027750027752E-2</v>
      </c>
      <c r="BP129" s="64">
        <f>IFERROR(1/J129*(Y129/H129),"0")</f>
        <v>3.2967032967032968E-2</v>
      </c>
    </row>
    <row r="130" spans="1:68" x14ac:dyDescent="0.2">
      <c r="A130" s="657"/>
      <c r="B130" s="658"/>
      <c r="C130" s="658"/>
      <c r="D130" s="658"/>
      <c r="E130" s="658"/>
      <c r="F130" s="658"/>
      <c r="G130" s="658"/>
      <c r="H130" s="658"/>
      <c r="I130" s="658"/>
      <c r="J130" s="658"/>
      <c r="K130" s="658"/>
      <c r="L130" s="658"/>
      <c r="M130" s="658"/>
      <c r="N130" s="658"/>
      <c r="O130" s="659"/>
      <c r="P130" s="649" t="s">
        <v>72</v>
      </c>
      <c r="Q130" s="650"/>
      <c r="R130" s="650"/>
      <c r="S130" s="650"/>
      <c r="T130" s="650"/>
      <c r="U130" s="650"/>
      <c r="V130" s="651"/>
      <c r="W130" s="37" t="s">
        <v>73</v>
      </c>
      <c r="X130" s="645">
        <f>IFERROR(X129/H129,"0")</f>
        <v>5.0505050505050502</v>
      </c>
      <c r="Y130" s="645">
        <f>IFERROR(Y129/H129,"0")</f>
        <v>5.9999999999999991</v>
      </c>
      <c r="Z130" s="645">
        <f>IFERROR(IF(Z129="",0,Z129),"0")</f>
        <v>3.9059999999999997E-2</v>
      </c>
      <c r="AA130" s="646"/>
      <c r="AB130" s="646"/>
      <c r="AC130" s="646"/>
    </row>
    <row r="131" spans="1:68" x14ac:dyDescent="0.2">
      <c r="A131" s="658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9"/>
      <c r="P131" s="649" t="s">
        <v>72</v>
      </c>
      <c r="Q131" s="650"/>
      <c r="R131" s="650"/>
      <c r="S131" s="650"/>
      <c r="T131" s="650"/>
      <c r="U131" s="650"/>
      <c r="V131" s="651"/>
      <c r="W131" s="37" t="s">
        <v>67</v>
      </c>
      <c r="X131" s="645">
        <f>IFERROR(SUM(X129:X129),"0")</f>
        <v>10</v>
      </c>
      <c r="Y131" s="645">
        <f>IFERROR(SUM(Y129:Y129),"0")</f>
        <v>11.879999999999999</v>
      </c>
      <c r="Z131" s="37"/>
      <c r="AA131" s="646"/>
      <c r="AB131" s="646"/>
      <c r="AC131" s="646"/>
    </row>
    <row r="132" spans="1:68" ht="16.5" hidden="1" customHeight="1" x14ac:dyDescent="0.25">
      <c r="A132" s="673" t="s">
        <v>239</v>
      </c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38"/>
      <c r="AB132" s="638"/>
      <c r="AC132" s="638"/>
    </row>
    <row r="133" spans="1:68" ht="14.25" hidden="1" customHeight="1" x14ac:dyDescent="0.25">
      <c r="A133" s="667" t="s">
        <v>111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39"/>
      <c r="AB133" s="639"/>
      <c r="AC133" s="639"/>
    </row>
    <row r="134" spans="1:68" ht="27" customHeight="1" x14ac:dyDescent="0.25">
      <c r="A134" s="54" t="s">
        <v>240</v>
      </c>
      <c r="B134" s="54" t="s">
        <v>241</v>
      </c>
      <c r="C134" s="31">
        <v>4301011562</v>
      </c>
      <c r="D134" s="647">
        <v>4680115882577</v>
      </c>
      <c r="E134" s="648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242</v>
      </c>
      <c r="N134" s="33"/>
      <c r="O134" s="32">
        <v>90</v>
      </c>
      <c r="P134" s="9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4"/>
      <c r="V134" s="34"/>
      <c r="W134" s="35" t="s">
        <v>67</v>
      </c>
      <c r="X134" s="643">
        <v>10</v>
      </c>
      <c r="Y134" s="644">
        <f>IFERROR(IF(X134="",0,CEILING((X134/$H134),1)*$H134),"")</f>
        <v>12.8</v>
      </c>
      <c r="Z134" s="36">
        <f>IFERROR(IF(Y134=0,"",ROUNDUP(Y134/H134,0)*0.00651),"")</f>
        <v>2.6040000000000001E-2</v>
      </c>
      <c r="AA134" s="56"/>
      <c r="AB134" s="57"/>
      <c r="AC134" s="193" t="s">
        <v>243</v>
      </c>
      <c r="AG134" s="64"/>
      <c r="AJ134" s="68"/>
      <c r="AK134" s="68">
        <v>0</v>
      </c>
      <c r="BB134" s="194" t="s">
        <v>1</v>
      </c>
      <c r="BM134" s="64">
        <f>IFERROR(X134*I134/H134,"0")</f>
        <v>10.562499999999998</v>
      </c>
      <c r="BN134" s="64">
        <f>IFERROR(Y134*I134/H134,"0")</f>
        <v>13.52</v>
      </c>
      <c r="BO134" s="64">
        <f>IFERROR(1/J134*(X134/H134),"0")</f>
        <v>1.7170329670329672E-2</v>
      </c>
      <c r="BP134" s="64">
        <f>IFERROR(1/J134*(Y134/H134),"0")</f>
        <v>2.197802197802198E-2</v>
      </c>
    </row>
    <row r="135" spans="1:68" ht="27" hidden="1" customHeight="1" x14ac:dyDescent="0.25">
      <c r="A135" s="54" t="s">
        <v>240</v>
      </c>
      <c r="B135" s="54" t="s">
        <v>244</v>
      </c>
      <c r="C135" s="31">
        <v>4301011564</v>
      </c>
      <c r="D135" s="647">
        <v>4680115882577</v>
      </c>
      <c r="E135" s="648"/>
      <c r="F135" s="642">
        <v>0.4</v>
      </c>
      <c r="G135" s="32">
        <v>8</v>
      </c>
      <c r="H135" s="642">
        <v>3.2</v>
      </c>
      <c r="I135" s="642">
        <v>3.38</v>
      </c>
      <c r="J135" s="32">
        <v>182</v>
      </c>
      <c r="K135" s="32" t="s">
        <v>77</v>
      </c>
      <c r="L135" s="32"/>
      <c r="M135" s="33" t="s">
        <v>242</v>
      </c>
      <c r="N135" s="33"/>
      <c r="O135" s="32">
        <v>90</v>
      </c>
      <c r="P135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4"/>
      <c r="V135" s="34"/>
      <c r="W135" s="35" t="s">
        <v>67</v>
      </c>
      <c r="X135" s="643">
        <v>0</v>
      </c>
      <c r="Y135" s="6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243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7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9"/>
      <c r="P136" s="649" t="s">
        <v>72</v>
      </c>
      <c r="Q136" s="650"/>
      <c r="R136" s="650"/>
      <c r="S136" s="650"/>
      <c r="T136" s="650"/>
      <c r="U136" s="650"/>
      <c r="V136" s="651"/>
      <c r="W136" s="37" t="s">
        <v>73</v>
      </c>
      <c r="X136" s="645">
        <f>IFERROR(X134/H134,"0")+IFERROR(X135/H135,"0")</f>
        <v>3.125</v>
      </c>
      <c r="Y136" s="645">
        <f>IFERROR(Y134/H134,"0")+IFERROR(Y135/H135,"0")</f>
        <v>4</v>
      </c>
      <c r="Z136" s="645">
        <f>IFERROR(IF(Z134="",0,Z134),"0")+IFERROR(IF(Z135="",0,Z135),"0")</f>
        <v>2.6040000000000001E-2</v>
      </c>
      <c r="AA136" s="646"/>
      <c r="AB136" s="646"/>
      <c r="AC136" s="646"/>
    </row>
    <row r="137" spans="1:68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59"/>
      <c r="P137" s="649" t="s">
        <v>72</v>
      </c>
      <c r="Q137" s="650"/>
      <c r="R137" s="650"/>
      <c r="S137" s="650"/>
      <c r="T137" s="650"/>
      <c r="U137" s="650"/>
      <c r="V137" s="651"/>
      <c r="W137" s="37" t="s">
        <v>67</v>
      </c>
      <c r="X137" s="645">
        <f>IFERROR(SUM(X134:X135),"0")</f>
        <v>10</v>
      </c>
      <c r="Y137" s="645">
        <f>IFERROR(SUM(Y134:Y135),"0")</f>
        <v>12.8</v>
      </c>
      <c r="Z137" s="37"/>
      <c r="AA137" s="646"/>
      <c r="AB137" s="646"/>
      <c r="AC137" s="646"/>
    </row>
    <row r="138" spans="1:68" ht="14.25" hidden="1" customHeight="1" x14ac:dyDescent="0.25">
      <c r="A138" s="667" t="s">
        <v>62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39"/>
      <c r="AB138" s="639"/>
      <c r="AC138" s="639"/>
    </row>
    <row r="139" spans="1:68" ht="27" customHeight="1" x14ac:dyDescent="0.25">
      <c r="A139" s="54" t="s">
        <v>245</v>
      </c>
      <c r="B139" s="54" t="s">
        <v>246</v>
      </c>
      <c r="C139" s="31">
        <v>4301031234</v>
      </c>
      <c r="D139" s="647">
        <v>4680115883444</v>
      </c>
      <c r="E139" s="648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242</v>
      </c>
      <c r="N139" s="33"/>
      <c r="O139" s="32">
        <v>90</v>
      </c>
      <c r="P139" s="9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3"/>
      <c r="R139" s="653"/>
      <c r="S139" s="653"/>
      <c r="T139" s="654"/>
      <c r="U139" s="34"/>
      <c r="V139" s="34"/>
      <c r="W139" s="35" t="s">
        <v>67</v>
      </c>
      <c r="X139" s="643">
        <v>14</v>
      </c>
      <c r="Y139" s="644">
        <f>IFERROR(IF(X139="",0,CEILING((X139/$H139),1)*$H139),"")</f>
        <v>14</v>
      </c>
      <c r="Z139" s="36">
        <f>IFERROR(IF(Y139=0,"",ROUNDUP(Y139/H139,0)*0.00651),"")</f>
        <v>3.2550000000000003E-2</v>
      </c>
      <c r="AA139" s="56"/>
      <c r="AB139" s="57"/>
      <c r="AC139" s="197" t="s">
        <v>247</v>
      </c>
      <c r="AG139" s="64"/>
      <c r="AJ139" s="68"/>
      <c r="AK139" s="68">
        <v>0</v>
      </c>
      <c r="BB139" s="198" t="s">
        <v>1</v>
      </c>
      <c r="BM139" s="64">
        <f>IFERROR(X139*I139/H139,"0")</f>
        <v>15.34</v>
      </c>
      <c r="BN139" s="64">
        <f>IFERROR(Y139*I139/H139,"0")</f>
        <v>15.34</v>
      </c>
      <c r="BO139" s="64">
        <f>IFERROR(1/J139*(X139/H139),"0")</f>
        <v>2.7472527472527476E-2</v>
      </c>
      <c r="BP139" s="64">
        <f>IFERROR(1/J139*(Y139/H139),"0")</f>
        <v>2.7472527472527476E-2</v>
      </c>
    </row>
    <row r="140" spans="1:68" ht="27" hidden="1" customHeight="1" x14ac:dyDescent="0.25">
      <c r="A140" s="54" t="s">
        <v>245</v>
      </c>
      <c r="B140" s="54" t="s">
        <v>248</v>
      </c>
      <c r="C140" s="31">
        <v>4301031235</v>
      </c>
      <c r="D140" s="647">
        <v>4680115883444</v>
      </c>
      <c r="E140" s="648"/>
      <c r="F140" s="642">
        <v>0.35</v>
      </c>
      <c r="G140" s="32">
        <v>8</v>
      </c>
      <c r="H140" s="642">
        <v>2.8</v>
      </c>
      <c r="I140" s="642">
        <v>3.0680000000000001</v>
      </c>
      <c r="J140" s="32">
        <v>182</v>
      </c>
      <c r="K140" s="32" t="s">
        <v>77</v>
      </c>
      <c r="L140" s="32"/>
      <c r="M140" s="33" t="s">
        <v>242</v>
      </c>
      <c r="N140" s="33"/>
      <c r="O140" s="32">
        <v>90</v>
      </c>
      <c r="P140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3"/>
      <c r="R140" s="653"/>
      <c r="S140" s="653"/>
      <c r="T140" s="654"/>
      <c r="U140" s="34"/>
      <c r="V140" s="34"/>
      <c r="W140" s="35" t="s">
        <v>67</v>
      </c>
      <c r="X140" s="643">
        <v>0</v>
      </c>
      <c r="Y140" s="64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247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57"/>
      <c r="B141" s="658"/>
      <c r="C141" s="658"/>
      <c r="D141" s="658"/>
      <c r="E141" s="658"/>
      <c r="F141" s="658"/>
      <c r="G141" s="658"/>
      <c r="H141" s="658"/>
      <c r="I141" s="658"/>
      <c r="J141" s="658"/>
      <c r="K141" s="658"/>
      <c r="L141" s="658"/>
      <c r="M141" s="658"/>
      <c r="N141" s="658"/>
      <c r="O141" s="659"/>
      <c r="P141" s="649" t="s">
        <v>72</v>
      </c>
      <c r="Q141" s="650"/>
      <c r="R141" s="650"/>
      <c r="S141" s="650"/>
      <c r="T141" s="650"/>
      <c r="U141" s="650"/>
      <c r="V141" s="651"/>
      <c r="W141" s="37" t="s">
        <v>73</v>
      </c>
      <c r="X141" s="645">
        <f>IFERROR(X139/H139,"0")+IFERROR(X140/H140,"0")</f>
        <v>5</v>
      </c>
      <c r="Y141" s="645">
        <f>IFERROR(Y139/H139,"0")+IFERROR(Y140/H140,"0")</f>
        <v>5</v>
      </c>
      <c r="Z141" s="645">
        <f>IFERROR(IF(Z139="",0,Z139),"0")+IFERROR(IF(Z140="",0,Z140),"0")</f>
        <v>3.2550000000000003E-2</v>
      </c>
      <c r="AA141" s="646"/>
      <c r="AB141" s="646"/>
      <c r="AC141" s="646"/>
    </row>
    <row r="142" spans="1:68" x14ac:dyDescent="0.2">
      <c r="A142" s="658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59"/>
      <c r="P142" s="649" t="s">
        <v>72</v>
      </c>
      <c r="Q142" s="650"/>
      <c r="R142" s="650"/>
      <c r="S142" s="650"/>
      <c r="T142" s="650"/>
      <c r="U142" s="650"/>
      <c r="V142" s="651"/>
      <c r="W142" s="37" t="s">
        <v>67</v>
      </c>
      <c r="X142" s="645">
        <f>IFERROR(SUM(X139:X140),"0")</f>
        <v>14</v>
      </c>
      <c r="Y142" s="645">
        <f>IFERROR(SUM(Y139:Y140),"0")</f>
        <v>14</v>
      </c>
      <c r="Z142" s="37"/>
      <c r="AA142" s="646"/>
      <c r="AB142" s="646"/>
      <c r="AC142" s="646"/>
    </row>
    <row r="143" spans="1:68" ht="14.25" hidden="1" customHeight="1" x14ac:dyDescent="0.25">
      <c r="A143" s="667" t="s">
        <v>74</v>
      </c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39"/>
      <c r="AB143" s="639"/>
      <c r="AC143" s="639"/>
    </row>
    <row r="144" spans="1:68" ht="16.5" hidden="1" customHeight="1" x14ac:dyDescent="0.25">
      <c r="A144" s="54" t="s">
        <v>249</v>
      </c>
      <c r="B144" s="54" t="s">
        <v>250</v>
      </c>
      <c r="C144" s="31">
        <v>4301051476</v>
      </c>
      <c r="D144" s="647">
        <v>4680115882584</v>
      </c>
      <c r="E144" s="648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242</v>
      </c>
      <c r="N144" s="33"/>
      <c r="O144" s="32">
        <v>60</v>
      </c>
      <c r="P144" s="6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3"/>
      <c r="R144" s="653"/>
      <c r="S144" s="653"/>
      <c r="T144" s="654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243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249</v>
      </c>
      <c r="B145" s="54" t="s">
        <v>251</v>
      </c>
      <c r="C145" s="31">
        <v>4301051477</v>
      </c>
      <c r="D145" s="647">
        <v>4680115882584</v>
      </c>
      <c r="E145" s="648"/>
      <c r="F145" s="642">
        <v>0.33</v>
      </c>
      <c r="G145" s="32">
        <v>8</v>
      </c>
      <c r="H145" s="642">
        <v>2.64</v>
      </c>
      <c r="I145" s="642">
        <v>2.9079999999999999</v>
      </c>
      <c r="J145" s="32">
        <v>182</v>
      </c>
      <c r="K145" s="32" t="s">
        <v>77</v>
      </c>
      <c r="L145" s="32"/>
      <c r="M145" s="33" t="s">
        <v>242</v>
      </c>
      <c r="N145" s="33"/>
      <c r="O145" s="32">
        <v>60</v>
      </c>
      <c r="P145" s="6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3"/>
      <c r="R145" s="653"/>
      <c r="S145" s="653"/>
      <c r="T145" s="654"/>
      <c r="U145" s="34"/>
      <c r="V145" s="34"/>
      <c r="W145" s="35" t="s">
        <v>67</v>
      </c>
      <c r="X145" s="643">
        <v>0</v>
      </c>
      <c r="Y145" s="64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243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57"/>
      <c r="B146" s="658"/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9"/>
      <c r="P146" s="649" t="s">
        <v>72</v>
      </c>
      <c r="Q146" s="650"/>
      <c r="R146" s="650"/>
      <c r="S146" s="650"/>
      <c r="T146" s="650"/>
      <c r="U146" s="650"/>
      <c r="V146" s="651"/>
      <c r="W146" s="37" t="s">
        <v>73</v>
      </c>
      <c r="X146" s="645">
        <f>IFERROR(X144/H144,"0")+IFERROR(X145/H145,"0")</f>
        <v>0</v>
      </c>
      <c r="Y146" s="645">
        <f>IFERROR(Y144/H144,"0")+IFERROR(Y145/H145,"0")</f>
        <v>0</v>
      </c>
      <c r="Z146" s="645">
        <f>IFERROR(IF(Z144="",0,Z144),"0")+IFERROR(IF(Z145="",0,Z145),"0")</f>
        <v>0</v>
      </c>
      <c r="AA146" s="646"/>
      <c r="AB146" s="646"/>
      <c r="AC146" s="646"/>
    </row>
    <row r="147" spans="1:68" hidden="1" x14ac:dyDescent="0.2">
      <c r="A147" s="658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9"/>
      <c r="P147" s="649" t="s">
        <v>72</v>
      </c>
      <c r="Q147" s="650"/>
      <c r="R147" s="650"/>
      <c r="S147" s="650"/>
      <c r="T147" s="650"/>
      <c r="U147" s="650"/>
      <c r="V147" s="651"/>
      <c r="W147" s="37" t="s">
        <v>67</v>
      </c>
      <c r="X147" s="645">
        <f>IFERROR(SUM(X144:X145),"0")</f>
        <v>0</v>
      </c>
      <c r="Y147" s="645">
        <f>IFERROR(SUM(Y144:Y145),"0")</f>
        <v>0</v>
      </c>
      <c r="Z147" s="37"/>
      <c r="AA147" s="646"/>
      <c r="AB147" s="646"/>
      <c r="AC147" s="646"/>
    </row>
    <row r="148" spans="1:68" ht="16.5" hidden="1" customHeight="1" x14ac:dyDescent="0.25">
      <c r="A148" s="673" t="s">
        <v>252</v>
      </c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38"/>
      <c r="AB148" s="638"/>
      <c r="AC148" s="638"/>
    </row>
    <row r="149" spans="1:68" ht="14.25" hidden="1" customHeight="1" x14ac:dyDescent="0.25">
      <c r="A149" s="66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39"/>
      <c r="AB149" s="639"/>
      <c r="AC149" s="639"/>
    </row>
    <row r="150" spans="1:68" ht="27" hidden="1" customHeight="1" x14ac:dyDescent="0.25">
      <c r="A150" s="54" t="s">
        <v>253</v>
      </c>
      <c r="B150" s="54" t="s">
        <v>254</v>
      </c>
      <c r="C150" s="31">
        <v>4301052254</v>
      </c>
      <c r="D150" s="647">
        <v>4680115888203</v>
      </c>
      <c r="E150" s="648"/>
      <c r="F150" s="642">
        <v>0.22</v>
      </c>
      <c r="G150" s="32">
        <v>6</v>
      </c>
      <c r="H150" s="642">
        <v>1.32</v>
      </c>
      <c r="I150" s="642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3"/>
      <c r="R150" s="653"/>
      <c r="S150" s="653"/>
      <c r="T150" s="654"/>
      <c r="U150" s="34"/>
      <c r="V150" s="34"/>
      <c r="W150" s="35" t="s">
        <v>67</v>
      </c>
      <c r="X150" s="643">
        <v>0</v>
      </c>
      <c r="Y150" s="644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255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4301052172</v>
      </c>
      <c r="D151" s="647">
        <v>4680115888180</v>
      </c>
      <c r="E151" s="648"/>
      <c r="F151" s="642">
        <v>0.22</v>
      </c>
      <c r="G151" s="32">
        <v>9</v>
      </c>
      <c r="H151" s="642">
        <v>1.98</v>
      </c>
      <c r="I151" s="642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3"/>
      <c r="R151" s="653"/>
      <c r="S151" s="653"/>
      <c r="T151" s="654"/>
      <c r="U151" s="34"/>
      <c r="V151" s="34"/>
      <c r="W151" s="35" t="s">
        <v>67</v>
      </c>
      <c r="X151" s="643">
        <v>0</v>
      </c>
      <c r="Y151" s="644">
        <f t="shared" si="15"/>
        <v>0</v>
      </c>
      <c r="Z151" s="36" t="str">
        <f t="shared" si="16"/>
        <v/>
      </c>
      <c r="AA151" s="56"/>
      <c r="AB151" s="57"/>
      <c r="AC151" s="207" t="s">
        <v>258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256</v>
      </c>
      <c r="B152" s="54" t="s">
        <v>259</v>
      </c>
      <c r="C152" s="31">
        <v>4301052252</v>
      </c>
      <c r="D152" s="647">
        <v>4680115888180</v>
      </c>
      <c r="E152" s="648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3"/>
      <c r="R152" s="653"/>
      <c r="S152" s="653"/>
      <c r="T152" s="654"/>
      <c r="U152" s="34"/>
      <c r="V152" s="34"/>
      <c r="W152" s="35" t="s">
        <v>67</v>
      </c>
      <c r="X152" s="643">
        <v>0</v>
      </c>
      <c r="Y152" s="644">
        <f t="shared" si="15"/>
        <v>0</v>
      </c>
      <c r="Z152" s="36" t="str">
        <f t="shared" si="16"/>
        <v/>
      </c>
      <c r="AA152" s="56"/>
      <c r="AB152" s="57"/>
      <c r="AC152" s="209" t="s">
        <v>258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260</v>
      </c>
      <c r="B153" s="54" t="s">
        <v>261</v>
      </c>
      <c r="C153" s="31">
        <v>4301052253</v>
      </c>
      <c r="D153" s="647">
        <v>4680115888197</v>
      </c>
      <c r="E153" s="648"/>
      <c r="F153" s="642">
        <v>0.22</v>
      </c>
      <c r="G153" s="32">
        <v>6</v>
      </c>
      <c r="H153" s="642">
        <v>1.32</v>
      </c>
      <c r="I153" s="64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3"/>
      <c r="R153" s="653"/>
      <c r="S153" s="653"/>
      <c r="T153" s="654"/>
      <c r="U153" s="34"/>
      <c r="V153" s="34"/>
      <c r="W153" s="35" t="s">
        <v>67</v>
      </c>
      <c r="X153" s="643">
        <v>0</v>
      </c>
      <c r="Y153" s="644">
        <f t="shared" si="15"/>
        <v>0</v>
      </c>
      <c r="Z153" s="36" t="str">
        <f t="shared" si="16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263</v>
      </c>
      <c r="B154" s="54" t="s">
        <v>264</v>
      </c>
      <c r="C154" s="31">
        <v>4301052175</v>
      </c>
      <c r="D154" s="647">
        <v>4680115888210</v>
      </c>
      <c r="E154" s="648"/>
      <c r="F154" s="642">
        <v>0.22</v>
      </c>
      <c r="G154" s="32">
        <v>9</v>
      </c>
      <c r="H154" s="642">
        <v>1.98</v>
      </c>
      <c r="I154" s="64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4"/>
      <c r="V154" s="34"/>
      <c r="W154" s="35" t="s">
        <v>67</v>
      </c>
      <c r="X154" s="643">
        <v>0</v>
      </c>
      <c r="Y154" s="644">
        <f t="shared" si="15"/>
        <v>0</v>
      </c>
      <c r="Z154" s="36" t="str">
        <f t="shared" si="16"/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263</v>
      </c>
      <c r="B155" s="54" t="s">
        <v>266</v>
      </c>
      <c r="C155" s="31">
        <v>4301052255</v>
      </c>
      <c r="D155" s="647">
        <v>4680115888210</v>
      </c>
      <c r="E155" s="648"/>
      <c r="F155" s="642">
        <v>0.22</v>
      </c>
      <c r="G155" s="32">
        <v>6</v>
      </c>
      <c r="H155" s="642">
        <v>1.32</v>
      </c>
      <c r="I155" s="64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3"/>
      <c r="R155" s="653"/>
      <c r="S155" s="653"/>
      <c r="T155" s="654"/>
      <c r="U155" s="34"/>
      <c r="V155" s="34"/>
      <c r="W155" s="35" t="s">
        <v>67</v>
      </c>
      <c r="X155" s="643">
        <v>0</v>
      </c>
      <c r="Y155" s="644">
        <f t="shared" si="15"/>
        <v>0</v>
      </c>
      <c r="Z155" s="36" t="str">
        <f t="shared" si="16"/>
        <v/>
      </c>
      <c r="AA155" s="56"/>
      <c r="AB155" s="57"/>
      <c r="AC155" s="215" t="s">
        <v>265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7"/>
      <c r="B156" s="658"/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9"/>
      <c r="P156" s="649" t="s">
        <v>72</v>
      </c>
      <c r="Q156" s="650"/>
      <c r="R156" s="650"/>
      <c r="S156" s="650"/>
      <c r="T156" s="650"/>
      <c r="U156" s="650"/>
      <c r="V156" s="651"/>
      <c r="W156" s="37" t="s">
        <v>73</v>
      </c>
      <c r="X156" s="645">
        <f>IFERROR(X150/H150,"0")+IFERROR(X151/H151,"0")+IFERROR(X152/H152,"0")+IFERROR(X153/H153,"0")+IFERROR(X154/H154,"0")+IFERROR(X155/H155,"0")</f>
        <v>0</v>
      </c>
      <c r="Y156" s="645">
        <f>IFERROR(Y150/H150,"0")+IFERROR(Y151/H151,"0")+IFERROR(Y152/H152,"0")+IFERROR(Y153/H153,"0")+IFERROR(Y154/H154,"0")+IFERROR(Y155/H155,"0")</f>
        <v>0</v>
      </c>
      <c r="Z156" s="645">
        <f>IFERROR(IF(Z150="",0,Z150),"0")+IFERROR(IF(Z151="",0,Z151),"0")+IFERROR(IF(Z152="",0,Z152),"0")+IFERROR(IF(Z153="",0,Z153),"0")+IFERROR(IF(Z154="",0,Z154),"0")+IFERROR(IF(Z155="",0,Z155),"0")</f>
        <v>0</v>
      </c>
      <c r="AA156" s="646"/>
      <c r="AB156" s="646"/>
      <c r="AC156" s="646"/>
    </row>
    <row r="157" spans="1:68" hidden="1" x14ac:dyDescent="0.2">
      <c r="A157" s="658"/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9"/>
      <c r="P157" s="649" t="s">
        <v>72</v>
      </c>
      <c r="Q157" s="650"/>
      <c r="R157" s="650"/>
      <c r="S157" s="650"/>
      <c r="T157" s="650"/>
      <c r="U157" s="650"/>
      <c r="V157" s="651"/>
      <c r="W157" s="37" t="s">
        <v>67</v>
      </c>
      <c r="X157" s="645">
        <f>IFERROR(SUM(X150:X155),"0")</f>
        <v>0</v>
      </c>
      <c r="Y157" s="645">
        <f>IFERROR(SUM(Y150:Y155),"0")</f>
        <v>0</v>
      </c>
      <c r="Z157" s="37"/>
      <c r="AA157" s="646"/>
      <c r="AB157" s="646"/>
      <c r="AC157" s="646"/>
    </row>
    <row r="158" spans="1:68" ht="14.25" hidden="1" customHeight="1" x14ac:dyDescent="0.25">
      <c r="A158" s="667" t="s">
        <v>267</v>
      </c>
      <c r="B158" s="658"/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39"/>
      <c r="AB158" s="639"/>
      <c r="AC158" s="639"/>
    </row>
    <row r="159" spans="1:68" ht="27" hidden="1" customHeight="1" x14ac:dyDescent="0.25">
      <c r="A159" s="54" t="s">
        <v>268</v>
      </c>
      <c r="B159" s="54" t="s">
        <v>269</v>
      </c>
      <c r="C159" s="31">
        <v>4301032067</v>
      </c>
      <c r="D159" s="647">
        <v>4680115889132</v>
      </c>
      <c r="E159" s="648"/>
      <c r="F159" s="642">
        <v>0.04</v>
      </c>
      <c r="G159" s="32">
        <v>8</v>
      </c>
      <c r="H159" s="642">
        <v>0.32</v>
      </c>
      <c r="I159" s="642">
        <v>0.5</v>
      </c>
      <c r="J159" s="32">
        <v>330</v>
      </c>
      <c r="K159" s="32" t="s">
        <v>270</v>
      </c>
      <c r="L159" s="32"/>
      <c r="M159" s="33" t="s">
        <v>271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3"/>
      <c r="R159" s="653"/>
      <c r="S159" s="653"/>
      <c r="T159" s="654"/>
      <c r="U159" s="34"/>
      <c r="V159" s="34"/>
      <c r="W159" s="35" t="s">
        <v>67</v>
      </c>
      <c r="X159" s="643">
        <v>0</v>
      </c>
      <c r="Y159" s="64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272</v>
      </c>
      <c r="AG159" s="64"/>
      <c r="AJ159" s="68"/>
      <c r="AK159" s="68">
        <v>0</v>
      </c>
      <c r="BB159" s="218" t="s">
        <v>273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7"/>
      <c r="B160" s="658"/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9"/>
      <c r="P160" s="649" t="s">
        <v>72</v>
      </c>
      <c r="Q160" s="650"/>
      <c r="R160" s="650"/>
      <c r="S160" s="650"/>
      <c r="T160" s="650"/>
      <c r="U160" s="650"/>
      <c r="V160" s="651"/>
      <c r="W160" s="37" t="s">
        <v>73</v>
      </c>
      <c r="X160" s="645">
        <f>IFERROR(X159/H159,"0")</f>
        <v>0</v>
      </c>
      <c r="Y160" s="645">
        <f>IFERROR(Y159/H159,"0")</f>
        <v>0</v>
      </c>
      <c r="Z160" s="645">
        <f>IFERROR(IF(Z159="",0,Z159),"0")</f>
        <v>0</v>
      </c>
      <c r="AA160" s="646"/>
      <c r="AB160" s="646"/>
      <c r="AC160" s="646"/>
    </row>
    <row r="161" spans="1:68" hidden="1" x14ac:dyDescent="0.2">
      <c r="A161" s="658"/>
      <c r="B161" s="658"/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9"/>
      <c r="P161" s="649" t="s">
        <v>72</v>
      </c>
      <c r="Q161" s="650"/>
      <c r="R161" s="650"/>
      <c r="S161" s="650"/>
      <c r="T161" s="650"/>
      <c r="U161" s="650"/>
      <c r="V161" s="651"/>
      <c r="W161" s="37" t="s">
        <v>67</v>
      </c>
      <c r="X161" s="645">
        <f>IFERROR(SUM(X159:X159),"0")</f>
        <v>0</v>
      </c>
      <c r="Y161" s="645">
        <f>IFERROR(SUM(Y159:Y159),"0")</f>
        <v>0</v>
      </c>
      <c r="Z161" s="37"/>
      <c r="AA161" s="646"/>
      <c r="AB161" s="646"/>
      <c r="AC161" s="646"/>
    </row>
    <row r="162" spans="1:68" ht="16.5" hidden="1" customHeight="1" x14ac:dyDescent="0.25">
      <c r="A162" s="673" t="s">
        <v>109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38"/>
      <c r="AB162" s="638"/>
      <c r="AC162" s="638"/>
    </row>
    <row r="163" spans="1:68" ht="14.25" hidden="1" customHeight="1" x14ac:dyDescent="0.25">
      <c r="A163" s="667" t="s">
        <v>111</v>
      </c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39"/>
      <c r="AB163" s="639"/>
      <c r="AC163" s="639"/>
    </row>
    <row r="164" spans="1:68" ht="27" hidden="1" customHeight="1" x14ac:dyDescent="0.25">
      <c r="A164" s="54" t="s">
        <v>274</v>
      </c>
      <c r="B164" s="54" t="s">
        <v>275</v>
      </c>
      <c r="C164" s="31">
        <v>4301012338</v>
      </c>
      <c r="D164" s="647">
        <v>4680115887374</v>
      </c>
      <c r="E164" s="648"/>
      <c r="F164" s="642">
        <v>1</v>
      </c>
      <c r="G164" s="32">
        <v>6</v>
      </c>
      <c r="H164" s="642">
        <v>6</v>
      </c>
      <c r="I164" s="64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3"/>
      <c r="R164" s="653"/>
      <c r="S164" s="653"/>
      <c r="T164" s="654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276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277</v>
      </c>
      <c r="B165" s="54" t="s">
        <v>278</v>
      </c>
      <c r="C165" s="31">
        <v>4301011705</v>
      </c>
      <c r="D165" s="647">
        <v>4607091384604</v>
      </c>
      <c r="E165" s="648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3"/>
      <c r="R165" s="653"/>
      <c r="S165" s="653"/>
      <c r="T165" s="654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279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277</v>
      </c>
      <c r="B166" s="54" t="s">
        <v>280</v>
      </c>
      <c r="C166" s="31">
        <v>4301012258</v>
      </c>
      <c r="D166" s="647">
        <v>4607091384604</v>
      </c>
      <c r="E166" s="648"/>
      <c r="F166" s="642">
        <v>0.4</v>
      </c>
      <c r="G166" s="32">
        <v>10</v>
      </c>
      <c r="H166" s="642">
        <v>4</v>
      </c>
      <c r="I166" s="642">
        <v>4.1900000000000004</v>
      </c>
      <c r="J166" s="32">
        <v>132</v>
      </c>
      <c r="K166" s="32" t="s">
        <v>123</v>
      </c>
      <c r="L166" s="32"/>
      <c r="M166" s="33" t="s">
        <v>115</v>
      </c>
      <c r="N166" s="33"/>
      <c r="O166" s="32">
        <v>50</v>
      </c>
      <c r="P166" s="96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3"/>
      <c r="R166" s="653"/>
      <c r="S166" s="653"/>
      <c r="T166" s="654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279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281</v>
      </c>
      <c r="B167" s="54" t="s">
        <v>282</v>
      </c>
      <c r="C167" s="31">
        <v>4301012344</v>
      </c>
      <c r="D167" s="647">
        <v>4680115888876</v>
      </c>
      <c r="E167" s="648"/>
      <c r="F167" s="642">
        <v>0.43</v>
      </c>
      <c r="G167" s="32">
        <v>6</v>
      </c>
      <c r="H167" s="642">
        <v>2.58</v>
      </c>
      <c r="I167" s="642">
        <v>2.76</v>
      </c>
      <c r="J167" s="32">
        <v>182</v>
      </c>
      <c r="K167" s="32" t="s">
        <v>77</v>
      </c>
      <c r="L167" s="32"/>
      <c r="M167" s="33" t="s">
        <v>78</v>
      </c>
      <c r="N167" s="33"/>
      <c r="O167" s="32">
        <v>55</v>
      </c>
      <c r="P167" s="7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3"/>
      <c r="R167" s="653"/>
      <c r="S167" s="653"/>
      <c r="T167" s="654"/>
      <c r="U167" s="34"/>
      <c r="V167" s="34"/>
      <c r="W167" s="35" t="s">
        <v>67</v>
      </c>
      <c r="X167" s="643">
        <v>0</v>
      </c>
      <c r="Y167" s="644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7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9"/>
      <c r="P168" s="649" t="s">
        <v>72</v>
      </c>
      <c r="Q168" s="650"/>
      <c r="R168" s="650"/>
      <c r="S168" s="650"/>
      <c r="T168" s="650"/>
      <c r="U168" s="650"/>
      <c r="V168" s="651"/>
      <c r="W168" s="37" t="s">
        <v>73</v>
      </c>
      <c r="X168" s="645">
        <f>IFERROR(X164/H164,"0")+IFERROR(X165/H165,"0")+IFERROR(X166/H166,"0")+IFERROR(X167/H167,"0")</f>
        <v>0</v>
      </c>
      <c r="Y168" s="645">
        <f>IFERROR(Y164/H164,"0")+IFERROR(Y165/H165,"0")+IFERROR(Y166/H166,"0")+IFERROR(Y167/H167,"0")</f>
        <v>0</v>
      </c>
      <c r="Z168" s="645">
        <f>IFERROR(IF(Z164="",0,Z164),"0")+IFERROR(IF(Z165="",0,Z165),"0")+IFERROR(IF(Z166="",0,Z166),"0")+IFERROR(IF(Z167="",0,Z167),"0")</f>
        <v>0</v>
      </c>
      <c r="AA168" s="646"/>
      <c r="AB168" s="646"/>
      <c r="AC168" s="646"/>
    </row>
    <row r="169" spans="1:68" hidden="1" x14ac:dyDescent="0.2">
      <c r="A169" s="658"/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9"/>
      <c r="P169" s="649" t="s">
        <v>72</v>
      </c>
      <c r="Q169" s="650"/>
      <c r="R169" s="650"/>
      <c r="S169" s="650"/>
      <c r="T169" s="650"/>
      <c r="U169" s="650"/>
      <c r="V169" s="651"/>
      <c r="W169" s="37" t="s">
        <v>67</v>
      </c>
      <c r="X169" s="645">
        <f>IFERROR(SUM(X164:X167),"0")</f>
        <v>0</v>
      </c>
      <c r="Y169" s="645">
        <f>IFERROR(SUM(Y164:Y167),"0")</f>
        <v>0</v>
      </c>
      <c r="Z169" s="37"/>
      <c r="AA169" s="646"/>
      <c r="AB169" s="646"/>
      <c r="AC169" s="646"/>
    </row>
    <row r="170" spans="1:68" ht="14.25" hidden="1" customHeight="1" x14ac:dyDescent="0.25">
      <c r="A170" s="667" t="s">
        <v>148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39"/>
      <c r="AB170" s="639"/>
      <c r="AC170" s="639"/>
    </row>
    <row r="171" spans="1:68" ht="16.5" hidden="1" customHeight="1" x14ac:dyDescent="0.25">
      <c r="A171" s="54" t="s">
        <v>284</v>
      </c>
      <c r="B171" s="54" t="s">
        <v>285</v>
      </c>
      <c r="C171" s="31">
        <v>4301020410</v>
      </c>
      <c r="D171" s="647">
        <v>4680115887695</v>
      </c>
      <c r="E171" s="648"/>
      <c r="F171" s="642">
        <v>0.12</v>
      </c>
      <c r="G171" s="32">
        <v>6</v>
      </c>
      <c r="H171" s="642">
        <v>0.72</v>
      </c>
      <c r="I171" s="642">
        <v>0.85</v>
      </c>
      <c r="J171" s="32">
        <v>252</v>
      </c>
      <c r="K171" s="32" t="s">
        <v>65</v>
      </c>
      <c r="L171" s="32"/>
      <c r="M171" s="33" t="s">
        <v>66</v>
      </c>
      <c r="N171" s="33"/>
      <c r="O171" s="32">
        <v>30</v>
      </c>
      <c r="P171" s="7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3"/>
      <c r="R171" s="653"/>
      <c r="S171" s="653"/>
      <c r="T171" s="654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286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287</v>
      </c>
      <c r="B172" s="54" t="s">
        <v>288</v>
      </c>
      <c r="C172" s="31">
        <v>4301020439</v>
      </c>
      <c r="D172" s="647">
        <v>4680115889491</v>
      </c>
      <c r="E172" s="648"/>
      <c r="F172" s="642">
        <v>0.3</v>
      </c>
      <c r="G172" s="32">
        <v>8</v>
      </c>
      <c r="H172" s="642">
        <v>2.4</v>
      </c>
      <c r="I172" s="642">
        <v>2.5</v>
      </c>
      <c r="J172" s="32">
        <v>234</v>
      </c>
      <c r="K172" s="32" t="s">
        <v>65</v>
      </c>
      <c r="L172" s="32"/>
      <c r="M172" s="33" t="s">
        <v>115</v>
      </c>
      <c r="N172" s="33"/>
      <c r="O172" s="32">
        <v>55</v>
      </c>
      <c r="P172" s="6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3"/>
      <c r="R172" s="653"/>
      <c r="S172" s="653"/>
      <c r="T172" s="654"/>
      <c r="U172" s="34"/>
      <c r="V172" s="34"/>
      <c r="W172" s="35" t="s">
        <v>67</v>
      </c>
      <c r="X172" s="643">
        <v>0</v>
      </c>
      <c r="Y172" s="644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289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7"/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9"/>
      <c r="P173" s="649" t="s">
        <v>72</v>
      </c>
      <c r="Q173" s="650"/>
      <c r="R173" s="650"/>
      <c r="S173" s="650"/>
      <c r="T173" s="650"/>
      <c r="U173" s="650"/>
      <c r="V173" s="651"/>
      <c r="W173" s="37" t="s">
        <v>73</v>
      </c>
      <c r="X173" s="645">
        <f>IFERROR(X171/H171,"0")+IFERROR(X172/H172,"0")</f>
        <v>0</v>
      </c>
      <c r="Y173" s="645">
        <f>IFERROR(Y171/H171,"0")+IFERROR(Y172/H172,"0")</f>
        <v>0</v>
      </c>
      <c r="Z173" s="645">
        <f>IFERROR(IF(Z171="",0,Z171),"0")+IFERROR(IF(Z172="",0,Z172),"0")</f>
        <v>0</v>
      </c>
      <c r="AA173" s="646"/>
      <c r="AB173" s="646"/>
      <c r="AC173" s="646"/>
    </row>
    <row r="174" spans="1:68" hidden="1" x14ac:dyDescent="0.2">
      <c r="A174" s="658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9"/>
      <c r="P174" s="649" t="s">
        <v>72</v>
      </c>
      <c r="Q174" s="650"/>
      <c r="R174" s="650"/>
      <c r="S174" s="650"/>
      <c r="T174" s="650"/>
      <c r="U174" s="650"/>
      <c r="V174" s="651"/>
      <c r="W174" s="37" t="s">
        <v>67</v>
      </c>
      <c r="X174" s="645">
        <f>IFERROR(SUM(X171:X172),"0")</f>
        <v>0</v>
      </c>
      <c r="Y174" s="645">
        <f>IFERROR(SUM(Y171:Y172),"0")</f>
        <v>0</v>
      </c>
      <c r="Z174" s="37"/>
      <c r="AA174" s="646"/>
      <c r="AB174" s="646"/>
      <c r="AC174" s="646"/>
    </row>
    <row r="175" spans="1:68" ht="14.25" hidden="1" customHeight="1" x14ac:dyDescent="0.25">
      <c r="A175" s="667" t="s">
        <v>62</v>
      </c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39"/>
      <c r="AB175" s="639"/>
      <c r="AC175" s="639"/>
    </row>
    <row r="176" spans="1:68" ht="27" customHeight="1" x14ac:dyDescent="0.25">
      <c r="A176" s="54" t="s">
        <v>290</v>
      </c>
      <c r="B176" s="54" t="s">
        <v>291</v>
      </c>
      <c r="C176" s="31">
        <v>4301031496</v>
      </c>
      <c r="D176" s="647">
        <v>4680115887428</v>
      </c>
      <c r="E176" s="648"/>
      <c r="F176" s="642">
        <v>0.7</v>
      </c>
      <c r="G176" s="32">
        <v>5</v>
      </c>
      <c r="H176" s="642">
        <v>3.5</v>
      </c>
      <c r="I176" s="642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40</v>
      </c>
      <c r="P176" s="9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3"/>
      <c r="R176" s="653"/>
      <c r="S176" s="653"/>
      <c r="T176" s="654"/>
      <c r="U176" s="34"/>
      <c r="V176" s="34"/>
      <c r="W176" s="35" t="s">
        <v>67</v>
      </c>
      <c r="X176" s="643">
        <v>26</v>
      </c>
      <c r="Y176" s="644">
        <f t="shared" ref="Y176:Y186" si="21">IFERROR(IF(X176="",0,CEILING((X176/$H176),1)*$H176),"")</f>
        <v>28</v>
      </c>
      <c r="Z176" s="36">
        <f>IFERROR(IF(Y176=0,"",ROUNDUP(Y176/H176,0)*0.00902),"")</f>
        <v>7.2160000000000002E-2</v>
      </c>
      <c r="AA176" s="56"/>
      <c r="AB176" s="57"/>
      <c r="AC176" s="231" t="s">
        <v>292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27.411428571428569</v>
      </c>
      <c r="BN176" s="64">
        <f t="shared" ref="BN176:BN186" si="23">IFERROR(Y176*I176/H176,"0")</f>
        <v>29.52</v>
      </c>
      <c r="BO176" s="64">
        <f t="shared" ref="BO176:BO186" si="24">IFERROR(1/J176*(X176/H176),"0")</f>
        <v>5.627705627705628E-2</v>
      </c>
      <c r="BP176" s="64">
        <f t="shared" ref="BP176:BP186" si="25">IFERROR(1/J176*(Y176/H176),"0")</f>
        <v>6.0606060606060608E-2</v>
      </c>
    </row>
    <row r="177" spans="1:68" ht="27" hidden="1" customHeight="1" x14ac:dyDescent="0.25">
      <c r="A177" s="54" t="s">
        <v>293</v>
      </c>
      <c r="B177" s="54" t="s">
        <v>294</v>
      </c>
      <c r="C177" s="31">
        <v>4301031509</v>
      </c>
      <c r="D177" s="647">
        <v>4680115889170</v>
      </c>
      <c r="E177" s="648"/>
      <c r="F177" s="642">
        <v>0.7</v>
      </c>
      <c r="G177" s="32">
        <v>5</v>
      </c>
      <c r="H177" s="642">
        <v>3.5</v>
      </c>
      <c r="I177" s="642">
        <v>3.7650000000000001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3"/>
      <c r="R177" s="653"/>
      <c r="S177" s="653"/>
      <c r="T177" s="654"/>
      <c r="U177" s="34"/>
      <c r="V177" s="34"/>
      <c r="W177" s="35" t="s">
        <v>67</v>
      </c>
      <c r="X177" s="643">
        <v>0</v>
      </c>
      <c r="Y177" s="644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295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296</v>
      </c>
      <c r="B178" s="54" t="s">
        <v>297</v>
      </c>
      <c r="C178" s="31">
        <v>4301031522</v>
      </c>
      <c r="D178" s="647">
        <v>4680115887398</v>
      </c>
      <c r="E178" s="648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4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3"/>
      <c r="R178" s="653"/>
      <c r="S178" s="653"/>
      <c r="T178" s="654"/>
      <c r="U178" s="34"/>
      <c r="V178" s="34"/>
      <c r="W178" s="35" t="s">
        <v>67</v>
      </c>
      <c r="X178" s="643">
        <v>195</v>
      </c>
      <c r="Y178" s="644">
        <f t="shared" si="21"/>
        <v>196</v>
      </c>
      <c r="Z178" s="36">
        <f>IFERROR(IF(Y178=0,"",ROUNDUP(Y178/H178,0)*0.00902),"")</f>
        <v>0.50512000000000001</v>
      </c>
      <c r="AA178" s="56"/>
      <c r="AB178" s="57"/>
      <c r="AC178" s="235" t="s">
        <v>298</v>
      </c>
      <c r="AG178" s="64"/>
      <c r="AJ178" s="68"/>
      <c r="AK178" s="68">
        <v>0</v>
      </c>
      <c r="BB178" s="236" t="s">
        <v>1</v>
      </c>
      <c r="BM178" s="64">
        <f t="shared" si="22"/>
        <v>205.58571428571426</v>
      </c>
      <c r="BN178" s="64">
        <f t="shared" si="23"/>
        <v>206.64000000000001</v>
      </c>
      <c r="BO178" s="64">
        <f t="shared" si="24"/>
        <v>0.42207792207792211</v>
      </c>
      <c r="BP178" s="64">
        <f t="shared" si="25"/>
        <v>0.42424242424242425</v>
      </c>
    </row>
    <row r="179" spans="1:68" ht="27" customHeight="1" x14ac:dyDescent="0.25">
      <c r="A179" s="54" t="s">
        <v>299</v>
      </c>
      <c r="B179" s="54" t="s">
        <v>300</v>
      </c>
      <c r="C179" s="31">
        <v>4301031520</v>
      </c>
      <c r="D179" s="647">
        <v>4680115887336</v>
      </c>
      <c r="E179" s="648"/>
      <c r="F179" s="642">
        <v>0.7</v>
      </c>
      <c r="G179" s="32">
        <v>5</v>
      </c>
      <c r="H179" s="642">
        <v>3.5</v>
      </c>
      <c r="I179" s="642">
        <v>3.69</v>
      </c>
      <c r="J179" s="32">
        <v>132</v>
      </c>
      <c r="K179" s="32" t="s">
        <v>123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3"/>
      <c r="R179" s="653"/>
      <c r="S179" s="653"/>
      <c r="T179" s="654"/>
      <c r="U179" s="34"/>
      <c r="V179" s="34"/>
      <c r="W179" s="35" t="s">
        <v>67</v>
      </c>
      <c r="X179" s="643">
        <v>325</v>
      </c>
      <c r="Y179" s="644">
        <f t="shared" si="21"/>
        <v>325.5</v>
      </c>
      <c r="Z179" s="36">
        <f>IFERROR(IF(Y179=0,"",ROUNDUP(Y179/H179,0)*0.00902),"")</f>
        <v>0.83886000000000005</v>
      </c>
      <c r="AA179" s="56"/>
      <c r="AB179" s="57"/>
      <c r="AC179" s="237" t="s">
        <v>301</v>
      </c>
      <c r="AG179" s="64"/>
      <c r="AJ179" s="68"/>
      <c r="AK179" s="68">
        <v>0</v>
      </c>
      <c r="BB179" s="238" t="s">
        <v>1</v>
      </c>
      <c r="BM179" s="64">
        <f t="shared" si="22"/>
        <v>342.64285714285717</v>
      </c>
      <c r="BN179" s="64">
        <f t="shared" si="23"/>
        <v>343.17</v>
      </c>
      <c r="BO179" s="64">
        <f t="shared" si="24"/>
        <v>0.70346320346320357</v>
      </c>
      <c r="BP179" s="64">
        <f t="shared" si="25"/>
        <v>0.70454545454545459</v>
      </c>
    </row>
    <row r="180" spans="1:68" ht="16.5" hidden="1" customHeight="1" x14ac:dyDescent="0.25">
      <c r="A180" s="54" t="s">
        <v>302</v>
      </c>
      <c r="B180" s="54" t="s">
        <v>303</v>
      </c>
      <c r="C180" s="31">
        <v>4301032049</v>
      </c>
      <c r="D180" s="647">
        <v>4680115887787</v>
      </c>
      <c r="E180" s="648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7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3"/>
      <c r="R180" s="653"/>
      <c r="S180" s="653"/>
      <c r="T180" s="654"/>
      <c r="U180" s="34"/>
      <c r="V180" s="34"/>
      <c r="W180" s="35" t="s">
        <v>67</v>
      </c>
      <c r="X180" s="643">
        <v>0</v>
      </c>
      <c r="Y180" s="644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304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302</v>
      </c>
      <c r="B181" s="54" t="s">
        <v>305</v>
      </c>
      <c r="C181" s="31">
        <v>4301031528</v>
      </c>
      <c r="D181" s="647">
        <v>4680115887787</v>
      </c>
      <c r="E181" s="648"/>
      <c r="F181" s="642">
        <v>0.09</v>
      </c>
      <c r="G181" s="32">
        <v>10</v>
      </c>
      <c r="H181" s="642">
        <v>0.9</v>
      </c>
      <c r="I181" s="642">
        <v>1.1100000000000001</v>
      </c>
      <c r="J181" s="32">
        <v>192</v>
      </c>
      <c r="K181" s="32" t="s">
        <v>119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4"/>
      <c r="V181" s="34"/>
      <c r="W181" s="35" t="s">
        <v>67</v>
      </c>
      <c r="X181" s="643">
        <v>0</v>
      </c>
      <c r="Y181" s="644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304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4301031448</v>
      </c>
      <c r="D182" s="647">
        <v>4680115887503</v>
      </c>
      <c r="E182" s="648"/>
      <c r="F182" s="642">
        <v>0.28000000000000003</v>
      </c>
      <c r="G182" s="32">
        <v>6</v>
      </c>
      <c r="H182" s="642">
        <v>1.68</v>
      </c>
      <c r="I182" s="64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8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4"/>
      <c r="V182" s="34"/>
      <c r="W182" s="35" t="s">
        <v>67</v>
      </c>
      <c r="X182" s="643">
        <v>138</v>
      </c>
      <c r="Y182" s="644">
        <f t="shared" si="21"/>
        <v>139.44</v>
      </c>
      <c r="Z182" s="36">
        <f>IFERROR(IF(Y182=0,"",ROUNDUP(Y182/H182,0)*0.00502),"")</f>
        <v>0.41666000000000003</v>
      </c>
      <c r="AA182" s="56"/>
      <c r="AB182" s="57"/>
      <c r="AC182" s="243" t="s">
        <v>292</v>
      </c>
      <c r="AG182" s="64"/>
      <c r="AJ182" s="68"/>
      <c r="AK182" s="68">
        <v>0</v>
      </c>
      <c r="BB182" s="244" t="s">
        <v>1</v>
      </c>
      <c r="BM182" s="64">
        <f t="shared" si="22"/>
        <v>146.21428571428572</v>
      </c>
      <c r="BN182" s="64">
        <f t="shared" si="23"/>
        <v>147.74</v>
      </c>
      <c r="BO182" s="64">
        <f t="shared" si="24"/>
        <v>0.35103785103785107</v>
      </c>
      <c r="BP182" s="64">
        <f t="shared" si="25"/>
        <v>0.35470085470085472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4301031389</v>
      </c>
      <c r="D183" s="647">
        <v>4680115887763</v>
      </c>
      <c r="E183" s="648"/>
      <c r="F183" s="642">
        <v>0.09</v>
      </c>
      <c r="G183" s="32">
        <v>10</v>
      </c>
      <c r="H183" s="642">
        <v>0.9</v>
      </c>
      <c r="I183" s="642">
        <v>1.1100000000000001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4"/>
      <c r="V183" s="34"/>
      <c r="W183" s="35" t="s">
        <v>67</v>
      </c>
      <c r="X183" s="643">
        <v>0</v>
      </c>
      <c r="Y183" s="644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4301031521</v>
      </c>
      <c r="D184" s="647">
        <v>4680115887480</v>
      </c>
      <c r="E184" s="648"/>
      <c r="F184" s="642">
        <v>0.28000000000000003</v>
      </c>
      <c r="G184" s="32">
        <v>6</v>
      </c>
      <c r="H184" s="642">
        <v>1.68</v>
      </c>
      <c r="I184" s="64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3"/>
      <c r="R184" s="653"/>
      <c r="S184" s="653"/>
      <c r="T184" s="654"/>
      <c r="U184" s="34"/>
      <c r="V184" s="34"/>
      <c r="W184" s="35" t="s">
        <v>67</v>
      </c>
      <c r="X184" s="643">
        <v>18</v>
      </c>
      <c r="Y184" s="644">
        <f t="shared" si="21"/>
        <v>18.48</v>
      </c>
      <c r="Z184" s="36">
        <f>IFERROR(IF(Y184=0,"",ROUNDUP(Y184/H184,0)*0.00502),"")</f>
        <v>5.5220000000000005E-2</v>
      </c>
      <c r="AA184" s="56"/>
      <c r="AB184" s="57"/>
      <c r="AC184" s="247" t="s">
        <v>298</v>
      </c>
      <c r="AG184" s="64"/>
      <c r="AJ184" s="68"/>
      <c r="AK184" s="68">
        <v>0</v>
      </c>
      <c r="BB184" s="248" t="s">
        <v>1</v>
      </c>
      <c r="BM184" s="64">
        <f t="shared" si="22"/>
        <v>19.071428571428573</v>
      </c>
      <c r="BN184" s="64">
        <f t="shared" si="23"/>
        <v>19.580000000000002</v>
      </c>
      <c r="BO184" s="64">
        <f t="shared" si="24"/>
        <v>4.5787545787545798E-2</v>
      </c>
      <c r="BP184" s="64">
        <f t="shared" si="25"/>
        <v>4.7008547008547015E-2</v>
      </c>
    </row>
    <row r="185" spans="1:68" ht="27" hidden="1" customHeight="1" x14ac:dyDescent="0.25">
      <c r="A185" s="54" t="s">
        <v>313</v>
      </c>
      <c r="B185" s="54" t="s">
        <v>314</v>
      </c>
      <c r="C185" s="31">
        <v>4301031434</v>
      </c>
      <c r="D185" s="647">
        <v>4680115888067</v>
      </c>
      <c r="E185" s="648"/>
      <c r="F185" s="642">
        <v>0.09</v>
      </c>
      <c r="G185" s="32">
        <v>10</v>
      </c>
      <c r="H185" s="642">
        <v>0.9</v>
      </c>
      <c r="I185" s="642">
        <v>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3"/>
      <c r="R185" s="653"/>
      <c r="S185" s="653"/>
      <c r="T185" s="654"/>
      <c r="U185" s="34"/>
      <c r="V185" s="34"/>
      <c r="W185" s="35" t="s">
        <v>67</v>
      </c>
      <c r="X185" s="643">
        <v>0</v>
      </c>
      <c r="Y185" s="644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315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316</v>
      </c>
      <c r="B186" s="54" t="s">
        <v>317</v>
      </c>
      <c r="C186" s="31">
        <v>4301031519</v>
      </c>
      <c r="D186" s="647">
        <v>4680115887435</v>
      </c>
      <c r="E186" s="648"/>
      <c r="F186" s="642">
        <v>0.28000000000000003</v>
      </c>
      <c r="G186" s="32">
        <v>6</v>
      </c>
      <c r="H186" s="642">
        <v>1.68</v>
      </c>
      <c r="I186" s="642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3"/>
      <c r="R186" s="653"/>
      <c r="S186" s="653"/>
      <c r="T186" s="654"/>
      <c r="U186" s="34"/>
      <c r="V186" s="34"/>
      <c r="W186" s="35" t="s">
        <v>67</v>
      </c>
      <c r="X186" s="643">
        <v>109</v>
      </c>
      <c r="Y186" s="644">
        <f t="shared" si="21"/>
        <v>109.2</v>
      </c>
      <c r="Z186" s="36">
        <f>IFERROR(IF(Y186=0,"",ROUNDUP(Y186/H186,0)*0.00502),"")</f>
        <v>0.32630000000000003</v>
      </c>
      <c r="AA186" s="56"/>
      <c r="AB186" s="57"/>
      <c r="AC186" s="251" t="s">
        <v>301</v>
      </c>
      <c r="AG186" s="64"/>
      <c r="AJ186" s="68"/>
      <c r="AK186" s="68">
        <v>0</v>
      </c>
      <c r="BB186" s="252" t="s">
        <v>1</v>
      </c>
      <c r="BM186" s="64">
        <f t="shared" si="22"/>
        <v>115.48809523809526</v>
      </c>
      <c r="BN186" s="64">
        <f t="shared" si="23"/>
        <v>115.7</v>
      </c>
      <c r="BO186" s="64">
        <f t="shared" si="24"/>
        <v>0.2772690272690273</v>
      </c>
      <c r="BP186" s="64">
        <f t="shared" si="25"/>
        <v>0.27777777777777779</v>
      </c>
    </row>
    <row r="187" spans="1:68" x14ac:dyDescent="0.2">
      <c r="A187" s="657"/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9"/>
      <c r="P187" s="649" t="s">
        <v>72</v>
      </c>
      <c r="Q187" s="650"/>
      <c r="R187" s="650"/>
      <c r="S187" s="650"/>
      <c r="T187" s="650"/>
      <c r="U187" s="650"/>
      <c r="V187" s="651"/>
      <c r="W187" s="37" t="s">
        <v>73</v>
      </c>
      <c r="X187" s="645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313.73809523809524</v>
      </c>
      <c r="Y187" s="645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316</v>
      </c>
      <c r="Z187" s="645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2.2143199999999998</v>
      </c>
      <c r="AA187" s="646"/>
      <c r="AB187" s="646"/>
      <c r="AC187" s="646"/>
    </row>
    <row r="188" spans="1:68" x14ac:dyDescent="0.2">
      <c r="A188" s="658"/>
      <c r="B188" s="658"/>
      <c r="C188" s="658"/>
      <c r="D188" s="658"/>
      <c r="E188" s="658"/>
      <c r="F188" s="658"/>
      <c r="G188" s="658"/>
      <c r="H188" s="658"/>
      <c r="I188" s="658"/>
      <c r="J188" s="658"/>
      <c r="K188" s="658"/>
      <c r="L188" s="658"/>
      <c r="M188" s="658"/>
      <c r="N188" s="658"/>
      <c r="O188" s="659"/>
      <c r="P188" s="649" t="s">
        <v>72</v>
      </c>
      <c r="Q188" s="650"/>
      <c r="R188" s="650"/>
      <c r="S188" s="650"/>
      <c r="T188" s="650"/>
      <c r="U188" s="650"/>
      <c r="V188" s="651"/>
      <c r="W188" s="37" t="s">
        <v>67</v>
      </c>
      <c r="X188" s="645">
        <f>IFERROR(SUM(X176:X186),"0")</f>
        <v>811</v>
      </c>
      <c r="Y188" s="645">
        <f>IFERROR(SUM(Y176:Y186),"0")</f>
        <v>816.62000000000012</v>
      </c>
      <c r="Z188" s="37"/>
      <c r="AA188" s="646"/>
      <c r="AB188" s="646"/>
      <c r="AC188" s="646"/>
    </row>
    <row r="189" spans="1:68" ht="14.25" hidden="1" customHeight="1" x14ac:dyDescent="0.25">
      <c r="A189" s="667" t="s">
        <v>74</v>
      </c>
      <c r="B189" s="658"/>
      <c r="C189" s="658"/>
      <c r="D189" s="658"/>
      <c r="E189" s="658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39"/>
      <c r="AB189" s="639"/>
      <c r="AC189" s="639"/>
    </row>
    <row r="190" spans="1:68" ht="16.5" hidden="1" customHeight="1" x14ac:dyDescent="0.25">
      <c r="A190" s="54" t="s">
        <v>318</v>
      </c>
      <c r="B190" s="54" t="s">
        <v>319</v>
      </c>
      <c r="C190" s="31">
        <v>4301052193</v>
      </c>
      <c r="D190" s="647">
        <v>4680115888395</v>
      </c>
      <c r="E190" s="648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3"/>
      <c r="R190" s="653"/>
      <c r="S190" s="653"/>
      <c r="T190" s="654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320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321</v>
      </c>
      <c r="B191" s="54" t="s">
        <v>322</v>
      </c>
      <c r="C191" s="31">
        <v>4301052191</v>
      </c>
      <c r="D191" s="647">
        <v>4680115888371</v>
      </c>
      <c r="E191" s="648"/>
      <c r="F191" s="642">
        <v>0.42</v>
      </c>
      <c r="G191" s="32">
        <v>6</v>
      </c>
      <c r="H191" s="642">
        <v>2.52</v>
      </c>
      <c r="I191" s="642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3"/>
      <c r="R191" s="653"/>
      <c r="S191" s="653"/>
      <c r="T191" s="654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323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324</v>
      </c>
      <c r="B192" s="54" t="s">
        <v>325</v>
      </c>
      <c r="C192" s="31">
        <v>4301052064</v>
      </c>
      <c r="D192" s="647">
        <v>4680115887459</v>
      </c>
      <c r="E192" s="648"/>
      <c r="F192" s="642">
        <v>0.3</v>
      </c>
      <c r="G192" s="32">
        <v>6</v>
      </c>
      <c r="H192" s="642">
        <v>1.8</v>
      </c>
      <c r="I192" s="642">
        <v>2.0579999999999998</v>
      </c>
      <c r="J192" s="32">
        <v>182</v>
      </c>
      <c r="K192" s="32" t="s">
        <v>77</v>
      </c>
      <c r="L192" s="32"/>
      <c r="M192" s="33" t="s">
        <v>78</v>
      </c>
      <c r="N192" s="33"/>
      <c r="O192" s="32">
        <v>45</v>
      </c>
      <c r="P192" s="75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3"/>
      <c r="R192" s="653"/>
      <c r="S192" s="653"/>
      <c r="T192" s="654"/>
      <c r="U192" s="34"/>
      <c r="V192" s="34"/>
      <c r="W192" s="35" t="s">
        <v>67</v>
      </c>
      <c r="X192" s="643">
        <v>21</v>
      </c>
      <c r="Y192" s="644">
        <f>IFERROR(IF(X192="",0,CEILING((X192/$H192),1)*$H192),"")</f>
        <v>21.6</v>
      </c>
      <c r="Z192" s="36">
        <f>IFERROR(IF(Y192=0,"",ROUNDUP(Y192/H192,0)*0.00651),"")</f>
        <v>7.8119999999999995E-2</v>
      </c>
      <c r="AA192" s="56"/>
      <c r="AB192" s="57"/>
      <c r="AC192" s="257" t="s">
        <v>326</v>
      </c>
      <c r="AG192" s="64"/>
      <c r="AJ192" s="68"/>
      <c r="AK192" s="68">
        <v>0</v>
      </c>
      <c r="BB192" s="258" t="s">
        <v>1</v>
      </c>
      <c r="BM192" s="64">
        <f>IFERROR(X192*I192/H192,"0")</f>
        <v>24.009999999999998</v>
      </c>
      <c r="BN192" s="64">
        <f>IFERROR(Y192*I192/H192,"0")</f>
        <v>24.695999999999998</v>
      </c>
      <c r="BO192" s="64">
        <f>IFERROR(1/J192*(X192/H192),"0")</f>
        <v>6.4102564102564111E-2</v>
      </c>
      <c r="BP192" s="64">
        <f>IFERROR(1/J192*(Y192/H192),"0")</f>
        <v>6.5934065934065936E-2</v>
      </c>
    </row>
    <row r="193" spans="1:68" x14ac:dyDescent="0.2">
      <c r="A193" s="657"/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9"/>
      <c r="P193" s="649" t="s">
        <v>72</v>
      </c>
      <c r="Q193" s="650"/>
      <c r="R193" s="650"/>
      <c r="S193" s="650"/>
      <c r="T193" s="650"/>
      <c r="U193" s="650"/>
      <c r="V193" s="651"/>
      <c r="W193" s="37" t="s">
        <v>73</v>
      </c>
      <c r="X193" s="645">
        <f>IFERROR(X190/H190,"0")+IFERROR(X191/H191,"0")+IFERROR(X192/H192,"0")</f>
        <v>11.666666666666666</v>
      </c>
      <c r="Y193" s="645">
        <f>IFERROR(Y190/H190,"0")+IFERROR(Y191/H191,"0")+IFERROR(Y192/H192,"0")</f>
        <v>12</v>
      </c>
      <c r="Z193" s="645">
        <f>IFERROR(IF(Z190="",0,Z190),"0")+IFERROR(IF(Z191="",0,Z191),"0")+IFERROR(IF(Z192="",0,Z192),"0")</f>
        <v>7.8119999999999995E-2</v>
      </c>
      <c r="AA193" s="646"/>
      <c r="AB193" s="646"/>
      <c r="AC193" s="646"/>
    </row>
    <row r="194" spans="1:68" x14ac:dyDescent="0.2">
      <c r="A194" s="658"/>
      <c r="B194" s="658"/>
      <c r="C194" s="658"/>
      <c r="D194" s="658"/>
      <c r="E194" s="658"/>
      <c r="F194" s="658"/>
      <c r="G194" s="658"/>
      <c r="H194" s="658"/>
      <c r="I194" s="658"/>
      <c r="J194" s="658"/>
      <c r="K194" s="658"/>
      <c r="L194" s="658"/>
      <c r="M194" s="658"/>
      <c r="N194" s="658"/>
      <c r="O194" s="659"/>
      <c r="P194" s="649" t="s">
        <v>72</v>
      </c>
      <c r="Q194" s="650"/>
      <c r="R194" s="650"/>
      <c r="S194" s="650"/>
      <c r="T194" s="650"/>
      <c r="U194" s="650"/>
      <c r="V194" s="651"/>
      <c r="W194" s="37" t="s">
        <v>67</v>
      </c>
      <c r="X194" s="645">
        <f>IFERROR(SUM(X190:X192),"0")</f>
        <v>21</v>
      </c>
      <c r="Y194" s="645">
        <f>IFERROR(SUM(Y190:Y192),"0")</f>
        <v>21.6</v>
      </c>
      <c r="Z194" s="37"/>
      <c r="AA194" s="646"/>
      <c r="AB194" s="646"/>
      <c r="AC194" s="646"/>
    </row>
    <row r="195" spans="1:68" ht="14.25" hidden="1" customHeight="1" x14ac:dyDescent="0.25">
      <c r="A195" s="667" t="s">
        <v>267</v>
      </c>
      <c r="B195" s="658"/>
      <c r="C195" s="658"/>
      <c r="D195" s="658"/>
      <c r="E195" s="658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39"/>
      <c r="AB195" s="639"/>
      <c r="AC195" s="639"/>
    </row>
    <row r="196" spans="1:68" ht="16.5" hidden="1" customHeight="1" x14ac:dyDescent="0.25">
      <c r="A196" s="54" t="s">
        <v>327</v>
      </c>
      <c r="B196" s="54" t="s">
        <v>328</v>
      </c>
      <c r="C196" s="31">
        <v>4301032058</v>
      </c>
      <c r="D196" s="647">
        <v>4680115889026</v>
      </c>
      <c r="E196" s="648"/>
      <c r="F196" s="642">
        <v>0.06</v>
      </c>
      <c r="G196" s="32">
        <v>18</v>
      </c>
      <c r="H196" s="642">
        <v>1.08</v>
      </c>
      <c r="I196" s="642">
        <v>1.36</v>
      </c>
      <c r="J196" s="32">
        <v>216</v>
      </c>
      <c r="K196" s="32" t="s">
        <v>329</v>
      </c>
      <c r="L196" s="32"/>
      <c r="M196" s="33" t="s">
        <v>271</v>
      </c>
      <c r="N196" s="33"/>
      <c r="O196" s="32">
        <v>60</v>
      </c>
      <c r="P196" s="9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3"/>
      <c r="R196" s="653"/>
      <c r="S196" s="653"/>
      <c r="T196" s="654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330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7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9"/>
      <c r="P197" s="649" t="s">
        <v>72</v>
      </c>
      <c r="Q197" s="650"/>
      <c r="R197" s="650"/>
      <c r="S197" s="650"/>
      <c r="T197" s="650"/>
      <c r="U197" s="650"/>
      <c r="V197" s="651"/>
      <c r="W197" s="37" t="s">
        <v>73</v>
      </c>
      <c r="X197" s="645">
        <f>IFERROR(X196/H196,"0")</f>
        <v>0</v>
      </c>
      <c r="Y197" s="645">
        <f>IFERROR(Y196/H196,"0")</f>
        <v>0</v>
      </c>
      <c r="Z197" s="645">
        <f>IFERROR(IF(Z196="",0,Z196),"0")</f>
        <v>0</v>
      </c>
      <c r="AA197" s="646"/>
      <c r="AB197" s="646"/>
      <c r="AC197" s="646"/>
    </row>
    <row r="198" spans="1:68" hidden="1" x14ac:dyDescent="0.2">
      <c r="A198" s="658"/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9"/>
      <c r="P198" s="649" t="s">
        <v>72</v>
      </c>
      <c r="Q198" s="650"/>
      <c r="R198" s="650"/>
      <c r="S198" s="650"/>
      <c r="T198" s="650"/>
      <c r="U198" s="650"/>
      <c r="V198" s="651"/>
      <c r="W198" s="37" t="s">
        <v>67</v>
      </c>
      <c r="X198" s="645">
        <f>IFERROR(SUM(X196:X196),"0")</f>
        <v>0</v>
      </c>
      <c r="Y198" s="645">
        <f>IFERROR(SUM(Y196:Y196),"0")</f>
        <v>0</v>
      </c>
      <c r="Z198" s="37"/>
      <c r="AA198" s="646"/>
      <c r="AB198" s="646"/>
      <c r="AC198" s="646"/>
    </row>
    <row r="199" spans="1:68" ht="14.25" hidden="1" customHeight="1" x14ac:dyDescent="0.25">
      <c r="A199" s="667" t="s">
        <v>331</v>
      </c>
      <c r="B199" s="658"/>
      <c r="C199" s="658"/>
      <c r="D199" s="658"/>
      <c r="E199" s="658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39"/>
      <c r="AB199" s="639"/>
      <c r="AC199" s="639"/>
    </row>
    <row r="200" spans="1:68" ht="27" hidden="1" customHeight="1" x14ac:dyDescent="0.25">
      <c r="A200" s="54" t="s">
        <v>332</v>
      </c>
      <c r="B200" s="54" t="s">
        <v>333</v>
      </c>
      <c r="C200" s="31">
        <v>4301041009</v>
      </c>
      <c r="D200" s="647">
        <v>4680115889033</v>
      </c>
      <c r="E200" s="648"/>
      <c r="F200" s="642">
        <v>0.11</v>
      </c>
      <c r="G200" s="32">
        <v>15</v>
      </c>
      <c r="H200" s="642">
        <v>1.65</v>
      </c>
      <c r="I200" s="642">
        <v>1.9</v>
      </c>
      <c r="J200" s="32">
        <v>216</v>
      </c>
      <c r="K200" s="32" t="s">
        <v>329</v>
      </c>
      <c r="L200" s="32"/>
      <c r="M200" s="33" t="s">
        <v>271</v>
      </c>
      <c r="N200" s="33"/>
      <c r="O200" s="32">
        <v>60</v>
      </c>
      <c r="P200" s="99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3"/>
      <c r="R200" s="653"/>
      <c r="S200" s="653"/>
      <c r="T200" s="654"/>
      <c r="U200" s="34"/>
      <c r="V200" s="34"/>
      <c r="W200" s="35" t="s">
        <v>67</v>
      </c>
      <c r="X200" s="643">
        <v>0</v>
      </c>
      <c r="Y200" s="64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334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7"/>
      <c r="B201" s="658"/>
      <c r="C201" s="658"/>
      <c r="D201" s="658"/>
      <c r="E201" s="658"/>
      <c r="F201" s="658"/>
      <c r="G201" s="658"/>
      <c r="H201" s="658"/>
      <c r="I201" s="658"/>
      <c r="J201" s="658"/>
      <c r="K201" s="658"/>
      <c r="L201" s="658"/>
      <c r="M201" s="658"/>
      <c r="N201" s="658"/>
      <c r="O201" s="659"/>
      <c r="P201" s="649" t="s">
        <v>72</v>
      </c>
      <c r="Q201" s="650"/>
      <c r="R201" s="650"/>
      <c r="S201" s="650"/>
      <c r="T201" s="650"/>
      <c r="U201" s="650"/>
      <c r="V201" s="651"/>
      <c r="W201" s="37" t="s">
        <v>73</v>
      </c>
      <c r="X201" s="645">
        <f>IFERROR(X200/H200,"0")</f>
        <v>0</v>
      </c>
      <c r="Y201" s="645">
        <f>IFERROR(Y200/H200,"0")</f>
        <v>0</v>
      </c>
      <c r="Z201" s="645">
        <f>IFERROR(IF(Z200="",0,Z200),"0")</f>
        <v>0</v>
      </c>
      <c r="AA201" s="646"/>
      <c r="AB201" s="646"/>
      <c r="AC201" s="646"/>
    </row>
    <row r="202" spans="1:68" hidden="1" x14ac:dyDescent="0.2">
      <c r="A202" s="658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59"/>
      <c r="P202" s="649" t="s">
        <v>72</v>
      </c>
      <c r="Q202" s="650"/>
      <c r="R202" s="650"/>
      <c r="S202" s="650"/>
      <c r="T202" s="650"/>
      <c r="U202" s="650"/>
      <c r="V202" s="651"/>
      <c r="W202" s="37" t="s">
        <v>67</v>
      </c>
      <c r="X202" s="645">
        <f>IFERROR(SUM(X200:X200),"0")</f>
        <v>0</v>
      </c>
      <c r="Y202" s="645">
        <f>IFERROR(SUM(Y200:Y200),"0")</f>
        <v>0</v>
      </c>
      <c r="Z202" s="37"/>
      <c r="AA202" s="646"/>
      <c r="AB202" s="646"/>
      <c r="AC202" s="646"/>
    </row>
    <row r="203" spans="1:68" ht="27.75" hidden="1" customHeight="1" x14ac:dyDescent="0.2">
      <c r="A203" s="661" t="s">
        <v>335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48"/>
      <c r="AB203" s="48"/>
      <c r="AC203" s="48"/>
    </row>
    <row r="204" spans="1:68" ht="16.5" hidden="1" customHeight="1" x14ac:dyDescent="0.25">
      <c r="A204" s="673" t="s">
        <v>336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38"/>
      <c r="AB204" s="638"/>
      <c r="AC204" s="638"/>
    </row>
    <row r="205" spans="1:68" ht="14.25" hidden="1" customHeight="1" x14ac:dyDescent="0.25">
      <c r="A205" s="667" t="s">
        <v>111</v>
      </c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39"/>
      <c r="AB205" s="639"/>
      <c r="AC205" s="639"/>
    </row>
    <row r="206" spans="1:68" ht="27" hidden="1" customHeight="1" x14ac:dyDescent="0.25">
      <c r="A206" s="54" t="s">
        <v>337</v>
      </c>
      <c r="B206" s="54" t="s">
        <v>338</v>
      </c>
      <c r="C206" s="31">
        <v>4301011223</v>
      </c>
      <c r="D206" s="647">
        <v>4607091383423</v>
      </c>
      <c r="E206" s="648"/>
      <c r="F206" s="642">
        <v>1.35</v>
      </c>
      <c r="G206" s="32">
        <v>8</v>
      </c>
      <c r="H206" s="642">
        <v>10.8</v>
      </c>
      <c r="I206" s="64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3"/>
      <c r="R206" s="653"/>
      <c r="S206" s="653"/>
      <c r="T206" s="654"/>
      <c r="U206" s="34"/>
      <c r="V206" s="34"/>
      <c r="W206" s="35" t="s">
        <v>67</v>
      </c>
      <c r="X206" s="643">
        <v>0</v>
      </c>
      <c r="Y206" s="644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339</v>
      </c>
      <c r="B207" s="54" t="s">
        <v>340</v>
      </c>
      <c r="C207" s="31">
        <v>4301012340</v>
      </c>
      <c r="D207" s="647">
        <v>4680115888760</v>
      </c>
      <c r="E207" s="648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3"/>
      <c r="R207" s="653"/>
      <c r="S207" s="653"/>
      <c r="T207" s="654"/>
      <c r="U207" s="34"/>
      <c r="V207" s="34"/>
      <c r="W207" s="35" t="s">
        <v>67</v>
      </c>
      <c r="X207" s="643">
        <v>0</v>
      </c>
      <c r="Y207" s="644">
        <f t="shared" si="26"/>
        <v>0</v>
      </c>
      <c r="Z207" s="36" t="str">
        <f t="shared" si="27"/>
        <v/>
      </c>
      <c r="AA207" s="56"/>
      <c r="AB207" s="57"/>
      <c r="AC207" s="265" t="s">
        <v>341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342</v>
      </c>
      <c r="B208" s="54" t="s">
        <v>343</v>
      </c>
      <c r="C208" s="31">
        <v>4301012341</v>
      </c>
      <c r="D208" s="647">
        <v>4680115888807</v>
      </c>
      <c r="E208" s="648"/>
      <c r="F208" s="642">
        <v>1.4</v>
      </c>
      <c r="G208" s="32">
        <v>6</v>
      </c>
      <c r="H208" s="642">
        <v>8.4</v>
      </c>
      <c r="I208" s="64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3"/>
      <c r="R208" s="653"/>
      <c r="S208" s="653"/>
      <c r="T208" s="654"/>
      <c r="U208" s="34"/>
      <c r="V208" s="34"/>
      <c r="W208" s="35" t="s">
        <v>67</v>
      </c>
      <c r="X208" s="643">
        <v>0</v>
      </c>
      <c r="Y208" s="644">
        <f t="shared" si="26"/>
        <v>0</v>
      </c>
      <c r="Z208" s="36" t="str">
        <f t="shared" si="27"/>
        <v/>
      </c>
      <c r="AA208" s="56"/>
      <c r="AB208" s="57"/>
      <c r="AC208" s="267" t="s">
        <v>344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4301012342</v>
      </c>
      <c r="D209" s="647">
        <v>4680115888852</v>
      </c>
      <c r="E209" s="648"/>
      <c r="F209" s="642">
        <v>0.9</v>
      </c>
      <c r="G209" s="32">
        <v>6</v>
      </c>
      <c r="H209" s="642">
        <v>5.4</v>
      </c>
      <c r="I209" s="64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3"/>
      <c r="R209" s="653"/>
      <c r="S209" s="653"/>
      <c r="T209" s="654"/>
      <c r="U209" s="34"/>
      <c r="V209" s="34"/>
      <c r="W209" s="35" t="s">
        <v>67</v>
      </c>
      <c r="X209" s="643">
        <v>0</v>
      </c>
      <c r="Y209" s="644">
        <f t="shared" si="26"/>
        <v>0</v>
      </c>
      <c r="Z209" s="36" t="str">
        <f t="shared" si="27"/>
        <v/>
      </c>
      <c r="AA209" s="56"/>
      <c r="AB209" s="57"/>
      <c r="AC209" s="269" t="s">
        <v>347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348</v>
      </c>
      <c r="B210" s="54" t="s">
        <v>349</v>
      </c>
      <c r="C210" s="31">
        <v>4301012370</v>
      </c>
      <c r="D210" s="647">
        <v>4680115886957</v>
      </c>
      <c r="E210" s="648"/>
      <c r="F210" s="642">
        <v>1.35</v>
      </c>
      <c r="G210" s="32">
        <v>8</v>
      </c>
      <c r="H210" s="642">
        <v>10.8</v>
      </c>
      <c r="I210" s="64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3"/>
      <c r="R210" s="653"/>
      <c r="S210" s="653"/>
      <c r="T210" s="654"/>
      <c r="U210" s="34"/>
      <c r="V210" s="34"/>
      <c r="W210" s="35" t="s">
        <v>67</v>
      </c>
      <c r="X210" s="643">
        <v>0</v>
      </c>
      <c r="Y210" s="644">
        <f t="shared" si="26"/>
        <v>0</v>
      </c>
      <c r="Z210" s="36" t="str">
        <f t="shared" si="27"/>
        <v/>
      </c>
      <c r="AA210" s="56"/>
      <c r="AB210" s="57"/>
      <c r="AC210" s="271" t="s">
        <v>350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4301012098</v>
      </c>
      <c r="D211" s="647">
        <v>4680115885660</v>
      </c>
      <c r="E211" s="648"/>
      <c r="F211" s="642">
        <v>1.35</v>
      </c>
      <c r="G211" s="32">
        <v>8</v>
      </c>
      <c r="H211" s="642">
        <v>10.8</v>
      </c>
      <c r="I211" s="64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3"/>
      <c r="R211" s="653"/>
      <c r="S211" s="653"/>
      <c r="T211" s="654"/>
      <c r="U211" s="34"/>
      <c r="V211" s="34"/>
      <c r="W211" s="35" t="s">
        <v>67</v>
      </c>
      <c r="X211" s="643">
        <v>0</v>
      </c>
      <c r="Y211" s="644">
        <f t="shared" si="26"/>
        <v>0</v>
      </c>
      <c r="Z211" s="36" t="str">
        <f t="shared" si="27"/>
        <v/>
      </c>
      <c r="AA211" s="56"/>
      <c r="AB211" s="57"/>
      <c r="AC211" s="273" t="s">
        <v>353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354</v>
      </c>
      <c r="B212" s="54" t="s">
        <v>355</v>
      </c>
      <c r="C212" s="31">
        <v>4301012369</v>
      </c>
      <c r="D212" s="647">
        <v>4680115886773</v>
      </c>
      <c r="E212" s="648"/>
      <c r="F212" s="642">
        <v>0.9</v>
      </c>
      <c r="G212" s="32">
        <v>10</v>
      </c>
      <c r="H212" s="642">
        <v>9</v>
      </c>
      <c r="I212" s="64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3"/>
      <c r="R212" s="653"/>
      <c r="S212" s="653"/>
      <c r="T212" s="654"/>
      <c r="U212" s="34"/>
      <c r="V212" s="34"/>
      <c r="W212" s="35" t="s">
        <v>67</v>
      </c>
      <c r="X212" s="643">
        <v>0</v>
      </c>
      <c r="Y212" s="644">
        <f t="shared" si="26"/>
        <v>0</v>
      </c>
      <c r="Z212" s="36" t="str">
        <f t="shared" si="27"/>
        <v/>
      </c>
      <c r="AA212" s="56"/>
      <c r="AB212" s="57"/>
      <c r="AC212" s="275" t="s">
        <v>356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7"/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9"/>
      <c r="P213" s="649" t="s">
        <v>72</v>
      </c>
      <c r="Q213" s="650"/>
      <c r="R213" s="650"/>
      <c r="S213" s="650"/>
      <c r="T213" s="650"/>
      <c r="U213" s="650"/>
      <c r="V213" s="651"/>
      <c r="W213" s="37" t="s">
        <v>73</v>
      </c>
      <c r="X213" s="645">
        <f>IFERROR(X206/H206,"0")+IFERROR(X207/H207,"0")+IFERROR(X208/H208,"0")+IFERROR(X209/H209,"0")+IFERROR(X210/H210,"0")+IFERROR(X211/H211,"0")+IFERROR(X212/H212,"0")</f>
        <v>0</v>
      </c>
      <c r="Y213" s="645">
        <f>IFERROR(Y206/H206,"0")+IFERROR(Y207/H207,"0")+IFERROR(Y208/H208,"0")+IFERROR(Y209/H209,"0")+IFERROR(Y210/H210,"0")+IFERROR(Y211/H211,"0")+IFERROR(Y212/H212,"0")</f>
        <v>0</v>
      </c>
      <c r="Z213" s="64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6"/>
      <c r="AB213" s="646"/>
      <c r="AC213" s="646"/>
    </row>
    <row r="214" spans="1:68" hidden="1" x14ac:dyDescent="0.2">
      <c r="A214" s="658"/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9"/>
      <c r="P214" s="649" t="s">
        <v>72</v>
      </c>
      <c r="Q214" s="650"/>
      <c r="R214" s="650"/>
      <c r="S214" s="650"/>
      <c r="T214" s="650"/>
      <c r="U214" s="650"/>
      <c r="V214" s="651"/>
      <c r="W214" s="37" t="s">
        <v>67</v>
      </c>
      <c r="X214" s="645">
        <f>IFERROR(SUM(X206:X212),"0")</f>
        <v>0</v>
      </c>
      <c r="Y214" s="645">
        <f>IFERROR(SUM(Y206:Y212),"0")</f>
        <v>0</v>
      </c>
      <c r="Z214" s="37"/>
      <c r="AA214" s="646"/>
      <c r="AB214" s="646"/>
      <c r="AC214" s="646"/>
    </row>
    <row r="215" spans="1:68" ht="16.5" hidden="1" customHeight="1" x14ac:dyDescent="0.25">
      <c r="A215" s="673" t="s">
        <v>357</v>
      </c>
      <c r="B215" s="658"/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38"/>
      <c r="AB215" s="638"/>
      <c r="AC215" s="638"/>
    </row>
    <row r="216" spans="1:68" ht="14.25" hidden="1" customHeight="1" x14ac:dyDescent="0.25">
      <c r="A216" s="667" t="s">
        <v>148</v>
      </c>
      <c r="B216" s="658"/>
      <c r="C216" s="658"/>
      <c r="D216" s="658"/>
      <c r="E216" s="658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39"/>
      <c r="AB216" s="639"/>
      <c r="AC216" s="639"/>
    </row>
    <row r="217" spans="1:68" ht="27" hidden="1" customHeight="1" x14ac:dyDescent="0.25">
      <c r="A217" s="54" t="s">
        <v>358</v>
      </c>
      <c r="B217" s="54" t="s">
        <v>359</v>
      </c>
      <c r="C217" s="31">
        <v>4301020323</v>
      </c>
      <c r="D217" s="647">
        <v>4680115886223</v>
      </c>
      <c r="E217" s="648"/>
      <c r="F217" s="642">
        <v>0.33</v>
      </c>
      <c r="G217" s="32">
        <v>6</v>
      </c>
      <c r="H217" s="642">
        <v>1.98</v>
      </c>
      <c r="I217" s="64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3"/>
      <c r="R217" s="653"/>
      <c r="S217" s="653"/>
      <c r="T217" s="654"/>
      <c r="U217" s="34"/>
      <c r="V217" s="34"/>
      <c r="W217" s="35" t="s">
        <v>67</v>
      </c>
      <c r="X217" s="643">
        <v>0</v>
      </c>
      <c r="Y217" s="64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7"/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9"/>
      <c r="P218" s="649" t="s">
        <v>72</v>
      </c>
      <c r="Q218" s="650"/>
      <c r="R218" s="650"/>
      <c r="S218" s="650"/>
      <c r="T218" s="650"/>
      <c r="U218" s="650"/>
      <c r="V218" s="651"/>
      <c r="W218" s="37" t="s">
        <v>73</v>
      </c>
      <c r="X218" s="645">
        <f>IFERROR(X217/H217,"0")</f>
        <v>0</v>
      </c>
      <c r="Y218" s="645">
        <f>IFERROR(Y217/H217,"0")</f>
        <v>0</v>
      </c>
      <c r="Z218" s="645">
        <f>IFERROR(IF(Z217="",0,Z217),"0")</f>
        <v>0</v>
      </c>
      <c r="AA218" s="646"/>
      <c r="AB218" s="646"/>
      <c r="AC218" s="646"/>
    </row>
    <row r="219" spans="1:68" hidden="1" x14ac:dyDescent="0.2">
      <c r="A219" s="658"/>
      <c r="B219" s="658"/>
      <c r="C219" s="658"/>
      <c r="D219" s="658"/>
      <c r="E219" s="658"/>
      <c r="F219" s="658"/>
      <c r="G219" s="658"/>
      <c r="H219" s="658"/>
      <c r="I219" s="658"/>
      <c r="J219" s="658"/>
      <c r="K219" s="658"/>
      <c r="L219" s="658"/>
      <c r="M219" s="658"/>
      <c r="N219" s="658"/>
      <c r="O219" s="659"/>
      <c r="P219" s="649" t="s">
        <v>72</v>
      </c>
      <c r="Q219" s="650"/>
      <c r="R219" s="650"/>
      <c r="S219" s="650"/>
      <c r="T219" s="650"/>
      <c r="U219" s="650"/>
      <c r="V219" s="651"/>
      <c r="W219" s="37" t="s">
        <v>67</v>
      </c>
      <c r="X219" s="645">
        <f>IFERROR(SUM(X217:X217),"0")</f>
        <v>0</v>
      </c>
      <c r="Y219" s="645">
        <f>IFERROR(SUM(Y217:Y217),"0")</f>
        <v>0</v>
      </c>
      <c r="Z219" s="37"/>
      <c r="AA219" s="646"/>
      <c r="AB219" s="646"/>
      <c r="AC219" s="646"/>
    </row>
    <row r="220" spans="1:68" ht="14.25" hidden="1" customHeight="1" x14ac:dyDescent="0.25">
      <c r="A220" s="667" t="s">
        <v>62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39"/>
      <c r="AB220" s="639"/>
      <c r="AC220" s="639"/>
    </row>
    <row r="221" spans="1:68" ht="27" customHeight="1" x14ac:dyDescent="0.25">
      <c r="A221" s="54" t="s">
        <v>361</v>
      </c>
      <c r="B221" s="54" t="s">
        <v>362</v>
      </c>
      <c r="C221" s="31">
        <v>4301031191</v>
      </c>
      <c r="D221" s="647">
        <v>4680115880993</v>
      </c>
      <c r="E221" s="648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3"/>
      <c r="R221" s="653"/>
      <c r="S221" s="653"/>
      <c r="T221" s="654"/>
      <c r="U221" s="34"/>
      <c r="V221" s="34"/>
      <c r="W221" s="35" t="s">
        <v>67</v>
      </c>
      <c r="X221" s="643">
        <v>52</v>
      </c>
      <c r="Y221" s="644">
        <f t="shared" ref="Y221:Y235" si="32">IFERROR(IF(X221="",0,CEILING((X221/$H221),1)*$H221),"")</f>
        <v>54.6</v>
      </c>
      <c r="Z221" s="36">
        <f>IFERROR(IF(Y221=0,"",ROUNDUP(Y221/H221,0)*0.00902),"")</f>
        <v>0.11726</v>
      </c>
      <c r="AA221" s="56"/>
      <c r="AB221" s="57"/>
      <c r="AC221" s="279" t="s">
        <v>363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55.095238095238095</v>
      </c>
      <c r="BN221" s="64">
        <f t="shared" ref="BN221:BN235" si="34">IFERROR(Y221*I221/H221,"0")</f>
        <v>57.85</v>
      </c>
      <c r="BO221" s="64">
        <f t="shared" ref="BO221:BO235" si="35">IFERROR(1/J221*(X221/H221),"0")</f>
        <v>9.3795093795093792E-2</v>
      </c>
      <c r="BP221" s="64">
        <f t="shared" ref="BP221:BP235" si="36">IFERROR(1/J221*(Y221/H221),"0")</f>
        <v>9.8484848484848481E-2</v>
      </c>
    </row>
    <row r="222" spans="1:68" ht="27" hidden="1" customHeight="1" x14ac:dyDescent="0.25">
      <c r="A222" s="54" t="s">
        <v>364</v>
      </c>
      <c r="B222" s="54" t="s">
        <v>365</v>
      </c>
      <c r="C222" s="31">
        <v>4301031204</v>
      </c>
      <c r="D222" s="647">
        <v>4680115881761</v>
      </c>
      <c r="E222" s="648"/>
      <c r="F222" s="642">
        <v>0.7</v>
      </c>
      <c r="G222" s="32">
        <v>6</v>
      </c>
      <c r="H222" s="642">
        <v>4.2</v>
      </c>
      <c r="I222" s="64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3"/>
      <c r="R222" s="653"/>
      <c r="S222" s="653"/>
      <c r="T222" s="654"/>
      <c r="U222" s="34"/>
      <c r="V222" s="34"/>
      <c r="W222" s="35" t="s">
        <v>67</v>
      </c>
      <c r="X222" s="643">
        <v>0</v>
      </c>
      <c r="Y222" s="644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366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367</v>
      </c>
      <c r="B223" s="54" t="s">
        <v>368</v>
      </c>
      <c r="C223" s="31">
        <v>4301031201</v>
      </c>
      <c r="D223" s="647">
        <v>4680115881563</v>
      </c>
      <c r="E223" s="648"/>
      <c r="F223" s="642">
        <v>0.7</v>
      </c>
      <c r="G223" s="32">
        <v>6</v>
      </c>
      <c r="H223" s="642">
        <v>4.2</v>
      </c>
      <c r="I223" s="64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3"/>
      <c r="R223" s="653"/>
      <c r="S223" s="653"/>
      <c r="T223" s="654"/>
      <c r="U223" s="34"/>
      <c r="V223" s="34"/>
      <c r="W223" s="35" t="s">
        <v>67</v>
      </c>
      <c r="X223" s="643">
        <v>130</v>
      </c>
      <c r="Y223" s="644">
        <f t="shared" si="32"/>
        <v>130.20000000000002</v>
      </c>
      <c r="Z223" s="36">
        <f>IFERROR(IF(Y223=0,"",ROUNDUP(Y223/H223,0)*0.00902),"")</f>
        <v>0.27961999999999998</v>
      </c>
      <c r="AA223" s="56"/>
      <c r="AB223" s="57"/>
      <c r="AC223" s="283" t="s">
        <v>369</v>
      </c>
      <c r="AG223" s="64"/>
      <c r="AJ223" s="68"/>
      <c r="AK223" s="68">
        <v>0</v>
      </c>
      <c r="BB223" s="284" t="s">
        <v>1</v>
      </c>
      <c r="BM223" s="64">
        <f t="shared" si="33"/>
        <v>135.88095238095235</v>
      </c>
      <c r="BN223" s="64">
        <f t="shared" si="34"/>
        <v>136.09</v>
      </c>
      <c r="BO223" s="64">
        <f t="shared" si="35"/>
        <v>0.23448773448773449</v>
      </c>
      <c r="BP223" s="64">
        <f t="shared" si="36"/>
        <v>0.23484848484848489</v>
      </c>
    </row>
    <row r="224" spans="1:68" ht="37.5" hidden="1" customHeight="1" x14ac:dyDescent="0.25">
      <c r="A224" s="54" t="s">
        <v>370</v>
      </c>
      <c r="B224" s="54" t="s">
        <v>371</v>
      </c>
      <c r="C224" s="31">
        <v>4301031447</v>
      </c>
      <c r="D224" s="647">
        <v>4680115887565</v>
      </c>
      <c r="E224" s="648"/>
      <c r="F224" s="642">
        <v>0.08</v>
      </c>
      <c r="G224" s="32">
        <v>10</v>
      </c>
      <c r="H224" s="642">
        <v>0.8</v>
      </c>
      <c r="I224" s="64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3"/>
      <c r="R224" s="653"/>
      <c r="S224" s="653"/>
      <c r="T224" s="654"/>
      <c r="U224" s="34"/>
      <c r="V224" s="34"/>
      <c r="W224" s="35" t="s">
        <v>67</v>
      </c>
      <c r="X224" s="643">
        <v>0</v>
      </c>
      <c r="Y224" s="644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372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373</v>
      </c>
      <c r="B225" s="54" t="s">
        <v>374</v>
      </c>
      <c r="C225" s="31">
        <v>4301031199</v>
      </c>
      <c r="D225" s="647">
        <v>4680115880986</v>
      </c>
      <c r="E225" s="648"/>
      <c r="F225" s="642">
        <v>0.35</v>
      </c>
      <c r="G225" s="32">
        <v>6</v>
      </c>
      <c r="H225" s="642">
        <v>2.1</v>
      </c>
      <c r="I225" s="64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3"/>
      <c r="R225" s="653"/>
      <c r="S225" s="653"/>
      <c r="T225" s="654"/>
      <c r="U225" s="34"/>
      <c r="V225" s="34"/>
      <c r="W225" s="35" t="s">
        <v>67</v>
      </c>
      <c r="X225" s="643">
        <v>18</v>
      </c>
      <c r="Y225" s="644">
        <f t="shared" si="32"/>
        <v>18.900000000000002</v>
      </c>
      <c r="Z225" s="36">
        <f t="shared" ref="Z225:Z230" si="37">IFERROR(IF(Y225=0,"",ROUNDUP(Y225/H225,0)*0.00502),"")</f>
        <v>4.5179999999999998E-2</v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33"/>
        <v>19.114285714285714</v>
      </c>
      <c r="BN225" s="64">
        <f t="shared" si="34"/>
        <v>20.07</v>
      </c>
      <c r="BO225" s="64">
        <f t="shared" si="35"/>
        <v>3.6630036630036632E-2</v>
      </c>
      <c r="BP225" s="64">
        <f t="shared" si="36"/>
        <v>3.8461538461538464E-2</v>
      </c>
    </row>
    <row r="226" spans="1:68" ht="27" hidden="1" customHeight="1" x14ac:dyDescent="0.25">
      <c r="A226" s="54" t="s">
        <v>375</v>
      </c>
      <c r="B226" s="54" t="s">
        <v>376</v>
      </c>
      <c r="C226" s="31">
        <v>4301031443</v>
      </c>
      <c r="D226" s="647">
        <v>4680115887213</v>
      </c>
      <c r="E226" s="648"/>
      <c r="F226" s="642">
        <v>0.3</v>
      </c>
      <c r="G226" s="32">
        <v>6</v>
      </c>
      <c r="H226" s="642">
        <v>1.8</v>
      </c>
      <c r="I226" s="64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3"/>
      <c r="R226" s="653"/>
      <c r="S226" s="653"/>
      <c r="T226" s="654"/>
      <c r="U226" s="34"/>
      <c r="V226" s="34"/>
      <c r="W226" s="35" t="s">
        <v>67</v>
      </c>
      <c r="X226" s="643">
        <v>0</v>
      </c>
      <c r="Y226" s="644">
        <f t="shared" si="32"/>
        <v>0</v>
      </c>
      <c r="Z226" s="36" t="str">
        <f t="shared" si="37"/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4301031205</v>
      </c>
      <c r="D227" s="647">
        <v>4680115881785</v>
      </c>
      <c r="E227" s="648"/>
      <c r="F227" s="642">
        <v>0.35</v>
      </c>
      <c r="G227" s="32">
        <v>6</v>
      </c>
      <c r="H227" s="642">
        <v>2.1</v>
      </c>
      <c r="I227" s="64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3"/>
      <c r="R227" s="653"/>
      <c r="S227" s="653"/>
      <c r="T227" s="654"/>
      <c r="U227" s="34"/>
      <c r="V227" s="34"/>
      <c r="W227" s="35" t="s">
        <v>67</v>
      </c>
      <c r="X227" s="643">
        <v>0</v>
      </c>
      <c r="Y227" s="644">
        <f t="shared" si="32"/>
        <v>0</v>
      </c>
      <c r="Z227" s="36" t="str">
        <f t="shared" si="37"/>
        <v/>
      </c>
      <c r="AA227" s="56"/>
      <c r="AB227" s="57"/>
      <c r="AC227" s="291" t="s">
        <v>366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380</v>
      </c>
      <c r="B228" s="54" t="s">
        <v>381</v>
      </c>
      <c r="C228" s="31">
        <v>4301031499</v>
      </c>
      <c r="D228" s="647">
        <v>4680115888432</v>
      </c>
      <c r="E228" s="648"/>
      <c r="F228" s="642">
        <v>0.3</v>
      </c>
      <c r="G228" s="32">
        <v>6</v>
      </c>
      <c r="H228" s="642">
        <v>1.8</v>
      </c>
      <c r="I228" s="64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3"/>
      <c r="R228" s="653"/>
      <c r="S228" s="653"/>
      <c r="T228" s="654"/>
      <c r="U228" s="34"/>
      <c r="V228" s="34"/>
      <c r="W228" s="35" t="s">
        <v>67</v>
      </c>
      <c r="X228" s="643">
        <v>0</v>
      </c>
      <c r="Y228" s="644">
        <f t="shared" si="32"/>
        <v>0</v>
      </c>
      <c r="Z228" s="36" t="str">
        <f t="shared" si="37"/>
        <v/>
      </c>
      <c r="AA228" s="56"/>
      <c r="AB228" s="57"/>
      <c r="AC228" s="293" t="s">
        <v>382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383</v>
      </c>
      <c r="B229" s="54" t="s">
        <v>384</v>
      </c>
      <c r="C229" s="31">
        <v>4301031427</v>
      </c>
      <c r="D229" s="647">
        <v>4680115888104</v>
      </c>
      <c r="E229" s="648"/>
      <c r="F229" s="642">
        <v>0.35</v>
      </c>
      <c r="G229" s="32">
        <v>6</v>
      </c>
      <c r="H229" s="642">
        <v>2.1</v>
      </c>
      <c r="I229" s="64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3"/>
      <c r="R229" s="653"/>
      <c r="S229" s="653"/>
      <c r="T229" s="654"/>
      <c r="U229" s="34"/>
      <c r="V229" s="34"/>
      <c r="W229" s="35" t="s">
        <v>67</v>
      </c>
      <c r="X229" s="643">
        <v>0</v>
      </c>
      <c r="Y229" s="644">
        <f t="shared" si="32"/>
        <v>0</v>
      </c>
      <c r="Z229" s="36" t="str">
        <f t="shared" si="37"/>
        <v/>
      </c>
      <c r="AA229" s="56"/>
      <c r="AB229" s="57"/>
      <c r="AC229" s="295" t="s">
        <v>385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customHeight="1" x14ac:dyDescent="0.25">
      <c r="A230" s="54" t="s">
        <v>386</v>
      </c>
      <c r="B230" s="54" t="s">
        <v>387</v>
      </c>
      <c r="C230" s="31">
        <v>4301031503</v>
      </c>
      <c r="D230" s="647">
        <v>4680115886537</v>
      </c>
      <c r="E230" s="648"/>
      <c r="F230" s="642">
        <v>0.3</v>
      </c>
      <c r="G230" s="32">
        <v>6</v>
      </c>
      <c r="H230" s="642">
        <v>1.8</v>
      </c>
      <c r="I230" s="64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4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3"/>
      <c r="R230" s="653"/>
      <c r="S230" s="653"/>
      <c r="T230" s="654"/>
      <c r="U230" s="34"/>
      <c r="V230" s="34"/>
      <c r="W230" s="35" t="s">
        <v>67</v>
      </c>
      <c r="X230" s="643">
        <v>4</v>
      </c>
      <c r="Y230" s="644">
        <f t="shared" si="32"/>
        <v>5.4</v>
      </c>
      <c r="Z230" s="36">
        <f t="shared" si="37"/>
        <v>1.506E-2</v>
      </c>
      <c r="AA230" s="56"/>
      <c r="AB230" s="57"/>
      <c r="AC230" s="297" t="s">
        <v>388</v>
      </c>
      <c r="AG230" s="64"/>
      <c r="AJ230" s="68"/>
      <c r="AK230" s="68">
        <v>0</v>
      </c>
      <c r="BB230" s="298" t="s">
        <v>1</v>
      </c>
      <c r="BM230" s="64">
        <f t="shared" si="33"/>
        <v>4.2888888888888888</v>
      </c>
      <c r="BN230" s="64">
        <f t="shared" si="34"/>
        <v>5.79</v>
      </c>
      <c r="BO230" s="64">
        <f t="shared" si="35"/>
        <v>9.4966761633428314E-3</v>
      </c>
      <c r="BP230" s="64">
        <f t="shared" si="36"/>
        <v>1.2820512820512822E-2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4301031279</v>
      </c>
      <c r="D231" s="647">
        <v>4680115887596</v>
      </c>
      <c r="E231" s="648"/>
      <c r="F231" s="642">
        <v>0.08</v>
      </c>
      <c r="G231" s="32">
        <v>10</v>
      </c>
      <c r="H231" s="642">
        <v>0.8</v>
      </c>
      <c r="I231" s="64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3"/>
      <c r="R231" s="653"/>
      <c r="S231" s="653"/>
      <c r="T231" s="654"/>
      <c r="U231" s="34"/>
      <c r="V231" s="34"/>
      <c r="W231" s="35" t="s">
        <v>67</v>
      </c>
      <c r="X231" s="643">
        <v>0</v>
      </c>
      <c r="Y231" s="644">
        <f t="shared" si="32"/>
        <v>0</v>
      </c>
      <c r="Z231" s="36" t="str">
        <f>IFERROR(IF(Y231=0,"",ROUNDUP(Y231/H231,0)*0.00417),"")</f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37.5" customHeight="1" x14ac:dyDescent="0.25">
      <c r="A232" s="54" t="s">
        <v>392</v>
      </c>
      <c r="B232" s="54" t="s">
        <v>393</v>
      </c>
      <c r="C232" s="31">
        <v>4301031530</v>
      </c>
      <c r="D232" s="647">
        <v>4680115881679</v>
      </c>
      <c r="E232" s="648"/>
      <c r="F232" s="642">
        <v>0.35</v>
      </c>
      <c r="G232" s="32">
        <v>6</v>
      </c>
      <c r="H232" s="642">
        <v>2.1</v>
      </c>
      <c r="I232" s="64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45</v>
      </c>
      <c r="P232" s="86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3"/>
      <c r="R232" s="653"/>
      <c r="S232" s="653"/>
      <c r="T232" s="654"/>
      <c r="U232" s="34"/>
      <c r="V232" s="34"/>
      <c r="W232" s="35" t="s">
        <v>67</v>
      </c>
      <c r="X232" s="643">
        <v>91</v>
      </c>
      <c r="Y232" s="644">
        <f t="shared" si="32"/>
        <v>92.4</v>
      </c>
      <c r="Z232" s="36">
        <f>IFERROR(IF(Y232=0,"",ROUNDUP(Y232/H232,0)*0.00502),"")</f>
        <v>0.22088000000000002</v>
      </c>
      <c r="AA232" s="56"/>
      <c r="AB232" s="57"/>
      <c r="AC232" s="301" t="s">
        <v>369</v>
      </c>
      <c r="AG232" s="64"/>
      <c r="AJ232" s="68"/>
      <c r="AK232" s="68">
        <v>0</v>
      </c>
      <c r="BB232" s="302" t="s">
        <v>1</v>
      </c>
      <c r="BM232" s="64">
        <f t="shared" si="33"/>
        <v>95.333333333333343</v>
      </c>
      <c r="BN232" s="64">
        <f t="shared" si="34"/>
        <v>96.800000000000011</v>
      </c>
      <c r="BO232" s="64">
        <f t="shared" si="35"/>
        <v>0.18518518518518517</v>
      </c>
      <c r="BP232" s="64">
        <f t="shared" si="36"/>
        <v>0.18803418803418806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4301031158</v>
      </c>
      <c r="D233" s="647">
        <v>4680115880191</v>
      </c>
      <c r="E233" s="648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3"/>
      <c r="R233" s="653"/>
      <c r="S233" s="653"/>
      <c r="T233" s="654"/>
      <c r="U233" s="34"/>
      <c r="V233" s="34"/>
      <c r="W233" s="35" t="s">
        <v>67</v>
      </c>
      <c r="X233" s="643">
        <v>0</v>
      </c>
      <c r="Y233" s="644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369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4301031531</v>
      </c>
      <c r="D234" s="647">
        <v>4680115880191</v>
      </c>
      <c r="E234" s="648"/>
      <c r="F234" s="642">
        <v>0.4</v>
      </c>
      <c r="G234" s="32">
        <v>6</v>
      </c>
      <c r="H234" s="642">
        <v>2.4</v>
      </c>
      <c r="I234" s="642">
        <v>2.58</v>
      </c>
      <c r="J234" s="32">
        <v>182</v>
      </c>
      <c r="K234" s="32" t="s">
        <v>77</v>
      </c>
      <c r="L234" s="32"/>
      <c r="M234" s="33" t="s">
        <v>66</v>
      </c>
      <c r="N234" s="33"/>
      <c r="O234" s="32">
        <v>45</v>
      </c>
      <c r="P234" s="70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3"/>
      <c r="R234" s="653"/>
      <c r="S234" s="653"/>
      <c r="T234" s="654"/>
      <c r="U234" s="34"/>
      <c r="V234" s="34"/>
      <c r="W234" s="35" t="s">
        <v>67</v>
      </c>
      <c r="X234" s="643">
        <v>0</v>
      </c>
      <c r="Y234" s="644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369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4301031245</v>
      </c>
      <c r="D235" s="647">
        <v>4680115883963</v>
      </c>
      <c r="E235" s="648"/>
      <c r="F235" s="642">
        <v>0.28000000000000003</v>
      </c>
      <c r="G235" s="32">
        <v>6</v>
      </c>
      <c r="H235" s="642">
        <v>1.68</v>
      </c>
      <c r="I235" s="642">
        <v>1.78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3"/>
      <c r="R235" s="653"/>
      <c r="S235" s="653"/>
      <c r="T235" s="654"/>
      <c r="U235" s="34"/>
      <c r="V235" s="34"/>
      <c r="W235" s="35" t="s">
        <v>67</v>
      </c>
      <c r="X235" s="643">
        <v>0</v>
      </c>
      <c r="Y235" s="644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399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7"/>
      <c r="B236" s="658"/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9"/>
      <c r="P236" s="649" t="s">
        <v>72</v>
      </c>
      <c r="Q236" s="650"/>
      <c r="R236" s="650"/>
      <c r="S236" s="650"/>
      <c r="T236" s="650"/>
      <c r="U236" s="650"/>
      <c r="V236" s="651"/>
      <c r="W236" s="37" t="s">
        <v>73</v>
      </c>
      <c r="X236" s="64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97.460317460317441</v>
      </c>
      <c r="Y236" s="64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100</v>
      </c>
      <c r="Z236" s="64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0.67800000000000005</v>
      </c>
      <c r="AA236" s="646"/>
      <c r="AB236" s="646"/>
      <c r="AC236" s="646"/>
    </row>
    <row r="237" spans="1:68" x14ac:dyDescent="0.2">
      <c r="A237" s="658"/>
      <c r="B237" s="658"/>
      <c r="C237" s="658"/>
      <c r="D237" s="658"/>
      <c r="E237" s="658"/>
      <c r="F237" s="658"/>
      <c r="G237" s="658"/>
      <c r="H237" s="658"/>
      <c r="I237" s="658"/>
      <c r="J237" s="658"/>
      <c r="K237" s="658"/>
      <c r="L237" s="658"/>
      <c r="M237" s="658"/>
      <c r="N237" s="658"/>
      <c r="O237" s="659"/>
      <c r="P237" s="649" t="s">
        <v>72</v>
      </c>
      <c r="Q237" s="650"/>
      <c r="R237" s="650"/>
      <c r="S237" s="650"/>
      <c r="T237" s="650"/>
      <c r="U237" s="650"/>
      <c r="V237" s="651"/>
      <c r="W237" s="37" t="s">
        <v>67</v>
      </c>
      <c r="X237" s="645">
        <f>IFERROR(SUM(X221:X235),"0")</f>
        <v>295</v>
      </c>
      <c r="Y237" s="645">
        <f>IFERROR(SUM(Y221:Y235),"0")</f>
        <v>301.5</v>
      </c>
      <c r="Z237" s="37"/>
      <c r="AA237" s="646"/>
      <c r="AB237" s="646"/>
      <c r="AC237" s="646"/>
    </row>
    <row r="238" spans="1:68" ht="14.25" hidden="1" customHeight="1" x14ac:dyDescent="0.25">
      <c r="A238" s="667" t="s">
        <v>74</v>
      </c>
      <c r="B238" s="658"/>
      <c r="C238" s="658"/>
      <c r="D238" s="658"/>
      <c r="E238" s="658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39"/>
      <c r="AB238" s="639"/>
      <c r="AC238" s="639"/>
    </row>
    <row r="239" spans="1:68" ht="16.5" hidden="1" customHeight="1" x14ac:dyDescent="0.25">
      <c r="A239" s="54" t="s">
        <v>400</v>
      </c>
      <c r="B239" s="54" t="s">
        <v>401</v>
      </c>
      <c r="C239" s="31">
        <v>4301052209</v>
      </c>
      <c r="D239" s="647">
        <v>4680115888692</v>
      </c>
      <c r="E239" s="648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79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3"/>
      <c r="R239" s="653"/>
      <c r="S239" s="653"/>
      <c r="T239" s="654"/>
      <c r="U239" s="34"/>
      <c r="V239" s="34"/>
      <c r="W239" s="35" t="s">
        <v>67</v>
      </c>
      <c r="X239" s="643">
        <v>0</v>
      </c>
      <c r="Y239" s="644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402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400</v>
      </c>
      <c r="B240" s="54" t="s">
        <v>403</v>
      </c>
      <c r="C240" s="31">
        <v>4301052279</v>
      </c>
      <c r="D240" s="647">
        <v>4680115888692</v>
      </c>
      <c r="E240" s="648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40</v>
      </c>
      <c r="P240" s="7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4"/>
      <c r="V240" s="34"/>
      <c r="W240" s="35" t="s">
        <v>67</v>
      </c>
      <c r="X240" s="643">
        <v>0</v>
      </c>
      <c r="Y240" s="644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404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4301052213</v>
      </c>
      <c r="D241" s="647">
        <v>4680115888722</v>
      </c>
      <c r="E241" s="648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35</v>
      </c>
      <c r="P241" s="9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4"/>
      <c r="V241" s="34"/>
      <c r="W241" s="35" t="s">
        <v>67</v>
      </c>
      <c r="X241" s="643">
        <v>0</v>
      </c>
      <c r="Y241" s="644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407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405</v>
      </c>
      <c r="B242" s="54" t="s">
        <v>408</v>
      </c>
      <c r="C242" s="31">
        <v>4301052280</v>
      </c>
      <c r="D242" s="647">
        <v>4680115888722</v>
      </c>
      <c r="E242" s="648"/>
      <c r="F242" s="642">
        <v>0.8</v>
      </c>
      <c r="G242" s="32">
        <v>6</v>
      </c>
      <c r="H242" s="642">
        <v>4.8</v>
      </c>
      <c r="I242" s="642">
        <v>5.2220000000000004</v>
      </c>
      <c r="J242" s="32">
        <v>104</v>
      </c>
      <c r="K242" s="32" t="s">
        <v>114</v>
      </c>
      <c r="L242" s="32"/>
      <c r="M242" s="33" t="s">
        <v>84</v>
      </c>
      <c r="N242" s="33"/>
      <c r="O242" s="32">
        <v>40</v>
      </c>
      <c r="P242" s="7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3"/>
      <c r="R242" s="653"/>
      <c r="S242" s="653"/>
      <c r="T242" s="654"/>
      <c r="U242" s="34"/>
      <c r="V242" s="34"/>
      <c r="W242" s="35" t="s">
        <v>67</v>
      </c>
      <c r="X242" s="643">
        <v>0</v>
      </c>
      <c r="Y242" s="644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409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410</v>
      </c>
      <c r="B243" s="54" t="s">
        <v>411</v>
      </c>
      <c r="C243" s="31">
        <v>4301052177</v>
      </c>
      <c r="D243" s="647">
        <v>4680115888951</v>
      </c>
      <c r="E243" s="648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3"/>
      <c r="R243" s="653"/>
      <c r="S243" s="653"/>
      <c r="T243" s="654"/>
      <c r="U243" s="34"/>
      <c r="V243" s="34"/>
      <c r="W243" s="35" t="s">
        <v>67</v>
      </c>
      <c r="X243" s="643">
        <v>0</v>
      </c>
      <c r="Y243" s="644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412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410</v>
      </c>
      <c r="B244" s="54" t="s">
        <v>413</v>
      </c>
      <c r="C244" s="31">
        <v>4301052276</v>
      </c>
      <c r="D244" s="647">
        <v>4680115888951</v>
      </c>
      <c r="E244" s="648"/>
      <c r="F244" s="642">
        <v>0.36</v>
      </c>
      <c r="G244" s="32">
        <v>6</v>
      </c>
      <c r="H244" s="642">
        <v>2.16</v>
      </c>
      <c r="I244" s="642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3"/>
      <c r="R244" s="653"/>
      <c r="S244" s="653"/>
      <c r="T244" s="654"/>
      <c r="U244" s="34"/>
      <c r="V244" s="34"/>
      <c r="W244" s="35" t="s">
        <v>67</v>
      </c>
      <c r="X244" s="643">
        <v>0</v>
      </c>
      <c r="Y244" s="644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404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4301052178</v>
      </c>
      <c r="D245" s="647">
        <v>4680115888975</v>
      </c>
      <c r="E245" s="648"/>
      <c r="F245" s="642">
        <v>0.32</v>
      </c>
      <c r="G245" s="32">
        <v>6</v>
      </c>
      <c r="H245" s="642">
        <v>1.92</v>
      </c>
      <c r="I245" s="642">
        <v>2.1819999999999999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3"/>
      <c r="R245" s="653"/>
      <c r="S245" s="653"/>
      <c r="T245" s="654"/>
      <c r="U245" s="34"/>
      <c r="V245" s="34"/>
      <c r="W245" s="35" t="s">
        <v>67</v>
      </c>
      <c r="X245" s="643">
        <v>0</v>
      </c>
      <c r="Y245" s="644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416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4301052176</v>
      </c>
      <c r="D246" s="647">
        <v>4680115888982</v>
      </c>
      <c r="E246" s="648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3"/>
      <c r="R246" s="653"/>
      <c r="S246" s="653"/>
      <c r="T246" s="654"/>
      <c r="U246" s="34"/>
      <c r="V246" s="34"/>
      <c r="W246" s="35" t="s">
        <v>67</v>
      </c>
      <c r="X246" s="643">
        <v>0</v>
      </c>
      <c r="Y246" s="644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407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417</v>
      </c>
      <c r="B247" s="54" t="s">
        <v>419</v>
      </c>
      <c r="C247" s="31">
        <v>4301052277</v>
      </c>
      <c r="D247" s="647">
        <v>4680115888982</v>
      </c>
      <c r="E247" s="648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40</v>
      </c>
      <c r="P247" s="93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3"/>
      <c r="R247" s="653"/>
      <c r="S247" s="653"/>
      <c r="T247" s="654"/>
      <c r="U247" s="34"/>
      <c r="V247" s="34"/>
      <c r="W247" s="35" t="s">
        <v>67</v>
      </c>
      <c r="X247" s="643">
        <v>0</v>
      </c>
      <c r="Y247" s="644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409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7"/>
      <c r="B248" s="658"/>
      <c r="C248" s="658"/>
      <c r="D248" s="658"/>
      <c r="E248" s="658"/>
      <c r="F248" s="658"/>
      <c r="G248" s="658"/>
      <c r="H248" s="658"/>
      <c r="I248" s="658"/>
      <c r="J248" s="658"/>
      <c r="K248" s="658"/>
      <c r="L248" s="658"/>
      <c r="M248" s="658"/>
      <c r="N248" s="658"/>
      <c r="O248" s="659"/>
      <c r="P248" s="649" t="s">
        <v>72</v>
      </c>
      <c r="Q248" s="650"/>
      <c r="R248" s="650"/>
      <c r="S248" s="650"/>
      <c r="T248" s="650"/>
      <c r="U248" s="650"/>
      <c r="V248" s="651"/>
      <c r="W248" s="37" t="s">
        <v>73</v>
      </c>
      <c r="X248" s="645">
        <f>IFERROR(X239/H239,"0")+IFERROR(X240/H240,"0")+IFERROR(X241/H241,"0")+IFERROR(X242/H242,"0")+IFERROR(X243/H243,"0")+IFERROR(X244/H244,"0")+IFERROR(X245/H245,"0")+IFERROR(X246/H246,"0")+IFERROR(X247/H247,"0")</f>
        <v>0</v>
      </c>
      <c r="Y248" s="645">
        <f>IFERROR(Y239/H239,"0")+IFERROR(Y240/H240,"0")+IFERROR(Y241/H241,"0")+IFERROR(Y242/H242,"0")+IFERROR(Y243/H243,"0")+IFERROR(Y244/H244,"0")+IFERROR(Y245/H245,"0")+IFERROR(Y246/H246,"0")+IFERROR(Y247/H247,"0")</f>
        <v>0</v>
      </c>
      <c r="Z248" s="645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8"/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9"/>
      <c r="P249" s="649" t="s">
        <v>72</v>
      </c>
      <c r="Q249" s="650"/>
      <c r="R249" s="650"/>
      <c r="S249" s="650"/>
      <c r="T249" s="650"/>
      <c r="U249" s="650"/>
      <c r="V249" s="651"/>
      <c r="W249" s="37" t="s">
        <v>67</v>
      </c>
      <c r="X249" s="645">
        <f>IFERROR(SUM(X239:X247),"0")</f>
        <v>0</v>
      </c>
      <c r="Y249" s="645">
        <f>IFERROR(SUM(Y239:Y247),"0")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67" t="s">
        <v>267</v>
      </c>
      <c r="B250" s="658"/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39"/>
      <c r="AB250" s="639"/>
      <c r="AC250" s="639"/>
    </row>
    <row r="251" spans="1:68" ht="27" hidden="1" customHeight="1" x14ac:dyDescent="0.25">
      <c r="A251" s="54" t="s">
        <v>420</v>
      </c>
      <c r="B251" s="54" t="s">
        <v>421</v>
      </c>
      <c r="C251" s="31">
        <v>4301032053</v>
      </c>
      <c r="D251" s="647">
        <v>4680115886780</v>
      </c>
      <c r="E251" s="648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329</v>
      </c>
      <c r="L251" s="32"/>
      <c r="M251" s="33" t="s">
        <v>271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3"/>
      <c r="R251" s="653"/>
      <c r="S251" s="653"/>
      <c r="T251" s="654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422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423</v>
      </c>
      <c r="B252" s="54" t="s">
        <v>424</v>
      </c>
      <c r="C252" s="31">
        <v>4301032051</v>
      </c>
      <c r="D252" s="647">
        <v>4680115886742</v>
      </c>
      <c r="E252" s="648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329</v>
      </c>
      <c r="L252" s="32"/>
      <c r="M252" s="33" t="s">
        <v>271</v>
      </c>
      <c r="N252" s="33"/>
      <c r="O252" s="32">
        <v>90</v>
      </c>
      <c r="P252" s="69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3"/>
      <c r="R252" s="653"/>
      <c r="S252" s="653"/>
      <c r="T252" s="654"/>
      <c r="U252" s="34"/>
      <c r="V252" s="34"/>
      <c r="W252" s="35" t="s">
        <v>67</v>
      </c>
      <c r="X252" s="643">
        <v>9</v>
      </c>
      <c r="Y252" s="644">
        <f>IFERROR(IF(X252="",0,CEILING((X252/$H252),1)*$H252),"")</f>
        <v>10.08</v>
      </c>
      <c r="Z252" s="36">
        <f>IFERROR(IF(Y252=0,"",ROUNDUP(Y252/H252,0)*0.0059),"")</f>
        <v>4.7199999999999999E-2</v>
      </c>
      <c r="AA252" s="56"/>
      <c r="AB252" s="57"/>
      <c r="AC252" s="329" t="s">
        <v>425</v>
      </c>
      <c r="AG252" s="64"/>
      <c r="AJ252" s="68"/>
      <c r="AK252" s="68">
        <v>0</v>
      </c>
      <c r="BB252" s="330" t="s">
        <v>1</v>
      </c>
      <c r="BM252" s="64">
        <f>IFERROR(X252*I252/H252,"0")</f>
        <v>10.357142857142856</v>
      </c>
      <c r="BN252" s="64">
        <f>IFERROR(Y252*I252/H252,"0")</f>
        <v>11.6</v>
      </c>
      <c r="BO252" s="64">
        <f>IFERROR(1/J252*(X252/H252),"0")</f>
        <v>3.3068783068783067E-2</v>
      </c>
      <c r="BP252" s="64">
        <f>IFERROR(1/J252*(Y252/H252),"0")</f>
        <v>3.7037037037037035E-2</v>
      </c>
    </row>
    <row r="253" spans="1:68" ht="27" customHeight="1" x14ac:dyDescent="0.25">
      <c r="A253" s="54" t="s">
        <v>426</v>
      </c>
      <c r="B253" s="54" t="s">
        <v>427</v>
      </c>
      <c r="C253" s="31">
        <v>4301032052</v>
      </c>
      <c r="D253" s="647">
        <v>4680115886766</v>
      </c>
      <c r="E253" s="648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329</v>
      </c>
      <c r="L253" s="32"/>
      <c r="M253" s="33" t="s">
        <v>271</v>
      </c>
      <c r="N253" s="33"/>
      <c r="O253" s="32">
        <v>90</v>
      </c>
      <c r="P253" s="9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3"/>
      <c r="R253" s="653"/>
      <c r="S253" s="653"/>
      <c r="T253" s="654"/>
      <c r="U253" s="34"/>
      <c r="V253" s="34"/>
      <c r="W253" s="35" t="s">
        <v>67</v>
      </c>
      <c r="X253" s="643">
        <v>9</v>
      </c>
      <c r="Y253" s="644">
        <f>IFERROR(IF(X253="",0,CEILING((X253/$H253),1)*$H253),"")</f>
        <v>10.08</v>
      </c>
      <c r="Z253" s="36">
        <f>IFERROR(IF(Y253=0,"",ROUNDUP(Y253/H253,0)*0.0059),"")</f>
        <v>4.7199999999999999E-2</v>
      </c>
      <c r="AA253" s="56"/>
      <c r="AB253" s="57"/>
      <c r="AC253" s="331" t="s">
        <v>425</v>
      </c>
      <c r="AG253" s="64"/>
      <c r="AJ253" s="68"/>
      <c r="AK253" s="68">
        <v>0</v>
      </c>
      <c r="BB253" s="332" t="s">
        <v>1</v>
      </c>
      <c r="BM253" s="64">
        <f>IFERROR(X253*I253/H253,"0")</f>
        <v>10.357142857142856</v>
      </c>
      <c r="BN253" s="64">
        <f>IFERROR(Y253*I253/H253,"0")</f>
        <v>11.6</v>
      </c>
      <c r="BO253" s="64">
        <f>IFERROR(1/J253*(X253/H253),"0")</f>
        <v>3.3068783068783067E-2</v>
      </c>
      <c r="BP253" s="64">
        <f>IFERROR(1/J253*(Y253/H253),"0")</f>
        <v>3.7037037037037035E-2</v>
      </c>
    </row>
    <row r="254" spans="1:68" x14ac:dyDescent="0.2">
      <c r="A254" s="657"/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9"/>
      <c r="P254" s="649" t="s">
        <v>72</v>
      </c>
      <c r="Q254" s="650"/>
      <c r="R254" s="650"/>
      <c r="S254" s="650"/>
      <c r="T254" s="650"/>
      <c r="U254" s="650"/>
      <c r="V254" s="651"/>
      <c r="W254" s="37" t="s">
        <v>73</v>
      </c>
      <c r="X254" s="645">
        <f>IFERROR(X251/H251,"0")+IFERROR(X252/H252,"0")+IFERROR(X253/H253,"0")</f>
        <v>14.285714285714286</v>
      </c>
      <c r="Y254" s="645">
        <f>IFERROR(Y251/H251,"0")+IFERROR(Y252/H252,"0")+IFERROR(Y253/H253,"0")</f>
        <v>16</v>
      </c>
      <c r="Z254" s="645">
        <f>IFERROR(IF(Z251="",0,Z251),"0")+IFERROR(IF(Z252="",0,Z252),"0")+IFERROR(IF(Z253="",0,Z253),"0")</f>
        <v>9.4399999999999998E-2</v>
      </c>
      <c r="AA254" s="646"/>
      <c r="AB254" s="646"/>
      <c r="AC254" s="646"/>
    </row>
    <row r="255" spans="1:68" x14ac:dyDescent="0.2">
      <c r="A255" s="658"/>
      <c r="B255" s="658"/>
      <c r="C255" s="658"/>
      <c r="D255" s="658"/>
      <c r="E255" s="658"/>
      <c r="F255" s="658"/>
      <c r="G255" s="658"/>
      <c r="H255" s="658"/>
      <c r="I255" s="658"/>
      <c r="J255" s="658"/>
      <c r="K255" s="658"/>
      <c r="L255" s="658"/>
      <c r="M255" s="658"/>
      <c r="N255" s="658"/>
      <c r="O255" s="659"/>
      <c r="P255" s="649" t="s">
        <v>72</v>
      </c>
      <c r="Q255" s="650"/>
      <c r="R255" s="650"/>
      <c r="S255" s="650"/>
      <c r="T255" s="650"/>
      <c r="U255" s="650"/>
      <c r="V255" s="651"/>
      <c r="W255" s="37" t="s">
        <v>67</v>
      </c>
      <c r="X255" s="645">
        <f>IFERROR(SUM(X251:X253),"0")</f>
        <v>18</v>
      </c>
      <c r="Y255" s="645">
        <f>IFERROR(SUM(Y251:Y253),"0")</f>
        <v>20.16</v>
      </c>
      <c r="Z255" s="37"/>
      <c r="AA255" s="646"/>
      <c r="AB255" s="646"/>
      <c r="AC255" s="646"/>
    </row>
    <row r="256" spans="1:68" ht="14.25" hidden="1" customHeight="1" x14ac:dyDescent="0.25">
      <c r="A256" s="667" t="s">
        <v>428</v>
      </c>
      <c r="B256" s="658"/>
      <c r="C256" s="658"/>
      <c r="D256" s="658"/>
      <c r="E256" s="658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39"/>
      <c r="AB256" s="639"/>
      <c r="AC256" s="639"/>
    </row>
    <row r="257" spans="1:68" ht="27" customHeight="1" x14ac:dyDescent="0.25">
      <c r="A257" s="54" t="s">
        <v>429</v>
      </c>
      <c r="B257" s="54" t="s">
        <v>430</v>
      </c>
      <c r="C257" s="31">
        <v>4301170013</v>
      </c>
      <c r="D257" s="647">
        <v>4680115886797</v>
      </c>
      <c r="E257" s="648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329</v>
      </c>
      <c r="L257" s="32"/>
      <c r="M257" s="33" t="s">
        <v>271</v>
      </c>
      <c r="N257" s="33"/>
      <c r="O257" s="32">
        <v>90</v>
      </c>
      <c r="P257" s="9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3"/>
      <c r="R257" s="653"/>
      <c r="S257" s="653"/>
      <c r="T257" s="654"/>
      <c r="U257" s="34"/>
      <c r="V257" s="34"/>
      <c r="W257" s="35" t="s">
        <v>67</v>
      </c>
      <c r="X257" s="643">
        <v>5</v>
      </c>
      <c r="Y257" s="644">
        <f>IFERROR(IF(X257="",0,CEILING((X257/$H257),1)*$H257),"")</f>
        <v>5.04</v>
      </c>
      <c r="Z257" s="36">
        <f>IFERROR(IF(Y257=0,"",ROUNDUP(Y257/H257,0)*0.0059),"")</f>
        <v>2.3599999999999999E-2</v>
      </c>
      <c r="AA257" s="56"/>
      <c r="AB257" s="57"/>
      <c r="AC257" s="333" t="s">
        <v>425</v>
      </c>
      <c r="AG257" s="64"/>
      <c r="AJ257" s="68"/>
      <c r="AK257" s="68">
        <v>0</v>
      </c>
      <c r="BB257" s="334" t="s">
        <v>1</v>
      </c>
      <c r="BM257" s="64">
        <f>IFERROR(X257*I257/H257,"0")</f>
        <v>5.753968253968254</v>
      </c>
      <c r="BN257" s="64">
        <f>IFERROR(Y257*I257/H257,"0")</f>
        <v>5.8</v>
      </c>
      <c r="BO257" s="64">
        <f>IFERROR(1/J257*(X257/H257),"0")</f>
        <v>1.8371546149323927E-2</v>
      </c>
      <c r="BP257" s="64">
        <f>IFERROR(1/J257*(Y257/H257),"0")</f>
        <v>1.8518518518518517E-2</v>
      </c>
    </row>
    <row r="258" spans="1:68" x14ac:dyDescent="0.2">
      <c r="A258" s="657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59"/>
      <c r="P258" s="649" t="s">
        <v>72</v>
      </c>
      <c r="Q258" s="650"/>
      <c r="R258" s="650"/>
      <c r="S258" s="650"/>
      <c r="T258" s="650"/>
      <c r="U258" s="650"/>
      <c r="V258" s="651"/>
      <c r="W258" s="37" t="s">
        <v>73</v>
      </c>
      <c r="X258" s="645">
        <f>IFERROR(X257/H257,"0")</f>
        <v>3.9682539682539684</v>
      </c>
      <c r="Y258" s="645">
        <f>IFERROR(Y257/H257,"0")</f>
        <v>4</v>
      </c>
      <c r="Z258" s="645">
        <f>IFERROR(IF(Z257="",0,Z257),"0")</f>
        <v>2.3599999999999999E-2</v>
      </c>
      <c r="AA258" s="646"/>
      <c r="AB258" s="646"/>
      <c r="AC258" s="646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9"/>
      <c r="P259" s="649" t="s">
        <v>72</v>
      </c>
      <c r="Q259" s="650"/>
      <c r="R259" s="650"/>
      <c r="S259" s="650"/>
      <c r="T259" s="650"/>
      <c r="U259" s="650"/>
      <c r="V259" s="651"/>
      <c r="W259" s="37" t="s">
        <v>67</v>
      </c>
      <c r="X259" s="645">
        <f>IFERROR(SUM(X257:X257),"0")</f>
        <v>5</v>
      </c>
      <c r="Y259" s="645">
        <f>IFERROR(SUM(Y257:Y257),"0")</f>
        <v>5.04</v>
      </c>
      <c r="Z259" s="37"/>
      <c r="AA259" s="646"/>
      <c r="AB259" s="646"/>
      <c r="AC259" s="646"/>
    </row>
    <row r="260" spans="1:68" ht="16.5" hidden="1" customHeight="1" x14ac:dyDescent="0.25">
      <c r="A260" s="673" t="s">
        <v>431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38"/>
      <c r="AB260" s="638"/>
      <c r="AC260" s="638"/>
    </row>
    <row r="261" spans="1:68" ht="14.25" hidden="1" customHeight="1" x14ac:dyDescent="0.25">
      <c r="A261" s="667" t="s">
        <v>111</v>
      </c>
      <c r="B261" s="658"/>
      <c r="C261" s="658"/>
      <c r="D261" s="658"/>
      <c r="E261" s="658"/>
      <c r="F261" s="658"/>
      <c r="G261" s="658"/>
      <c r="H261" s="658"/>
      <c r="I261" s="658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58"/>
      <c r="U261" s="658"/>
      <c r="V261" s="658"/>
      <c r="W261" s="658"/>
      <c r="X261" s="658"/>
      <c r="Y261" s="658"/>
      <c r="Z261" s="658"/>
      <c r="AA261" s="639"/>
      <c r="AB261" s="639"/>
      <c r="AC261" s="639"/>
    </row>
    <row r="262" spans="1:68" ht="27" hidden="1" customHeight="1" x14ac:dyDescent="0.25">
      <c r="A262" s="54" t="s">
        <v>432</v>
      </c>
      <c r="B262" s="54" t="s">
        <v>433</v>
      </c>
      <c r="C262" s="31">
        <v>4301011450</v>
      </c>
      <c r="D262" s="647">
        <v>4680115881402</v>
      </c>
      <c r="E262" s="648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3"/>
      <c r="R262" s="653"/>
      <c r="S262" s="653"/>
      <c r="T262" s="654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434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4301011768</v>
      </c>
      <c r="D263" s="647">
        <v>4680115881396</v>
      </c>
      <c r="E263" s="648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3"/>
      <c r="R263" s="653"/>
      <c r="S263" s="653"/>
      <c r="T263" s="654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434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7"/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9"/>
      <c r="P264" s="649" t="s">
        <v>72</v>
      </c>
      <c r="Q264" s="650"/>
      <c r="R264" s="650"/>
      <c r="S264" s="650"/>
      <c r="T264" s="650"/>
      <c r="U264" s="650"/>
      <c r="V264" s="651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8"/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9"/>
      <c r="P265" s="649" t="s">
        <v>72</v>
      </c>
      <c r="Q265" s="650"/>
      <c r="R265" s="650"/>
      <c r="S265" s="650"/>
      <c r="T265" s="650"/>
      <c r="U265" s="650"/>
      <c r="V265" s="651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67" t="s">
        <v>148</v>
      </c>
      <c r="B266" s="658"/>
      <c r="C266" s="658"/>
      <c r="D266" s="658"/>
      <c r="E266" s="658"/>
      <c r="F266" s="658"/>
      <c r="G266" s="658"/>
      <c r="H266" s="658"/>
      <c r="I266" s="658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58"/>
      <c r="U266" s="658"/>
      <c r="V266" s="658"/>
      <c r="W266" s="658"/>
      <c r="X266" s="658"/>
      <c r="Y266" s="658"/>
      <c r="Z266" s="658"/>
      <c r="AA266" s="639"/>
      <c r="AB266" s="639"/>
      <c r="AC266" s="639"/>
    </row>
    <row r="267" spans="1:68" ht="16.5" hidden="1" customHeight="1" x14ac:dyDescent="0.25">
      <c r="A267" s="54" t="s">
        <v>437</v>
      </c>
      <c r="B267" s="54" t="s">
        <v>438</v>
      </c>
      <c r="C267" s="31">
        <v>4301020261</v>
      </c>
      <c r="D267" s="647">
        <v>4680115882935</v>
      </c>
      <c r="E267" s="648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3"/>
      <c r="R267" s="653"/>
      <c r="S267" s="653"/>
      <c r="T267" s="654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439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440</v>
      </c>
      <c r="B268" s="54" t="s">
        <v>441</v>
      </c>
      <c r="C268" s="31">
        <v>4301020220</v>
      </c>
      <c r="D268" s="647">
        <v>4680115880764</v>
      </c>
      <c r="E268" s="648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3"/>
      <c r="R268" s="653"/>
      <c r="S268" s="653"/>
      <c r="T268" s="654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439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7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59"/>
      <c r="P269" s="649" t="s">
        <v>72</v>
      </c>
      <c r="Q269" s="650"/>
      <c r="R269" s="650"/>
      <c r="S269" s="650"/>
      <c r="T269" s="650"/>
      <c r="U269" s="650"/>
      <c r="V269" s="651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8"/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9"/>
      <c r="P270" s="649" t="s">
        <v>72</v>
      </c>
      <c r="Q270" s="650"/>
      <c r="R270" s="650"/>
      <c r="S270" s="650"/>
      <c r="T270" s="650"/>
      <c r="U270" s="650"/>
      <c r="V270" s="651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67" t="s">
        <v>62</v>
      </c>
      <c r="B271" s="658"/>
      <c r="C271" s="658"/>
      <c r="D271" s="658"/>
      <c r="E271" s="658"/>
      <c r="F271" s="658"/>
      <c r="G271" s="658"/>
      <c r="H271" s="658"/>
      <c r="I271" s="658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58"/>
      <c r="U271" s="658"/>
      <c r="V271" s="658"/>
      <c r="W271" s="658"/>
      <c r="X271" s="658"/>
      <c r="Y271" s="658"/>
      <c r="Z271" s="658"/>
      <c r="AA271" s="639"/>
      <c r="AB271" s="639"/>
      <c r="AC271" s="639"/>
    </row>
    <row r="272" spans="1:68" ht="27" hidden="1" customHeight="1" x14ac:dyDescent="0.25">
      <c r="A272" s="54" t="s">
        <v>442</v>
      </c>
      <c r="B272" s="54" t="s">
        <v>443</v>
      </c>
      <c r="C272" s="31">
        <v>4301031224</v>
      </c>
      <c r="D272" s="647">
        <v>4680115882683</v>
      </c>
      <c r="E272" s="648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3"/>
      <c r="R272" s="653"/>
      <c r="S272" s="653"/>
      <c r="T272" s="654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444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4301031230</v>
      </c>
      <c r="D273" s="647">
        <v>4680115882690</v>
      </c>
      <c r="E273" s="648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3"/>
      <c r="R273" s="653"/>
      <c r="S273" s="653"/>
      <c r="T273" s="654"/>
      <c r="U273" s="34"/>
      <c r="V273" s="34"/>
      <c r="W273" s="35" t="s">
        <v>67</v>
      </c>
      <c r="X273" s="643">
        <v>52</v>
      </c>
      <c r="Y273" s="644">
        <f t="shared" si="43"/>
        <v>54</v>
      </c>
      <c r="Z273" s="36">
        <f>IFERROR(IF(Y273=0,"",ROUNDUP(Y273/H273,0)*0.00902),"")</f>
        <v>9.0200000000000002E-2</v>
      </c>
      <c r="AA273" s="56"/>
      <c r="AB273" s="57"/>
      <c r="AC273" s="345" t="s">
        <v>447</v>
      </c>
      <c r="AG273" s="64"/>
      <c r="AJ273" s="68"/>
      <c r="AK273" s="68">
        <v>0</v>
      </c>
      <c r="BB273" s="346" t="s">
        <v>1</v>
      </c>
      <c r="BM273" s="64">
        <f t="shared" si="44"/>
        <v>53.829629629629629</v>
      </c>
      <c r="BN273" s="64">
        <f t="shared" si="45"/>
        <v>55.9</v>
      </c>
      <c r="BO273" s="64">
        <f t="shared" si="46"/>
        <v>7.2951739618406286E-2</v>
      </c>
      <c r="BP273" s="64">
        <f t="shared" si="47"/>
        <v>7.575757575757576E-2</v>
      </c>
    </row>
    <row r="274" spans="1:68" ht="27" customHeight="1" x14ac:dyDescent="0.25">
      <c r="A274" s="54" t="s">
        <v>448</v>
      </c>
      <c r="B274" s="54" t="s">
        <v>449</v>
      </c>
      <c r="C274" s="31">
        <v>4301031220</v>
      </c>
      <c r="D274" s="647">
        <v>4680115882669</v>
      </c>
      <c r="E274" s="648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3"/>
      <c r="R274" s="653"/>
      <c r="S274" s="653"/>
      <c r="T274" s="654"/>
      <c r="U274" s="34"/>
      <c r="V274" s="34"/>
      <c r="W274" s="35" t="s">
        <v>67</v>
      </c>
      <c r="X274" s="643">
        <v>390</v>
      </c>
      <c r="Y274" s="644">
        <f t="shared" si="43"/>
        <v>394.20000000000005</v>
      </c>
      <c r="Z274" s="36">
        <f>IFERROR(IF(Y274=0,"",ROUNDUP(Y274/H274,0)*0.00902),"")</f>
        <v>0.65846000000000005</v>
      </c>
      <c r="AA274" s="56"/>
      <c r="AB274" s="57"/>
      <c r="AC274" s="347" t="s">
        <v>450</v>
      </c>
      <c r="AG274" s="64"/>
      <c r="AJ274" s="68"/>
      <c r="AK274" s="68">
        <v>0</v>
      </c>
      <c r="BB274" s="348" t="s">
        <v>1</v>
      </c>
      <c r="BM274" s="64">
        <f t="shared" si="44"/>
        <v>403.72222222222217</v>
      </c>
      <c r="BN274" s="64">
        <f t="shared" si="45"/>
        <v>408.07</v>
      </c>
      <c r="BO274" s="64">
        <f t="shared" si="46"/>
        <v>0.54713804713804715</v>
      </c>
      <c r="BP274" s="64">
        <f t="shared" si="47"/>
        <v>0.55303030303030309</v>
      </c>
    </row>
    <row r="275" spans="1:68" ht="27" customHeight="1" x14ac:dyDescent="0.25">
      <c r="A275" s="54" t="s">
        <v>451</v>
      </c>
      <c r="B275" s="54" t="s">
        <v>452</v>
      </c>
      <c r="C275" s="31">
        <v>4301031221</v>
      </c>
      <c r="D275" s="647">
        <v>4680115882676</v>
      </c>
      <c r="E275" s="648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3"/>
      <c r="R275" s="653"/>
      <c r="S275" s="653"/>
      <c r="T275" s="654"/>
      <c r="U275" s="34"/>
      <c r="V275" s="34"/>
      <c r="W275" s="35" t="s">
        <v>67</v>
      </c>
      <c r="X275" s="643">
        <v>39</v>
      </c>
      <c r="Y275" s="644">
        <f t="shared" si="43"/>
        <v>43.2</v>
      </c>
      <c r="Z275" s="36">
        <f>IFERROR(IF(Y275=0,"",ROUNDUP(Y275/H275,0)*0.00902),"")</f>
        <v>7.2160000000000002E-2</v>
      </c>
      <c r="AA275" s="56"/>
      <c r="AB275" s="57"/>
      <c r="AC275" s="349" t="s">
        <v>453</v>
      </c>
      <c r="AG275" s="64"/>
      <c r="AJ275" s="68"/>
      <c r="AK275" s="68">
        <v>0</v>
      </c>
      <c r="BB275" s="350" t="s">
        <v>1</v>
      </c>
      <c r="BM275" s="64">
        <f t="shared" si="44"/>
        <v>40.37222222222222</v>
      </c>
      <c r="BN275" s="64">
        <f t="shared" si="45"/>
        <v>44.72</v>
      </c>
      <c r="BO275" s="64">
        <f t="shared" si="46"/>
        <v>5.4713804713804708E-2</v>
      </c>
      <c r="BP275" s="64">
        <f t="shared" si="47"/>
        <v>6.0606060606060608E-2</v>
      </c>
    </row>
    <row r="276" spans="1:68" ht="27" customHeight="1" x14ac:dyDescent="0.25">
      <c r="A276" s="54" t="s">
        <v>454</v>
      </c>
      <c r="B276" s="54" t="s">
        <v>455</v>
      </c>
      <c r="C276" s="31">
        <v>4301031223</v>
      </c>
      <c r="D276" s="647">
        <v>4680115884014</v>
      </c>
      <c r="E276" s="648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3"/>
      <c r="R276" s="653"/>
      <c r="S276" s="653"/>
      <c r="T276" s="654"/>
      <c r="U276" s="34"/>
      <c r="V276" s="34"/>
      <c r="W276" s="35" t="s">
        <v>67</v>
      </c>
      <c r="X276" s="643">
        <v>16</v>
      </c>
      <c r="Y276" s="644">
        <f t="shared" si="43"/>
        <v>16.2</v>
      </c>
      <c r="Z276" s="36">
        <f>IFERROR(IF(Y276=0,"",ROUNDUP(Y276/H276,0)*0.00502),"")</f>
        <v>4.5179999999999998E-2</v>
      </c>
      <c r="AA276" s="56"/>
      <c r="AB276" s="57"/>
      <c r="AC276" s="351" t="s">
        <v>444</v>
      </c>
      <c r="AG276" s="64"/>
      <c r="AJ276" s="68"/>
      <c r="AK276" s="68">
        <v>0</v>
      </c>
      <c r="BB276" s="352" t="s">
        <v>1</v>
      </c>
      <c r="BM276" s="64">
        <f t="shared" si="44"/>
        <v>17.155555555555555</v>
      </c>
      <c r="BN276" s="64">
        <f t="shared" si="45"/>
        <v>17.369999999999997</v>
      </c>
      <c r="BO276" s="64">
        <f t="shared" si="46"/>
        <v>3.7986704653371325E-2</v>
      </c>
      <c r="BP276" s="64">
        <f t="shared" si="47"/>
        <v>3.8461538461538464E-2</v>
      </c>
    </row>
    <row r="277" spans="1:68" ht="27" customHeight="1" x14ac:dyDescent="0.25">
      <c r="A277" s="54" t="s">
        <v>456</v>
      </c>
      <c r="B277" s="54" t="s">
        <v>457</v>
      </c>
      <c r="C277" s="31">
        <v>4301031222</v>
      </c>
      <c r="D277" s="647">
        <v>4680115884007</v>
      </c>
      <c r="E277" s="648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3"/>
      <c r="R277" s="653"/>
      <c r="S277" s="653"/>
      <c r="T277" s="654"/>
      <c r="U277" s="34"/>
      <c r="V277" s="34"/>
      <c r="W277" s="35" t="s">
        <v>67</v>
      </c>
      <c r="X277" s="643">
        <v>16</v>
      </c>
      <c r="Y277" s="644">
        <f t="shared" si="43"/>
        <v>16.2</v>
      </c>
      <c r="Z277" s="36">
        <f>IFERROR(IF(Y277=0,"",ROUNDUP(Y277/H277,0)*0.00502),"")</f>
        <v>4.5179999999999998E-2</v>
      </c>
      <c r="AA277" s="56"/>
      <c r="AB277" s="57"/>
      <c r="AC277" s="353" t="s">
        <v>447</v>
      </c>
      <c r="AG277" s="64"/>
      <c r="AJ277" s="68"/>
      <c r="AK277" s="68">
        <v>0</v>
      </c>
      <c r="BB277" s="354" t="s">
        <v>1</v>
      </c>
      <c r="BM277" s="64">
        <f t="shared" si="44"/>
        <v>16.888888888888889</v>
      </c>
      <c r="BN277" s="64">
        <f t="shared" si="45"/>
        <v>17.099999999999998</v>
      </c>
      <c r="BO277" s="64">
        <f t="shared" si="46"/>
        <v>3.7986704653371325E-2</v>
      </c>
      <c r="BP277" s="64">
        <f t="shared" si="47"/>
        <v>3.8461538461538464E-2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4301031229</v>
      </c>
      <c r="D278" s="647">
        <v>4680115884038</v>
      </c>
      <c r="E278" s="648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3"/>
      <c r="R278" s="653"/>
      <c r="S278" s="653"/>
      <c r="T278" s="654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450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460</v>
      </c>
      <c r="B279" s="54" t="s">
        <v>461</v>
      </c>
      <c r="C279" s="31">
        <v>4301031225</v>
      </c>
      <c r="D279" s="647">
        <v>4680115884021</v>
      </c>
      <c r="E279" s="648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3"/>
      <c r="R279" s="653"/>
      <c r="S279" s="653"/>
      <c r="T279" s="654"/>
      <c r="U279" s="34"/>
      <c r="V279" s="34"/>
      <c r="W279" s="35" t="s">
        <v>67</v>
      </c>
      <c r="X279" s="643">
        <v>31</v>
      </c>
      <c r="Y279" s="644">
        <f t="shared" si="43"/>
        <v>32.4</v>
      </c>
      <c r="Z279" s="36">
        <f>IFERROR(IF(Y279=0,"",ROUNDUP(Y279/H279,0)*0.00502),"")</f>
        <v>9.0359999999999996E-2</v>
      </c>
      <c r="AA279" s="56"/>
      <c r="AB279" s="57"/>
      <c r="AC279" s="357" t="s">
        <v>453</v>
      </c>
      <c r="AG279" s="64"/>
      <c r="AJ279" s="68"/>
      <c r="AK279" s="68">
        <v>0</v>
      </c>
      <c r="BB279" s="358" t="s">
        <v>1</v>
      </c>
      <c r="BM279" s="64">
        <f t="shared" si="44"/>
        <v>32.722222222222221</v>
      </c>
      <c r="BN279" s="64">
        <f t="shared" si="45"/>
        <v>34.199999999999996</v>
      </c>
      <c r="BO279" s="64">
        <f t="shared" si="46"/>
        <v>7.3599240265906932E-2</v>
      </c>
      <c r="BP279" s="64">
        <f t="shared" si="47"/>
        <v>7.6923076923076927E-2</v>
      </c>
    </row>
    <row r="280" spans="1:68" x14ac:dyDescent="0.2">
      <c r="A280" s="657"/>
      <c r="B280" s="658"/>
      <c r="C280" s="658"/>
      <c r="D280" s="658"/>
      <c r="E280" s="658"/>
      <c r="F280" s="658"/>
      <c r="G280" s="658"/>
      <c r="H280" s="658"/>
      <c r="I280" s="658"/>
      <c r="J280" s="658"/>
      <c r="K280" s="658"/>
      <c r="L280" s="658"/>
      <c r="M280" s="658"/>
      <c r="N280" s="658"/>
      <c r="O280" s="659"/>
      <c r="P280" s="649" t="s">
        <v>72</v>
      </c>
      <c r="Q280" s="650"/>
      <c r="R280" s="650"/>
      <c r="S280" s="650"/>
      <c r="T280" s="650"/>
      <c r="U280" s="650"/>
      <c r="V280" s="651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124.07407407407408</v>
      </c>
      <c r="Y280" s="645">
        <f>IFERROR(Y272/H272,"0")+IFERROR(Y273/H273,"0")+IFERROR(Y274/H274,"0")+IFERROR(Y275/H275,"0")+IFERROR(Y276/H276,"0")+IFERROR(Y277/H277,"0")+IFERROR(Y278/H278,"0")+IFERROR(Y279/H279,"0")</f>
        <v>127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1.0015400000000001</v>
      </c>
      <c r="AA280" s="646"/>
      <c r="AB280" s="646"/>
      <c r="AC280" s="646"/>
    </row>
    <row r="281" spans="1:68" x14ac:dyDescent="0.2">
      <c r="A281" s="658"/>
      <c r="B281" s="658"/>
      <c r="C281" s="658"/>
      <c r="D281" s="658"/>
      <c r="E281" s="658"/>
      <c r="F281" s="658"/>
      <c r="G281" s="658"/>
      <c r="H281" s="658"/>
      <c r="I281" s="658"/>
      <c r="J281" s="658"/>
      <c r="K281" s="658"/>
      <c r="L281" s="658"/>
      <c r="M281" s="658"/>
      <c r="N281" s="658"/>
      <c r="O281" s="659"/>
      <c r="P281" s="649" t="s">
        <v>72</v>
      </c>
      <c r="Q281" s="650"/>
      <c r="R281" s="650"/>
      <c r="S281" s="650"/>
      <c r="T281" s="650"/>
      <c r="U281" s="650"/>
      <c r="V281" s="651"/>
      <c r="W281" s="37" t="s">
        <v>67</v>
      </c>
      <c r="X281" s="645">
        <f>IFERROR(SUM(X272:X279),"0")</f>
        <v>544</v>
      </c>
      <c r="Y281" s="645">
        <f>IFERROR(SUM(Y272:Y279),"0")</f>
        <v>556.20000000000005</v>
      </c>
      <c r="Z281" s="37"/>
      <c r="AA281" s="646"/>
      <c r="AB281" s="646"/>
      <c r="AC281" s="646"/>
    </row>
    <row r="282" spans="1:68" ht="14.25" hidden="1" customHeight="1" x14ac:dyDescent="0.25">
      <c r="A282" s="667" t="s">
        <v>74</v>
      </c>
      <c r="B282" s="658"/>
      <c r="C282" s="658"/>
      <c r="D282" s="658"/>
      <c r="E282" s="658"/>
      <c r="F282" s="658"/>
      <c r="G282" s="658"/>
      <c r="H282" s="658"/>
      <c r="I282" s="658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58"/>
      <c r="U282" s="658"/>
      <c r="V282" s="658"/>
      <c r="W282" s="658"/>
      <c r="X282" s="658"/>
      <c r="Y282" s="658"/>
      <c r="Z282" s="658"/>
      <c r="AA282" s="639"/>
      <c r="AB282" s="639"/>
      <c r="AC282" s="639"/>
    </row>
    <row r="283" spans="1:68" ht="27" customHeight="1" x14ac:dyDescent="0.25">
      <c r="A283" s="54" t="s">
        <v>462</v>
      </c>
      <c r="B283" s="54" t="s">
        <v>463</v>
      </c>
      <c r="C283" s="31">
        <v>4301051408</v>
      </c>
      <c r="D283" s="647">
        <v>4680115881594</v>
      </c>
      <c r="E283" s="648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3"/>
      <c r="R283" s="653"/>
      <c r="S283" s="653"/>
      <c r="T283" s="654"/>
      <c r="U283" s="34"/>
      <c r="V283" s="34"/>
      <c r="W283" s="35" t="s">
        <v>67</v>
      </c>
      <c r="X283" s="643">
        <v>65</v>
      </c>
      <c r="Y283" s="644">
        <f t="shared" ref="Y283:Y294" si="48">IFERROR(IF(X283="",0,CEILING((X283/$H283),1)*$H283),"")</f>
        <v>72.899999999999991</v>
      </c>
      <c r="Z283" s="36">
        <f>IFERROR(IF(Y283=0,"",ROUNDUP(Y283/H283,0)*0.01898),"")</f>
        <v>0.17082</v>
      </c>
      <c r="AA283" s="56"/>
      <c r="AB283" s="57"/>
      <c r="AC283" s="359" t="s">
        <v>464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68.964197530864197</v>
      </c>
      <c r="BN283" s="64">
        <f t="shared" ref="BN283:BN294" si="50">IFERROR(Y283*I283/H283,"0")</f>
        <v>77.345999999999989</v>
      </c>
      <c r="BO283" s="64">
        <f t="shared" ref="BO283:BO294" si="51">IFERROR(1/J283*(X283/H283),"0")</f>
        <v>0.1253858024691358</v>
      </c>
      <c r="BP283" s="64">
        <f t="shared" ref="BP283:BP294" si="52">IFERROR(1/J283*(Y283/H283),"0")</f>
        <v>0.140625</v>
      </c>
    </row>
    <row r="284" spans="1:68" ht="27" customHeight="1" x14ac:dyDescent="0.25">
      <c r="A284" s="54" t="s">
        <v>465</v>
      </c>
      <c r="B284" s="54" t="s">
        <v>466</v>
      </c>
      <c r="C284" s="31">
        <v>4301051411</v>
      </c>
      <c r="D284" s="647">
        <v>4680115881617</v>
      </c>
      <c r="E284" s="648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5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3"/>
      <c r="R284" s="653"/>
      <c r="S284" s="653"/>
      <c r="T284" s="654"/>
      <c r="U284" s="34"/>
      <c r="V284" s="34"/>
      <c r="W284" s="35" t="s">
        <v>67</v>
      </c>
      <c r="X284" s="643">
        <v>260</v>
      </c>
      <c r="Y284" s="644">
        <f t="shared" si="48"/>
        <v>267.3</v>
      </c>
      <c r="Z284" s="36">
        <f>IFERROR(IF(Y284=0,"",ROUNDUP(Y284/H284,0)*0.01898),"")</f>
        <v>0.62634000000000001</v>
      </c>
      <c r="AA284" s="56"/>
      <c r="AB284" s="57"/>
      <c r="AC284" s="361" t="s">
        <v>467</v>
      </c>
      <c r="AG284" s="64"/>
      <c r="AJ284" s="68"/>
      <c r="AK284" s="68">
        <v>0</v>
      </c>
      <c r="BB284" s="362" t="s">
        <v>1</v>
      </c>
      <c r="BM284" s="64">
        <f t="shared" si="49"/>
        <v>275.27901234567906</v>
      </c>
      <c r="BN284" s="64">
        <f t="shared" si="50"/>
        <v>283.00800000000004</v>
      </c>
      <c r="BO284" s="64">
        <f t="shared" si="51"/>
        <v>0.50154320987654322</v>
      </c>
      <c r="BP284" s="64">
        <f t="shared" si="52"/>
        <v>0.515625</v>
      </c>
    </row>
    <row r="285" spans="1:68" ht="27" hidden="1" customHeight="1" x14ac:dyDescent="0.25">
      <c r="A285" s="54" t="s">
        <v>468</v>
      </c>
      <c r="B285" s="54" t="s">
        <v>469</v>
      </c>
      <c r="C285" s="31">
        <v>4301051656</v>
      </c>
      <c r="D285" s="647">
        <v>4680115880573</v>
      </c>
      <c r="E285" s="648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3"/>
      <c r="R285" s="653"/>
      <c r="S285" s="653"/>
      <c r="T285" s="654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470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471</v>
      </c>
      <c r="B286" s="54" t="s">
        <v>472</v>
      </c>
      <c r="C286" s="31">
        <v>4301051407</v>
      </c>
      <c r="D286" s="647">
        <v>4680115882195</v>
      </c>
      <c r="E286" s="648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6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3"/>
      <c r="R286" s="653"/>
      <c r="S286" s="653"/>
      <c r="T286" s="654"/>
      <c r="U286" s="34"/>
      <c r="V286" s="34"/>
      <c r="W286" s="35" t="s">
        <v>67</v>
      </c>
      <c r="X286" s="643">
        <v>0</v>
      </c>
      <c r="Y286" s="644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464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473</v>
      </c>
      <c r="B287" s="54" t="s">
        <v>474</v>
      </c>
      <c r="C287" s="31">
        <v>4301051752</v>
      </c>
      <c r="D287" s="647">
        <v>4680115882607</v>
      </c>
      <c r="E287" s="648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3"/>
      <c r="R287" s="653"/>
      <c r="S287" s="653"/>
      <c r="T287" s="654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470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475</v>
      </c>
      <c r="B288" s="54" t="s">
        <v>476</v>
      </c>
      <c r="C288" s="31">
        <v>4301052143</v>
      </c>
      <c r="D288" s="647">
        <v>4680115882607</v>
      </c>
      <c r="E288" s="648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3"/>
      <c r="R288" s="653"/>
      <c r="S288" s="653"/>
      <c r="T288" s="654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477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478</v>
      </c>
      <c r="B289" s="54" t="s">
        <v>479</v>
      </c>
      <c r="C289" s="31">
        <v>4301051666</v>
      </c>
      <c r="D289" s="647">
        <v>4680115880092</v>
      </c>
      <c r="E289" s="648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3"/>
      <c r="R289" s="653"/>
      <c r="S289" s="653"/>
      <c r="T289" s="654"/>
      <c r="U289" s="34"/>
      <c r="V289" s="34"/>
      <c r="W289" s="35" t="s">
        <v>67</v>
      </c>
      <c r="X289" s="643">
        <v>640</v>
      </c>
      <c r="Y289" s="644">
        <f t="shared" si="48"/>
        <v>640.79999999999995</v>
      </c>
      <c r="Z289" s="36">
        <f>IFERROR(IF(Y289=0,"",ROUNDUP(Y289/H289,0)*0.00651),"")</f>
        <v>1.73817</v>
      </c>
      <c r="AA289" s="56"/>
      <c r="AB289" s="57"/>
      <c r="AC289" s="371" t="s">
        <v>470</v>
      </c>
      <c r="AG289" s="64"/>
      <c r="AJ289" s="68"/>
      <c r="AK289" s="68">
        <v>0</v>
      </c>
      <c r="BB289" s="372" t="s">
        <v>1</v>
      </c>
      <c r="BM289" s="64">
        <f t="shared" si="49"/>
        <v>707.20000000000016</v>
      </c>
      <c r="BN289" s="64">
        <f t="shared" si="50"/>
        <v>708.08399999999995</v>
      </c>
      <c r="BO289" s="64">
        <f t="shared" si="51"/>
        <v>1.4652014652014653</v>
      </c>
      <c r="BP289" s="64">
        <f t="shared" si="52"/>
        <v>1.4670329670329672</v>
      </c>
    </row>
    <row r="290" spans="1:68" ht="27" hidden="1" customHeight="1" x14ac:dyDescent="0.25">
      <c r="A290" s="54" t="s">
        <v>480</v>
      </c>
      <c r="B290" s="54" t="s">
        <v>481</v>
      </c>
      <c r="C290" s="31">
        <v>4301052214</v>
      </c>
      <c r="D290" s="647">
        <v>4680115889064</v>
      </c>
      <c r="E290" s="648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3"/>
      <c r="R290" s="653"/>
      <c r="S290" s="653"/>
      <c r="T290" s="654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482</v>
      </c>
      <c r="B291" s="54" t="s">
        <v>483</v>
      </c>
      <c r="C291" s="31">
        <v>4301051668</v>
      </c>
      <c r="D291" s="647">
        <v>4680115880221</v>
      </c>
      <c r="E291" s="648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3"/>
      <c r="R291" s="653"/>
      <c r="S291" s="653"/>
      <c r="T291" s="654"/>
      <c r="U291" s="34"/>
      <c r="V291" s="34"/>
      <c r="W291" s="35" t="s">
        <v>67</v>
      </c>
      <c r="X291" s="643">
        <v>0</v>
      </c>
      <c r="Y291" s="644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470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ht="27" customHeight="1" x14ac:dyDescent="0.25">
      <c r="A292" s="54" t="s">
        <v>484</v>
      </c>
      <c r="B292" s="54" t="s">
        <v>485</v>
      </c>
      <c r="C292" s="31">
        <v>4301051945</v>
      </c>
      <c r="D292" s="647">
        <v>4680115880504</v>
      </c>
      <c r="E292" s="648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3"/>
      <c r="R292" s="653"/>
      <c r="S292" s="653"/>
      <c r="T292" s="654"/>
      <c r="U292" s="34"/>
      <c r="V292" s="34"/>
      <c r="W292" s="35" t="s">
        <v>67</v>
      </c>
      <c r="X292" s="643">
        <v>104</v>
      </c>
      <c r="Y292" s="644">
        <f t="shared" si="48"/>
        <v>105.6</v>
      </c>
      <c r="Z292" s="36">
        <f>IFERROR(IF(Y292=0,"",ROUNDUP(Y292/H292,0)*0.00651),"")</f>
        <v>0.28644000000000003</v>
      </c>
      <c r="AA292" s="56"/>
      <c r="AB292" s="57"/>
      <c r="AC292" s="377" t="s">
        <v>486</v>
      </c>
      <c r="AG292" s="64"/>
      <c r="AJ292" s="68"/>
      <c r="AK292" s="68">
        <v>0</v>
      </c>
      <c r="BB292" s="378" t="s">
        <v>1</v>
      </c>
      <c r="BM292" s="64">
        <f t="shared" si="49"/>
        <v>114.92</v>
      </c>
      <c r="BN292" s="64">
        <f t="shared" si="50"/>
        <v>116.688</v>
      </c>
      <c r="BO292" s="64">
        <f t="shared" si="51"/>
        <v>0.23809523809523814</v>
      </c>
      <c r="BP292" s="64">
        <f t="shared" si="52"/>
        <v>0.24175824175824179</v>
      </c>
    </row>
    <row r="293" spans="1:68" ht="27" customHeight="1" x14ac:dyDescent="0.25">
      <c r="A293" s="54" t="s">
        <v>487</v>
      </c>
      <c r="B293" s="54" t="s">
        <v>488</v>
      </c>
      <c r="C293" s="31">
        <v>4301051410</v>
      </c>
      <c r="D293" s="647">
        <v>4680115882164</v>
      </c>
      <c r="E293" s="648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3"/>
      <c r="R293" s="653"/>
      <c r="S293" s="653"/>
      <c r="T293" s="654"/>
      <c r="U293" s="34"/>
      <c r="V293" s="34"/>
      <c r="W293" s="35" t="s">
        <v>67</v>
      </c>
      <c r="X293" s="643">
        <v>165</v>
      </c>
      <c r="Y293" s="644">
        <f t="shared" si="48"/>
        <v>165.6</v>
      </c>
      <c r="Z293" s="36">
        <f>IFERROR(IF(Y293=0,"",ROUNDUP(Y293/H293,0)*0.00651),"")</f>
        <v>0.44919000000000003</v>
      </c>
      <c r="AA293" s="56"/>
      <c r="AB293" s="57"/>
      <c r="AC293" s="379" t="s">
        <v>489</v>
      </c>
      <c r="AG293" s="64"/>
      <c r="AJ293" s="68"/>
      <c r="AK293" s="68">
        <v>0</v>
      </c>
      <c r="BB293" s="380" t="s">
        <v>1</v>
      </c>
      <c r="BM293" s="64">
        <f t="shared" si="49"/>
        <v>182.73750000000001</v>
      </c>
      <c r="BN293" s="64">
        <f t="shared" si="50"/>
        <v>183.40199999999999</v>
      </c>
      <c r="BO293" s="64">
        <f t="shared" si="51"/>
        <v>0.37774725274725279</v>
      </c>
      <c r="BP293" s="64">
        <f t="shared" si="52"/>
        <v>0.37912087912087916</v>
      </c>
    </row>
    <row r="294" spans="1:68" ht="27" hidden="1" customHeight="1" x14ac:dyDescent="0.25">
      <c r="A294" s="54" t="s">
        <v>490</v>
      </c>
      <c r="B294" s="54" t="s">
        <v>491</v>
      </c>
      <c r="C294" s="31">
        <v>4301052180</v>
      </c>
      <c r="D294" s="647">
        <v>4680115888340</v>
      </c>
      <c r="E294" s="648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10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3"/>
      <c r="R294" s="653"/>
      <c r="S294" s="653"/>
      <c r="T294" s="654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492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7"/>
      <c r="B295" s="658"/>
      <c r="C295" s="658"/>
      <c r="D295" s="658"/>
      <c r="E295" s="658"/>
      <c r="F295" s="658"/>
      <c r="G295" s="658"/>
      <c r="H295" s="658"/>
      <c r="I295" s="658"/>
      <c r="J295" s="658"/>
      <c r="K295" s="658"/>
      <c r="L295" s="658"/>
      <c r="M295" s="658"/>
      <c r="N295" s="658"/>
      <c r="O295" s="659"/>
      <c r="P295" s="649" t="s">
        <v>72</v>
      </c>
      <c r="Q295" s="650"/>
      <c r="R295" s="650"/>
      <c r="S295" s="650"/>
      <c r="T295" s="650"/>
      <c r="U295" s="650"/>
      <c r="V295" s="651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418.87345679012344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422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3.2709600000000001</v>
      </c>
      <c r="AA295" s="646"/>
      <c r="AB295" s="646"/>
      <c r="AC295" s="646"/>
    </row>
    <row r="296" spans="1:68" x14ac:dyDescent="0.2">
      <c r="A296" s="658"/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9"/>
      <c r="P296" s="649" t="s">
        <v>72</v>
      </c>
      <c r="Q296" s="650"/>
      <c r="R296" s="650"/>
      <c r="S296" s="650"/>
      <c r="T296" s="650"/>
      <c r="U296" s="650"/>
      <c r="V296" s="651"/>
      <c r="W296" s="37" t="s">
        <v>67</v>
      </c>
      <c r="X296" s="645">
        <f>IFERROR(SUM(X283:X294),"0")</f>
        <v>1234</v>
      </c>
      <c r="Y296" s="645">
        <f>IFERROR(SUM(Y283:Y294),"0")</f>
        <v>1252.1999999999998</v>
      </c>
      <c r="Z296" s="37"/>
      <c r="AA296" s="646"/>
      <c r="AB296" s="646"/>
      <c r="AC296" s="646"/>
    </row>
    <row r="297" spans="1:68" ht="14.25" hidden="1" customHeight="1" x14ac:dyDescent="0.25">
      <c r="A297" s="667" t="s">
        <v>168</v>
      </c>
      <c r="B297" s="658"/>
      <c r="C297" s="658"/>
      <c r="D297" s="658"/>
      <c r="E297" s="658"/>
      <c r="F297" s="658"/>
      <c r="G297" s="658"/>
      <c r="H297" s="658"/>
      <c r="I297" s="658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58"/>
      <c r="U297" s="658"/>
      <c r="V297" s="658"/>
      <c r="W297" s="658"/>
      <c r="X297" s="658"/>
      <c r="Y297" s="658"/>
      <c r="Z297" s="658"/>
      <c r="AA297" s="639"/>
      <c r="AB297" s="639"/>
      <c r="AC297" s="639"/>
    </row>
    <row r="298" spans="1:68" ht="27" hidden="1" customHeight="1" x14ac:dyDescent="0.25">
      <c r="A298" s="54" t="s">
        <v>493</v>
      </c>
      <c r="B298" s="54" t="s">
        <v>494</v>
      </c>
      <c r="C298" s="31">
        <v>4301060463</v>
      </c>
      <c r="D298" s="647">
        <v>4680115880818</v>
      </c>
      <c r="E298" s="648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3"/>
      <c r="R298" s="653"/>
      <c r="S298" s="653"/>
      <c r="T298" s="654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495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496</v>
      </c>
      <c r="B299" s="54" t="s">
        <v>497</v>
      </c>
      <c r="C299" s="31">
        <v>4301060389</v>
      </c>
      <c r="D299" s="647">
        <v>4680115880801</v>
      </c>
      <c r="E299" s="648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3"/>
      <c r="R299" s="653"/>
      <c r="S299" s="653"/>
      <c r="T299" s="654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498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57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59"/>
      <c r="P300" s="649" t="s">
        <v>72</v>
      </c>
      <c r="Q300" s="650"/>
      <c r="R300" s="650"/>
      <c r="S300" s="650"/>
      <c r="T300" s="650"/>
      <c r="U300" s="650"/>
      <c r="V300" s="651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hidden="1" x14ac:dyDescent="0.2">
      <c r="A301" s="658"/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9"/>
      <c r="P301" s="649" t="s">
        <v>72</v>
      </c>
      <c r="Q301" s="650"/>
      <c r="R301" s="650"/>
      <c r="S301" s="650"/>
      <c r="T301" s="650"/>
      <c r="U301" s="650"/>
      <c r="V301" s="651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hidden="1" customHeight="1" x14ac:dyDescent="0.25">
      <c r="A302" s="673" t="s">
        <v>499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38"/>
      <c r="AB302" s="638"/>
      <c r="AC302" s="638"/>
    </row>
    <row r="303" spans="1:68" ht="14.25" hidden="1" customHeight="1" x14ac:dyDescent="0.25">
      <c r="A303" s="667" t="s">
        <v>111</v>
      </c>
      <c r="B303" s="658"/>
      <c r="C303" s="658"/>
      <c r="D303" s="658"/>
      <c r="E303" s="658"/>
      <c r="F303" s="658"/>
      <c r="G303" s="658"/>
      <c r="H303" s="658"/>
      <c r="I303" s="658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58"/>
      <c r="U303" s="658"/>
      <c r="V303" s="658"/>
      <c r="W303" s="658"/>
      <c r="X303" s="658"/>
      <c r="Y303" s="658"/>
      <c r="Z303" s="658"/>
      <c r="AA303" s="639"/>
      <c r="AB303" s="639"/>
      <c r="AC303" s="639"/>
    </row>
    <row r="304" spans="1:68" ht="27" hidden="1" customHeight="1" x14ac:dyDescent="0.25">
      <c r="A304" s="54" t="s">
        <v>500</v>
      </c>
      <c r="B304" s="54" t="s">
        <v>501</v>
      </c>
      <c r="C304" s="31">
        <v>4301011826</v>
      </c>
      <c r="D304" s="647">
        <v>4680115884137</v>
      </c>
      <c r="E304" s="648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3"/>
      <c r="R304" s="653"/>
      <c r="S304" s="653"/>
      <c r="T304" s="654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502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customHeight="1" x14ac:dyDescent="0.25">
      <c r="A305" s="54" t="s">
        <v>503</v>
      </c>
      <c r="B305" s="54" t="s">
        <v>504</v>
      </c>
      <c r="C305" s="31">
        <v>4301011724</v>
      </c>
      <c r="D305" s="647">
        <v>4680115884236</v>
      </c>
      <c r="E305" s="648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3"/>
      <c r="R305" s="653"/>
      <c r="S305" s="653"/>
      <c r="T305" s="654"/>
      <c r="U305" s="34"/>
      <c r="V305" s="34"/>
      <c r="W305" s="35" t="s">
        <v>67</v>
      </c>
      <c r="X305" s="643">
        <v>6</v>
      </c>
      <c r="Y305" s="644">
        <f t="shared" si="53"/>
        <v>11.6</v>
      </c>
      <c r="Z305" s="36">
        <f>IFERROR(IF(Y305=0,"",ROUNDUP(Y305/H305,0)*0.01898),"")</f>
        <v>1.898E-2</v>
      </c>
      <c r="AA305" s="56"/>
      <c r="AB305" s="57"/>
      <c r="AC305" s="389" t="s">
        <v>505</v>
      </c>
      <c r="AG305" s="64"/>
      <c r="AJ305" s="68"/>
      <c r="AK305" s="68">
        <v>0</v>
      </c>
      <c r="BB305" s="390" t="s">
        <v>1</v>
      </c>
      <c r="BM305" s="64">
        <f t="shared" si="54"/>
        <v>6.2120689655172416</v>
      </c>
      <c r="BN305" s="64">
        <f t="shared" si="55"/>
        <v>12.01</v>
      </c>
      <c r="BO305" s="64">
        <f t="shared" si="56"/>
        <v>8.0818965517241385E-3</v>
      </c>
      <c r="BP305" s="64">
        <f t="shared" si="57"/>
        <v>1.5625E-2</v>
      </c>
    </row>
    <row r="306" spans="1:68" ht="27" hidden="1" customHeight="1" x14ac:dyDescent="0.25">
      <c r="A306" s="54" t="s">
        <v>506</v>
      </c>
      <c r="B306" s="54" t="s">
        <v>507</v>
      </c>
      <c r="C306" s="31">
        <v>4301011721</v>
      </c>
      <c r="D306" s="647">
        <v>4680115884175</v>
      </c>
      <c r="E306" s="648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3"/>
      <c r="R306" s="653"/>
      <c r="S306" s="653"/>
      <c r="T306" s="654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508</v>
      </c>
      <c r="B307" s="54" t="s">
        <v>509</v>
      </c>
      <c r="C307" s="31">
        <v>4301011824</v>
      </c>
      <c r="D307" s="647">
        <v>4680115884144</v>
      </c>
      <c r="E307" s="648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3"/>
      <c r="R307" s="653"/>
      <c r="S307" s="653"/>
      <c r="T307" s="654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502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510</v>
      </c>
      <c r="B308" s="54" t="s">
        <v>511</v>
      </c>
      <c r="C308" s="31">
        <v>4301012149</v>
      </c>
      <c r="D308" s="647">
        <v>4680115886551</v>
      </c>
      <c r="E308" s="648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3"/>
      <c r="R308" s="653"/>
      <c r="S308" s="653"/>
      <c r="T308" s="654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512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513</v>
      </c>
      <c r="B309" s="54" t="s">
        <v>514</v>
      </c>
      <c r="C309" s="31">
        <v>4301012228</v>
      </c>
      <c r="D309" s="647">
        <v>4680115887282</v>
      </c>
      <c r="E309" s="648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3"/>
      <c r="R309" s="653"/>
      <c r="S309" s="653"/>
      <c r="T309" s="654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515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516</v>
      </c>
      <c r="B310" s="54" t="s">
        <v>517</v>
      </c>
      <c r="C310" s="31">
        <v>4301011722</v>
      </c>
      <c r="D310" s="647">
        <v>4680115884205</v>
      </c>
      <c r="E310" s="648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3"/>
      <c r="R310" s="653"/>
      <c r="S310" s="653"/>
      <c r="T310" s="654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353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x14ac:dyDescent="0.2">
      <c r="A311" s="657"/>
      <c r="B311" s="658"/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9"/>
      <c r="P311" s="649" t="s">
        <v>72</v>
      </c>
      <c r="Q311" s="650"/>
      <c r="R311" s="650"/>
      <c r="S311" s="650"/>
      <c r="T311" s="650"/>
      <c r="U311" s="650"/>
      <c r="V311" s="651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0.51724137931034486</v>
      </c>
      <c r="Y311" s="645">
        <f>IFERROR(Y304/H304,"0")+IFERROR(Y305/H305,"0")+IFERROR(Y306/H306,"0")+IFERROR(Y307/H307,"0")+IFERROR(Y308/H308,"0")+IFERROR(Y309/H309,"0")+IFERROR(Y310/H310,"0")</f>
        <v>1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1.898E-2</v>
      </c>
      <c r="AA311" s="646"/>
      <c r="AB311" s="646"/>
      <c r="AC311" s="646"/>
    </row>
    <row r="312" spans="1:68" x14ac:dyDescent="0.2">
      <c r="A312" s="658"/>
      <c r="B312" s="658"/>
      <c r="C312" s="658"/>
      <c r="D312" s="658"/>
      <c r="E312" s="658"/>
      <c r="F312" s="658"/>
      <c r="G312" s="658"/>
      <c r="H312" s="658"/>
      <c r="I312" s="658"/>
      <c r="J312" s="658"/>
      <c r="K312" s="658"/>
      <c r="L312" s="658"/>
      <c r="M312" s="658"/>
      <c r="N312" s="658"/>
      <c r="O312" s="659"/>
      <c r="P312" s="649" t="s">
        <v>72</v>
      </c>
      <c r="Q312" s="650"/>
      <c r="R312" s="650"/>
      <c r="S312" s="650"/>
      <c r="T312" s="650"/>
      <c r="U312" s="650"/>
      <c r="V312" s="651"/>
      <c r="W312" s="37" t="s">
        <v>67</v>
      </c>
      <c r="X312" s="645">
        <f>IFERROR(SUM(X304:X310),"0")</f>
        <v>6</v>
      </c>
      <c r="Y312" s="645">
        <f>IFERROR(SUM(Y304:Y310),"0")</f>
        <v>11.6</v>
      </c>
      <c r="Z312" s="37"/>
      <c r="AA312" s="646"/>
      <c r="AB312" s="646"/>
      <c r="AC312" s="646"/>
    </row>
    <row r="313" spans="1:68" ht="14.25" hidden="1" customHeight="1" x14ac:dyDescent="0.25">
      <c r="A313" s="667" t="s">
        <v>148</v>
      </c>
      <c r="B313" s="658"/>
      <c r="C313" s="658"/>
      <c r="D313" s="658"/>
      <c r="E313" s="658"/>
      <c r="F313" s="658"/>
      <c r="G313" s="658"/>
      <c r="H313" s="658"/>
      <c r="I313" s="658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58"/>
      <c r="U313" s="658"/>
      <c r="V313" s="658"/>
      <c r="W313" s="658"/>
      <c r="X313" s="658"/>
      <c r="Y313" s="658"/>
      <c r="Z313" s="658"/>
      <c r="AA313" s="639"/>
      <c r="AB313" s="639"/>
      <c r="AC313" s="639"/>
    </row>
    <row r="314" spans="1:68" ht="27" hidden="1" customHeight="1" x14ac:dyDescent="0.25">
      <c r="A314" s="54" t="s">
        <v>518</v>
      </c>
      <c r="B314" s="54" t="s">
        <v>519</v>
      </c>
      <c r="C314" s="31">
        <v>4301020377</v>
      </c>
      <c r="D314" s="647">
        <v>4680115885981</v>
      </c>
      <c r="E314" s="648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3"/>
      <c r="R314" s="653"/>
      <c r="S314" s="653"/>
      <c r="T314" s="654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520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7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59"/>
      <c r="P315" s="649" t="s">
        <v>72</v>
      </c>
      <c r="Q315" s="650"/>
      <c r="R315" s="650"/>
      <c r="S315" s="650"/>
      <c r="T315" s="650"/>
      <c r="U315" s="650"/>
      <c r="V315" s="651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59"/>
      <c r="P316" s="649" t="s">
        <v>72</v>
      </c>
      <c r="Q316" s="650"/>
      <c r="R316" s="650"/>
      <c r="S316" s="650"/>
      <c r="T316" s="650"/>
      <c r="U316" s="650"/>
      <c r="V316" s="651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67" t="s">
        <v>521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39"/>
      <c r="AB317" s="639"/>
      <c r="AC317" s="639"/>
    </row>
    <row r="318" spans="1:68" ht="27" customHeight="1" x14ac:dyDescent="0.25">
      <c r="A318" s="54" t="s">
        <v>522</v>
      </c>
      <c r="B318" s="54" t="s">
        <v>523</v>
      </c>
      <c r="C318" s="31">
        <v>4301040362</v>
      </c>
      <c r="D318" s="647">
        <v>4680115886803</v>
      </c>
      <c r="E318" s="648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329</v>
      </c>
      <c r="L318" s="32"/>
      <c r="M318" s="33" t="s">
        <v>271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3"/>
      <c r="R318" s="653"/>
      <c r="S318" s="653"/>
      <c r="T318" s="654"/>
      <c r="U318" s="34"/>
      <c r="V318" s="34"/>
      <c r="W318" s="35" t="s">
        <v>67</v>
      </c>
      <c r="X318" s="643">
        <v>7</v>
      </c>
      <c r="Y318" s="644">
        <f>IFERROR(IF(X318="",0,CEILING((X318/$H318),1)*$H318),"")</f>
        <v>7.2</v>
      </c>
      <c r="Z318" s="36">
        <f>IFERROR(IF(Y318=0,"",ROUNDUP(Y318/H318,0)*0.0059),"")</f>
        <v>2.3599999999999999E-2</v>
      </c>
      <c r="AA318" s="56"/>
      <c r="AB318" s="57"/>
      <c r="AC318" s="403" t="s">
        <v>524</v>
      </c>
      <c r="AG318" s="64"/>
      <c r="AJ318" s="68"/>
      <c r="AK318" s="68">
        <v>0</v>
      </c>
      <c r="BB318" s="404" t="s">
        <v>1</v>
      </c>
      <c r="BM318" s="64">
        <f>IFERROR(X318*I318/H318,"0")</f>
        <v>7.6805555555555562</v>
      </c>
      <c r="BN318" s="64">
        <f>IFERROR(Y318*I318/H318,"0")</f>
        <v>7.9</v>
      </c>
      <c r="BO318" s="64">
        <f>IFERROR(1/J318*(X318/H318),"0")</f>
        <v>1.8004115226337446E-2</v>
      </c>
      <c r="BP318" s="64">
        <f>IFERROR(1/J318*(Y318/H318),"0")</f>
        <v>1.8518518518518517E-2</v>
      </c>
    </row>
    <row r="319" spans="1:68" x14ac:dyDescent="0.2">
      <c r="A319" s="657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59"/>
      <c r="P319" s="649" t="s">
        <v>72</v>
      </c>
      <c r="Q319" s="650"/>
      <c r="R319" s="650"/>
      <c r="S319" s="650"/>
      <c r="T319" s="650"/>
      <c r="U319" s="650"/>
      <c r="V319" s="651"/>
      <c r="W319" s="37" t="s">
        <v>73</v>
      </c>
      <c r="X319" s="645">
        <f>IFERROR(X318/H318,"0")</f>
        <v>3.8888888888888888</v>
      </c>
      <c r="Y319" s="645">
        <f>IFERROR(Y318/H318,"0")</f>
        <v>4</v>
      </c>
      <c r="Z319" s="645">
        <f>IFERROR(IF(Z318="",0,Z318),"0")</f>
        <v>2.3599999999999999E-2</v>
      </c>
      <c r="AA319" s="646"/>
      <c r="AB319" s="646"/>
      <c r="AC319" s="646"/>
    </row>
    <row r="320" spans="1:68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59"/>
      <c r="P320" s="649" t="s">
        <v>72</v>
      </c>
      <c r="Q320" s="650"/>
      <c r="R320" s="650"/>
      <c r="S320" s="650"/>
      <c r="T320" s="650"/>
      <c r="U320" s="650"/>
      <c r="V320" s="651"/>
      <c r="W320" s="37" t="s">
        <v>67</v>
      </c>
      <c r="X320" s="645">
        <f>IFERROR(SUM(X318:X318),"0")</f>
        <v>7</v>
      </c>
      <c r="Y320" s="645">
        <f>IFERROR(SUM(Y318:Y318),"0")</f>
        <v>7.2</v>
      </c>
      <c r="Z320" s="37"/>
      <c r="AA320" s="646"/>
      <c r="AB320" s="646"/>
      <c r="AC320" s="646"/>
    </row>
    <row r="321" spans="1:68" ht="14.25" hidden="1" customHeight="1" x14ac:dyDescent="0.25">
      <c r="A321" s="667" t="s">
        <v>331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39"/>
      <c r="AB321" s="639"/>
      <c r="AC321" s="639"/>
    </row>
    <row r="322" spans="1:68" ht="27" hidden="1" customHeight="1" x14ac:dyDescent="0.25">
      <c r="A322" s="54" t="s">
        <v>525</v>
      </c>
      <c r="B322" s="54" t="s">
        <v>526</v>
      </c>
      <c r="C322" s="31">
        <v>4301041008</v>
      </c>
      <c r="D322" s="647">
        <v>4680115886681</v>
      </c>
      <c r="E322" s="648"/>
      <c r="F322" s="642">
        <v>0.12</v>
      </c>
      <c r="G322" s="32">
        <v>15</v>
      </c>
      <c r="H322" s="642">
        <v>1.8</v>
      </c>
      <c r="I322" s="642">
        <v>1.9750000000000001</v>
      </c>
      <c r="J322" s="32">
        <v>216</v>
      </c>
      <c r="K322" s="32" t="s">
        <v>329</v>
      </c>
      <c r="L322" s="32"/>
      <c r="M322" s="33" t="s">
        <v>271</v>
      </c>
      <c r="N322" s="33"/>
      <c r="O322" s="32">
        <v>90</v>
      </c>
      <c r="P322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3"/>
      <c r="R322" s="653"/>
      <c r="S322" s="653"/>
      <c r="T322" s="654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527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7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59"/>
      <c r="P323" s="649" t="s">
        <v>72</v>
      </c>
      <c r="Q323" s="650"/>
      <c r="R323" s="650"/>
      <c r="S323" s="650"/>
      <c r="T323" s="650"/>
      <c r="U323" s="650"/>
      <c r="V323" s="651"/>
      <c r="W323" s="37" t="s">
        <v>73</v>
      </c>
      <c r="X323" s="645">
        <f>IFERROR(X322/H322,"0")</f>
        <v>0</v>
      </c>
      <c r="Y323" s="645">
        <f>IFERROR(Y322/H322,"0")</f>
        <v>0</v>
      </c>
      <c r="Z323" s="645">
        <f>IFERROR(IF(Z322="",0,Z322),"0")</f>
        <v>0</v>
      </c>
      <c r="AA323" s="646"/>
      <c r="AB323" s="646"/>
      <c r="AC323" s="646"/>
    </row>
    <row r="324" spans="1:68" hidden="1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59"/>
      <c r="P324" s="649" t="s">
        <v>72</v>
      </c>
      <c r="Q324" s="650"/>
      <c r="R324" s="650"/>
      <c r="S324" s="650"/>
      <c r="T324" s="650"/>
      <c r="U324" s="650"/>
      <c r="V324" s="651"/>
      <c r="W324" s="37" t="s">
        <v>67</v>
      </c>
      <c r="X324" s="645">
        <f>IFERROR(SUM(X322:X322),"0")</f>
        <v>0</v>
      </c>
      <c r="Y324" s="645">
        <f>IFERROR(SUM(Y322:Y322),"0")</f>
        <v>0</v>
      </c>
      <c r="Z324" s="37"/>
      <c r="AA324" s="646"/>
      <c r="AB324" s="646"/>
      <c r="AC324" s="646"/>
    </row>
    <row r="325" spans="1:68" ht="16.5" hidden="1" customHeight="1" x14ac:dyDescent="0.25">
      <c r="A325" s="673" t="s">
        <v>528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38"/>
      <c r="AB325" s="638"/>
      <c r="AC325" s="638"/>
    </row>
    <row r="326" spans="1:68" ht="14.25" hidden="1" customHeight="1" x14ac:dyDescent="0.25">
      <c r="A326" s="667" t="s">
        <v>111</v>
      </c>
      <c r="B326" s="658"/>
      <c r="C326" s="658"/>
      <c r="D326" s="658"/>
      <c r="E326" s="658"/>
      <c r="F326" s="658"/>
      <c r="G326" s="658"/>
      <c r="H326" s="658"/>
      <c r="I326" s="658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58"/>
      <c r="U326" s="658"/>
      <c r="V326" s="658"/>
      <c r="W326" s="658"/>
      <c r="X326" s="658"/>
      <c r="Y326" s="658"/>
      <c r="Z326" s="658"/>
      <c r="AA326" s="639"/>
      <c r="AB326" s="639"/>
      <c r="AC326" s="639"/>
    </row>
    <row r="327" spans="1:68" ht="27" hidden="1" customHeight="1" x14ac:dyDescent="0.25">
      <c r="A327" s="54" t="s">
        <v>529</v>
      </c>
      <c r="B327" s="54" t="s">
        <v>530</v>
      </c>
      <c r="C327" s="31">
        <v>4301012390</v>
      </c>
      <c r="D327" s="647">
        <v>4680115889637</v>
      </c>
      <c r="E327" s="648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3"/>
      <c r="R327" s="653"/>
      <c r="S327" s="653"/>
      <c r="T327" s="654"/>
      <c r="U327" s="34"/>
      <c r="V327" s="34"/>
      <c r="W327" s="35" t="s">
        <v>67</v>
      </c>
      <c r="X327" s="643">
        <v>0</v>
      </c>
      <c r="Y327" s="644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531</v>
      </c>
      <c r="AC327" s="407" t="s">
        <v>532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4301011855</v>
      </c>
      <c r="D328" s="647">
        <v>4680115885837</v>
      </c>
      <c r="E328" s="648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3"/>
      <c r="R328" s="653"/>
      <c r="S328" s="653"/>
      <c r="T328" s="654"/>
      <c r="U328" s="34"/>
      <c r="V328" s="34"/>
      <c r="W328" s="35" t="s">
        <v>67</v>
      </c>
      <c r="X328" s="643">
        <v>0</v>
      </c>
      <c r="Y328" s="644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535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536</v>
      </c>
      <c r="B329" s="54" t="s">
        <v>537</v>
      </c>
      <c r="C329" s="31">
        <v>4301012234</v>
      </c>
      <c r="D329" s="647">
        <v>4680115887237</v>
      </c>
      <c r="E329" s="648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3"/>
      <c r="R329" s="653"/>
      <c r="S329" s="653"/>
      <c r="T329" s="654"/>
      <c r="U329" s="34"/>
      <c r="V329" s="34"/>
      <c r="W329" s="35" t="s">
        <v>67</v>
      </c>
      <c r="X329" s="643">
        <v>0</v>
      </c>
      <c r="Y329" s="644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538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539</v>
      </c>
      <c r="B330" s="54" t="s">
        <v>540</v>
      </c>
      <c r="C330" s="31">
        <v>4301011850</v>
      </c>
      <c r="D330" s="647">
        <v>4680115885806</v>
      </c>
      <c r="E330" s="648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3"/>
      <c r="R330" s="653"/>
      <c r="S330" s="653"/>
      <c r="T330" s="654"/>
      <c r="U330" s="34"/>
      <c r="V330" s="34"/>
      <c r="W330" s="35" t="s">
        <v>67</v>
      </c>
      <c r="X330" s="643">
        <v>0</v>
      </c>
      <c r="Y330" s="644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541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542</v>
      </c>
      <c r="B331" s="54" t="s">
        <v>543</v>
      </c>
      <c r="C331" s="31">
        <v>4301011852</v>
      </c>
      <c r="D331" s="647">
        <v>4680115885844</v>
      </c>
      <c r="E331" s="648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3"/>
      <c r="R331" s="653"/>
      <c r="S331" s="653"/>
      <c r="T331" s="654"/>
      <c r="U331" s="34"/>
      <c r="V331" s="34"/>
      <c r="W331" s="35" t="s">
        <v>67</v>
      </c>
      <c r="X331" s="643">
        <v>0</v>
      </c>
      <c r="Y331" s="644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544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545</v>
      </c>
      <c r="B332" s="54" t="s">
        <v>546</v>
      </c>
      <c r="C332" s="31">
        <v>4301011851</v>
      </c>
      <c r="D332" s="647">
        <v>4680115885820</v>
      </c>
      <c r="E332" s="648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3"/>
      <c r="R332" s="653"/>
      <c r="S332" s="653"/>
      <c r="T332" s="654"/>
      <c r="U332" s="34"/>
      <c r="V332" s="34"/>
      <c r="W332" s="35" t="s">
        <v>67</v>
      </c>
      <c r="X332" s="643">
        <v>0</v>
      </c>
      <c r="Y332" s="644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547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7"/>
      <c r="B333" s="658"/>
      <c r="C333" s="658"/>
      <c r="D333" s="658"/>
      <c r="E333" s="658"/>
      <c r="F333" s="658"/>
      <c r="G333" s="658"/>
      <c r="H333" s="658"/>
      <c r="I333" s="658"/>
      <c r="J333" s="658"/>
      <c r="K333" s="658"/>
      <c r="L333" s="658"/>
      <c r="M333" s="658"/>
      <c r="N333" s="658"/>
      <c r="O333" s="659"/>
      <c r="P333" s="649" t="s">
        <v>72</v>
      </c>
      <c r="Q333" s="650"/>
      <c r="R333" s="650"/>
      <c r="S333" s="650"/>
      <c r="T333" s="650"/>
      <c r="U333" s="650"/>
      <c r="V333" s="651"/>
      <c r="W333" s="37" t="s">
        <v>73</v>
      </c>
      <c r="X333" s="645">
        <f>IFERROR(X327/H327,"0")+IFERROR(X328/H328,"0")+IFERROR(X329/H329,"0")+IFERROR(X330/H330,"0")+IFERROR(X331/H331,"0")+IFERROR(X332/H332,"0")</f>
        <v>0</v>
      </c>
      <c r="Y333" s="645">
        <f>IFERROR(Y327/H327,"0")+IFERROR(Y328/H328,"0")+IFERROR(Y329/H329,"0")+IFERROR(Y330/H330,"0")+IFERROR(Y331/H331,"0")+IFERROR(Y332/H332,"0")</f>
        <v>0</v>
      </c>
      <c r="Z333" s="645">
        <f>IFERROR(IF(Z327="",0,Z327),"0")+IFERROR(IF(Z328="",0,Z328),"0")+IFERROR(IF(Z329="",0,Z329),"0")+IFERROR(IF(Z330="",0,Z330),"0")+IFERROR(IF(Z331="",0,Z331),"0")+IFERROR(IF(Z332="",0,Z332),"0")</f>
        <v>0</v>
      </c>
      <c r="AA333" s="646"/>
      <c r="AB333" s="646"/>
      <c r="AC333" s="646"/>
    </row>
    <row r="334" spans="1:68" hidden="1" x14ac:dyDescent="0.2">
      <c r="A334" s="658"/>
      <c r="B334" s="658"/>
      <c r="C334" s="658"/>
      <c r="D334" s="658"/>
      <c r="E334" s="658"/>
      <c r="F334" s="658"/>
      <c r="G334" s="658"/>
      <c r="H334" s="658"/>
      <c r="I334" s="658"/>
      <c r="J334" s="658"/>
      <c r="K334" s="658"/>
      <c r="L334" s="658"/>
      <c r="M334" s="658"/>
      <c r="N334" s="658"/>
      <c r="O334" s="659"/>
      <c r="P334" s="649" t="s">
        <v>72</v>
      </c>
      <c r="Q334" s="650"/>
      <c r="R334" s="650"/>
      <c r="S334" s="650"/>
      <c r="T334" s="650"/>
      <c r="U334" s="650"/>
      <c r="V334" s="651"/>
      <c r="W334" s="37" t="s">
        <v>67</v>
      </c>
      <c r="X334" s="645">
        <f>IFERROR(SUM(X327:X332),"0")</f>
        <v>0</v>
      </c>
      <c r="Y334" s="645">
        <f>IFERROR(SUM(Y327:Y332),"0")</f>
        <v>0</v>
      </c>
      <c r="Z334" s="37"/>
      <c r="AA334" s="646"/>
      <c r="AB334" s="646"/>
      <c r="AC334" s="646"/>
    </row>
    <row r="335" spans="1:68" ht="16.5" hidden="1" customHeight="1" x14ac:dyDescent="0.25">
      <c r="A335" s="673" t="s">
        <v>548</v>
      </c>
      <c r="B335" s="658"/>
      <c r="C335" s="658"/>
      <c r="D335" s="658"/>
      <c r="E335" s="658"/>
      <c r="F335" s="658"/>
      <c r="G335" s="658"/>
      <c r="H335" s="658"/>
      <c r="I335" s="658"/>
      <c r="J335" s="658"/>
      <c r="K335" s="658"/>
      <c r="L335" s="658"/>
      <c r="M335" s="658"/>
      <c r="N335" s="658"/>
      <c r="O335" s="658"/>
      <c r="P335" s="658"/>
      <c r="Q335" s="658"/>
      <c r="R335" s="658"/>
      <c r="S335" s="658"/>
      <c r="T335" s="658"/>
      <c r="U335" s="658"/>
      <c r="V335" s="658"/>
      <c r="W335" s="658"/>
      <c r="X335" s="658"/>
      <c r="Y335" s="658"/>
      <c r="Z335" s="658"/>
      <c r="AA335" s="638"/>
      <c r="AB335" s="638"/>
      <c r="AC335" s="638"/>
    </row>
    <row r="336" spans="1:68" ht="14.25" hidden="1" customHeight="1" x14ac:dyDescent="0.25">
      <c r="A336" s="667" t="s">
        <v>74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39"/>
      <c r="AB336" s="639"/>
      <c r="AC336" s="639"/>
    </row>
    <row r="337" spans="1:68" ht="27" hidden="1" customHeight="1" x14ac:dyDescent="0.25">
      <c r="A337" s="54" t="s">
        <v>549</v>
      </c>
      <c r="B337" s="54" t="s">
        <v>550</v>
      </c>
      <c r="C337" s="31">
        <v>4301051893</v>
      </c>
      <c r="D337" s="647">
        <v>4680115886186</v>
      </c>
      <c r="E337" s="648"/>
      <c r="F337" s="642">
        <v>0.3</v>
      </c>
      <c r="G337" s="32">
        <v>6</v>
      </c>
      <c r="H337" s="642">
        <v>1.8</v>
      </c>
      <c r="I337" s="642">
        <v>1.98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3"/>
      <c r="R337" s="653"/>
      <c r="S337" s="653"/>
      <c r="T337" s="654"/>
      <c r="U337" s="34"/>
      <c r="V337" s="34"/>
      <c r="W337" s="35" t="s">
        <v>67</v>
      </c>
      <c r="X337" s="643">
        <v>0</v>
      </c>
      <c r="Y337" s="6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551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552</v>
      </c>
      <c r="B338" s="54" t="s">
        <v>553</v>
      </c>
      <c r="C338" s="31">
        <v>4301051795</v>
      </c>
      <c r="D338" s="647">
        <v>4680115881228</v>
      </c>
      <c r="E338" s="648"/>
      <c r="F338" s="642">
        <v>0.4</v>
      </c>
      <c r="G338" s="32">
        <v>6</v>
      </c>
      <c r="H338" s="642">
        <v>2.4</v>
      </c>
      <c r="I338" s="642">
        <v>2.6520000000000001</v>
      </c>
      <c r="J338" s="32">
        <v>182</v>
      </c>
      <c r="K338" s="32" t="s">
        <v>77</v>
      </c>
      <c r="L338" s="32"/>
      <c r="M338" s="33" t="s">
        <v>84</v>
      </c>
      <c r="N338" s="33"/>
      <c r="O338" s="32">
        <v>40</v>
      </c>
      <c r="P338" s="101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3"/>
      <c r="R338" s="653"/>
      <c r="S338" s="653"/>
      <c r="T338" s="654"/>
      <c r="U338" s="34"/>
      <c r="V338" s="34"/>
      <c r="W338" s="35" t="s">
        <v>67</v>
      </c>
      <c r="X338" s="643">
        <v>156</v>
      </c>
      <c r="Y338" s="644">
        <f>IFERROR(IF(X338="",0,CEILING((X338/$H338),1)*$H338),"")</f>
        <v>156</v>
      </c>
      <c r="Z338" s="36">
        <f>IFERROR(IF(Y338=0,"",ROUNDUP(Y338/H338,0)*0.00651),"")</f>
        <v>0.42315000000000003</v>
      </c>
      <c r="AA338" s="56"/>
      <c r="AB338" s="57"/>
      <c r="AC338" s="421" t="s">
        <v>554</v>
      </c>
      <c r="AG338" s="64"/>
      <c r="AJ338" s="68"/>
      <c r="AK338" s="68">
        <v>0</v>
      </c>
      <c r="BB338" s="422" t="s">
        <v>1</v>
      </c>
      <c r="BM338" s="64">
        <f>IFERROR(X338*I338/H338,"0")</f>
        <v>172.38000000000002</v>
      </c>
      <c r="BN338" s="64">
        <f>IFERROR(Y338*I338/H338,"0")</f>
        <v>172.38000000000002</v>
      </c>
      <c r="BO338" s="64">
        <f>IFERROR(1/J338*(X338/H338),"0")</f>
        <v>0.35714285714285715</v>
      </c>
      <c r="BP338" s="64">
        <f>IFERROR(1/J338*(Y338/H338),"0")</f>
        <v>0.35714285714285715</v>
      </c>
    </row>
    <row r="339" spans="1:68" ht="27" customHeight="1" x14ac:dyDescent="0.25">
      <c r="A339" s="54" t="s">
        <v>555</v>
      </c>
      <c r="B339" s="54" t="s">
        <v>556</v>
      </c>
      <c r="C339" s="31">
        <v>4301051388</v>
      </c>
      <c r="D339" s="647">
        <v>4680115881211</v>
      </c>
      <c r="E339" s="648"/>
      <c r="F339" s="642">
        <v>0.4</v>
      </c>
      <c r="G339" s="32">
        <v>6</v>
      </c>
      <c r="H339" s="642">
        <v>2.4</v>
      </c>
      <c r="I339" s="642">
        <v>2.58</v>
      </c>
      <c r="J339" s="32">
        <v>182</v>
      </c>
      <c r="K339" s="32" t="s">
        <v>77</v>
      </c>
      <c r="L339" s="32"/>
      <c r="M339" s="33" t="s">
        <v>78</v>
      </c>
      <c r="N339" s="33"/>
      <c r="O339" s="32">
        <v>45</v>
      </c>
      <c r="P339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3"/>
      <c r="R339" s="653"/>
      <c r="S339" s="653"/>
      <c r="T339" s="654"/>
      <c r="U339" s="34"/>
      <c r="V339" s="34"/>
      <c r="W339" s="35" t="s">
        <v>67</v>
      </c>
      <c r="X339" s="643">
        <v>209</v>
      </c>
      <c r="Y339" s="644">
        <f>IFERROR(IF(X339="",0,CEILING((X339/$H339),1)*$H339),"")</f>
        <v>211.2</v>
      </c>
      <c r="Z339" s="36">
        <f>IFERROR(IF(Y339=0,"",ROUNDUP(Y339/H339,0)*0.00651),"")</f>
        <v>0.57288000000000006</v>
      </c>
      <c r="AA339" s="56"/>
      <c r="AB339" s="57"/>
      <c r="AC339" s="423" t="s">
        <v>551</v>
      </c>
      <c r="AG339" s="64"/>
      <c r="AJ339" s="68"/>
      <c r="AK339" s="68">
        <v>0</v>
      </c>
      <c r="BB339" s="424" t="s">
        <v>1</v>
      </c>
      <c r="BM339" s="64">
        <f>IFERROR(X339*I339/H339,"0")</f>
        <v>224.67500000000001</v>
      </c>
      <c r="BN339" s="64">
        <f>IFERROR(Y339*I339/H339,"0")</f>
        <v>227.04</v>
      </c>
      <c r="BO339" s="64">
        <f>IFERROR(1/J339*(X339/H339),"0")</f>
        <v>0.47847985347985356</v>
      </c>
      <c r="BP339" s="64">
        <f>IFERROR(1/J339*(Y339/H339),"0")</f>
        <v>0.48351648351648358</v>
      </c>
    </row>
    <row r="340" spans="1:68" x14ac:dyDescent="0.2">
      <c r="A340" s="657"/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9"/>
      <c r="P340" s="649" t="s">
        <v>72</v>
      </c>
      <c r="Q340" s="650"/>
      <c r="R340" s="650"/>
      <c r="S340" s="650"/>
      <c r="T340" s="650"/>
      <c r="U340" s="650"/>
      <c r="V340" s="651"/>
      <c r="W340" s="37" t="s">
        <v>73</v>
      </c>
      <c r="X340" s="645">
        <f>IFERROR(X337/H337,"0")+IFERROR(X338/H338,"0")+IFERROR(X339/H339,"0")</f>
        <v>152.08333333333334</v>
      </c>
      <c r="Y340" s="645">
        <f>IFERROR(Y337/H337,"0")+IFERROR(Y338/H338,"0")+IFERROR(Y339/H339,"0")</f>
        <v>153</v>
      </c>
      <c r="Z340" s="645">
        <f>IFERROR(IF(Z337="",0,Z337),"0")+IFERROR(IF(Z338="",0,Z338),"0")+IFERROR(IF(Z339="",0,Z339),"0")</f>
        <v>0.99603000000000008</v>
      </c>
      <c r="AA340" s="646"/>
      <c r="AB340" s="646"/>
      <c r="AC340" s="646"/>
    </row>
    <row r="341" spans="1:68" x14ac:dyDescent="0.2">
      <c r="A341" s="658"/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9"/>
      <c r="P341" s="649" t="s">
        <v>72</v>
      </c>
      <c r="Q341" s="650"/>
      <c r="R341" s="650"/>
      <c r="S341" s="650"/>
      <c r="T341" s="650"/>
      <c r="U341" s="650"/>
      <c r="V341" s="651"/>
      <c r="W341" s="37" t="s">
        <v>67</v>
      </c>
      <c r="X341" s="645">
        <f>IFERROR(SUM(X337:X339),"0")</f>
        <v>365</v>
      </c>
      <c r="Y341" s="645">
        <f>IFERROR(SUM(Y337:Y339),"0")</f>
        <v>367.2</v>
      </c>
      <c r="Z341" s="37"/>
      <c r="AA341" s="646"/>
      <c r="AB341" s="646"/>
      <c r="AC341" s="646"/>
    </row>
    <row r="342" spans="1:68" ht="16.5" hidden="1" customHeight="1" x14ac:dyDescent="0.25">
      <c r="A342" s="673" t="s">
        <v>557</v>
      </c>
      <c r="B342" s="658"/>
      <c r="C342" s="658"/>
      <c r="D342" s="658"/>
      <c r="E342" s="658"/>
      <c r="F342" s="658"/>
      <c r="G342" s="658"/>
      <c r="H342" s="658"/>
      <c r="I342" s="658"/>
      <c r="J342" s="658"/>
      <c r="K342" s="658"/>
      <c r="L342" s="658"/>
      <c r="M342" s="658"/>
      <c r="N342" s="658"/>
      <c r="O342" s="658"/>
      <c r="P342" s="658"/>
      <c r="Q342" s="658"/>
      <c r="R342" s="658"/>
      <c r="S342" s="658"/>
      <c r="T342" s="658"/>
      <c r="U342" s="658"/>
      <c r="V342" s="658"/>
      <c r="W342" s="658"/>
      <c r="X342" s="658"/>
      <c r="Y342" s="658"/>
      <c r="Z342" s="658"/>
      <c r="AA342" s="638"/>
      <c r="AB342" s="638"/>
      <c r="AC342" s="638"/>
    </row>
    <row r="343" spans="1:68" ht="14.25" hidden="1" customHeight="1" x14ac:dyDescent="0.25">
      <c r="A343" s="667" t="s">
        <v>62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39"/>
      <c r="AB343" s="639"/>
      <c r="AC343" s="639"/>
    </row>
    <row r="344" spans="1:68" ht="27" hidden="1" customHeight="1" x14ac:dyDescent="0.25">
      <c r="A344" s="54" t="s">
        <v>558</v>
      </c>
      <c r="B344" s="54" t="s">
        <v>559</v>
      </c>
      <c r="C344" s="31">
        <v>4301031445</v>
      </c>
      <c r="D344" s="647">
        <v>4680115888319</v>
      </c>
      <c r="E344" s="648"/>
      <c r="F344" s="642">
        <v>0.35</v>
      </c>
      <c r="G344" s="32">
        <v>6</v>
      </c>
      <c r="H344" s="642">
        <v>2.1</v>
      </c>
      <c r="I344" s="642">
        <v>2.23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45</v>
      </c>
      <c r="P344" s="97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3"/>
      <c r="R344" s="653"/>
      <c r="S344" s="653"/>
      <c r="T344" s="654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385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560</v>
      </c>
      <c r="B345" s="54" t="s">
        <v>561</v>
      </c>
      <c r="C345" s="31">
        <v>4301031502</v>
      </c>
      <c r="D345" s="647">
        <v>4680115884700</v>
      </c>
      <c r="E345" s="648"/>
      <c r="F345" s="642">
        <v>0.57999999999999996</v>
      </c>
      <c r="G345" s="32">
        <v>4</v>
      </c>
      <c r="H345" s="642">
        <v>2.3199999999999998</v>
      </c>
      <c r="I345" s="642">
        <v>2.42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3"/>
      <c r="R345" s="653"/>
      <c r="S345" s="653"/>
      <c r="T345" s="654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562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563</v>
      </c>
      <c r="B346" s="54" t="s">
        <v>564</v>
      </c>
      <c r="C346" s="31">
        <v>4301031307</v>
      </c>
      <c r="D346" s="647">
        <v>4680115880344</v>
      </c>
      <c r="E346" s="648"/>
      <c r="F346" s="642">
        <v>0.28000000000000003</v>
      </c>
      <c r="G346" s="32">
        <v>6</v>
      </c>
      <c r="H346" s="642">
        <v>1.68</v>
      </c>
      <c r="I346" s="642">
        <v>1.78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3"/>
      <c r="R346" s="653"/>
      <c r="S346" s="653"/>
      <c r="T346" s="654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565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4301031501</v>
      </c>
      <c r="D347" s="647">
        <v>4680115886919</v>
      </c>
      <c r="E347" s="648"/>
      <c r="F347" s="642">
        <v>0.4</v>
      </c>
      <c r="G347" s="32">
        <v>6</v>
      </c>
      <c r="H347" s="642">
        <v>2.4</v>
      </c>
      <c r="I347" s="642">
        <v>2.58</v>
      </c>
      <c r="J347" s="32">
        <v>182</v>
      </c>
      <c r="K347" s="32" t="s">
        <v>77</v>
      </c>
      <c r="L347" s="32"/>
      <c r="M347" s="33" t="s">
        <v>66</v>
      </c>
      <c r="N347" s="33"/>
      <c r="O347" s="32">
        <v>40</v>
      </c>
      <c r="P347" s="9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3"/>
      <c r="R347" s="653"/>
      <c r="S347" s="653"/>
      <c r="T347" s="654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568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4301031246</v>
      </c>
      <c r="D348" s="647">
        <v>4680115883970</v>
      </c>
      <c r="E348" s="648"/>
      <c r="F348" s="642">
        <v>0.28000000000000003</v>
      </c>
      <c r="G348" s="32">
        <v>6</v>
      </c>
      <c r="H348" s="642">
        <v>1.68</v>
      </c>
      <c r="I348" s="642">
        <v>2.5</v>
      </c>
      <c r="J348" s="32">
        <v>234</v>
      </c>
      <c r="K348" s="32" t="s">
        <v>65</v>
      </c>
      <c r="L348" s="32"/>
      <c r="M348" s="33" t="s">
        <v>66</v>
      </c>
      <c r="N348" s="33"/>
      <c r="O348" s="32">
        <v>40</v>
      </c>
      <c r="P348" s="93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3"/>
      <c r="R348" s="653"/>
      <c r="S348" s="653"/>
      <c r="T348" s="654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571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7"/>
      <c r="B349" s="658"/>
      <c r="C349" s="658"/>
      <c r="D349" s="658"/>
      <c r="E349" s="658"/>
      <c r="F349" s="658"/>
      <c r="G349" s="658"/>
      <c r="H349" s="658"/>
      <c r="I349" s="658"/>
      <c r="J349" s="658"/>
      <c r="K349" s="658"/>
      <c r="L349" s="658"/>
      <c r="M349" s="658"/>
      <c r="N349" s="658"/>
      <c r="O349" s="659"/>
      <c r="P349" s="649" t="s">
        <v>72</v>
      </c>
      <c r="Q349" s="650"/>
      <c r="R349" s="650"/>
      <c r="S349" s="650"/>
      <c r="T349" s="650"/>
      <c r="U349" s="650"/>
      <c r="V349" s="651"/>
      <c r="W349" s="37" t="s">
        <v>73</v>
      </c>
      <c r="X349" s="645">
        <f>IFERROR(X344/H344,"0")+IFERROR(X345/H345,"0")+IFERROR(X346/H346,"0")+IFERROR(X347/H347,"0")+IFERROR(X348/H348,"0")</f>
        <v>0</v>
      </c>
      <c r="Y349" s="645">
        <f>IFERROR(Y344/H344,"0")+IFERROR(Y345/H345,"0")+IFERROR(Y346/H346,"0")+IFERROR(Y347/H347,"0")+IFERROR(Y348/H348,"0")</f>
        <v>0</v>
      </c>
      <c r="Z349" s="645">
        <f>IFERROR(IF(Z344="",0,Z344),"0")+IFERROR(IF(Z345="",0,Z345),"0")+IFERROR(IF(Z346="",0,Z346),"0")+IFERROR(IF(Z347="",0,Z347),"0")+IFERROR(IF(Z348="",0,Z348),"0")</f>
        <v>0</v>
      </c>
      <c r="AA349" s="646"/>
      <c r="AB349" s="646"/>
      <c r="AC349" s="646"/>
    </row>
    <row r="350" spans="1:68" hidden="1" x14ac:dyDescent="0.2">
      <c r="A350" s="658"/>
      <c r="B350" s="658"/>
      <c r="C350" s="658"/>
      <c r="D350" s="658"/>
      <c r="E350" s="658"/>
      <c r="F350" s="658"/>
      <c r="G350" s="658"/>
      <c r="H350" s="658"/>
      <c r="I350" s="658"/>
      <c r="J350" s="658"/>
      <c r="K350" s="658"/>
      <c r="L350" s="658"/>
      <c r="M350" s="658"/>
      <c r="N350" s="658"/>
      <c r="O350" s="659"/>
      <c r="P350" s="649" t="s">
        <v>72</v>
      </c>
      <c r="Q350" s="650"/>
      <c r="R350" s="650"/>
      <c r="S350" s="650"/>
      <c r="T350" s="650"/>
      <c r="U350" s="650"/>
      <c r="V350" s="651"/>
      <c r="W350" s="37" t="s">
        <v>67</v>
      </c>
      <c r="X350" s="645">
        <f>IFERROR(SUM(X344:X348),"0")</f>
        <v>0</v>
      </c>
      <c r="Y350" s="645">
        <f>IFERROR(SUM(Y344:Y348),"0")</f>
        <v>0</v>
      </c>
      <c r="Z350" s="37"/>
      <c r="AA350" s="646"/>
      <c r="AB350" s="646"/>
      <c r="AC350" s="646"/>
    </row>
    <row r="351" spans="1:68" ht="14.25" hidden="1" customHeight="1" x14ac:dyDescent="0.25">
      <c r="A351" s="667" t="s">
        <v>74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39"/>
      <c r="AB351" s="639"/>
      <c r="AC351" s="639"/>
    </row>
    <row r="352" spans="1:68" ht="27" hidden="1" customHeight="1" x14ac:dyDescent="0.25">
      <c r="A352" s="54" t="s">
        <v>572</v>
      </c>
      <c r="B352" s="54" t="s">
        <v>573</v>
      </c>
      <c r="C352" s="31">
        <v>4301051782</v>
      </c>
      <c r="D352" s="647">
        <v>4680115884618</v>
      </c>
      <c r="E352" s="648"/>
      <c r="F352" s="642">
        <v>0.6</v>
      </c>
      <c r="G352" s="32">
        <v>6</v>
      </c>
      <c r="H352" s="642">
        <v>3.6</v>
      </c>
      <c r="I352" s="642">
        <v>3.79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3"/>
      <c r="R352" s="653"/>
      <c r="S352" s="653"/>
      <c r="T352" s="654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574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575</v>
      </c>
      <c r="B353" s="54" t="s">
        <v>576</v>
      </c>
      <c r="C353" s="31">
        <v>4301052057</v>
      </c>
      <c r="D353" s="647">
        <v>4680115887114</v>
      </c>
      <c r="E353" s="648"/>
      <c r="F353" s="642">
        <v>0.55000000000000004</v>
      </c>
      <c r="G353" s="32">
        <v>6</v>
      </c>
      <c r="H353" s="642">
        <v>3.3</v>
      </c>
      <c r="I353" s="642">
        <v>3.49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3"/>
      <c r="R353" s="653"/>
      <c r="S353" s="653"/>
      <c r="T353" s="654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577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7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59"/>
      <c r="P354" s="649" t="s">
        <v>72</v>
      </c>
      <c r="Q354" s="650"/>
      <c r="R354" s="650"/>
      <c r="S354" s="650"/>
      <c r="T354" s="650"/>
      <c r="U354" s="650"/>
      <c r="V354" s="651"/>
      <c r="W354" s="37" t="s">
        <v>73</v>
      </c>
      <c r="X354" s="645">
        <f>IFERROR(X352/H352,"0")+IFERROR(X353/H353,"0")</f>
        <v>0</v>
      </c>
      <c r="Y354" s="645">
        <f>IFERROR(Y352/H352,"0")+IFERROR(Y353/H353,"0")</f>
        <v>0</v>
      </c>
      <c r="Z354" s="645">
        <f>IFERROR(IF(Z352="",0,Z352),"0")+IFERROR(IF(Z353="",0,Z353),"0")</f>
        <v>0</v>
      </c>
      <c r="AA354" s="646"/>
      <c r="AB354" s="646"/>
      <c r="AC354" s="646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59"/>
      <c r="P355" s="649" t="s">
        <v>72</v>
      </c>
      <c r="Q355" s="650"/>
      <c r="R355" s="650"/>
      <c r="S355" s="650"/>
      <c r="T355" s="650"/>
      <c r="U355" s="650"/>
      <c r="V355" s="651"/>
      <c r="W355" s="37" t="s">
        <v>67</v>
      </c>
      <c r="X355" s="645">
        <f>IFERROR(SUM(X352:X353),"0")</f>
        <v>0</v>
      </c>
      <c r="Y355" s="645">
        <f>IFERROR(SUM(Y352:Y353),"0")</f>
        <v>0</v>
      </c>
      <c r="Z355" s="37"/>
      <c r="AA355" s="646"/>
      <c r="AB355" s="646"/>
      <c r="AC355" s="646"/>
    </row>
    <row r="356" spans="1:68" ht="16.5" hidden="1" customHeight="1" x14ac:dyDescent="0.25">
      <c r="A356" s="673" t="s">
        <v>578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38"/>
      <c r="AB356" s="638"/>
      <c r="AC356" s="638"/>
    </row>
    <row r="357" spans="1:68" ht="14.25" hidden="1" customHeight="1" x14ac:dyDescent="0.25">
      <c r="A357" s="667" t="s">
        <v>111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39"/>
      <c r="AB357" s="639"/>
      <c r="AC357" s="639"/>
    </row>
    <row r="358" spans="1:68" ht="27" customHeight="1" x14ac:dyDescent="0.25">
      <c r="A358" s="54" t="s">
        <v>579</v>
      </c>
      <c r="B358" s="54" t="s">
        <v>580</v>
      </c>
      <c r="C358" s="31">
        <v>4301012324</v>
      </c>
      <c r="D358" s="647">
        <v>4680115887947</v>
      </c>
      <c r="E358" s="648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3"/>
      <c r="R358" s="653"/>
      <c r="S358" s="653"/>
      <c r="T358" s="654"/>
      <c r="U358" s="34"/>
      <c r="V358" s="34"/>
      <c r="W358" s="35" t="s">
        <v>67</v>
      </c>
      <c r="X358" s="643">
        <v>27</v>
      </c>
      <c r="Y358" s="644">
        <f>IFERROR(IF(X358="",0,CEILING((X358/$H358),1)*$H358),"")</f>
        <v>31.2</v>
      </c>
      <c r="Z358" s="36">
        <f>IFERROR(IF(Y358=0,"",ROUNDUP(Y358/H358,0)*0.01898),"")</f>
        <v>7.5920000000000001E-2</v>
      </c>
      <c r="AA358" s="56"/>
      <c r="AB358" s="57"/>
      <c r="AC358" s="439" t="s">
        <v>344</v>
      </c>
      <c r="AG358" s="64"/>
      <c r="AJ358" s="68"/>
      <c r="AK358" s="68">
        <v>0</v>
      </c>
      <c r="BB358" s="440" t="s">
        <v>1</v>
      </c>
      <c r="BM358" s="64">
        <f>IFERROR(X358*I358/H358,"0")</f>
        <v>28.419230769230772</v>
      </c>
      <c r="BN358" s="64">
        <f>IFERROR(Y358*I358/H358,"0")</f>
        <v>32.840000000000003</v>
      </c>
      <c r="BO358" s="64">
        <f>IFERROR(1/J358*(X358/H358),"0")</f>
        <v>5.4086538461538464E-2</v>
      </c>
      <c r="BP358" s="64">
        <f>IFERROR(1/J358*(Y358/H358),"0")</f>
        <v>6.25E-2</v>
      </c>
    </row>
    <row r="359" spans="1:68" ht="27" customHeight="1" x14ac:dyDescent="0.25">
      <c r="A359" s="54" t="s">
        <v>581</v>
      </c>
      <c r="B359" s="54" t="s">
        <v>582</v>
      </c>
      <c r="C359" s="31">
        <v>4301012325</v>
      </c>
      <c r="D359" s="647">
        <v>4680115887978</v>
      </c>
      <c r="E359" s="648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3"/>
      <c r="R359" s="653"/>
      <c r="S359" s="653"/>
      <c r="T359" s="654"/>
      <c r="U359" s="34"/>
      <c r="V359" s="34"/>
      <c r="W359" s="35" t="s">
        <v>67</v>
      </c>
      <c r="X359" s="643">
        <v>102</v>
      </c>
      <c r="Y359" s="644">
        <f>IFERROR(IF(X359="",0,CEILING((X359/$H359),1)*$H359),"")</f>
        <v>109.2</v>
      </c>
      <c r="Z359" s="36">
        <f>IFERROR(IF(Y359=0,"",ROUNDUP(Y359/H359,0)*0.01898),"")</f>
        <v>0.26572000000000001</v>
      </c>
      <c r="AA359" s="56"/>
      <c r="AB359" s="57"/>
      <c r="AC359" s="441" t="s">
        <v>583</v>
      </c>
      <c r="AG359" s="64"/>
      <c r="AJ359" s="68"/>
      <c r="AK359" s="68">
        <v>0</v>
      </c>
      <c r="BB359" s="442" t="s">
        <v>1</v>
      </c>
      <c r="BM359" s="64">
        <f>IFERROR(X359*I359/H359,"0")</f>
        <v>107.36153846153847</v>
      </c>
      <c r="BN359" s="64">
        <f>IFERROR(Y359*I359/H359,"0")</f>
        <v>114.94000000000003</v>
      </c>
      <c r="BO359" s="64">
        <f>IFERROR(1/J359*(X359/H359),"0")</f>
        <v>0.20432692307692307</v>
      </c>
      <c r="BP359" s="64">
        <f>IFERROR(1/J359*(Y359/H359),"0")</f>
        <v>0.21875</v>
      </c>
    </row>
    <row r="360" spans="1:68" ht="27" hidden="1" customHeight="1" x14ac:dyDescent="0.25">
      <c r="A360" s="54" t="s">
        <v>584</v>
      </c>
      <c r="B360" s="54" t="s">
        <v>585</v>
      </c>
      <c r="C360" s="31">
        <v>4301012327</v>
      </c>
      <c r="D360" s="647">
        <v>4680115887992</v>
      </c>
      <c r="E360" s="648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3"/>
      <c r="R360" s="653"/>
      <c r="S360" s="653"/>
      <c r="T360" s="654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586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57"/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9"/>
      <c r="P361" s="649" t="s">
        <v>72</v>
      </c>
      <c r="Q361" s="650"/>
      <c r="R361" s="650"/>
      <c r="S361" s="650"/>
      <c r="T361" s="650"/>
      <c r="U361" s="650"/>
      <c r="V361" s="651"/>
      <c r="W361" s="37" t="s">
        <v>73</v>
      </c>
      <c r="X361" s="645">
        <f>IFERROR(X358/H358,"0")+IFERROR(X359/H359,"0")+IFERROR(X360/H360,"0")</f>
        <v>16.53846153846154</v>
      </c>
      <c r="Y361" s="645">
        <f>IFERROR(Y358/H358,"0")+IFERROR(Y359/H359,"0")+IFERROR(Y360/H360,"0")</f>
        <v>18</v>
      </c>
      <c r="Z361" s="645">
        <f>IFERROR(IF(Z358="",0,Z358),"0")+IFERROR(IF(Z359="",0,Z359),"0")+IFERROR(IF(Z360="",0,Z360),"0")</f>
        <v>0.34164</v>
      </c>
      <c r="AA361" s="646"/>
      <c r="AB361" s="646"/>
      <c r="AC361" s="646"/>
    </row>
    <row r="362" spans="1:68" x14ac:dyDescent="0.2">
      <c r="A362" s="658"/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9"/>
      <c r="P362" s="649" t="s">
        <v>72</v>
      </c>
      <c r="Q362" s="650"/>
      <c r="R362" s="650"/>
      <c r="S362" s="650"/>
      <c r="T362" s="650"/>
      <c r="U362" s="650"/>
      <c r="V362" s="651"/>
      <c r="W362" s="37" t="s">
        <v>67</v>
      </c>
      <c r="X362" s="645">
        <f>IFERROR(SUM(X358:X360),"0")</f>
        <v>129</v>
      </c>
      <c r="Y362" s="645">
        <f>IFERROR(SUM(Y358:Y360),"0")</f>
        <v>140.4</v>
      </c>
      <c r="Z362" s="37"/>
      <c r="AA362" s="646"/>
      <c r="AB362" s="646"/>
      <c r="AC362" s="646"/>
    </row>
    <row r="363" spans="1:68" ht="16.5" hidden="1" customHeight="1" x14ac:dyDescent="0.25">
      <c r="A363" s="673" t="s">
        <v>587</v>
      </c>
      <c r="B363" s="658"/>
      <c r="C363" s="658"/>
      <c r="D363" s="658"/>
      <c r="E363" s="658"/>
      <c r="F363" s="658"/>
      <c r="G363" s="658"/>
      <c r="H363" s="658"/>
      <c r="I363" s="658"/>
      <c r="J363" s="658"/>
      <c r="K363" s="658"/>
      <c r="L363" s="658"/>
      <c r="M363" s="658"/>
      <c r="N363" s="658"/>
      <c r="O363" s="658"/>
      <c r="P363" s="658"/>
      <c r="Q363" s="658"/>
      <c r="R363" s="658"/>
      <c r="S363" s="658"/>
      <c r="T363" s="658"/>
      <c r="U363" s="658"/>
      <c r="V363" s="658"/>
      <c r="W363" s="658"/>
      <c r="X363" s="658"/>
      <c r="Y363" s="658"/>
      <c r="Z363" s="658"/>
      <c r="AA363" s="638"/>
      <c r="AB363" s="638"/>
      <c r="AC363" s="638"/>
    </row>
    <row r="364" spans="1:68" ht="14.25" hidden="1" customHeight="1" x14ac:dyDescent="0.25">
      <c r="A364" s="667" t="s">
        <v>111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39"/>
      <c r="AB364" s="639"/>
      <c r="AC364" s="639"/>
    </row>
    <row r="365" spans="1:68" ht="27" hidden="1" customHeight="1" x14ac:dyDescent="0.25">
      <c r="A365" s="54" t="s">
        <v>588</v>
      </c>
      <c r="B365" s="54" t="s">
        <v>589</v>
      </c>
      <c r="C365" s="31">
        <v>4301012400</v>
      </c>
      <c r="D365" s="647">
        <v>4680115889880</v>
      </c>
      <c r="E365" s="648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3"/>
      <c r="R365" s="653"/>
      <c r="S365" s="653"/>
      <c r="T365" s="654"/>
      <c r="U365" s="34"/>
      <c r="V365" s="34"/>
      <c r="W365" s="35" t="s">
        <v>67</v>
      </c>
      <c r="X365" s="643">
        <v>0</v>
      </c>
      <c r="Y365" s="644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531</v>
      </c>
      <c r="AC365" s="445" t="s">
        <v>512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590</v>
      </c>
      <c r="B366" s="54" t="s">
        <v>591</v>
      </c>
      <c r="C366" s="31">
        <v>4301012360</v>
      </c>
      <c r="D366" s="647">
        <v>4680115889293</v>
      </c>
      <c r="E366" s="648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3"/>
      <c r="R366" s="653"/>
      <c r="S366" s="653"/>
      <c r="T366" s="654"/>
      <c r="U366" s="34"/>
      <c r="V366" s="34"/>
      <c r="W366" s="35" t="s">
        <v>67</v>
      </c>
      <c r="X366" s="643">
        <v>0</v>
      </c>
      <c r="Y366" s="644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592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593</v>
      </c>
      <c r="B367" s="54" t="s">
        <v>594</v>
      </c>
      <c r="C367" s="31">
        <v>4301012235</v>
      </c>
      <c r="D367" s="647">
        <v>4680115887190</v>
      </c>
      <c r="E367" s="648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3"/>
      <c r="R367" s="653"/>
      <c r="S367" s="653"/>
      <c r="T367" s="654"/>
      <c r="U367" s="34"/>
      <c r="V367" s="34"/>
      <c r="W367" s="35" t="s">
        <v>67</v>
      </c>
      <c r="X367" s="643">
        <v>0</v>
      </c>
      <c r="Y367" s="644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595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596</v>
      </c>
      <c r="B368" s="54" t="s">
        <v>597</v>
      </c>
      <c r="C368" s="31">
        <v>4301012233</v>
      </c>
      <c r="D368" s="647">
        <v>4680115887138</v>
      </c>
      <c r="E368" s="648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115</v>
      </c>
      <c r="N368" s="33"/>
      <c r="O368" s="32">
        <v>55</v>
      </c>
      <c r="P368" s="10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3"/>
      <c r="R368" s="653"/>
      <c r="S368" s="653"/>
      <c r="T368" s="654"/>
      <c r="U368" s="34"/>
      <c r="V368" s="34"/>
      <c r="W368" s="35" t="s">
        <v>67</v>
      </c>
      <c r="X368" s="643">
        <v>0</v>
      </c>
      <c r="Y368" s="644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598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4301012016</v>
      </c>
      <c r="D369" s="647">
        <v>4680115885554</v>
      </c>
      <c r="E369" s="648"/>
      <c r="F369" s="642">
        <v>1.35</v>
      </c>
      <c r="G369" s="32">
        <v>8</v>
      </c>
      <c r="H369" s="642">
        <v>10.8</v>
      </c>
      <c r="I369" s="642">
        <v>11.21</v>
      </c>
      <c r="J369" s="32">
        <v>64</v>
      </c>
      <c r="K369" s="32" t="s">
        <v>114</v>
      </c>
      <c r="L369" s="32"/>
      <c r="M369" s="33" t="s">
        <v>78</v>
      </c>
      <c r="N369" s="33"/>
      <c r="O369" s="32">
        <v>55</v>
      </c>
      <c r="P369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3"/>
      <c r="R369" s="653"/>
      <c r="S369" s="653"/>
      <c r="T369" s="654"/>
      <c r="U369" s="34"/>
      <c r="V369" s="34"/>
      <c r="W369" s="35" t="s">
        <v>67</v>
      </c>
      <c r="X369" s="643">
        <v>0</v>
      </c>
      <c r="Y369" s="644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601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602</v>
      </c>
      <c r="B370" s="54" t="s">
        <v>603</v>
      </c>
      <c r="C370" s="31">
        <v>4301012236</v>
      </c>
      <c r="D370" s="647">
        <v>4680115887220</v>
      </c>
      <c r="E370" s="648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3"/>
      <c r="R370" s="653"/>
      <c r="S370" s="653"/>
      <c r="T370" s="654"/>
      <c r="U370" s="34"/>
      <c r="V370" s="34"/>
      <c r="W370" s="35" t="s">
        <v>67</v>
      </c>
      <c r="X370" s="643">
        <v>0</v>
      </c>
      <c r="Y370" s="644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595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4301011859</v>
      </c>
      <c r="D371" s="647">
        <v>4680115885608</v>
      </c>
      <c r="E371" s="648"/>
      <c r="F371" s="642">
        <v>0.4</v>
      </c>
      <c r="G371" s="32">
        <v>10</v>
      </c>
      <c r="H371" s="642">
        <v>4</v>
      </c>
      <c r="I371" s="642">
        <v>4.1900000000000004</v>
      </c>
      <c r="J371" s="32">
        <v>132</v>
      </c>
      <c r="K371" s="32" t="s">
        <v>123</v>
      </c>
      <c r="L371" s="32"/>
      <c r="M371" s="33" t="s">
        <v>115</v>
      </c>
      <c r="N371" s="33"/>
      <c r="O371" s="32">
        <v>55</v>
      </c>
      <c r="P371" s="7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3"/>
      <c r="R371" s="653"/>
      <c r="S371" s="653"/>
      <c r="T371" s="654"/>
      <c r="U371" s="34"/>
      <c r="V371" s="34"/>
      <c r="W371" s="35" t="s">
        <v>67</v>
      </c>
      <c r="X371" s="643">
        <v>0</v>
      </c>
      <c r="Y371" s="644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606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7"/>
      <c r="B372" s="658"/>
      <c r="C372" s="658"/>
      <c r="D372" s="658"/>
      <c r="E372" s="658"/>
      <c r="F372" s="658"/>
      <c r="G372" s="658"/>
      <c r="H372" s="658"/>
      <c r="I372" s="658"/>
      <c r="J372" s="658"/>
      <c r="K372" s="658"/>
      <c r="L372" s="658"/>
      <c r="M372" s="658"/>
      <c r="N372" s="658"/>
      <c r="O372" s="659"/>
      <c r="P372" s="649" t="s">
        <v>72</v>
      </c>
      <c r="Q372" s="650"/>
      <c r="R372" s="650"/>
      <c r="S372" s="650"/>
      <c r="T372" s="650"/>
      <c r="U372" s="650"/>
      <c r="V372" s="651"/>
      <c r="W372" s="37" t="s">
        <v>73</v>
      </c>
      <c r="X372" s="645">
        <f>IFERROR(X365/H365,"0")+IFERROR(X366/H366,"0")+IFERROR(X367/H367,"0")+IFERROR(X368/H368,"0")+IFERROR(X369/H369,"0")+IFERROR(X370/H370,"0")+IFERROR(X371/H371,"0")</f>
        <v>0</v>
      </c>
      <c r="Y372" s="645">
        <f>IFERROR(Y365/H365,"0")+IFERROR(Y366/H366,"0")+IFERROR(Y367/H367,"0")+IFERROR(Y368/H368,"0")+IFERROR(Y369/H369,"0")+IFERROR(Y370/H370,"0")+IFERROR(Y371/H371,"0")</f>
        <v>0</v>
      </c>
      <c r="Z372" s="645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6"/>
      <c r="AB372" s="646"/>
      <c r="AC372" s="646"/>
    </row>
    <row r="373" spans="1:68" hidden="1" x14ac:dyDescent="0.2">
      <c r="A373" s="658"/>
      <c r="B373" s="658"/>
      <c r="C373" s="658"/>
      <c r="D373" s="658"/>
      <c r="E373" s="658"/>
      <c r="F373" s="658"/>
      <c r="G373" s="658"/>
      <c r="H373" s="658"/>
      <c r="I373" s="658"/>
      <c r="J373" s="658"/>
      <c r="K373" s="658"/>
      <c r="L373" s="658"/>
      <c r="M373" s="658"/>
      <c r="N373" s="658"/>
      <c r="O373" s="659"/>
      <c r="P373" s="649" t="s">
        <v>72</v>
      </c>
      <c r="Q373" s="650"/>
      <c r="R373" s="650"/>
      <c r="S373" s="650"/>
      <c r="T373" s="650"/>
      <c r="U373" s="650"/>
      <c r="V373" s="651"/>
      <c r="W373" s="37" t="s">
        <v>67</v>
      </c>
      <c r="X373" s="645">
        <f>IFERROR(SUM(X365:X371),"0")</f>
        <v>0</v>
      </c>
      <c r="Y373" s="645">
        <f>IFERROR(SUM(Y365:Y371),"0")</f>
        <v>0</v>
      </c>
      <c r="Z373" s="37"/>
      <c r="AA373" s="646"/>
      <c r="AB373" s="646"/>
      <c r="AC373" s="646"/>
    </row>
    <row r="374" spans="1:68" ht="14.25" hidden="1" customHeight="1" x14ac:dyDescent="0.25">
      <c r="A374" s="667" t="s">
        <v>62</v>
      </c>
      <c r="B374" s="658"/>
      <c r="C374" s="658"/>
      <c r="D374" s="658"/>
      <c r="E374" s="658"/>
      <c r="F374" s="658"/>
      <c r="G374" s="658"/>
      <c r="H374" s="658"/>
      <c r="I374" s="658"/>
      <c r="J374" s="658"/>
      <c r="K374" s="658"/>
      <c r="L374" s="658"/>
      <c r="M374" s="658"/>
      <c r="N374" s="658"/>
      <c r="O374" s="658"/>
      <c r="P374" s="658"/>
      <c r="Q374" s="658"/>
      <c r="R374" s="658"/>
      <c r="S374" s="658"/>
      <c r="T374" s="658"/>
      <c r="U374" s="658"/>
      <c r="V374" s="658"/>
      <c r="W374" s="658"/>
      <c r="X374" s="658"/>
      <c r="Y374" s="658"/>
      <c r="Z374" s="658"/>
      <c r="AA374" s="639"/>
      <c r="AB374" s="639"/>
      <c r="AC374" s="639"/>
    </row>
    <row r="375" spans="1:68" ht="27" hidden="1" customHeight="1" x14ac:dyDescent="0.25">
      <c r="A375" s="54" t="s">
        <v>607</v>
      </c>
      <c r="B375" s="54" t="s">
        <v>608</v>
      </c>
      <c r="C375" s="31">
        <v>4301030878</v>
      </c>
      <c r="D375" s="647">
        <v>4607091387193</v>
      </c>
      <c r="E375" s="648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35</v>
      </c>
      <c r="P375" s="8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3"/>
      <c r="R375" s="653"/>
      <c r="S375" s="653"/>
      <c r="T375" s="654"/>
      <c r="U375" s="34"/>
      <c r="V375" s="34"/>
      <c r="W375" s="35" t="s">
        <v>67</v>
      </c>
      <c r="X375" s="643">
        <v>0</v>
      </c>
      <c r="Y375" s="644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609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customHeight="1" x14ac:dyDescent="0.25">
      <c r="A376" s="54" t="s">
        <v>610</v>
      </c>
      <c r="B376" s="54" t="s">
        <v>611</v>
      </c>
      <c r="C376" s="31">
        <v>4301031153</v>
      </c>
      <c r="D376" s="647">
        <v>4607091387230</v>
      </c>
      <c r="E376" s="648"/>
      <c r="F376" s="642">
        <v>0.7</v>
      </c>
      <c r="G376" s="32">
        <v>6</v>
      </c>
      <c r="H376" s="642">
        <v>4.2</v>
      </c>
      <c r="I376" s="642">
        <v>4.45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40</v>
      </c>
      <c r="P376" s="7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3"/>
      <c r="R376" s="653"/>
      <c r="S376" s="653"/>
      <c r="T376" s="654"/>
      <c r="U376" s="34"/>
      <c r="V376" s="34"/>
      <c r="W376" s="35" t="s">
        <v>67</v>
      </c>
      <c r="X376" s="643">
        <v>18</v>
      </c>
      <c r="Y376" s="644">
        <f t="shared" si="68"/>
        <v>21</v>
      </c>
      <c r="Z376" s="36">
        <f>IFERROR(IF(Y376=0,"",ROUNDUP(Y376/H376,0)*0.00902),"")</f>
        <v>4.5100000000000001E-2</v>
      </c>
      <c r="AA376" s="56"/>
      <c r="AB376" s="57"/>
      <c r="AC376" s="461" t="s">
        <v>612</v>
      </c>
      <c r="AG376" s="64"/>
      <c r="AJ376" s="68"/>
      <c r="AK376" s="68">
        <v>0</v>
      </c>
      <c r="BB376" s="462" t="s">
        <v>1</v>
      </c>
      <c r="BM376" s="64">
        <f t="shared" si="69"/>
        <v>19.071428571428573</v>
      </c>
      <c r="BN376" s="64">
        <f t="shared" si="70"/>
        <v>22.25</v>
      </c>
      <c r="BO376" s="64">
        <f t="shared" si="71"/>
        <v>3.2467532467532464E-2</v>
      </c>
      <c r="BP376" s="64">
        <f t="shared" si="72"/>
        <v>3.787878787878788E-2</v>
      </c>
    </row>
    <row r="377" spans="1:68" ht="27" hidden="1" customHeight="1" x14ac:dyDescent="0.25">
      <c r="A377" s="54" t="s">
        <v>613</v>
      </c>
      <c r="B377" s="54" t="s">
        <v>614</v>
      </c>
      <c r="C377" s="31">
        <v>4301031154</v>
      </c>
      <c r="D377" s="647">
        <v>4607091387292</v>
      </c>
      <c r="E377" s="648"/>
      <c r="F377" s="642">
        <v>0.73</v>
      </c>
      <c r="G377" s="32">
        <v>6</v>
      </c>
      <c r="H377" s="642">
        <v>4.38</v>
      </c>
      <c r="I377" s="642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3"/>
      <c r="R377" s="653"/>
      <c r="S377" s="653"/>
      <c r="T377" s="654"/>
      <c r="U377" s="34"/>
      <c r="V377" s="34"/>
      <c r="W377" s="35" t="s">
        <v>67</v>
      </c>
      <c r="X377" s="643">
        <v>0</v>
      </c>
      <c r="Y377" s="644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615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616</v>
      </c>
      <c r="B378" s="54" t="s">
        <v>617</v>
      </c>
      <c r="C378" s="31">
        <v>4301031152</v>
      </c>
      <c r="D378" s="647">
        <v>4607091387285</v>
      </c>
      <c r="E378" s="648"/>
      <c r="F378" s="642">
        <v>0.35</v>
      </c>
      <c r="G378" s="32">
        <v>6</v>
      </c>
      <c r="H378" s="642">
        <v>2.1</v>
      </c>
      <c r="I378" s="642">
        <v>2.23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3"/>
      <c r="R378" s="653"/>
      <c r="S378" s="653"/>
      <c r="T378" s="654"/>
      <c r="U378" s="34"/>
      <c r="V378" s="34"/>
      <c r="W378" s="35" t="s">
        <v>67</v>
      </c>
      <c r="X378" s="643">
        <v>0</v>
      </c>
      <c r="Y378" s="644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612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4301031305</v>
      </c>
      <c r="D379" s="647">
        <v>4607091389845</v>
      </c>
      <c r="E379" s="648"/>
      <c r="F379" s="642">
        <v>0.35</v>
      </c>
      <c r="G379" s="32">
        <v>6</v>
      </c>
      <c r="H379" s="642">
        <v>2.1</v>
      </c>
      <c r="I379" s="642">
        <v>2.2000000000000002</v>
      </c>
      <c r="J379" s="32">
        <v>234</v>
      </c>
      <c r="K379" s="32" t="s">
        <v>65</v>
      </c>
      <c r="L379" s="32"/>
      <c r="M379" s="33" t="s">
        <v>66</v>
      </c>
      <c r="N379" s="33"/>
      <c r="O379" s="32">
        <v>40</v>
      </c>
      <c r="P379" s="6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3"/>
      <c r="R379" s="653"/>
      <c r="S379" s="653"/>
      <c r="T379" s="654"/>
      <c r="U379" s="34"/>
      <c r="V379" s="34"/>
      <c r="W379" s="35" t="s">
        <v>67</v>
      </c>
      <c r="X379" s="643">
        <v>0</v>
      </c>
      <c r="Y379" s="644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620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4301031460</v>
      </c>
      <c r="D380" s="647">
        <v>4680115887442</v>
      </c>
      <c r="E380" s="648"/>
      <c r="F380" s="642">
        <v>0.73</v>
      </c>
      <c r="G380" s="32">
        <v>6</v>
      </c>
      <c r="H380" s="642">
        <v>4.38</v>
      </c>
      <c r="I380" s="642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3"/>
      <c r="R380" s="653"/>
      <c r="S380" s="653"/>
      <c r="T380" s="654"/>
      <c r="U380" s="34"/>
      <c r="V380" s="34"/>
      <c r="W380" s="35" t="s">
        <v>67</v>
      </c>
      <c r="X380" s="643">
        <v>0</v>
      </c>
      <c r="Y380" s="644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615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4301031066</v>
      </c>
      <c r="D381" s="647">
        <v>4607091383836</v>
      </c>
      <c r="E381" s="648"/>
      <c r="F381" s="642">
        <v>0.3</v>
      </c>
      <c r="G381" s="32">
        <v>6</v>
      </c>
      <c r="H381" s="642">
        <v>1.8</v>
      </c>
      <c r="I381" s="642">
        <v>2.028</v>
      </c>
      <c r="J381" s="32">
        <v>182</v>
      </c>
      <c r="K381" s="32" t="s">
        <v>77</v>
      </c>
      <c r="L381" s="32"/>
      <c r="M381" s="33" t="s">
        <v>66</v>
      </c>
      <c r="N381" s="33"/>
      <c r="O381" s="32">
        <v>40</v>
      </c>
      <c r="P381" s="70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3"/>
      <c r="R381" s="653"/>
      <c r="S381" s="653"/>
      <c r="T381" s="654"/>
      <c r="U381" s="34"/>
      <c r="V381" s="34"/>
      <c r="W381" s="35" t="s">
        <v>67</v>
      </c>
      <c r="X381" s="643">
        <v>4</v>
      </c>
      <c r="Y381" s="644">
        <f t="shared" si="68"/>
        <v>5.4</v>
      </c>
      <c r="Z381" s="36">
        <f>IFERROR(IF(Y381=0,"",ROUNDUP(Y381/H381,0)*0.00651),"")</f>
        <v>1.9529999999999999E-2</v>
      </c>
      <c r="AA381" s="56"/>
      <c r="AB381" s="57"/>
      <c r="AC381" s="471" t="s">
        <v>625</v>
      </c>
      <c r="AG381" s="64"/>
      <c r="AJ381" s="68"/>
      <c r="AK381" s="68">
        <v>0</v>
      </c>
      <c r="BB381" s="472" t="s">
        <v>1</v>
      </c>
      <c r="BM381" s="64">
        <f t="shared" si="69"/>
        <v>4.5066666666666668</v>
      </c>
      <c r="BN381" s="64">
        <f t="shared" si="70"/>
        <v>6.0839999999999996</v>
      </c>
      <c r="BO381" s="64">
        <f t="shared" si="71"/>
        <v>1.2210012210012212E-2</v>
      </c>
      <c r="BP381" s="64">
        <f t="shared" si="72"/>
        <v>1.6483516483516484E-2</v>
      </c>
    </row>
    <row r="382" spans="1:68" x14ac:dyDescent="0.2">
      <c r="A382" s="657"/>
      <c r="B382" s="658"/>
      <c r="C382" s="658"/>
      <c r="D382" s="658"/>
      <c r="E382" s="658"/>
      <c r="F382" s="658"/>
      <c r="G382" s="658"/>
      <c r="H382" s="658"/>
      <c r="I382" s="658"/>
      <c r="J382" s="658"/>
      <c r="K382" s="658"/>
      <c r="L382" s="658"/>
      <c r="M382" s="658"/>
      <c r="N382" s="658"/>
      <c r="O382" s="659"/>
      <c r="P382" s="649" t="s">
        <v>72</v>
      </c>
      <c r="Q382" s="650"/>
      <c r="R382" s="650"/>
      <c r="S382" s="650"/>
      <c r="T382" s="650"/>
      <c r="U382" s="650"/>
      <c r="V382" s="651"/>
      <c r="W382" s="37" t="s">
        <v>73</v>
      </c>
      <c r="X382" s="645">
        <f>IFERROR(X375/H375,"0")+IFERROR(X376/H376,"0")+IFERROR(X377/H377,"0")+IFERROR(X378/H378,"0")+IFERROR(X379/H379,"0")+IFERROR(X380/H380,"0")+IFERROR(X381/H381,"0")</f>
        <v>6.5079365079365079</v>
      </c>
      <c r="Y382" s="645">
        <f>IFERROR(Y375/H375,"0")+IFERROR(Y376/H376,"0")+IFERROR(Y377/H377,"0")+IFERROR(Y378/H378,"0")+IFERROR(Y379/H379,"0")+IFERROR(Y380/H380,"0")+IFERROR(Y381/H381,"0")</f>
        <v>8</v>
      </c>
      <c r="Z382" s="645">
        <f>IFERROR(IF(Z375="",0,Z375),"0")+IFERROR(IF(Z376="",0,Z376),"0")+IFERROR(IF(Z377="",0,Z377),"0")+IFERROR(IF(Z378="",0,Z378),"0")+IFERROR(IF(Z379="",0,Z379),"0")+IFERROR(IF(Z380="",0,Z380),"0")+IFERROR(IF(Z381="",0,Z381),"0")</f>
        <v>6.4629999999999993E-2</v>
      </c>
      <c r="AA382" s="646"/>
      <c r="AB382" s="646"/>
      <c r="AC382" s="646"/>
    </row>
    <row r="383" spans="1:68" x14ac:dyDescent="0.2">
      <c r="A383" s="658"/>
      <c r="B383" s="658"/>
      <c r="C383" s="658"/>
      <c r="D383" s="658"/>
      <c r="E383" s="658"/>
      <c r="F383" s="658"/>
      <c r="G383" s="658"/>
      <c r="H383" s="658"/>
      <c r="I383" s="658"/>
      <c r="J383" s="658"/>
      <c r="K383" s="658"/>
      <c r="L383" s="658"/>
      <c r="M383" s="658"/>
      <c r="N383" s="658"/>
      <c r="O383" s="659"/>
      <c r="P383" s="649" t="s">
        <v>72</v>
      </c>
      <c r="Q383" s="650"/>
      <c r="R383" s="650"/>
      <c r="S383" s="650"/>
      <c r="T383" s="650"/>
      <c r="U383" s="650"/>
      <c r="V383" s="651"/>
      <c r="W383" s="37" t="s">
        <v>67</v>
      </c>
      <c r="X383" s="645">
        <f>IFERROR(SUM(X375:X381),"0")</f>
        <v>22</v>
      </c>
      <c r="Y383" s="645">
        <f>IFERROR(SUM(Y375:Y381),"0")</f>
        <v>26.4</v>
      </c>
      <c r="Z383" s="37"/>
      <c r="AA383" s="646"/>
      <c r="AB383" s="646"/>
      <c r="AC383" s="646"/>
    </row>
    <row r="384" spans="1:68" ht="14.25" hidden="1" customHeight="1" x14ac:dyDescent="0.25">
      <c r="A384" s="667" t="s">
        <v>74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39"/>
      <c r="AB384" s="639"/>
      <c r="AC384" s="639"/>
    </row>
    <row r="385" spans="1:68" ht="27" hidden="1" customHeight="1" x14ac:dyDescent="0.25">
      <c r="A385" s="54" t="s">
        <v>626</v>
      </c>
      <c r="B385" s="54" t="s">
        <v>627</v>
      </c>
      <c r="C385" s="31">
        <v>4301051100</v>
      </c>
      <c r="D385" s="647">
        <v>4607091387766</v>
      </c>
      <c r="E385" s="648"/>
      <c r="F385" s="642">
        <v>1.3</v>
      </c>
      <c r="G385" s="32">
        <v>6</v>
      </c>
      <c r="H385" s="642">
        <v>7.8</v>
      </c>
      <c r="I385" s="642">
        <v>8.2880000000000003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3"/>
      <c r="R385" s="653"/>
      <c r="S385" s="653"/>
      <c r="T385" s="654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628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4301051818</v>
      </c>
      <c r="D386" s="647">
        <v>4607091387957</v>
      </c>
      <c r="E386" s="648"/>
      <c r="F386" s="642">
        <v>1.3</v>
      </c>
      <c r="G386" s="32">
        <v>6</v>
      </c>
      <c r="H386" s="642">
        <v>7.8</v>
      </c>
      <c r="I386" s="642">
        <v>8.2940000000000005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3"/>
      <c r="R386" s="653"/>
      <c r="S386" s="653"/>
      <c r="T386" s="654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4301051819</v>
      </c>
      <c r="D387" s="647">
        <v>4607091387964</v>
      </c>
      <c r="E387" s="648"/>
      <c r="F387" s="642">
        <v>1.35</v>
      </c>
      <c r="G387" s="32">
        <v>6</v>
      </c>
      <c r="H387" s="642">
        <v>8.1</v>
      </c>
      <c r="I387" s="642">
        <v>8.5760000000000005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40</v>
      </c>
      <c r="P387" s="8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3"/>
      <c r="R387" s="653"/>
      <c r="S387" s="653"/>
      <c r="T387" s="654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634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635</v>
      </c>
      <c r="B388" s="54" t="s">
        <v>636</v>
      </c>
      <c r="C388" s="31">
        <v>4301051734</v>
      </c>
      <c r="D388" s="647">
        <v>4680115884588</v>
      </c>
      <c r="E388" s="648"/>
      <c r="F388" s="642">
        <v>0.5</v>
      </c>
      <c r="G388" s="32">
        <v>6</v>
      </c>
      <c r="H388" s="642">
        <v>3</v>
      </c>
      <c r="I388" s="642">
        <v>3.246</v>
      </c>
      <c r="J388" s="32">
        <v>182</v>
      </c>
      <c r="K388" s="32" t="s">
        <v>77</v>
      </c>
      <c r="L388" s="32"/>
      <c r="M388" s="33" t="s">
        <v>78</v>
      </c>
      <c r="N388" s="33"/>
      <c r="O388" s="32">
        <v>40</v>
      </c>
      <c r="P388" s="8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3"/>
      <c r="R388" s="653"/>
      <c r="S388" s="653"/>
      <c r="T388" s="654"/>
      <c r="U388" s="34"/>
      <c r="V388" s="34"/>
      <c r="W388" s="35" t="s">
        <v>67</v>
      </c>
      <c r="X388" s="643">
        <v>0</v>
      </c>
      <c r="Y388" s="644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628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7"/>
      <c r="B389" s="658"/>
      <c r="C389" s="658"/>
      <c r="D389" s="658"/>
      <c r="E389" s="658"/>
      <c r="F389" s="658"/>
      <c r="G389" s="658"/>
      <c r="H389" s="658"/>
      <c r="I389" s="658"/>
      <c r="J389" s="658"/>
      <c r="K389" s="658"/>
      <c r="L389" s="658"/>
      <c r="M389" s="658"/>
      <c r="N389" s="658"/>
      <c r="O389" s="659"/>
      <c r="P389" s="649" t="s">
        <v>72</v>
      </c>
      <c r="Q389" s="650"/>
      <c r="R389" s="650"/>
      <c r="S389" s="650"/>
      <c r="T389" s="650"/>
      <c r="U389" s="650"/>
      <c r="V389" s="651"/>
      <c r="W389" s="37" t="s">
        <v>73</v>
      </c>
      <c r="X389" s="645">
        <f>IFERROR(X385/H385,"0")+IFERROR(X386/H386,"0")+IFERROR(X387/H387,"0")+IFERROR(X388/H388,"0")</f>
        <v>0</v>
      </c>
      <c r="Y389" s="645">
        <f>IFERROR(Y385/H385,"0")+IFERROR(Y386/H386,"0")+IFERROR(Y387/H387,"0")+IFERROR(Y388/H388,"0")</f>
        <v>0</v>
      </c>
      <c r="Z389" s="645">
        <f>IFERROR(IF(Z385="",0,Z385),"0")+IFERROR(IF(Z386="",0,Z386),"0")+IFERROR(IF(Z387="",0,Z387),"0")+IFERROR(IF(Z388="",0,Z388),"0")</f>
        <v>0</v>
      </c>
      <c r="AA389" s="646"/>
      <c r="AB389" s="646"/>
      <c r="AC389" s="646"/>
    </row>
    <row r="390" spans="1:68" hidden="1" x14ac:dyDescent="0.2">
      <c r="A390" s="658"/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9"/>
      <c r="P390" s="649" t="s">
        <v>72</v>
      </c>
      <c r="Q390" s="650"/>
      <c r="R390" s="650"/>
      <c r="S390" s="650"/>
      <c r="T390" s="650"/>
      <c r="U390" s="650"/>
      <c r="V390" s="651"/>
      <c r="W390" s="37" t="s">
        <v>67</v>
      </c>
      <c r="X390" s="645">
        <f>IFERROR(SUM(X385:X388),"0")</f>
        <v>0</v>
      </c>
      <c r="Y390" s="645">
        <f>IFERROR(SUM(Y385:Y388),"0")</f>
        <v>0</v>
      </c>
      <c r="Z390" s="37"/>
      <c r="AA390" s="646"/>
      <c r="AB390" s="646"/>
      <c r="AC390" s="646"/>
    </row>
    <row r="391" spans="1:68" ht="14.25" hidden="1" customHeight="1" x14ac:dyDescent="0.25">
      <c r="A391" s="667" t="s">
        <v>168</v>
      </c>
      <c r="B391" s="658"/>
      <c r="C391" s="658"/>
      <c r="D391" s="658"/>
      <c r="E391" s="658"/>
      <c r="F391" s="658"/>
      <c r="G391" s="658"/>
      <c r="H391" s="658"/>
      <c r="I391" s="658"/>
      <c r="J391" s="658"/>
      <c r="K391" s="658"/>
      <c r="L391" s="658"/>
      <c r="M391" s="658"/>
      <c r="N391" s="658"/>
      <c r="O391" s="658"/>
      <c r="P391" s="658"/>
      <c r="Q391" s="658"/>
      <c r="R391" s="658"/>
      <c r="S391" s="658"/>
      <c r="T391" s="658"/>
      <c r="U391" s="658"/>
      <c r="V391" s="658"/>
      <c r="W391" s="658"/>
      <c r="X391" s="658"/>
      <c r="Y391" s="658"/>
      <c r="Z391" s="658"/>
      <c r="AA391" s="639"/>
      <c r="AB391" s="639"/>
      <c r="AC391" s="639"/>
    </row>
    <row r="392" spans="1:68" ht="27" hidden="1" customHeight="1" x14ac:dyDescent="0.25">
      <c r="A392" s="54" t="s">
        <v>637</v>
      </c>
      <c r="B392" s="54" t="s">
        <v>638</v>
      </c>
      <c r="C392" s="31">
        <v>4301060387</v>
      </c>
      <c r="D392" s="647">
        <v>4607091380880</v>
      </c>
      <c r="E392" s="648"/>
      <c r="F392" s="642">
        <v>1.4</v>
      </c>
      <c r="G392" s="32">
        <v>6</v>
      </c>
      <c r="H392" s="642">
        <v>8.4</v>
      </c>
      <c r="I392" s="642">
        <v>8.8940000000000001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3"/>
      <c r="R392" s="653"/>
      <c r="S392" s="653"/>
      <c r="T392" s="654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639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4301060406</v>
      </c>
      <c r="D393" s="647">
        <v>4607091384482</v>
      </c>
      <c r="E393" s="648"/>
      <c r="F393" s="642">
        <v>1.3</v>
      </c>
      <c r="G393" s="32">
        <v>6</v>
      </c>
      <c r="H393" s="642">
        <v>7.8</v>
      </c>
      <c r="I393" s="642">
        <v>8.2940000000000005</v>
      </c>
      <c r="J393" s="32">
        <v>64</v>
      </c>
      <c r="K393" s="32" t="s">
        <v>114</v>
      </c>
      <c r="L393" s="32"/>
      <c r="M393" s="33" t="s">
        <v>78</v>
      </c>
      <c r="N393" s="33"/>
      <c r="O393" s="32">
        <v>30</v>
      </c>
      <c r="P393" s="8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3"/>
      <c r="R393" s="653"/>
      <c r="S393" s="653"/>
      <c r="T393" s="654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642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4301060484</v>
      </c>
      <c r="D394" s="647">
        <v>4607091380897</v>
      </c>
      <c r="E394" s="648"/>
      <c r="F394" s="642">
        <v>1.4</v>
      </c>
      <c r="G394" s="32">
        <v>6</v>
      </c>
      <c r="H394" s="642">
        <v>8.4</v>
      </c>
      <c r="I394" s="642">
        <v>8.8940000000000001</v>
      </c>
      <c r="J394" s="32">
        <v>64</v>
      </c>
      <c r="K394" s="32" t="s">
        <v>114</v>
      </c>
      <c r="L394" s="32"/>
      <c r="M394" s="33" t="s">
        <v>84</v>
      </c>
      <c r="N394" s="33"/>
      <c r="O394" s="32">
        <v>30</v>
      </c>
      <c r="P394" s="7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3"/>
      <c r="R394" s="653"/>
      <c r="S394" s="653"/>
      <c r="T394" s="654"/>
      <c r="U394" s="34"/>
      <c r="V394" s="34"/>
      <c r="W394" s="35" t="s">
        <v>67</v>
      </c>
      <c r="X394" s="643">
        <v>0</v>
      </c>
      <c r="Y394" s="64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85" t="s">
        <v>645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7"/>
      <c r="B395" s="658"/>
      <c r="C395" s="658"/>
      <c r="D395" s="658"/>
      <c r="E395" s="658"/>
      <c r="F395" s="658"/>
      <c r="G395" s="658"/>
      <c r="H395" s="658"/>
      <c r="I395" s="658"/>
      <c r="J395" s="658"/>
      <c r="K395" s="658"/>
      <c r="L395" s="658"/>
      <c r="M395" s="658"/>
      <c r="N395" s="658"/>
      <c r="O395" s="659"/>
      <c r="P395" s="649" t="s">
        <v>72</v>
      </c>
      <c r="Q395" s="650"/>
      <c r="R395" s="650"/>
      <c r="S395" s="650"/>
      <c r="T395" s="650"/>
      <c r="U395" s="650"/>
      <c r="V395" s="651"/>
      <c r="W395" s="37" t="s">
        <v>73</v>
      </c>
      <c r="X395" s="645">
        <f>IFERROR(X392/H392,"0")+IFERROR(X393/H393,"0")+IFERROR(X394/H394,"0")</f>
        <v>0</v>
      </c>
      <c r="Y395" s="645">
        <f>IFERROR(Y392/H392,"0")+IFERROR(Y393/H393,"0")+IFERROR(Y394/H394,"0")</f>
        <v>0</v>
      </c>
      <c r="Z395" s="645">
        <f>IFERROR(IF(Z392="",0,Z392),"0")+IFERROR(IF(Z393="",0,Z393),"0")+IFERROR(IF(Z394="",0,Z394),"0")</f>
        <v>0</v>
      </c>
      <c r="AA395" s="646"/>
      <c r="AB395" s="646"/>
      <c r="AC395" s="646"/>
    </row>
    <row r="396" spans="1:68" hidden="1" x14ac:dyDescent="0.2">
      <c r="A396" s="658"/>
      <c r="B396" s="658"/>
      <c r="C396" s="658"/>
      <c r="D396" s="658"/>
      <c r="E396" s="658"/>
      <c r="F396" s="658"/>
      <c r="G396" s="658"/>
      <c r="H396" s="658"/>
      <c r="I396" s="658"/>
      <c r="J396" s="658"/>
      <c r="K396" s="658"/>
      <c r="L396" s="658"/>
      <c r="M396" s="658"/>
      <c r="N396" s="658"/>
      <c r="O396" s="659"/>
      <c r="P396" s="649" t="s">
        <v>72</v>
      </c>
      <c r="Q396" s="650"/>
      <c r="R396" s="650"/>
      <c r="S396" s="650"/>
      <c r="T396" s="650"/>
      <c r="U396" s="650"/>
      <c r="V396" s="651"/>
      <c r="W396" s="37" t="s">
        <v>67</v>
      </c>
      <c r="X396" s="645">
        <f>IFERROR(SUM(X392:X394),"0")</f>
        <v>0</v>
      </c>
      <c r="Y396" s="645">
        <f>IFERROR(SUM(Y392:Y394),"0")</f>
        <v>0</v>
      </c>
      <c r="Z396" s="37"/>
      <c r="AA396" s="646"/>
      <c r="AB396" s="646"/>
      <c r="AC396" s="646"/>
    </row>
    <row r="397" spans="1:68" ht="14.25" hidden="1" customHeight="1" x14ac:dyDescent="0.25">
      <c r="A397" s="667" t="s">
        <v>267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39"/>
      <c r="AB397" s="639"/>
      <c r="AC397" s="639"/>
    </row>
    <row r="398" spans="1:68" ht="27" hidden="1" customHeight="1" x14ac:dyDescent="0.25">
      <c r="A398" s="54" t="s">
        <v>646</v>
      </c>
      <c r="B398" s="54" t="s">
        <v>647</v>
      </c>
      <c r="C398" s="31">
        <v>4301030235</v>
      </c>
      <c r="D398" s="647">
        <v>4607091388381</v>
      </c>
      <c r="E398" s="648"/>
      <c r="F398" s="642">
        <v>0.38</v>
      </c>
      <c r="G398" s="32">
        <v>8</v>
      </c>
      <c r="H398" s="642">
        <v>3.04</v>
      </c>
      <c r="I398" s="642">
        <v>3.31</v>
      </c>
      <c r="J398" s="32">
        <v>132</v>
      </c>
      <c r="K398" s="32" t="s">
        <v>123</v>
      </c>
      <c r="L398" s="32"/>
      <c r="M398" s="33" t="s">
        <v>242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3"/>
      <c r="R398" s="653"/>
      <c r="S398" s="653"/>
      <c r="T398" s="654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648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649</v>
      </c>
      <c r="B399" s="54" t="s">
        <v>650</v>
      </c>
      <c r="C399" s="31">
        <v>4301030232</v>
      </c>
      <c r="D399" s="647">
        <v>4607091388374</v>
      </c>
      <c r="E399" s="648"/>
      <c r="F399" s="642">
        <v>0.38</v>
      </c>
      <c r="G399" s="32">
        <v>8</v>
      </c>
      <c r="H399" s="642">
        <v>3.04</v>
      </c>
      <c r="I399" s="642">
        <v>3.27</v>
      </c>
      <c r="J399" s="32">
        <v>132</v>
      </c>
      <c r="K399" s="32" t="s">
        <v>123</v>
      </c>
      <c r="L399" s="32"/>
      <c r="M399" s="33" t="s">
        <v>242</v>
      </c>
      <c r="N399" s="33"/>
      <c r="O399" s="32">
        <v>180</v>
      </c>
      <c r="P399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3"/>
      <c r="R399" s="653"/>
      <c r="S399" s="653"/>
      <c r="T399" s="654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648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651</v>
      </c>
      <c r="B400" s="54" t="s">
        <v>652</v>
      </c>
      <c r="C400" s="31">
        <v>4301032015</v>
      </c>
      <c r="D400" s="647">
        <v>4607091383102</v>
      </c>
      <c r="E400" s="648"/>
      <c r="F400" s="642">
        <v>0.17</v>
      </c>
      <c r="G400" s="32">
        <v>15</v>
      </c>
      <c r="H400" s="642">
        <v>2.5499999999999998</v>
      </c>
      <c r="I400" s="642">
        <v>2.9550000000000001</v>
      </c>
      <c r="J400" s="32">
        <v>182</v>
      </c>
      <c r="K400" s="32" t="s">
        <v>77</v>
      </c>
      <c r="L400" s="32"/>
      <c r="M400" s="33" t="s">
        <v>242</v>
      </c>
      <c r="N400" s="33"/>
      <c r="O400" s="32">
        <v>180</v>
      </c>
      <c r="P400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3"/>
      <c r="R400" s="653"/>
      <c r="S400" s="653"/>
      <c r="T400" s="654"/>
      <c r="U400" s="34"/>
      <c r="V400" s="34"/>
      <c r="W400" s="35" t="s">
        <v>67</v>
      </c>
      <c r="X400" s="643">
        <v>15</v>
      </c>
      <c r="Y400" s="644">
        <f>IFERROR(IF(X400="",0,CEILING((X400/$H400),1)*$H400),"")</f>
        <v>15.299999999999999</v>
      </c>
      <c r="Z400" s="36">
        <f>IFERROR(IF(Y400=0,"",ROUNDUP(Y400/H400,0)*0.00651),"")</f>
        <v>3.9059999999999997E-2</v>
      </c>
      <c r="AA400" s="56"/>
      <c r="AB400" s="57"/>
      <c r="AC400" s="491" t="s">
        <v>648</v>
      </c>
      <c r="AG400" s="64"/>
      <c r="AJ400" s="68"/>
      <c r="AK400" s="68">
        <v>0</v>
      </c>
      <c r="BB400" s="492" t="s">
        <v>1</v>
      </c>
      <c r="BM400" s="64">
        <f>IFERROR(X400*I400/H400,"0")</f>
        <v>17.382352941176475</v>
      </c>
      <c r="BN400" s="64">
        <f>IFERROR(Y400*I400/H400,"0")</f>
        <v>17.73</v>
      </c>
      <c r="BO400" s="64">
        <f>IFERROR(1/J400*(X400/H400),"0")</f>
        <v>3.2320620555914677E-2</v>
      </c>
      <c r="BP400" s="64">
        <f>IFERROR(1/J400*(Y400/H400),"0")</f>
        <v>3.2967032967032968E-2</v>
      </c>
    </row>
    <row r="401" spans="1:68" ht="27" customHeight="1" x14ac:dyDescent="0.25">
      <c r="A401" s="54" t="s">
        <v>653</v>
      </c>
      <c r="B401" s="54" t="s">
        <v>654</v>
      </c>
      <c r="C401" s="31">
        <v>4301030233</v>
      </c>
      <c r="D401" s="647">
        <v>4607091388404</v>
      </c>
      <c r="E401" s="648"/>
      <c r="F401" s="642">
        <v>0.17</v>
      </c>
      <c r="G401" s="32">
        <v>15</v>
      </c>
      <c r="H401" s="642">
        <v>2.5499999999999998</v>
      </c>
      <c r="I401" s="642">
        <v>2.88</v>
      </c>
      <c r="J401" s="32">
        <v>182</v>
      </c>
      <c r="K401" s="32" t="s">
        <v>77</v>
      </c>
      <c r="L401" s="32"/>
      <c r="M401" s="33" t="s">
        <v>242</v>
      </c>
      <c r="N401" s="33"/>
      <c r="O401" s="32">
        <v>180</v>
      </c>
      <c r="P401" s="74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3"/>
      <c r="R401" s="653"/>
      <c r="S401" s="653"/>
      <c r="T401" s="654"/>
      <c r="U401" s="34"/>
      <c r="V401" s="34"/>
      <c r="W401" s="35" t="s">
        <v>67</v>
      </c>
      <c r="X401" s="643">
        <v>11</v>
      </c>
      <c r="Y401" s="644">
        <f>IFERROR(IF(X401="",0,CEILING((X401/$H401),1)*$H401),"")</f>
        <v>12.75</v>
      </c>
      <c r="Z401" s="36">
        <f>IFERROR(IF(Y401=0,"",ROUNDUP(Y401/H401,0)*0.00651),"")</f>
        <v>3.2550000000000003E-2</v>
      </c>
      <c r="AA401" s="56"/>
      <c r="AB401" s="57"/>
      <c r="AC401" s="493" t="s">
        <v>648</v>
      </c>
      <c r="AG401" s="64"/>
      <c r="AJ401" s="68"/>
      <c r="AK401" s="68">
        <v>0</v>
      </c>
      <c r="BB401" s="494" t="s">
        <v>1</v>
      </c>
      <c r="BM401" s="64">
        <f>IFERROR(X401*I401/H401,"0")</f>
        <v>12.423529411764706</v>
      </c>
      <c r="BN401" s="64">
        <f>IFERROR(Y401*I401/H401,"0")</f>
        <v>14.4</v>
      </c>
      <c r="BO401" s="64">
        <f>IFERROR(1/J401*(X401/H401),"0")</f>
        <v>2.3701788407670767E-2</v>
      </c>
      <c r="BP401" s="64">
        <f>IFERROR(1/J401*(Y401/H401),"0")</f>
        <v>2.7472527472527476E-2</v>
      </c>
    </row>
    <row r="402" spans="1:68" x14ac:dyDescent="0.2">
      <c r="A402" s="657"/>
      <c r="B402" s="658"/>
      <c r="C402" s="658"/>
      <c r="D402" s="658"/>
      <c r="E402" s="658"/>
      <c r="F402" s="658"/>
      <c r="G402" s="658"/>
      <c r="H402" s="658"/>
      <c r="I402" s="658"/>
      <c r="J402" s="658"/>
      <c r="K402" s="658"/>
      <c r="L402" s="658"/>
      <c r="M402" s="658"/>
      <c r="N402" s="658"/>
      <c r="O402" s="659"/>
      <c r="P402" s="649" t="s">
        <v>72</v>
      </c>
      <c r="Q402" s="650"/>
      <c r="R402" s="650"/>
      <c r="S402" s="650"/>
      <c r="T402" s="650"/>
      <c r="U402" s="650"/>
      <c r="V402" s="651"/>
      <c r="W402" s="37" t="s">
        <v>73</v>
      </c>
      <c r="X402" s="645">
        <f>IFERROR(X398/H398,"0")+IFERROR(X399/H399,"0")+IFERROR(X400/H400,"0")+IFERROR(X401/H401,"0")</f>
        <v>10.19607843137255</v>
      </c>
      <c r="Y402" s="645">
        <f>IFERROR(Y398/H398,"0")+IFERROR(Y399/H399,"0")+IFERROR(Y400/H400,"0")+IFERROR(Y401/H401,"0")</f>
        <v>11</v>
      </c>
      <c r="Z402" s="645">
        <f>IFERROR(IF(Z398="",0,Z398),"0")+IFERROR(IF(Z399="",0,Z399),"0")+IFERROR(IF(Z400="",0,Z400),"0")+IFERROR(IF(Z401="",0,Z401),"0")</f>
        <v>7.1610000000000007E-2</v>
      </c>
      <c r="AA402" s="646"/>
      <c r="AB402" s="646"/>
      <c r="AC402" s="646"/>
    </row>
    <row r="403" spans="1:68" x14ac:dyDescent="0.2">
      <c r="A403" s="658"/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9"/>
      <c r="P403" s="649" t="s">
        <v>72</v>
      </c>
      <c r="Q403" s="650"/>
      <c r="R403" s="650"/>
      <c r="S403" s="650"/>
      <c r="T403" s="650"/>
      <c r="U403" s="650"/>
      <c r="V403" s="651"/>
      <c r="W403" s="37" t="s">
        <v>67</v>
      </c>
      <c r="X403" s="645">
        <f>IFERROR(SUM(X398:X401),"0")</f>
        <v>26</v>
      </c>
      <c r="Y403" s="645">
        <f>IFERROR(SUM(Y398:Y401),"0")</f>
        <v>28.049999999999997</v>
      </c>
      <c r="Z403" s="37"/>
      <c r="AA403" s="646"/>
      <c r="AB403" s="646"/>
      <c r="AC403" s="646"/>
    </row>
    <row r="404" spans="1:68" ht="14.25" hidden="1" customHeight="1" x14ac:dyDescent="0.25">
      <c r="A404" s="667" t="s">
        <v>655</v>
      </c>
      <c r="B404" s="658"/>
      <c r="C404" s="658"/>
      <c r="D404" s="658"/>
      <c r="E404" s="658"/>
      <c r="F404" s="658"/>
      <c r="G404" s="658"/>
      <c r="H404" s="658"/>
      <c r="I404" s="658"/>
      <c r="J404" s="658"/>
      <c r="K404" s="658"/>
      <c r="L404" s="658"/>
      <c r="M404" s="658"/>
      <c r="N404" s="658"/>
      <c r="O404" s="658"/>
      <c r="P404" s="658"/>
      <c r="Q404" s="658"/>
      <c r="R404" s="658"/>
      <c r="S404" s="658"/>
      <c r="T404" s="658"/>
      <c r="U404" s="658"/>
      <c r="V404" s="658"/>
      <c r="W404" s="658"/>
      <c r="X404" s="658"/>
      <c r="Y404" s="658"/>
      <c r="Z404" s="658"/>
      <c r="AA404" s="639"/>
      <c r="AB404" s="639"/>
      <c r="AC404" s="639"/>
    </row>
    <row r="405" spans="1:68" ht="16.5" hidden="1" customHeight="1" x14ac:dyDescent="0.25">
      <c r="A405" s="54" t="s">
        <v>656</v>
      </c>
      <c r="B405" s="54" t="s">
        <v>657</v>
      </c>
      <c r="C405" s="31">
        <v>4301180007</v>
      </c>
      <c r="D405" s="647">
        <v>4680115881808</v>
      </c>
      <c r="E405" s="648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658</v>
      </c>
      <c r="N405" s="33"/>
      <c r="O405" s="32">
        <v>731</v>
      </c>
      <c r="P405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3"/>
      <c r="R405" s="653"/>
      <c r="S405" s="653"/>
      <c r="T405" s="654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659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4301180006</v>
      </c>
      <c r="D406" s="647">
        <v>4680115881822</v>
      </c>
      <c r="E406" s="648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658</v>
      </c>
      <c r="N406" s="33"/>
      <c r="O406" s="32">
        <v>731</v>
      </c>
      <c r="P406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3"/>
      <c r="R406" s="653"/>
      <c r="S406" s="653"/>
      <c r="T406" s="654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659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662</v>
      </c>
      <c r="B407" s="54" t="s">
        <v>663</v>
      </c>
      <c r="C407" s="31">
        <v>4301180001</v>
      </c>
      <c r="D407" s="647">
        <v>4680115880016</v>
      </c>
      <c r="E407" s="648"/>
      <c r="F407" s="642">
        <v>0.1</v>
      </c>
      <c r="G407" s="32">
        <v>20</v>
      </c>
      <c r="H407" s="642">
        <v>2</v>
      </c>
      <c r="I407" s="642">
        <v>2.2400000000000002</v>
      </c>
      <c r="J407" s="32">
        <v>238</v>
      </c>
      <c r="K407" s="32" t="s">
        <v>77</v>
      </c>
      <c r="L407" s="32"/>
      <c r="M407" s="33" t="s">
        <v>658</v>
      </c>
      <c r="N407" s="33"/>
      <c r="O407" s="32">
        <v>731</v>
      </c>
      <c r="P407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3"/>
      <c r="R407" s="653"/>
      <c r="S407" s="653"/>
      <c r="T407" s="654"/>
      <c r="U407" s="34"/>
      <c r="V407" s="34"/>
      <c r="W407" s="35" t="s">
        <v>67</v>
      </c>
      <c r="X407" s="643">
        <v>0</v>
      </c>
      <c r="Y407" s="644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659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7"/>
      <c r="B408" s="658"/>
      <c r="C408" s="658"/>
      <c r="D408" s="658"/>
      <c r="E408" s="658"/>
      <c r="F408" s="658"/>
      <c r="G408" s="658"/>
      <c r="H408" s="658"/>
      <c r="I408" s="658"/>
      <c r="J408" s="658"/>
      <c r="K408" s="658"/>
      <c r="L408" s="658"/>
      <c r="M408" s="658"/>
      <c r="N408" s="658"/>
      <c r="O408" s="659"/>
      <c r="P408" s="649" t="s">
        <v>72</v>
      </c>
      <c r="Q408" s="650"/>
      <c r="R408" s="650"/>
      <c r="S408" s="650"/>
      <c r="T408" s="650"/>
      <c r="U408" s="650"/>
      <c r="V408" s="651"/>
      <c r="W408" s="37" t="s">
        <v>73</v>
      </c>
      <c r="X408" s="645">
        <f>IFERROR(X405/H405,"0")+IFERROR(X406/H406,"0")+IFERROR(X407/H407,"0")</f>
        <v>0</v>
      </c>
      <c r="Y408" s="645">
        <f>IFERROR(Y405/H405,"0")+IFERROR(Y406/H406,"0")+IFERROR(Y407/H407,"0")</f>
        <v>0</v>
      </c>
      <c r="Z408" s="645">
        <f>IFERROR(IF(Z405="",0,Z405),"0")+IFERROR(IF(Z406="",0,Z406),"0")+IFERROR(IF(Z407="",0,Z407),"0")</f>
        <v>0</v>
      </c>
      <c r="AA408" s="646"/>
      <c r="AB408" s="646"/>
      <c r="AC408" s="646"/>
    </row>
    <row r="409" spans="1:68" hidden="1" x14ac:dyDescent="0.2">
      <c r="A409" s="658"/>
      <c r="B409" s="658"/>
      <c r="C409" s="658"/>
      <c r="D409" s="658"/>
      <c r="E409" s="658"/>
      <c r="F409" s="658"/>
      <c r="G409" s="658"/>
      <c r="H409" s="658"/>
      <c r="I409" s="658"/>
      <c r="J409" s="658"/>
      <c r="K409" s="658"/>
      <c r="L409" s="658"/>
      <c r="M409" s="658"/>
      <c r="N409" s="658"/>
      <c r="O409" s="659"/>
      <c r="P409" s="649" t="s">
        <v>72</v>
      </c>
      <c r="Q409" s="650"/>
      <c r="R409" s="650"/>
      <c r="S409" s="650"/>
      <c r="T409" s="650"/>
      <c r="U409" s="650"/>
      <c r="V409" s="651"/>
      <c r="W409" s="37" t="s">
        <v>67</v>
      </c>
      <c r="X409" s="645">
        <f>IFERROR(SUM(X405:X407),"0")</f>
        <v>0</v>
      </c>
      <c r="Y409" s="645">
        <f>IFERROR(SUM(Y405:Y407),"0")</f>
        <v>0</v>
      </c>
      <c r="Z409" s="37"/>
      <c r="AA409" s="646"/>
      <c r="AB409" s="646"/>
      <c r="AC409" s="646"/>
    </row>
    <row r="410" spans="1:68" ht="14.25" hidden="1" customHeight="1" x14ac:dyDescent="0.25">
      <c r="A410" s="667" t="s">
        <v>664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39"/>
      <c r="AB410" s="639"/>
      <c r="AC410" s="639"/>
    </row>
    <row r="411" spans="1:68" ht="27" hidden="1" customHeight="1" x14ac:dyDescent="0.25">
      <c r="A411" s="54" t="s">
        <v>665</v>
      </c>
      <c r="B411" s="54" t="s">
        <v>666</v>
      </c>
      <c r="C411" s="31">
        <v>4301220003</v>
      </c>
      <c r="D411" s="647">
        <v>4680115888678</v>
      </c>
      <c r="E411" s="648"/>
      <c r="F411" s="642">
        <v>0.25</v>
      </c>
      <c r="G411" s="32">
        <v>12</v>
      </c>
      <c r="H411" s="642">
        <v>3</v>
      </c>
      <c r="I411" s="642">
        <v>3.22</v>
      </c>
      <c r="J411" s="32">
        <v>224</v>
      </c>
      <c r="K411" s="32" t="s">
        <v>77</v>
      </c>
      <c r="L411" s="32"/>
      <c r="M411" s="33" t="s">
        <v>658</v>
      </c>
      <c r="N411" s="33"/>
      <c r="O411" s="32">
        <v>1096</v>
      </c>
      <c r="P411" s="78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3"/>
      <c r="R411" s="653"/>
      <c r="S411" s="653"/>
      <c r="T411" s="654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667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4301220001</v>
      </c>
      <c r="D412" s="647">
        <v>4680115888654</v>
      </c>
      <c r="E412" s="648"/>
      <c r="F412" s="642">
        <v>0.32500000000000001</v>
      </c>
      <c r="G412" s="32">
        <v>12</v>
      </c>
      <c r="H412" s="642">
        <v>3.9</v>
      </c>
      <c r="I412" s="642">
        <v>4.17</v>
      </c>
      <c r="J412" s="32">
        <v>144</v>
      </c>
      <c r="K412" s="32" t="s">
        <v>123</v>
      </c>
      <c r="L412" s="32"/>
      <c r="M412" s="33" t="s">
        <v>658</v>
      </c>
      <c r="N412" s="33"/>
      <c r="O412" s="32">
        <v>1096</v>
      </c>
      <c r="P412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3"/>
      <c r="R412" s="653"/>
      <c r="S412" s="653"/>
      <c r="T412" s="654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670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671</v>
      </c>
      <c r="B413" s="54" t="s">
        <v>672</v>
      </c>
      <c r="C413" s="31">
        <v>4301220002</v>
      </c>
      <c r="D413" s="647">
        <v>4680115888753</v>
      </c>
      <c r="E413" s="648"/>
      <c r="F413" s="642">
        <v>0.25</v>
      </c>
      <c r="G413" s="32">
        <v>12</v>
      </c>
      <c r="H413" s="642">
        <v>3</v>
      </c>
      <c r="I413" s="642">
        <v>3.22</v>
      </c>
      <c r="J413" s="32">
        <v>224</v>
      </c>
      <c r="K413" s="32" t="s">
        <v>77</v>
      </c>
      <c r="L413" s="32"/>
      <c r="M413" s="33" t="s">
        <v>658</v>
      </c>
      <c r="N413" s="33"/>
      <c r="O413" s="32">
        <v>1096</v>
      </c>
      <c r="P413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3"/>
      <c r="R413" s="653"/>
      <c r="S413" s="653"/>
      <c r="T413" s="654"/>
      <c r="U413" s="34"/>
      <c r="V413" s="34"/>
      <c r="W413" s="35" t="s">
        <v>67</v>
      </c>
      <c r="X413" s="643">
        <v>0</v>
      </c>
      <c r="Y413" s="644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667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7"/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9"/>
      <c r="P414" s="649" t="s">
        <v>72</v>
      </c>
      <c r="Q414" s="650"/>
      <c r="R414" s="650"/>
      <c r="S414" s="650"/>
      <c r="T414" s="650"/>
      <c r="U414" s="650"/>
      <c r="V414" s="651"/>
      <c r="W414" s="37" t="s">
        <v>73</v>
      </c>
      <c r="X414" s="645">
        <f>IFERROR(X411/H411,"0")+IFERROR(X412/H412,"0")+IFERROR(X413/H413,"0")</f>
        <v>0</v>
      </c>
      <c r="Y414" s="645">
        <f>IFERROR(Y411/H411,"0")+IFERROR(Y412/H412,"0")+IFERROR(Y413/H413,"0")</f>
        <v>0</v>
      </c>
      <c r="Z414" s="645">
        <f>IFERROR(IF(Z411="",0,Z411),"0")+IFERROR(IF(Z412="",0,Z412),"0")+IFERROR(IF(Z413="",0,Z413),"0")</f>
        <v>0</v>
      </c>
      <c r="AA414" s="646"/>
      <c r="AB414" s="646"/>
      <c r="AC414" s="646"/>
    </row>
    <row r="415" spans="1:68" hidden="1" x14ac:dyDescent="0.2">
      <c r="A415" s="658"/>
      <c r="B415" s="658"/>
      <c r="C415" s="658"/>
      <c r="D415" s="658"/>
      <c r="E415" s="658"/>
      <c r="F415" s="658"/>
      <c r="G415" s="658"/>
      <c r="H415" s="658"/>
      <c r="I415" s="658"/>
      <c r="J415" s="658"/>
      <c r="K415" s="658"/>
      <c r="L415" s="658"/>
      <c r="M415" s="658"/>
      <c r="N415" s="658"/>
      <c r="O415" s="659"/>
      <c r="P415" s="649" t="s">
        <v>72</v>
      </c>
      <c r="Q415" s="650"/>
      <c r="R415" s="650"/>
      <c r="S415" s="650"/>
      <c r="T415" s="650"/>
      <c r="U415" s="650"/>
      <c r="V415" s="651"/>
      <c r="W415" s="37" t="s">
        <v>67</v>
      </c>
      <c r="X415" s="645">
        <f>IFERROR(SUM(X411:X413),"0")</f>
        <v>0</v>
      </c>
      <c r="Y415" s="645">
        <f>IFERROR(SUM(Y411:Y413),"0")</f>
        <v>0</v>
      </c>
      <c r="Z415" s="37"/>
      <c r="AA415" s="646"/>
      <c r="AB415" s="646"/>
      <c r="AC415" s="646"/>
    </row>
    <row r="416" spans="1:68" ht="16.5" hidden="1" customHeight="1" x14ac:dyDescent="0.25">
      <c r="A416" s="673" t="s">
        <v>673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38"/>
      <c r="AB416" s="638"/>
      <c r="AC416" s="638"/>
    </row>
    <row r="417" spans="1:68" ht="14.25" hidden="1" customHeight="1" x14ac:dyDescent="0.25">
      <c r="A417" s="667" t="s">
        <v>74</v>
      </c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58"/>
      <c r="P417" s="658"/>
      <c r="Q417" s="658"/>
      <c r="R417" s="658"/>
      <c r="S417" s="658"/>
      <c r="T417" s="658"/>
      <c r="U417" s="658"/>
      <c r="V417" s="658"/>
      <c r="W417" s="658"/>
      <c r="X417" s="658"/>
      <c r="Y417" s="658"/>
      <c r="Z417" s="658"/>
      <c r="AA417" s="639"/>
      <c r="AB417" s="639"/>
      <c r="AC417" s="639"/>
    </row>
    <row r="418" spans="1:68" ht="16.5" hidden="1" customHeight="1" x14ac:dyDescent="0.25">
      <c r="A418" s="54" t="s">
        <v>674</v>
      </c>
      <c r="B418" s="54" t="s">
        <v>675</v>
      </c>
      <c r="C418" s="31">
        <v>4301052235</v>
      </c>
      <c r="D418" s="647">
        <v>4680115889415</v>
      </c>
      <c r="E418" s="648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3"/>
      <c r="R418" s="653"/>
      <c r="S418" s="653"/>
      <c r="T418" s="654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676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677</v>
      </c>
      <c r="B419" s="54" t="s">
        <v>678</v>
      </c>
      <c r="C419" s="31">
        <v>4301052236</v>
      </c>
      <c r="D419" s="647">
        <v>4680115889422</v>
      </c>
      <c r="E419" s="648"/>
      <c r="F419" s="642">
        <v>1.3</v>
      </c>
      <c r="G419" s="32">
        <v>6</v>
      </c>
      <c r="H419" s="642">
        <v>7.8</v>
      </c>
      <c r="I419" s="642">
        <v>8.2100000000000009</v>
      </c>
      <c r="J419" s="32">
        <v>64</v>
      </c>
      <c r="K419" s="32" t="s">
        <v>114</v>
      </c>
      <c r="L419" s="32"/>
      <c r="M419" s="33" t="s">
        <v>78</v>
      </c>
      <c r="N419" s="33"/>
      <c r="O419" s="32">
        <v>40</v>
      </c>
      <c r="P419" s="80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3"/>
      <c r="R419" s="653"/>
      <c r="S419" s="653"/>
      <c r="T419" s="654"/>
      <c r="U419" s="34"/>
      <c r="V419" s="34"/>
      <c r="W419" s="35" t="s">
        <v>67</v>
      </c>
      <c r="X419" s="643">
        <v>0</v>
      </c>
      <c r="Y419" s="644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679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7"/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9"/>
      <c r="P420" s="649" t="s">
        <v>72</v>
      </c>
      <c r="Q420" s="650"/>
      <c r="R420" s="650"/>
      <c r="S420" s="650"/>
      <c r="T420" s="650"/>
      <c r="U420" s="650"/>
      <c r="V420" s="651"/>
      <c r="W420" s="37" t="s">
        <v>73</v>
      </c>
      <c r="X420" s="645">
        <f>IFERROR(X418/H418,"0")+IFERROR(X419/H419,"0")</f>
        <v>0</v>
      </c>
      <c r="Y420" s="645">
        <f>IFERROR(Y418/H418,"0")+IFERROR(Y419/H419,"0")</f>
        <v>0</v>
      </c>
      <c r="Z420" s="645">
        <f>IFERROR(IF(Z418="",0,Z418),"0")+IFERROR(IF(Z419="",0,Z419),"0")</f>
        <v>0</v>
      </c>
      <c r="AA420" s="646"/>
      <c r="AB420" s="646"/>
      <c r="AC420" s="646"/>
    </row>
    <row r="421" spans="1:68" hidden="1" x14ac:dyDescent="0.2">
      <c r="A421" s="658"/>
      <c r="B421" s="658"/>
      <c r="C421" s="658"/>
      <c r="D421" s="658"/>
      <c r="E421" s="658"/>
      <c r="F421" s="658"/>
      <c r="G421" s="658"/>
      <c r="H421" s="658"/>
      <c r="I421" s="658"/>
      <c r="J421" s="658"/>
      <c r="K421" s="658"/>
      <c r="L421" s="658"/>
      <c r="M421" s="658"/>
      <c r="N421" s="658"/>
      <c r="O421" s="659"/>
      <c r="P421" s="649" t="s">
        <v>72</v>
      </c>
      <c r="Q421" s="650"/>
      <c r="R421" s="650"/>
      <c r="S421" s="650"/>
      <c r="T421" s="650"/>
      <c r="U421" s="650"/>
      <c r="V421" s="651"/>
      <c r="W421" s="37" t="s">
        <v>67</v>
      </c>
      <c r="X421" s="645">
        <f>IFERROR(SUM(X418:X419),"0")</f>
        <v>0</v>
      </c>
      <c r="Y421" s="645">
        <f>IFERROR(SUM(Y418:Y419),"0")</f>
        <v>0</v>
      </c>
      <c r="Z421" s="37"/>
      <c r="AA421" s="646"/>
      <c r="AB421" s="646"/>
      <c r="AC421" s="646"/>
    </row>
    <row r="422" spans="1:68" ht="16.5" hidden="1" customHeight="1" x14ac:dyDescent="0.25">
      <c r="A422" s="673" t="s">
        <v>680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38"/>
      <c r="AB422" s="638"/>
      <c r="AC422" s="638"/>
    </row>
    <row r="423" spans="1:68" ht="14.25" hidden="1" customHeight="1" x14ac:dyDescent="0.25">
      <c r="A423" s="667" t="s">
        <v>74</v>
      </c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58"/>
      <c r="P423" s="658"/>
      <c r="Q423" s="658"/>
      <c r="R423" s="658"/>
      <c r="S423" s="658"/>
      <c r="T423" s="658"/>
      <c r="U423" s="658"/>
      <c r="V423" s="658"/>
      <c r="W423" s="658"/>
      <c r="X423" s="658"/>
      <c r="Y423" s="658"/>
      <c r="Z423" s="658"/>
      <c r="AA423" s="639"/>
      <c r="AB423" s="639"/>
      <c r="AC423" s="639"/>
    </row>
    <row r="424" spans="1:68" ht="27" hidden="1" customHeight="1" x14ac:dyDescent="0.25">
      <c r="A424" s="54" t="s">
        <v>681</v>
      </c>
      <c r="B424" s="54" t="s">
        <v>682</v>
      </c>
      <c r="C424" s="31">
        <v>4301051489</v>
      </c>
      <c r="D424" s="647">
        <v>4607091387919</v>
      </c>
      <c r="E424" s="648"/>
      <c r="F424" s="642">
        <v>1.35</v>
      </c>
      <c r="G424" s="32">
        <v>6</v>
      </c>
      <c r="H424" s="642">
        <v>8.1</v>
      </c>
      <c r="I424" s="642">
        <v>8.5939999999999994</v>
      </c>
      <c r="J424" s="32">
        <v>64</v>
      </c>
      <c r="K424" s="32" t="s">
        <v>114</v>
      </c>
      <c r="L424" s="32"/>
      <c r="M424" s="33" t="s">
        <v>84</v>
      </c>
      <c r="N424" s="33"/>
      <c r="O424" s="32">
        <v>45</v>
      </c>
      <c r="P424" s="8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3"/>
      <c r="R424" s="653"/>
      <c r="S424" s="653"/>
      <c r="T424" s="654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683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684</v>
      </c>
      <c r="B425" s="54" t="s">
        <v>685</v>
      </c>
      <c r="C425" s="31">
        <v>4301051461</v>
      </c>
      <c r="D425" s="647">
        <v>4680115883604</v>
      </c>
      <c r="E425" s="648"/>
      <c r="F425" s="642">
        <v>0.35</v>
      </c>
      <c r="G425" s="32">
        <v>6</v>
      </c>
      <c r="H425" s="642">
        <v>2.1</v>
      </c>
      <c r="I425" s="642">
        <v>2.3519999999999999</v>
      </c>
      <c r="J425" s="32">
        <v>182</v>
      </c>
      <c r="K425" s="32" t="s">
        <v>77</v>
      </c>
      <c r="L425" s="32"/>
      <c r="M425" s="33" t="s">
        <v>78</v>
      </c>
      <c r="N425" s="33"/>
      <c r="O425" s="32">
        <v>45</v>
      </c>
      <c r="P425" s="8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3"/>
      <c r="R425" s="653"/>
      <c r="S425" s="653"/>
      <c r="T425" s="654"/>
      <c r="U425" s="34"/>
      <c r="V425" s="34"/>
      <c r="W425" s="35" t="s">
        <v>67</v>
      </c>
      <c r="X425" s="643">
        <v>159</v>
      </c>
      <c r="Y425" s="644">
        <f>IFERROR(IF(X425="",0,CEILING((X425/$H425),1)*$H425),"")</f>
        <v>159.6</v>
      </c>
      <c r="Z425" s="36">
        <f>IFERROR(IF(Y425=0,"",ROUNDUP(Y425/H425,0)*0.00651),"")</f>
        <v>0.49476000000000003</v>
      </c>
      <c r="AA425" s="56"/>
      <c r="AB425" s="57"/>
      <c r="AC425" s="513" t="s">
        <v>686</v>
      </c>
      <c r="AG425" s="64"/>
      <c r="AJ425" s="68"/>
      <c r="AK425" s="68">
        <v>0</v>
      </c>
      <c r="BB425" s="514" t="s">
        <v>1</v>
      </c>
      <c r="BM425" s="64">
        <f>IFERROR(X425*I425/H425,"0")</f>
        <v>178.07999999999998</v>
      </c>
      <c r="BN425" s="64">
        <f>IFERROR(Y425*I425/H425,"0")</f>
        <v>178.75199999999998</v>
      </c>
      <c r="BO425" s="64">
        <f>IFERROR(1/J425*(X425/H425),"0")</f>
        <v>0.41601255886970173</v>
      </c>
      <c r="BP425" s="64">
        <f>IFERROR(1/J425*(Y425/H425),"0")</f>
        <v>0.4175824175824176</v>
      </c>
    </row>
    <row r="426" spans="1:68" ht="27" customHeight="1" x14ac:dyDescent="0.25">
      <c r="A426" s="54" t="s">
        <v>687</v>
      </c>
      <c r="B426" s="54" t="s">
        <v>688</v>
      </c>
      <c r="C426" s="31">
        <v>4301051864</v>
      </c>
      <c r="D426" s="647">
        <v>4680115883567</v>
      </c>
      <c r="E426" s="648"/>
      <c r="F426" s="642">
        <v>0.35</v>
      </c>
      <c r="G426" s="32">
        <v>6</v>
      </c>
      <c r="H426" s="642">
        <v>2.1</v>
      </c>
      <c r="I426" s="642">
        <v>2.34</v>
      </c>
      <c r="J426" s="32">
        <v>182</v>
      </c>
      <c r="K426" s="32" t="s">
        <v>77</v>
      </c>
      <c r="L426" s="32"/>
      <c r="M426" s="33" t="s">
        <v>84</v>
      </c>
      <c r="N426" s="33"/>
      <c r="O426" s="32">
        <v>40</v>
      </c>
      <c r="P426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3"/>
      <c r="R426" s="653"/>
      <c r="S426" s="653"/>
      <c r="T426" s="654"/>
      <c r="U426" s="34"/>
      <c r="V426" s="34"/>
      <c r="W426" s="35" t="s">
        <v>67</v>
      </c>
      <c r="X426" s="643">
        <v>23</v>
      </c>
      <c r="Y426" s="644">
        <f>IFERROR(IF(X426="",0,CEILING((X426/$H426),1)*$H426),"")</f>
        <v>23.1</v>
      </c>
      <c r="Z426" s="36">
        <f>IFERROR(IF(Y426=0,"",ROUNDUP(Y426/H426,0)*0.00651),"")</f>
        <v>7.1610000000000007E-2</v>
      </c>
      <c r="AA426" s="56"/>
      <c r="AB426" s="57"/>
      <c r="AC426" s="515" t="s">
        <v>689</v>
      </c>
      <c r="AG426" s="64"/>
      <c r="AJ426" s="68"/>
      <c r="AK426" s="68">
        <v>0</v>
      </c>
      <c r="BB426" s="516" t="s">
        <v>1</v>
      </c>
      <c r="BM426" s="64">
        <f>IFERROR(X426*I426/H426,"0")</f>
        <v>25.628571428571423</v>
      </c>
      <c r="BN426" s="64">
        <f>IFERROR(Y426*I426/H426,"0")</f>
        <v>25.74</v>
      </c>
      <c r="BO426" s="64">
        <f>IFERROR(1/J426*(X426/H426),"0")</f>
        <v>6.0177917320774467E-2</v>
      </c>
      <c r="BP426" s="64">
        <f>IFERROR(1/J426*(Y426/H426),"0")</f>
        <v>6.0439560439560447E-2</v>
      </c>
    </row>
    <row r="427" spans="1:68" x14ac:dyDescent="0.2">
      <c r="A427" s="657"/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9"/>
      <c r="P427" s="649" t="s">
        <v>72</v>
      </c>
      <c r="Q427" s="650"/>
      <c r="R427" s="650"/>
      <c r="S427" s="650"/>
      <c r="T427" s="650"/>
      <c r="U427" s="650"/>
      <c r="V427" s="651"/>
      <c r="W427" s="37" t="s">
        <v>73</v>
      </c>
      <c r="X427" s="645">
        <f>IFERROR(X424/H424,"0")+IFERROR(X425/H425,"0")+IFERROR(X426/H426,"0")</f>
        <v>86.666666666666657</v>
      </c>
      <c r="Y427" s="645">
        <f>IFERROR(Y424/H424,"0")+IFERROR(Y425/H425,"0")+IFERROR(Y426/H426,"0")</f>
        <v>87</v>
      </c>
      <c r="Z427" s="645">
        <f>IFERROR(IF(Z424="",0,Z424),"0")+IFERROR(IF(Z425="",0,Z425),"0")+IFERROR(IF(Z426="",0,Z426),"0")</f>
        <v>0.56637000000000004</v>
      </c>
      <c r="AA427" s="646"/>
      <c r="AB427" s="646"/>
      <c r="AC427" s="646"/>
    </row>
    <row r="428" spans="1:68" x14ac:dyDescent="0.2">
      <c r="A428" s="658"/>
      <c r="B428" s="658"/>
      <c r="C428" s="658"/>
      <c r="D428" s="658"/>
      <c r="E428" s="658"/>
      <c r="F428" s="658"/>
      <c r="G428" s="658"/>
      <c r="H428" s="658"/>
      <c r="I428" s="658"/>
      <c r="J428" s="658"/>
      <c r="K428" s="658"/>
      <c r="L428" s="658"/>
      <c r="M428" s="658"/>
      <c r="N428" s="658"/>
      <c r="O428" s="659"/>
      <c r="P428" s="649" t="s">
        <v>72</v>
      </c>
      <c r="Q428" s="650"/>
      <c r="R428" s="650"/>
      <c r="S428" s="650"/>
      <c r="T428" s="650"/>
      <c r="U428" s="650"/>
      <c r="V428" s="651"/>
      <c r="W428" s="37" t="s">
        <v>67</v>
      </c>
      <c r="X428" s="645">
        <f>IFERROR(SUM(X424:X426),"0")</f>
        <v>182</v>
      </c>
      <c r="Y428" s="645">
        <f>IFERROR(SUM(Y424:Y426),"0")</f>
        <v>182.7</v>
      </c>
      <c r="Z428" s="37"/>
      <c r="AA428" s="646"/>
      <c r="AB428" s="646"/>
      <c r="AC428" s="646"/>
    </row>
    <row r="429" spans="1:68" ht="27.75" hidden="1" customHeight="1" x14ac:dyDescent="0.2">
      <c r="A429" s="661" t="s">
        <v>690</v>
      </c>
      <c r="B429" s="662"/>
      <c r="C429" s="662"/>
      <c r="D429" s="662"/>
      <c r="E429" s="662"/>
      <c r="F429" s="662"/>
      <c r="G429" s="662"/>
      <c r="H429" s="662"/>
      <c r="I429" s="662"/>
      <c r="J429" s="662"/>
      <c r="K429" s="662"/>
      <c r="L429" s="662"/>
      <c r="M429" s="662"/>
      <c r="N429" s="662"/>
      <c r="O429" s="662"/>
      <c r="P429" s="662"/>
      <c r="Q429" s="662"/>
      <c r="R429" s="662"/>
      <c r="S429" s="662"/>
      <c r="T429" s="662"/>
      <c r="U429" s="662"/>
      <c r="V429" s="662"/>
      <c r="W429" s="662"/>
      <c r="X429" s="662"/>
      <c r="Y429" s="662"/>
      <c r="Z429" s="662"/>
      <c r="AA429" s="48"/>
      <c r="AB429" s="48"/>
      <c r="AC429" s="48"/>
    </row>
    <row r="430" spans="1:68" ht="16.5" hidden="1" customHeight="1" x14ac:dyDescent="0.25">
      <c r="A430" s="673" t="s">
        <v>691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38"/>
      <c r="AB430" s="638"/>
      <c r="AC430" s="638"/>
    </row>
    <row r="431" spans="1:68" ht="14.25" hidden="1" customHeight="1" x14ac:dyDescent="0.25">
      <c r="A431" s="667" t="s">
        <v>111</v>
      </c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58"/>
      <c r="P431" s="658"/>
      <c r="Q431" s="658"/>
      <c r="R431" s="658"/>
      <c r="S431" s="658"/>
      <c r="T431" s="658"/>
      <c r="U431" s="658"/>
      <c r="V431" s="658"/>
      <c r="W431" s="658"/>
      <c r="X431" s="658"/>
      <c r="Y431" s="658"/>
      <c r="Z431" s="658"/>
      <c r="AA431" s="639"/>
      <c r="AB431" s="639"/>
      <c r="AC431" s="639"/>
    </row>
    <row r="432" spans="1:68" ht="27" hidden="1" customHeight="1" x14ac:dyDescent="0.25">
      <c r="A432" s="54" t="s">
        <v>692</v>
      </c>
      <c r="B432" s="54" t="s">
        <v>693</v>
      </c>
      <c r="C432" s="31">
        <v>4301012332</v>
      </c>
      <c r="D432" s="647">
        <v>4680115888401</v>
      </c>
      <c r="E432" s="648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84</v>
      </c>
      <c r="N432" s="33"/>
      <c r="O432" s="32">
        <v>60</v>
      </c>
      <c r="P432" s="6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3"/>
      <c r="R432" s="653"/>
      <c r="S432" s="653"/>
      <c r="T432" s="654"/>
      <c r="U432" s="34"/>
      <c r="V432" s="34"/>
      <c r="W432" s="35" t="s">
        <v>67</v>
      </c>
      <c r="X432" s="643">
        <v>0</v>
      </c>
      <c r="Y432" s="644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694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695</v>
      </c>
      <c r="B433" s="54" t="s">
        <v>696</v>
      </c>
      <c r="C433" s="31">
        <v>4301011869</v>
      </c>
      <c r="D433" s="647">
        <v>4680115884847</v>
      </c>
      <c r="E433" s="648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3"/>
      <c r="R433" s="653"/>
      <c r="S433" s="653"/>
      <c r="T433" s="654"/>
      <c r="U433" s="34"/>
      <c r="V433" s="34"/>
      <c r="W433" s="35" t="s">
        <v>67</v>
      </c>
      <c r="X433" s="643">
        <v>440</v>
      </c>
      <c r="Y433" s="644">
        <f t="shared" si="73"/>
        <v>450</v>
      </c>
      <c r="Z433" s="36">
        <f>IFERROR(IF(Y433=0,"",ROUNDUP(Y433/H433,0)*0.02175),"")</f>
        <v>0.65249999999999997</v>
      </c>
      <c r="AA433" s="56"/>
      <c r="AB433" s="57"/>
      <c r="AC433" s="519" t="s">
        <v>697</v>
      </c>
      <c r="AG433" s="64"/>
      <c r="AJ433" s="68"/>
      <c r="AK433" s="68">
        <v>0</v>
      </c>
      <c r="BB433" s="520" t="s">
        <v>1</v>
      </c>
      <c r="BM433" s="64">
        <f t="shared" si="74"/>
        <v>453.78666666666669</v>
      </c>
      <c r="BN433" s="64">
        <f t="shared" si="75"/>
        <v>464.1</v>
      </c>
      <c r="BO433" s="64">
        <f t="shared" si="76"/>
        <v>0.61111111111111105</v>
      </c>
      <c r="BP433" s="64">
        <f t="shared" si="77"/>
        <v>0.625</v>
      </c>
    </row>
    <row r="434" spans="1:68" ht="27" customHeight="1" x14ac:dyDescent="0.25">
      <c r="A434" s="54" t="s">
        <v>698</v>
      </c>
      <c r="B434" s="54" t="s">
        <v>699</v>
      </c>
      <c r="C434" s="31">
        <v>4301012083</v>
      </c>
      <c r="D434" s="647">
        <v>4680115884854</v>
      </c>
      <c r="E434" s="648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115</v>
      </c>
      <c r="N434" s="33"/>
      <c r="O434" s="32">
        <v>60</v>
      </c>
      <c r="P434" s="9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3"/>
      <c r="R434" s="653"/>
      <c r="S434" s="653"/>
      <c r="T434" s="654"/>
      <c r="U434" s="34"/>
      <c r="V434" s="34"/>
      <c r="W434" s="35" t="s">
        <v>67</v>
      </c>
      <c r="X434" s="643">
        <v>200</v>
      </c>
      <c r="Y434" s="644">
        <f t="shared" si="73"/>
        <v>210</v>
      </c>
      <c r="Z434" s="36">
        <f>IFERROR(IF(Y434=0,"",ROUNDUP(Y434/H434,0)*0.02175),"")</f>
        <v>0.30449999999999999</v>
      </c>
      <c r="AA434" s="56"/>
      <c r="AB434" s="57"/>
      <c r="AC434" s="521" t="s">
        <v>700</v>
      </c>
      <c r="AG434" s="64"/>
      <c r="AJ434" s="68"/>
      <c r="AK434" s="68">
        <v>0</v>
      </c>
      <c r="BB434" s="522" t="s">
        <v>1</v>
      </c>
      <c r="BM434" s="64">
        <f t="shared" si="74"/>
        <v>206.26666666666668</v>
      </c>
      <c r="BN434" s="64">
        <f t="shared" si="75"/>
        <v>216.58</v>
      </c>
      <c r="BO434" s="64">
        <f t="shared" si="76"/>
        <v>0.27777777777777779</v>
      </c>
      <c r="BP434" s="64">
        <f t="shared" si="77"/>
        <v>0.29166666666666663</v>
      </c>
    </row>
    <row r="435" spans="1:68" ht="27" customHeight="1" x14ac:dyDescent="0.25">
      <c r="A435" s="54" t="s">
        <v>701</v>
      </c>
      <c r="B435" s="54" t="s">
        <v>702</v>
      </c>
      <c r="C435" s="31">
        <v>4301011867</v>
      </c>
      <c r="D435" s="647">
        <v>4680115884830</v>
      </c>
      <c r="E435" s="648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66</v>
      </c>
      <c r="N435" s="33"/>
      <c r="O435" s="32">
        <v>60</v>
      </c>
      <c r="P435" s="98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3"/>
      <c r="R435" s="653"/>
      <c r="S435" s="653"/>
      <c r="T435" s="654"/>
      <c r="U435" s="34"/>
      <c r="V435" s="34"/>
      <c r="W435" s="35" t="s">
        <v>67</v>
      </c>
      <c r="X435" s="643">
        <v>420</v>
      </c>
      <c r="Y435" s="644">
        <f t="shared" si="73"/>
        <v>420</v>
      </c>
      <c r="Z435" s="36">
        <f>IFERROR(IF(Y435=0,"",ROUNDUP(Y435/H435,0)*0.02175),"")</f>
        <v>0.60899999999999999</v>
      </c>
      <c r="AA435" s="56"/>
      <c r="AB435" s="57"/>
      <c r="AC435" s="523" t="s">
        <v>703</v>
      </c>
      <c r="AG435" s="64"/>
      <c r="AJ435" s="68"/>
      <c r="AK435" s="68">
        <v>0</v>
      </c>
      <c r="BB435" s="524" t="s">
        <v>1</v>
      </c>
      <c r="BM435" s="64">
        <f t="shared" si="74"/>
        <v>433.16</v>
      </c>
      <c r="BN435" s="64">
        <f t="shared" si="75"/>
        <v>433.16</v>
      </c>
      <c r="BO435" s="64">
        <f t="shared" si="76"/>
        <v>0.58333333333333326</v>
      </c>
      <c r="BP435" s="64">
        <f t="shared" si="77"/>
        <v>0.58333333333333326</v>
      </c>
    </row>
    <row r="436" spans="1:68" ht="27" customHeight="1" x14ac:dyDescent="0.25">
      <c r="A436" s="54" t="s">
        <v>704</v>
      </c>
      <c r="B436" s="54" t="s">
        <v>705</v>
      </c>
      <c r="C436" s="31">
        <v>4301012356</v>
      </c>
      <c r="D436" s="647">
        <v>4680115889231</v>
      </c>
      <c r="E436" s="648"/>
      <c r="F436" s="642">
        <v>2.5</v>
      </c>
      <c r="G436" s="32">
        <v>6</v>
      </c>
      <c r="H436" s="642">
        <v>15</v>
      </c>
      <c r="I436" s="642">
        <v>15.47</v>
      </c>
      <c r="J436" s="32">
        <v>48</v>
      </c>
      <c r="K436" s="32" t="s">
        <v>114</v>
      </c>
      <c r="L436" s="32"/>
      <c r="M436" s="33" t="s">
        <v>84</v>
      </c>
      <c r="N436" s="33"/>
      <c r="O436" s="32">
        <v>60</v>
      </c>
      <c r="P436" s="9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3"/>
      <c r="R436" s="653"/>
      <c r="S436" s="653"/>
      <c r="T436" s="654"/>
      <c r="U436" s="34"/>
      <c r="V436" s="34"/>
      <c r="W436" s="35" t="s">
        <v>67</v>
      </c>
      <c r="X436" s="643">
        <v>260</v>
      </c>
      <c r="Y436" s="644">
        <f t="shared" si="73"/>
        <v>270</v>
      </c>
      <c r="Z436" s="36">
        <f>IFERROR(IF(Y436=0,"",ROUNDUP(Y436/H436,0)*0.02175),"")</f>
        <v>0.39149999999999996</v>
      </c>
      <c r="AA436" s="56"/>
      <c r="AB436" s="57"/>
      <c r="AC436" s="525" t="s">
        <v>706</v>
      </c>
      <c r="AG436" s="64"/>
      <c r="AJ436" s="68"/>
      <c r="AK436" s="68">
        <v>0</v>
      </c>
      <c r="BB436" s="526" t="s">
        <v>1</v>
      </c>
      <c r="BM436" s="64">
        <f t="shared" si="74"/>
        <v>268.1466666666667</v>
      </c>
      <c r="BN436" s="64">
        <f t="shared" si="75"/>
        <v>278.46000000000004</v>
      </c>
      <c r="BO436" s="64">
        <f t="shared" si="76"/>
        <v>0.36111111111111105</v>
      </c>
      <c r="BP436" s="64">
        <f t="shared" si="77"/>
        <v>0.375</v>
      </c>
    </row>
    <row r="437" spans="1:68" ht="27" hidden="1" customHeight="1" x14ac:dyDescent="0.25">
      <c r="A437" s="54" t="s">
        <v>707</v>
      </c>
      <c r="B437" s="54" t="s">
        <v>708</v>
      </c>
      <c r="C437" s="31">
        <v>4301011433</v>
      </c>
      <c r="D437" s="647">
        <v>4680115882638</v>
      </c>
      <c r="E437" s="648"/>
      <c r="F437" s="642">
        <v>0.4</v>
      </c>
      <c r="G437" s="32">
        <v>10</v>
      </c>
      <c r="H437" s="642">
        <v>4</v>
      </c>
      <c r="I437" s="642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90</v>
      </c>
      <c r="P437" s="6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3"/>
      <c r="R437" s="653"/>
      <c r="S437" s="653"/>
      <c r="T437" s="654"/>
      <c r="U437" s="34"/>
      <c r="V437" s="34"/>
      <c r="W437" s="35" t="s">
        <v>67</v>
      </c>
      <c r="X437" s="643">
        <v>0</v>
      </c>
      <c r="Y437" s="644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709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710</v>
      </c>
      <c r="B438" s="54" t="s">
        <v>711</v>
      </c>
      <c r="C438" s="31">
        <v>4301011952</v>
      </c>
      <c r="D438" s="647">
        <v>4680115884922</v>
      </c>
      <c r="E438" s="648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3"/>
      <c r="R438" s="653"/>
      <c r="S438" s="653"/>
      <c r="T438" s="654"/>
      <c r="U438" s="34"/>
      <c r="V438" s="34"/>
      <c r="W438" s="35" t="s">
        <v>67</v>
      </c>
      <c r="X438" s="643">
        <v>0</v>
      </c>
      <c r="Y438" s="644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712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713</v>
      </c>
      <c r="B439" s="54" t="s">
        <v>714</v>
      </c>
      <c r="C439" s="31">
        <v>4301011868</v>
      </c>
      <c r="D439" s="647">
        <v>4680115884861</v>
      </c>
      <c r="E439" s="648"/>
      <c r="F439" s="642">
        <v>0.5</v>
      </c>
      <c r="G439" s="32">
        <v>10</v>
      </c>
      <c r="H439" s="642">
        <v>5</v>
      </c>
      <c r="I439" s="642">
        <v>5.19</v>
      </c>
      <c r="J439" s="32">
        <v>132</v>
      </c>
      <c r="K439" s="32" t="s">
        <v>123</v>
      </c>
      <c r="L439" s="32"/>
      <c r="M439" s="33" t="s">
        <v>66</v>
      </c>
      <c r="N439" s="33"/>
      <c r="O439" s="32">
        <v>60</v>
      </c>
      <c r="P439" s="97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3"/>
      <c r="R439" s="653"/>
      <c r="S439" s="653"/>
      <c r="T439" s="654"/>
      <c r="U439" s="34"/>
      <c r="V439" s="34"/>
      <c r="W439" s="35" t="s">
        <v>67</v>
      </c>
      <c r="X439" s="643">
        <v>0</v>
      </c>
      <c r="Y439" s="644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715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7"/>
      <c r="B440" s="658"/>
      <c r="C440" s="658"/>
      <c r="D440" s="658"/>
      <c r="E440" s="658"/>
      <c r="F440" s="658"/>
      <c r="G440" s="658"/>
      <c r="H440" s="658"/>
      <c r="I440" s="658"/>
      <c r="J440" s="658"/>
      <c r="K440" s="658"/>
      <c r="L440" s="658"/>
      <c r="M440" s="658"/>
      <c r="N440" s="658"/>
      <c r="O440" s="659"/>
      <c r="P440" s="649" t="s">
        <v>72</v>
      </c>
      <c r="Q440" s="650"/>
      <c r="R440" s="650"/>
      <c r="S440" s="650"/>
      <c r="T440" s="650"/>
      <c r="U440" s="650"/>
      <c r="V440" s="651"/>
      <c r="W440" s="37" t="s">
        <v>73</v>
      </c>
      <c r="X440" s="645">
        <f>IFERROR(X432/H432,"0")+IFERROR(X433/H433,"0")+IFERROR(X434/H434,"0")+IFERROR(X435/H435,"0")+IFERROR(X436/H436,"0")+IFERROR(X437/H437,"0")+IFERROR(X438/H438,"0")+IFERROR(X439/H439,"0")</f>
        <v>87.999999999999986</v>
      </c>
      <c r="Y440" s="645">
        <f>IFERROR(Y432/H432,"0")+IFERROR(Y433/H433,"0")+IFERROR(Y434/H434,"0")+IFERROR(Y435/H435,"0")+IFERROR(Y436/H436,"0")+IFERROR(Y437/H437,"0")+IFERROR(Y438/H438,"0")+IFERROR(Y439/H439,"0")</f>
        <v>90</v>
      </c>
      <c r="Z440" s="645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1.9574999999999998</v>
      </c>
      <c r="AA440" s="646"/>
      <c r="AB440" s="646"/>
      <c r="AC440" s="646"/>
    </row>
    <row r="441" spans="1:68" x14ac:dyDescent="0.2">
      <c r="A441" s="658"/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9"/>
      <c r="P441" s="649" t="s">
        <v>72</v>
      </c>
      <c r="Q441" s="650"/>
      <c r="R441" s="650"/>
      <c r="S441" s="650"/>
      <c r="T441" s="650"/>
      <c r="U441" s="650"/>
      <c r="V441" s="651"/>
      <c r="W441" s="37" t="s">
        <v>67</v>
      </c>
      <c r="X441" s="645">
        <f>IFERROR(SUM(X432:X439),"0")</f>
        <v>1320</v>
      </c>
      <c r="Y441" s="645">
        <f>IFERROR(SUM(Y432:Y439),"0")</f>
        <v>1350</v>
      </c>
      <c r="Z441" s="37"/>
      <c r="AA441" s="646"/>
      <c r="AB441" s="646"/>
      <c r="AC441" s="646"/>
    </row>
    <row r="442" spans="1:68" ht="14.25" hidden="1" customHeight="1" x14ac:dyDescent="0.25">
      <c r="A442" s="667" t="s">
        <v>148</v>
      </c>
      <c r="B442" s="658"/>
      <c r="C442" s="658"/>
      <c r="D442" s="658"/>
      <c r="E442" s="658"/>
      <c r="F442" s="658"/>
      <c r="G442" s="658"/>
      <c r="H442" s="658"/>
      <c r="I442" s="658"/>
      <c r="J442" s="658"/>
      <c r="K442" s="658"/>
      <c r="L442" s="658"/>
      <c r="M442" s="658"/>
      <c r="N442" s="658"/>
      <c r="O442" s="658"/>
      <c r="P442" s="658"/>
      <c r="Q442" s="658"/>
      <c r="R442" s="658"/>
      <c r="S442" s="658"/>
      <c r="T442" s="658"/>
      <c r="U442" s="658"/>
      <c r="V442" s="658"/>
      <c r="W442" s="658"/>
      <c r="X442" s="658"/>
      <c r="Y442" s="658"/>
      <c r="Z442" s="658"/>
      <c r="AA442" s="639"/>
      <c r="AB442" s="639"/>
      <c r="AC442" s="639"/>
    </row>
    <row r="443" spans="1:68" ht="27" customHeight="1" x14ac:dyDescent="0.25">
      <c r="A443" s="54" t="s">
        <v>716</v>
      </c>
      <c r="B443" s="54" t="s">
        <v>717</v>
      </c>
      <c r="C443" s="31">
        <v>4301020178</v>
      </c>
      <c r="D443" s="647">
        <v>4607091383980</v>
      </c>
      <c r="E443" s="648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3"/>
      <c r="R443" s="653"/>
      <c r="S443" s="653"/>
      <c r="T443" s="654"/>
      <c r="U443" s="34"/>
      <c r="V443" s="34"/>
      <c r="W443" s="35" t="s">
        <v>67</v>
      </c>
      <c r="X443" s="643">
        <v>120</v>
      </c>
      <c r="Y443" s="644">
        <f>IFERROR(IF(X443="",0,CEILING((X443/$H443),1)*$H443),"")</f>
        <v>120</v>
      </c>
      <c r="Z443" s="36">
        <f>IFERROR(IF(Y443=0,"",ROUNDUP(Y443/H443,0)*0.02175),"")</f>
        <v>0.17399999999999999</v>
      </c>
      <c r="AA443" s="56"/>
      <c r="AB443" s="57"/>
      <c r="AC443" s="533" t="s">
        <v>718</v>
      </c>
      <c r="AG443" s="64"/>
      <c r="AJ443" s="68"/>
      <c r="AK443" s="68">
        <v>0</v>
      </c>
      <c r="BB443" s="534" t="s">
        <v>1</v>
      </c>
      <c r="BM443" s="64">
        <f>IFERROR(X443*I443/H443,"0")</f>
        <v>123.76</v>
      </c>
      <c r="BN443" s="64">
        <f>IFERROR(Y443*I443/H443,"0")</f>
        <v>123.76</v>
      </c>
      <c r="BO443" s="64">
        <f>IFERROR(1/J443*(X443/H443),"0")</f>
        <v>0.16666666666666666</v>
      </c>
      <c r="BP443" s="64">
        <f>IFERROR(1/J443*(Y443/H443),"0")</f>
        <v>0.16666666666666666</v>
      </c>
    </row>
    <row r="444" spans="1:68" ht="27" hidden="1" customHeight="1" x14ac:dyDescent="0.25">
      <c r="A444" s="54" t="s">
        <v>719</v>
      </c>
      <c r="B444" s="54" t="s">
        <v>720</v>
      </c>
      <c r="C444" s="31">
        <v>4301020355</v>
      </c>
      <c r="D444" s="647">
        <v>4680115888425</v>
      </c>
      <c r="E444" s="648"/>
      <c r="F444" s="642">
        <v>2.5</v>
      </c>
      <c r="G444" s="32">
        <v>6</v>
      </c>
      <c r="H444" s="642">
        <v>15</v>
      </c>
      <c r="I444" s="642">
        <v>15.47</v>
      </c>
      <c r="J444" s="32">
        <v>48</v>
      </c>
      <c r="K444" s="32" t="s">
        <v>114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3"/>
      <c r="R444" s="653"/>
      <c r="S444" s="653"/>
      <c r="T444" s="654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721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722</v>
      </c>
      <c r="B445" s="54" t="s">
        <v>723</v>
      </c>
      <c r="C445" s="31">
        <v>4301020179</v>
      </c>
      <c r="D445" s="647">
        <v>4607091384178</v>
      </c>
      <c r="E445" s="648"/>
      <c r="F445" s="642">
        <v>0.4</v>
      </c>
      <c r="G445" s="32">
        <v>10</v>
      </c>
      <c r="H445" s="642">
        <v>4</v>
      </c>
      <c r="I445" s="642">
        <v>4.1900000000000004</v>
      </c>
      <c r="J445" s="32">
        <v>132</v>
      </c>
      <c r="K445" s="32" t="s">
        <v>123</v>
      </c>
      <c r="L445" s="32"/>
      <c r="M445" s="33" t="s">
        <v>115</v>
      </c>
      <c r="N445" s="33"/>
      <c r="O445" s="32">
        <v>50</v>
      </c>
      <c r="P445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3"/>
      <c r="R445" s="653"/>
      <c r="S445" s="653"/>
      <c r="T445" s="654"/>
      <c r="U445" s="34"/>
      <c r="V445" s="34"/>
      <c r="W445" s="35" t="s">
        <v>67</v>
      </c>
      <c r="X445" s="643">
        <v>0</v>
      </c>
      <c r="Y445" s="64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724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7"/>
      <c r="B446" s="658"/>
      <c r="C446" s="658"/>
      <c r="D446" s="658"/>
      <c r="E446" s="658"/>
      <c r="F446" s="658"/>
      <c r="G446" s="658"/>
      <c r="H446" s="658"/>
      <c r="I446" s="658"/>
      <c r="J446" s="658"/>
      <c r="K446" s="658"/>
      <c r="L446" s="658"/>
      <c r="M446" s="658"/>
      <c r="N446" s="658"/>
      <c r="O446" s="659"/>
      <c r="P446" s="649" t="s">
        <v>72</v>
      </c>
      <c r="Q446" s="650"/>
      <c r="R446" s="650"/>
      <c r="S446" s="650"/>
      <c r="T446" s="650"/>
      <c r="U446" s="650"/>
      <c r="V446" s="651"/>
      <c r="W446" s="37" t="s">
        <v>73</v>
      </c>
      <c r="X446" s="645">
        <f>IFERROR(X443/H443,"0")+IFERROR(X444/H444,"0")+IFERROR(X445/H445,"0")</f>
        <v>8</v>
      </c>
      <c r="Y446" s="645">
        <f>IFERROR(Y443/H443,"0")+IFERROR(Y444/H444,"0")+IFERROR(Y445/H445,"0")</f>
        <v>8</v>
      </c>
      <c r="Z446" s="645">
        <f>IFERROR(IF(Z443="",0,Z443),"0")+IFERROR(IF(Z444="",0,Z444),"0")+IFERROR(IF(Z445="",0,Z445),"0")</f>
        <v>0.17399999999999999</v>
      </c>
      <c r="AA446" s="646"/>
      <c r="AB446" s="646"/>
      <c r="AC446" s="646"/>
    </row>
    <row r="447" spans="1:68" x14ac:dyDescent="0.2">
      <c r="A447" s="658"/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9"/>
      <c r="P447" s="649" t="s">
        <v>72</v>
      </c>
      <c r="Q447" s="650"/>
      <c r="R447" s="650"/>
      <c r="S447" s="650"/>
      <c r="T447" s="650"/>
      <c r="U447" s="650"/>
      <c r="V447" s="651"/>
      <c r="W447" s="37" t="s">
        <v>67</v>
      </c>
      <c r="X447" s="645">
        <f>IFERROR(SUM(X443:X445),"0")</f>
        <v>120</v>
      </c>
      <c r="Y447" s="645">
        <f>IFERROR(SUM(Y443:Y445),"0")</f>
        <v>120</v>
      </c>
      <c r="Z447" s="37"/>
      <c r="AA447" s="646"/>
      <c r="AB447" s="646"/>
      <c r="AC447" s="646"/>
    </row>
    <row r="448" spans="1:68" ht="14.25" hidden="1" customHeight="1" x14ac:dyDescent="0.25">
      <c r="A448" s="667" t="s">
        <v>74</v>
      </c>
      <c r="B448" s="658"/>
      <c r="C448" s="658"/>
      <c r="D448" s="658"/>
      <c r="E448" s="658"/>
      <c r="F448" s="658"/>
      <c r="G448" s="658"/>
      <c r="H448" s="658"/>
      <c r="I448" s="658"/>
      <c r="J448" s="658"/>
      <c r="K448" s="658"/>
      <c r="L448" s="658"/>
      <c r="M448" s="658"/>
      <c r="N448" s="658"/>
      <c r="O448" s="658"/>
      <c r="P448" s="658"/>
      <c r="Q448" s="658"/>
      <c r="R448" s="658"/>
      <c r="S448" s="658"/>
      <c r="T448" s="658"/>
      <c r="U448" s="658"/>
      <c r="V448" s="658"/>
      <c r="W448" s="658"/>
      <c r="X448" s="658"/>
      <c r="Y448" s="658"/>
      <c r="Z448" s="658"/>
      <c r="AA448" s="639"/>
      <c r="AB448" s="639"/>
      <c r="AC448" s="639"/>
    </row>
    <row r="449" spans="1:68" ht="27" hidden="1" customHeight="1" x14ac:dyDescent="0.25">
      <c r="A449" s="54" t="s">
        <v>725</v>
      </c>
      <c r="B449" s="54" t="s">
        <v>726</v>
      </c>
      <c r="C449" s="31">
        <v>4301051903</v>
      </c>
      <c r="D449" s="647">
        <v>4607091383928</v>
      </c>
      <c r="E449" s="648"/>
      <c r="F449" s="642">
        <v>1.5</v>
      </c>
      <c r="G449" s="32">
        <v>6</v>
      </c>
      <c r="H449" s="642">
        <v>9</v>
      </c>
      <c r="I449" s="642">
        <v>9.5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3"/>
      <c r="R449" s="653"/>
      <c r="S449" s="653"/>
      <c r="T449" s="654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727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728</v>
      </c>
      <c r="B450" s="54" t="s">
        <v>729</v>
      </c>
      <c r="C450" s="31">
        <v>4301051897</v>
      </c>
      <c r="D450" s="647">
        <v>4607091384260</v>
      </c>
      <c r="E450" s="648"/>
      <c r="F450" s="642">
        <v>1.5</v>
      </c>
      <c r="G450" s="32">
        <v>6</v>
      </c>
      <c r="H450" s="642">
        <v>9</v>
      </c>
      <c r="I450" s="64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3"/>
      <c r="R450" s="653"/>
      <c r="S450" s="653"/>
      <c r="T450" s="654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730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731</v>
      </c>
      <c r="B451" s="54" t="s">
        <v>732</v>
      </c>
      <c r="C451" s="31">
        <v>4301052220</v>
      </c>
      <c r="D451" s="647">
        <v>4680115889538</v>
      </c>
      <c r="E451" s="648"/>
      <c r="F451" s="642">
        <v>0.8</v>
      </c>
      <c r="G451" s="32">
        <v>6</v>
      </c>
      <c r="H451" s="642">
        <v>4.8</v>
      </c>
      <c r="I451" s="642">
        <v>5.2160000000000002</v>
      </c>
      <c r="J451" s="32">
        <v>104</v>
      </c>
      <c r="K451" s="32" t="s">
        <v>114</v>
      </c>
      <c r="L451" s="32"/>
      <c r="M451" s="33" t="s">
        <v>78</v>
      </c>
      <c r="N451" s="33"/>
      <c r="O451" s="32">
        <v>45</v>
      </c>
      <c r="P451" s="83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3"/>
      <c r="R451" s="653"/>
      <c r="S451" s="653"/>
      <c r="T451" s="654"/>
      <c r="U451" s="34"/>
      <c r="V451" s="34"/>
      <c r="W451" s="35" t="s">
        <v>67</v>
      </c>
      <c r="X451" s="643">
        <v>0</v>
      </c>
      <c r="Y451" s="644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733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57"/>
      <c r="B452" s="658"/>
      <c r="C452" s="658"/>
      <c r="D452" s="658"/>
      <c r="E452" s="658"/>
      <c r="F452" s="658"/>
      <c r="G452" s="658"/>
      <c r="H452" s="658"/>
      <c r="I452" s="658"/>
      <c r="J452" s="658"/>
      <c r="K452" s="658"/>
      <c r="L452" s="658"/>
      <c r="M452" s="658"/>
      <c r="N452" s="658"/>
      <c r="O452" s="659"/>
      <c r="P452" s="649" t="s">
        <v>72</v>
      </c>
      <c r="Q452" s="650"/>
      <c r="R452" s="650"/>
      <c r="S452" s="650"/>
      <c r="T452" s="650"/>
      <c r="U452" s="650"/>
      <c r="V452" s="651"/>
      <c r="W452" s="37" t="s">
        <v>73</v>
      </c>
      <c r="X452" s="645">
        <f>IFERROR(X449/H449,"0")+IFERROR(X450/H450,"0")+IFERROR(X451/H451,"0")</f>
        <v>0</v>
      </c>
      <c r="Y452" s="645">
        <f>IFERROR(Y449/H449,"0")+IFERROR(Y450/H450,"0")+IFERROR(Y451/H451,"0")</f>
        <v>0</v>
      </c>
      <c r="Z452" s="645">
        <f>IFERROR(IF(Z449="",0,Z449),"0")+IFERROR(IF(Z450="",0,Z450),"0")+IFERROR(IF(Z451="",0,Z451),"0")</f>
        <v>0</v>
      </c>
      <c r="AA452" s="646"/>
      <c r="AB452" s="646"/>
      <c r="AC452" s="646"/>
    </row>
    <row r="453" spans="1:68" hidden="1" x14ac:dyDescent="0.2">
      <c r="A453" s="658"/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9"/>
      <c r="P453" s="649" t="s">
        <v>72</v>
      </c>
      <c r="Q453" s="650"/>
      <c r="R453" s="650"/>
      <c r="S453" s="650"/>
      <c r="T453" s="650"/>
      <c r="U453" s="650"/>
      <c r="V453" s="651"/>
      <c r="W453" s="37" t="s">
        <v>67</v>
      </c>
      <c r="X453" s="645">
        <f>IFERROR(SUM(X449:X451),"0")</f>
        <v>0</v>
      </c>
      <c r="Y453" s="645">
        <f>IFERROR(SUM(Y449:Y451),"0")</f>
        <v>0</v>
      </c>
      <c r="Z453" s="37"/>
      <c r="AA453" s="646"/>
      <c r="AB453" s="646"/>
      <c r="AC453" s="646"/>
    </row>
    <row r="454" spans="1:68" ht="14.25" hidden="1" customHeight="1" x14ac:dyDescent="0.25">
      <c r="A454" s="667" t="s">
        <v>168</v>
      </c>
      <c r="B454" s="658"/>
      <c r="C454" s="658"/>
      <c r="D454" s="658"/>
      <c r="E454" s="658"/>
      <c r="F454" s="658"/>
      <c r="G454" s="658"/>
      <c r="H454" s="658"/>
      <c r="I454" s="658"/>
      <c r="J454" s="658"/>
      <c r="K454" s="658"/>
      <c r="L454" s="658"/>
      <c r="M454" s="658"/>
      <c r="N454" s="658"/>
      <c r="O454" s="658"/>
      <c r="P454" s="658"/>
      <c r="Q454" s="658"/>
      <c r="R454" s="658"/>
      <c r="S454" s="658"/>
      <c r="T454" s="658"/>
      <c r="U454" s="658"/>
      <c r="V454" s="658"/>
      <c r="W454" s="658"/>
      <c r="X454" s="658"/>
      <c r="Y454" s="658"/>
      <c r="Z454" s="658"/>
      <c r="AA454" s="639"/>
      <c r="AB454" s="639"/>
      <c r="AC454" s="639"/>
    </row>
    <row r="455" spans="1:68" ht="27" hidden="1" customHeight="1" x14ac:dyDescent="0.25">
      <c r="A455" s="54" t="s">
        <v>734</v>
      </c>
      <c r="B455" s="54" t="s">
        <v>735</v>
      </c>
      <c r="C455" s="31">
        <v>4301060537</v>
      </c>
      <c r="D455" s="647">
        <v>4680115889545</v>
      </c>
      <c r="E455" s="648"/>
      <c r="F455" s="642">
        <v>0.7</v>
      </c>
      <c r="G455" s="32">
        <v>6</v>
      </c>
      <c r="H455" s="642">
        <v>4.2</v>
      </c>
      <c r="I455" s="642">
        <v>4.6159999999999997</v>
      </c>
      <c r="J455" s="32">
        <v>104</v>
      </c>
      <c r="K455" s="32" t="s">
        <v>114</v>
      </c>
      <c r="L455" s="32"/>
      <c r="M455" s="33" t="s">
        <v>78</v>
      </c>
      <c r="N455" s="33"/>
      <c r="O455" s="32">
        <v>30</v>
      </c>
      <c r="P455" s="67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3"/>
      <c r="R455" s="653"/>
      <c r="S455" s="653"/>
      <c r="T455" s="654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736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hidden="1" customHeight="1" x14ac:dyDescent="0.25">
      <c r="A456" s="54" t="s">
        <v>737</v>
      </c>
      <c r="B456" s="54" t="s">
        <v>738</v>
      </c>
      <c r="C456" s="31">
        <v>4301060524</v>
      </c>
      <c r="D456" s="647">
        <v>4607091384673</v>
      </c>
      <c r="E456" s="648"/>
      <c r="F456" s="642">
        <v>1.5</v>
      </c>
      <c r="G456" s="32">
        <v>6</v>
      </c>
      <c r="H456" s="642">
        <v>9</v>
      </c>
      <c r="I456" s="642">
        <v>9.4939999999999998</v>
      </c>
      <c r="J456" s="32">
        <v>64</v>
      </c>
      <c r="K456" s="32" t="s">
        <v>114</v>
      </c>
      <c r="L456" s="32"/>
      <c r="M456" s="33" t="s">
        <v>78</v>
      </c>
      <c r="N456" s="33"/>
      <c r="O456" s="32">
        <v>40</v>
      </c>
      <c r="P456" s="7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3"/>
      <c r="R456" s="653"/>
      <c r="S456" s="653"/>
      <c r="T456" s="654"/>
      <c r="U456" s="34"/>
      <c r="V456" s="34"/>
      <c r="W456" s="35" t="s">
        <v>67</v>
      </c>
      <c r="X456" s="643">
        <v>0</v>
      </c>
      <c r="Y456" s="64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47" t="s">
        <v>739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7"/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9"/>
      <c r="P457" s="649" t="s">
        <v>72</v>
      </c>
      <c r="Q457" s="650"/>
      <c r="R457" s="650"/>
      <c r="S457" s="650"/>
      <c r="T457" s="650"/>
      <c r="U457" s="650"/>
      <c r="V457" s="651"/>
      <c r="W457" s="37" t="s">
        <v>73</v>
      </c>
      <c r="X457" s="645">
        <f>IFERROR(X455/H455,"0")+IFERROR(X456/H456,"0")</f>
        <v>0</v>
      </c>
      <c r="Y457" s="645">
        <f>IFERROR(Y455/H455,"0")+IFERROR(Y456/H456,"0")</f>
        <v>0</v>
      </c>
      <c r="Z457" s="645">
        <f>IFERROR(IF(Z455="",0,Z455),"0")+IFERROR(IF(Z456="",0,Z456),"0")</f>
        <v>0</v>
      </c>
      <c r="AA457" s="646"/>
      <c r="AB457" s="646"/>
      <c r="AC457" s="646"/>
    </row>
    <row r="458" spans="1:68" hidden="1" x14ac:dyDescent="0.2">
      <c r="A458" s="658"/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9"/>
      <c r="P458" s="649" t="s">
        <v>72</v>
      </c>
      <c r="Q458" s="650"/>
      <c r="R458" s="650"/>
      <c r="S458" s="650"/>
      <c r="T458" s="650"/>
      <c r="U458" s="650"/>
      <c r="V458" s="651"/>
      <c r="W458" s="37" t="s">
        <v>67</v>
      </c>
      <c r="X458" s="645">
        <f>IFERROR(SUM(X455:X456),"0")</f>
        <v>0</v>
      </c>
      <c r="Y458" s="645">
        <f>IFERROR(SUM(Y455:Y456),"0")</f>
        <v>0</v>
      </c>
      <c r="Z458" s="37"/>
      <c r="AA458" s="646"/>
      <c r="AB458" s="646"/>
      <c r="AC458" s="646"/>
    </row>
    <row r="459" spans="1:68" ht="16.5" hidden="1" customHeight="1" x14ac:dyDescent="0.25">
      <c r="A459" s="673" t="s">
        <v>740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38"/>
      <c r="AB459" s="638"/>
      <c r="AC459" s="638"/>
    </row>
    <row r="460" spans="1:68" ht="14.25" hidden="1" customHeight="1" x14ac:dyDescent="0.25">
      <c r="A460" s="667" t="s">
        <v>111</v>
      </c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58"/>
      <c r="P460" s="658"/>
      <c r="Q460" s="658"/>
      <c r="R460" s="658"/>
      <c r="S460" s="658"/>
      <c r="T460" s="658"/>
      <c r="U460" s="658"/>
      <c r="V460" s="658"/>
      <c r="W460" s="658"/>
      <c r="X460" s="658"/>
      <c r="Y460" s="658"/>
      <c r="Z460" s="658"/>
      <c r="AA460" s="639"/>
      <c r="AB460" s="639"/>
      <c r="AC460" s="639"/>
    </row>
    <row r="461" spans="1:68" ht="27" hidden="1" customHeight="1" x14ac:dyDescent="0.25">
      <c r="A461" s="54" t="s">
        <v>741</v>
      </c>
      <c r="B461" s="54" t="s">
        <v>742</v>
      </c>
      <c r="C461" s="31">
        <v>4301011875</v>
      </c>
      <c r="D461" s="647">
        <v>4680115884885</v>
      </c>
      <c r="E461" s="648"/>
      <c r="F461" s="642">
        <v>0.8</v>
      </c>
      <c r="G461" s="32">
        <v>15</v>
      </c>
      <c r="H461" s="642">
        <v>12</v>
      </c>
      <c r="I461" s="642">
        <v>12.41</v>
      </c>
      <c r="J461" s="32">
        <v>64</v>
      </c>
      <c r="K461" s="32" t="s">
        <v>114</v>
      </c>
      <c r="L461" s="32"/>
      <c r="M461" s="33" t="s">
        <v>66</v>
      </c>
      <c r="N461" s="33"/>
      <c r="O461" s="32">
        <v>60</v>
      </c>
      <c r="P461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3"/>
      <c r="R461" s="653"/>
      <c r="S461" s="653"/>
      <c r="T461" s="654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743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744</v>
      </c>
      <c r="B462" s="54" t="s">
        <v>745</v>
      </c>
      <c r="C462" s="31">
        <v>4301011871</v>
      </c>
      <c r="D462" s="647">
        <v>4680115884908</v>
      </c>
      <c r="E462" s="648"/>
      <c r="F462" s="642">
        <v>0.4</v>
      </c>
      <c r="G462" s="32">
        <v>10</v>
      </c>
      <c r="H462" s="642">
        <v>4</v>
      </c>
      <c r="I462" s="642">
        <v>4.1900000000000004</v>
      </c>
      <c r="J462" s="32">
        <v>132</v>
      </c>
      <c r="K462" s="32" t="s">
        <v>123</v>
      </c>
      <c r="L462" s="32"/>
      <c r="M462" s="33" t="s">
        <v>66</v>
      </c>
      <c r="N462" s="33"/>
      <c r="O462" s="32">
        <v>60</v>
      </c>
      <c r="P462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3"/>
      <c r="R462" s="653"/>
      <c r="S462" s="653"/>
      <c r="T462" s="654"/>
      <c r="U462" s="34"/>
      <c r="V462" s="34"/>
      <c r="W462" s="35" t="s">
        <v>67</v>
      </c>
      <c r="X462" s="643">
        <v>0</v>
      </c>
      <c r="Y462" s="6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743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7"/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9"/>
      <c r="P463" s="649" t="s">
        <v>72</v>
      </c>
      <c r="Q463" s="650"/>
      <c r="R463" s="650"/>
      <c r="S463" s="650"/>
      <c r="T463" s="650"/>
      <c r="U463" s="650"/>
      <c r="V463" s="651"/>
      <c r="W463" s="37" t="s">
        <v>73</v>
      </c>
      <c r="X463" s="645">
        <f>IFERROR(X461/H461,"0")+IFERROR(X462/H462,"0")</f>
        <v>0</v>
      </c>
      <c r="Y463" s="645">
        <f>IFERROR(Y461/H461,"0")+IFERROR(Y462/H462,"0")</f>
        <v>0</v>
      </c>
      <c r="Z463" s="645">
        <f>IFERROR(IF(Z461="",0,Z461),"0")+IFERROR(IF(Z462="",0,Z462),"0")</f>
        <v>0</v>
      </c>
      <c r="AA463" s="646"/>
      <c r="AB463" s="646"/>
      <c r="AC463" s="646"/>
    </row>
    <row r="464" spans="1:68" hidden="1" x14ac:dyDescent="0.2">
      <c r="A464" s="658"/>
      <c r="B464" s="658"/>
      <c r="C464" s="658"/>
      <c r="D464" s="658"/>
      <c r="E464" s="658"/>
      <c r="F464" s="658"/>
      <c r="G464" s="658"/>
      <c r="H464" s="658"/>
      <c r="I464" s="658"/>
      <c r="J464" s="658"/>
      <c r="K464" s="658"/>
      <c r="L464" s="658"/>
      <c r="M464" s="658"/>
      <c r="N464" s="658"/>
      <c r="O464" s="659"/>
      <c r="P464" s="649" t="s">
        <v>72</v>
      </c>
      <c r="Q464" s="650"/>
      <c r="R464" s="650"/>
      <c r="S464" s="650"/>
      <c r="T464" s="650"/>
      <c r="U464" s="650"/>
      <c r="V464" s="651"/>
      <c r="W464" s="37" t="s">
        <v>67</v>
      </c>
      <c r="X464" s="645">
        <f>IFERROR(SUM(X461:X462),"0")</f>
        <v>0</v>
      </c>
      <c r="Y464" s="645">
        <f>IFERROR(SUM(Y461:Y462),"0")</f>
        <v>0</v>
      </c>
      <c r="Z464" s="37"/>
      <c r="AA464" s="646"/>
      <c r="AB464" s="646"/>
      <c r="AC464" s="646"/>
    </row>
    <row r="465" spans="1:68" ht="14.25" hidden="1" customHeight="1" x14ac:dyDescent="0.25">
      <c r="A465" s="667" t="s">
        <v>62</v>
      </c>
      <c r="B465" s="658"/>
      <c r="C465" s="658"/>
      <c r="D465" s="658"/>
      <c r="E465" s="658"/>
      <c r="F465" s="658"/>
      <c r="G465" s="658"/>
      <c r="H465" s="658"/>
      <c r="I465" s="658"/>
      <c r="J465" s="658"/>
      <c r="K465" s="658"/>
      <c r="L465" s="658"/>
      <c r="M465" s="658"/>
      <c r="N465" s="658"/>
      <c r="O465" s="658"/>
      <c r="P465" s="658"/>
      <c r="Q465" s="658"/>
      <c r="R465" s="658"/>
      <c r="S465" s="658"/>
      <c r="T465" s="658"/>
      <c r="U465" s="658"/>
      <c r="V465" s="658"/>
      <c r="W465" s="658"/>
      <c r="X465" s="658"/>
      <c r="Y465" s="658"/>
      <c r="Z465" s="658"/>
      <c r="AA465" s="639"/>
      <c r="AB465" s="639"/>
      <c r="AC465" s="639"/>
    </row>
    <row r="466" spans="1:68" ht="27" hidden="1" customHeight="1" x14ac:dyDescent="0.25">
      <c r="A466" s="54" t="s">
        <v>746</v>
      </c>
      <c r="B466" s="54" t="s">
        <v>747</v>
      </c>
      <c r="C466" s="31">
        <v>4301031457</v>
      </c>
      <c r="D466" s="647">
        <v>4607091384802</v>
      </c>
      <c r="E466" s="648"/>
      <c r="F466" s="642">
        <v>0.7</v>
      </c>
      <c r="G466" s="32">
        <v>6</v>
      </c>
      <c r="H466" s="642">
        <v>4.2</v>
      </c>
      <c r="I466" s="642">
        <v>4.45</v>
      </c>
      <c r="J466" s="32">
        <v>132</v>
      </c>
      <c r="K466" s="32" t="s">
        <v>123</v>
      </c>
      <c r="L466" s="32"/>
      <c r="M466" s="33" t="s">
        <v>66</v>
      </c>
      <c r="N466" s="33"/>
      <c r="O466" s="32">
        <v>50</v>
      </c>
      <c r="P466" s="7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3"/>
      <c r="R466" s="653"/>
      <c r="S466" s="653"/>
      <c r="T466" s="654"/>
      <c r="U466" s="34"/>
      <c r="V466" s="34"/>
      <c r="W466" s="35" t="s">
        <v>67</v>
      </c>
      <c r="X466" s="643">
        <v>0</v>
      </c>
      <c r="Y466" s="644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748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7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59"/>
      <c r="P467" s="649" t="s">
        <v>72</v>
      </c>
      <c r="Q467" s="650"/>
      <c r="R467" s="650"/>
      <c r="S467" s="650"/>
      <c r="T467" s="650"/>
      <c r="U467" s="650"/>
      <c r="V467" s="651"/>
      <c r="W467" s="37" t="s">
        <v>73</v>
      </c>
      <c r="X467" s="645">
        <f>IFERROR(X466/H466,"0")</f>
        <v>0</v>
      </c>
      <c r="Y467" s="645">
        <f>IFERROR(Y466/H466,"0")</f>
        <v>0</v>
      </c>
      <c r="Z467" s="645">
        <f>IFERROR(IF(Z466="",0,Z466),"0")</f>
        <v>0</v>
      </c>
      <c r="AA467" s="646"/>
      <c r="AB467" s="646"/>
      <c r="AC467" s="646"/>
    </row>
    <row r="468" spans="1:68" hidden="1" x14ac:dyDescent="0.2">
      <c r="A468" s="658"/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9"/>
      <c r="P468" s="649" t="s">
        <v>72</v>
      </c>
      <c r="Q468" s="650"/>
      <c r="R468" s="650"/>
      <c r="S468" s="650"/>
      <c r="T468" s="650"/>
      <c r="U468" s="650"/>
      <c r="V468" s="651"/>
      <c r="W468" s="37" t="s">
        <v>67</v>
      </c>
      <c r="X468" s="645">
        <f>IFERROR(SUM(X466:X466),"0")</f>
        <v>0</v>
      </c>
      <c r="Y468" s="645">
        <f>IFERROR(SUM(Y466:Y466),"0")</f>
        <v>0</v>
      </c>
      <c r="Z468" s="37"/>
      <c r="AA468" s="646"/>
      <c r="AB468" s="646"/>
      <c r="AC468" s="646"/>
    </row>
    <row r="469" spans="1:68" ht="14.25" hidden="1" customHeight="1" x14ac:dyDescent="0.25">
      <c r="A469" s="667" t="s">
        <v>74</v>
      </c>
      <c r="B469" s="658"/>
      <c r="C469" s="658"/>
      <c r="D469" s="658"/>
      <c r="E469" s="658"/>
      <c r="F469" s="658"/>
      <c r="G469" s="658"/>
      <c r="H469" s="658"/>
      <c r="I469" s="658"/>
      <c r="J469" s="658"/>
      <c r="K469" s="658"/>
      <c r="L469" s="658"/>
      <c r="M469" s="658"/>
      <c r="N469" s="658"/>
      <c r="O469" s="658"/>
      <c r="P469" s="658"/>
      <c r="Q469" s="658"/>
      <c r="R469" s="658"/>
      <c r="S469" s="658"/>
      <c r="T469" s="658"/>
      <c r="U469" s="658"/>
      <c r="V469" s="658"/>
      <c r="W469" s="658"/>
      <c r="X469" s="658"/>
      <c r="Y469" s="658"/>
      <c r="Z469" s="658"/>
      <c r="AA469" s="639"/>
      <c r="AB469" s="639"/>
      <c r="AC469" s="639"/>
    </row>
    <row r="470" spans="1:68" ht="27" customHeight="1" x14ac:dyDescent="0.25">
      <c r="A470" s="54" t="s">
        <v>749</v>
      </c>
      <c r="B470" s="54" t="s">
        <v>750</v>
      </c>
      <c r="C470" s="31">
        <v>4301051899</v>
      </c>
      <c r="D470" s="647">
        <v>4607091384246</v>
      </c>
      <c r="E470" s="648"/>
      <c r="F470" s="642">
        <v>1.5</v>
      </c>
      <c r="G470" s="32">
        <v>6</v>
      </c>
      <c r="H470" s="642">
        <v>9</v>
      </c>
      <c r="I470" s="642">
        <v>9.4939999999999998</v>
      </c>
      <c r="J470" s="32">
        <v>64</v>
      </c>
      <c r="K470" s="32" t="s">
        <v>114</v>
      </c>
      <c r="L470" s="32"/>
      <c r="M470" s="33" t="s">
        <v>78</v>
      </c>
      <c r="N470" s="33"/>
      <c r="O470" s="32">
        <v>40</v>
      </c>
      <c r="P470" s="93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3"/>
      <c r="R470" s="653"/>
      <c r="S470" s="653"/>
      <c r="T470" s="654"/>
      <c r="U470" s="34"/>
      <c r="V470" s="34"/>
      <c r="W470" s="35" t="s">
        <v>67</v>
      </c>
      <c r="X470" s="643">
        <v>3710</v>
      </c>
      <c r="Y470" s="644">
        <f>IFERROR(IF(X470="",0,CEILING((X470/$H470),1)*$H470),"")</f>
        <v>3717</v>
      </c>
      <c r="Z470" s="36">
        <f>IFERROR(IF(Y470=0,"",ROUNDUP(Y470/H470,0)*0.01898),"")</f>
        <v>7.8387400000000005</v>
      </c>
      <c r="AA470" s="56"/>
      <c r="AB470" s="57"/>
      <c r="AC470" s="555" t="s">
        <v>751</v>
      </c>
      <c r="AG470" s="64"/>
      <c r="AJ470" s="68"/>
      <c r="AK470" s="68">
        <v>0</v>
      </c>
      <c r="BB470" s="556" t="s">
        <v>1</v>
      </c>
      <c r="BM470" s="64">
        <f>IFERROR(X470*I470/H470,"0")</f>
        <v>3913.6377777777775</v>
      </c>
      <c r="BN470" s="64">
        <f>IFERROR(Y470*I470/H470,"0")</f>
        <v>3921.0219999999995</v>
      </c>
      <c r="BO470" s="64">
        <f>IFERROR(1/J470*(X470/H470),"0")</f>
        <v>6.4409722222222223</v>
      </c>
      <c r="BP470" s="64">
        <f>IFERROR(1/J470*(Y470/H470),"0")</f>
        <v>6.453125</v>
      </c>
    </row>
    <row r="471" spans="1:68" ht="27" customHeight="1" x14ac:dyDescent="0.25">
      <c r="A471" s="54" t="s">
        <v>752</v>
      </c>
      <c r="B471" s="54" t="s">
        <v>753</v>
      </c>
      <c r="C471" s="31">
        <v>4301051660</v>
      </c>
      <c r="D471" s="647">
        <v>4607091384253</v>
      </c>
      <c r="E471" s="648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3"/>
      <c r="R471" s="653"/>
      <c r="S471" s="653"/>
      <c r="T471" s="654"/>
      <c r="U471" s="34"/>
      <c r="V471" s="34"/>
      <c r="W471" s="35" t="s">
        <v>67</v>
      </c>
      <c r="X471" s="643">
        <v>26</v>
      </c>
      <c r="Y471" s="644">
        <f>IFERROR(IF(X471="",0,CEILING((X471/$H471),1)*$H471),"")</f>
        <v>26.4</v>
      </c>
      <c r="Z471" s="36">
        <f>IFERROR(IF(Y471=0,"",ROUNDUP(Y471/H471,0)*0.00651),"")</f>
        <v>7.1610000000000007E-2</v>
      </c>
      <c r="AA471" s="56"/>
      <c r="AB471" s="57"/>
      <c r="AC471" s="557" t="s">
        <v>751</v>
      </c>
      <c r="AG471" s="64"/>
      <c r="AJ471" s="68"/>
      <c r="AK471" s="68">
        <v>0</v>
      </c>
      <c r="BB471" s="558" t="s">
        <v>1</v>
      </c>
      <c r="BM471" s="64">
        <f>IFERROR(X471*I471/H471,"0")</f>
        <v>28.860000000000007</v>
      </c>
      <c r="BN471" s="64">
        <f>IFERROR(Y471*I471/H471,"0")</f>
        <v>29.304000000000002</v>
      </c>
      <c r="BO471" s="64">
        <f>IFERROR(1/J471*(X471/H471),"0")</f>
        <v>5.9523809523809534E-2</v>
      </c>
      <c r="BP471" s="64">
        <f>IFERROR(1/J471*(Y471/H471),"0")</f>
        <v>6.0439560439560447E-2</v>
      </c>
    </row>
    <row r="472" spans="1:68" ht="27" hidden="1" customHeight="1" x14ac:dyDescent="0.25">
      <c r="A472" s="54" t="s">
        <v>752</v>
      </c>
      <c r="B472" s="54" t="s">
        <v>754</v>
      </c>
      <c r="C472" s="31">
        <v>4301052069</v>
      </c>
      <c r="D472" s="647">
        <v>4607091384253</v>
      </c>
      <c r="E472" s="648"/>
      <c r="F472" s="642">
        <v>0.4</v>
      </c>
      <c r="G472" s="32">
        <v>6</v>
      </c>
      <c r="H472" s="642">
        <v>2.4</v>
      </c>
      <c r="I472" s="642">
        <v>2.6640000000000001</v>
      </c>
      <c r="J472" s="32">
        <v>182</v>
      </c>
      <c r="K472" s="32" t="s">
        <v>77</v>
      </c>
      <c r="L472" s="32"/>
      <c r="M472" s="33" t="s">
        <v>78</v>
      </c>
      <c r="N472" s="33"/>
      <c r="O472" s="32">
        <v>40</v>
      </c>
      <c r="P472" s="8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3"/>
      <c r="R472" s="653"/>
      <c r="S472" s="653"/>
      <c r="T472" s="654"/>
      <c r="U472" s="34"/>
      <c r="V472" s="34"/>
      <c r="W472" s="35" t="s">
        <v>67</v>
      </c>
      <c r="X472" s="643">
        <v>0</v>
      </c>
      <c r="Y472" s="644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755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7"/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9"/>
      <c r="P473" s="649" t="s">
        <v>72</v>
      </c>
      <c r="Q473" s="650"/>
      <c r="R473" s="650"/>
      <c r="S473" s="650"/>
      <c r="T473" s="650"/>
      <c r="U473" s="650"/>
      <c r="V473" s="651"/>
      <c r="W473" s="37" t="s">
        <v>73</v>
      </c>
      <c r="X473" s="645">
        <f>IFERROR(X470/H470,"0")+IFERROR(X471/H471,"0")+IFERROR(X472/H472,"0")</f>
        <v>423.05555555555554</v>
      </c>
      <c r="Y473" s="645">
        <f>IFERROR(Y470/H470,"0")+IFERROR(Y471/H471,"0")+IFERROR(Y472/H472,"0")</f>
        <v>424</v>
      </c>
      <c r="Z473" s="645">
        <f>IFERROR(IF(Z470="",0,Z470),"0")+IFERROR(IF(Z471="",0,Z471),"0")+IFERROR(IF(Z472="",0,Z472),"0")</f>
        <v>7.9103500000000002</v>
      </c>
      <c r="AA473" s="646"/>
      <c r="AB473" s="646"/>
      <c r="AC473" s="646"/>
    </row>
    <row r="474" spans="1:68" x14ac:dyDescent="0.2">
      <c r="A474" s="658"/>
      <c r="B474" s="658"/>
      <c r="C474" s="658"/>
      <c r="D474" s="658"/>
      <c r="E474" s="658"/>
      <c r="F474" s="658"/>
      <c r="G474" s="658"/>
      <c r="H474" s="658"/>
      <c r="I474" s="658"/>
      <c r="J474" s="658"/>
      <c r="K474" s="658"/>
      <c r="L474" s="658"/>
      <c r="M474" s="658"/>
      <c r="N474" s="658"/>
      <c r="O474" s="659"/>
      <c r="P474" s="649" t="s">
        <v>72</v>
      </c>
      <c r="Q474" s="650"/>
      <c r="R474" s="650"/>
      <c r="S474" s="650"/>
      <c r="T474" s="650"/>
      <c r="U474" s="650"/>
      <c r="V474" s="651"/>
      <c r="W474" s="37" t="s">
        <v>67</v>
      </c>
      <c r="X474" s="645">
        <f>IFERROR(SUM(X470:X472),"0")</f>
        <v>3736</v>
      </c>
      <c r="Y474" s="645">
        <f>IFERROR(SUM(Y470:Y472),"0")</f>
        <v>3743.4</v>
      </c>
      <c r="Z474" s="37"/>
      <c r="AA474" s="646"/>
      <c r="AB474" s="646"/>
      <c r="AC474" s="646"/>
    </row>
    <row r="475" spans="1:68" ht="27.75" hidden="1" customHeight="1" x14ac:dyDescent="0.2">
      <c r="A475" s="661" t="s">
        <v>756</v>
      </c>
      <c r="B475" s="662"/>
      <c r="C475" s="662"/>
      <c r="D475" s="662"/>
      <c r="E475" s="662"/>
      <c r="F475" s="662"/>
      <c r="G475" s="662"/>
      <c r="H475" s="662"/>
      <c r="I475" s="662"/>
      <c r="J475" s="662"/>
      <c r="K475" s="662"/>
      <c r="L475" s="662"/>
      <c r="M475" s="662"/>
      <c r="N475" s="662"/>
      <c r="O475" s="662"/>
      <c r="P475" s="662"/>
      <c r="Q475" s="662"/>
      <c r="R475" s="662"/>
      <c r="S475" s="662"/>
      <c r="T475" s="662"/>
      <c r="U475" s="662"/>
      <c r="V475" s="662"/>
      <c r="W475" s="662"/>
      <c r="X475" s="662"/>
      <c r="Y475" s="662"/>
      <c r="Z475" s="662"/>
      <c r="AA475" s="48"/>
      <c r="AB475" s="48"/>
      <c r="AC475" s="48"/>
    </row>
    <row r="476" spans="1:68" ht="16.5" hidden="1" customHeight="1" x14ac:dyDescent="0.25">
      <c r="A476" s="673" t="s">
        <v>757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38"/>
      <c r="AB476" s="638"/>
      <c r="AC476" s="638"/>
    </row>
    <row r="477" spans="1:68" ht="14.25" hidden="1" customHeight="1" x14ac:dyDescent="0.25">
      <c r="A477" s="667" t="s">
        <v>62</v>
      </c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58"/>
      <c r="P477" s="658"/>
      <c r="Q477" s="658"/>
      <c r="R477" s="658"/>
      <c r="S477" s="658"/>
      <c r="T477" s="658"/>
      <c r="U477" s="658"/>
      <c r="V477" s="658"/>
      <c r="W477" s="658"/>
      <c r="X477" s="658"/>
      <c r="Y477" s="658"/>
      <c r="Z477" s="658"/>
      <c r="AA477" s="639"/>
      <c r="AB477" s="639"/>
      <c r="AC477" s="639"/>
    </row>
    <row r="478" spans="1:68" ht="27" hidden="1" customHeight="1" x14ac:dyDescent="0.25">
      <c r="A478" s="54" t="s">
        <v>758</v>
      </c>
      <c r="B478" s="54" t="s">
        <v>759</v>
      </c>
      <c r="C478" s="31">
        <v>4301031405</v>
      </c>
      <c r="D478" s="647">
        <v>4680115886100</v>
      </c>
      <c r="E478" s="648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3"/>
      <c r="R478" s="653"/>
      <c r="S478" s="653"/>
      <c r="T478" s="654"/>
      <c r="U478" s="34"/>
      <c r="V478" s="34"/>
      <c r="W478" s="35" t="s">
        <v>67</v>
      </c>
      <c r="X478" s="643">
        <v>0</v>
      </c>
      <c r="Y478" s="644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760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761</v>
      </c>
      <c r="B479" s="54" t="s">
        <v>762</v>
      </c>
      <c r="C479" s="31">
        <v>4301031402</v>
      </c>
      <c r="D479" s="647">
        <v>4680115886124</v>
      </c>
      <c r="E479" s="648"/>
      <c r="F479" s="642">
        <v>0.9</v>
      </c>
      <c r="G479" s="32">
        <v>6</v>
      </c>
      <c r="H479" s="642">
        <v>5.4</v>
      </c>
      <c r="I479" s="642">
        <v>5.59</v>
      </c>
      <c r="J479" s="32">
        <v>132</v>
      </c>
      <c r="K479" s="32" t="s">
        <v>123</v>
      </c>
      <c r="L479" s="32"/>
      <c r="M479" s="33" t="s">
        <v>66</v>
      </c>
      <c r="N479" s="33"/>
      <c r="O479" s="32">
        <v>50</v>
      </c>
      <c r="P479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3"/>
      <c r="R479" s="653"/>
      <c r="S479" s="653"/>
      <c r="T479" s="654"/>
      <c r="U479" s="34"/>
      <c r="V479" s="34"/>
      <c r="W479" s="35" t="s">
        <v>67</v>
      </c>
      <c r="X479" s="643">
        <v>0</v>
      </c>
      <c r="Y479" s="644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763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764</v>
      </c>
      <c r="B480" s="54" t="s">
        <v>765</v>
      </c>
      <c r="C480" s="31">
        <v>4301031362</v>
      </c>
      <c r="D480" s="647">
        <v>4607091384338</v>
      </c>
      <c r="E480" s="648"/>
      <c r="F480" s="642">
        <v>0.35</v>
      </c>
      <c r="G480" s="32">
        <v>6</v>
      </c>
      <c r="H480" s="642">
        <v>2.1</v>
      </c>
      <c r="I480" s="642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3"/>
      <c r="R480" s="653"/>
      <c r="S480" s="653"/>
      <c r="T480" s="654"/>
      <c r="U480" s="34"/>
      <c r="V480" s="34"/>
      <c r="W480" s="35" t="s">
        <v>67</v>
      </c>
      <c r="X480" s="643">
        <v>0</v>
      </c>
      <c r="Y480" s="644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760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766</v>
      </c>
      <c r="B481" s="54" t="s">
        <v>767</v>
      </c>
      <c r="C481" s="31">
        <v>4301031364</v>
      </c>
      <c r="D481" s="647">
        <v>4680115883161</v>
      </c>
      <c r="E481" s="648"/>
      <c r="F481" s="642">
        <v>0.28000000000000003</v>
      </c>
      <c r="G481" s="32">
        <v>6</v>
      </c>
      <c r="H481" s="642">
        <v>1.68</v>
      </c>
      <c r="I481" s="642">
        <v>1.81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3"/>
      <c r="R481" s="653"/>
      <c r="S481" s="653"/>
      <c r="T481" s="654"/>
      <c r="U481" s="34"/>
      <c r="V481" s="34"/>
      <c r="W481" s="35" t="s">
        <v>67</v>
      </c>
      <c r="X481" s="643">
        <v>0</v>
      </c>
      <c r="Y481" s="644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768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769</v>
      </c>
      <c r="B482" s="54" t="s">
        <v>770</v>
      </c>
      <c r="C482" s="31">
        <v>4301031358</v>
      </c>
      <c r="D482" s="647">
        <v>4607091389531</v>
      </c>
      <c r="E482" s="648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3"/>
      <c r="R482" s="653"/>
      <c r="S482" s="653"/>
      <c r="T482" s="654"/>
      <c r="U482" s="34"/>
      <c r="V482" s="34"/>
      <c r="W482" s="35" t="s">
        <v>67</v>
      </c>
      <c r="X482" s="643">
        <v>0</v>
      </c>
      <c r="Y482" s="644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771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772</v>
      </c>
      <c r="B483" s="54" t="s">
        <v>773</v>
      </c>
      <c r="C483" s="31">
        <v>4301031360</v>
      </c>
      <c r="D483" s="647">
        <v>4607091384345</v>
      </c>
      <c r="E483" s="648"/>
      <c r="F483" s="642">
        <v>0.35</v>
      </c>
      <c r="G483" s="32">
        <v>6</v>
      </c>
      <c r="H483" s="642">
        <v>2.1</v>
      </c>
      <c r="I483" s="642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3"/>
      <c r="R483" s="653"/>
      <c r="S483" s="653"/>
      <c r="T483" s="654"/>
      <c r="U483" s="34"/>
      <c r="V483" s="34"/>
      <c r="W483" s="35" t="s">
        <v>67</v>
      </c>
      <c r="X483" s="643">
        <v>0</v>
      </c>
      <c r="Y483" s="644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768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7"/>
      <c r="B484" s="658"/>
      <c r="C484" s="658"/>
      <c r="D484" s="658"/>
      <c r="E484" s="658"/>
      <c r="F484" s="658"/>
      <c r="G484" s="658"/>
      <c r="H484" s="658"/>
      <c r="I484" s="658"/>
      <c r="J484" s="658"/>
      <c r="K484" s="658"/>
      <c r="L484" s="658"/>
      <c r="M484" s="658"/>
      <c r="N484" s="658"/>
      <c r="O484" s="659"/>
      <c r="P484" s="649" t="s">
        <v>72</v>
      </c>
      <c r="Q484" s="650"/>
      <c r="R484" s="650"/>
      <c r="S484" s="650"/>
      <c r="T484" s="650"/>
      <c r="U484" s="650"/>
      <c r="V484" s="651"/>
      <c r="W484" s="37" t="s">
        <v>73</v>
      </c>
      <c r="X484" s="645">
        <f>IFERROR(X478/H478,"0")+IFERROR(X479/H479,"0")+IFERROR(X480/H480,"0")+IFERROR(X481/H481,"0")+IFERROR(X482/H482,"0")+IFERROR(X483/H483,"0")</f>
        <v>0</v>
      </c>
      <c r="Y484" s="645">
        <f>IFERROR(Y478/H478,"0")+IFERROR(Y479/H479,"0")+IFERROR(Y480/H480,"0")+IFERROR(Y481/H481,"0")+IFERROR(Y482/H482,"0")+IFERROR(Y483/H483,"0")</f>
        <v>0</v>
      </c>
      <c r="Z484" s="645">
        <f>IFERROR(IF(Z478="",0,Z478),"0")+IFERROR(IF(Z479="",0,Z479),"0")+IFERROR(IF(Z480="",0,Z480),"0")+IFERROR(IF(Z481="",0,Z481),"0")+IFERROR(IF(Z482="",0,Z482),"0")+IFERROR(IF(Z483="",0,Z483),"0")</f>
        <v>0</v>
      </c>
      <c r="AA484" s="646"/>
      <c r="AB484" s="646"/>
      <c r="AC484" s="646"/>
    </row>
    <row r="485" spans="1:68" hidden="1" x14ac:dyDescent="0.2">
      <c r="A485" s="658"/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9"/>
      <c r="P485" s="649" t="s">
        <v>72</v>
      </c>
      <c r="Q485" s="650"/>
      <c r="R485" s="650"/>
      <c r="S485" s="650"/>
      <c r="T485" s="650"/>
      <c r="U485" s="650"/>
      <c r="V485" s="651"/>
      <c r="W485" s="37" t="s">
        <v>67</v>
      </c>
      <c r="X485" s="645">
        <f>IFERROR(SUM(X478:X483),"0")</f>
        <v>0</v>
      </c>
      <c r="Y485" s="645">
        <f>IFERROR(SUM(Y478:Y483),"0")</f>
        <v>0</v>
      </c>
      <c r="Z485" s="37"/>
      <c r="AA485" s="646"/>
      <c r="AB485" s="646"/>
      <c r="AC485" s="646"/>
    </row>
    <row r="486" spans="1:68" ht="14.25" hidden="1" customHeight="1" x14ac:dyDescent="0.25">
      <c r="A486" s="667" t="s">
        <v>74</v>
      </c>
      <c r="B486" s="658"/>
      <c r="C486" s="658"/>
      <c r="D486" s="658"/>
      <c r="E486" s="658"/>
      <c r="F486" s="658"/>
      <c r="G486" s="658"/>
      <c r="H486" s="658"/>
      <c r="I486" s="658"/>
      <c r="J486" s="658"/>
      <c r="K486" s="658"/>
      <c r="L486" s="658"/>
      <c r="M486" s="658"/>
      <c r="N486" s="658"/>
      <c r="O486" s="658"/>
      <c r="P486" s="658"/>
      <c r="Q486" s="658"/>
      <c r="R486" s="658"/>
      <c r="S486" s="658"/>
      <c r="T486" s="658"/>
      <c r="U486" s="658"/>
      <c r="V486" s="658"/>
      <c r="W486" s="658"/>
      <c r="X486" s="658"/>
      <c r="Y486" s="658"/>
      <c r="Z486" s="658"/>
      <c r="AA486" s="639"/>
      <c r="AB486" s="639"/>
      <c r="AC486" s="639"/>
    </row>
    <row r="487" spans="1:68" ht="27" hidden="1" customHeight="1" x14ac:dyDescent="0.25">
      <c r="A487" s="54" t="s">
        <v>774</v>
      </c>
      <c r="B487" s="54" t="s">
        <v>775</v>
      </c>
      <c r="C487" s="31">
        <v>4301051284</v>
      </c>
      <c r="D487" s="647">
        <v>4607091384352</v>
      </c>
      <c r="E487" s="648"/>
      <c r="F487" s="642">
        <v>0.6</v>
      </c>
      <c r="G487" s="32">
        <v>4</v>
      </c>
      <c r="H487" s="642">
        <v>2.4</v>
      </c>
      <c r="I487" s="642">
        <v>2.6259999999999999</v>
      </c>
      <c r="J487" s="32">
        <v>132</v>
      </c>
      <c r="K487" s="32" t="s">
        <v>123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3"/>
      <c r="R487" s="653"/>
      <c r="S487" s="653"/>
      <c r="T487" s="654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776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777</v>
      </c>
      <c r="B488" s="54" t="s">
        <v>778</v>
      </c>
      <c r="C488" s="31">
        <v>4301051431</v>
      </c>
      <c r="D488" s="647">
        <v>4607091389654</v>
      </c>
      <c r="E488" s="648"/>
      <c r="F488" s="642">
        <v>0.33</v>
      </c>
      <c r="G488" s="32">
        <v>6</v>
      </c>
      <c r="H488" s="642">
        <v>1.98</v>
      </c>
      <c r="I488" s="642">
        <v>2.238</v>
      </c>
      <c r="J488" s="32">
        <v>182</v>
      </c>
      <c r="K488" s="32" t="s">
        <v>77</v>
      </c>
      <c r="L488" s="32"/>
      <c r="M488" s="33" t="s">
        <v>78</v>
      </c>
      <c r="N488" s="33"/>
      <c r="O488" s="32">
        <v>45</v>
      </c>
      <c r="P488" s="9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3"/>
      <c r="R488" s="653"/>
      <c r="S488" s="653"/>
      <c r="T488" s="654"/>
      <c r="U488" s="34"/>
      <c r="V488" s="34"/>
      <c r="W488" s="35" t="s">
        <v>67</v>
      </c>
      <c r="X488" s="643">
        <v>0</v>
      </c>
      <c r="Y488" s="644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779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7"/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9"/>
      <c r="P489" s="649" t="s">
        <v>72</v>
      </c>
      <c r="Q489" s="650"/>
      <c r="R489" s="650"/>
      <c r="S489" s="650"/>
      <c r="T489" s="650"/>
      <c r="U489" s="650"/>
      <c r="V489" s="651"/>
      <c r="W489" s="37" t="s">
        <v>73</v>
      </c>
      <c r="X489" s="645">
        <f>IFERROR(X487/H487,"0")+IFERROR(X488/H488,"0")</f>
        <v>0</v>
      </c>
      <c r="Y489" s="645">
        <f>IFERROR(Y487/H487,"0")+IFERROR(Y488/H488,"0")</f>
        <v>0</v>
      </c>
      <c r="Z489" s="645">
        <f>IFERROR(IF(Z487="",0,Z487),"0")+IFERROR(IF(Z488="",0,Z488),"0")</f>
        <v>0</v>
      </c>
      <c r="AA489" s="646"/>
      <c r="AB489" s="646"/>
      <c r="AC489" s="646"/>
    </row>
    <row r="490" spans="1:68" hidden="1" x14ac:dyDescent="0.2">
      <c r="A490" s="658"/>
      <c r="B490" s="658"/>
      <c r="C490" s="658"/>
      <c r="D490" s="658"/>
      <c r="E490" s="658"/>
      <c r="F490" s="658"/>
      <c r="G490" s="658"/>
      <c r="H490" s="658"/>
      <c r="I490" s="658"/>
      <c r="J490" s="658"/>
      <c r="K490" s="658"/>
      <c r="L490" s="658"/>
      <c r="M490" s="658"/>
      <c r="N490" s="658"/>
      <c r="O490" s="659"/>
      <c r="P490" s="649" t="s">
        <v>72</v>
      </c>
      <c r="Q490" s="650"/>
      <c r="R490" s="650"/>
      <c r="S490" s="650"/>
      <c r="T490" s="650"/>
      <c r="U490" s="650"/>
      <c r="V490" s="651"/>
      <c r="W490" s="37" t="s">
        <v>67</v>
      </c>
      <c r="X490" s="645">
        <f>IFERROR(SUM(X487:X488),"0")</f>
        <v>0</v>
      </c>
      <c r="Y490" s="645">
        <f>IFERROR(SUM(Y487:Y488),"0")</f>
        <v>0</v>
      </c>
      <c r="Z490" s="37"/>
      <c r="AA490" s="646"/>
      <c r="AB490" s="646"/>
      <c r="AC490" s="646"/>
    </row>
    <row r="491" spans="1:68" ht="16.5" hidden="1" customHeight="1" x14ac:dyDescent="0.25">
      <c r="A491" s="673" t="s">
        <v>780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38"/>
      <c r="AB491" s="638"/>
      <c r="AC491" s="638"/>
    </row>
    <row r="492" spans="1:68" ht="14.25" hidden="1" customHeight="1" x14ac:dyDescent="0.25">
      <c r="A492" s="667" t="s">
        <v>148</v>
      </c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58"/>
      <c r="P492" s="658"/>
      <c r="Q492" s="658"/>
      <c r="R492" s="658"/>
      <c r="S492" s="658"/>
      <c r="T492" s="658"/>
      <c r="U492" s="658"/>
      <c r="V492" s="658"/>
      <c r="W492" s="658"/>
      <c r="X492" s="658"/>
      <c r="Y492" s="658"/>
      <c r="Z492" s="658"/>
      <c r="AA492" s="639"/>
      <c r="AB492" s="639"/>
      <c r="AC492" s="639"/>
    </row>
    <row r="493" spans="1:68" ht="27" hidden="1" customHeight="1" x14ac:dyDescent="0.25">
      <c r="A493" s="54" t="s">
        <v>781</v>
      </c>
      <c r="B493" s="54" t="s">
        <v>782</v>
      </c>
      <c r="C493" s="31">
        <v>4301020416</v>
      </c>
      <c r="D493" s="647">
        <v>4680115885240</v>
      </c>
      <c r="E493" s="648"/>
      <c r="F493" s="642">
        <v>0.35</v>
      </c>
      <c r="G493" s="32">
        <v>6</v>
      </c>
      <c r="H493" s="642">
        <v>2.1</v>
      </c>
      <c r="I493" s="642">
        <v>2.31</v>
      </c>
      <c r="J493" s="32">
        <v>182</v>
      </c>
      <c r="K493" s="32" t="s">
        <v>77</v>
      </c>
      <c r="L493" s="32"/>
      <c r="M493" s="33" t="s">
        <v>66</v>
      </c>
      <c r="N493" s="33"/>
      <c r="O493" s="32">
        <v>40</v>
      </c>
      <c r="P493" s="7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3"/>
      <c r="R493" s="653"/>
      <c r="S493" s="653"/>
      <c r="T493" s="654"/>
      <c r="U493" s="34"/>
      <c r="V493" s="34"/>
      <c r="W493" s="35" t="s">
        <v>67</v>
      </c>
      <c r="X493" s="643">
        <v>0</v>
      </c>
      <c r="Y493" s="644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783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7"/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9"/>
      <c r="P494" s="649" t="s">
        <v>72</v>
      </c>
      <c r="Q494" s="650"/>
      <c r="R494" s="650"/>
      <c r="S494" s="650"/>
      <c r="T494" s="650"/>
      <c r="U494" s="650"/>
      <c r="V494" s="651"/>
      <c r="W494" s="37" t="s">
        <v>73</v>
      </c>
      <c r="X494" s="645">
        <f>IFERROR(X493/H493,"0")</f>
        <v>0</v>
      </c>
      <c r="Y494" s="645">
        <f>IFERROR(Y493/H493,"0")</f>
        <v>0</v>
      </c>
      <c r="Z494" s="645">
        <f>IFERROR(IF(Z493="",0,Z493),"0")</f>
        <v>0</v>
      </c>
      <c r="AA494" s="646"/>
      <c r="AB494" s="646"/>
      <c r="AC494" s="646"/>
    </row>
    <row r="495" spans="1:68" hidden="1" x14ac:dyDescent="0.2">
      <c r="A495" s="658"/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9"/>
      <c r="P495" s="649" t="s">
        <v>72</v>
      </c>
      <c r="Q495" s="650"/>
      <c r="R495" s="650"/>
      <c r="S495" s="650"/>
      <c r="T495" s="650"/>
      <c r="U495" s="650"/>
      <c r="V495" s="651"/>
      <c r="W495" s="37" t="s">
        <v>67</v>
      </c>
      <c r="X495" s="645">
        <f>IFERROR(SUM(X493:X493),"0")</f>
        <v>0</v>
      </c>
      <c r="Y495" s="645">
        <f>IFERROR(SUM(Y493:Y493),"0")</f>
        <v>0</v>
      </c>
      <c r="Z495" s="37"/>
      <c r="AA495" s="646"/>
      <c r="AB495" s="646"/>
      <c r="AC495" s="646"/>
    </row>
    <row r="496" spans="1:68" ht="14.25" hidden="1" customHeight="1" x14ac:dyDescent="0.25">
      <c r="A496" s="667" t="s">
        <v>62</v>
      </c>
      <c r="B496" s="658"/>
      <c r="C496" s="658"/>
      <c r="D496" s="658"/>
      <c r="E496" s="658"/>
      <c r="F496" s="658"/>
      <c r="G496" s="658"/>
      <c r="H496" s="658"/>
      <c r="I496" s="658"/>
      <c r="J496" s="658"/>
      <c r="K496" s="658"/>
      <c r="L496" s="658"/>
      <c r="M496" s="658"/>
      <c r="N496" s="658"/>
      <c r="O496" s="658"/>
      <c r="P496" s="658"/>
      <c r="Q496" s="658"/>
      <c r="R496" s="658"/>
      <c r="S496" s="658"/>
      <c r="T496" s="658"/>
      <c r="U496" s="658"/>
      <c r="V496" s="658"/>
      <c r="W496" s="658"/>
      <c r="X496" s="658"/>
      <c r="Y496" s="658"/>
      <c r="Z496" s="658"/>
      <c r="AA496" s="639"/>
      <c r="AB496" s="639"/>
      <c r="AC496" s="639"/>
    </row>
    <row r="497" spans="1:68" ht="27" hidden="1" customHeight="1" x14ac:dyDescent="0.25">
      <c r="A497" s="54" t="s">
        <v>784</v>
      </c>
      <c r="B497" s="54" t="s">
        <v>785</v>
      </c>
      <c r="C497" s="31">
        <v>4301031407</v>
      </c>
      <c r="D497" s="647">
        <v>4680115886094</v>
      </c>
      <c r="E497" s="648"/>
      <c r="F497" s="642">
        <v>0.9</v>
      </c>
      <c r="G497" s="32">
        <v>6</v>
      </c>
      <c r="H497" s="642">
        <v>5.4</v>
      </c>
      <c r="I497" s="642">
        <v>5.59</v>
      </c>
      <c r="J497" s="32">
        <v>132</v>
      </c>
      <c r="K497" s="32" t="s">
        <v>123</v>
      </c>
      <c r="L497" s="32"/>
      <c r="M497" s="33" t="s">
        <v>66</v>
      </c>
      <c r="N497" s="33"/>
      <c r="O497" s="32">
        <v>50</v>
      </c>
      <c r="P497" s="9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3"/>
      <c r="R497" s="653"/>
      <c r="S497" s="653"/>
      <c r="T497" s="654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786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787</v>
      </c>
      <c r="B498" s="54" t="s">
        <v>788</v>
      </c>
      <c r="C498" s="31">
        <v>4301031373</v>
      </c>
      <c r="D498" s="647">
        <v>4680115880771</v>
      </c>
      <c r="E498" s="648"/>
      <c r="F498" s="642">
        <v>0.28000000000000003</v>
      </c>
      <c r="G498" s="32">
        <v>6</v>
      </c>
      <c r="H498" s="642">
        <v>1.68</v>
      </c>
      <c r="I498" s="642">
        <v>1.81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3"/>
      <c r="R498" s="653"/>
      <c r="S498" s="653"/>
      <c r="T498" s="654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789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4301031359</v>
      </c>
      <c r="D499" s="647">
        <v>4607091389500</v>
      </c>
      <c r="E499" s="648"/>
      <c r="F499" s="642">
        <v>0.35</v>
      </c>
      <c r="G499" s="32">
        <v>6</v>
      </c>
      <c r="H499" s="642">
        <v>2.1</v>
      </c>
      <c r="I499" s="642">
        <v>2.23</v>
      </c>
      <c r="J499" s="32">
        <v>234</v>
      </c>
      <c r="K499" s="32" t="s">
        <v>65</v>
      </c>
      <c r="L499" s="32"/>
      <c r="M499" s="33" t="s">
        <v>66</v>
      </c>
      <c r="N499" s="33"/>
      <c r="O499" s="32">
        <v>50</v>
      </c>
      <c r="P499" s="9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3"/>
      <c r="R499" s="653"/>
      <c r="S499" s="653"/>
      <c r="T499" s="654"/>
      <c r="U499" s="34"/>
      <c r="V499" s="34"/>
      <c r="W499" s="35" t="s">
        <v>67</v>
      </c>
      <c r="X499" s="643">
        <v>0</v>
      </c>
      <c r="Y499" s="644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789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7"/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9"/>
      <c r="P500" s="649" t="s">
        <v>72</v>
      </c>
      <c r="Q500" s="650"/>
      <c r="R500" s="650"/>
      <c r="S500" s="650"/>
      <c r="T500" s="650"/>
      <c r="U500" s="650"/>
      <c r="V500" s="651"/>
      <c r="W500" s="37" t="s">
        <v>73</v>
      </c>
      <c r="X500" s="645">
        <f>IFERROR(X497/H497,"0")+IFERROR(X498/H498,"0")+IFERROR(X499/H499,"0")</f>
        <v>0</v>
      </c>
      <c r="Y500" s="645">
        <f>IFERROR(Y497/H497,"0")+IFERROR(Y498/H498,"0")+IFERROR(Y499/H499,"0")</f>
        <v>0</v>
      </c>
      <c r="Z500" s="645">
        <f>IFERROR(IF(Z497="",0,Z497),"0")+IFERROR(IF(Z498="",0,Z498),"0")+IFERROR(IF(Z499="",0,Z499),"0")</f>
        <v>0</v>
      </c>
      <c r="AA500" s="646"/>
      <c r="AB500" s="646"/>
      <c r="AC500" s="646"/>
    </row>
    <row r="501" spans="1:68" hidden="1" x14ac:dyDescent="0.2">
      <c r="A501" s="658"/>
      <c r="B501" s="658"/>
      <c r="C501" s="658"/>
      <c r="D501" s="658"/>
      <c r="E501" s="658"/>
      <c r="F501" s="658"/>
      <c r="G501" s="658"/>
      <c r="H501" s="658"/>
      <c r="I501" s="658"/>
      <c r="J501" s="658"/>
      <c r="K501" s="658"/>
      <c r="L501" s="658"/>
      <c r="M501" s="658"/>
      <c r="N501" s="658"/>
      <c r="O501" s="659"/>
      <c r="P501" s="649" t="s">
        <v>72</v>
      </c>
      <c r="Q501" s="650"/>
      <c r="R501" s="650"/>
      <c r="S501" s="650"/>
      <c r="T501" s="650"/>
      <c r="U501" s="650"/>
      <c r="V501" s="651"/>
      <c r="W501" s="37" t="s">
        <v>67</v>
      </c>
      <c r="X501" s="645">
        <f>IFERROR(SUM(X497:X499),"0")</f>
        <v>0</v>
      </c>
      <c r="Y501" s="645">
        <f>IFERROR(SUM(Y497:Y499),"0")</f>
        <v>0</v>
      </c>
      <c r="Z501" s="37"/>
      <c r="AA501" s="646"/>
      <c r="AB501" s="646"/>
      <c r="AC501" s="646"/>
    </row>
    <row r="502" spans="1:68" ht="27.75" hidden="1" customHeight="1" x14ac:dyDescent="0.2">
      <c r="A502" s="661" t="s">
        <v>792</v>
      </c>
      <c r="B502" s="662"/>
      <c r="C502" s="662"/>
      <c r="D502" s="662"/>
      <c r="E502" s="662"/>
      <c r="F502" s="662"/>
      <c r="G502" s="662"/>
      <c r="H502" s="662"/>
      <c r="I502" s="662"/>
      <c r="J502" s="662"/>
      <c r="K502" s="662"/>
      <c r="L502" s="662"/>
      <c r="M502" s="662"/>
      <c r="N502" s="662"/>
      <c r="O502" s="662"/>
      <c r="P502" s="662"/>
      <c r="Q502" s="662"/>
      <c r="R502" s="662"/>
      <c r="S502" s="662"/>
      <c r="T502" s="662"/>
      <c r="U502" s="662"/>
      <c r="V502" s="662"/>
      <c r="W502" s="662"/>
      <c r="X502" s="662"/>
      <c r="Y502" s="662"/>
      <c r="Z502" s="662"/>
      <c r="AA502" s="48"/>
      <c r="AB502" s="48"/>
      <c r="AC502" s="48"/>
    </row>
    <row r="503" spans="1:68" ht="16.5" hidden="1" customHeight="1" x14ac:dyDescent="0.25">
      <c r="A503" s="673" t="s">
        <v>792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38"/>
      <c r="AB503" s="638"/>
      <c r="AC503" s="638"/>
    </row>
    <row r="504" spans="1:68" ht="14.25" hidden="1" customHeight="1" x14ac:dyDescent="0.25">
      <c r="A504" s="667" t="s">
        <v>111</v>
      </c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58"/>
      <c r="P504" s="658"/>
      <c r="Q504" s="658"/>
      <c r="R504" s="658"/>
      <c r="S504" s="658"/>
      <c r="T504" s="658"/>
      <c r="U504" s="658"/>
      <c r="V504" s="658"/>
      <c r="W504" s="658"/>
      <c r="X504" s="658"/>
      <c r="Y504" s="658"/>
      <c r="Z504" s="658"/>
      <c r="AA504" s="639"/>
      <c r="AB504" s="639"/>
      <c r="AC504" s="639"/>
    </row>
    <row r="505" spans="1:68" ht="27" customHeight="1" x14ac:dyDescent="0.25">
      <c r="A505" s="54" t="s">
        <v>793</v>
      </c>
      <c r="B505" s="54" t="s">
        <v>794</v>
      </c>
      <c r="C505" s="31">
        <v>4301011769</v>
      </c>
      <c r="D505" s="647">
        <v>4607091389067</v>
      </c>
      <c r="E505" s="648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78</v>
      </c>
      <c r="N505" s="33"/>
      <c r="O505" s="32">
        <v>60</v>
      </c>
      <c r="P505" s="10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3"/>
      <c r="R505" s="653"/>
      <c r="S505" s="653"/>
      <c r="T505" s="654"/>
      <c r="U505" s="34"/>
      <c r="V505" s="34"/>
      <c r="W505" s="35" t="s">
        <v>67</v>
      </c>
      <c r="X505" s="643">
        <v>32</v>
      </c>
      <c r="Y505" s="644">
        <f t="shared" ref="Y505:Y513" si="83">IFERROR(IF(X505="",0,CEILING((X505/$H505),1)*$H505),"")</f>
        <v>36.96</v>
      </c>
      <c r="Z505" s="36">
        <f t="shared" ref="Z505:Z510" si="84">IFERROR(IF(Y505=0,"",ROUNDUP(Y505/H505,0)*0.01196),"")</f>
        <v>8.3720000000000003E-2</v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34.121212121212118</v>
      </c>
      <c r="BN505" s="64">
        <f t="shared" ref="BN505:BN513" si="86">IFERROR(Y505*I505/H505,"0")</f>
        <v>39.409999999999997</v>
      </c>
      <c r="BO505" s="64">
        <f t="shared" ref="BO505:BO513" si="87">IFERROR(1/J505*(X505/H505),"0")</f>
        <v>5.8275058275058279E-2</v>
      </c>
      <c r="BP505" s="64">
        <f t="shared" ref="BP505:BP513" si="88">IFERROR(1/J505*(Y505/H505),"0")</f>
        <v>6.7307692307692318E-2</v>
      </c>
    </row>
    <row r="506" spans="1:68" ht="16.5" hidden="1" customHeight="1" x14ac:dyDescent="0.25">
      <c r="A506" s="54" t="s">
        <v>795</v>
      </c>
      <c r="B506" s="54" t="s">
        <v>796</v>
      </c>
      <c r="C506" s="31">
        <v>4301012380</v>
      </c>
      <c r="D506" s="647">
        <v>4680115889576</v>
      </c>
      <c r="E506" s="648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3"/>
      <c r="R506" s="653"/>
      <c r="S506" s="653"/>
      <c r="T506" s="654"/>
      <c r="U506" s="34"/>
      <c r="V506" s="34"/>
      <c r="W506" s="35" t="s">
        <v>67</v>
      </c>
      <c r="X506" s="643">
        <v>0</v>
      </c>
      <c r="Y506" s="644">
        <f t="shared" si="83"/>
        <v>0</v>
      </c>
      <c r="Z506" s="36" t="str">
        <f t="shared" si="84"/>
        <v/>
      </c>
      <c r="AA506" s="56"/>
      <c r="AB506" s="57"/>
      <c r="AC506" s="587" t="s">
        <v>797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hidden="1" customHeight="1" x14ac:dyDescent="0.25">
      <c r="A507" s="54" t="s">
        <v>798</v>
      </c>
      <c r="B507" s="54" t="s">
        <v>799</v>
      </c>
      <c r="C507" s="31">
        <v>4301011961</v>
      </c>
      <c r="D507" s="647">
        <v>4680115885271</v>
      </c>
      <c r="E507" s="648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3"/>
      <c r="R507" s="653"/>
      <c r="S507" s="653"/>
      <c r="T507" s="654"/>
      <c r="U507" s="34"/>
      <c r="V507" s="34"/>
      <c r="W507" s="35" t="s">
        <v>67</v>
      </c>
      <c r="X507" s="643">
        <v>0</v>
      </c>
      <c r="Y507" s="644">
        <f t="shared" si="83"/>
        <v>0</v>
      </c>
      <c r="Z507" s="36" t="str">
        <f t="shared" si="84"/>
        <v/>
      </c>
      <c r="AA507" s="56"/>
      <c r="AB507" s="57"/>
      <c r="AC507" s="589" t="s">
        <v>800</v>
      </c>
      <c r="AG507" s="64"/>
      <c r="AJ507" s="68"/>
      <c r="AK507" s="68">
        <v>0</v>
      </c>
      <c r="BB507" s="590" t="s">
        <v>1</v>
      </c>
      <c r="BM507" s="64">
        <f t="shared" si="85"/>
        <v>0</v>
      </c>
      <c r="BN507" s="64">
        <f t="shared" si="86"/>
        <v>0</v>
      </c>
      <c r="BO507" s="64">
        <f t="shared" si="87"/>
        <v>0</v>
      </c>
      <c r="BP507" s="64">
        <f t="shared" si="88"/>
        <v>0</v>
      </c>
    </row>
    <row r="508" spans="1:68" ht="27" customHeight="1" x14ac:dyDescent="0.25">
      <c r="A508" s="54" t="s">
        <v>801</v>
      </c>
      <c r="B508" s="54" t="s">
        <v>802</v>
      </c>
      <c r="C508" s="31">
        <v>4301011369</v>
      </c>
      <c r="D508" s="647">
        <v>4680115885226</v>
      </c>
      <c r="E508" s="648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115</v>
      </c>
      <c r="N508" s="33"/>
      <c r="O508" s="32">
        <v>60</v>
      </c>
      <c r="P508" s="7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3"/>
      <c r="R508" s="653"/>
      <c r="S508" s="653"/>
      <c r="T508" s="654"/>
      <c r="U508" s="34"/>
      <c r="V508" s="34"/>
      <c r="W508" s="35" t="s">
        <v>67</v>
      </c>
      <c r="X508" s="643">
        <v>240</v>
      </c>
      <c r="Y508" s="644">
        <f t="shared" si="83"/>
        <v>242.88000000000002</v>
      </c>
      <c r="Z508" s="36">
        <f t="shared" si="84"/>
        <v>0.55015999999999998</v>
      </c>
      <c r="AA508" s="56"/>
      <c r="AB508" s="57"/>
      <c r="AC508" s="591" t="s">
        <v>803</v>
      </c>
      <c r="AG508" s="64"/>
      <c r="AJ508" s="68"/>
      <c r="AK508" s="68">
        <v>0</v>
      </c>
      <c r="BB508" s="592" t="s">
        <v>1</v>
      </c>
      <c r="BM508" s="64">
        <f t="shared" si="85"/>
        <v>255.90909090909091</v>
      </c>
      <c r="BN508" s="64">
        <f t="shared" si="86"/>
        <v>258.98</v>
      </c>
      <c r="BO508" s="64">
        <f t="shared" si="87"/>
        <v>0.43706293706293708</v>
      </c>
      <c r="BP508" s="64">
        <f t="shared" si="88"/>
        <v>0.44230769230769235</v>
      </c>
    </row>
    <row r="509" spans="1:68" ht="16.5" hidden="1" customHeight="1" x14ac:dyDescent="0.25">
      <c r="A509" s="54" t="s">
        <v>804</v>
      </c>
      <c r="B509" s="54" t="s">
        <v>805</v>
      </c>
      <c r="C509" s="31">
        <v>4301011797</v>
      </c>
      <c r="D509" s="647">
        <v>4680115884502</v>
      </c>
      <c r="E509" s="648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3"/>
      <c r="R509" s="653"/>
      <c r="S509" s="653"/>
      <c r="T509" s="654"/>
      <c r="U509" s="34"/>
      <c r="V509" s="34"/>
      <c r="W509" s="35" t="s">
        <v>67</v>
      </c>
      <c r="X509" s="643">
        <v>0</v>
      </c>
      <c r="Y509" s="644">
        <f t="shared" si="83"/>
        <v>0</v>
      </c>
      <c r="Z509" s="36" t="str">
        <f t="shared" si="84"/>
        <v/>
      </c>
      <c r="AA509" s="56"/>
      <c r="AB509" s="57"/>
      <c r="AC509" s="593" t="s">
        <v>806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807</v>
      </c>
      <c r="B510" s="54" t="s">
        <v>808</v>
      </c>
      <c r="C510" s="31">
        <v>4301011771</v>
      </c>
      <c r="D510" s="647">
        <v>4607091389104</v>
      </c>
      <c r="E510" s="648"/>
      <c r="F510" s="642">
        <v>0.88</v>
      </c>
      <c r="G510" s="32">
        <v>6</v>
      </c>
      <c r="H510" s="642">
        <v>5.28</v>
      </c>
      <c r="I510" s="642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3"/>
      <c r="R510" s="653"/>
      <c r="S510" s="653"/>
      <c r="T510" s="654"/>
      <c r="U510" s="34"/>
      <c r="V510" s="34"/>
      <c r="W510" s="35" t="s">
        <v>67</v>
      </c>
      <c r="X510" s="643">
        <v>383</v>
      </c>
      <c r="Y510" s="644">
        <f t="shared" si="83"/>
        <v>385.44</v>
      </c>
      <c r="Z510" s="36">
        <f t="shared" si="84"/>
        <v>0.87307999999999997</v>
      </c>
      <c r="AA510" s="56"/>
      <c r="AB510" s="57"/>
      <c r="AC510" s="595" t="s">
        <v>809</v>
      </c>
      <c r="AG510" s="64"/>
      <c r="AJ510" s="68"/>
      <c r="AK510" s="68">
        <v>0</v>
      </c>
      <c r="BB510" s="596" t="s">
        <v>1</v>
      </c>
      <c r="BM510" s="64">
        <f t="shared" si="85"/>
        <v>408.38825757575756</v>
      </c>
      <c r="BN510" s="64">
        <f t="shared" si="86"/>
        <v>410.98999999999995</v>
      </c>
      <c r="BO510" s="64">
        <f t="shared" si="87"/>
        <v>0.69747960372960371</v>
      </c>
      <c r="BP510" s="64">
        <f t="shared" si="88"/>
        <v>0.70192307692307698</v>
      </c>
    </row>
    <row r="511" spans="1:68" ht="27" hidden="1" customHeight="1" x14ac:dyDescent="0.25">
      <c r="A511" s="54" t="s">
        <v>810</v>
      </c>
      <c r="B511" s="54" t="s">
        <v>811</v>
      </c>
      <c r="C511" s="31">
        <v>4301012125</v>
      </c>
      <c r="D511" s="647">
        <v>4680115886391</v>
      </c>
      <c r="E511" s="648"/>
      <c r="F511" s="642">
        <v>0.4</v>
      </c>
      <c r="G511" s="32">
        <v>6</v>
      </c>
      <c r="H511" s="642">
        <v>2.4</v>
      </c>
      <c r="I511" s="642">
        <v>2.58</v>
      </c>
      <c r="J511" s="32">
        <v>182</v>
      </c>
      <c r="K511" s="32" t="s">
        <v>77</v>
      </c>
      <c r="L511" s="32"/>
      <c r="M511" s="33" t="s">
        <v>78</v>
      </c>
      <c r="N511" s="33"/>
      <c r="O511" s="32">
        <v>60</v>
      </c>
      <c r="P511" s="84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3"/>
      <c r="R511" s="653"/>
      <c r="S511" s="653"/>
      <c r="T511" s="654"/>
      <c r="U511" s="34"/>
      <c r="V511" s="34"/>
      <c r="W511" s="35" t="s">
        <v>67</v>
      </c>
      <c r="X511" s="643">
        <v>0</v>
      </c>
      <c r="Y511" s="644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4301012048</v>
      </c>
      <c r="D512" s="647">
        <v>4680115880603</v>
      </c>
      <c r="E512" s="648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78</v>
      </c>
      <c r="N512" s="33"/>
      <c r="O512" s="32">
        <v>60</v>
      </c>
      <c r="P512" s="88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3"/>
      <c r="R512" s="653"/>
      <c r="S512" s="653"/>
      <c r="T512" s="654"/>
      <c r="U512" s="34"/>
      <c r="V512" s="34"/>
      <c r="W512" s="35" t="s">
        <v>67</v>
      </c>
      <c r="X512" s="643">
        <v>0</v>
      </c>
      <c r="Y512" s="644">
        <f t="shared" si="83"/>
        <v>0</v>
      </c>
      <c r="Z512" s="36" t="str">
        <f>IFERROR(IF(Y512=0,"",ROUNDUP(Y512/H512,0)*0.00902),"")</f>
        <v/>
      </c>
      <c r="AA512" s="56"/>
      <c r="AB512" s="57"/>
      <c r="AC512" s="599" t="s">
        <v>116</v>
      </c>
      <c r="AG512" s="64"/>
      <c r="AJ512" s="68"/>
      <c r="AK512" s="68">
        <v>0</v>
      </c>
      <c r="BB512" s="600" t="s">
        <v>1</v>
      </c>
      <c r="BM512" s="64">
        <f t="shared" si="85"/>
        <v>0</v>
      </c>
      <c r="BN512" s="64">
        <f t="shared" si="86"/>
        <v>0</v>
      </c>
      <c r="BO512" s="64">
        <f t="shared" si="87"/>
        <v>0</v>
      </c>
      <c r="BP512" s="64">
        <f t="shared" si="88"/>
        <v>0</v>
      </c>
    </row>
    <row r="513" spans="1:68" ht="27" hidden="1" customHeight="1" x14ac:dyDescent="0.25">
      <c r="A513" s="54" t="s">
        <v>814</v>
      </c>
      <c r="B513" s="54" t="s">
        <v>815</v>
      </c>
      <c r="C513" s="31">
        <v>4301012034</v>
      </c>
      <c r="D513" s="647">
        <v>4607091389982</v>
      </c>
      <c r="E513" s="648"/>
      <c r="F513" s="642">
        <v>0.6</v>
      </c>
      <c r="G513" s="32">
        <v>8</v>
      </c>
      <c r="H513" s="642">
        <v>4.8</v>
      </c>
      <c r="I513" s="64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60</v>
      </c>
      <c r="P513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3"/>
      <c r="R513" s="653"/>
      <c r="S513" s="653"/>
      <c r="T513" s="654"/>
      <c r="U513" s="34"/>
      <c r="V513" s="34"/>
      <c r="W513" s="35" t="s">
        <v>67</v>
      </c>
      <c r="X513" s="643">
        <v>0</v>
      </c>
      <c r="Y513" s="644">
        <f t="shared" si="83"/>
        <v>0</v>
      </c>
      <c r="Z513" s="36" t="str">
        <f>IFERROR(IF(Y513=0,"",ROUNDUP(Y513/H513,0)*0.00902),"")</f>
        <v/>
      </c>
      <c r="AA513" s="56"/>
      <c r="AB513" s="57"/>
      <c r="AC513" s="601" t="s">
        <v>809</v>
      </c>
      <c r="AG513" s="64"/>
      <c r="AJ513" s="68"/>
      <c r="AK513" s="68">
        <v>0</v>
      </c>
      <c r="BB513" s="602" t="s">
        <v>1</v>
      </c>
      <c r="BM513" s="64">
        <f t="shared" si="85"/>
        <v>0</v>
      </c>
      <c r="BN513" s="64">
        <f t="shared" si="86"/>
        <v>0</v>
      </c>
      <c r="BO513" s="64">
        <f t="shared" si="87"/>
        <v>0</v>
      </c>
      <c r="BP513" s="64">
        <f t="shared" si="88"/>
        <v>0</v>
      </c>
    </row>
    <row r="514" spans="1:68" x14ac:dyDescent="0.2">
      <c r="A514" s="657"/>
      <c r="B514" s="658"/>
      <c r="C514" s="658"/>
      <c r="D514" s="658"/>
      <c r="E514" s="658"/>
      <c r="F514" s="658"/>
      <c r="G514" s="658"/>
      <c r="H514" s="658"/>
      <c r="I514" s="658"/>
      <c r="J514" s="658"/>
      <c r="K514" s="658"/>
      <c r="L514" s="658"/>
      <c r="M514" s="658"/>
      <c r="N514" s="658"/>
      <c r="O514" s="659"/>
      <c r="P514" s="649" t="s">
        <v>72</v>
      </c>
      <c r="Q514" s="650"/>
      <c r="R514" s="650"/>
      <c r="S514" s="650"/>
      <c r="T514" s="650"/>
      <c r="U514" s="650"/>
      <c r="V514" s="651"/>
      <c r="W514" s="37" t="s">
        <v>73</v>
      </c>
      <c r="X514" s="645">
        <f>IFERROR(X505/H505,"0")+IFERROR(X506/H506,"0")+IFERROR(X507/H507,"0")+IFERROR(X508/H508,"0")+IFERROR(X509/H509,"0")+IFERROR(X510/H510,"0")+IFERROR(X511/H511,"0")+IFERROR(X512/H512,"0")+IFERROR(X513/H513,"0")</f>
        <v>124.0530303030303</v>
      </c>
      <c r="Y514" s="645">
        <f>IFERROR(Y505/H505,"0")+IFERROR(Y506/H506,"0")+IFERROR(Y507/H507,"0")+IFERROR(Y508/H508,"0")+IFERROR(Y509/H509,"0")+IFERROR(Y510/H510,"0")+IFERROR(Y511/H511,"0")+IFERROR(Y512/H512,"0")+IFERROR(Y513/H513,"0")</f>
        <v>126</v>
      </c>
      <c r="Z514" s="64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1.5069599999999999</v>
      </c>
      <c r="AA514" s="646"/>
      <c r="AB514" s="646"/>
      <c r="AC514" s="646"/>
    </row>
    <row r="515" spans="1:68" x14ac:dyDescent="0.2">
      <c r="A515" s="658"/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9"/>
      <c r="P515" s="649" t="s">
        <v>72</v>
      </c>
      <c r="Q515" s="650"/>
      <c r="R515" s="650"/>
      <c r="S515" s="650"/>
      <c r="T515" s="650"/>
      <c r="U515" s="650"/>
      <c r="V515" s="651"/>
      <c r="W515" s="37" t="s">
        <v>67</v>
      </c>
      <c r="X515" s="645">
        <f>IFERROR(SUM(X505:X513),"0")</f>
        <v>655</v>
      </c>
      <c r="Y515" s="645">
        <f>IFERROR(SUM(Y505:Y513),"0")</f>
        <v>665.28</v>
      </c>
      <c r="Z515" s="37"/>
      <c r="AA515" s="646"/>
      <c r="AB515" s="646"/>
      <c r="AC515" s="646"/>
    </row>
    <row r="516" spans="1:68" ht="14.25" hidden="1" customHeight="1" x14ac:dyDescent="0.25">
      <c r="A516" s="667" t="s">
        <v>148</v>
      </c>
      <c r="B516" s="658"/>
      <c r="C516" s="658"/>
      <c r="D516" s="658"/>
      <c r="E516" s="658"/>
      <c r="F516" s="658"/>
      <c r="G516" s="658"/>
      <c r="H516" s="658"/>
      <c r="I516" s="658"/>
      <c r="J516" s="658"/>
      <c r="K516" s="658"/>
      <c r="L516" s="658"/>
      <c r="M516" s="658"/>
      <c r="N516" s="658"/>
      <c r="O516" s="658"/>
      <c r="P516" s="658"/>
      <c r="Q516" s="658"/>
      <c r="R516" s="658"/>
      <c r="S516" s="658"/>
      <c r="T516" s="658"/>
      <c r="U516" s="658"/>
      <c r="V516" s="658"/>
      <c r="W516" s="658"/>
      <c r="X516" s="658"/>
      <c r="Y516" s="658"/>
      <c r="Z516" s="658"/>
      <c r="AA516" s="639"/>
      <c r="AB516" s="639"/>
      <c r="AC516" s="639"/>
    </row>
    <row r="517" spans="1:68" ht="16.5" hidden="1" customHeight="1" x14ac:dyDescent="0.25">
      <c r="A517" s="54" t="s">
        <v>816</v>
      </c>
      <c r="B517" s="54" t="s">
        <v>817</v>
      </c>
      <c r="C517" s="31">
        <v>4301020334</v>
      </c>
      <c r="D517" s="647">
        <v>4607091388930</v>
      </c>
      <c r="E517" s="648"/>
      <c r="F517" s="642">
        <v>0.88</v>
      </c>
      <c r="G517" s="32">
        <v>6</v>
      </c>
      <c r="H517" s="642">
        <v>5.28</v>
      </c>
      <c r="I517" s="642">
        <v>5.63</v>
      </c>
      <c r="J517" s="32">
        <v>104</v>
      </c>
      <c r="K517" s="32" t="s">
        <v>114</v>
      </c>
      <c r="L517" s="32"/>
      <c r="M517" s="33" t="s">
        <v>78</v>
      </c>
      <c r="N517" s="33"/>
      <c r="O517" s="32">
        <v>70</v>
      </c>
      <c r="P517" s="8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3"/>
      <c r="R517" s="653"/>
      <c r="S517" s="653"/>
      <c r="T517" s="654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603" t="s">
        <v>818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819</v>
      </c>
      <c r="B518" s="54" t="s">
        <v>820</v>
      </c>
      <c r="C518" s="31">
        <v>4301020374</v>
      </c>
      <c r="D518" s="647">
        <v>4680115886407</v>
      </c>
      <c r="E518" s="648"/>
      <c r="F518" s="642">
        <v>0.4</v>
      </c>
      <c r="G518" s="32">
        <v>6</v>
      </c>
      <c r="H518" s="642">
        <v>2.4</v>
      </c>
      <c r="I518" s="642">
        <v>2.58</v>
      </c>
      <c r="J518" s="32">
        <v>182</v>
      </c>
      <c r="K518" s="32" t="s">
        <v>77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3"/>
      <c r="R518" s="653"/>
      <c r="S518" s="653"/>
      <c r="T518" s="654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818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customHeight="1" x14ac:dyDescent="0.25">
      <c r="A519" s="54" t="s">
        <v>821</v>
      </c>
      <c r="B519" s="54" t="s">
        <v>822</v>
      </c>
      <c r="C519" s="31">
        <v>4301020385</v>
      </c>
      <c r="D519" s="647">
        <v>4680115880054</v>
      </c>
      <c r="E519" s="648"/>
      <c r="F519" s="642">
        <v>0.6</v>
      </c>
      <c r="G519" s="32">
        <v>8</v>
      </c>
      <c r="H519" s="642">
        <v>4.8</v>
      </c>
      <c r="I519" s="642">
        <v>6.91</v>
      </c>
      <c r="J519" s="32">
        <v>132</v>
      </c>
      <c r="K519" s="32" t="s">
        <v>123</v>
      </c>
      <c r="L519" s="32"/>
      <c r="M519" s="33" t="s">
        <v>115</v>
      </c>
      <c r="N519" s="33"/>
      <c r="O519" s="32">
        <v>70</v>
      </c>
      <c r="P519" s="81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3"/>
      <c r="R519" s="653"/>
      <c r="S519" s="653"/>
      <c r="T519" s="654"/>
      <c r="U519" s="34"/>
      <c r="V519" s="34"/>
      <c r="W519" s="35" t="s">
        <v>67</v>
      </c>
      <c r="X519" s="643">
        <v>30</v>
      </c>
      <c r="Y519" s="644">
        <f>IFERROR(IF(X519="",0,CEILING((X519/$H519),1)*$H519),"")</f>
        <v>33.6</v>
      </c>
      <c r="Z519" s="36">
        <f>IFERROR(IF(Y519=0,"",ROUNDUP(Y519/H519,0)*0.00902),"")</f>
        <v>6.3140000000000002E-2</v>
      </c>
      <c r="AA519" s="56"/>
      <c r="AB519" s="57"/>
      <c r="AC519" s="607" t="s">
        <v>818</v>
      </c>
      <c r="AG519" s="64"/>
      <c r="AJ519" s="68"/>
      <c r="AK519" s="68">
        <v>0</v>
      </c>
      <c r="BB519" s="608" t="s">
        <v>1</v>
      </c>
      <c r="BM519" s="64">
        <f>IFERROR(X519*I519/H519,"0")</f>
        <v>43.187500000000007</v>
      </c>
      <c r="BN519" s="64">
        <f>IFERROR(Y519*I519/H519,"0")</f>
        <v>48.370000000000005</v>
      </c>
      <c r="BO519" s="64">
        <f>IFERROR(1/J519*(X519/H519),"0")</f>
        <v>4.7348484848484848E-2</v>
      </c>
      <c r="BP519" s="64">
        <f>IFERROR(1/J519*(Y519/H519),"0")</f>
        <v>5.3030303030303039E-2</v>
      </c>
    </row>
    <row r="520" spans="1:68" x14ac:dyDescent="0.2">
      <c r="A520" s="657"/>
      <c r="B520" s="658"/>
      <c r="C520" s="658"/>
      <c r="D520" s="658"/>
      <c r="E520" s="658"/>
      <c r="F520" s="658"/>
      <c r="G520" s="658"/>
      <c r="H520" s="658"/>
      <c r="I520" s="658"/>
      <c r="J520" s="658"/>
      <c r="K520" s="658"/>
      <c r="L520" s="658"/>
      <c r="M520" s="658"/>
      <c r="N520" s="658"/>
      <c r="O520" s="659"/>
      <c r="P520" s="649" t="s">
        <v>72</v>
      </c>
      <c r="Q520" s="650"/>
      <c r="R520" s="650"/>
      <c r="S520" s="650"/>
      <c r="T520" s="650"/>
      <c r="U520" s="650"/>
      <c r="V520" s="651"/>
      <c r="W520" s="37" t="s">
        <v>73</v>
      </c>
      <c r="X520" s="645">
        <f>IFERROR(X517/H517,"0")+IFERROR(X518/H518,"0")+IFERROR(X519/H519,"0")</f>
        <v>6.25</v>
      </c>
      <c r="Y520" s="645">
        <f>IFERROR(Y517/H517,"0")+IFERROR(Y518/H518,"0")+IFERROR(Y519/H519,"0")</f>
        <v>7.0000000000000009</v>
      </c>
      <c r="Z520" s="645">
        <f>IFERROR(IF(Z517="",0,Z517),"0")+IFERROR(IF(Z518="",0,Z518),"0")+IFERROR(IF(Z519="",0,Z519),"0")</f>
        <v>6.3140000000000002E-2</v>
      </c>
      <c r="AA520" s="646"/>
      <c r="AB520" s="646"/>
      <c r="AC520" s="646"/>
    </row>
    <row r="521" spans="1:68" x14ac:dyDescent="0.2">
      <c r="A521" s="658"/>
      <c r="B521" s="658"/>
      <c r="C521" s="658"/>
      <c r="D521" s="658"/>
      <c r="E521" s="658"/>
      <c r="F521" s="658"/>
      <c r="G521" s="658"/>
      <c r="H521" s="658"/>
      <c r="I521" s="658"/>
      <c r="J521" s="658"/>
      <c r="K521" s="658"/>
      <c r="L521" s="658"/>
      <c r="M521" s="658"/>
      <c r="N521" s="658"/>
      <c r="O521" s="659"/>
      <c r="P521" s="649" t="s">
        <v>72</v>
      </c>
      <c r="Q521" s="650"/>
      <c r="R521" s="650"/>
      <c r="S521" s="650"/>
      <c r="T521" s="650"/>
      <c r="U521" s="650"/>
      <c r="V521" s="651"/>
      <c r="W521" s="37" t="s">
        <v>67</v>
      </c>
      <c r="X521" s="645">
        <f>IFERROR(SUM(X517:X519),"0")</f>
        <v>30</v>
      </c>
      <c r="Y521" s="645">
        <f>IFERROR(SUM(Y517:Y519),"0")</f>
        <v>33.6</v>
      </c>
      <c r="Z521" s="37"/>
      <c r="AA521" s="646"/>
      <c r="AB521" s="646"/>
      <c r="AC521" s="646"/>
    </row>
    <row r="522" spans="1:68" ht="14.25" hidden="1" customHeight="1" x14ac:dyDescent="0.25">
      <c r="A522" s="667" t="s">
        <v>62</v>
      </c>
      <c r="B522" s="658"/>
      <c r="C522" s="658"/>
      <c r="D522" s="658"/>
      <c r="E522" s="658"/>
      <c r="F522" s="658"/>
      <c r="G522" s="658"/>
      <c r="H522" s="658"/>
      <c r="I522" s="658"/>
      <c r="J522" s="658"/>
      <c r="K522" s="658"/>
      <c r="L522" s="658"/>
      <c r="M522" s="658"/>
      <c r="N522" s="658"/>
      <c r="O522" s="658"/>
      <c r="P522" s="658"/>
      <c r="Q522" s="658"/>
      <c r="R522" s="658"/>
      <c r="S522" s="658"/>
      <c r="T522" s="658"/>
      <c r="U522" s="658"/>
      <c r="V522" s="658"/>
      <c r="W522" s="658"/>
      <c r="X522" s="658"/>
      <c r="Y522" s="658"/>
      <c r="Z522" s="658"/>
      <c r="AA522" s="639"/>
      <c r="AB522" s="639"/>
      <c r="AC522" s="639"/>
    </row>
    <row r="523" spans="1:68" ht="27" customHeight="1" x14ac:dyDescent="0.25">
      <c r="A523" s="54" t="s">
        <v>823</v>
      </c>
      <c r="B523" s="54" t="s">
        <v>824</v>
      </c>
      <c r="C523" s="31">
        <v>4301031349</v>
      </c>
      <c r="D523" s="647">
        <v>4680115883116</v>
      </c>
      <c r="E523" s="648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115</v>
      </c>
      <c r="N523" s="33"/>
      <c r="O523" s="32">
        <v>70</v>
      </c>
      <c r="P523" s="76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3"/>
      <c r="R523" s="653"/>
      <c r="S523" s="653"/>
      <c r="T523" s="654"/>
      <c r="U523" s="34"/>
      <c r="V523" s="34"/>
      <c r="W523" s="35" t="s">
        <v>67</v>
      </c>
      <c r="X523" s="643">
        <v>50</v>
      </c>
      <c r="Y523" s="644">
        <f t="shared" ref="Y523:Y529" si="89">IFERROR(IF(X523="",0,CEILING((X523/$H523),1)*$H523),"")</f>
        <v>52.800000000000004</v>
      </c>
      <c r="Z523" s="36">
        <f>IFERROR(IF(Y523=0,"",ROUNDUP(Y523/H523,0)*0.01196),"")</f>
        <v>0.1196</v>
      </c>
      <c r="AA523" s="56"/>
      <c r="AB523" s="57"/>
      <c r="AC523" s="609" t="s">
        <v>825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53.314393939393938</v>
      </c>
      <c r="BN523" s="64">
        <f t="shared" ref="BN523:BN529" si="91">IFERROR(Y523*I523/H523,"0")</f>
        <v>56.3</v>
      </c>
      <c r="BO523" s="64">
        <f t="shared" ref="BO523:BO529" si="92">IFERROR(1/J523*(X523/H523),"0")</f>
        <v>9.1054778554778545E-2</v>
      </c>
      <c r="BP523" s="64">
        <f t="shared" ref="BP523:BP529" si="93">IFERROR(1/J523*(Y523/H523),"0")</f>
        <v>9.6153846153846159E-2</v>
      </c>
    </row>
    <row r="524" spans="1:68" ht="27" hidden="1" customHeight="1" x14ac:dyDescent="0.25">
      <c r="A524" s="54" t="s">
        <v>826</v>
      </c>
      <c r="B524" s="54" t="s">
        <v>827</v>
      </c>
      <c r="C524" s="31">
        <v>4301031350</v>
      </c>
      <c r="D524" s="647">
        <v>4680115883093</v>
      </c>
      <c r="E524" s="648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3"/>
      <c r="R524" s="653"/>
      <c r="S524" s="653"/>
      <c r="T524" s="654"/>
      <c r="U524" s="34"/>
      <c r="V524" s="34"/>
      <c r="W524" s="35" t="s">
        <v>67</v>
      </c>
      <c r="X524" s="643">
        <v>0</v>
      </c>
      <c r="Y524" s="644">
        <f t="shared" si="89"/>
        <v>0</v>
      </c>
      <c r="Z524" s="36" t="str">
        <f>IFERROR(IF(Y524=0,"",ROUNDUP(Y524/H524,0)*0.01196),"")</f>
        <v/>
      </c>
      <c r="AA524" s="56"/>
      <c r="AB524" s="57"/>
      <c r="AC524" s="611" t="s">
        <v>828</v>
      </c>
      <c r="AG524" s="64"/>
      <c r="AJ524" s="68"/>
      <c r="AK524" s="68">
        <v>0</v>
      </c>
      <c r="BB524" s="612" t="s">
        <v>1</v>
      </c>
      <c r="BM524" s="64">
        <f t="shared" si="90"/>
        <v>0</v>
      </c>
      <c r="BN524" s="64">
        <f t="shared" si="91"/>
        <v>0</v>
      </c>
      <c r="BO524" s="64">
        <f t="shared" si="92"/>
        <v>0</v>
      </c>
      <c r="BP524" s="64">
        <f t="shared" si="93"/>
        <v>0</v>
      </c>
    </row>
    <row r="525" spans="1:68" ht="27" hidden="1" customHeight="1" x14ac:dyDescent="0.25">
      <c r="A525" s="54" t="s">
        <v>829</v>
      </c>
      <c r="B525" s="54" t="s">
        <v>830</v>
      </c>
      <c r="C525" s="31">
        <v>4301031353</v>
      </c>
      <c r="D525" s="647">
        <v>4680115883109</v>
      </c>
      <c r="E525" s="648"/>
      <c r="F525" s="642">
        <v>0.88</v>
      </c>
      <c r="G525" s="32">
        <v>6</v>
      </c>
      <c r="H525" s="642">
        <v>5.28</v>
      </c>
      <c r="I525" s="642">
        <v>5.63</v>
      </c>
      <c r="J525" s="32">
        <v>104</v>
      </c>
      <c r="K525" s="32" t="s">
        <v>114</v>
      </c>
      <c r="L525" s="32"/>
      <c r="M525" s="33" t="s">
        <v>66</v>
      </c>
      <c r="N525" s="33"/>
      <c r="O525" s="32">
        <v>70</v>
      </c>
      <c r="P525" s="9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3"/>
      <c r="R525" s="653"/>
      <c r="S525" s="653"/>
      <c r="T525" s="654"/>
      <c r="U525" s="34"/>
      <c r="V525" s="34"/>
      <c r="W525" s="35" t="s">
        <v>67</v>
      </c>
      <c r="X525" s="643">
        <v>0</v>
      </c>
      <c r="Y525" s="644">
        <f t="shared" si="89"/>
        <v>0</v>
      </c>
      <c r="Z525" s="36" t="str">
        <f>IFERROR(IF(Y525=0,"",ROUNDUP(Y525/H525,0)*0.01196),"")</f>
        <v/>
      </c>
      <c r="AA525" s="56"/>
      <c r="AB525" s="57"/>
      <c r="AC525" s="613" t="s">
        <v>831</v>
      </c>
      <c r="AG525" s="64"/>
      <c r="AJ525" s="68"/>
      <c r="AK525" s="68">
        <v>0</v>
      </c>
      <c r="BB525" s="614" t="s">
        <v>1</v>
      </c>
      <c r="BM525" s="64">
        <f t="shared" si="90"/>
        <v>0</v>
      </c>
      <c r="BN525" s="64">
        <f t="shared" si="91"/>
        <v>0</v>
      </c>
      <c r="BO525" s="64">
        <f t="shared" si="92"/>
        <v>0</v>
      </c>
      <c r="BP525" s="64">
        <f t="shared" si="93"/>
        <v>0</v>
      </c>
    </row>
    <row r="526" spans="1:68" ht="27" hidden="1" customHeight="1" x14ac:dyDescent="0.25">
      <c r="A526" s="54" t="s">
        <v>832</v>
      </c>
      <c r="B526" s="54" t="s">
        <v>833</v>
      </c>
      <c r="C526" s="31">
        <v>4301031419</v>
      </c>
      <c r="D526" s="647">
        <v>4680115882072</v>
      </c>
      <c r="E526" s="648"/>
      <c r="F526" s="642">
        <v>0.6</v>
      </c>
      <c r="G526" s="32">
        <v>8</v>
      </c>
      <c r="H526" s="642">
        <v>4.8</v>
      </c>
      <c r="I526" s="642">
        <v>6.91</v>
      </c>
      <c r="J526" s="32">
        <v>132</v>
      </c>
      <c r="K526" s="32" t="s">
        <v>123</v>
      </c>
      <c r="L526" s="32"/>
      <c r="M526" s="33" t="s">
        <v>115</v>
      </c>
      <c r="N526" s="33"/>
      <c r="O526" s="32">
        <v>70</v>
      </c>
      <c r="P526" s="9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3"/>
      <c r="R526" s="653"/>
      <c r="S526" s="653"/>
      <c r="T526" s="654"/>
      <c r="U526" s="34"/>
      <c r="V526" s="34"/>
      <c r="W526" s="35" t="s">
        <v>67</v>
      </c>
      <c r="X526" s="643">
        <v>0</v>
      </c>
      <c r="Y526" s="644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825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4301031352</v>
      </c>
      <c r="D527" s="647">
        <v>4680115882102</v>
      </c>
      <c r="E527" s="648"/>
      <c r="F527" s="642">
        <v>0.6</v>
      </c>
      <c r="G527" s="32">
        <v>6</v>
      </c>
      <c r="H527" s="642">
        <v>3.6</v>
      </c>
      <c r="I527" s="642">
        <v>3.79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3"/>
      <c r="R527" s="653"/>
      <c r="S527" s="653"/>
      <c r="T527" s="654"/>
      <c r="U527" s="34"/>
      <c r="V527" s="34"/>
      <c r="W527" s="35" t="s">
        <v>67</v>
      </c>
      <c r="X527" s="643">
        <v>0</v>
      </c>
      <c r="Y527" s="644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828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834</v>
      </c>
      <c r="B528" s="54" t="s">
        <v>836</v>
      </c>
      <c r="C528" s="31">
        <v>4301031418</v>
      </c>
      <c r="D528" s="647">
        <v>4680115882102</v>
      </c>
      <c r="E528" s="648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3"/>
      <c r="R528" s="653"/>
      <c r="S528" s="653"/>
      <c r="T528" s="654"/>
      <c r="U528" s="34"/>
      <c r="V528" s="34"/>
      <c r="W528" s="35" t="s">
        <v>67</v>
      </c>
      <c r="X528" s="643">
        <v>0</v>
      </c>
      <c r="Y528" s="644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828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837</v>
      </c>
      <c r="B529" s="54" t="s">
        <v>838</v>
      </c>
      <c r="C529" s="31">
        <v>4301031417</v>
      </c>
      <c r="D529" s="647">
        <v>4680115882096</v>
      </c>
      <c r="E529" s="648"/>
      <c r="F529" s="642">
        <v>0.6</v>
      </c>
      <c r="G529" s="32">
        <v>8</v>
      </c>
      <c r="H529" s="642">
        <v>4.8</v>
      </c>
      <c r="I529" s="642">
        <v>6.67</v>
      </c>
      <c r="J529" s="32">
        <v>132</v>
      </c>
      <c r="K529" s="32" t="s">
        <v>123</v>
      </c>
      <c r="L529" s="32"/>
      <c r="M529" s="33" t="s">
        <v>66</v>
      </c>
      <c r="N529" s="33"/>
      <c r="O529" s="32">
        <v>70</v>
      </c>
      <c r="P529" s="7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3"/>
      <c r="R529" s="653"/>
      <c r="S529" s="653"/>
      <c r="T529" s="654"/>
      <c r="U529" s="34"/>
      <c r="V529" s="34"/>
      <c r="W529" s="35" t="s">
        <v>67</v>
      </c>
      <c r="X529" s="643">
        <v>0</v>
      </c>
      <c r="Y529" s="644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831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7"/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9"/>
      <c r="P530" s="649" t="s">
        <v>72</v>
      </c>
      <c r="Q530" s="650"/>
      <c r="R530" s="650"/>
      <c r="S530" s="650"/>
      <c r="T530" s="650"/>
      <c r="U530" s="650"/>
      <c r="V530" s="651"/>
      <c r="W530" s="37" t="s">
        <v>73</v>
      </c>
      <c r="X530" s="645">
        <f>IFERROR(X523/H523,"0")+IFERROR(X524/H524,"0")+IFERROR(X525/H525,"0")+IFERROR(X526/H526,"0")+IFERROR(X527/H527,"0")+IFERROR(X528/H528,"0")+IFERROR(X529/H529,"0")</f>
        <v>9.4696969696969688</v>
      </c>
      <c r="Y530" s="645">
        <f>IFERROR(Y523/H523,"0")+IFERROR(Y524/H524,"0")+IFERROR(Y525/H525,"0")+IFERROR(Y526/H526,"0")+IFERROR(Y527/H527,"0")+IFERROR(Y528/H528,"0")+IFERROR(Y529/H529,"0")</f>
        <v>10</v>
      </c>
      <c r="Z530" s="645">
        <f>IFERROR(IF(Z523="",0,Z523),"0")+IFERROR(IF(Z524="",0,Z524),"0")+IFERROR(IF(Z525="",0,Z525),"0")+IFERROR(IF(Z526="",0,Z526),"0")+IFERROR(IF(Z527="",0,Z527),"0")+IFERROR(IF(Z528="",0,Z528),"0")+IFERROR(IF(Z529="",0,Z529),"0")</f>
        <v>0.1196</v>
      </c>
      <c r="AA530" s="646"/>
      <c r="AB530" s="646"/>
      <c r="AC530" s="646"/>
    </row>
    <row r="531" spans="1:68" x14ac:dyDescent="0.2">
      <c r="A531" s="658"/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9"/>
      <c r="P531" s="649" t="s">
        <v>72</v>
      </c>
      <c r="Q531" s="650"/>
      <c r="R531" s="650"/>
      <c r="S531" s="650"/>
      <c r="T531" s="650"/>
      <c r="U531" s="650"/>
      <c r="V531" s="651"/>
      <c r="W531" s="37" t="s">
        <v>67</v>
      </c>
      <c r="X531" s="645">
        <f>IFERROR(SUM(X523:X529),"0")</f>
        <v>50</v>
      </c>
      <c r="Y531" s="645">
        <f>IFERROR(SUM(Y523:Y529),"0")</f>
        <v>52.800000000000004</v>
      </c>
      <c r="Z531" s="37"/>
      <c r="AA531" s="646"/>
      <c r="AB531" s="646"/>
      <c r="AC531" s="646"/>
    </row>
    <row r="532" spans="1:68" ht="27.75" hidden="1" customHeight="1" x14ac:dyDescent="0.2">
      <c r="A532" s="661" t="s">
        <v>839</v>
      </c>
      <c r="B532" s="662"/>
      <c r="C532" s="662"/>
      <c r="D532" s="662"/>
      <c r="E532" s="662"/>
      <c r="F532" s="662"/>
      <c r="G532" s="662"/>
      <c r="H532" s="662"/>
      <c r="I532" s="662"/>
      <c r="J532" s="662"/>
      <c r="K532" s="662"/>
      <c r="L532" s="662"/>
      <c r="M532" s="662"/>
      <c r="N532" s="662"/>
      <c r="O532" s="662"/>
      <c r="P532" s="662"/>
      <c r="Q532" s="662"/>
      <c r="R532" s="662"/>
      <c r="S532" s="662"/>
      <c r="T532" s="662"/>
      <c r="U532" s="662"/>
      <c r="V532" s="662"/>
      <c r="W532" s="662"/>
      <c r="X532" s="662"/>
      <c r="Y532" s="662"/>
      <c r="Z532" s="662"/>
      <c r="AA532" s="48"/>
      <c r="AB532" s="48"/>
      <c r="AC532" s="48"/>
    </row>
    <row r="533" spans="1:68" ht="16.5" hidden="1" customHeight="1" x14ac:dyDescent="0.25">
      <c r="A533" s="673" t="s">
        <v>839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38"/>
      <c r="AB533" s="638"/>
      <c r="AC533" s="638"/>
    </row>
    <row r="534" spans="1:68" ht="14.25" hidden="1" customHeight="1" x14ac:dyDescent="0.25">
      <c r="A534" s="667" t="s">
        <v>111</v>
      </c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58"/>
      <c r="P534" s="658"/>
      <c r="Q534" s="658"/>
      <c r="R534" s="658"/>
      <c r="S534" s="658"/>
      <c r="T534" s="658"/>
      <c r="U534" s="658"/>
      <c r="V534" s="658"/>
      <c r="W534" s="658"/>
      <c r="X534" s="658"/>
      <c r="Y534" s="658"/>
      <c r="Z534" s="658"/>
      <c r="AA534" s="639"/>
      <c r="AB534" s="639"/>
      <c r="AC534" s="639"/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47">
        <v>4640242180564</v>
      </c>
      <c r="E535" s="648"/>
      <c r="F535" s="642">
        <v>1.5</v>
      </c>
      <c r="G535" s="32">
        <v>8</v>
      </c>
      <c r="H535" s="642">
        <v>12</v>
      </c>
      <c r="I535" s="642">
        <v>12.41</v>
      </c>
      <c r="J535" s="32">
        <v>64</v>
      </c>
      <c r="K535" s="32" t="s">
        <v>114</v>
      </c>
      <c r="L535" s="32"/>
      <c r="M535" s="33" t="s">
        <v>115</v>
      </c>
      <c r="N535" s="33"/>
      <c r="O535" s="32">
        <v>50</v>
      </c>
      <c r="P535" s="8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3"/>
      <c r="R535" s="653"/>
      <c r="S535" s="653"/>
      <c r="T535" s="654"/>
      <c r="U535" s="34"/>
      <c r="V535" s="34"/>
      <c r="W535" s="35" t="s">
        <v>67</v>
      </c>
      <c r="X535" s="643">
        <v>0</v>
      </c>
      <c r="Y535" s="644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842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7"/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9"/>
      <c r="P536" s="649" t="s">
        <v>72</v>
      </c>
      <c r="Q536" s="650"/>
      <c r="R536" s="650"/>
      <c r="S536" s="650"/>
      <c r="T536" s="650"/>
      <c r="U536" s="650"/>
      <c r="V536" s="651"/>
      <c r="W536" s="37" t="s">
        <v>73</v>
      </c>
      <c r="X536" s="645">
        <f>IFERROR(X535/H535,"0")</f>
        <v>0</v>
      </c>
      <c r="Y536" s="645">
        <f>IFERROR(Y535/H535,"0")</f>
        <v>0</v>
      </c>
      <c r="Z536" s="645">
        <f>IFERROR(IF(Z535="",0,Z535),"0")</f>
        <v>0</v>
      </c>
      <c r="AA536" s="646"/>
      <c r="AB536" s="646"/>
      <c r="AC536" s="646"/>
    </row>
    <row r="537" spans="1:68" hidden="1" x14ac:dyDescent="0.2">
      <c r="A537" s="658"/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9"/>
      <c r="P537" s="649" t="s">
        <v>72</v>
      </c>
      <c r="Q537" s="650"/>
      <c r="R537" s="650"/>
      <c r="S537" s="650"/>
      <c r="T537" s="650"/>
      <c r="U537" s="650"/>
      <c r="V537" s="651"/>
      <c r="W537" s="37" t="s">
        <v>67</v>
      </c>
      <c r="X537" s="645">
        <f>IFERROR(SUM(X535:X535),"0")</f>
        <v>0</v>
      </c>
      <c r="Y537" s="645">
        <f>IFERROR(SUM(Y535:Y535),"0")</f>
        <v>0</v>
      </c>
      <c r="Z537" s="37"/>
      <c r="AA537" s="646"/>
      <c r="AB537" s="646"/>
      <c r="AC537" s="646"/>
    </row>
    <row r="538" spans="1:68" ht="14.25" hidden="1" customHeight="1" x14ac:dyDescent="0.25">
      <c r="A538" s="667" t="s">
        <v>62</v>
      </c>
      <c r="B538" s="658"/>
      <c r="C538" s="658"/>
      <c r="D538" s="658"/>
      <c r="E538" s="658"/>
      <c r="F538" s="658"/>
      <c r="G538" s="658"/>
      <c r="H538" s="658"/>
      <c r="I538" s="658"/>
      <c r="J538" s="658"/>
      <c r="K538" s="658"/>
      <c r="L538" s="658"/>
      <c r="M538" s="658"/>
      <c r="N538" s="658"/>
      <c r="O538" s="658"/>
      <c r="P538" s="658"/>
      <c r="Q538" s="658"/>
      <c r="R538" s="658"/>
      <c r="S538" s="658"/>
      <c r="T538" s="658"/>
      <c r="U538" s="658"/>
      <c r="V538" s="658"/>
      <c r="W538" s="658"/>
      <c r="X538" s="658"/>
      <c r="Y538" s="658"/>
      <c r="Z538" s="658"/>
      <c r="AA538" s="639"/>
      <c r="AB538" s="639"/>
      <c r="AC538" s="639"/>
    </row>
    <row r="539" spans="1:68" ht="27" hidden="1" customHeight="1" x14ac:dyDescent="0.25">
      <c r="A539" s="54" t="s">
        <v>843</v>
      </c>
      <c r="B539" s="54" t="s">
        <v>844</v>
      </c>
      <c r="C539" s="31">
        <v>4301031500</v>
      </c>
      <c r="D539" s="647">
        <v>4640242180595</v>
      </c>
      <c r="E539" s="648"/>
      <c r="F539" s="642">
        <v>0.7</v>
      </c>
      <c r="G539" s="32">
        <v>6</v>
      </c>
      <c r="H539" s="642">
        <v>4.2</v>
      </c>
      <c r="I539" s="642">
        <v>4.45</v>
      </c>
      <c r="J539" s="32">
        <v>132</v>
      </c>
      <c r="K539" s="32" t="s">
        <v>123</v>
      </c>
      <c r="L539" s="32"/>
      <c r="M539" s="33" t="s">
        <v>66</v>
      </c>
      <c r="N539" s="33"/>
      <c r="O539" s="32">
        <v>40</v>
      </c>
      <c r="P539" s="72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53"/>
      <c r="R539" s="653"/>
      <c r="S539" s="653"/>
      <c r="T539" s="654"/>
      <c r="U539" s="34"/>
      <c r="V539" s="34"/>
      <c r="W539" s="35" t="s">
        <v>67</v>
      </c>
      <c r="X539" s="643">
        <v>0</v>
      </c>
      <c r="Y539" s="644">
        <f>IFERROR(IF(X539="",0,CEILING((X539/$H539),1)*$H539),"")</f>
        <v>0</v>
      </c>
      <c r="Z539" s="36" t="str">
        <f>IFERROR(IF(Y539=0,"",ROUNDUP(Y539/H539,0)*0.00902),"")</f>
        <v/>
      </c>
      <c r="AA539" s="56"/>
      <c r="AB539" s="57"/>
      <c r="AC539" s="625" t="s">
        <v>845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7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59"/>
      <c r="P540" s="649" t="s">
        <v>72</v>
      </c>
      <c r="Q540" s="650"/>
      <c r="R540" s="650"/>
      <c r="S540" s="650"/>
      <c r="T540" s="650"/>
      <c r="U540" s="650"/>
      <c r="V540" s="651"/>
      <c r="W540" s="37" t="s">
        <v>73</v>
      </c>
      <c r="X540" s="645">
        <f>IFERROR(X539/H539,"0")</f>
        <v>0</v>
      </c>
      <c r="Y540" s="645">
        <f>IFERROR(Y539/H539,"0")</f>
        <v>0</v>
      </c>
      <c r="Z540" s="645">
        <f>IFERROR(IF(Z539="",0,Z539),"0")</f>
        <v>0</v>
      </c>
      <c r="AA540" s="646"/>
      <c r="AB540" s="646"/>
      <c r="AC540" s="646"/>
    </row>
    <row r="541" spans="1:68" hidden="1" x14ac:dyDescent="0.2">
      <c r="A541" s="658"/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9"/>
      <c r="P541" s="649" t="s">
        <v>72</v>
      </c>
      <c r="Q541" s="650"/>
      <c r="R541" s="650"/>
      <c r="S541" s="650"/>
      <c r="T541" s="650"/>
      <c r="U541" s="650"/>
      <c r="V541" s="651"/>
      <c r="W541" s="37" t="s">
        <v>67</v>
      </c>
      <c r="X541" s="645">
        <f>IFERROR(SUM(X539:X539),"0")</f>
        <v>0</v>
      </c>
      <c r="Y541" s="645">
        <f>IFERROR(SUM(Y539:Y539),"0")</f>
        <v>0</v>
      </c>
      <c r="Z541" s="37"/>
      <c r="AA541" s="646"/>
      <c r="AB541" s="646"/>
      <c r="AC541" s="646"/>
    </row>
    <row r="542" spans="1:68" ht="14.25" hidden="1" customHeight="1" x14ac:dyDescent="0.25">
      <c r="A542" s="667" t="s">
        <v>74</v>
      </c>
      <c r="B542" s="658"/>
      <c r="C542" s="658"/>
      <c r="D542" s="658"/>
      <c r="E542" s="658"/>
      <c r="F542" s="658"/>
      <c r="G542" s="658"/>
      <c r="H542" s="658"/>
      <c r="I542" s="658"/>
      <c r="J542" s="658"/>
      <c r="K542" s="658"/>
      <c r="L542" s="658"/>
      <c r="M542" s="658"/>
      <c r="N542" s="658"/>
      <c r="O542" s="658"/>
      <c r="P542" s="658"/>
      <c r="Q542" s="658"/>
      <c r="R542" s="658"/>
      <c r="S542" s="658"/>
      <c r="T542" s="658"/>
      <c r="U542" s="658"/>
      <c r="V542" s="658"/>
      <c r="W542" s="658"/>
      <c r="X542" s="658"/>
      <c r="Y542" s="658"/>
      <c r="Z542" s="658"/>
      <c r="AA542" s="639"/>
      <c r="AB542" s="639"/>
      <c r="AC542" s="639"/>
    </row>
    <row r="543" spans="1:68" ht="27" hidden="1" customHeight="1" x14ac:dyDescent="0.25">
      <c r="A543" s="54" t="s">
        <v>846</v>
      </c>
      <c r="B543" s="54" t="s">
        <v>847</v>
      </c>
      <c r="C543" s="31">
        <v>4301052043</v>
      </c>
      <c r="D543" s="647">
        <v>4640242180533</v>
      </c>
      <c r="E543" s="648"/>
      <c r="F543" s="642">
        <v>1.5</v>
      </c>
      <c r="G543" s="32">
        <v>6</v>
      </c>
      <c r="H543" s="642">
        <v>9</v>
      </c>
      <c r="I543" s="642">
        <v>9.4939999999999998</v>
      </c>
      <c r="J543" s="32">
        <v>64</v>
      </c>
      <c r="K543" s="32" t="s">
        <v>114</v>
      </c>
      <c r="L543" s="32"/>
      <c r="M543" s="33" t="s">
        <v>78</v>
      </c>
      <c r="N543" s="33"/>
      <c r="O543" s="32">
        <v>45</v>
      </c>
      <c r="P543" s="8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53"/>
      <c r="R543" s="653"/>
      <c r="S543" s="653"/>
      <c r="T543" s="654"/>
      <c r="U543" s="34"/>
      <c r="V543" s="34"/>
      <c r="W543" s="35" t="s">
        <v>67</v>
      </c>
      <c r="X543" s="643">
        <v>0</v>
      </c>
      <c r="Y543" s="64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7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59"/>
      <c r="P544" s="649" t="s">
        <v>72</v>
      </c>
      <c r="Q544" s="650"/>
      <c r="R544" s="650"/>
      <c r="S544" s="650"/>
      <c r="T544" s="650"/>
      <c r="U544" s="650"/>
      <c r="V544" s="651"/>
      <c r="W544" s="37" t="s">
        <v>73</v>
      </c>
      <c r="X544" s="645">
        <f>IFERROR(X543/H543,"0")</f>
        <v>0</v>
      </c>
      <c r="Y544" s="645">
        <f>IFERROR(Y543/H543,"0")</f>
        <v>0</v>
      </c>
      <c r="Z544" s="645">
        <f>IFERROR(IF(Z543="",0,Z543),"0")</f>
        <v>0</v>
      </c>
      <c r="AA544" s="646"/>
      <c r="AB544" s="646"/>
      <c r="AC544" s="646"/>
    </row>
    <row r="545" spans="1:68" hidden="1" x14ac:dyDescent="0.2">
      <c r="A545" s="658"/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9"/>
      <c r="P545" s="649" t="s">
        <v>72</v>
      </c>
      <c r="Q545" s="650"/>
      <c r="R545" s="650"/>
      <c r="S545" s="650"/>
      <c r="T545" s="650"/>
      <c r="U545" s="650"/>
      <c r="V545" s="651"/>
      <c r="W545" s="37" t="s">
        <v>67</v>
      </c>
      <c r="X545" s="645">
        <f>IFERROR(SUM(X543:X543),"0")</f>
        <v>0</v>
      </c>
      <c r="Y545" s="645">
        <f>IFERROR(SUM(Y543:Y543),"0")</f>
        <v>0</v>
      </c>
      <c r="Z545" s="37"/>
      <c r="AA545" s="646"/>
      <c r="AB545" s="646"/>
      <c r="AC545" s="646"/>
    </row>
    <row r="546" spans="1:68" ht="14.25" hidden="1" customHeight="1" x14ac:dyDescent="0.25">
      <c r="A546" s="667" t="s">
        <v>168</v>
      </c>
      <c r="B546" s="658"/>
      <c r="C546" s="658"/>
      <c r="D546" s="658"/>
      <c r="E546" s="658"/>
      <c r="F546" s="658"/>
      <c r="G546" s="658"/>
      <c r="H546" s="658"/>
      <c r="I546" s="658"/>
      <c r="J546" s="658"/>
      <c r="K546" s="658"/>
      <c r="L546" s="658"/>
      <c r="M546" s="658"/>
      <c r="N546" s="658"/>
      <c r="O546" s="658"/>
      <c r="P546" s="658"/>
      <c r="Q546" s="658"/>
      <c r="R546" s="658"/>
      <c r="S546" s="658"/>
      <c r="T546" s="658"/>
      <c r="U546" s="658"/>
      <c r="V546" s="658"/>
      <c r="W546" s="658"/>
      <c r="X546" s="658"/>
      <c r="Y546" s="658"/>
      <c r="Z546" s="658"/>
      <c r="AA546" s="639"/>
      <c r="AB546" s="639"/>
      <c r="AC546" s="639"/>
    </row>
    <row r="547" spans="1:68" ht="27" hidden="1" customHeight="1" x14ac:dyDescent="0.25">
      <c r="A547" s="54" t="s">
        <v>849</v>
      </c>
      <c r="B547" s="54" t="s">
        <v>850</v>
      </c>
      <c r="C547" s="31">
        <v>4301060535</v>
      </c>
      <c r="D547" s="647">
        <v>4640242180120</v>
      </c>
      <c r="E547" s="648"/>
      <c r="F547" s="642">
        <v>1.5</v>
      </c>
      <c r="G547" s="32">
        <v>6</v>
      </c>
      <c r="H547" s="642">
        <v>9</v>
      </c>
      <c r="I547" s="642">
        <v>9.41</v>
      </c>
      <c r="J547" s="32">
        <v>64</v>
      </c>
      <c r="K547" s="32" t="s">
        <v>114</v>
      </c>
      <c r="L547" s="32"/>
      <c r="M547" s="33" t="s">
        <v>78</v>
      </c>
      <c r="N547" s="33"/>
      <c r="O547" s="32">
        <v>40</v>
      </c>
      <c r="P547" s="9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53"/>
      <c r="R547" s="653"/>
      <c r="S547" s="653"/>
      <c r="T547" s="654"/>
      <c r="U547" s="34"/>
      <c r="V547" s="34"/>
      <c r="W547" s="35" t="s">
        <v>67</v>
      </c>
      <c r="X547" s="643">
        <v>0</v>
      </c>
      <c r="Y547" s="644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852</v>
      </c>
      <c r="B548" s="54" t="s">
        <v>853</v>
      </c>
      <c r="C548" s="31">
        <v>4301060536</v>
      </c>
      <c r="D548" s="647">
        <v>4640242180137</v>
      </c>
      <c r="E548" s="648"/>
      <c r="F548" s="642">
        <v>1.5</v>
      </c>
      <c r="G548" s="32">
        <v>6</v>
      </c>
      <c r="H548" s="642">
        <v>9</v>
      </c>
      <c r="I548" s="642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53"/>
      <c r="R548" s="653"/>
      <c r="S548" s="653"/>
      <c r="T548" s="654"/>
      <c r="U548" s="34"/>
      <c r="V548" s="34"/>
      <c r="W548" s="35" t="s">
        <v>67</v>
      </c>
      <c r="X548" s="643">
        <v>0</v>
      </c>
      <c r="Y548" s="644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854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7"/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9"/>
      <c r="P549" s="649" t="s">
        <v>72</v>
      </c>
      <c r="Q549" s="650"/>
      <c r="R549" s="650"/>
      <c r="S549" s="650"/>
      <c r="T549" s="650"/>
      <c r="U549" s="650"/>
      <c r="V549" s="651"/>
      <c r="W549" s="37" t="s">
        <v>73</v>
      </c>
      <c r="X549" s="645">
        <f>IFERROR(X547/H547,"0")+IFERROR(X548/H548,"0")</f>
        <v>0</v>
      </c>
      <c r="Y549" s="645">
        <f>IFERROR(Y547/H547,"0")+IFERROR(Y548/H548,"0")</f>
        <v>0</v>
      </c>
      <c r="Z549" s="645">
        <f>IFERROR(IF(Z547="",0,Z547),"0")+IFERROR(IF(Z548="",0,Z548),"0")</f>
        <v>0</v>
      </c>
      <c r="AA549" s="646"/>
      <c r="AB549" s="646"/>
      <c r="AC549" s="646"/>
    </row>
    <row r="550" spans="1:68" hidden="1" x14ac:dyDescent="0.2">
      <c r="A550" s="658"/>
      <c r="B550" s="658"/>
      <c r="C550" s="658"/>
      <c r="D550" s="658"/>
      <c r="E550" s="658"/>
      <c r="F550" s="658"/>
      <c r="G550" s="658"/>
      <c r="H550" s="658"/>
      <c r="I550" s="658"/>
      <c r="J550" s="658"/>
      <c r="K550" s="658"/>
      <c r="L550" s="658"/>
      <c r="M550" s="658"/>
      <c r="N550" s="658"/>
      <c r="O550" s="659"/>
      <c r="P550" s="649" t="s">
        <v>72</v>
      </c>
      <c r="Q550" s="650"/>
      <c r="R550" s="650"/>
      <c r="S550" s="650"/>
      <c r="T550" s="650"/>
      <c r="U550" s="650"/>
      <c r="V550" s="651"/>
      <c r="W550" s="37" t="s">
        <v>67</v>
      </c>
      <c r="X550" s="645">
        <f>IFERROR(SUM(X547:X548),"0")</f>
        <v>0</v>
      </c>
      <c r="Y550" s="645">
        <f>IFERROR(SUM(Y547:Y548),"0")</f>
        <v>0</v>
      </c>
      <c r="Z550" s="37"/>
      <c r="AA550" s="646"/>
      <c r="AB550" s="646"/>
      <c r="AC550" s="646"/>
    </row>
    <row r="551" spans="1:68" ht="16.5" hidden="1" customHeight="1" x14ac:dyDescent="0.25">
      <c r="A551" s="673" t="s">
        <v>855</v>
      </c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58"/>
      <c r="P551" s="658"/>
      <c r="Q551" s="658"/>
      <c r="R551" s="658"/>
      <c r="S551" s="658"/>
      <c r="T551" s="658"/>
      <c r="U551" s="658"/>
      <c r="V551" s="658"/>
      <c r="W551" s="658"/>
      <c r="X551" s="658"/>
      <c r="Y551" s="658"/>
      <c r="Z551" s="658"/>
      <c r="AA551" s="638"/>
      <c r="AB551" s="638"/>
      <c r="AC551" s="638"/>
    </row>
    <row r="552" spans="1:68" ht="14.25" hidden="1" customHeight="1" x14ac:dyDescent="0.25">
      <c r="A552" s="667" t="s">
        <v>148</v>
      </c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58"/>
      <c r="P552" s="658"/>
      <c r="Q552" s="658"/>
      <c r="R552" s="658"/>
      <c r="S552" s="658"/>
      <c r="T552" s="658"/>
      <c r="U552" s="658"/>
      <c r="V552" s="658"/>
      <c r="W552" s="658"/>
      <c r="X552" s="658"/>
      <c r="Y552" s="658"/>
      <c r="Z552" s="658"/>
      <c r="AA552" s="639"/>
      <c r="AB552" s="639"/>
      <c r="AC552" s="639"/>
    </row>
    <row r="553" spans="1:68" ht="27" hidden="1" customHeight="1" x14ac:dyDescent="0.25">
      <c r="A553" s="54" t="s">
        <v>856</v>
      </c>
      <c r="B553" s="54" t="s">
        <v>857</v>
      </c>
      <c r="C553" s="31">
        <v>4301020441</v>
      </c>
      <c r="D553" s="647">
        <v>4680115889798</v>
      </c>
      <c r="E553" s="648"/>
      <c r="F553" s="642">
        <v>1.5</v>
      </c>
      <c r="G553" s="32">
        <v>8</v>
      </c>
      <c r="H553" s="642">
        <v>12</v>
      </c>
      <c r="I553" s="642">
        <v>12.41</v>
      </c>
      <c r="J553" s="32">
        <v>64</v>
      </c>
      <c r="K553" s="32" t="s">
        <v>114</v>
      </c>
      <c r="L553" s="32"/>
      <c r="M553" s="33" t="s">
        <v>115</v>
      </c>
      <c r="N553" s="33"/>
      <c r="O553" s="32">
        <v>50</v>
      </c>
      <c r="P553" s="73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53"/>
      <c r="R553" s="653"/>
      <c r="S553" s="653"/>
      <c r="T553" s="654"/>
      <c r="U553" s="34"/>
      <c r="V553" s="34"/>
      <c r="W553" s="35" t="s">
        <v>67</v>
      </c>
      <c r="X553" s="643">
        <v>0</v>
      </c>
      <c r="Y553" s="644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3" t="s">
        <v>858</v>
      </c>
      <c r="AG553" s="64"/>
      <c r="AJ553" s="68"/>
      <c r="AK553" s="68">
        <v>0</v>
      </c>
      <c r="BB553" s="63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7"/>
      <c r="B554" s="658"/>
      <c r="C554" s="658"/>
      <c r="D554" s="658"/>
      <c r="E554" s="658"/>
      <c r="F554" s="658"/>
      <c r="G554" s="658"/>
      <c r="H554" s="658"/>
      <c r="I554" s="658"/>
      <c r="J554" s="658"/>
      <c r="K554" s="658"/>
      <c r="L554" s="658"/>
      <c r="M554" s="658"/>
      <c r="N554" s="658"/>
      <c r="O554" s="659"/>
      <c r="P554" s="649" t="s">
        <v>72</v>
      </c>
      <c r="Q554" s="650"/>
      <c r="R554" s="650"/>
      <c r="S554" s="650"/>
      <c r="T554" s="650"/>
      <c r="U554" s="650"/>
      <c r="V554" s="651"/>
      <c r="W554" s="37" t="s">
        <v>73</v>
      </c>
      <c r="X554" s="645">
        <f>IFERROR(X553/H553,"0")</f>
        <v>0</v>
      </c>
      <c r="Y554" s="645">
        <f>IFERROR(Y553/H553,"0")</f>
        <v>0</v>
      </c>
      <c r="Z554" s="645">
        <f>IFERROR(IF(Z553="",0,Z553),"0")</f>
        <v>0</v>
      </c>
      <c r="AA554" s="646"/>
      <c r="AB554" s="646"/>
      <c r="AC554" s="646"/>
    </row>
    <row r="555" spans="1:68" hidden="1" x14ac:dyDescent="0.2">
      <c r="A555" s="658"/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9"/>
      <c r="P555" s="649" t="s">
        <v>72</v>
      </c>
      <c r="Q555" s="650"/>
      <c r="R555" s="650"/>
      <c r="S555" s="650"/>
      <c r="T555" s="650"/>
      <c r="U555" s="650"/>
      <c r="V555" s="651"/>
      <c r="W555" s="37" t="s">
        <v>67</v>
      </c>
      <c r="X555" s="645">
        <f>IFERROR(SUM(X553:X553),"0")</f>
        <v>0</v>
      </c>
      <c r="Y555" s="645">
        <f>IFERROR(SUM(Y553:Y553),"0")</f>
        <v>0</v>
      </c>
      <c r="Z555" s="37"/>
      <c r="AA555" s="646"/>
      <c r="AB555" s="646"/>
      <c r="AC555" s="646"/>
    </row>
    <row r="556" spans="1:68" ht="15" customHeight="1" x14ac:dyDescent="0.2">
      <c r="A556" s="931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823"/>
      <c r="P556" s="668" t="s">
        <v>859</v>
      </c>
      <c r="Q556" s="669"/>
      <c r="R556" s="669"/>
      <c r="S556" s="669"/>
      <c r="T556" s="669"/>
      <c r="U556" s="669"/>
      <c r="V556" s="670"/>
      <c r="W556" s="37" t="s">
        <v>67</v>
      </c>
      <c r="X556" s="645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10568</v>
      </c>
      <c r="Y556" s="645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10736.63</v>
      </c>
      <c r="Z556" s="37"/>
      <c r="AA556" s="646"/>
      <c r="AB556" s="646"/>
      <c r="AC556" s="646"/>
    </row>
    <row r="557" spans="1:68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823"/>
      <c r="P557" s="668" t="s">
        <v>860</v>
      </c>
      <c r="Q557" s="669"/>
      <c r="R557" s="669"/>
      <c r="S557" s="669"/>
      <c r="T557" s="669"/>
      <c r="U557" s="669"/>
      <c r="V557" s="670"/>
      <c r="W557" s="37" t="s">
        <v>67</v>
      </c>
      <c r="X557" s="645">
        <f>IFERROR(SUM(BM22:BM553),"0")</f>
        <v>11217.492048335889</v>
      </c>
      <c r="Y557" s="645">
        <f>IFERROR(SUM(BN22:BN553),"0")</f>
        <v>11397.973999999998</v>
      </c>
      <c r="Z557" s="37"/>
      <c r="AA557" s="646"/>
      <c r="AB557" s="646"/>
      <c r="AC557" s="646"/>
    </row>
    <row r="558" spans="1:68" x14ac:dyDescent="0.2">
      <c r="A558" s="658"/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823"/>
      <c r="P558" s="668" t="s">
        <v>861</v>
      </c>
      <c r="Q558" s="669"/>
      <c r="R558" s="669"/>
      <c r="S558" s="669"/>
      <c r="T558" s="669"/>
      <c r="U558" s="669"/>
      <c r="V558" s="670"/>
      <c r="W558" s="37" t="s">
        <v>862</v>
      </c>
      <c r="X558" s="38">
        <f>ROUNDUP(SUM(BO22:BO553),0)</f>
        <v>20</v>
      </c>
      <c r="Y558" s="38">
        <f>ROUNDUP(SUM(BP22:BP553),0)</f>
        <v>20</v>
      </c>
      <c r="Z558" s="37"/>
      <c r="AA558" s="646"/>
      <c r="AB558" s="646"/>
      <c r="AC558" s="646"/>
    </row>
    <row r="559" spans="1:68" x14ac:dyDescent="0.2">
      <c r="A559" s="658"/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823"/>
      <c r="P559" s="668" t="s">
        <v>863</v>
      </c>
      <c r="Q559" s="669"/>
      <c r="R559" s="669"/>
      <c r="S559" s="669"/>
      <c r="T559" s="669"/>
      <c r="U559" s="669"/>
      <c r="V559" s="670"/>
      <c r="W559" s="37" t="s">
        <v>67</v>
      </c>
      <c r="X559" s="645">
        <f>GrossWeightTotal+PalletQtyTotal*25</f>
        <v>11717.492048335889</v>
      </c>
      <c r="Y559" s="645">
        <f>GrossWeightTotalR+PalletQtyTotalR*25</f>
        <v>11897.973999999998</v>
      </c>
      <c r="Z559" s="37"/>
      <c r="AA559" s="646"/>
      <c r="AB559" s="646"/>
      <c r="AC559" s="646"/>
    </row>
    <row r="560" spans="1:68" x14ac:dyDescent="0.2">
      <c r="A560" s="658"/>
      <c r="B560" s="658"/>
      <c r="C560" s="658"/>
      <c r="D560" s="658"/>
      <c r="E560" s="658"/>
      <c r="F560" s="658"/>
      <c r="G560" s="658"/>
      <c r="H560" s="658"/>
      <c r="I560" s="658"/>
      <c r="J560" s="658"/>
      <c r="K560" s="658"/>
      <c r="L560" s="658"/>
      <c r="M560" s="658"/>
      <c r="N560" s="658"/>
      <c r="O560" s="823"/>
      <c r="P560" s="668" t="s">
        <v>864</v>
      </c>
      <c r="Q560" s="669"/>
      <c r="R560" s="669"/>
      <c r="S560" s="669"/>
      <c r="T560" s="669"/>
      <c r="U560" s="669"/>
      <c r="V560" s="670"/>
      <c r="W560" s="37" t="s">
        <v>862</v>
      </c>
      <c r="X560" s="645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2127.2268023658321</v>
      </c>
      <c r="Y560" s="645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2160</v>
      </c>
      <c r="Z560" s="37"/>
      <c r="AA560" s="646"/>
      <c r="AB560" s="646"/>
      <c r="AC560" s="646"/>
    </row>
    <row r="561" spans="1:32" ht="14.25" hidden="1" customHeight="1" x14ac:dyDescent="0.2">
      <c r="A561" s="658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823"/>
      <c r="P561" s="668" t="s">
        <v>865</v>
      </c>
      <c r="Q561" s="669"/>
      <c r="R561" s="669"/>
      <c r="S561" s="669"/>
      <c r="T561" s="669"/>
      <c r="U561" s="669"/>
      <c r="V561" s="670"/>
      <c r="W561" s="39" t="s">
        <v>866</v>
      </c>
      <c r="X561" s="37"/>
      <c r="Y561" s="37"/>
      <c r="Z561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23.332619999999999</v>
      </c>
      <c r="AA561" s="646"/>
      <c r="AB561" s="646"/>
      <c r="AC561" s="646"/>
    </row>
    <row r="562" spans="1:32" ht="13.5" customHeight="1" thickBot="1" x14ac:dyDescent="0.25"/>
    <row r="563" spans="1:32" ht="27" customHeight="1" thickTop="1" thickBot="1" x14ac:dyDescent="0.25">
      <c r="A563" s="40" t="s">
        <v>867</v>
      </c>
      <c r="B563" s="640" t="s">
        <v>61</v>
      </c>
      <c r="C563" s="640" t="s">
        <v>92</v>
      </c>
      <c r="D563" s="703" t="s">
        <v>109</v>
      </c>
      <c r="E563" s="737"/>
      <c r="F563" s="737"/>
      <c r="G563" s="737"/>
      <c r="H563" s="737"/>
      <c r="I563" s="737"/>
      <c r="J563" s="704"/>
      <c r="K563" s="703" t="s">
        <v>335</v>
      </c>
      <c r="L563" s="737"/>
      <c r="M563" s="737"/>
      <c r="N563" s="737"/>
      <c r="O563" s="737"/>
      <c r="P563" s="737"/>
      <c r="Q563" s="737"/>
      <c r="R563" s="737"/>
      <c r="S563" s="737"/>
      <c r="T563" s="737"/>
      <c r="U563" s="737"/>
      <c r="V563" s="704"/>
      <c r="W563" s="703" t="s">
        <v>690</v>
      </c>
      <c r="X563" s="704"/>
      <c r="Y563" s="703" t="s">
        <v>756</v>
      </c>
      <c r="Z563" s="704"/>
      <c r="AA563" s="640" t="s">
        <v>792</v>
      </c>
      <c r="AB563" s="703" t="s">
        <v>839</v>
      </c>
      <c r="AC563" s="704"/>
      <c r="AF563" s="641"/>
    </row>
    <row r="564" spans="1:32" ht="14.25" customHeight="1" thickTop="1" x14ac:dyDescent="0.2">
      <c r="A564" s="665" t="s">
        <v>868</v>
      </c>
      <c r="B564" s="703" t="s">
        <v>61</v>
      </c>
      <c r="C564" s="703" t="s">
        <v>93</v>
      </c>
      <c r="D564" s="703" t="s">
        <v>110</v>
      </c>
      <c r="E564" s="703" t="s">
        <v>126</v>
      </c>
      <c r="F564" s="703" t="s">
        <v>176</v>
      </c>
      <c r="G564" s="703" t="s">
        <v>199</v>
      </c>
      <c r="H564" s="703" t="s">
        <v>239</v>
      </c>
      <c r="I564" s="703" t="s">
        <v>252</v>
      </c>
      <c r="J564" s="703" t="s">
        <v>109</v>
      </c>
      <c r="K564" s="703" t="s">
        <v>336</v>
      </c>
      <c r="L564" s="703" t="s">
        <v>357</v>
      </c>
      <c r="M564" s="703" t="s">
        <v>431</v>
      </c>
      <c r="N564" s="641"/>
      <c r="O564" s="703" t="s">
        <v>499</v>
      </c>
      <c r="P564" s="703" t="s">
        <v>528</v>
      </c>
      <c r="Q564" s="703" t="s">
        <v>548</v>
      </c>
      <c r="R564" s="703" t="s">
        <v>557</v>
      </c>
      <c r="S564" s="703" t="s">
        <v>578</v>
      </c>
      <c r="T564" s="703" t="s">
        <v>587</v>
      </c>
      <c r="U564" s="703" t="s">
        <v>673</v>
      </c>
      <c r="V564" s="703" t="s">
        <v>680</v>
      </c>
      <c r="W564" s="703" t="s">
        <v>691</v>
      </c>
      <c r="X564" s="703" t="s">
        <v>740</v>
      </c>
      <c r="Y564" s="703" t="s">
        <v>757</v>
      </c>
      <c r="Z564" s="703" t="s">
        <v>780</v>
      </c>
      <c r="AA564" s="703" t="s">
        <v>792</v>
      </c>
      <c r="AB564" s="703" t="s">
        <v>839</v>
      </c>
      <c r="AC564" s="703" t="s">
        <v>855</v>
      </c>
      <c r="AF564" s="641"/>
    </row>
    <row r="565" spans="1:32" ht="13.5" customHeight="1" thickBot="1" x14ac:dyDescent="0.25">
      <c r="A565" s="666"/>
      <c r="B565" s="706"/>
      <c r="C565" s="706"/>
      <c r="D565" s="706"/>
      <c r="E565" s="706"/>
      <c r="F565" s="706"/>
      <c r="G565" s="706"/>
      <c r="H565" s="706"/>
      <c r="I565" s="706"/>
      <c r="J565" s="706"/>
      <c r="K565" s="706"/>
      <c r="L565" s="706"/>
      <c r="M565" s="706"/>
      <c r="N565" s="641"/>
      <c r="O565" s="706"/>
      <c r="P565" s="706"/>
      <c r="Q565" s="706"/>
      <c r="R565" s="706"/>
      <c r="S565" s="706"/>
      <c r="T565" s="706"/>
      <c r="U565" s="706"/>
      <c r="V565" s="706"/>
      <c r="W565" s="706"/>
      <c r="X565" s="706"/>
      <c r="Y565" s="706"/>
      <c r="Z565" s="706"/>
      <c r="AA565" s="706"/>
      <c r="AB565" s="706"/>
      <c r="AC565" s="706"/>
      <c r="AF565" s="641"/>
    </row>
    <row r="566" spans="1:32" ht="18" customHeight="1" thickTop="1" thickBot="1" x14ac:dyDescent="0.25">
      <c r="A566" s="40" t="s">
        <v>869</v>
      </c>
      <c r="B566" s="46">
        <f>IFERROR(Y22*1,"0")+IFERROR(Y23*1,"0")+IFERROR(Y27*1,"0")+IFERROR(Y28*1,"0")+IFERROR(Y29*1,"0")+IFERROR(Y30*1,"0")+IFERROR(Y31*1,"0")</f>
        <v>18</v>
      </c>
      <c r="C566" s="46">
        <f>IFERROR(Y37*1,"0")+IFERROR(Y38*1,"0")+IFERROR(Y39*1,"0")+IFERROR(Y40*1,"0")+IFERROR(Y41*1,"0")</f>
        <v>0</v>
      </c>
      <c r="D566" s="46">
        <f>IFERROR(Y47*1,"0")+IFERROR(Y48*1,"0")+IFERROR(Y49*1,"0")+IFERROR(Y50*1,"0")</f>
        <v>148.70000000000002</v>
      </c>
      <c r="E566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379</v>
      </c>
      <c r="F566" s="46">
        <f>IFERROR(Y88*1,"0")+IFERROR(Y89*1,"0")+IFERROR(Y90*1,"0")+IFERROR(Y91*1,"0")+IFERROR(Y92*1,"0")+IFERROR(Y96*1,"0")+IFERROR(Y97*1,"0")+IFERROR(Y98*1,"0")+IFERROR(Y99*1,"0")</f>
        <v>234.9</v>
      </c>
      <c r="G566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227.28000000000003</v>
      </c>
      <c r="H566" s="46">
        <f>IFERROR(Y134*1,"0")+IFERROR(Y135*1,"0")+IFERROR(Y139*1,"0")+IFERROR(Y140*1,"0")+IFERROR(Y144*1,"0")+IFERROR(Y145*1,"0")</f>
        <v>26.8</v>
      </c>
      <c r="I566" s="46">
        <f>IFERROR(Y150*1,"0")+IFERROR(Y151*1,"0")+IFERROR(Y152*1,"0")+IFERROR(Y153*1,"0")+IFERROR(Y154*1,"0")+IFERROR(Y155*1,"0")+IFERROR(Y159*1,"0")</f>
        <v>0</v>
      </c>
      <c r="J566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838.22000000000014</v>
      </c>
      <c r="K566" s="46">
        <f>IFERROR(Y206*1,"0")+IFERROR(Y207*1,"0")+IFERROR(Y208*1,"0")+IFERROR(Y209*1,"0")+IFERROR(Y210*1,"0")+IFERROR(Y211*1,"0")+IFERROR(Y212*1,"0")</f>
        <v>0</v>
      </c>
      <c r="L566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326.7</v>
      </c>
      <c r="M566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1808.3999999999999</v>
      </c>
      <c r="N566" s="641"/>
      <c r="O566" s="46">
        <f>IFERROR(Y304*1,"0")+IFERROR(Y305*1,"0")+IFERROR(Y306*1,"0")+IFERROR(Y307*1,"0")+IFERROR(Y308*1,"0")+IFERROR(Y309*1,"0")+IFERROR(Y310*1,"0")+IFERROR(Y314*1,"0")+IFERROR(Y318*1,"0")+IFERROR(Y322*1,"0")</f>
        <v>18.8</v>
      </c>
      <c r="P566" s="46">
        <f>IFERROR(Y327*1,"0")+IFERROR(Y328*1,"0")+IFERROR(Y329*1,"0")+IFERROR(Y330*1,"0")+IFERROR(Y331*1,"0")+IFERROR(Y332*1,"0")</f>
        <v>0</v>
      </c>
      <c r="Q566" s="46">
        <f>IFERROR(Y337*1,"0")+IFERROR(Y338*1,"0")+IFERROR(Y339*1,"0")</f>
        <v>367.2</v>
      </c>
      <c r="R566" s="46">
        <f>IFERROR(Y344*1,"0")+IFERROR(Y345*1,"0")+IFERROR(Y346*1,"0")+IFERROR(Y347*1,"0")+IFERROR(Y348*1,"0")+IFERROR(Y352*1,"0")+IFERROR(Y353*1,"0")</f>
        <v>0</v>
      </c>
      <c r="S566" s="46">
        <f>IFERROR(Y358*1,"0")+IFERROR(Y359*1,"0")+IFERROR(Y360*1,"0")</f>
        <v>140.4</v>
      </c>
      <c r="T566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54.449999999999996</v>
      </c>
      <c r="U566" s="46">
        <f>IFERROR(Y418*1,"0")+IFERROR(Y419*1,"0")</f>
        <v>0</v>
      </c>
      <c r="V566" s="46">
        <f>IFERROR(Y424*1,"0")+IFERROR(Y425*1,"0")+IFERROR(Y426*1,"0")</f>
        <v>182.7</v>
      </c>
      <c r="W566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1470</v>
      </c>
      <c r="X566" s="46">
        <f>IFERROR(Y461*1,"0")+IFERROR(Y462*1,"0")+IFERROR(Y466*1,"0")+IFERROR(Y470*1,"0")+IFERROR(Y471*1,"0")+IFERROR(Y472*1,"0")</f>
        <v>3743.4</v>
      </c>
      <c r="Y566" s="46">
        <f>IFERROR(Y478*1,"0")+IFERROR(Y479*1,"0")+IFERROR(Y480*1,"0")+IFERROR(Y481*1,"0")+IFERROR(Y482*1,"0")+IFERROR(Y483*1,"0")+IFERROR(Y487*1,"0")+IFERROR(Y488*1,"0")</f>
        <v>0</v>
      </c>
      <c r="Z566" s="46">
        <f>IFERROR(Y493*1,"0")+IFERROR(Y497*1,"0")+IFERROR(Y498*1,"0")+IFERROR(Y499*1,"0")</f>
        <v>0</v>
      </c>
      <c r="AA566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751.68</v>
      </c>
      <c r="AB566" s="46">
        <f>IFERROR(Y535*1,"0")+IFERROR(Y539*1,"0")+IFERROR(Y543*1,"0")+IFERROR(Y547*1,"0")+IFERROR(Y548*1,"0")</f>
        <v>0</v>
      </c>
      <c r="AC566" s="46">
        <f>IFERROR(Y553*1,"0")</f>
        <v>0</v>
      </c>
      <c r="AF566" s="64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2"/>
        <filter val="1 234,00"/>
        <filter val="1 320,00"/>
        <filter val="10 568,00"/>
        <filter val="10,00"/>
        <filter val="10,20"/>
        <filter val="102,00"/>
        <filter val="104,00"/>
        <filter val="109,00"/>
        <filter val="11 217,49"/>
        <filter val="11 717,49"/>
        <filter val="11,00"/>
        <filter val="11,67"/>
        <filter val="12,00"/>
        <filter val="12,67"/>
        <filter val="120,00"/>
        <filter val="121,00"/>
        <filter val="124,05"/>
        <filter val="124,07"/>
        <filter val="129,00"/>
        <filter val="13,00"/>
        <filter val="130,00"/>
        <filter val="136,00"/>
        <filter val="138,00"/>
        <filter val="14,00"/>
        <filter val="14,29"/>
        <filter val="15,00"/>
        <filter val="15,14"/>
        <filter val="152,08"/>
        <filter val="156,00"/>
        <filter val="159,00"/>
        <filter val="16,00"/>
        <filter val="16,54"/>
        <filter val="165,00"/>
        <filter val="18,00"/>
        <filter val="180,00"/>
        <filter val="182,00"/>
        <filter val="195,00"/>
        <filter val="2 127,23"/>
        <filter val="20"/>
        <filter val="200,00"/>
        <filter val="209,00"/>
        <filter val="21,00"/>
        <filter val="22,00"/>
        <filter val="23,00"/>
        <filter val="233,00"/>
        <filter val="240,00"/>
        <filter val="26,00"/>
        <filter val="260,00"/>
        <filter val="27,00"/>
        <filter val="28,29"/>
        <filter val="295,00"/>
        <filter val="3 710,00"/>
        <filter val="3 736,00"/>
        <filter val="3,00"/>
        <filter val="3,13"/>
        <filter val="3,89"/>
        <filter val="3,97"/>
        <filter val="30,00"/>
        <filter val="301,00"/>
        <filter val="31,00"/>
        <filter val="313,74"/>
        <filter val="32,00"/>
        <filter val="325,00"/>
        <filter val="365,00"/>
        <filter val="37,78"/>
        <filter val="383,00"/>
        <filter val="39,00"/>
        <filter val="390,00"/>
        <filter val="4,00"/>
        <filter val="418,87"/>
        <filter val="420,00"/>
        <filter val="423,06"/>
        <filter val="440,00"/>
        <filter val="5,00"/>
        <filter val="5,05"/>
        <filter val="50,00"/>
        <filter val="52,00"/>
        <filter val="54,00"/>
        <filter val="544,00"/>
        <filter val="6,00"/>
        <filter val="6,25"/>
        <filter val="6,51"/>
        <filter val="60,00"/>
        <filter val="64,00"/>
        <filter val="640,00"/>
        <filter val="65,00"/>
        <filter val="655,00"/>
        <filter val="66,67"/>
        <filter val="7,00"/>
        <filter val="8,00"/>
        <filter val="8,33"/>
        <filter val="8,89"/>
        <filter val="811,00"/>
        <filter val="86,67"/>
        <filter val="88,00"/>
        <filter val="9,00"/>
        <filter val="9,47"/>
        <filter val="91,00"/>
        <filter val="92,00"/>
        <filter val="97,46"/>
      </filters>
    </filterColumn>
    <filterColumn colId="29" showButton="0"/>
    <filterColumn colId="30" showButton="0"/>
  </autoFilter>
  <mergeCells count="999">
    <mergeCell ref="I564:I565"/>
    <mergeCell ref="P444:T444"/>
    <mergeCell ref="D50:E50"/>
    <mergeCell ref="P58:T58"/>
    <mergeCell ref="D110:E110"/>
    <mergeCell ref="X17:X18"/>
    <mergeCell ref="C564:C565"/>
    <mergeCell ref="D286:E286"/>
    <mergeCell ref="D563:J563"/>
    <mergeCell ref="Y17:Y18"/>
    <mergeCell ref="U17:V17"/>
    <mergeCell ref="D293:E293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P124:T124"/>
    <mergeCell ref="D344:E344"/>
    <mergeCell ref="A213:O214"/>
    <mergeCell ref="D471:E471"/>
    <mergeCell ref="P71:T71"/>
    <mergeCell ref="D123:E123"/>
    <mergeCell ref="P307:T307"/>
    <mergeCell ref="P160:V160"/>
    <mergeCell ref="D483:E483"/>
    <mergeCell ref="A42:O43"/>
    <mergeCell ref="P83:T83"/>
    <mergeCell ref="V12:W12"/>
    <mergeCell ref="D191:E191"/>
    <mergeCell ref="D433:E433"/>
    <mergeCell ref="D262:E262"/>
    <mergeCell ref="P368:T368"/>
    <mergeCell ref="P43:V43"/>
    <mergeCell ref="D57:E57"/>
    <mergeCell ref="D17:E18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P499:T499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78:V78"/>
    <mergeCell ref="D247:E247"/>
    <mergeCell ref="P495:V495"/>
    <mergeCell ref="A494:O495"/>
    <mergeCell ref="A534:Z534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P32:V32"/>
    <mergeCell ref="Q13:R13"/>
    <mergeCell ref="D318:E318"/>
    <mergeCell ref="A220:Z220"/>
    <mergeCell ref="P139:T139"/>
    <mergeCell ref="P278:T278"/>
    <mergeCell ref="D150:E150"/>
    <mergeCell ref="P107:T107"/>
    <mergeCell ref="P194:V194"/>
    <mergeCell ref="A75:Z75"/>
    <mergeCell ref="A317:Z317"/>
    <mergeCell ref="A168:O169"/>
    <mergeCell ref="M17:M18"/>
    <mergeCell ref="O17:O18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D292:E292"/>
    <mergeCell ref="P346:T346"/>
    <mergeCell ref="D227:E227"/>
    <mergeCell ref="A463:O464"/>
    <mergeCell ref="D525:E525"/>
    <mergeCell ref="D529:E529"/>
    <mergeCell ref="P537:V537"/>
    <mergeCell ref="D358:E358"/>
    <mergeCell ref="A460:Z460"/>
    <mergeCell ref="A454:Z454"/>
    <mergeCell ref="A556:O561"/>
    <mergeCell ref="P474:V474"/>
    <mergeCell ref="A391:Z391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458:V458"/>
    <mergeCell ref="P94:V94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E564:E565"/>
    <mergeCell ref="G564:G565"/>
    <mergeCell ref="A448:Z448"/>
    <mergeCell ref="P550:V550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P237:V237"/>
    <mergeCell ref="D367:E367"/>
    <mergeCell ref="D512:E512"/>
    <mergeCell ref="P525:T525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P560:V560"/>
    <mergeCell ref="A78:O79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A452:O453"/>
    <mergeCell ref="D288:E288"/>
    <mergeCell ref="A532:Z532"/>
    <mergeCell ref="P421:V421"/>
    <mergeCell ref="A271:Z271"/>
    <mergeCell ref="P190:T190"/>
    <mergeCell ref="D434:E434"/>
    <mergeCell ref="P488:T488"/>
    <mergeCell ref="P478:T478"/>
    <mergeCell ref="A402:O403"/>
    <mergeCell ref="D386:E386"/>
    <mergeCell ref="D359:E359"/>
    <mergeCell ref="A486:Z486"/>
    <mergeCell ref="P531:V531"/>
    <mergeCell ref="P96:T96"/>
    <mergeCell ref="P90:T90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42:V42"/>
    <mergeCell ref="P59:T59"/>
    <mergeCell ref="P48:T48"/>
    <mergeCell ref="D513:E513"/>
    <mergeCell ref="A469:Z469"/>
    <mergeCell ref="P131:V131"/>
    <mergeCell ref="P187:V187"/>
    <mergeCell ref="P258:V258"/>
    <mergeCell ref="P439:T439"/>
    <mergeCell ref="P433:T433"/>
    <mergeCell ref="D276:E276"/>
    <mergeCell ref="P37:T37"/>
    <mergeCell ref="D347:E347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157:V157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P159:T159"/>
    <mergeCell ref="D140:E140"/>
    <mergeCell ref="A546:Z546"/>
    <mergeCell ref="A138:Z138"/>
    <mergeCell ref="P373:V373"/>
    <mergeCell ref="P202:V202"/>
    <mergeCell ref="P380:T380"/>
    <mergeCell ref="P500:V500"/>
    <mergeCell ref="A496:Z496"/>
    <mergeCell ref="A325:Z325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178:E178"/>
    <mergeCell ref="D172:E172"/>
    <mergeCell ref="A156:O157"/>
    <mergeCell ref="P88:T88"/>
    <mergeCell ref="P153:T153"/>
    <mergeCell ref="P511:T511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383:V383"/>
    <mergeCell ref="D371:E371"/>
    <mergeCell ref="P84:V84"/>
    <mergeCell ref="P320:V320"/>
    <mergeCell ref="P387:T387"/>
    <mergeCell ref="D59:E59"/>
    <mergeCell ref="A261:Z261"/>
    <mergeCell ref="P179:T179"/>
    <mergeCell ref="D125:E125"/>
    <mergeCell ref="J9:M9"/>
    <mergeCell ref="D283:E283"/>
    <mergeCell ref="D112:E112"/>
    <mergeCell ref="A356:Z356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A12:M12"/>
    <mergeCell ref="P355:V355"/>
    <mergeCell ref="D487:E487"/>
    <mergeCell ref="A538:Z538"/>
    <mergeCell ref="A416:Z416"/>
    <mergeCell ref="A514:O515"/>
    <mergeCell ref="A19:Z19"/>
    <mergeCell ref="P310:T310"/>
    <mergeCell ref="D182:E182"/>
    <mergeCell ref="A489:O490"/>
    <mergeCell ref="D480:E480"/>
    <mergeCell ref="A160:O161"/>
    <mergeCell ref="D109:E109"/>
    <mergeCell ref="A14:M14"/>
    <mergeCell ref="P424:T424"/>
    <mergeCell ref="D345:E345"/>
    <mergeCell ref="A280:O281"/>
    <mergeCell ref="P254:V254"/>
    <mergeCell ref="A349:O350"/>
    <mergeCell ref="P447:V447"/>
    <mergeCell ref="D519:E519"/>
    <mergeCell ref="P389:V389"/>
    <mergeCell ref="D348:E348"/>
    <mergeCell ref="D62:E62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P146:V146"/>
    <mergeCell ref="D330:E330"/>
    <mergeCell ref="P540:V540"/>
    <mergeCell ref="P305:T305"/>
    <mergeCell ref="P515:V515"/>
    <mergeCell ref="A372:O373"/>
    <mergeCell ref="A201:O202"/>
    <mergeCell ref="P513:T513"/>
    <mergeCell ref="A162:Z162"/>
    <mergeCell ref="P408:V408"/>
    <mergeCell ref="P208:T208"/>
    <mergeCell ref="P450:T450"/>
    <mergeCell ref="D456:E456"/>
    <mergeCell ref="D352:E352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A44:Z44"/>
    <mergeCell ref="D63:E63"/>
    <mergeCell ref="D96:E96"/>
    <mergeCell ref="D27:E27"/>
    <mergeCell ref="P15:T16"/>
    <mergeCell ref="D116:E116"/>
    <mergeCell ref="D91:E91"/>
    <mergeCell ref="P23:T23"/>
    <mergeCell ref="A335:Z335"/>
    <mergeCell ref="A340:O341"/>
    <mergeCell ref="D327:E327"/>
    <mergeCell ref="P272:T272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P117:T117"/>
    <mergeCell ref="P55:T55"/>
    <mergeCell ref="P182:T182"/>
    <mergeCell ref="Q12:R12"/>
    <mergeCell ref="D90:E90"/>
    <mergeCell ref="P411:T411"/>
    <mergeCell ref="D388:E388"/>
    <mergeCell ref="A130:O131"/>
    <mergeCell ref="I17:I18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72:E72"/>
    <mergeCell ref="D235:E235"/>
    <mergeCell ref="P214:V214"/>
    <mergeCell ref="P270:V270"/>
    <mergeCell ref="A95:Z95"/>
    <mergeCell ref="D517:E517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480:T480"/>
    <mergeCell ref="P489:V489"/>
    <mergeCell ref="P354:V354"/>
    <mergeCell ref="P246:T246"/>
    <mergeCell ref="P127:V127"/>
    <mergeCell ref="P198:V198"/>
    <mergeCell ref="A250:Z250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A26:Z26"/>
    <mergeCell ref="P401:T401"/>
    <mergeCell ref="P268:T268"/>
    <mergeCell ref="P339:T339"/>
    <mergeCell ref="P230:T230"/>
    <mergeCell ref="D211:E211"/>
    <mergeCell ref="P466:T466"/>
    <mergeCell ref="P130:V130"/>
    <mergeCell ref="P97:T97"/>
    <mergeCell ref="A313:Z313"/>
    <mergeCell ref="P47:T47"/>
    <mergeCell ref="P63:T63"/>
    <mergeCell ref="P50:T50"/>
    <mergeCell ref="D401:E401"/>
    <mergeCell ref="P358:T358"/>
    <mergeCell ref="D339:E339"/>
    <mergeCell ref="D230:E230"/>
    <mergeCell ref="D466:E466"/>
    <mergeCell ref="D180:E180"/>
    <mergeCell ref="P419:T419"/>
    <mergeCell ref="D398:E398"/>
    <mergeCell ref="P210:T210"/>
    <mergeCell ref="P308:T308"/>
    <mergeCell ref="P185:T185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D106:E106"/>
    <mergeCell ref="A146:O147"/>
    <mergeCell ref="P283:T283"/>
    <mergeCell ref="P277:T277"/>
    <mergeCell ref="A195:Z195"/>
    <mergeCell ref="P122:T122"/>
    <mergeCell ref="P484:V484"/>
    <mergeCell ref="D328:E328"/>
    <mergeCell ref="P285:T285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D366:E366"/>
    <mergeCell ref="P31:T31"/>
    <mergeCell ref="P329:T329"/>
    <mergeCell ref="D139:E139"/>
    <mergeCell ref="P331:T331"/>
    <mergeCell ref="D67:E67"/>
    <mergeCell ref="D55:E55"/>
    <mergeCell ref="D30:E30"/>
    <mergeCell ref="D387:E387"/>
    <mergeCell ref="D381:E381"/>
    <mergeCell ref="D272:E272"/>
    <mergeCell ref="D210:E210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485:V485"/>
    <mergeCell ref="D406:E406"/>
    <mergeCell ref="A446:O447"/>
    <mergeCell ref="P530:V530"/>
    <mergeCell ref="P527:T527"/>
    <mergeCell ref="D470:E470"/>
    <mergeCell ref="K564:K565"/>
    <mergeCell ref="K563:V563"/>
    <mergeCell ref="J564:J565"/>
    <mergeCell ref="D443:E443"/>
    <mergeCell ref="P400:T400"/>
    <mergeCell ref="D47:E47"/>
    <mergeCell ref="A473:O474"/>
    <mergeCell ref="D411:E411"/>
    <mergeCell ref="D482:E482"/>
    <mergeCell ref="D289:E289"/>
    <mergeCell ref="A149:Z149"/>
    <mergeCell ref="P395:V395"/>
    <mergeCell ref="P209:T209"/>
    <mergeCell ref="W563:X563"/>
    <mergeCell ref="P445:T445"/>
    <mergeCell ref="A193:O194"/>
    <mergeCell ref="A264:O265"/>
    <mergeCell ref="A516:Z516"/>
    <mergeCell ref="D308:E308"/>
    <mergeCell ref="P557:V557"/>
    <mergeCell ref="P524:T524"/>
    <mergeCell ref="A536:O537"/>
    <mergeCell ref="P519:T519"/>
    <mergeCell ref="P136:V136"/>
    <mergeCell ref="P65:V65"/>
    <mergeCell ref="D251:E251"/>
    <mergeCell ref="A53:Z53"/>
    <mergeCell ref="A549:O550"/>
    <mergeCell ref="P554:V554"/>
    <mergeCell ref="D543:E543"/>
    <mergeCell ref="D518:E518"/>
    <mergeCell ref="P252:T252"/>
    <mergeCell ref="D124:E124"/>
    <mergeCell ref="P81:T81"/>
    <mergeCell ref="P379:T379"/>
    <mergeCell ref="P56:T56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D56:E56"/>
    <mergeCell ref="P377:T377"/>
    <mergeCell ref="P206:T206"/>
    <mergeCell ref="P233:T233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D98:E98"/>
    <mergeCell ref="P152:T152"/>
    <mergeCell ref="P30:T30"/>
    <mergeCell ref="P290:T290"/>
    <mergeCell ref="P141:V141"/>
    <mergeCell ref="A311:O312"/>
    <mergeCell ref="P275:T275"/>
    <mergeCell ref="P168:V168"/>
    <mergeCell ref="P104:T104"/>
    <mergeCell ref="B17:B18"/>
    <mergeCell ref="P248:V248"/>
    <mergeCell ref="A266:Z266"/>
    <mergeCell ref="A260:Z260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D376:E376"/>
    <mergeCell ref="P172:T172"/>
    <mergeCell ref="P432:T432"/>
    <mergeCell ref="P446:V446"/>
    <mergeCell ref="P464:V464"/>
    <mergeCell ref="P402:V402"/>
    <mergeCell ref="D479:E479"/>
    <mergeCell ref="P441:V441"/>
    <mergeCell ref="A431:Z431"/>
    <mergeCell ref="A502:Z502"/>
    <mergeCell ref="P517:T517"/>
    <mergeCell ref="D438:E438"/>
    <mergeCell ref="D509:E509"/>
    <mergeCell ref="D267:E267"/>
    <mergeCell ref="D425:E42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2026-09-23T11:10:31Z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