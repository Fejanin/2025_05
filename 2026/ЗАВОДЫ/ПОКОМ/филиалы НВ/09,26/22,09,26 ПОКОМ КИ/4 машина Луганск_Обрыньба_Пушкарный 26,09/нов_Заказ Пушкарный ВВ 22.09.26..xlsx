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ЗАКАЗЫ\Пушкарный\"/>
    </mc:Choice>
  </mc:AlternateContent>
  <xr:revisionPtr revIDLastSave="0" documentId="13_ncr:1_{618CBAAE-F4A8-4743-9390-725A86353B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P387" i="2"/>
  <c r="BO386" i="2"/>
  <c r="BM386" i="2"/>
  <c r="Y386" i="2"/>
  <c r="BN386" i="2" s="1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BP169" i="2" s="1"/>
  <c r="P169" i="2"/>
  <c r="BO168" i="2"/>
  <c r="BM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24" i="2"/>
  <c r="BO23" i="2"/>
  <c r="BM23" i="2"/>
  <c r="Y23" i="2"/>
  <c r="P23" i="2"/>
  <c r="BO22" i="2"/>
  <c r="BM22" i="2"/>
  <c r="Y22" i="2"/>
  <c r="B564" i="2" s="1"/>
  <c r="P22" i="2"/>
  <c r="H10" i="2"/>
  <c r="A9" i="2"/>
  <c r="A10" i="2" s="1"/>
  <c r="D7" i="2"/>
  <c r="Q6" i="2"/>
  <c r="P2" i="2"/>
  <c r="Z405" i="2" l="1"/>
  <c r="Z406" i="2"/>
  <c r="BN406" i="2"/>
  <c r="Z132" i="2"/>
  <c r="BN132" i="2"/>
  <c r="BP270" i="2"/>
  <c r="BP482" i="2"/>
  <c r="Z31" i="2"/>
  <c r="Z94" i="2"/>
  <c r="BN94" i="2"/>
  <c r="Z96" i="2"/>
  <c r="BN96" i="2"/>
  <c r="Z153" i="2"/>
  <c r="BN153" i="2"/>
  <c r="Z157" i="2"/>
  <c r="Z158" i="2" s="1"/>
  <c r="BN157" i="2"/>
  <c r="BP157" i="2"/>
  <c r="Y158" i="2"/>
  <c r="Z202" i="2"/>
  <c r="BN202" i="2"/>
  <c r="Z326" i="2"/>
  <c r="Z364" i="2"/>
  <c r="BN364" i="2"/>
  <c r="Z433" i="2"/>
  <c r="Z512" i="2"/>
  <c r="BN512" i="2"/>
  <c r="X554" i="2"/>
  <c r="Z55" i="2"/>
  <c r="BP57" i="2"/>
  <c r="Z115" i="2"/>
  <c r="Z142" i="2"/>
  <c r="Z144" i="2" s="1"/>
  <c r="BN142" i="2"/>
  <c r="Y144" i="2"/>
  <c r="Z149" i="2"/>
  <c r="Z164" i="2"/>
  <c r="BN164" i="2"/>
  <c r="Z223" i="2"/>
  <c r="BN223" i="2"/>
  <c r="Z380" i="2"/>
  <c r="BN380" i="2"/>
  <c r="Z426" i="2"/>
  <c r="BN426" i="2"/>
  <c r="BP466" i="2"/>
  <c r="Z502" i="2"/>
  <c r="BN502" i="2"/>
  <c r="X556" i="2"/>
  <c r="Z163" i="2"/>
  <c r="Z184" i="2"/>
  <c r="BN184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Y263" i="2"/>
  <c r="Z266" i="2"/>
  <c r="BN266" i="2"/>
  <c r="Z272" i="2"/>
  <c r="BN272" i="2"/>
  <c r="BP303" i="2"/>
  <c r="Z324" i="2"/>
  <c r="BN324" i="2"/>
  <c r="Z354" i="2"/>
  <c r="BN354" i="2"/>
  <c r="Z360" i="2"/>
  <c r="BN360" i="2"/>
  <c r="Z372" i="2"/>
  <c r="BN372" i="2"/>
  <c r="Z413" i="2"/>
  <c r="BN413" i="2"/>
  <c r="Z429" i="2"/>
  <c r="BN429" i="2"/>
  <c r="Z430" i="2"/>
  <c r="BN430" i="2"/>
  <c r="Z456" i="2"/>
  <c r="Y457" i="2"/>
  <c r="Z473" i="2"/>
  <c r="BN473" i="2"/>
  <c r="Z500" i="2"/>
  <c r="BN500" i="2"/>
  <c r="Z506" i="2"/>
  <c r="BN506" i="2"/>
  <c r="Z518" i="2"/>
  <c r="BN518" i="2"/>
  <c r="Z545" i="2"/>
  <c r="BN545" i="2"/>
  <c r="X555" i="2"/>
  <c r="Z29" i="2"/>
  <c r="BP40" i="2"/>
  <c r="Y52" i="2"/>
  <c r="Z49" i="2"/>
  <c r="Z60" i="2"/>
  <c r="Z67" i="2"/>
  <c r="Y76" i="2"/>
  <c r="Z127" i="2"/>
  <c r="Z128" i="2" s="1"/>
  <c r="Z137" i="2"/>
  <c r="Y344" i="2"/>
  <c r="Y547" i="2"/>
  <c r="Y548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BN174" i="2"/>
  <c r="BP174" i="2"/>
  <c r="BN175" i="2"/>
  <c r="BP178" i="2"/>
  <c r="BN178" i="2"/>
  <c r="Z178" i="2"/>
  <c r="BN180" i="2"/>
  <c r="BP180" i="2"/>
  <c r="BP182" i="2"/>
  <c r="BN182" i="2"/>
  <c r="Z182" i="2"/>
  <c r="BN183" i="2"/>
  <c r="Z183" i="2"/>
  <c r="BN190" i="2"/>
  <c r="BP190" i="2"/>
  <c r="Y191" i="2"/>
  <c r="BN203" i="2"/>
  <c r="BP203" i="2"/>
  <c r="BN204" i="2"/>
  <c r="Z204" i="2"/>
  <c r="BP217" i="2"/>
  <c r="BN217" i="2"/>
  <c r="Z217" i="2"/>
  <c r="BN218" i="2"/>
  <c r="Z218" i="2"/>
  <c r="Z224" i="2"/>
  <c r="BP224" i="2"/>
  <c r="BN227" i="2"/>
  <c r="BP227" i="2"/>
  <c r="BN229" i="2"/>
  <c r="BP229" i="2"/>
  <c r="BP237" i="2"/>
  <c r="BN237" i="2"/>
  <c r="Z237" i="2"/>
  <c r="BN238" i="2"/>
  <c r="BN267" i="2"/>
  <c r="BP267" i="2"/>
  <c r="BN268" i="2"/>
  <c r="Z268" i="2"/>
  <c r="BN285" i="2"/>
  <c r="BP285" i="2"/>
  <c r="BN287" i="2"/>
  <c r="Z287" i="2"/>
  <c r="BN300" i="2"/>
  <c r="BN302" i="2"/>
  <c r="BP304" i="2"/>
  <c r="BN304" i="2"/>
  <c r="Z304" i="2"/>
  <c r="BP322" i="2"/>
  <c r="BN322" i="2"/>
  <c r="Z322" i="2"/>
  <c r="BP323" i="2"/>
  <c r="BN323" i="2"/>
  <c r="Z323" i="2"/>
  <c r="BN342" i="2"/>
  <c r="BP346" i="2"/>
  <c r="Y349" i="2"/>
  <c r="Y348" i="2"/>
  <c r="BN346" i="2"/>
  <c r="Z346" i="2"/>
  <c r="BP347" i="2"/>
  <c r="BN347" i="2"/>
  <c r="Z347" i="2"/>
  <c r="BP370" i="2"/>
  <c r="BN370" i="2"/>
  <c r="Z370" i="2"/>
  <c r="BP382" i="2"/>
  <c r="BN382" i="2"/>
  <c r="Z382" i="2"/>
  <c r="BN387" i="2"/>
  <c r="Z387" i="2"/>
  <c r="BN431" i="2"/>
  <c r="BN438" i="2"/>
  <c r="BP439" i="2"/>
  <c r="BN439" i="2"/>
  <c r="Z439" i="2"/>
  <c r="Z443" i="2"/>
  <c r="BP443" i="2"/>
  <c r="BP449" i="2"/>
  <c r="Y452" i="2"/>
  <c r="Y451" i="2"/>
  <c r="BP450" i="2"/>
  <c r="BN450" i="2"/>
  <c r="Z450" i="2"/>
  <c r="BN487" i="2"/>
  <c r="Z487" i="2"/>
  <c r="Z488" i="2" s="1"/>
  <c r="BN491" i="2"/>
  <c r="BP491" i="2"/>
  <c r="BN493" i="2"/>
  <c r="BP501" i="2"/>
  <c r="Z501" i="2"/>
  <c r="BN520" i="2"/>
  <c r="Z520" i="2"/>
  <c r="BP520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BN168" i="2"/>
  <c r="Z168" i="2"/>
  <c r="Y171" i="2"/>
  <c r="Z169" i="2"/>
  <c r="BN188" i="2"/>
  <c r="BN189" i="2"/>
  <c r="Z189" i="2"/>
  <c r="BP221" i="2"/>
  <c r="BN221" i="2"/>
  <c r="Z221" i="2"/>
  <c r="BN234" i="2"/>
  <c r="BP247" i="2"/>
  <c r="BN247" i="2"/>
  <c r="Z247" i="2"/>
  <c r="Y253" i="2"/>
  <c r="Y252" i="2"/>
  <c r="BP251" i="2"/>
  <c r="BN251" i="2"/>
  <c r="Z251" i="2"/>
  <c r="Z252" i="2" s="1"/>
  <c r="Y258" i="2"/>
  <c r="BN261" i="2"/>
  <c r="BP268" i="2"/>
  <c r="BN269" i="2"/>
  <c r="BN271" i="2"/>
  <c r="Y275" i="2"/>
  <c r="Y289" i="2"/>
  <c r="BP277" i="2"/>
  <c r="BN280" i="2"/>
  <c r="BP280" i="2"/>
  <c r="BN282" i="2"/>
  <c r="BP282" i="2"/>
  <c r="Y314" i="2"/>
  <c r="Y317" i="2"/>
  <c r="Y318" i="2"/>
  <c r="BN316" i="2"/>
  <c r="Z316" i="2"/>
  <c r="Z317" i="2" s="1"/>
  <c r="BN523" i="2"/>
  <c r="BP523" i="2"/>
  <c r="Y530" i="2"/>
  <c r="BP529" i="2"/>
  <c r="Y531" i="2"/>
  <c r="BP137" i="2"/>
  <c r="BP149" i="2"/>
  <c r="BP163" i="2"/>
  <c r="BN215" i="2"/>
  <c r="BN226" i="2"/>
  <c r="BN228" i="2"/>
  <c r="BN236" i="2"/>
  <c r="BN241" i="2"/>
  <c r="BN246" i="2"/>
  <c r="BN256" i="2"/>
  <c r="Y264" i="2"/>
  <c r="BN262" i="2"/>
  <c r="BN279" i="2"/>
  <c r="BN281" i="2"/>
  <c r="BN286" i="2"/>
  <c r="Y294" i="2"/>
  <c r="Y295" i="2"/>
  <c r="BN325" i="2"/>
  <c r="BP333" i="2"/>
  <c r="BN333" i="2"/>
  <c r="Z333" i="2"/>
  <c r="BP362" i="2"/>
  <c r="BN362" i="2"/>
  <c r="Z362" i="2"/>
  <c r="BP374" i="2"/>
  <c r="BN374" i="2"/>
  <c r="Z374" i="2"/>
  <c r="Y384" i="2"/>
  <c r="BP393" i="2"/>
  <c r="BN393" i="2"/>
  <c r="Z393" i="2"/>
  <c r="BP394" i="2"/>
  <c r="BN394" i="2"/>
  <c r="Z394" i="2"/>
  <c r="BP400" i="2"/>
  <c r="BN400" i="2"/>
  <c r="Z400" i="2"/>
  <c r="BP418" i="2"/>
  <c r="BN418" i="2"/>
  <c r="Z418" i="2"/>
  <c r="Y461" i="2"/>
  <c r="Y462" i="2"/>
  <c r="BP465" i="2"/>
  <c r="BN465" i="2"/>
  <c r="Z465" i="2"/>
  <c r="BP475" i="2"/>
  <c r="BN475" i="2"/>
  <c r="Z475" i="2"/>
  <c r="BP477" i="2"/>
  <c r="BN477" i="2"/>
  <c r="Z477" i="2"/>
  <c r="BN503" i="2"/>
  <c r="BP503" i="2"/>
  <c r="Y509" i="2"/>
  <c r="BN505" i="2"/>
  <c r="BN513" i="2"/>
  <c r="BP513" i="2"/>
  <c r="BN517" i="2"/>
  <c r="BP517" i="2"/>
  <c r="BN522" i="2"/>
  <c r="Z522" i="2"/>
  <c r="Y535" i="2"/>
  <c r="BN533" i="2"/>
  <c r="Z533" i="2"/>
  <c r="Z534" i="2" s="1"/>
  <c r="BN537" i="2"/>
  <c r="BP537" i="2"/>
  <c r="Y538" i="2"/>
  <c r="Y539" i="2"/>
  <c r="Y542" i="2"/>
  <c r="Y543" i="2"/>
  <c r="BP326" i="2"/>
  <c r="BN331" i="2"/>
  <c r="BN340" i="2"/>
  <c r="Y366" i="2"/>
  <c r="Y383" i="2"/>
  <c r="Y389" i="2"/>
  <c r="BN399" i="2"/>
  <c r="Y402" i="2"/>
  <c r="Y403" i="2"/>
  <c r="W564" i="2"/>
  <c r="BN445" i="2"/>
  <c r="X564" i="2"/>
  <c r="BN476" i="2"/>
  <c r="BN546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08" i="2" l="1"/>
  <c r="Z134" i="2"/>
  <c r="Z170" i="2"/>
  <c r="Z451" i="2"/>
  <c r="Z547" i="2"/>
  <c r="Z457" i="2"/>
  <c r="Z467" i="2"/>
  <c r="Z124" i="2"/>
  <c r="Z414" i="2"/>
  <c r="Z396" i="2"/>
  <c r="Z348" i="2"/>
  <c r="Z207" i="2"/>
  <c r="X557" i="2"/>
  <c r="Z42" i="2"/>
  <c r="Z117" i="2"/>
  <c r="Z139" i="2"/>
  <c r="Z154" i="2"/>
  <c r="Y554" i="2"/>
  <c r="Z434" i="2"/>
  <c r="Z334" i="2"/>
  <c r="Z191" i="2"/>
  <c r="Z32" i="2"/>
  <c r="Z230" i="2"/>
  <c r="Y556" i="2"/>
  <c r="Z51" i="2"/>
  <c r="Y555" i="2"/>
  <c r="Z75" i="2"/>
  <c r="Z494" i="2"/>
  <c r="Z109" i="2"/>
  <c r="Z274" i="2"/>
  <c r="Z242" i="2"/>
  <c r="Z90" i="2"/>
  <c r="Z24" i="2"/>
  <c r="Z327" i="2"/>
  <c r="Z62" i="2"/>
  <c r="Y558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<sst xmlns="http://schemas.openxmlformats.org/spreadsheetml/2006/main" count="4265" uniqueCount="899">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</sst>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2" zoomScale="106" zoomScaleNormal="106" zoomScaleSheetLayoutView="100" workbookViewId="0">
      <selection activeCell="X382" sqref="X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20</v>
      </c>
      <c r="Y51" s="43">
        <f>IFERROR(Y47/H47,"0")+IFERROR(Y48/H48,"0")+IFERROR(Y49/H49,"0")+IFERROR(Y50/H50,"0")</f>
        <v>20</v>
      </c>
      <c r="Z51" s="43">
        <f>IFERROR(IF(Z47="",0,Z47),"0")+IFERROR(IF(Z48="",0,Z48),"0")+IFERROR(IF(Z49="",0,Z49),"0")+IFERROR(IF(Z50="",0,Z50),"0")</f>
        <v>0.28000000000000003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148</v>
      </c>
      <c r="Y52" s="43">
        <f>IFERROR(SUM(Y47:Y50),"0")</f>
        <v>148</v>
      </c>
      <c r="Z52" s="42"/>
      <c r="AA52" s="67"/>
      <c r="AB52" s="67"/>
      <c r="AC52" s="67"/>
    </row>
    <row r="53" spans="1:68" ht="16.5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56</v>
      </c>
      <c r="Y55" s="55">
        <f t="shared" ref="Y55:Y61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58.050000000000004</v>
      </c>
      <c r="BN55" s="78">
        <f t="shared" ref="BN55:BN61" si="2">IFERROR(Y55*I55/H55,"0")</f>
        <v>58.050000000000004</v>
      </c>
      <c r="BO55" s="78">
        <f t="shared" ref="BO55:BO61" si="3">IFERROR(1/J55*(X55/H55),"0")</f>
        <v>7.8125E-2</v>
      </c>
      <c r="BP55" s="78">
        <f t="shared" ref="BP55:BP61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691.2</v>
      </c>
      <c r="Y56" s="55">
        <f t="shared" si="0"/>
        <v>691.2</v>
      </c>
      <c r="Z56" s="41">
        <f>IFERROR(IF(Y56=0,"",ROUNDUP(Y56/H56,0)*0.01898),"")</f>
        <v>1.21472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717.44</v>
      </c>
      <c r="BN56" s="78">
        <f t="shared" si="2"/>
        <v>717.44</v>
      </c>
      <c r="BO56" s="78">
        <f t="shared" si="3"/>
        <v>1</v>
      </c>
      <c r="BP56" s="78">
        <f t="shared" si="4"/>
        <v>1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79</v>
      </c>
      <c r="Y62" s="43">
        <f>IFERROR(Y55/H55,"0")+IFERROR(Y56/H56,"0")+IFERROR(Y57/H57,"0")+IFERROR(Y58/H58,"0")+IFERROR(Y59/H59,"0")+IFERROR(Y60/H60,"0")+IFERROR(Y61/H61,"0")</f>
        <v>79</v>
      </c>
      <c r="Z62" s="43">
        <f>IFERROR(IF(Z55="",0,Z55),"0")+IFERROR(IF(Z56="",0,Z56),"0")+IFERROR(IF(Z57="",0,Z57),"0")+IFERROR(IF(Z58="",0,Z58),"0")+IFERROR(IF(Z59="",0,Z59),"0")+IFERROR(IF(Z60="",0,Z60),"0")+IFERROR(IF(Z61="",0,Z61),"0")</f>
        <v>1.3998200000000001</v>
      </c>
      <c r="AA62" s="67"/>
      <c r="AB62" s="67"/>
      <c r="AC62" s="67"/>
    </row>
    <row r="63" spans="1:68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787.2</v>
      </c>
      <c r="Y63" s="43">
        <f>IFERROR(SUM(Y55:Y61),"0")</f>
        <v>787.2</v>
      </c>
      <c r="Z63" s="42"/>
      <c r="AA63" s="67"/>
      <c r="AB63" s="67"/>
      <c r="AC63" s="67"/>
    </row>
    <row r="64" spans="1:68" ht="14.25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10</v>
      </c>
      <c r="Y69" s="43">
        <f>IFERROR(Y65/H65,"0")+IFERROR(Y66/H66,"0")+IFERROR(Y67/H67,"0")+IFERROR(Y68/H68,"0")</f>
        <v>10</v>
      </c>
      <c r="Z69" s="43">
        <f>IFERROR(IF(Z65="",0,Z65),"0")+IFERROR(IF(Z66="",0,Z66),"0")+IFERROR(IF(Z67="",0,Z67),"0")+IFERROR(IF(Z68="",0,Z68),"0")</f>
        <v>6.5100000000000005E-2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27</v>
      </c>
      <c r="Y70" s="43">
        <f>IFERROR(SUM(Y65:Y68),"0")</f>
        <v>27</v>
      </c>
      <c r="Z70" s="42"/>
      <c r="AA70" s="67"/>
      <c r="AB70" s="67"/>
      <c r="AC70" s="67"/>
    </row>
    <row r="71" spans="1:68" ht="14.25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162</v>
      </c>
      <c r="Y93" s="55">
        <f>IFERROR(IF(X93="",0,CEILING((X93/$H93),1)*$H93),"")</f>
        <v>162</v>
      </c>
      <c r="Z93" s="41">
        <f>IFERROR(IF(Y93=0,"",ROUNDUP(Y93/H93,0)*0.01898),"")</f>
        <v>0.37959999999999999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171.88</v>
      </c>
      <c r="BN93" s="78">
        <f>IFERROR(Y93*I93/H93,"0")</f>
        <v>171.88</v>
      </c>
      <c r="BO93" s="78">
        <f>IFERROR(1/J93*(X93/H93),"0")</f>
        <v>0.3125</v>
      </c>
      <c r="BP93" s="78">
        <f>IFERROR(1/J93*(Y93/H93),"0")</f>
        <v>0.3125</v>
      </c>
    </row>
    <row r="94" spans="1:68" ht="27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20</v>
      </c>
      <c r="Y97" s="43">
        <f>IFERROR(Y93/H93,"0")+IFERROR(Y94/H94,"0")+IFERROR(Y95/H95,"0")+IFERROR(Y96/H96,"0")</f>
        <v>20</v>
      </c>
      <c r="Z97" s="43">
        <f>IFERROR(IF(Z93="",0,Z93),"0")+IFERROR(IF(Z94="",0,Z94),"0")+IFERROR(IF(Z95="",0,Z95),"0")+IFERROR(IF(Z96="",0,Z96),"0")</f>
        <v>0.37959999999999999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162</v>
      </c>
      <c r="Y98" s="43">
        <f>IFERROR(SUM(Y93:Y96),"0")</f>
        <v>162</v>
      </c>
      <c r="Z98" s="42"/>
      <c r="AA98" s="67"/>
      <c r="AB98" s="67"/>
      <c r="AC98" s="67"/>
    </row>
    <row r="99" spans="1:68" ht="16.5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162</v>
      </c>
      <c r="Y120" s="55">
        <f>IFERROR(IF(X120="",0,CEILING((X120/$H120),1)*$H120),"")</f>
        <v>162</v>
      </c>
      <c r="Z120" s="41">
        <f>IFERROR(IF(Y120=0,"",ROUNDUP(Y120/H120,0)*0.01898),"")</f>
        <v>0.37959999999999999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171.76</v>
      </c>
      <c r="BN120" s="78">
        <f>IFERROR(Y120*I120/H120,"0")</f>
        <v>171.76</v>
      </c>
      <c r="BO120" s="78">
        <f>IFERROR(1/J120*(X120/H120),"0")</f>
        <v>0.3125</v>
      </c>
      <c r="BP120" s="78">
        <f>IFERROR(1/J120*(Y120/H120),"0")</f>
        <v>0.3125</v>
      </c>
    </row>
    <row r="121" spans="1:68" ht="27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20</v>
      </c>
      <c r="Y124" s="43">
        <f>IFERROR(Y120/H120,"0")+IFERROR(Y121/H121,"0")+IFERROR(Y122/H122,"0")+IFERROR(Y123/H123,"0")</f>
        <v>20</v>
      </c>
      <c r="Z124" s="43">
        <f>IFERROR(IF(Z120="",0,Z120),"0")+IFERROR(IF(Z121="",0,Z121),"0")+IFERROR(IF(Z122="",0,Z122),"0")+IFERROR(IF(Z123="",0,Z123),"0")</f>
        <v>0.37959999999999999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162</v>
      </c>
      <c r="Y125" s="43">
        <f>IFERROR(SUM(Y120:Y123),"0")</f>
        <v>162</v>
      </c>
      <c r="Z125" s="42"/>
      <c r="AA125" s="67"/>
      <c r="AB125" s="67"/>
      <c r="AC125" s="67"/>
    </row>
    <row r="126" spans="1:68" ht="14.25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35</v>
      </c>
      <c r="Y174" s="55">
        <f t="shared" si="16"/>
        <v>35</v>
      </c>
      <c r="Z174" s="41">
        <f>IFERROR(IF(Y174=0,"",ROUNDUP(Y174/H174,0)*0.00902),"")</f>
        <v>9.0200000000000002E-2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37.65</v>
      </c>
      <c r="BN174" s="78">
        <f t="shared" si="18"/>
        <v>37.65</v>
      </c>
      <c r="BO174" s="78">
        <f t="shared" si="19"/>
        <v>7.575757575757576E-2</v>
      </c>
      <c r="BP174" s="78">
        <f t="shared" si="20"/>
        <v>7.575757575757576E-2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10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10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9.0200000000000002E-2</v>
      </c>
      <c r="AA185" s="67"/>
      <c r="AB185" s="67"/>
      <c r="AC185" s="67"/>
    </row>
    <row r="186" spans="1:68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35</v>
      </c>
      <c r="Y186" s="43">
        <f>IFERROR(SUM(Y173:Y184),"0")</f>
        <v>35</v>
      </c>
      <c r="Z186" s="42"/>
      <c r="AA186" s="67"/>
      <c r="AB186" s="67"/>
      <c r="AC186" s="67"/>
    </row>
    <row r="187" spans="1:68" ht="14.25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27</v>
      </c>
      <c r="Y266" s="55">
        <f t="shared" ref="Y266:Y273" si="38">IFERROR(IF(X266="",0,CEILING((X266/$H266),1)*$H266),"")</f>
        <v>27</v>
      </c>
      <c r="Z266" s="41">
        <f>IFERROR(IF(Y266=0,"",ROUNDUP(Y266/H266,0)*0.00902),"")</f>
        <v>4.5100000000000001E-2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27.95</v>
      </c>
      <c r="BN266" s="78">
        <f t="shared" ref="BN266:BN273" si="40">IFERROR(Y266*I266/H266,"0")</f>
        <v>27.95</v>
      </c>
      <c r="BO266" s="78">
        <f t="shared" ref="BO266:BO273" si="41">IFERROR(1/J266*(X266/H266),"0")</f>
        <v>3.787878787878788E-2</v>
      </c>
      <c r="BP266" s="78">
        <f t="shared" ref="BP266:BP273" si="42">IFERROR(1/J266*(Y266/H266),"0")</f>
        <v>3.787878787878788E-2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27</v>
      </c>
      <c r="Y267" s="55">
        <f t="shared" si="38"/>
        <v>27</v>
      </c>
      <c r="Z267" s="41">
        <f>IFERROR(IF(Y267=0,"",ROUNDUP(Y267/H267,0)*0.00902),"")</f>
        <v>4.5100000000000001E-2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27.95</v>
      </c>
      <c r="BN267" s="78">
        <f t="shared" si="40"/>
        <v>27.95</v>
      </c>
      <c r="BO267" s="78">
        <f t="shared" si="41"/>
        <v>3.787878787878788E-2</v>
      </c>
      <c r="BP267" s="78">
        <f t="shared" si="42"/>
        <v>3.787878787878788E-2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27</v>
      </c>
      <c r="Y268" s="55">
        <f t="shared" si="38"/>
        <v>27</v>
      </c>
      <c r="Z268" s="41">
        <f>IFERROR(IF(Y268=0,"",ROUNDUP(Y268/H268,0)*0.00902),"")</f>
        <v>4.5100000000000001E-2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27.95</v>
      </c>
      <c r="BN268" s="78">
        <f t="shared" si="40"/>
        <v>27.95</v>
      </c>
      <c r="BO268" s="78">
        <f t="shared" si="41"/>
        <v>3.787878787878788E-2</v>
      </c>
      <c r="BP268" s="78">
        <f t="shared" si="42"/>
        <v>3.787878787878788E-2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27</v>
      </c>
      <c r="Y269" s="55">
        <f t="shared" si="38"/>
        <v>27</v>
      </c>
      <c r="Z269" s="41">
        <f>IFERROR(IF(Y269=0,"",ROUNDUP(Y269/H269,0)*0.00902),"")</f>
        <v>4.5100000000000001E-2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27.95</v>
      </c>
      <c r="BN269" s="78">
        <f t="shared" si="40"/>
        <v>27.95</v>
      </c>
      <c r="BO269" s="78">
        <f t="shared" si="41"/>
        <v>3.787878787878788E-2</v>
      </c>
      <c r="BP269" s="78">
        <f t="shared" si="42"/>
        <v>3.787878787878788E-2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20</v>
      </c>
      <c r="Y274" s="43">
        <f>IFERROR(Y266/H266,"0")+IFERROR(Y267/H267,"0")+IFERROR(Y268/H268,"0")+IFERROR(Y269/H269,"0")+IFERROR(Y270/H270,"0")+IFERROR(Y271/H271,"0")+IFERROR(Y272/H272,"0")+IFERROR(Y273/H273,"0")</f>
        <v>20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0.1804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108</v>
      </c>
      <c r="Y275" s="43">
        <f>IFERROR(SUM(Y266:Y273),"0")</f>
        <v>108</v>
      </c>
      <c r="Z275" s="42"/>
      <c r="AA275" s="67"/>
      <c r="AB275" s="67"/>
      <c r="AC275" s="67"/>
    </row>
    <row r="276" spans="1:68" ht="14.25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108</v>
      </c>
      <c r="Y324" s="55">
        <f t="shared" si="53"/>
        <v>108</v>
      </c>
      <c r="Z324" s="41">
        <f>IFERROR(IF(Y324=0,"",ROUNDUP(Y324/H324,0)*0.01898),"")</f>
        <v>0.1898</v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112.1</v>
      </c>
      <c r="BN324" s="78">
        <f t="shared" si="55"/>
        <v>112.1</v>
      </c>
      <c r="BO324" s="78">
        <f t="shared" si="56"/>
        <v>0.15625</v>
      </c>
      <c r="BP324" s="78">
        <f t="shared" si="57"/>
        <v>0.15625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10</v>
      </c>
      <c r="Y327" s="43">
        <f>IFERROR(Y321/H321,"0")+IFERROR(Y322/H322,"0")+IFERROR(Y323/H323,"0")+IFERROR(Y324/H324,"0")+IFERROR(Y325/H325,"0")+IFERROR(Y326/H326,"0")</f>
        <v>10</v>
      </c>
      <c r="Z327" s="43">
        <f>IFERROR(IF(Z321="",0,Z321),"0")+IFERROR(IF(Z322="",0,Z322),"0")+IFERROR(IF(Z323="",0,Z323),"0")+IFERROR(IF(Z324="",0,Z324),"0")+IFERROR(IF(Z325="",0,Z325),"0")+IFERROR(IF(Z326="",0,Z326),"0")</f>
        <v>0.1898</v>
      </c>
      <c r="AA327" s="67"/>
      <c r="AB327" s="67"/>
      <c r="AC327" s="67"/>
    </row>
    <row r="328" spans="1:68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108</v>
      </c>
      <c r="Y328" s="43">
        <f>IFERROR(SUM(Y321:Y326),"0")</f>
        <v>108</v>
      </c>
      <c r="Z328" s="42"/>
      <c r="AA328" s="67"/>
      <c r="AB328" s="67"/>
      <c r="AC328" s="67"/>
    </row>
    <row r="329" spans="1:68" ht="16.5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54</v>
      </c>
      <c r="Y361" s="55">
        <f t="shared" si="58"/>
        <v>54</v>
      </c>
      <c r="Z361" s="41">
        <f>IFERROR(IF(Y361=0,"",ROUNDUP(Y361/H361,0)*0.01898),"")</f>
        <v>9.4899999999999998E-2</v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56.05</v>
      </c>
      <c r="BN361" s="78">
        <f t="shared" si="60"/>
        <v>56.05</v>
      </c>
      <c r="BO361" s="78">
        <f t="shared" si="61"/>
        <v>7.8125E-2</v>
      </c>
      <c r="BP361" s="78">
        <f t="shared" si="62"/>
        <v>7.8125E-2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54</v>
      </c>
      <c r="Y362" s="55">
        <f t="shared" si="58"/>
        <v>54</v>
      </c>
      <c r="Z362" s="41">
        <f>IFERROR(IF(Y362=0,"",ROUNDUP(Y362/H362,0)*0.01898),"")</f>
        <v>9.4899999999999998E-2</v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56.05</v>
      </c>
      <c r="BN362" s="78">
        <f t="shared" si="60"/>
        <v>56.05</v>
      </c>
      <c r="BO362" s="78">
        <f t="shared" si="61"/>
        <v>7.8125E-2</v>
      </c>
      <c r="BP362" s="78">
        <f t="shared" si="62"/>
        <v>7.8125E-2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40</v>
      </c>
      <c r="Y365" s="55">
        <f t="shared" si="58"/>
        <v>40</v>
      </c>
      <c r="Z365" s="41">
        <f>IFERROR(IF(Y365=0,"",ROUNDUP(Y365/H365,0)*0.00902),"")</f>
        <v>9.0200000000000002E-2</v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41.900000000000006</v>
      </c>
      <c r="BN365" s="78">
        <f t="shared" si="60"/>
        <v>41.900000000000006</v>
      </c>
      <c r="BO365" s="78">
        <f t="shared" si="61"/>
        <v>7.575757575757576E-2</v>
      </c>
      <c r="BP365" s="78">
        <f t="shared" si="62"/>
        <v>7.575757575757576E-2</v>
      </c>
    </row>
    <row r="366" spans="1:68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20</v>
      </c>
      <c r="Y366" s="43">
        <f>IFERROR(Y359/H359,"0")+IFERROR(Y360/H360,"0")+IFERROR(Y361/H361,"0")+IFERROR(Y362/H362,"0")+IFERROR(Y363/H363,"0")+IFERROR(Y364/H364,"0")+IFERROR(Y365/H365,"0")</f>
        <v>20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0.28000000000000003</v>
      </c>
      <c r="AA366" s="67"/>
      <c r="AB366" s="67"/>
      <c r="AC366" s="67"/>
    </row>
    <row r="367" spans="1:68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148</v>
      </c>
      <c r="Y367" s="43">
        <f>IFERROR(SUM(Y359:Y365),"0")</f>
        <v>148</v>
      </c>
      <c r="Z367" s="42"/>
      <c r="AA367" s="67"/>
      <c r="AB367" s="67"/>
      <c r="AC367" s="67"/>
    </row>
    <row r="368" spans="1:68" ht="14.25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63</v>
      </c>
      <c r="Y369" s="55">
        <f t="shared" ref="Y369:Y375" si="63">IFERROR(IF(X369="",0,CEILING((X369/$H369),1)*$H369),"")</f>
        <v>63</v>
      </c>
      <c r="Z369" s="41">
        <f>IFERROR(IF(Y369=0,"",ROUNDUP(Y369/H369,0)*0.00902),"")</f>
        <v>0.1353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66.75</v>
      </c>
      <c r="BN369" s="78">
        <f t="shared" ref="BN369:BN375" si="65">IFERROR(Y369*I369/H369,"0")</f>
        <v>66.75</v>
      </c>
      <c r="BO369" s="78">
        <f t="shared" ref="BO369:BO375" si="66">IFERROR(1/J369*(X369/H369),"0")</f>
        <v>0.11363636363636365</v>
      </c>
      <c r="BP369" s="78">
        <f t="shared" ref="BP369:BP375" si="67">IFERROR(1/J369*(Y369/H369),"0")</f>
        <v>0.11363636363636365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63</v>
      </c>
      <c r="Y370" s="55">
        <f t="shared" si="63"/>
        <v>63</v>
      </c>
      <c r="Z370" s="41">
        <f>IFERROR(IF(Y370=0,"",ROUNDUP(Y370/H370,0)*0.00902),"")</f>
        <v>0.1353</v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66.75</v>
      </c>
      <c r="BN370" s="78">
        <f t="shared" si="65"/>
        <v>66.75</v>
      </c>
      <c r="BO370" s="78">
        <f t="shared" si="66"/>
        <v>0.11363636363636365</v>
      </c>
      <c r="BP370" s="78">
        <f t="shared" si="67"/>
        <v>0.11363636363636365</v>
      </c>
    </row>
    <row r="371" spans="1:68" ht="27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10.5</v>
      </c>
      <c r="Y372" s="55">
        <f t="shared" si="63"/>
        <v>10.5</v>
      </c>
      <c r="Z372" s="41">
        <f>IFERROR(IF(Y372=0,"",ROUNDUP(Y372/H372,0)*0.00502),"")</f>
        <v>2.5100000000000001E-2</v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11.149999999999999</v>
      </c>
      <c r="BN372" s="78">
        <f t="shared" si="65"/>
        <v>11.149999999999999</v>
      </c>
      <c r="BO372" s="78">
        <f t="shared" si="66"/>
        <v>2.1367521367521368E-2</v>
      </c>
      <c r="BP372" s="78">
        <f t="shared" si="67"/>
        <v>2.1367521367521368E-2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35</v>
      </c>
      <c r="Y376" s="43">
        <f>IFERROR(Y369/H369,"0")+IFERROR(Y370/H370,"0")+IFERROR(Y371/H371,"0")+IFERROR(Y372/H372,"0")+IFERROR(Y373/H373,"0")+IFERROR(Y374/H374,"0")+IFERROR(Y375/H375,"0")</f>
        <v>35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0.29570000000000002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136.5</v>
      </c>
      <c r="Y377" s="43">
        <f>IFERROR(SUM(Y369:Y375),"0")</f>
        <v>136.5</v>
      </c>
      <c r="Z377" s="42"/>
      <c r="AA377" s="67"/>
      <c r="AB377" s="67"/>
      <c r="AC377" s="67"/>
    </row>
    <row r="378" spans="1:68" ht="14.25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18</v>
      </c>
      <c r="Y382" s="55">
        <f>IFERROR(IF(X382="",0,CEILING((X382/$H382),1)*$H382),"")</f>
        <v>18</v>
      </c>
      <c r="Z382" s="41">
        <f>IFERROR(IF(Y382=0,"",ROUNDUP(Y382/H382,0)*0.00651),"")</f>
        <v>3.9059999999999997E-2</v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19.475999999999999</v>
      </c>
      <c r="BN382" s="78">
        <f>IFERROR(Y382*I382/H382,"0")</f>
        <v>19.475999999999999</v>
      </c>
      <c r="BO382" s="78">
        <f>IFERROR(1/J382*(X382/H382),"0")</f>
        <v>3.2967032967032968E-2</v>
      </c>
      <c r="BP382" s="78">
        <f>IFERROR(1/J382*(Y382/H382),"0")</f>
        <v>3.2967032967032968E-2</v>
      </c>
    </row>
    <row r="383" spans="1:68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6</v>
      </c>
      <c r="Y383" s="43">
        <f>IFERROR(Y379/H379,"0")+IFERROR(Y380/H380,"0")+IFERROR(Y381/H381,"0")+IFERROR(Y382/H382,"0")</f>
        <v>6</v>
      </c>
      <c r="Z383" s="43">
        <f>IFERROR(IF(Z379="",0,Z379),"0")+IFERROR(IF(Z380="",0,Z380),"0")+IFERROR(IF(Z381="",0,Z381),"0")+IFERROR(IF(Z382="",0,Z382),"0")</f>
        <v>3.9059999999999997E-2</v>
      </c>
      <c r="AA383" s="67"/>
      <c r="AB383" s="67"/>
      <c r="AC383" s="67"/>
    </row>
    <row r="384" spans="1:68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18</v>
      </c>
      <c r="Y384" s="43">
        <f>IFERROR(SUM(Y379:Y382),"0")</f>
        <v>18</v>
      </c>
      <c r="Z384" s="42"/>
      <c r="AA384" s="67"/>
      <c r="AB384" s="67"/>
      <c r="AC384" s="67"/>
    </row>
    <row r="385" spans="1:68" ht="14.25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195</v>
      </c>
      <c r="Y387" s="55">
        <f>IFERROR(IF(X387="",0,CEILING((X387/$H387),1)*$H387),"")</f>
        <v>195</v>
      </c>
      <c r="Z387" s="41">
        <f>IFERROR(IF(Y387=0,"",ROUNDUP(Y387/H387,0)*0.01898),"")</f>
        <v>0.47450000000000003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207.35000000000002</v>
      </c>
      <c r="BN387" s="78">
        <f>IFERROR(Y387*I387/H387,"0")</f>
        <v>207.35000000000002</v>
      </c>
      <c r="BO387" s="78">
        <f>IFERROR(1/J387*(X387/H387),"0")</f>
        <v>0.390625</v>
      </c>
      <c r="BP387" s="78">
        <f>IFERROR(1/J387*(Y387/H387),"0")</f>
        <v>0.390625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42</v>
      </c>
      <c r="Y388" s="55">
        <f>IFERROR(IF(X388="",0,CEILING((X388/$H388),1)*$H388),"")</f>
        <v>42</v>
      </c>
      <c r="Z388" s="41">
        <f>IFERROR(IF(Y388=0,"",ROUNDUP(Y388/H388,0)*0.01898),"")</f>
        <v>9.4899999999999998E-2</v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44.47</v>
      </c>
      <c r="BN388" s="78">
        <f>IFERROR(Y388*I388/H388,"0")</f>
        <v>44.47</v>
      </c>
      <c r="BO388" s="78">
        <f>IFERROR(1/J388*(X388/H388),"0")</f>
        <v>7.8125E-2</v>
      </c>
      <c r="BP388" s="78">
        <f>IFERROR(1/J388*(Y388/H388),"0")</f>
        <v>7.8125E-2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30</v>
      </c>
      <c r="Y389" s="43">
        <f>IFERROR(Y386/H386,"0")+IFERROR(Y387/H387,"0")+IFERROR(Y388/H388,"0")</f>
        <v>30</v>
      </c>
      <c r="Z389" s="43">
        <f>IFERROR(IF(Z386="",0,Z386),"0")+IFERROR(IF(Z387="",0,Z387),"0")+IFERROR(IF(Z388="",0,Z388),"0")</f>
        <v>0.56940000000000002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237</v>
      </c>
      <c r="Y390" s="43">
        <f>IFERROR(SUM(Y386:Y388),"0")</f>
        <v>237</v>
      </c>
      <c r="Z390" s="42"/>
      <c r="AA390" s="67"/>
      <c r="AB390" s="67"/>
      <c r="AC390" s="67"/>
    </row>
    <row r="391" spans="1:68" ht="14.25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39</v>
      </c>
      <c r="Y412" s="55">
        <f>IFERROR(IF(X412="",0,CEILING((X412/$H412),1)*$H412),"")</f>
        <v>39</v>
      </c>
      <c r="Z412" s="41">
        <f>IFERROR(IF(Y412=0,"",ROUNDUP(Y412/H412,0)*0.01898),"")</f>
        <v>9.4899999999999998E-2</v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41.050000000000011</v>
      </c>
      <c r="BN412" s="78">
        <f>IFERROR(Y412*I412/H412,"0")</f>
        <v>41.050000000000011</v>
      </c>
      <c r="BO412" s="78">
        <f>IFERROR(1/J412*(X412/H412),"0")</f>
        <v>7.8125E-2</v>
      </c>
      <c r="BP412" s="78">
        <f>IFERROR(1/J412*(Y412/H412),"0")</f>
        <v>7.8125E-2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39</v>
      </c>
      <c r="Y413" s="55">
        <f>IFERROR(IF(X413="",0,CEILING((X413/$H413),1)*$H413),"")</f>
        <v>39</v>
      </c>
      <c r="Z413" s="41">
        <f>IFERROR(IF(Y413=0,"",ROUNDUP(Y413/H413,0)*0.01898),"")</f>
        <v>9.4899999999999998E-2</v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41.050000000000011</v>
      </c>
      <c r="BN413" s="78">
        <f>IFERROR(Y413*I413/H413,"0")</f>
        <v>41.050000000000011</v>
      </c>
      <c r="BO413" s="78">
        <f>IFERROR(1/J413*(X413/H413),"0")</f>
        <v>7.8125E-2</v>
      </c>
      <c r="BP413" s="78">
        <f>IFERROR(1/J413*(Y413/H413),"0")</f>
        <v>7.8125E-2</v>
      </c>
    </row>
    <row r="414" spans="1:68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10</v>
      </c>
      <c r="Y414" s="43">
        <f>IFERROR(Y412/H412,"0")+IFERROR(Y413/H413,"0")</f>
        <v>10</v>
      </c>
      <c r="Z414" s="43">
        <f>IFERROR(IF(Z412="",0,Z412),"0")+IFERROR(IF(Z413="",0,Z413),"0")</f>
        <v>0.1898</v>
      </c>
      <c r="AA414" s="67"/>
      <c r="AB414" s="67"/>
      <c r="AC414" s="67"/>
    </row>
    <row r="415" spans="1:68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78</v>
      </c>
      <c r="Y415" s="43">
        <f>IFERROR(SUM(Y412:Y413),"0")</f>
        <v>78</v>
      </c>
      <c r="Z415" s="42"/>
      <c r="AA415" s="67"/>
      <c r="AB415" s="67"/>
      <c r="AC415" s="67"/>
    </row>
    <row r="416" spans="1:68" ht="16.5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162</v>
      </c>
      <c r="Y418" s="55">
        <f>IFERROR(IF(X418="",0,CEILING((X418/$H418),1)*$H418),"")</f>
        <v>162</v>
      </c>
      <c r="Z418" s="41">
        <f>IFERROR(IF(Y418=0,"",ROUNDUP(Y418/H418,0)*0.01898),"")</f>
        <v>0.37959999999999999</v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171.88</v>
      </c>
      <c r="BN418" s="78">
        <f>IFERROR(Y418*I418/H418,"0")</f>
        <v>171.88</v>
      </c>
      <c r="BO418" s="78">
        <f>IFERROR(1/J418*(X418/H418),"0")</f>
        <v>0.3125</v>
      </c>
      <c r="BP418" s="78">
        <f>IFERROR(1/J418*(Y418/H418),"0")</f>
        <v>0.3125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12.6</v>
      </c>
      <c r="Y419" s="55">
        <f>IFERROR(IF(X419="",0,CEILING((X419/$H419),1)*$H419),"")</f>
        <v>12.600000000000001</v>
      </c>
      <c r="Z419" s="41">
        <f>IFERROR(IF(Y419=0,"",ROUNDUP(Y419/H419,0)*0.00651),"")</f>
        <v>3.9059999999999997E-2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14.111999999999998</v>
      </c>
      <c r="BN419" s="78">
        <f>IFERROR(Y419*I419/H419,"0")</f>
        <v>14.112</v>
      </c>
      <c r="BO419" s="78">
        <f>IFERROR(1/J419*(X419/H419),"0")</f>
        <v>3.2967032967032968E-2</v>
      </c>
      <c r="BP419" s="78">
        <f>IFERROR(1/J419*(Y419/H419),"0")</f>
        <v>3.2967032967032968E-2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12.6</v>
      </c>
      <c r="Y420" s="55">
        <f>IFERROR(IF(X420="",0,CEILING((X420/$H420),1)*$H420),"")</f>
        <v>12.600000000000001</v>
      </c>
      <c r="Z420" s="41">
        <f>IFERROR(IF(Y420=0,"",ROUNDUP(Y420/H420,0)*0.00651),"")</f>
        <v>3.9059999999999997E-2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14.04</v>
      </c>
      <c r="BN420" s="78">
        <f>IFERROR(Y420*I420/H420,"0")</f>
        <v>14.040000000000001</v>
      </c>
      <c r="BO420" s="78">
        <f>IFERROR(1/J420*(X420/H420),"0")</f>
        <v>3.2967032967032968E-2</v>
      </c>
      <c r="BP420" s="78">
        <f>IFERROR(1/J420*(Y420/H420),"0")</f>
        <v>3.2967032967032968E-2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32</v>
      </c>
      <c r="Y421" s="43">
        <f>IFERROR(Y418/H418,"0")+IFERROR(Y419/H419,"0")+IFERROR(Y420/H420,"0")</f>
        <v>32</v>
      </c>
      <c r="Z421" s="43">
        <f>IFERROR(IF(Z418="",0,Z418),"0")+IFERROR(IF(Z419="",0,Z419),"0")+IFERROR(IF(Z420="",0,Z420),"0")</f>
        <v>0.45771999999999996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187.2</v>
      </c>
      <c r="Y422" s="43">
        <f>IFERROR(SUM(Y418:Y420),"0")</f>
        <v>187.2</v>
      </c>
      <c r="Z422" s="42"/>
      <c r="AA422" s="67"/>
      <c r="AB422" s="67"/>
      <c r="AC422" s="67"/>
    </row>
    <row r="423" spans="1:68" ht="27.75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720</v>
      </c>
      <c r="Y428" s="55">
        <f t="shared" si="68"/>
        <v>720</v>
      </c>
      <c r="Z428" s="41">
        <f>IFERROR(IF(Y428=0,"",ROUNDUP(Y428/H428,0)*0.02175),"")</f>
        <v>1.044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742.56</v>
      </c>
      <c r="BN428" s="78">
        <f t="shared" si="70"/>
        <v>742.56</v>
      </c>
      <c r="BO428" s="78">
        <f t="shared" si="71"/>
        <v>1</v>
      </c>
      <c r="BP428" s="78">
        <f t="shared" si="72"/>
        <v>1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1440</v>
      </c>
      <c r="Y429" s="55">
        <f t="shared" si="68"/>
        <v>1440</v>
      </c>
      <c r="Z429" s="41">
        <f>IFERROR(IF(Y429=0,"",ROUNDUP(Y429/H429,0)*0.02175),"")</f>
        <v>2.0880000000000001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1485.12</v>
      </c>
      <c r="BN429" s="78">
        <f t="shared" si="70"/>
        <v>1485.12</v>
      </c>
      <c r="BO429" s="78">
        <f t="shared" si="71"/>
        <v>2</v>
      </c>
      <c r="BP429" s="78">
        <f t="shared" si="72"/>
        <v>2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144</v>
      </c>
      <c r="Y434" s="43">
        <f>IFERROR(Y426/H426,"0")+IFERROR(Y427/H427,"0")+IFERROR(Y428/H428,"0")+IFERROR(Y429/H429,"0")+IFERROR(Y430/H430,"0")+IFERROR(Y431/H431,"0")+IFERROR(Y432/H432,"0")+IFERROR(Y433/H433,"0")</f>
        <v>144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3.1320000000000001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2160</v>
      </c>
      <c r="Y435" s="43">
        <f>IFERROR(SUM(Y426:Y433),"0")</f>
        <v>2160</v>
      </c>
      <c r="Z435" s="42"/>
      <c r="AA435" s="67"/>
      <c r="AB435" s="67"/>
      <c r="AC435" s="67"/>
    </row>
    <row r="436" spans="1:68" ht="14.25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720</v>
      </c>
      <c r="Y437" s="55">
        <f>IFERROR(IF(X437="",0,CEILING((X437/$H437),1)*$H437),"")</f>
        <v>720</v>
      </c>
      <c r="Z437" s="41">
        <f>IFERROR(IF(Y437=0,"",ROUNDUP(Y437/H437,0)*0.02175),"")</f>
        <v>1.044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742.56</v>
      </c>
      <c r="BN437" s="78">
        <f>IFERROR(Y437*I437/H437,"0")</f>
        <v>742.56</v>
      </c>
      <c r="BO437" s="78">
        <f>IFERROR(1/J437*(X437/H437),"0")</f>
        <v>1</v>
      </c>
      <c r="BP437" s="78">
        <f>IFERROR(1/J437*(Y437/H437),"0")</f>
        <v>1</v>
      </c>
    </row>
    <row r="438" spans="1:68" ht="27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48</v>
      </c>
      <c r="Y440" s="43">
        <f>IFERROR(Y437/H437,"0")+IFERROR(Y438/H438,"0")+IFERROR(Y439/H439,"0")</f>
        <v>48</v>
      </c>
      <c r="Z440" s="43">
        <f>IFERROR(IF(Z437="",0,Z437),"0")+IFERROR(IF(Z438="",0,Z438),"0")+IFERROR(IF(Z439="",0,Z439),"0")</f>
        <v>1.044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720</v>
      </c>
      <c r="Y441" s="43">
        <f>IFERROR(SUM(Y437:Y439),"0")</f>
        <v>720</v>
      </c>
      <c r="Z441" s="42"/>
      <c r="AA441" s="67"/>
      <c r="AB441" s="67"/>
      <c r="AC441" s="67"/>
    </row>
    <row r="442" spans="1:68" ht="14.25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36</v>
      </c>
      <c r="Y444" s="55">
        <f>IFERROR(IF(X444="",0,CEILING((X444/$H444),1)*$H444),"")</f>
        <v>36</v>
      </c>
      <c r="Z444" s="41">
        <f>IFERROR(IF(Y444=0,"",ROUNDUP(Y444/H444,0)*0.01898),"")</f>
        <v>7.5920000000000001E-2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37.975999999999999</v>
      </c>
      <c r="BN444" s="78">
        <f>IFERROR(Y444*I444/H444,"0")</f>
        <v>37.975999999999999</v>
      </c>
      <c r="BO444" s="78">
        <f>IFERROR(1/J444*(X444/H444),"0")</f>
        <v>6.25E-2</v>
      </c>
      <c r="BP444" s="78">
        <f>IFERROR(1/J444*(Y444/H444),"0")</f>
        <v>6.25E-2</v>
      </c>
    </row>
    <row r="445" spans="1:68" ht="27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4</v>
      </c>
      <c r="Y446" s="43">
        <f>IFERROR(Y443/H443,"0")+IFERROR(Y444/H444,"0")+IFERROR(Y445/H445,"0")</f>
        <v>4</v>
      </c>
      <c r="Z446" s="43">
        <f>IFERROR(IF(Z443="",0,Z443),"0")+IFERROR(IF(Z444="",0,Z444),"0")+IFERROR(IF(Z445="",0,Z445),"0")</f>
        <v>7.5920000000000001E-2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36</v>
      </c>
      <c r="Y447" s="43">
        <f>IFERROR(SUM(Y443:Y445),"0")</f>
        <v>36</v>
      </c>
      <c r="Z447" s="42"/>
      <c r="AA447" s="67"/>
      <c r="AB447" s="67"/>
      <c r="AC447" s="67"/>
    </row>
    <row r="448" spans="1:68" ht="14.25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105.6</v>
      </c>
      <c r="Y502" s="55">
        <f t="shared" si="78"/>
        <v>105.60000000000001</v>
      </c>
      <c r="Z502" s="41">
        <f t="shared" si="79"/>
        <v>0.2392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112.59999999999998</v>
      </c>
      <c r="BN502" s="78">
        <f t="shared" si="81"/>
        <v>112.6</v>
      </c>
      <c r="BO502" s="78">
        <f t="shared" si="82"/>
        <v>0.19230769230769229</v>
      </c>
      <c r="BP502" s="78">
        <f t="shared" si="83"/>
        <v>0.19230769230769232</v>
      </c>
    </row>
    <row r="503" spans="1:68" ht="16.5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105.6</v>
      </c>
      <c r="Y504" s="55">
        <f t="shared" si="78"/>
        <v>105.60000000000001</v>
      </c>
      <c r="Z504" s="41">
        <f t="shared" si="79"/>
        <v>0.2392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112.59999999999998</v>
      </c>
      <c r="BN504" s="78">
        <f t="shared" si="81"/>
        <v>112.6</v>
      </c>
      <c r="BO504" s="78">
        <f t="shared" si="82"/>
        <v>0.19230769230769229</v>
      </c>
      <c r="BP504" s="78">
        <f t="shared" si="83"/>
        <v>0.19230769230769232</v>
      </c>
    </row>
    <row r="505" spans="1:68" ht="27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39.999999999999993</v>
      </c>
      <c r="Y508" s="43">
        <f>IFERROR(Y499/H499,"0")+IFERROR(Y500/H500,"0")+IFERROR(Y501/H501,"0")+IFERROR(Y502/H502,"0")+IFERROR(Y503/H503,"0")+IFERROR(Y504/H504,"0")+IFERROR(Y505/H505,"0")+IFERROR(Y506/H506,"0")+IFERROR(Y507/H507,"0")</f>
        <v>40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0.47839999999999999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211.2</v>
      </c>
      <c r="Y509" s="43">
        <f>IFERROR(SUM(Y499:Y507),"0")</f>
        <v>211.20000000000002</v>
      </c>
      <c r="Z509" s="42"/>
      <c r="AA509" s="67"/>
      <c r="AB509" s="67"/>
      <c r="AC509" s="67"/>
    </row>
    <row r="510" spans="1:68" ht="14.25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105.6</v>
      </c>
      <c r="Y511" s="55">
        <f>IFERROR(IF(X511="",0,CEILING((X511/$H511),1)*$H511),"")</f>
        <v>105.60000000000001</v>
      </c>
      <c r="Z511" s="41">
        <f>IFERROR(IF(Y511=0,"",ROUNDUP(Y511/H511,0)*0.01196),"")</f>
        <v>0.2392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112.59999999999998</v>
      </c>
      <c r="BN511" s="78">
        <f>IFERROR(Y511*I511/H511,"0")</f>
        <v>112.6</v>
      </c>
      <c r="BO511" s="78">
        <f>IFERROR(1/J511*(X511/H511),"0")</f>
        <v>0.19230769230769229</v>
      </c>
      <c r="BP511" s="78">
        <f>IFERROR(1/J511*(Y511/H511),"0")</f>
        <v>0.19230769230769232</v>
      </c>
    </row>
    <row r="512" spans="1:68" ht="16.5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19.999999999999996</v>
      </c>
      <c r="Y514" s="43">
        <f>IFERROR(Y511/H511,"0")+IFERROR(Y512/H512,"0")+IFERROR(Y513/H513,"0")</f>
        <v>20</v>
      </c>
      <c r="Z514" s="43">
        <f>IFERROR(IF(Z511="",0,Z511),"0")+IFERROR(IF(Z512="",0,Z512),"0")+IFERROR(IF(Z513="",0,Z513),"0")</f>
        <v>0.2392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105.6</v>
      </c>
      <c r="Y515" s="43">
        <f>IFERROR(SUM(Y511:Y513),"0")</f>
        <v>105.60000000000001</v>
      </c>
      <c r="Z515" s="42"/>
      <c r="AA515" s="67"/>
      <c r="AB515" s="67"/>
      <c r="AC515" s="67"/>
    </row>
    <row r="516" spans="1:68" ht="14.25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52.8</v>
      </c>
      <c r="Y518" s="55">
        <f t="shared" si="84"/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56.29999999999999</v>
      </c>
      <c r="BN518" s="78">
        <f t="shared" si="86"/>
        <v>56.3</v>
      </c>
      <c r="BO518" s="78">
        <f t="shared" si="87"/>
        <v>9.6153846153846145E-2</v>
      </c>
      <c r="BP518" s="78">
        <f t="shared" si="88"/>
        <v>9.6153846153846159E-2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52.8</v>
      </c>
      <c r="Y519" s="55">
        <f t="shared" si="84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56.29999999999999</v>
      </c>
      <c r="BN519" s="78">
        <f t="shared" si="86"/>
        <v>56.3</v>
      </c>
      <c r="BO519" s="78">
        <f t="shared" si="87"/>
        <v>9.6153846153846145E-2</v>
      </c>
      <c r="BP519" s="78">
        <f t="shared" si="88"/>
        <v>9.6153846153846159E-2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19.999999999999996</v>
      </c>
      <c r="Y524" s="43">
        <f>IFERROR(Y517/H517,"0")+IFERROR(Y518/H518,"0")+IFERROR(Y519/H519,"0")+IFERROR(Y520/H520,"0")+IFERROR(Y521/H521,"0")+IFERROR(Y522/H522,"0")+IFERROR(Y523/H523,"0")</f>
        <v>20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0.2392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105.6</v>
      </c>
      <c r="Y525" s="43">
        <f>IFERROR(SUM(Y517:Y523),"0")</f>
        <v>105.60000000000001</v>
      </c>
      <c r="Z525" s="42"/>
      <c r="AA525" s="67"/>
      <c r="AB525" s="67"/>
      <c r="AC525" s="67"/>
    </row>
    <row r="526" spans="1:68" ht="27.75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42</v>
      </c>
      <c r="Y537" s="55">
        <f>IFERROR(IF(X537="",0,CEILING((X537/$H537),1)*$H537),"")</f>
        <v>42</v>
      </c>
      <c r="Z537" s="41">
        <f>IFERROR(IF(Y537=0,"",ROUNDUP(Y537/H537,0)*0.00902),"")</f>
        <v>9.0200000000000002E-2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44.5</v>
      </c>
      <c r="BN537" s="78">
        <f>IFERROR(Y537*I537/H537,"0")</f>
        <v>44.5</v>
      </c>
      <c r="BO537" s="78">
        <f>IFERROR(1/J537*(X537/H537),"0")</f>
        <v>7.575757575757576E-2</v>
      </c>
      <c r="BP537" s="78">
        <f>IFERROR(1/J537*(Y537/H537),"0")</f>
        <v>7.575757575757576E-2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10</v>
      </c>
      <c r="Y538" s="43">
        <f>IFERROR(Y537/H537,"0")</f>
        <v>10</v>
      </c>
      <c r="Z538" s="43">
        <f>IFERROR(IF(Z537="",0,Z537),"0")</f>
        <v>9.0200000000000002E-2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42</v>
      </c>
      <c r="Y539" s="43">
        <f>IFERROR(SUM(Y537:Y537),"0")</f>
        <v>42</v>
      </c>
      <c r="Z539" s="42"/>
      <c r="AA539" s="67"/>
      <c r="AB539" s="67"/>
      <c r="AC539" s="67"/>
    </row>
    <row r="540" spans="1:68" ht="14.25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5722.3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5722.3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5960.5740000000014</v>
      </c>
      <c r="Y555" s="43">
        <f>IFERROR(SUM(BN22:BN551),"0")</f>
        <v>5960.5740000000014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9</v>
      </c>
      <c r="Y556" s="44">
        <f>ROUNDUP(SUM(BP22:BP551),0)</f>
        <v>9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6185.5740000000014</v>
      </c>
      <c r="Y557" s="43">
        <f>GrossWeightTotalR+PalletQtyTotalR*25</f>
        <v>6185.5740000000014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608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608</v>
      </c>
      <c r="Z558" s="42"/>
      <c r="AA558" s="67"/>
      <c r="AB558" s="67"/>
      <c r="AC558" s="67"/>
    </row>
    <row r="559" spans="1:68" ht="14.25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10.095120000000001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148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814.2</v>
      </c>
      <c r="F564" s="52">
        <f>IFERROR(Y85*1,"0")+IFERROR(Y86*1,"0")+IFERROR(Y87*1,"0")+IFERROR(Y88*1,"0")+IFERROR(Y89*1,"0")+IFERROR(Y93*1,"0")+IFERROR(Y94*1,"0")+IFERROR(Y95*1,"0")+IFERROR(Y96*1,"0")</f>
        <v>162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162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35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108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108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539.5</v>
      </c>
      <c r="U564" s="52">
        <f>IFERROR(Y412*1,"0")+IFERROR(Y413*1,"0")</f>
        <v>78</v>
      </c>
      <c r="V564" s="52">
        <f>IFERROR(Y418*1,"0")+IFERROR(Y419*1,"0")+IFERROR(Y420*1,"0")</f>
        <v>187.2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2916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2">
        <f>IFERROR(Y529*1,"0")+IFERROR(Y533*1,"0")+IFERROR(Y537*1,"0")+IFERROR(Y541*1,"0")+IFERROR(Y545*1,"0")+IFERROR(Y546*1,"0")</f>
        <v>42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2026-09-23T09:05:03Z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