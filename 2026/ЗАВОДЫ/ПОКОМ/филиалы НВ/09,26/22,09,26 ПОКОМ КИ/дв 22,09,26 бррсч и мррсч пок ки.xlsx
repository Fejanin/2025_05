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FF8889E-D82A-4CD3-9618-1236FD59B4C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Sheet!$A$3:$AP$132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7" i="1" l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6" i="1"/>
  <c r="AC38" i="1" l="1"/>
  <c r="Y23" i="1" l="1"/>
  <c r="AC100" i="1"/>
  <c r="AA131" i="1"/>
  <c r="AA130" i="1"/>
  <c r="AC130" i="1" s="1"/>
  <c r="AA128" i="1"/>
  <c r="AA127" i="1"/>
  <c r="AA114" i="1"/>
  <c r="AA112" i="1"/>
  <c r="AA109" i="1"/>
  <c r="AA108" i="1"/>
  <c r="AA107" i="1"/>
  <c r="AA101" i="1"/>
  <c r="AC101" i="1" s="1"/>
  <c r="AA98" i="1"/>
  <c r="AA97" i="1"/>
  <c r="AA96" i="1"/>
  <c r="AA94" i="1"/>
  <c r="AA84" i="1"/>
  <c r="AA83" i="1"/>
  <c r="AA78" i="1"/>
  <c r="AA77" i="1"/>
  <c r="AA76" i="1"/>
  <c r="AA72" i="1"/>
  <c r="AA70" i="1"/>
  <c r="AA68" i="1"/>
  <c r="AA67" i="1"/>
  <c r="AA64" i="1"/>
  <c r="AA63" i="1"/>
  <c r="AA56" i="1"/>
  <c r="AC56" i="1" s="1"/>
  <c r="AA55" i="1"/>
  <c r="AA48" i="1"/>
  <c r="AA45" i="1"/>
  <c r="AA43" i="1"/>
  <c r="AA42" i="1"/>
  <c r="AA40" i="1"/>
  <c r="AA36" i="1"/>
  <c r="AA35" i="1"/>
  <c r="AA31" i="1"/>
  <c r="AA28" i="1"/>
  <c r="AC28" i="1" s="1"/>
  <c r="AA15" i="1"/>
  <c r="AA13" i="1"/>
  <c r="AA9" i="1"/>
  <c r="AA14" i="1"/>
  <c r="AA17" i="1"/>
  <c r="AA18" i="1"/>
  <c r="AA19" i="1"/>
  <c r="AA20" i="1"/>
  <c r="AA22" i="1"/>
  <c r="AC22" i="1" s="1"/>
  <c r="AA23" i="1"/>
  <c r="AA24" i="1"/>
  <c r="AA25" i="1"/>
  <c r="AA26" i="1"/>
  <c r="AA29" i="1"/>
  <c r="AA30" i="1"/>
  <c r="AA32" i="1"/>
  <c r="AC32" i="1" s="1"/>
  <c r="AA33" i="1"/>
  <c r="AA34" i="1"/>
  <c r="AA37" i="1"/>
  <c r="AA44" i="1"/>
  <c r="AA47" i="1"/>
  <c r="AA49" i="1"/>
  <c r="AA51" i="1"/>
  <c r="AA52" i="1"/>
  <c r="AA53" i="1"/>
  <c r="AA57" i="1"/>
  <c r="AA62" i="1"/>
  <c r="AA71" i="1"/>
  <c r="AA75" i="1"/>
  <c r="AA79" i="1"/>
  <c r="AA81" i="1"/>
  <c r="AA82" i="1"/>
  <c r="AA85" i="1"/>
  <c r="AA86" i="1"/>
  <c r="AA87" i="1"/>
  <c r="AA89" i="1"/>
  <c r="AA92" i="1"/>
  <c r="AA93" i="1"/>
  <c r="AA95" i="1"/>
  <c r="AA99" i="1"/>
  <c r="AA100" i="1"/>
  <c r="AA102" i="1"/>
  <c r="AA103" i="1"/>
  <c r="AA106" i="1"/>
  <c r="AC106" i="1" s="1"/>
  <c r="AA110" i="1"/>
  <c r="AA111" i="1"/>
  <c r="AA113" i="1"/>
  <c r="AD113" i="1" s="1"/>
  <c r="AC113" i="1" s="1"/>
  <c r="AA116" i="1"/>
  <c r="AA117" i="1"/>
  <c r="AA121" i="1"/>
  <c r="AC121" i="1" s="1"/>
  <c r="AA122" i="1"/>
  <c r="AA123" i="1"/>
  <c r="AC123" i="1" s="1"/>
  <c r="AA124" i="1"/>
  <c r="AC124" i="1" s="1"/>
  <c r="AA125" i="1"/>
  <c r="AA126" i="1"/>
  <c r="AA129" i="1"/>
  <c r="AC129" i="1" s="1"/>
  <c r="AA132" i="1"/>
  <c r="AA6" i="1"/>
  <c r="AD6" i="1" l="1"/>
  <c r="AC6" i="1" s="1"/>
  <c r="AD116" i="1"/>
  <c r="AC116" i="1" s="1"/>
  <c r="AD102" i="1"/>
  <c r="AC102" i="1" s="1"/>
  <c r="AD81" i="1"/>
  <c r="AC81" i="1" s="1"/>
  <c r="AD47" i="1"/>
  <c r="AC47" i="1" s="1"/>
  <c r="AD24" i="1"/>
  <c r="AC24" i="1" s="1"/>
  <c r="AD17" i="1"/>
  <c r="AC17" i="1" s="1"/>
  <c r="AD31" i="1"/>
  <c r="AC31" i="1" s="1"/>
  <c r="AD36" i="1"/>
  <c r="AC36" i="1" s="1"/>
  <c r="AD40" i="1"/>
  <c r="AC40" i="1" s="1"/>
  <c r="AD107" i="1"/>
  <c r="AC107" i="1" s="1"/>
  <c r="AD109" i="1"/>
  <c r="AD114" i="1"/>
  <c r="AC114" i="1" s="1"/>
  <c r="AC109" i="1"/>
  <c r="AD122" i="1"/>
  <c r="AD79" i="1"/>
  <c r="AC79" i="1" s="1"/>
  <c r="AD57" i="1"/>
  <c r="AC57" i="1" s="1"/>
  <c r="AD20" i="1"/>
  <c r="AC20" i="1" s="1"/>
  <c r="AD67" i="1"/>
  <c r="AC67" i="1" s="1"/>
  <c r="AD72" i="1"/>
  <c r="AC72" i="1" s="1"/>
  <c r="AC122" i="1"/>
  <c r="AB131" i="1"/>
  <c r="AD131" i="1" s="1"/>
  <c r="AC131" i="1" s="1"/>
  <c r="AB129" i="1"/>
  <c r="AB128" i="1"/>
  <c r="AD128" i="1" s="1"/>
  <c r="AC128" i="1" s="1"/>
  <c r="AB127" i="1"/>
  <c r="AD127" i="1" s="1"/>
  <c r="AC127" i="1" s="1"/>
  <c r="AB126" i="1"/>
  <c r="AB125" i="1"/>
  <c r="AB124" i="1"/>
  <c r="AB123" i="1"/>
  <c r="AB122" i="1"/>
  <c r="AB121" i="1"/>
  <c r="AB120" i="1"/>
  <c r="AB119" i="1"/>
  <c r="AB118" i="1"/>
  <c r="AB117" i="1"/>
  <c r="AD117" i="1" s="1"/>
  <c r="AC117" i="1" s="1"/>
  <c r="AB116" i="1"/>
  <c r="AB115" i="1"/>
  <c r="AB114" i="1"/>
  <c r="AB112" i="1"/>
  <c r="AD112" i="1" s="1"/>
  <c r="AC112" i="1" s="1"/>
  <c r="AB109" i="1"/>
  <c r="AB108" i="1"/>
  <c r="AD108" i="1" s="1"/>
  <c r="AC108" i="1" s="1"/>
  <c r="AB107" i="1"/>
  <c r="AB106" i="1"/>
  <c r="AB105" i="1"/>
  <c r="AB104" i="1"/>
  <c r="AB102" i="1"/>
  <c r="AB101" i="1"/>
  <c r="AB100" i="1"/>
  <c r="AB98" i="1"/>
  <c r="AD98" i="1" s="1"/>
  <c r="AC98" i="1" s="1"/>
  <c r="AB97" i="1"/>
  <c r="AD97" i="1" s="1"/>
  <c r="AC97" i="1" s="1"/>
  <c r="AB96" i="1"/>
  <c r="AD96" i="1" s="1"/>
  <c r="AC96" i="1" s="1"/>
  <c r="AB94" i="1"/>
  <c r="AD94" i="1" s="1"/>
  <c r="AC94" i="1" s="1"/>
  <c r="AB92" i="1"/>
  <c r="AB91" i="1"/>
  <c r="AB90" i="1"/>
  <c r="AB88" i="1"/>
  <c r="AB84" i="1"/>
  <c r="AD84" i="1" s="1"/>
  <c r="AC84" i="1" s="1"/>
  <c r="AB83" i="1"/>
  <c r="AD83" i="1" s="1"/>
  <c r="AC83" i="1" s="1"/>
  <c r="AB82" i="1"/>
  <c r="AD82" i="1" s="1"/>
  <c r="AC82" i="1" s="1"/>
  <c r="AB81" i="1"/>
  <c r="AB80" i="1"/>
  <c r="AB79" i="1"/>
  <c r="AB78" i="1"/>
  <c r="AD78" i="1" s="1"/>
  <c r="AC78" i="1" s="1"/>
  <c r="AB77" i="1"/>
  <c r="AD77" i="1" s="1"/>
  <c r="AC77" i="1" s="1"/>
  <c r="AB76" i="1"/>
  <c r="AD76" i="1" s="1"/>
  <c r="AC76" i="1" s="1"/>
  <c r="AB74" i="1"/>
  <c r="AB73" i="1"/>
  <c r="AB72" i="1"/>
  <c r="AB70" i="1"/>
  <c r="AD70" i="1" s="1"/>
  <c r="AC70" i="1" s="1"/>
  <c r="AB69" i="1"/>
  <c r="AD69" i="1" s="1"/>
  <c r="AC69" i="1" s="1"/>
  <c r="AB68" i="1"/>
  <c r="AD68" i="1" s="1"/>
  <c r="AC68" i="1" s="1"/>
  <c r="AB67" i="1"/>
  <c r="AB66" i="1"/>
  <c r="AD66" i="1" s="1"/>
  <c r="AC66" i="1" s="1"/>
  <c r="AB65" i="1"/>
  <c r="AB64" i="1"/>
  <c r="AD64" i="1" s="1"/>
  <c r="AC64" i="1" s="1"/>
  <c r="AB63" i="1"/>
  <c r="AD63" i="1" s="1"/>
  <c r="AC63" i="1" s="1"/>
  <c r="AB62" i="1"/>
  <c r="AD62" i="1" s="1"/>
  <c r="AC62" i="1" s="1"/>
  <c r="AB61" i="1"/>
  <c r="AB60" i="1"/>
  <c r="AB59" i="1"/>
  <c r="AB58" i="1"/>
  <c r="AB57" i="1"/>
  <c r="AB56" i="1"/>
  <c r="AB55" i="1"/>
  <c r="AD55" i="1" s="1"/>
  <c r="AC55" i="1" s="1"/>
  <c r="AB54" i="1"/>
  <c r="AB53" i="1"/>
  <c r="AB52" i="1"/>
  <c r="AD52" i="1" s="1"/>
  <c r="AC52" i="1" s="1"/>
  <c r="AB51" i="1"/>
  <c r="AD51" i="1" s="1"/>
  <c r="AC51" i="1" s="1"/>
  <c r="AB50" i="1"/>
  <c r="AB49" i="1"/>
  <c r="AB48" i="1"/>
  <c r="AD48" i="1" s="1"/>
  <c r="AC48" i="1" s="1"/>
  <c r="AB47" i="1"/>
  <c r="AB46" i="1"/>
  <c r="AD46" i="1" s="1"/>
  <c r="AC46" i="1" s="1"/>
  <c r="AB45" i="1"/>
  <c r="AD45" i="1" s="1"/>
  <c r="AC45" i="1" s="1"/>
  <c r="AB43" i="1"/>
  <c r="AD43" i="1" s="1"/>
  <c r="AC43" i="1" s="1"/>
  <c r="AB42" i="1"/>
  <c r="AD42" i="1" s="1"/>
  <c r="AC42" i="1" s="1"/>
  <c r="AB41" i="1"/>
  <c r="AB40" i="1"/>
  <c r="AB39" i="1"/>
  <c r="AD39" i="1" s="1"/>
  <c r="AC39" i="1" s="1"/>
  <c r="AB38" i="1"/>
  <c r="AB37" i="1"/>
  <c r="AB36" i="1"/>
  <c r="AB35" i="1"/>
  <c r="AD35" i="1" s="1"/>
  <c r="AC35" i="1" s="1"/>
  <c r="AB33" i="1"/>
  <c r="AD33" i="1" s="1"/>
  <c r="AC33" i="1" s="1"/>
  <c r="AB32" i="1"/>
  <c r="AB31" i="1"/>
  <c r="AB30" i="1"/>
  <c r="AB29" i="1"/>
  <c r="AD29" i="1" s="1"/>
  <c r="AC29" i="1" s="1"/>
  <c r="AB28" i="1"/>
  <c r="AB27" i="1"/>
  <c r="AB25" i="1"/>
  <c r="AB24" i="1"/>
  <c r="AB23" i="1"/>
  <c r="AB22" i="1"/>
  <c r="AB21" i="1"/>
  <c r="AB20" i="1"/>
  <c r="AB19" i="1"/>
  <c r="AB17" i="1"/>
  <c r="AB16" i="1"/>
  <c r="AB15" i="1"/>
  <c r="AD15" i="1" s="1"/>
  <c r="AC15" i="1" s="1"/>
  <c r="AB14" i="1"/>
  <c r="AB13" i="1"/>
  <c r="AD13" i="1" s="1"/>
  <c r="AC13" i="1" s="1"/>
  <c r="AB12" i="1"/>
  <c r="AB11" i="1"/>
  <c r="AB10" i="1"/>
  <c r="AC10" i="1" s="1"/>
  <c r="AB8" i="1"/>
  <c r="AB7" i="1"/>
  <c r="AB6" i="1"/>
  <c r="AC16" i="1" l="1"/>
  <c r="AD23" i="1"/>
  <c r="AC23" i="1" s="1"/>
  <c r="AD25" i="1"/>
  <c r="AC25" i="1" s="1"/>
  <c r="AD92" i="1"/>
  <c r="AC92" i="1" s="1"/>
  <c r="AD19" i="1"/>
  <c r="AC19" i="1" s="1"/>
  <c r="AD37" i="1"/>
  <c r="AC37" i="1" s="1"/>
  <c r="AD90" i="1"/>
  <c r="AC90" i="1" s="1"/>
  <c r="AD49" i="1"/>
  <c r="AC49" i="1" s="1"/>
  <c r="AD65" i="1"/>
  <c r="AC65" i="1" s="1"/>
  <c r="AD126" i="1"/>
  <c r="AC126" i="1" s="1"/>
  <c r="AD14" i="1"/>
  <c r="AC14" i="1" s="1"/>
  <c r="AD30" i="1"/>
  <c r="AC30" i="1" s="1"/>
  <c r="AD53" i="1"/>
  <c r="AC53" i="1" s="1"/>
  <c r="AD125" i="1"/>
  <c r="AC125" i="1" s="1"/>
  <c r="Y92" i="1"/>
  <c r="Y90" i="1"/>
  <c r="Y15" i="1" l="1"/>
  <c r="E58" i="1"/>
  <c r="F58" i="1"/>
  <c r="G7" i="1"/>
  <c r="G8" i="1"/>
  <c r="G11" i="1"/>
  <c r="G12" i="1"/>
  <c r="G14" i="1"/>
  <c r="G15" i="1"/>
  <c r="AE15" i="1" s="1"/>
  <c r="G16" i="1"/>
  <c r="G17" i="1"/>
  <c r="G19" i="1"/>
  <c r="G20" i="1"/>
  <c r="G21" i="1"/>
  <c r="G23" i="1"/>
  <c r="G24" i="1"/>
  <c r="G25" i="1"/>
  <c r="G27" i="1"/>
  <c r="G30" i="1"/>
  <c r="G36" i="1"/>
  <c r="G37" i="1"/>
  <c r="G38" i="1"/>
  <c r="G40" i="1"/>
  <c r="G41" i="1"/>
  <c r="G45" i="1"/>
  <c r="G49" i="1"/>
  <c r="G50" i="1"/>
  <c r="G53" i="1"/>
  <c r="G54" i="1"/>
  <c r="G57" i="1"/>
  <c r="G59" i="1"/>
  <c r="G61" i="1"/>
  <c r="G65" i="1"/>
  <c r="G67" i="1"/>
  <c r="G69" i="1"/>
  <c r="G72" i="1"/>
  <c r="G73" i="1"/>
  <c r="G74" i="1"/>
  <c r="G76" i="1"/>
  <c r="G77" i="1"/>
  <c r="G78" i="1"/>
  <c r="G80" i="1"/>
  <c r="G83" i="1"/>
  <c r="G88" i="1"/>
  <c r="G90" i="1"/>
  <c r="AE90" i="1" s="1"/>
  <c r="G92" i="1"/>
  <c r="AE92" i="1" s="1"/>
  <c r="G102" i="1"/>
  <c r="G115" i="1"/>
  <c r="G118" i="1"/>
  <c r="G119" i="1"/>
  <c r="G120" i="1"/>
  <c r="G123" i="1"/>
  <c r="G125" i="1"/>
  <c r="G126" i="1"/>
  <c r="G132" i="1"/>
  <c r="G6" i="1"/>
  <c r="G58" i="1" l="1"/>
  <c r="G5" i="1" s="1"/>
  <c r="Y7" i="1"/>
  <c r="Y8" i="1"/>
  <c r="Y9" i="1"/>
  <c r="AE9" i="1" s="1"/>
  <c r="Y10" i="1"/>
  <c r="AE10" i="1" s="1"/>
  <c r="Y11" i="1"/>
  <c r="Z11" i="1" s="1"/>
  <c r="AA11" i="1" s="1"/>
  <c r="AD11" i="1" s="1"/>
  <c r="AC11" i="1" s="1"/>
  <c r="Y12" i="1"/>
  <c r="Z12" i="1" s="1"/>
  <c r="AA12" i="1" s="1"/>
  <c r="Y13" i="1"/>
  <c r="AE13" i="1" s="1"/>
  <c r="Y14" i="1"/>
  <c r="AE14" i="1" s="1"/>
  <c r="Y16" i="1"/>
  <c r="AE16" i="1" s="1"/>
  <c r="Y17" i="1"/>
  <c r="AE17" i="1" s="1"/>
  <c r="Y18" i="1"/>
  <c r="AE18" i="1" s="1"/>
  <c r="Y19" i="1"/>
  <c r="AE19" i="1" s="1"/>
  <c r="Y20" i="1"/>
  <c r="AE20" i="1" s="1"/>
  <c r="Y21" i="1"/>
  <c r="Z21" i="1" s="1"/>
  <c r="AA21" i="1" s="1"/>
  <c r="Y22" i="1"/>
  <c r="AE22" i="1" s="1"/>
  <c r="AE23" i="1"/>
  <c r="Y24" i="1"/>
  <c r="AE24" i="1" s="1"/>
  <c r="Y25" i="1"/>
  <c r="AE25" i="1" s="1"/>
  <c r="Y26" i="1"/>
  <c r="AE26" i="1" s="1"/>
  <c r="Y27" i="1"/>
  <c r="Z27" i="1" s="1"/>
  <c r="AA27" i="1" s="1"/>
  <c r="Y28" i="1"/>
  <c r="AE28" i="1" s="1"/>
  <c r="Y29" i="1"/>
  <c r="AE29" i="1" s="1"/>
  <c r="Y30" i="1"/>
  <c r="AE30" i="1" s="1"/>
  <c r="Y31" i="1"/>
  <c r="AE31" i="1" s="1"/>
  <c r="Y32" i="1"/>
  <c r="AE32" i="1" s="1"/>
  <c r="Y33" i="1"/>
  <c r="AE33" i="1" s="1"/>
  <c r="Y34" i="1"/>
  <c r="AE34" i="1" s="1"/>
  <c r="Y35" i="1"/>
  <c r="AE35" i="1" s="1"/>
  <c r="Y36" i="1"/>
  <c r="AE36" i="1" s="1"/>
  <c r="Y37" i="1"/>
  <c r="AE37" i="1" s="1"/>
  <c r="Y38" i="1"/>
  <c r="AE38" i="1" s="1"/>
  <c r="Y39" i="1"/>
  <c r="AE39" i="1" s="1"/>
  <c r="Y40" i="1"/>
  <c r="AE40" i="1" s="1"/>
  <c r="Y41" i="1"/>
  <c r="Z41" i="1" s="1"/>
  <c r="AA41" i="1" s="1"/>
  <c r="Y42" i="1"/>
  <c r="AE42" i="1" s="1"/>
  <c r="Y43" i="1"/>
  <c r="AE43" i="1" s="1"/>
  <c r="Y44" i="1"/>
  <c r="AE44" i="1" s="1"/>
  <c r="Y45" i="1"/>
  <c r="AE45" i="1" s="1"/>
  <c r="Y46" i="1"/>
  <c r="AE46" i="1" s="1"/>
  <c r="Y47" i="1"/>
  <c r="AE47" i="1" s="1"/>
  <c r="Y48" i="1"/>
  <c r="AE48" i="1" s="1"/>
  <c r="Y49" i="1"/>
  <c r="AE49" i="1" s="1"/>
  <c r="Y50" i="1"/>
  <c r="Y51" i="1"/>
  <c r="AE51" i="1" s="1"/>
  <c r="Y52" i="1"/>
  <c r="AE52" i="1" s="1"/>
  <c r="Y53" i="1"/>
  <c r="AE53" i="1" s="1"/>
  <c r="Y54" i="1"/>
  <c r="Y55" i="1"/>
  <c r="AE55" i="1" s="1"/>
  <c r="Y56" i="1"/>
  <c r="AE56" i="1" s="1"/>
  <c r="Y57" i="1"/>
  <c r="AE57" i="1" s="1"/>
  <c r="Y58" i="1"/>
  <c r="Y59" i="1"/>
  <c r="Z59" i="1" s="1"/>
  <c r="AA59" i="1" s="1"/>
  <c r="AD59" i="1" s="1"/>
  <c r="AC59" i="1" s="1"/>
  <c r="Y60" i="1"/>
  <c r="Z60" i="1" s="1"/>
  <c r="AA60" i="1" s="1"/>
  <c r="Y61" i="1"/>
  <c r="Y62" i="1"/>
  <c r="AE62" i="1" s="1"/>
  <c r="Y63" i="1"/>
  <c r="AE63" i="1" s="1"/>
  <c r="Y64" i="1"/>
  <c r="AE64" i="1" s="1"/>
  <c r="Y65" i="1"/>
  <c r="AE65" i="1" s="1"/>
  <c r="Y66" i="1"/>
  <c r="AE66" i="1" s="1"/>
  <c r="Y67" i="1"/>
  <c r="AE67" i="1" s="1"/>
  <c r="Y68" i="1"/>
  <c r="AE68" i="1" s="1"/>
  <c r="Y69" i="1"/>
  <c r="AE69" i="1" s="1"/>
  <c r="Y70" i="1"/>
  <c r="AE70" i="1" s="1"/>
  <c r="Y71" i="1"/>
  <c r="AE71" i="1" s="1"/>
  <c r="Y72" i="1"/>
  <c r="AE72" i="1" s="1"/>
  <c r="Y73" i="1"/>
  <c r="Z73" i="1" s="1"/>
  <c r="AA73" i="1" s="1"/>
  <c r="Y74" i="1"/>
  <c r="Z74" i="1" s="1"/>
  <c r="AA74" i="1" s="1"/>
  <c r="AD74" i="1" s="1"/>
  <c r="AC74" i="1" s="1"/>
  <c r="Y75" i="1"/>
  <c r="AE75" i="1" s="1"/>
  <c r="Y76" i="1"/>
  <c r="AE76" i="1" s="1"/>
  <c r="Y77" i="1"/>
  <c r="AE77" i="1" s="1"/>
  <c r="Y78" i="1"/>
  <c r="AE78" i="1" s="1"/>
  <c r="Y79" i="1"/>
  <c r="AE79" i="1" s="1"/>
  <c r="Y80" i="1"/>
  <c r="Z80" i="1" s="1"/>
  <c r="AA80" i="1" s="1"/>
  <c r="Y81" i="1"/>
  <c r="AE81" i="1" s="1"/>
  <c r="Y82" i="1"/>
  <c r="AE82" i="1" s="1"/>
  <c r="Y83" i="1"/>
  <c r="AE83" i="1" s="1"/>
  <c r="Y84" i="1"/>
  <c r="AE84" i="1" s="1"/>
  <c r="Y85" i="1"/>
  <c r="AE85" i="1" s="1"/>
  <c r="Y86" i="1"/>
  <c r="AE86" i="1" s="1"/>
  <c r="Y87" i="1"/>
  <c r="AE87" i="1" s="1"/>
  <c r="Y88" i="1"/>
  <c r="Y89" i="1"/>
  <c r="AE89" i="1" s="1"/>
  <c r="Y91" i="1"/>
  <c r="Y93" i="1"/>
  <c r="AE93" i="1" s="1"/>
  <c r="Y94" i="1"/>
  <c r="AE94" i="1" s="1"/>
  <c r="Y95" i="1"/>
  <c r="AE95" i="1" s="1"/>
  <c r="Y96" i="1"/>
  <c r="AE96" i="1" s="1"/>
  <c r="Y97" i="1"/>
  <c r="AE97" i="1" s="1"/>
  <c r="Y98" i="1"/>
  <c r="AE98" i="1" s="1"/>
  <c r="Y99" i="1"/>
  <c r="AE99" i="1" s="1"/>
  <c r="Y100" i="1"/>
  <c r="AE100" i="1" s="1"/>
  <c r="Y101" i="1"/>
  <c r="AE101" i="1" s="1"/>
  <c r="Y102" i="1"/>
  <c r="AE102" i="1" s="1"/>
  <c r="Y103" i="1"/>
  <c r="AE103" i="1" s="1"/>
  <c r="Y104" i="1"/>
  <c r="Z104" i="1" s="1"/>
  <c r="AA104" i="1" s="1"/>
  <c r="AD104" i="1" s="1"/>
  <c r="AC104" i="1" s="1"/>
  <c r="Y105" i="1"/>
  <c r="Y106" i="1"/>
  <c r="AE106" i="1" s="1"/>
  <c r="Y107" i="1"/>
  <c r="AE107" i="1" s="1"/>
  <c r="Y108" i="1"/>
  <c r="AE108" i="1" s="1"/>
  <c r="Y109" i="1"/>
  <c r="AE109" i="1" s="1"/>
  <c r="Y110" i="1"/>
  <c r="AE110" i="1" s="1"/>
  <c r="Y111" i="1"/>
  <c r="AE111" i="1" s="1"/>
  <c r="Y112" i="1"/>
  <c r="AE112" i="1" s="1"/>
  <c r="Y113" i="1"/>
  <c r="AE113" i="1" s="1"/>
  <c r="Y114" i="1"/>
  <c r="AE114" i="1" s="1"/>
  <c r="Y115" i="1"/>
  <c r="Z115" i="1" s="1"/>
  <c r="AA115" i="1" s="1"/>
  <c r="Y116" i="1"/>
  <c r="AE116" i="1" s="1"/>
  <c r="Y117" i="1"/>
  <c r="AE117" i="1" s="1"/>
  <c r="Y118" i="1"/>
  <c r="Z118" i="1" s="1"/>
  <c r="Y119" i="1"/>
  <c r="Z119" i="1" s="1"/>
  <c r="AA119" i="1" s="1"/>
  <c r="Y120" i="1"/>
  <c r="Z120" i="1" s="1"/>
  <c r="AA120" i="1" s="1"/>
  <c r="Y121" i="1"/>
  <c r="AE121" i="1" s="1"/>
  <c r="Y122" i="1"/>
  <c r="AE122" i="1" s="1"/>
  <c r="Y123" i="1"/>
  <c r="AE123" i="1" s="1"/>
  <c r="Y124" i="1"/>
  <c r="AE124" i="1" s="1"/>
  <c r="Y125" i="1"/>
  <c r="AE125" i="1" s="1"/>
  <c r="Y126" i="1"/>
  <c r="AE126" i="1" s="1"/>
  <c r="Y127" i="1"/>
  <c r="AE127" i="1" s="1"/>
  <c r="Y128" i="1"/>
  <c r="AE128" i="1" s="1"/>
  <c r="Y129" i="1"/>
  <c r="AE129" i="1" s="1"/>
  <c r="Y130" i="1"/>
  <c r="AE130" i="1" s="1"/>
  <c r="Y131" i="1"/>
  <c r="AE131" i="1" s="1"/>
  <c r="Y132" i="1"/>
  <c r="AF132" i="1" s="1"/>
  <c r="Y6" i="1"/>
  <c r="AE6" i="1" s="1"/>
  <c r="AD27" i="1" l="1"/>
  <c r="AC27" i="1" s="1"/>
  <c r="AD120" i="1"/>
  <c r="AC120" i="1" s="1"/>
  <c r="AD80" i="1"/>
  <c r="AC80" i="1" s="1"/>
  <c r="AD60" i="1"/>
  <c r="AC60" i="1" s="1"/>
  <c r="AD119" i="1"/>
  <c r="AC119" i="1" s="1"/>
  <c r="AD115" i="1"/>
  <c r="AC115" i="1" s="1"/>
  <c r="AD73" i="1"/>
  <c r="AC73" i="1" s="1"/>
  <c r="AD41" i="1"/>
  <c r="AC41" i="1" s="1"/>
  <c r="AD21" i="1"/>
  <c r="AC21" i="1" s="1"/>
  <c r="AD12" i="1"/>
  <c r="AC12" i="1" s="1"/>
  <c r="AA105" i="1"/>
  <c r="AA61" i="1"/>
  <c r="AD61" i="1" s="1"/>
  <c r="AA8" i="1"/>
  <c r="AD8" i="1" s="1"/>
  <c r="AA118" i="1"/>
  <c r="AD91" i="1"/>
  <c r="AA88" i="1"/>
  <c r="AD88" i="1" s="1"/>
  <c r="AA54" i="1"/>
  <c r="AA50" i="1"/>
  <c r="AA7" i="1"/>
  <c r="Z58" i="1"/>
  <c r="AA58" i="1" s="1"/>
  <c r="AE132" i="1"/>
  <c r="AF23" i="1"/>
  <c r="AF120" i="1"/>
  <c r="AF102" i="1"/>
  <c r="AF88" i="1"/>
  <c r="AF80" i="1"/>
  <c r="AF74" i="1"/>
  <c r="AF72" i="1"/>
  <c r="AF58" i="1"/>
  <c r="AF54" i="1"/>
  <c r="AF50" i="1"/>
  <c r="AF40" i="1"/>
  <c r="AF30" i="1"/>
  <c r="AF20" i="1"/>
  <c r="AF12" i="1"/>
  <c r="AF8" i="1"/>
  <c r="AF78" i="1"/>
  <c r="AF24" i="1"/>
  <c r="AF92" i="1"/>
  <c r="AF14" i="1"/>
  <c r="AF38" i="1"/>
  <c r="AF16" i="1"/>
  <c r="AF36" i="1"/>
  <c r="AF76" i="1"/>
  <c r="AF90" i="1"/>
  <c r="AF118" i="1"/>
  <c r="AF126" i="1"/>
  <c r="AF6" i="1"/>
  <c r="AF131" i="1"/>
  <c r="AF129" i="1"/>
  <c r="AF127" i="1"/>
  <c r="AF125" i="1"/>
  <c r="AF123" i="1"/>
  <c r="AF121" i="1"/>
  <c r="AF119" i="1"/>
  <c r="AF117" i="1"/>
  <c r="AF115" i="1"/>
  <c r="AF113" i="1"/>
  <c r="AF111" i="1"/>
  <c r="AF109" i="1"/>
  <c r="AF107" i="1"/>
  <c r="AF105" i="1"/>
  <c r="AF103" i="1"/>
  <c r="AF101" i="1"/>
  <c r="AF99" i="1"/>
  <c r="AF97" i="1"/>
  <c r="AF95" i="1"/>
  <c r="AF93" i="1"/>
  <c r="AF91" i="1"/>
  <c r="AF89" i="1"/>
  <c r="AF87" i="1"/>
  <c r="AF85" i="1"/>
  <c r="AF83" i="1"/>
  <c r="AF81" i="1"/>
  <c r="AF79" i="1"/>
  <c r="AF77" i="1"/>
  <c r="AF75" i="1"/>
  <c r="AF73" i="1"/>
  <c r="AF71" i="1"/>
  <c r="AF69" i="1"/>
  <c r="AF67" i="1"/>
  <c r="AF65" i="1"/>
  <c r="AF63" i="1"/>
  <c r="AF61" i="1"/>
  <c r="AF59" i="1"/>
  <c r="AF57" i="1"/>
  <c r="AF55" i="1"/>
  <c r="AF53" i="1"/>
  <c r="AF51" i="1"/>
  <c r="AF47" i="1"/>
  <c r="AF43" i="1"/>
  <c r="AF39" i="1"/>
  <c r="AF35" i="1"/>
  <c r="AF33" i="1"/>
  <c r="AF31" i="1"/>
  <c r="AF29" i="1"/>
  <c r="AF13" i="1"/>
  <c r="AF9" i="1"/>
  <c r="AF17" i="1"/>
  <c r="AF25" i="1"/>
  <c r="AF45" i="1"/>
  <c r="AF7" i="1"/>
  <c r="AF11" i="1"/>
  <c r="AF19" i="1"/>
  <c r="AF21" i="1"/>
  <c r="AF27" i="1"/>
  <c r="AF41" i="1"/>
  <c r="AF49" i="1"/>
  <c r="AF130" i="1"/>
  <c r="AF128" i="1"/>
  <c r="AF124" i="1"/>
  <c r="AF122" i="1"/>
  <c r="AF116" i="1"/>
  <c r="AF114" i="1"/>
  <c r="AF112" i="1"/>
  <c r="AF110" i="1"/>
  <c r="AF108" i="1"/>
  <c r="AF106" i="1"/>
  <c r="AF104" i="1"/>
  <c r="AF100" i="1"/>
  <c r="AF98" i="1"/>
  <c r="AF96" i="1"/>
  <c r="AF94" i="1"/>
  <c r="AF86" i="1"/>
  <c r="AF84" i="1"/>
  <c r="AF82" i="1"/>
  <c r="AF70" i="1"/>
  <c r="AF68" i="1"/>
  <c r="AF66" i="1"/>
  <c r="AF64" i="1"/>
  <c r="AF62" i="1"/>
  <c r="AF60" i="1"/>
  <c r="AF56" i="1"/>
  <c r="AF52" i="1"/>
  <c r="AF48" i="1"/>
  <c r="AF46" i="1"/>
  <c r="AF44" i="1"/>
  <c r="AF42" i="1"/>
  <c r="AF34" i="1"/>
  <c r="AF32" i="1"/>
  <c r="AF28" i="1"/>
  <c r="AF26" i="1"/>
  <c r="AF22" i="1"/>
  <c r="AF18" i="1"/>
  <c r="AF10" i="1"/>
  <c r="AF15" i="1"/>
  <c r="AF37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N5" i="1"/>
  <c r="AM5" i="1"/>
  <c r="AL5" i="1"/>
  <c r="AK5" i="1"/>
  <c r="AJ5" i="1"/>
  <c r="AI5" i="1"/>
  <c r="AH5" i="1"/>
  <c r="AG5" i="1"/>
  <c r="Y5" i="1"/>
  <c r="X5" i="1"/>
  <c r="W5" i="1"/>
  <c r="V5" i="1"/>
  <c r="U5" i="1"/>
  <c r="T5" i="1"/>
  <c r="S5" i="1"/>
  <c r="R5" i="1"/>
  <c r="Q5" i="1"/>
  <c r="P5" i="1"/>
  <c r="O5" i="1"/>
  <c r="N5" i="1"/>
  <c r="L5" i="1"/>
  <c r="F5" i="1"/>
  <c r="E5" i="1"/>
  <c r="AD7" i="1" l="1"/>
  <c r="AD50" i="1"/>
  <c r="AD54" i="1"/>
  <c r="AC88" i="1"/>
  <c r="AC91" i="1"/>
  <c r="AD118" i="1"/>
  <c r="AD58" i="1"/>
  <c r="AC8" i="1"/>
  <c r="AC61" i="1"/>
  <c r="AD105" i="1"/>
  <c r="AE12" i="1"/>
  <c r="AE80" i="1"/>
  <c r="AE73" i="1"/>
  <c r="AA5" i="1"/>
  <c r="AE60" i="1"/>
  <c r="AE104" i="1"/>
  <c r="AE120" i="1"/>
  <c r="AE41" i="1"/>
  <c r="AE11" i="1"/>
  <c r="Z5" i="1"/>
  <c r="M5" i="1"/>
  <c r="AC105" i="1" l="1"/>
  <c r="AD5" i="1"/>
  <c r="AQ5" i="1"/>
  <c r="AE105" i="1"/>
  <c r="AE61" i="1"/>
  <c r="AE8" i="1"/>
  <c r="AE91" i="1"/>
  <c r="AE88" i="1"/>
  <c r="AC58" i="1"/>
  <c r="AC118" i="1"/>
  <c r="AE118" i="1" s="1"/>
  <c r="AC54" i="1"/>
  <c r="AC50" i="1"/>
  <c r="AC7" i="1"/>
  <c r="AE21" i="1"/>
  <c r="AE115" i="1"/>
  <c r="AE27" i="1"/>
  <c r="AE119" i="1"/>
  <c r="AE74" i="1"/>
  <c r="AE59" i="1"/>
  <c r="AE7" i="1" l="1"/>
  <c r="AE54" i="1"/>
  <c r="AC5" i="1"/>
  <c r="AE58" i="1"/>
  <c r="AE50" i="1"/>
  <c r="AP5" i="1"/>
</calcChain>
</file>

<file path=xl/sharedStrings.xml><?xml version="1.0" encoding="utf-8"?>
<sst xmlns="http://schemas.openxmlformats.org/spreadsheetml/2006/main" count="492" uniqueCount="197">
  <si>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</si>
  <si>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</si>
  <si>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</si>
  <si>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</si>
  <si>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</si>
  <si>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</si>
  <si>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</si>
  <si>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</si>
  <si>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</si>
  <si>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</si>
  <si>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</si>
  <si>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</si>
  <si>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</si>
  <si>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</si>
  <si>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</si>
  <si>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</si>
  <si>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</si>
  <si>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</si>
  <si>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</si>
  <si>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</si>
  <si>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</si>
  <si>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14,09,</t>
  </si>
  <si>
    <t>14,09,недогр</t>
  </si>
  <si>
    <t>14,09,доз</t>
  </si>
  <si>
    <t>20,09,</t>
  </si>
  <si>
    <t>20,09,недогр</t>
  </si>
  <si>
    <t>20,09,доз</t>
  </si>
  <si>
    <t>21,09,</t>
  </si>
  <si>
    <t>21,09,недогр</t>
  </si>
  <si>
    <t>21,09,доз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</si>
  <si>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</si>
  <si>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</si>
  <si>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</si>
  <si>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</si>
  <si>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</si>
  <si>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</si>
  <si>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</si>
  <si>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</si>
  <si>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</si>
  <si>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</si>
  <si>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</si>
  <si>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</si>
  <si>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</si>
  <si>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</si>
  <si>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</si>
  <si>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</si>
  <si>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</si>
  <si>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</si>
  <si>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</si>
  <si>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</si>
  <si>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</si>
  <si>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</si>
  <si>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</si>
  <si>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</si>
  <si>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</si>
  <si>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</si>
  <si>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</si>
  <si>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</si>
  <si>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</si>
  <si>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</si>
  <si>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</si>
  <si>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</si>
  <si>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</si>
  <si>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</si>
  <si>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</si>
  <si>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</si>
  <si>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</si>
  <si>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</si>
  <si>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</si>
  <si>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</si>
  <si>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</si>
  <si>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</si>
  <si>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</si>
  <si>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</si>
  <si>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</si>
  <si>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</si>
  <si>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</si>
  <si>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</si>
  <si>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</si>
  <si>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</si>
  <si>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</si>
  <si>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</si>
  <si>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</si>
  <si>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</si>
  <si>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</si>
  <si>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</si>
  <si>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</si>
  <si>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</si>
  <si>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</si>
  <si>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</si>
  <si>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</si>
  <si>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</si>
  <si>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</si>
  <si>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</si>
  <si>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</si>
  <si>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</si>
  <si>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</si>
  <si>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</si>
  <si>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</si>
  <si>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</si>
  <si>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</si>
  <si>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</si>
  <si>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</si>
  <si>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</si>
  <si>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</si>
  <si>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</si>
  <si>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</si>
  <si>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</si>
  <si>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</si>
  <si>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</si>
  <si>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</si>
  <si>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</si>
  <si>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</si>
  <si>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</si>
  <si>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</si>
  <si>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</si>
  <si>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</si>
  <si>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 / вышли из ПРОМО (в сентябре)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</si>
  <si>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</si>
  <si>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</si>
  <si>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</si>
  <si>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</si>
  <si>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</si>
  <si>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</si>
  <si>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</si>
  <si>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</si>
  <si>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</si>
  <si>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</si>
  <si>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</si>
  <si>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</si>
  <si>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</si>
  <si>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</si>
  <si>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</si>
  <si>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</si>
  <si>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</si>
  <si>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</si>
  <si>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</si>
  <si>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</si>
  <si>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</si>
  <si>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</si>
  <si>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</si>
  <si>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</si>
  <si>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</si>
  <si>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</si>
  <si>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</si>
  <si>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</si>
  <si>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</si>
  <si>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</si>
  <si>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</si>
  <si>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</si>
  <si>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</si>
  <si>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</si>
  <si>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</si>
  <si>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</si>
  <si>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</si>
  <si>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</si>
  <si>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</si>
  <si>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</si>
  <si>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</si>
  <si>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</si>
  <si>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</si>
  <si>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</si>
  <si>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</si>
  <si>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</si>
  <si>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</si>
  <si>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</si>
  <si>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</si>
  <si>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</si>
  <si>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</si>
  <si>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</si>
  <si>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</si>
  <si>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</si>
  <si>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</si>
  <si>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</si>
  <si>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</si>
  <si>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</si>
  <si>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</si>
  <si>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</si>
  <si>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</si>
  <si>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</si>
  <si>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</si>
  <si>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</si>
  <si>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</si>
  <si>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1274кг списано (19,09,26)</t>
  </si>
  <si>
    <t>546кг списано (19,09,26)</t>
  </si>
  <si>
    <t>Бердянск</t>
  </si>
  <si>
    <t>Мариуполь</t>
  </si>
  <si>
    <t>в Мариуполь</t>
  </si>
  <si>
    <t>281кг списано (19,09,26)</t>
  </si>
  <si>
    <t>92шт списаны (16,09,26)</t>
  </si>
  <si>
    <t>%</t>
  </si>
  <si>
    <t>итого</t>
  </si>
  <si>
    <t>дн</t>
  </si>
  <si>
    <t>недогр</t>
  </si>
  <si>
    <t>заказ</t>
  </si>
  <si>
    <t>27,09,б</t>
  </si>
  <si>
    <t>27,09,м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</si>
</sst>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%"/>
    <numFmt numFmtId="166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0" fontId="0" fillId="0" borderId="1" xfId="0"/>
    <xf numFmtId="164" fontId="2" fillId="2" borderId="6" xfId="1" applyNumberFormat="1" applyFont="1" applyFill="1" applyBorder="1"/>
    <xf numFmtId="164" fontId="2" fillId="2" borderId="7" xfId="1" applyNumberFormat="1" applyFont="1" applyFill="1" applyBorder="1"/>
    <xf numFmtId="164" fontId="1" fillId="0" borderId="6" xfId="1" applyNumberFormat="1" applyBorder="1"/>
    <xf numFmtId="164" fontId="1" fillId="0" borderId="7" xfId="1" applyNumberFormat="1" applyBorder="1"/>
    <xf numFmtId="164" fontId="1" fillId="3" borderId="6" xfId="1" applyNumberFormat="1" applyFill="1" applyBorder="1"/>
    <xf numFmtId="164" fontId="1" fillId="3" borderId="7" xfId="1" applyNumberFormat="1" applyFill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6" xfId="1" applyNumberFormat="1" applyFill="1" applyBorder="1"/>
    <xf numFmtId="164" fontId="1" fillId="5" borderId="7" xfId="1" applyNumberFormat="1" applyFill="1" applyBorder="1"/>
    <xf numFmtId="164" fontId="1" fillId="5" borderId="2" xfId="1" applyNumberFormat="1" applyFill="1" applyBorder="1"/>
    <xf numFmtId="164" fontId="1" fillId="5" borderId="8" xfId="1" applyNumberFormat="1" applyFill="1" applyBorder="1"/>
    <xf numFmtId="164" fontId="1" fillId="5" borderId="9" xfId="1" applyNumberFormat="1" applyFill="1" applyBorder="1"/>
    <xf numFmtId="164" fontId="1" fillId="5" borderId="10" xfId="1" applyNumberFormat="1" applyFill="1" applyBorder="1"/>
    <xf numFmtId="164" fontId="5" fillId="6" borderId="1" xfId="1" applyNumberFormat="1" applyFont="1" applyFill="1"/>
    <xf numFmtId="165" fontId="1" fillId="0" borderId="1" xfId="1" applyNumberFormat="1"/>
    <xf numFmtId="165" fontId="3" fillId="2" borderId="1" xfId="1" applyNumberFormat="1" applyFont="1" applyFill="1"/>
    <xf numFmtId="165" fontId="1" fillId="3" borderId="1" xfId="1" applyNumberFormat="1" applyFill="1"/>
    <xf numFmtId="165" fontId="1" fillId="0" borderId="2" xfId="1" applyNumberFormat="1" applyBorder="1"/>
    <xf numFmtId="165" fontId="1" fillId="5" borderId="2" xfId="1" applyNumberFormat="1" applyFill="1" applyBorder="1"/>
    <xf numFmtId="165" fontId="0" fillId="0" borderId="0" xfId="0" applyNumberFormat="1" applyBorder="1"/>
    <xf numFmtId="0" fontId="0" fillId="0" borderId="1" xfId="0" applyBorder="1"/>
    <xf numFmtId="164" fontId="1" fillId="6" borderId="2" xfId="1" applyNumberFormat="1" applyFill="1" applyBorder="1"/>
    <xf numFmtId="166" fontId="1" fillId="0" borderId="1" xfId="1" applyNumberFormat="1"/>
    <xf numFmtId="164" fontId="1" fillId="0" borderId="3" xfId="1" applyNumberFormat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164" fontId="1" fillId="0" borderId="1" xfId="1" applyNumberFormat="1" applyAlignment="1">
      <alignment horizontal="center" vertical="center"/>
    </xf>
    <xf numFmtId="164" fontId="1" fillId="0" borderId="7" xfId="1" applyNumberFormat="1" applyBorder="1" applyAlignment="1">
      <alignment horizontal="center" vertic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2,09,26%20&#1084;&#1088;&#1088;&#1089;&#1095;%20&#1087;&#1086;&#1082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-&#1052;&#1072;&#1088;&#1080;&#1091;&#1087;&#1086;&#1083;&#1100;%20&#1087;&#1077;&#1088;&#1077;&#1084;&#1077;&#1097;&#1077;&#1085;&#1080;&#1077;%20&#1055;&#1054;&#1050;&#1054;&#10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15.09.2026 - 22.09.2026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E8" t="str">
            <v>Количество</v>
          </cell>
          <cell r="J8" t="str">
            <v>Вес (нетто), кг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  <cell r="J9" t="str">
            <v>Начальный остаток</v>
          </cell>
          <cell r="K9" t="str">
            <v>Приход</v>
          </cell>
          <cell r="L9" t="str">
            <v>Расход</v>
          </cell>
          <cell r="M9" t="str">
            <v>Конечный остаток</v>
          </cell>
        </row>
        <row r="10">
          <cell r="A10" t="str">
            <v xml:space="preserve"> 005  Колбаса Докторская ГОСТ, Вязанка вектор,ВЕС. ПОКОМ</v>
          </cell>
          <cell r="G10">
            <v>138.744</v>
          </cell>
          <cell r="H10">
            <v>51.954000000000001</v>
          </cell>
          <cell r="I10">
            <v>86.79</v>
          </cell>
          <cell r="K10">
            <v>138.744</v>
          </cell>
          <cell r="L10">
            <v>51.954000000000001</v>
          </cell>
          <cell r="M10">
            <v>86.79</v>
          </cell>
        </row>
        <row r="11">
          <cell r="A11" t="str">
            <v xml:space="preserve"> 016  Сосиски Вязанка Молочные, Вязанка вискофан  ВЕС.ПОКОМ</v>
          </cell>
          <cell r="G11">
            <v>220.70400000000001</v>
          </cell>
          <cell r="H11">
            <v>14.978</v>
          </cell>
          <cell r="I11">
            <v>205.726</v>
          </cell>
          <cell r="K11">
            <v>220.70400000000001</v>
          </cell>
          <cell r="L11">
            <v>14.978</v>
          </cell>
          <cell r="M11">
            <v>205.726</v>
          </cell>
        </row>
        <row r="12">
          <cell r="A12" t="str">
            <v xml:space="preserve"> 017  Сосиски Вязанка Сливочные, Вязанка амицел ВЕС.ПОКОМ</v>
          </cell>
          <cell r="G12">
            <v>312.66000000000003</v>
          </cell>
          <cell r="H12">
            <v>21.933</v>
          </cell>
          <cell r="I12">
            <v>290.72699999999998</v>
          </cell>
          <cell r="K12">
            <v>312.66000000000003</v>
          </cell>
          <cell r="L12">
            <v>21.933</v>
          </cell>
          <cell r="M12">
            <v>290.72699999999998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G13">
            <v>720</v>
          </cell>
          <cell r="H13">
            <v>41</v>
          </cell>
          <cell r="I13">
            <v>679</v>
          </cell>
          <cell r="K13">
            <v>324</v>
          </cell>
          <cell r="L13">
            <v>18.45</v>
          </cell>
          <cell r="M13">
            <v>305.55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G14">
            <v>15</v>
          </cell>
          <cell r="H14">
            <v>12</v>
          </cell>
          <cell r="I14">
            <v>3</v>
          </cell>
          <cell r="K14">
            <v>2.5499999999999998</v>
          </cell>
          <cell r="L14">
            <v>2.04</v>
          </cell>
          <cell r="M14">
            <v>0.51</v>
          </cell>
        </row>
        <row r="15">
          <cell r="A15" t="str">
            <v xml:space="preserve"> 083  Колбаса Швейцарская 0,17 кг., ШТ., сырокопченая   ПОКОМ</v>
          </cell>
          <cell r="G15">
            <v>225</v>
          </cell>
          <cell r="H15">
            <v>18</v>
          </cell>
          <cell r="I15">
            <v>207</v>
          </cell>
          <cell r="K15">
            <v>38.25</v>
          </cell>
          <cell r="L15">
            <v>3.06</v>
          </cell>
          <cell r="M15">
            <v>35.19</v>
          </cell>
        </row>
        <row r="16">
          <cell r="A16" t="str">
            <v xml:space="preserve"> 200  Ветчина Дугушка ТМ Стародворье, вектор в/у    ПОКОМ</v>
          </cell>
          <cell r="G16">
            <v>202.63200000000001</v>
          </cell>
          <cell r="H16">
            <v>108.328</v>
          </cell>
          <cell r="I16">
            <v>94.304000000000002</v>
          </cell>
          <cell r="K16">
            <v>202.63200000000001</v>
          </cell>
          <cell r="L16">
            <v>108.328</v>
          </cell>
          <cell r="M16">
            <v>94.304000000000002</v>
          </cell>
        </row>
        <row r="17">
          <cell r="A17" t="str">
            <v xml:space="preserve"> 201  Ветчина Нежная ТМ Особый рецепт, (2,5кг), ПОКОМ</v>
          </cell>
          <cell r="G17">
            <v>1445.0319999999999</v>
          </cell>
          <cell r="H17">
            <v>326.23700000000002</v>
          </cell>
          <cell r="I17">
            <v>1118.7950000000001</v>
          </cell>
          <cell r="K17">
            <v>1445.0319999999999</v>
          </cell>
          <cell r="L17">
            <v>326.23700000000002</v>
          </cell>
          <cell r="M17">
            <v>1118.7950000000001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G18">
            <v>116.803</v>
          </cell>
          <cell r="H18">
            <v>11.513999999999999</v>
          </cell>
          <cell r="I18">
            <v>105.289</v>
          </cell>
          <cell r="K18">
            <v>116.803</v>
          </cell>
          <cell r="L18">
            <v>11.513999999999999</v>
          </cell>
          <cell r="M18">
            <v>105.289</v>
          </cell>
        </row>
        <row r="19">
          <cell r="A19" t="str">
            <v xml:space="preserve"> 225  Колбаса Дугушка со шпиком, ВЕС, ТМ Стародворье   ПОКОМ</v>
          </cell>
          <cell r="G19">
            <v>37.012999999999998</v>
          </cell>
          <cell r="H19">
            <v>7.8970000000000002</v>
          </cell>
          <cell r="I19">
            <v>29.116</v>
          </cell>
          <cell r="K19">
            <v>37.012999999999998</v>
          </cell>
          <cell r="L19">
            <v>7.8970000000000002</v>
          </cell>
          <cell r="M19">
            <v>29.116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G20">
            <v>34.826000000000001</v>
          </cell>
          <cell r="H20">
            <v>0.72699999999999998</v>
          </cell>
          <cell r="I20">
            <v>34.098999999999997</v>
          </cell>
          <cell r="K20">
            <v>34.826000000000001</v>
          </cell>
          <cell r="L20">
            <v>0.72699999999999998</v>
          </cell>
          <cell r="M20">
            <v>34.098999999999997</v>
          </cell>
        </row>
        <row r="21">
          <cell r="A21" t="str">
            <v xml:space="preserve"> 229  Колбаса Молочная Дугушка, в/у, ВЕС, ТМ Стародворье   ПОКОМ</v>
          </cell>
          <cell r="G21">
            <v>221.892</v>
          </cell>
          <cell r="H21">
            <v>57.357999999999997</v>
          </cell>
          <cell r="I21">
            <v>164.53399999999999</v>
          </cell>
          <cell r="K21">
            <v>221.892</v>
          </cell>
          <cell r="L21">
            <v>57.357999999999997</v>
          </cell>
          <cell r="M21">
            <v>164.53399999999999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G22">
            <v>105.48</v>
          </cell>
          <cell r="H22">
            <v>57.991</v>
          </cell>
          <cell r="I22">
            <v>47.488999999999997</v>
          </cell>
          <cell r="K22">
            <v>105.48</v>
          </cell>
          <cell r="L22">
            <v>57.991</v>
          </cell>
          <cell r="M22">
            <v>47.488999999999997</v>
          </cell>
        </row>
        <row r="23">
          <cell r="A23" t="str">
            <v xml:space="preserve"> 240  Колбаса Салями охотничья, ВЕС. ПОКОМ</v>
          </cell>
          <cell r="G23">
            <v>19.613</v>
          </cell>
          <cell r="H23">
            <v>0.69199999999999995</v>
          </cell>
          <cell r="I23">
            <v>18.920999999999999</v>
          </cell>
          <cell r="K23">
            <v>19.613</v>
          </cell>
          <cell r="L23">
            <v>0.69199999999999995</v>
          </cell>
          <cell r="M23">
            <v>18.920999999999999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G24">
            <v>52.826000000000001</v>
          </cell>
          <cell r="H24">
            <v>52.837000000000003</v>
          </cell>
          <cell r="I24">
            <v>-1.0999999999999999E-2</v>
          </cell>
          <cell r="K24">
            <v>52.826000000000001</v>
          </cell>
          <cell r="L24">
            <v>52.837000000000003</v>
          </cell>
          <cell r="M24">
            <v>-1.0999999999999999E-2</v>
          </cell>
        </row>
        <row r="25">
          <cell r="A25" t="str">
            <v xml:space="preserve"> 247  Сардельки Нежные, ВЕС.  ПОКОМ</v>
          </cell>
          <cell r="G25">
            <v>16.323</v>
          </cell>
          <cell r="I25">
            <v>16.323</v>
          </cell>
          <cell r="K25">
            <v>16.323</v>
          </cell>
          <cell r="M25">
            <v>16.323</v>
          </cell>
        </row>
        <row r="26">
          <cell r="A26" t="str">
            <v xml:space="preserve"> 255  Сосиски Молочные для завтрака ТМ Особый рецепт, п/а МГС, ВЕС, ТМ Стародворье  ПОКОМ</v>
          </cell>
          <cell r="G26">
            <v>182.75800000000001</v>
          </cell>
          <cell r="H26">
            <v>132.31800000000001</v>
          </cell>
          <cell r="I26">
            <v>50.44</v>
          </cell>
          <cell r="K26">
            <v>182.75800000000001</v>
          </cell>
          <cell r="L26">
            <v>132.31800000000001</v>
          </cell>
          <cell r="M26">
            <v>50.44</v>
          </cell>
        </row>
        <row r="27">
          <cell r="A27" t="str">
            <v xml:space="preserve"> 273  Сосиски Сочинки с сочной грудинкой, МГС 0.4кг,   ПОКОМ</v>
          </cell>
          <cell r="G27">
            <v>240</v>
          </cell>
          <cell r="H27">
            <v>238</v>
          </cell>
          <cell r="I27">
            <v>2</v>
          </cell>
          <cell r="K27">
            <v>96</v>
          </cell>
          <cell r="L27">
            <v>95.2</v>
          </cell>
          <cell r="M27">
            <v>0.8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G28">
            <v>400</v>
          </cell>
          <cell r="H28">
            <v>18</v>
          </cell>
          <cell r="I28">
            <v>382</v>
          </cell>
          <cell r="K28">
            <v>180</v>
          </cell>
          <cell r="L28">
            <v>8.1</v>
          </cell>
          <cell r="M28">
            <v>171.9</v>
          </cell>
        </row>
        <row r="29">
          <cell r="A29" t="str">
            <v xml:space="preserve"> 278  Сосиски Сочинки с сочным окороком, МГС 0.4кг,   ПОКОМ</v>
          </cell>
          <cell r="G29">
            <v>168</v>
          </cell>
          <cell r="H29">
            <v>54</v>
          </cell>
          <cell r="I29">
            <v>114</v>
          </cell>
          <cell r="K29">
            <v>67.2</v>
          </cell>
          <cell r="L29">
            <v>21.6</v>
          </cell>
          <cell r="M29">
            <v>45.6</v>
          </cell>
        </row>
        <row r="30">
          <cell r="A30" t="str">
            <v xml:space="preserve"> 283  Сосиски Сочинки, ВЕС, ТМ Стародворье ПОКОМ</v>
          </cell>
          <cell r="G30">
            <v>34.137999999999998</v>
          </cell>
          <cell r="I30">
            <v>34.137999999999998</v>
          </cell>
          <cell r="K30">
            <v>34.137999999999998</v>
          </cell>
          <cell r="M30">
            <v>34.137999999999998</v>
          </cell>
        </row>
        <row r="31">
          <cell r="A31" t="str">
            <v xml:space="preserve"> 285  Паштет печеночный со слив.маслом ТМ Стародворье ламистер 0,1 кг  ПОКОМ</v>
          </cell>
          <cell r="G31">
            <v>160</v>
          </cell>
          <cell r="H31">
            <v>16</v>
          </cell>
          <cell r="I31">
            <v>144</v>
          </cell>
          <cell r="K31">
            <v>16</v>
          </cell>
          <cell r="L31">
            <v>1.6</v>
          </cell>
          <cell r="M31">
            <v>14.4</v>
          </cell>
        </row>
        <row r="32">
          <cell r="A32" t="str">
            <v xml:space="preserve"> 301  Сосиски Сочинки по-баварски с сыром,  0.4кг, ТМ Стародворье  ПОКОМ</v>
          </cell>
          <cell r="G32">
            <v>60</v>
          </cell>
          <cell r="H32">
            <v>32</v>
          </cell>
          <cell r="I32">
            <v>28</v>
          </cell>
          <cell r="K32">
            <v>24</v>
          </cell>
          <cell r="L32">
            <v>12.8</v>
          </cell>
          <cell r="M32">
            <v>11.2</v>
          </cell>
        </row>
        <row r="33">
          <cell r="A33" t="str">
            <v xml:space="preserve"> 309  Сосиски Сочинки с сыром 0,4 кг ТМ Стародворье  ПОКОМ</v>
          </cell>
          <cell r="G33">
            <v>360</v>
          </cell>
          <cell r="H33">
            <v>39</v>
          </cell>
          <cell r="I33">
            <v>321</v>
          </cell>
          <cell r="K33">
            <v>144</v>
          </cell>
          <cell r="L33">
            <v>15.6</v>
          </cell>
          <cell r="M33">
            <v>128.4</v>
          </cell>
        </row>
        <row r="34">
          <cell r="A34" t="str">
            <v xml:space="preserve"> 312  Ветчина Филейская ВЕС ТМ  Вязанка ТС Столичная  ПОКОМ</v>
          </cell>
          <cell r="G34">
            <v>32.228000000000002</v>
          </cell>
          <cell r="H34">
            <v>13.458</v>
          </cell>
          <cell r="I34">
            <v>18.77</v>
          </cell>
          <cell r="K34">
            <v>32.228000000000002</v>
          </cell>
          <cell r="L34">
            <v>13.458</v>
          </cell>
          <cell r="M34">
            <v>18.77</v>
          </cell>
        </row>
        <row r="35">
          <cell r="A35" t="str">
            <v xml:space="preserve"> 319  Колбаса вареная Филейская ТМ Вязанка ТС Классическая, 0,45 кг. ПОКОМ</v>
          </cell>
          <cell r="G35">
            <v>120</v>
          </cell>
          <cell r="H35">
            <v>4</v>
          </cell>
          <cell r="I35">
            <v>116</v>
          </cell>
          <cell r="K35">
            <v>54</v>
          </cell>
          <cell r="L35">
            <v>1.8</v>
          </cell>
          <cell r="M35">
            <v>52.2</v>
          </cell>
        </row>
        <row r="36">
          <cell r="A36" t="str">
            <v xml:space="preserve"> 322  Колбаса вареная Молокуша 0,45кг ТМ Вязанка  ПОКОМ</v>
          </cell>
          <cell r="G36">
            <v>320</v>
          </cell>
          <cell r="H36">
            <v>15</v>
          </cell>
          <cell r="I36">
            <v>305</v>
          </cell>
          <cell r="K36">
            <v>144</v>
          </cell>
          <cell r="L36">
            <v>6.75</v>
          </cell>
          <cell r="M36">
            <v>137.25</v>
          </cell>
        </row>
        <row r="37">
          <cell r="A37" t="str">
            <v xml:space="preserve"> 330  Колбаса вареная Филейская ТМ Вязанка ТС Классическая ВЕС  ПОКОМ</v>
          </cell>
          <cell r="G37">
            <v>32.389000000000003</v>
          </cell>
          <cell r="H37">
            <v>28.33</v>
          </cell>
          <cell r="I37">
            <v>4.0590000000000002</v>
          </cell>
          <cell r="K37">
            <v>32.389000000000003</v>
          </cell>
          <cell r="L37">
            <v>28.33</v>
          </cell>
          <cell r="M37">
            <v>4.0590000000000002</v>
          </cell>
        </row>
        <row r="38">
          <cell r="A38" t="str">
            <v xml:space="preserve"> 334  Паштет Любительский ТМ Стародворье ламистер 0,1 кг  ПОКОМ</v>
          </cell>
          <cell r="G38">
            <v>200</v>
          </cell>
          <cell r="H38">
            <v>17</v>
          </cell>
          <cell r="I38">
            <v>183</v>
          </cell>
          <cell r="K38">
            <v>20</v>
          </cell>
          <cell r="L38">
            <v>1.7</v>
          </cell>
          <cell r="M38">
            <v>18.3</v>
          </cell>
        </row>
        <row r="39">
          <cell r="A39" t="str">
            <v xml:space="preserve"> 335  Колбаса Сливушка ТМ Вязанка. ВЕС.  ПОКОМ </v>
          </cell>
          <cell r="G39">
            <v>42.781999999999996</v>
          </cell>
          <cell r="H39">
            <v>2.6</v>
          </cell>
          <cell r="I39">
            <v>40.182000000000002</v>
          </cell>
          <cell r="K39">
            <v>42.781999999999996</v>
          </cell>
          <cell r="L39">
            <v>2.6</v>
          </cell>
          <cell r="M39">
            <v>40.182000000000002</v>
          </cell>
        </row>
        <row r="40">
          <cell r="A40" t="str">
            <v xml:space="preserve"> 338  Паштет печеночный с морковью ТМ Стародворье ламистер 0,1 кг.  ПОКОМ</v>
          </cell>
          <cell r="G40">
            <v>240</v>
          </cell>
          <cell r="H40">
            <v>15</v>
          </cell>
          <cell r="I40">
            <v>225</v>
          </cell>
          <cell r="K40">
            <v>24</v>
          </cell>
          <cell r="L40">
            <v>1.5</v>
          </cell>
          <cell r="M40">
            <v>22.5</v>
          </cell>
        </row>
        <row r="41">
          <cell r="A41" t="str">
            <v xml:space="preserve"> 342 Сосиски Сочинки Молочные ТМ Стародворье 0,4 кг ПОКОМ</v>
          </cell>
          <cell r="G41">
            <v>84</v>
          </cell>
          <cell r="H41">
            <v>54</v>
          </cell>
          <cell r="I41">
            <v>30</v>
          </cell>
          <cell r="K41">
            <v>33.6</v>
          </cell>
          <cell r="L41">
            <v>21.6</v>
          </cell>
          <cell r="M41">
            <v>12</v>
          </cell>
        </row>
        <row r="42">
          <cell r="A42" t="str">
            <v xml:space="preserve"> 344  Колбаса Сочинка по-европейски с сочной грудинкой ТМ Стародворье, ВЕС ПОКОМ</v>
          </cell>
          <cell r="G42">
            <v>32.843000000000004</v>
          </cell>
          <cell r="H42">
            <v>31.785</v>
          </cell>
          <cell r="I42">
            <v>1.0580000000000001</v>
          </cell>
          <cell r="K42">
            <v>32.843000000000004</v>
          </cell>
          <cell r="L42">
            <v>31.785</v>
          </cell>
          <cell r="M42">
            <v>1.0580000000000001</v>
          </cell>
        </row>
        <row r="43">
          <cell r="A43" t="str">
            <v xml:space="preserve"> 346  Колбаса Сочинка зернистая с сочной грудинкой ТМ Стародворье.ВЕС ПОКОМ</v>
          </cell>
          <cell r="G43">
            <v>136.386</v>
          </cell>
          <cell r="H43">
            <v>70.009</v>
          </cell>
          <cell r="I43">
            <v>66.376999999999995</v>
          </cell>
          <cell r="K43">
            <v>136.386</v>
          </cell>
          <cell r="L43">
            <v>70.009</v>
          </cell>
          <cell r="M43">
            <v>66.376999999999995</v>
          </cell>
        </row>
        <row r="44">
          <cell r="A44" t="str">
            <v xml:space="preserve"> 364  Сардельки Филейские Вязанка ВЕС NDX ТМ Вязанка  ПОКОМ</v>
          </cell>
          <cell r="G44">
            <v>23.431999999999999</v>
          </cell>
          <cell r="H44">
            <v>23.411999999999999</v>
          </cell>
          <cell r="I44">
            <v>0.02</v>
          </cell>
          <cell r="K44">
            <v>23.431999999999999</v>
          </cell>
          <cell r="L44">
            <v>23.411999999999999</v>
          </cell>
          <cell r="M44">
            <v>0.02</v>
          </cell>
        </row>
        <row r="45">
          <cell r="A45" t="str">
            <v xml:space="preserve"> 376  Колбаса Докторская Дугушка 0,6кг ГОСТ ТМ Стародворье  ПОКОМ </v>
          </cell>
          <cell r="G45">
            <v>120</v>
          </cell>
          <cell r="H45">
            <v>3</v>
          </cell>
          <cell r="I45">
            <v>117</v>
          </cell>
          <cell r="K45">
            <v>72</v>
          </cell>
          <cell r="L45">
            <v>1.8</v>
          </cell>
          <cell r="M45">
            <v>70.2</v>
          </cell>
        </row>
        <row r="46">
          <cell r="A46" t="str">
            <v xml:space="preserve"> 377  Колбаса Молочная Дугушка 0,6кг ТМ Стародворье  ПОКОМ</v>
          </cell>
          <cell r="G46">
            <v>144</v>
          </cell>
          <cell r="H46">
            <v>3</v>
          </cell>
          <cell r="I46">
            <v>141</v>
          </cell>
          <cell r="K46">
            <v>86.4</v>
          </cell>
          <cell r="L46">
            <v>1.8</v>
          </cell>
          <cell r="M46">
            <v>84.6</v>
          </cell>
        </row>
        <row r="47">
          <cell r="A47" t="str">
            <v xml:space="preserve"> 387  Колбаса вареная Мусульманская Халяль ТМ Вязанка, 0,4 кг ПОКОМ</v>
          </cell>
          <cell r="G47">
            <v>16</v>
          </cell>
          <cell r="H47">
            <v>9</v>
          </cell>
          <cell r="I47">
            <v>7</v>
          </cell>
          <cell r="K47">
            <v>6.4</v>
          </cell>
          <cell r="L47">
            <v>3.6</v>
          </cell>
          <cell r="M47">
            <v>2.8</v>
          </cell>
        </row>
        <row r="48">
          <cell r="A48" t="str">
            <v xml:space="preserve"> 388  Сосиски Восточные Халяль ТМ Вязанка 0,33 кг АК. ПОКОМ</v>
          </cell>
          <cell r="G48">
            <v>48</v>
          </cell>
          <cell r="H48">
            <v>8</v>
          </cell>
          <cell r="I48">
            <v>40</v>
          </cell>
          <cell r="K48">
            <v>15.84</v>
          </cell>
          <cell r="L48">
            <v>2.64</v>
          </cell>
          <cell r="M48">
            <v>13.2</v>
          </cell>
        </row>
        <row r="49">
          <cell r="A49" t="str">
            <v xml:space="preserve"> 394 Колбаса полукопченая Аль-Ислами халяль ТМ Вязанка оболочка фиброуз в в/у 0,35 кг  ПОКОМ</v>
          </cell>
          <cell r="G49">
            <v>24</v>
          </cell>
          <cell r="H49">
            <v>22</v>
          </cell>
          <cell r="I49">
            <v>2</v>
          </cell>
          <cell r="K49">
            <v>8.4</v>
          </cell>
          <cell r="L49">
            <v>7.7</v>
          </cell>
          <cell r="M49">
            <v>0.7</v>
          </cell>
        </row>
        <row r="50">
          <cell r="A50" t="str">
            <v xml:space="preserve"> 397  Ветчина Дугушка ТМ Стародворье ТС Дугушка в полиамидной оболочке 0,6 кг. ПОКОМ</v>
          </cell>
          <cell r="G50">
            <v>56</v>
          </cell>
          <cell r="H50">
            <v>3</v>
          </cell>
          <cell r="I50">
            <v>53</v>
          </cell>
          <cell r="K50">
            <v>33.6</v>
          </cell>
          <cell r="L50">
            <v>1.8</v>
          </cell>
          <cell r="M50">
            <v>31.8</v>
          </cell>
        </row>
        <row r="51">
          <cell r="A51" t="str">
            <v xml:space="preserve"> 410  Сосиски Баварские с сыром ТМ Стародворье 0,35 кг. ПОКОМ</v>
          </cell>
          <cell r="H51">
            <v>2</v>
          </cell>
          <cell r="I51">
            <v>-2</v>
          </cell>
          <cell r="L51">
            <v>0.7</v>
          </cell>
          <cell r="M51">
            <v>-0.7</v>
          </cell>
        </row>
        <row r="52">
          <cell r="A52" t="str">
            <v xml:space="preserve"> 449  Колбаса Дугушка Стародворская ВЕС ТС Дугушка ПОКОМ</v>
          </cell>
          <cell r="G52">
            <v>61.201999999999998</v>
          </cell>
          <cell r="H52">
            <v>19.591000000000001</v>
          </cell>
          <cell r="I52">
            <v>41.610999999999997</v>
          </cell>
          <cell r="K52">
            <v>61.201999999999998</v>
          </cell>
          <cell r="L52">
            <v>19.591000000000001</v>
          </cell>
          <cell r="M52">
            <v>41.610999999999997</v>
          </cell>
        </row>
        <row r="53">
          <cell r="A53" t="str">
            <v xml:space="preserve"> 452  Колбаса Со шпиком ВЕС большой батон ТМ Особый рецепт  ПОКОМ</v>
          </cell>
          <cell r="G53">
            <v>720.14300000000003</v>
          </cell>
          <cell r="H53">
            <v>113.22799999999999</v>
          </cell>
          <cell r="I53">
            <v>606.91499999999996</v>
          </cell>
          <cell r="K53">
            <v>720.14300000000003</v>
          </cell>
          <cell r="L53">
            <v>113.22799999999999</v>
          </cell>
          <cell r="M53">
            <v>606.91499999999996</v>
          </cell>
        </row>
        <row r="54">
          <cell r="A54" t="str">
            <v xml:space="preserve"> 457  Колбаса Молочная ТМ Особый рецепт ВЕС большой батон  ПОКОМ</v>
          </cell>
          <cell r="G54">
            <v>694.32100000000003</v>
          </cell>
          <cell r="H54">
            <v>404.39</v>
          </cell>
          <cell r="I54">
            <v>289.93099999999998</v>
          </cell>
          <cell r="K54">
            <v>694.32100000000003</v>
          </cell>
          <cell r="L54">
            <v>404.39</v>
          </cell>
          <cell r="M54">
            <v>289.93099999999998</v>
          </cell>
        </row>
        <row r="55">
          <cell r="A55" t="str">
            <v xml:space="preserve"> 551  Колбаса Сливушка ТМ Вязанка в модифицированной газовой среде 0,11 кг нарезка  ПОКОМ</v>
          </cell>
          <cell r="G55">
            <v>40</v>
          </cell>
          <cell r="I55">
            <v>40</v>
          </cell>
          <cell r="K55">
            <v>4.4000000000000004</v>
          </cell>
          <cell r="M55">
            <v>4.4000000000000004</v>
          </cell>
        </row>
        <row r="56">
          <cell r="A56" t="str">
            <v xml:space="preserve"> 574  Колбаса Сервелат Финский ТМ Вязанка в упаковке скин 0,09 кг нарезка  ПОКОМ</v>
          </cell>
          <cell r="G56">
            <v>30</v>
          </cell>
          <cell r="I56">
            <v>30</v>
          </cell>
          <cell r="K56">
            <v>2.7</v>
          </cell>
          <cell r="M56">
            <v>2.7</v>
          </cell>
        </row>
        <row r="57">
          <cell r="A57" t="str">
            <v xml:space="preserve"> 583  Колбаса Балыковая ТМ Вязанка в упаковке скин 0,09 кг нарезка  ПОКОМ</v>
          </cell>
          <cell r="G57">
            <v>30</v>
          </cell>
          <cell r="I57">
            <v>30</v>
          </cell>
          <cell r="K57">
            <v>2.7</v>
          </cell>
          <cell r="M57">
            <v>2.7</v>
          </cell>
        </row>
        <row r="58">
          <cell r="A58" t="str">
            <v xml:space="preserve"> 584  Колбаса Сервелат Ореховый ТМ Вязанка в упаковке скин 0,09 кг нарезка  ПОКОМ</v>
          </cell>
          <cell r="G58">
            <v>30</v>
          </cell>
          <cell r="I58">
            <v>30</v>
          </cell>
          <cell r="K58">
            <v>2.7</v>
          </cell>
          <cell r="M58">
            <v>2.7</v>
          </cell>
        </row>
        <row r="59">
          <cell r="A59" t="str">
            <v xml:space="preserve"> 585  Колбаса Молочная ТМ Стародворье в оболочке вектор НД ВЕС.  ПОКОМ</v>
          </cell>
          <cell r="G59">
            <v>41.076000000000001</v>
          </cell>
          <cell r="I59">
            <v>41.076000000000001</v>
          </cell>
          <cell r="K59">
            <v>41.076000000000001</v>
          </cell>
          <cell r="M59">
            <v>41.076000000000001</v>
          </cell>
        </row>
        <row r="60">
          <cell r="A60" t="str">
            <v xml:space="preserve"> 597  Колбаса Классическая ТМ Особый рецепт в оболочке полиамид ВЕС. ПОКОМ</v>
          </cell>
          <cell r="H60">
            <v>335.46199999999999</v>
          </cell>
          <cell r="I60">
            <v>-335.46199999999999</v>
          </cell>
          <cell r="L60">
            <v>335.46199999999999</v>
          </cell>
          <cell r="M60">
            <v>-335.46199999999999</v>
          </cell>
        </row>
        <row r="61">
          <cell r="A61" t="str">
            <v xml:space="preserve"> 615  Гречка по-купечески с говядиной и овощами 0,325кг ТМ Стародворье  ПОКОМ</v>
          </cell>
          <cell r="G61">
            <v>144</v>
          </cell>
          <cell r="I61">
            <v>144</v>
          </cell>
          <cell r="K61">
            <v>46.8</v>
          </cell>
          <cell r="M61">
            <v>46.8</v>
          </cell>
        </row>
        <row r="62">
          <cell r="A62" t="str">
            <v xml:space="preserve"> 616  Индейка томлёная в собственном соку 0,25кг ТМ Стародлворье Консервый из мяс.птицы  ПОКОМ</v>
          </cell>
          <cell r="G62">
            <v>36</v>
          </cell>
          <cell r="I62">
            <v>36</v>
          </cell>
          <cell r="K62">
            <v>9</v>
          </cell>
          <cell r="M62">
            <v>9</v>
          </cell>
        </row>
        <row r="63">
          <cell r="A63" t="str">
            <v>БОНУС_ 334  Паштет Любительский ТМ Стародворье ламистер 0,1 кг  ПОКОМ</v>
          </cell>
          <cell r="H63">
            <v>4</v>
          </cell>
          <cell r="I63">
            <v>-4</v>
          </cell>
          <cell r="L63">
            <v>0.4</v>
          </cell>
          <cell r="M63">
            <v>-0.4</v>
          </cell>
        </row>
        <row r="64">
          <cell r="A64" t="str">
            <v>Наггетсы Нагетосы Сочная курочка ТМ Горячая штучка 0,25 кг зам  ПОКОМ</v>
          </cell>
          <cell r="H64">
            <v>6</v>
          </cell>
          <cell r="I64">
            <v>-6</v>
          </cell>
          <cell r="L64">
            <v>1.5</v>
          </cell>
          <cell r="M64">
            <v>-1.5</v>
          </cell>
        </row>
        <row r="65">
          <cell r="A65" t="str">
            <v>Хрустящие крылышки острые к пиву ТМ Горячая штучка 0,3кг зам  ПОКОМ</v>
          </cell>
          <cell r="H65">
            <v>6</v>
          </cell>
          <cell r="I65">
            <v>-6</v>
          </cell>
          <cell r="L65">
            <v>1.8</v>
          </cell>
          <cell r="M65">
            <v>-1.8</v>
          </cell>
        </row>
        <row r="66">
          <cell r="A66" t="str">
            <v>Итого</v>
          </cell>
          <cell r="K66">
            <v>6416.7860000000001</v>
          </cell>
          <cell r="L66">
            <v>2122.569</v>
          </cell>
          <cell r="M66">
            <v>4294.2169999999996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15.09.2026 - 15.09.2026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v>
          </cell>
        </row>
        <row r="8">
          <cell r="A8" t="str">
            <v>Номенклатура</v>
          </cell>
          <cell r="D8" t="str">
            <v>Ед. изм.</v>
          </cell>
          <cell r="E8" t="str">
            <v>Количество</v>
          </cell>
          <cell r="F8" t="str">
            <v>Вес (нетто), кг</v>
          </cell>
        </row>
        <row r="9">
          <cell r="A9" t="str">
            <v>Номенклатура</v>
          </cell>
          <cell r="D9" t="str">
            <v>Ед. изм.</v>
          </cell>
          <cell r="E9" t="str">
            <v>Конечный остаток</v>
          </cell>
          <cell r="F9" t="str">
            <v>Конечный остаток</v>
          </cell>
        </row>
        <row r="10">
          <cell r="A10" t="str">
            <v>ПОКОМ Логистический Партнер</v>
          </cell>
        </row>
        <row r="11">
          <cell r="A11" t="str">
            <v>Вязанка Логистический Партнер(Кг)</v>
          </cell>
        </row>
        <row r="12">
          <cell r="A12" t="str">
            <v xml:space="preserve"> 005  Колбаса Докторская ГОСТ, Вязанка вектор,ВЕС. ПОКОМ</v>
          </cell>
          <cell r="D12" t="str">
            <v>кг</v>
          </cell>
          <cell r="E12">
            <v>67.266999999999996</v>
          </cell>
          <cell r="F12">
            <v>67.266999999999996</v>
          </cell>
          <cell r="G12">
            <v>0.46202786786351779</v>
          </cell>
        </row>
        <row r="13">
          <cell r="A13" t="str">
            <v xml:space="preserve"> 016  Сосиски Вязанка Молочные, Вязанка вискофан  ВЕС.ПОКОМ</v>
          </cell>
          <cell r="D13" t="str">
            <v>кг</v>
          </cell>
          <cell r="E13">
            <v>462.62900000000002</v>
          </cell>
          <cell r="F13">
            <v>462.62900000000002</v>
          </cell>
          <cell r="G13">
            <v>0.32572204943399224</v>
          </cell>
        </row>
        <row r="14">
          <cell r="A14" t="str">
            <v xml:space="preserve"> 017  Сосиски Вязанка Сливочные, Вязанка амицел ВЕС.ПОКОМ</v>
          </cell>
          <cell r="D14" t="str">
            <v>кг</v>
          </cell>
          <cell r="E14">
            <v>547.89099999999996</v>
          </cell>
          <cell r="F14">
            <v>547.89099999999996</v>
          </cell>
          <cell r="G14">
            <v>0.32367738324874568</v>
          </cell>
        </row>
        <row r="15">
          <cell r="A15" t="str">
            <v xml:space="preserve"> 312  Ветчина Филейская ВЕС ТМ  Вязанка ТС Столичная  ПОКОМ</v>
          </cell>
          <cell r="D15" t="str">
            <v>кг</v>
          </cell>
          <cell r="E15">
            <v>67.456999999999994</v>
          </cell>
          <cell r="F15">
            <v>67.456999999999994</v>
          </cell>
          <cell r="G15">
            <v>0.47706066042948408</v>
          </cell>
        </row>
        <row r="16">
          <cell r="A16" t="str">
            <v xml:space="preserve"> 315  Колбаса вареная Молокуша ТМ Вязанка ВЕС, ПОКОМ</v>
          </cell>
          <cell r="D16" t="str">
            <v>кг</v>
          </cell>
          <cell r="E16">
            <v>28.701000000000001</v>
          </cell>
          <cell r="F16">
            <v>28.701000000000001</v>
          </cell>
          <cell r="G16">
            <v>0.58062718822116932</v>
          </cell>
        </row>
        <row r="17">
          <cell r="A17" t="str">
            <v xml:space="preserve"> 330  Колбаса вареная Филейская ТМ Вязанка ТС Классическая ВЕС  ПОКОМ</v>
          </cell>
          <cell r="D17" t="str">
            <v>кг</v>
          </cell>
          <cell r="E17">
            <v>23.388999999999999</v>
          </cell>
          <cell r="F17">
            <v>23.388999999999999</v>
          </cell>
          <cell r="G17">
            <v>0.61477012866019376</v>
          </cell>
        </row>
        <row r="18">
          <cell r="A18" t="str">
            <v xml:space="preserve"> 335  Колбаса Сливушка ТМ Вязанка. ВЕС.  ПОКОМ </v>
          </cell>
          <cell r="D18" t="str">
            <v>кг</v>
          </cell>
          <cell r="E18">
            <v>161.49700000000001</v>
          </cell>
          <cell r="F18">
            <v>161.49700000000001</v>
          </cell>
          <cell r="G18">
            <v>0.58253094910591474</v>
          </cell>
        </row>
        <row r="19">
          <cell r="A19" t="str">
            <v xml:space="preserve"> 336  Ветчина Сливушка с индейкой ТМ Вязанка. ВЕС  ПОКОМ</v>
          </cell>
          <cell r="D19" t="str">
            <v>кг</v>
          </cell>
          <cell r="E19">
            <v>36.779000000000003</v>
          </cell>
          <cell r="F19">
            <v>36.779000000000003</v>
          </cell>
          <cell r="G19">
            <v>0.26073559040809074</v>
          </cell>
        </row>
        <row r="20">
          <cell r="A20" t="str">
            <v xml:space="preserve"> 364  Сардельки Филейские Вязанка ВЕС NDX ТМ Вязанка  ПОКОМ</v>
          </cell>
          <cell r="D20" t="str">
            <v>кг</v>
          </cell>
          <cell r="E20">
            <v>97.472999999999999</v>
          </cell>
          <cell r="F20">
            <v>97.472999999999999</v>
          </cell>
          <cell r="G20">
            <v>0.10233475877166946</v>
          </cell>
        </row>
        <row r="21">
          <cell r="A21" t="str">
            <v xml:space="preserve"> 547  Колбаса Мясная Классическая ТМ Вязанка в оболочке полиамид. ВЕС  ПОКОМ</v>
          </cell>
          <cell r="D21" t="str">
            <v>кг</v>
          </cell>
          <cell r="E21">
            <v>4.1059999999999999</v>
          </cell>
          <cell r="F21">
            <v>4.1059999999999999</v>
          </cell>
          <cell r="G21">
            <v>0.79172689869898805</v>
          </cell>
        </row>
        <row r="22">
          <cell r="A22" t="str">
            <v xml:space="preserve"> 556  Колбаса Сервелат Ореховый ТМ Вязанка в оболочке фиброуз в вакуумной упаковке, ВЕС  ПОКОМ</v>
          </cell>
          <cell r="D22" t="str">
            <v>кг</v>
          </cell>
          <cell r="E22">
            <v>-38.189</v>
          </cell>
          <cell r="F22">
            <v>-38.189</v>
          </cell>
          <cell r="G22">
            <v>0.27955591296966448</v>
          </cell>
        </row>
        <row r="23">
          <cell r="A23" t="str">
            <v xml:space="preserve"> 558  Колбаса Балыковая НОВАЯ ВЕС Вязанка фиброуз в/у ПОКОМ</v>
          </cell>
          <cell r="D23" t="str">
            <v>кг</v>
          </cell>
          <cell r="E23">
            <v>0.46800000000000003</v>
          </cell>
          <cell r="F23">
            <v>0.46800000000000003</v>
          </cell>
          <cell r="G23">
            <v>0.1738879904830945</v>
          </cell>
        </row>
        <row r="24">
          <cell r="A24" t="str">
            <v>503 Колбаса Филейская со шпиком ТМ Вязанка в оболочке полиамид.ПОКОМ</v>
          </cell>
          <cell r="D24" t="str">
            <v>кг</v>
          </cell>
          <cell r="E24">
            <v>12.14</v>
          </cell>
          <cell r="F24">
            <v>12.14</v>
          </cell>
          <cell r="G24">
            <v>0.44556169876663226</v>
          </cell>
        </row>
        <row r="25">
          <cell r="A25" t="str">
            <v>Вязанка Логистический Партнер(Шт)</v>
          </cell>
        </row>
        <row r="26">
          <cell r="A26" t="str">
            <v xml:space="preserve"> 030  Сосиски Вязанка Молочные, Вязанка вискофан МГС, 0.45кг, ПОКОМ</v>
          </cell>
          <cell r="D26" t="str">
            <v>шт</v>
          </cell>
          <cell r="E26">
            <v>281.85500000000002</v>
          </cell>
          <cell r="F26">
            <v>126.83499999999999</v>
          </cell>
          <cell r="G26">
            <v>0.5691321063152659</v>
          </cell>
        </row>
        <row r="27">
          <cell r="A27" t="str">
            <v xml:space="preserve"> 032  Сосиски Вязанка Сливочные, Вязанка амицел МГС, 0.45кг, ПОКОМ</v>
          </cell>
          <cell r="D27" t="str">
            <v>шт</v>
          </cell>
          <cell r="E27">
            <v>1324</v>
          </cell>
          <cell r="F27">
            <v>595.79999999999995</v>
          </cell>
          <cell r="G27">
            <v>0.50801924619085803</v>
          </cell>
        </row>
        <row r="28">
          <cell r="A28" t="str">
            <v xml:space="preserve"> 276  Колбаса Сливушка ТМ Вязанка в оболочке полиамид 0,45 кг  ПОКОМ</v>
          </cell>
          <cell r="D28" t="str">
            <v>шт</v>
          </cell>
          <cell r="E28">
            <v>180</v>
          </cell>
          <cell r="F28">
            <v>81</v>
          </cell>
          <cell r="G28">
            <v>0.58559256390395031</v>
          </cell>
        </row>
        <row r="29">
          <cell r="A29" t="str">
            <v xml:space="preserve"> 298  Колбаса Сливушка ТМ Вязанка, 0,375кг,  ПОКОМ</v>
          </cell>
          <cell r="D29" t="str">
            <v>шт</v>
          </cell>
          <cell r="E29">
            <v>1</v>
          </cell>
          <cell r="F29">
            <v>0.375</v>
          </cell>
          <cell r="G29">
            <v>0.33333333333333331</v>
          </cell>
        </row>
        <row r="30">
          <cell r="A30" t="str">
            <v xml:space="preserve"> 319  Колбаса вареная Филейская ТМ Вязанка ТС Классическая, 0,45 кг. ПОКОМ</v>
          </cell>
          <cell r="D30" t="str">
            <v>шт</v>
          </cell>
          <cell r="E30">
            <v>31</v>
          </cell>
          <cell r="F30">
            <v>13.95</v>
          </cell>
          <cell r="G30">
            <v>0.52950558213716115</v>
          </cell>
        </row>
        <row r="31">
          <cell r="A31" t="str">
            <v xml:space="preserve"> 322  Колбаса вареная Молокуша 0,45кг ТМ Вязанка  ПОКОМ</v>
          </cell>
          <cell r="D31" t="str">
            <v>шт</v>
          </cell>
          <cell r="E31">
            <v>251</v>
          </cell>
          <cell r="F31">
            <v>112.95</v>
          </cell>
          <cell r="G31">
            <v>0.59173126614987082</v>
          </cell>
        </row>
        <row r="32">
          <cell r="A32" t="str">
            <v xml:space="preserve"> 339  Колбаса вареная Филейская ТМ Вязанка ТС Классическая, 0,40 кг.  ПОКОМ</v>
          </cell>
          <cell r="D32" t="str">
            <v>шт</v>
          </cell>
          <cell r="E32">
            <v>4</v>
          </cell>
          <cell r="F32">
            <v>1.6</v>
          </cell>
          <cell r="G32">
            <v>0.1111111111111111</v>
          </cell>
        </row>
        <row r="33">
          <cell r="A33" t="str">
            <v xml:space="preserve"> 387  Колбаса вареная Мусульманская Халяль ТМ Вязанка, 0,4 кг ПОКОМ</v>
          </cell>
          <cell r="D33" t="str">
            <v>шт</v>
          </cell>
          <cell r="E33">
            <v>59</v>
          </cell>
          <cell r="F33">
            <v>23.6</v>
          </cell>
          <cell r="G33">
            <v>0.29090909090909089</v>
          </cell>
        </row>
        <row r="34">
          <cell r="A34" t="str">
            <v xml:space="preserve"> 388  Сосиски Восточные Халяль ТМ Вязанка 0,33 кг АК. ПОКОМ</v>
          </cell>
          <cell r="D34" t="str">
            <v>шт</v>
          </cell>
          <cell r="E34">
            <v>-17</v>
          </cell>
          <cell r="F34">
            <v>-5.61</v>
          </cell>
          <cell r="G34">
            <v>0.33741496598639453</v>
          </cell>
        </row>
        <row r="35">
          <cell r="A35" t="str">
            <v xml:space="preserve"> 395  Колбаса Докторская ГОСТ ТМ Вязанка в оболочке полиамид 0,37 кг. ПОКОМ</v>
          </cell>
          <cell r="D35" t="str">
            <v>шт</v>
          </cell>
          <cell r="E35">
            <v>7</v>
          </cell>
          <cell r="F35">
            <v>2.59</v>
          </cell>
          <cell r="G35">
            <v>0.44444444444444442</v>
          </cell>
        </row>
        <row r="36">
          <cell r="A36" t="str">
            <v xml:space="preserve"> 405  Сардельки Сливушки ТМ Вязанка в оболочке айпил 0,33 кг. ПОКОМ</v>
          </cell>
          <cell r="D36" t="str">
            <v>шт</v>
          </cell>
          <cell r="E36">
            <v>-11</v>
          </cell>
          <cell r="F36">
            <v>-3.63</v>
          </cell>
          <cell r="G36">
            <v>0.34061135371179041</v>
          </cell>
        </row>
        <row r="37">
          <cell r="A37" t="str">
            <v xml:space="preserve"> 408  Ветчина Сливушка с индейкой ТМ Вязанка, 0,4кг  ПОКОМ</v>
          </cell>
          <cell r="D37" t="str">
            <v>шт</v>
          </cell>
          <cell r="E37">
            <v>17</v>
          </cell>
          <cell r="F37">
            <v>6.8</v>
          </cell>
          <cell r="G37">
            <v>0.11764705882352942</v>
          </cell>
        </row>
        <row r="38">
          <cell r="A38" t="str">
            <v xml:space="preserve"> 551  Колбаса Сливушка ТМ Вязанка в модифицированной газовой среде 0,11 кг нарезка  ПОКОМ</v>
          </cell>
          <cell r="D38" t="str">
            <v>шт</v>
          </cell>
          <cell r="E38">
            <v>51</v>
          </cell>
          <cell r="F38">
            <v>5.61</v>
          </cell>
          <cell r="G38">
            <v>0.58823529411764708</v>
          </cell>
        </row>
        <row r="39">
          <cell r="A39" t="str">
            <v xml:space="preserve"> 555  Колбаса Молокуша ТМ Вязанка в модифицированной газовой среде 0,17 кг нарезка  ПОКОМ</v>
          </cell>
          <cell r="D39" t="str">
            <v>шт</v>
          </cell>
          <cell r="E39">
            <v>58</v>
          </cell>
          <cell r="F39">
            <v>9.86</v>
          </cell>
          <cell r="G39">
            <v>0.76666666666666672</v>
          </cell>
        </row>
        <row r="40">
          <cell r="A40" t="str">
            <v xml:space="preserve"> 569  Колбаса Балыковая ТМ Вязанка в оболочке фиброуз в вакуумной упаковке 0,28 кг срез.  ПОКОМ</v>
          </cell>
          <cell r="D40" t="str">
            <v>шт</v>
          </cell>
          <cell r="E40">
            <v>4</v>
          </cell>
          <cell r="F40">
            <v>1.1200000000000001</v>
          </cell>
          <cell r="G40">
            <v>0.5485714285714286</v>
          </cell>
        </row>
        <row r="41">
          <cell r="A41" t="str">
            <v xml:space="preserve"> 571  Колбаса Сервелат Ореховый ТМ Вязанка в оболочке фиброуз в вак. упаковке 0,28 кг срез  ПОКОМ</v>
          </cell>
          <cell r="D41" t="str">
            <v>шт</v>
          </cell>
          <cell r="E41">
            <v>-7</v>
          </cell>
          <cell r="F41">
            <v>-1.96</v>
          </cell>
          <cell r="G41">
            <v>0.53846153846153855</v>
          </cell>
        </row>
        <row r="42">
          <cell r="A42" t="str">
            <v xml:space="preserve"> 574  Колбаса Сервелат Финский ТМ Вязанка в упаковке скин 0,09 кг нарезка  ПОКОМ</v>
          </cell>
          <cell r="D42" t="str">
            <v>шт</v>
          </cell>
          <cell r="E42">
            <v>82</v>
          </cell>
          <cell r="F42">
            <v>7.38</v>
          </cell>
          <cell r="G42">
            <v>0.1297071129707113</v>
          </cell>
        </row>
        <row r="43">
          <cell r="A43" t="str">
            <v xml:space="preserve"> 583  Колбаса Балыковая ТМ Вязанка в упаковке скин 0,09 кг нарезка  ПОКОМ</v>
          </cell>
          <cell r="D43" t="str">
            <v>шт</v>
          </cell>
          <cell r="E43">
            <v>90</v>
          </cell>
          <cell r="F43">
            <v>8.1</v>
          </cell>
          <cell r="G43">
            <v>7.9787234042553196E-2</v>
          </cell>
        </row>
        <row r="44">
          <cell r="A44" t="str">
            <v xml:space="preserve"> 584  Колбаса Сервелат Ореховый ТМ Вязанка в упаковке скин 0,09 кг нарезка  ПОКОМ</v>
          </cell>
          <cell r="D44" t="str">
            <v>шт</v>
          </cell>
          <cell r="E44">
            <v>89</v>
          </cell>
          <cell r="F44">
            <v>8.01</v>
          </cell>
          <cell r="G44">
            <v>8.7804878048780496E-2</v>
          </cell>
        </row>
        <row r="45">
          <cell r="A45" t="str">
            <v>Заморозка Зареченские Логистический партнер (кг)</v>
          </cell>
        </row>
        <row r="46">
          <cell r="A46" t="str">
            <v>БОНУС_Пирожки с мясом 3,7кг ВЕС ТМ Зареченские  ПОКОМ</v>
          </cell>
          <cell r="D46" t="str">
            <v>кг</v>
          </cell>
          <cell r="E46">
            <v>3.7</v>
          </cell>
          <cell r="F46">
            <v>3.7</v>
          </cell>
          <cell r="G46">
            <v>0</v>
          </cell>
        </row>
        <row r="47">
          <cell r="A47" t="str">
            <v>Мини-сосиски в ароматном тесте ВЕС ТМ Зареченские продукты  ПОКОМ</v>
          </cell>
          <cell r="D47" t="str">
            <v>кг</v>
          </cell>
          <cell r="E47">
            <v>132.6</v>
          </cell>
          <cell r="F47">
            <v>132.6</v>
          </cell>
          <cell r="G47">
            <v>0.86842105263157898</v>
          </cell>
        </row>
        <row r="48">
          <cell r="A48" t="str">
            <v>Мини-сосиски в тесте 5кг ВЕС ТМ Зареченские  ПОКОМ</v>
          </cell>
          <cell r="D48" t="str">
            <v>кг</v>
          </cell>
          <cell r="E48">
            <v>5</v>
          </cell>
          <cell r="F48">
            <v>5</v>
          </cell>
          <cell r="G48">
            <v>0.55000000000000004</v>
          </cell>
        </row>
        <row r="49">
          <cell r="A49" t="str">
            <v>Мини-шарики с курочкой и сыром ТМ Зареченские ВЕС ПОКОМ</v>
          </cell>
          <cell r="D49" t="str">
            <v>кг</v>
          </cell>
          <cell r="E49">
            <v>48</v>
          </cell>
          <cell r="F49">
            <v>48</v>
          </cell>
          <cell r="G49">
            <v>0.42592592592592593</v>
          </cell>
        </row>
        <row r="50">
          <cell r="A50" t="str">
            <v>Наггетсы Хрустящие ТМ Зареченские ТС Зареченские продукты. Поком</v>
          </cell>
          <cell r="D50" t="str">
            <v>кг</v>
          </cell>
          <cell r="E50">
            <v>258</v>
          </cell>
          <cell r="F50">
            <v>258</v>
          </cell>
          <cell r="G50">
            <v>0.2878787878787879</v>
          </cell>
        </row>
        <row r="51">
          <cell r="A51" t="str">
            <v>Пирожки с мясом 3,7кг ВЕС ТМ Зареченские  ПОКОМ</v>
          </cell>
          <cell r="D51" t="str">
            <v>кг</v>
          </cell>
          <cell r="E51">
            <v>40.700000000000003</v>
          </cell>
          <cell r="F51">
            <v>40.700000000000003</v>
          </cell>
          <cell r="G51">
            <v>0.5</v>
          </cell>
        </row>
        <row r="52">
          <cell r="A52" t="str">
            <v>Чебуреки Мясные вес 2,7 кг ТМ Зареченские ТС Зареченские продукты   Поком</v>
          </cell>
          <cell r="D52" t="str">
            <v>кг</v>
          </cell>
          <cell r="E52">
            <v>62.1</v>
          </cell>
          <cell r="F52">
            <v>62.1</v>
          </cell>
          <cell r="G52">
            <v>0.12</v>
          </cell>
        </row>
        <row r="53">
          <cell r="A53" t="str">
            <v>Чебуреки сочные ТМ Зареченские ТС Зареченские продукты.  Поком</v>
          </cell>
          <cell r="D53" t="str">
            <v>кг</v>
          </cell>
          <cell r="E53">
            <v>245</v>
          </cell>
          <cell r="F53">
            <v>245</v>
          </cell>
          <cell r="G53">
            <v>0.12820512820512819</v>
          </cell>
        </row>
        <row r="54">
          <cell r="A54" t="str">
            <v>Заморозка Зареченские Логистический партнер (шт)</v>
          </cell>
        </row>
        <row r="55">
          <cell r="A55" t="str">
            <v>Пельмени Домашние со сливочным маслом ТМ Зареченские  продукты флоу-пак сфера 0,7 кг.  Поком</v>
          </cell>
          <cell r="D55" t="str">
            <v>шт</v>
          </cell>
          <cell r="E55">
            <v>1</v>
          </cell>
          <cell r="F55">
            <v>0.7</v>
          </cell>
          <cell r="G55">
            <v>3.2467532467532471E-2</v>
          </cell>
        </row>
        <row r="56">
          <cell r="A56" t="str">
            <v>Зареченские Логистический Партнер (кг)</v>
          </cell>
        </row>
        <row r="57">
          <cell r="A57" t="str">
            <v xml:space="preserve"> 318  Сосиски Датские ТМ Зареченские, ВЕС  ПОКОМ</v>
          </cell>
          <cell r="D57" t="str">
            <v>кг</v>
          </cell>
          <cell r="E57">
            <v>0.434</v>
          </cell>
          <cell r="F57">
            <v>0.434</v>
          </cell>
          <cell r="G57">
            <v>0</v>
          </cell>
        </row>
        <row r="58">
          <cell r="A58" t="str">
            <v>Логистический Партнер Кг</v>
          </cell>
        </row>
        <row r="59">
          <cell r="A59" t="str">
            <v xml:space="preserve"> 200  Ветчина Дугушка ТМ Стародворье, вектор в/у    ПОКОМ</v>
          </cell>
          <cell r="D59" t="str">
            <v>кг</v>
          </cell>
          <cell r="E59">
            <v>172.04400000000001</v>
          </cell>
          <cell r="F59">
            <v>172.04400000000001</v>
          </cell>
          <cell r="G59">
            <v>0.58502912326368495</v>
          </cell>
        </row>
        <row r="60">
          <cell r="A60" t="str">
            <v xml:space="preserve"> 201  Ветчина Нежная ТМ Особый рецепт, (2,5кг), ПОКОМ</v>
          </cell>
          <cell r="D60" t="str">
            <v>кг</v>
          </cell>
          <cell r="E60">
            <v>301.327</v>
          </cell>
          <cell r="F60">
            <v>301.327</v>
          </cell>
          <cell r="G60">
            <v>0.30351914918401945</v>
          </cell>
        </row>
        <row r="61">
          <cell r="A61" t="str">
            <v xml:space="preserve"> 215  Колбаса Докторская ГОСТ Дугушка, ВЕС, ТМ Стародворье ПОКОМ</v>
          </cell>
          <cell r="D61" t="str">
            <v>кг</v>
          </cell>
          <cell r="E61">
            <v>16.456</v>
          </cell>
          <cell r="F61">
            <v>16.456</v>
          </cell>
          <cell r="G61">
            <v>0.75592650491466251</v>
          </cell>
        </row>
        <row r="62">
          <cell r="A62" t="str">
            <v xml:space="preserve"> 219  Колбаса Докторская Особая ТМ Особый рецепт, ВЕС  ПОКОМ</v>
          </cell>
          <cell r="D62" t="str">
            <v>кг</v>
          </cell>
          <cell r="E62">
            <v>-5.032</v>
          </cell>
          <cell r="F62">
            <v>-5.032</v>
          </cell>
          <cell r="G62">
            <v>0</v>
          </cell>
        </row>
        <row r="63">
          <cell r="A63" t="str">
            <v xml:space="preserve"> 225  Колбаса Дугушка со шпиком, ВЕС, ТМ Стародворье   ПОКОМ</v>
          </cell>
          <cell r="D63" t="str">
            <v>кг</v>
          </cell>
          <cell r="E63">
            <v>5.6020000000000003</v>
          </cell>
          <cell r="F63">
            <v>5.6020000000000003</v>
          </cell>
          <cell r="G63">
            <v>0.75835293721331087</v>
          </cell>
        </row>
        <row r="64">
          <cell r="A64" t="str">
            <v xml:space="preserve"> 226  Колбаса Княжеская, с/к белков.обол в термоусад. пакете, ВЕС, ТМ Стародворье ПОКОМ</v>
          </cell>
          <cell r="D64" t="str">
            <v>кг</v>
          </cell>
          <cell r="E64">
            <v>62.988</v>
          </cell>
          <cell r="F64">
            <v>62.988</v>
          </cell>
          <cell r="G64">
            <v>9.1908716820161884E-2</v>
          </cell>
        </row>
        <row r="65">
          <cell r="A65" t="str">
            <v xml:space="preserve"> 229  Колбаса Молочная Дугушка, в/у, ВЕС, ТМ Стародворье   ПОКОМ</v>
          </cell>
          <cell r="D65" t="str">
            <v>кг</v>
          </cell>
          <cell r="E65">
            <v>240.68199999999999</v>
          </cell>
          <cell r="F65">
            <v>240.68199999999999</v>
          </cell>
          <cell r="G65">
            <v>0.59738759995230462</v>
          </cell>
        </row>
        <row r="66">
          <cell r="A66" t="str">
            <v xml:space="preserve"> 236  Колбаса Рубленая ЗАПЕЧ. Дугушка ТМ Стародворье, вектор, в/к    ПОКОМ</v>
          </cell>
          <cell r="D66" t="str">
            <v>кг</v>
          </cell>
          <cell r="E66">
            <v>24.841999999999999</v>
          </cell>
          <cell r="F66">
            <v>24.841999999999999</v>
          </cell>
          <cell r="G66">
            <v>0.76135911551094049</v>
          </cell>
        </row>
        <row r="67">
          <cell r="A67" t="str">
            <v xml:space="preserve"> 239  Колбаса Салями запеч Дугушка, оболочка вектор, ВЕС, ТМ Стародворье  ПОКОМ</v>
          </cell>
          <cell r="D67" t="str">
            <v>кг</v>
          </cell>
          <cell r="E67">
            <v>2.2080000000000002</v>
          </cell>
          <cell r="F67">
            <v>2.2080000000000002</v>
          </cell>
          <cell r="G67">
            <v>0.70595718015309139</v>
          </cell>
        </row>
        <row r="68">
          <cell r="A68" t="str">
            <v xml:space="preserve"> 240  Колбаса Салями охотничья, ВЕС. ПОКОМ</v>
          </cell>
          <cell r="D68" t="str">
            <v>кг</v>
          </cell>
          <cell r="E68">
            <v>45.933</v>
          </cell>
          <cell r="F68">
            <v>45.933</v>
          </cell>
          <cell r="G68">
            <v>8.7166397527391429E-2</v>
          </cell>
        </row>
        <row r="69">
          <cell r="A69" t="str">
            <v xml:space="preserve"> 242  Колбаса Сервелат ЗАПЕЧ.Дугушка ТМ Стародворье, вектор, в/к     ПОКОМ</v>
          </cell>
          <cell r="D69" t="str">
            <v>кг</v>
          </cell>
          <cell r="E69">
            <v>96.608999999999995</v>
          </cell>
          <cell r="F69">
            <v>96.608999999999995</v>
          </cell>
          <cell r="G69">
            <v>0.66351246697428412</v>
          </cell>
        </row>
        <row r="70">
          <cell r="A70" t="str">
            <v xml:space="preserve"> 247  Сардельки Нежные, ВЕС.  ПОКОМ</v>
          </cell>
          <cell r="D70" t="str">
            <v>кг</v>
          </cell>
          <cell r="E70">
            <v>119.295</v>
          </cell>
          <cell r="F70">
            <v>119.295</v>
          </cell>
          <cell r="G70">
            <v>0.24420362586250699</v>
          </cell>
        </row>
        <row r="71">
          <cell r="A71" t="str">
            <v xml:space="preserve"> 248  Сардельки Сочные ТМ Особый рецепт,   ПОКОМ</v>
          </cell>
          <cell r="D71" t="str">
            <v>кг</v>
          </cell>
          <cell r="E71">
            <v>1.149</v>
          </cell>
          <cell r="F71">
            <v>1.149</v>
          </cell>
          <cell r="G71">
            <v>0</v>
          </cell>
        </row>
        <row r="72">
          <cell r="A72" t="str">
            <v xml:space="preserve"> 250  Сардельки стародворские с говядиной в обол. NDX, ВЕС. ПОКОМ</v>
          </cell>
          <cell r="D72" t="str">
            <v>кг</v>
          </cell>
          <cell r="E72">
            <v>19.067</v>
          </cell>
          <cell r="F72">
            <v>19.067</v>
          </cell>
          <cell r="G72">
            <v>0.1203076949631347</v>
          </cell>
        </row>
        <row r="73">
          <cell r="A73" t="str">
            <v xml:space="preserve"> 255  Сосиски Молочные для завтрака ТМ Особый рецепт, п/а МГС, ВЕС, ТМ Стародворье  ПОКОМ</v>
          </cell>
          <cell r="D73" t="str">
            <v>кг</v>
          </cell>
          <cell r="E73">
            <v>-0.36799999999999999</v>
          </cell>
          <cell r="F73">
            <v>-0.36799999999999999</v>
          </cell>
          <cell r="G73">
            <v>0.28649843951070153</v>
          </cell>
        </row>
        <row r="74">
          <cell r="A74" t="str">
            <v xml:space="preserve"> 257  Сосиски Молочные оригинальные ТМ Особый рецепт, ВЕС.   ПОКОМ</v>
          </cell>
          <cell r="D74" t="str">
            <v>кг</v>
          </cell>
          <cell r="E74">
            <v>4.3479999999999999</v>
          </cell>
          <cell r="F74">
            <v>4.3479999999999999</v>
          </cell>
          <cell r="G74">
            <v>0.48870617580488707</v>
          </cell>
        </row>
        <row r="75">
          <cell r="A75" t="str">
            <v xml:space="preserve"> 263  Шпикачки Стародворские, ВЕС.  ПОКОМ</v>
          </cell>
          <cell r="D75" t="str">
            <v>кг</v>
          </cell>
          <cell r="E75">
            <v>56.988999999999997</v>
          </cell>
          <cell r="F75">
            <v>56.988999999999997</v>
          </cell>
          <cell r="G75">
            <v>2.091109158477698E-2</v>
          </cell>
        </row>
        <row r="76">
          <cell r="A76" t="str">
            <v xml:space="preserve"> 265  Колбаса Балыкбургская, ВЕС, ТМ Баварушка  ПОКОМ</v>
          </cell>
          <cell r="D76" t="str">
            <v>кг</v>
          </cell>
          <cell r="E76">
            <v>3.2759999999999998</v>
          </cell>
          <cell r="F76">
            <v>3.2759999999999998</v>
          </cell>
          <cell r="G76">
            <v>0.15311973581066429</v>
          </cell>
        </row>
        <row r="77">
          <cell r="A77" t="str">
            <v xml:space="preserve"> 266  Колбаса Филейбургская с сочным окороком, ВЕС, ТМ Баварушка  ПОКОМ</v>
          </cell>
          <cell r="D77" t="str">
            <v>кг</v>
          </cell>
          <cell r="E77">
            <v>-2.7559999999999998</v>
          </cell>
          <cell r="F77">
            <v>-2.7559999999999998</v>
          </cell>
          <cell r="G77">
            <v>1</v>
          </cell>
        </row>
        <row r="78">
          <cell r="A78" t="str">
            <v xml:space="preserve"> 267  Колбаса Салями Филейбургская зернистая, оболочка фиброуз, ВЕС, ТМ Баварушка  ПОКОМ</v>
          </cell>
          <cell r="D78" t="str">
            <v>кг</v>
          </cell>
          <cell r="E78">
            <v>98.897999999999996</v>
          </cell>
          <cell r="F78">
            <v>98.897999999999996</v>
          </cell>
          <cell r="G78">
            <v>7.0934121713922535E-2</v>
          </cell>
        </row>
        <row r="79">
          <cell r="A79" t="str">
            <v xml:space="preserve"> 283  Сосиски Сочинки, ВЕС, ТМ Стародворье ПОКОМ</v>
          </cell>
          <cell r="D79" t="str">
            <v>кг</v>
          </cell>
          <cell r="E79">
            <v>88.760999999999996</v>
          </cell>
          <cell r="F79">
            <v>88.760999999999996</v>
          </cell>
          <cell r="G79">
            <v>7.3014024555520973E-2</v>
          </cell>
        </row>
        <row r="80">
          <cell r="A80" t="str">
            <v xml:space="preserve"> 297  Колбаса Мясорубская с рубленой грудинкой ВЕС ТМ Стародворье  ПОКОМ</v>
          </cell>
          <cell r="D80" t="str">
            <v>кг</v>
          </cell>
          <cell r="E80">
            <v>16.719000000000001</v>
          </cell>
          <cell r="F80">
            <v>16.719000000000001</v>
          </cell>
          <cell r="G80">
            <v>0.18352771054037911</v>
          </cell>
        </row>
        <row r="81">
          <cell r="A81" t="str">
            <v xml:space="preserve"> 305  Колбаса Сервелат Мясорубский с мелкорубленным окороком в/у  ТМ Стародворье ВЕС   ПОКОМ</v>
          </cell>
          <cell r="D81" t="str">
            <v>кг</v>
          </cell>
          <cell r="E81">
            <v>-2.7429999999999999</v>
          </cell>
          <cell r="F81">
            <v>-2.7429999999999999</v>
          </cell>
          <cell r="G81">
            <v>0.39275421057371884</v>
          </cell>
        </row>
        <row r="82">
          <cell r="A82" t="str">
            <v xml:space="preserve"> 340  Сосиски Сочинки Молочные ТМ Стародворье, ВЕС ПОКОМ</v>
          </cell>
          <cell r="D82" t="str">
            <v>кг</v>
          </cell>
          <cell r="E82">
            <v>-21.355</v>
          </cell>
          <cell r="F82">
            <v>-21.355</v>
          </cell>
          <cell r="G82">
            <v>0.1865257486180367</v>
          </cell>
        </row>
        <row r="83">
          <cell r="A83" t="str">
            <v xml:space="preserve"> 341 Сосиски Сочинки Сливочные ТМ Стародворье ВЕС ПОКОМ</v>
          </cell>
          <cell r="D83" t="str">
            <v>кг</v>
          </cell>
          <cell r="E83">
            <v>17.835999999999999</v>
          </cell>
          <cell r="F83">
            <v>17.835999999999999</v>
          </cell>
          <cell r="G83">
            <v>7.2181243414120133E-2</v>
          </cell>
        </row>
        <row r="84">
          <cell r="A84" t="str">
            <v xml:space="preserve"> 344  Колбаса Сочинка по-европейски с сочной грудинкой ТМ Стародворье, ВЕС ПОКОМ</v>
          </cell>
          <cell r="D84" t="str">
            <v>кг</v>
          </cell>
          <cell r="E84">
            <v>-3.706</v>
          </cell>
          <cell r="F84">
            <v>-3.706</v>
          </cell>
          <cell r="G84">
            <v>0.21497063661856583</v>
          </cell>
        </row>
        <row r="85">
          <cell r="A85" t="str">
            <v xml:space="preserve"> 345  Колбаса Сочинка по-фински с сочным окроком ТМ Стародворье ВЕС ПОКОМ</v>
          </cell>
          <cell r="D85" t="str">
            <v>кг</v>
          </cell>
          <cell r="E85">
            <v>10.363</v>
          </cell>
          <cell r="F85">
            <v>10.363</v>
          </cell>
          <cell r="G85">
            <v>0.2293321336973608</v>
          </cell>
        </row>
        <row r="86">
          <cell r="A86" t="str">
            <v xml:space="preserve"> 346  Колбаса Сочинка зернистая с сочной грудинкой ТМ Стародворье.ВЕС ПОКОМ</v>
          </cell>
          <cell r="D86" t="str">
            <v>кг</v>
          </cell>
          <cell r="E86">
            <v>3.806</v>
          </cell>
          <cell r="F86">
            <v>3.806</v>
          </cell>
          <cell r="G86">
            <v>0.25822993542952138</v>
          </cell>
        </row>
        <row r="87">
          <cell r="A87" t="str">
            <v xml:space="preserve"> 347  Колбаса Сочинка рубленая с сочным окороком ТМ Стародворье ВЕС ПОКОМ</v>
          </cell>
          <cell r="D87" t="str">
            <v>кг</v>
          </cell>
          <cell r="E87">
            <v>5.7990000000000004</v>
          </cell>
          <cell r="F87">
            <v>5.7990000000000004</v>
          </cell>
          <cell r="G87">
            <v>0.30712434907297931</v>
          </cell>
        </row>
        <row r="88">
          <cell r="A88" t="str">
            <v xml:space="preserve"> 449  Колбаса Дугушка Стародворская ВЕС ТС Дугушка ПОКОМ</v>
          </cell>
          <cell r="D88" t="str">
            <v>кг</v>
          </cell>
          <cell r="E88">
            <v>92.123000000000005</v>
          </cell>
          <cell r="F88">
            <v>92.123000000000005</v>
          </cell>
          <cell r="G88">
            <v>0.67209217724671544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 t="str">
            <v>кг</v>
          </cell>
          <cell r="E89">
            <v>76.117000000000004</v>
          </cell>
          <cell r="F89">
            <v>76.117000000000004</v>
          </cell>
          <cell r="G89">
            <v>0.21647221174909395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 t="str">
            <v>кг</v>
          </cell>
          <cell r="E90">
            <v>526.86</v>
          </cell>
          <cell r="F90">
            <v>526.86</v>
          </cell>
          <cell r="G90">
            <v>0.27084335278481431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 t="str">
            <v>кг</v>
          </cell>
          <cell r="E91">
            <v>1273.989</v>
          </cell>
          <cell r="F91">
            <v>1273.989</v>
          </cell>
          <cell r="G91">
            <v>0.33773273844595425</v>
          </cell>
        </row>
        <row r="92">
          <cell r="A92" t="str">
            <v xml:space="preserve"> 557  Колбаса Сервелат Финский ТМ Вязанка в оболочке фиброуз в вакуумной упаковке, ВЕС  ПОКОМ</v>
          </cell>
          <cell r="D92" t="str">
            <v>кг</v>
          </cell>
          <cell r="E92">
            <v>5.4189999999999996</v>
          </cell>
          <cell r="F92">
            <v>5.4189999999999996</v>
          </cell>
          <cell r="G92">
            <v>0.16113254501772536</v>
          </cell>
        </row>
        <row r="93">
          <cell r="A93" t="str">
            <v xml:space="preserve"> 579  Колбаса Ветчинно-рубленая ТМ Особый рецепт в оболочке полиамид.ВЕС  ПОКОМ</v>
          </cell>
          <cell r="D93" t="str">
            <v>кг</v>
          </cell>
          <cell r="E93">
            <v>-6.5000000000000002E-2</v>
          </cell>
          <cell r="F93">
            <v>-6.5000000000000002E-2</v>
          </cell>
          <cell r="G93">
            <v>0.16997943442066712</v>
          </cell>
        </row>
        <row r="94">
          <cell r="A94" t="str">
            <v xml:space="preserve"> 580  Ветчина Нежная с индейкой ТМ Особый рецепт в оболочке полиамид.ВЕС  ПОКОМ</v>
          </cell>
          <cell r="D94" t="str">
            <v>кг</v>
          </cell>
          <cell r="E94">
            <v>2.5640000000000001</v>
          </cell>
          <cell r="F94">
            <v>2.5640000000000001</v>
          </cell>
          <cell r="G94">
            <v>0.1059706887103732</v>
          </cell>
        </row>
        <row r="95">
          <cell r="A95" t="str">
            <v xml:space="preserve"> 585  Колбаса Молочная ТМ Стародворье в оболочке вектор НД ВЕС.  ПОКОМ</v>
          </cell>
          <cell r="D95" t="str">
            <v>кг</v>
          </cell>
          <cell r="E95">
            <v>50.72</v>
          </cell>
          <cell r="F95">
            <v>50.72</v>
          </cell>
          <cell r="G95">
            <v>0.27723544580852094</v>
          </cell>
        </row>
        <row r="96">
          <cell r="A96" t="str">
            <v xml:space="preserve"> 586  Колбаса Мясная ТМ Стародворье в оболочке вектор НД ВЕС.  ПОКОМ</v>
          </cell>
          <cell r="D96" t="str">
            <v>кг</v>
          </cell>
          <cell r="E96">
            <v>26.719000000000001</v>
          </cell>
          <cell r="F96">
            <v>26.719000000000001</v>
          </cell>
          <cell r="G96">
            <v>0.43169986561334323</v>
          </cell>
        </row>
        <row r="97">
          <cell r="A97" t="str">
            <v xml:space="preserve"> 588 Колбаса Со шпиком ТМ Стародворье в оболочке вектор ВЕС  ПОКОМ</v>
          </cell>
          <cell r="D97" t="str">
            <v>кг</v>
          </cell>
          <cell r="E97">
            <v>1.0900000000000001</v>
          </cell>
          <cell r="F97">
            <v>1.0900000000000001</v>
          </cell>
          <cell r="G97">
            <v>0.28714645965189872</v>
          </cell>
        </row>
        <row r="98">
          <cell r="A98" t="str">
            <v xml:space="preserve"> 597  Колбаса Классическая ТМ Особый рецепт в оболочке полиамид ВЕС. ПОКОМ</v>
          </cell>
          <cell r="D98" t="str">
            <v>кг</v>
          </cell>
          <cell r="E98">
            <v>548.10599999999999</v>
          </cell>
          <cell r="F98">
            <v>548.10599999999999</v>
          </cell>
          <cell r="G98">
            <v>0.31664985578029059</v>
          </cell>
        </row>
        <row r="99">
          <cell r="A99" t="str">
            <v>Логистический Партнер Шт</v>
          </cell>
        </row>
        <row r="100">
          <cell r="A100" t="str">
            <v xml:space="preserve"> 047  Кол Баварская, белков.обол. в термоусад. пакете 0.17 кг, ТМ Стародворье  ПОКОМ</v>
          </cell>
          <cell r="D100" t="str">
            <v>шт</v>
          </cell>
          <cell r="E100">
            <v>115</v>
          </cell>
          <cell r="F100">
            <v>19.55</v>
          </cell>
          <cell r="G100">
            <v>0.38589211618257263</v>
          </cell>
        </row>
        <row r="101">
          <cell r="A101" t="str">
            <v xml:space="preserve"> 062  Колбаса Кракушка пряная с сальцем, 0.3кг в/у п/к, БАВАРУШКА ПОКОМ</v>
          </cell>
          <cell r="D101" t="str">
            <v>шт</v>
          </cell>
          <cell r="E101">
            <v>6</v>
          </cell>
          <cell r="F101">
            <v>1.8</v>
          </cell>
          <cell r="G101">
            <v>0.18324607329842932</v>
          </cell>
        </row>
        <row r="102">
          <cell r="A102" t="str">
            <v xml:space="preserve"> 083  Колбаса Швейцарская 0,17 кг., ШТ., сырокопченая   ПОКОМ</v>
          </cell>
          <cell r="D102" t="str">
            <v>шт</v>
          </cell>
          <cell r="E102">
            <v>342</v>
          </cell>
          <cell r="F102">
            <v>58.14</v>
          </cell>
          <cell r="G102">
            <v>0.29949238578680204</v>
          </cell>
        </row>
        <row r="103">
          <cell r="A103" t="str">
            <v xml:space="preserve"> 273  Сосиски Сочинки с сочной грудинкой, МГС 0.4кг,   ПОКОМ</v>
          </cell>
          <cell r="D103" t="str">
            <v>шт</v>
          </cell>
          <cell r="E103">
            <v>442.505</v>
          </cell>
          <cell r="F103">
            <v>177.00200000000001</v>
          </cell>
          <cell r="G103">
            <v>0.44251386321626618</v>
          </cell>
        </row>
        <row r="104">
          <cell r="A104" t="str">
            <v xml:space="preserve"> 278  Сосиски Сочинки с сочным окороком, МГС 0.4кг,   ПОКОМ</v>
          </cell>
          <cell r="D104" t="str">
            <v>шт</v>
          </cell>
          <cell r="E104">
            <v>-61</v>
          </cell>
          <cell r="F104">
            <v>-24.4</v>
          </cell>
          <cell r="G104">
            <v>0.63117870722433456</v>
          </cell>
        </row>
        <row r="105">
          <cell r="A105" t="str">
            <v xml:space="preserve"> 281  Сосиски Молочные для завтрака ТМ Особый рецепт, 0,4кг  ПОКОМ</v>
          </cell>
          <cell r="D105" t="str">
            <v>шт</v>
          </cell>
          <cell r="E105">
            <v>4</v>
          </cell>
          <cell r="F105">
            <v>1.6</v>
          </cell>
          <cell r="G105">
            <v>0.24418604651162792</v>
          </cell>
        </row>
        <row r="106">
          <cell r="A106" t="str">
            <v xml:space="preserve"> 285  Паштет печеночный со слив.маслом ТМ Стародворье ламистер 0,1 кг  ПОКОМ</v>
          </cell>
          <cell r="D106" t="str">
            <v>шт</v>
          </cell>
          <cell r="E106">
            <v>440</v>
          </cell>
          <cell r="F106">
            <v>44</v>
          </cell>
          <cell r="G106">
            <v>0.17713365539452497</v>
          </cell>
        </row>
        <row r="107">
          <cell r="A107" t="str">
            <v xml:space="preserve"> 296  Колбаса Мясорубская с рубленой грудинкой 0,35кг срез ТМ Стародворье  ПОКОМ</v>
          </cell>
          <cell r="D107" t="str">
            <v>шт</v>
          </cell>
          <cell r="E107">
            <v>1</v>
          </cell>
          <cell r="F107">
            <v>0.35</v>
          </cell>
          <cell r="G107">
            <v>0</v>
          </cell>
        </row>
        <row r="108">
          <cell r="A108" t="str">
            <v xml:space="preserve"> 301  Сосиски Сочинки по-баварски с сыром,  0.4кг, ТМ Стародворье  ПОКОМ</v>
          </cell>
          <cell r="D108" t="str">
            <v>шт</v>
          </cell>
          <cell r="E108">
            <v>50</v>
          </cell>
          <cell r="F108">
            <v>20</v>
          </cell>
          <cell r="G108">
            <v>0.49825783972125437</v>
          </cell>
        </row>
        <row r="109">
          <cell r="A109" t="str">
            <v xml:space="preserve"> 302  Сосиски Сочинки по-баварски,  0.4кг, ТМ Стародворье  ПОКОМ</v>
          </cell>
          <cell r="D109" t="str">
            <v>шт</v>
          </cell>
          <cell r="E109">
            <v>105</v>
          </cell>
          <cell r="F109">
            <v>42</v>
          </cell>
          <cell r="G109">
            <v>0.58163265306122458</v>
          </cell>
        </row>
        <row r="110">
          <cell r="A110" t="str">
            <v xml:space="preserve"> 307  Колбаса Сервелат Мясорубский с мелкорубленным окороком 0,35 кг срез ТМ Стародворье   Поком</v>
          </cell>
          <cell r="D110" t="str">
            <v>шт</v>
          </cell>
          <cell r="E110">
            <v>-10</v>
          </cell>
          <cell r="F110">
            <v>-3.5</v>
          </cell>
          <cell r="G110">
            <v>0.26755852842809363</v>
          </cell>
        </row>
        <row r="111">
          <cell r="A111" t="str">
            <v xml:space="preserve"> 309  Сосиски Сочинки с сыром 0,4 кг ТМ Стародворье  ПОКОМ</v>
          </cell>
          <cell r="D111" t="str">
            <v>шт</v>
          </cell>
          <cell r="E111">
            <v>6</v>
          </cell>
          <cell r="F111">
            <v>2.4</v>
          </cell>
          <cell r="G111">
            <v>0.38158929976396538</v>
          </cell>
        </row>
        <row r="112">
          <cell r="A112" t="str">
            <v xml:space="preserve"> 328  Сардельки Сочинки Стародворье ТМ  0,4 кг ПОКОМ</v>
          </cell>
          <cell r="D112" t="str">
            <v>шт</v>
          </cell>
          <cell r="E112">
            <v>5</v>
          </cell>
          <cell r="F112">
            <v>2</v>
          </cell>
          <cell r="G112">
            <v>0.14035087719298245</v>
          </cell>
        </row>
        <row r="113">
          <cell r="A113" t="str">
            <v xml:space="preserve"> 329  Сардельки Сочинки с сыром Стародворье ТМ, 0,4 кг. ПОКОМ</v>
          </cell>
          <cell r="D113" t="str">
            <v>шт</v>
          </cell>
          <cell r="E113">
            <v>15</v>
          </cell>
          <cell r="F113">
            <v>6</v>
          </cell>
          <cell r="G113">
            <v>0</v>
          </cell>
        </row>
        <row r="114">
          <cell r="A114" t="str">
            <v xml:space="preserve"> 334  Паштет Любительский ТМ Стародворье ламистер 0,1 кг  ПОКОМ</v>
          </cell>
          <cell r="D114" t="str">
            <v>шт</v>
          </cell>
          <cell r="E114">
            <v>418</v>
          </cell>
          <cell r="F114">
            <v>41.8</v>
          </cell>
          <cell r="G114">
            <v>0.19157894736842104</v>
          </cell>
        </row>
        <row r="115">
          <cell r="A115" t="str">
            <v xml:space="preserve"> 338  Паштет печеночный с морковью ТМ Стародворье ламистер 0,1 кг.  ПОКОМ</v>
          </cell>
          <cell r="D115" t="str">
            <v>шт</v>
          </cell>
          <cell r="E115">
            <v>565</v>
          </cell>
          <cell r="F115">
            <v>56.5</v>
          </cell>
          <cell r="G115">
            <v>0.12770137524557956</v>
          </cell>
        </row>
        <row r="116">
          <cell r="A116" t="str">
            <v xml:space="preserve"> 342 Сосиски Сочинки Молочные ТМ Стародворье 0,4 кг ПОКОМ</v>
          </cell>
          <cell r="D116" t="str">
            <v>шт</v>
          </cell>
          <cell r="E116">
            <v>65</v>
          </cell>
          <cell r="F116">
            <v>26</v>
          </cell>
          <cell r="G116">
            <v>0.35735080058224161</v>
          </cell>
        </row>
        <row r="117">
          <cell r="A117" t="str">
            <v xml:space="preserve"> 343 Сосиски Сочинки Сливочные ТМ Стародворье  0,4 кг ПОКОМ</v>
          </cell>
          <cell r="D117" t="str">
            <v>шт</v>
          </cell>
          <cell r="E117">
            <v>30</v>
          </cell>
          <cell r="F117">
            <v>12</v>
          </cell>
          <cell r="G117">
            <v>0.29808660624370598</v>
          </cell>
        </row>
        <row r="118">
          <cell r="A118" t="str">
            <v xml:space="preserve"> 376  Колбаса Докторская Дугушка 0,6кг ГОСТ ТМ Стародворье  ПОКОМ </v>
          </cell>
          <cell r="D118" t="str">
            <v>шт</v>
          </cell>
          <cell r="E118">
            <v>346</v>
          </cell>
          <cell r="F118">
            <v>207.6</v>
          </cell>
          <cell r="G118">
            <v>0.65653495440729481</v>
          </cell>
        </row>
        <row r="119">
          <cell r="A119" t="str">
            <v xml:space="preserve"> 377  Колбаса Молочная Дугушка 0,6кг ТМ Стародворье  ПОКОМ</v>
          </cell>
          <cell r="D119" t="str">
            <v>шт</v>
          </cell>
          <cell r="E119">
            <v>384</v>
          </cell>
          <cell r="F119">
            <v>230.4</v>
          </cell>
          <cell r="G119">
            <v>0.72602739726027399</v>
          </cell>
        </row>
        <row r="120">
          <cell r="A120" t="str">
            <v xml:space="preserve"> 378  Колбаса Докторская Дугушка 0,6кг НЕГОСТ ТМ Стародворье  ПОКОМ </v>
          </cell>
          <cell r="D120" t="str">
            <v>шт</v>
          </cell>
          <cell r="E120">
            <v>-3</v>
          </cell>
          <cell r="F120">
            <v>-1.8</v>
          </cell>
          <cell r="G120">
            <v>0</v>
          </cell>
        </row>
        <row r="121">
          <cell r="A121" t="str">
            <v xml:space="preserve"> 394 Колбаса полукопченая Аль-Ислами халяль ТМ Вязанка оболочка фиброуз в в/у 0,35 кг  ПОКОМ</v>
          </cell>
          <cell r="D121" t="str">
            <v>шт</v>
          </cell>
          <cell r="E121">
            <v>88</v>
          </cell>
          <cell r="F121">
            <v>30.8</v>
          </cell>
          <cell r="G121">
            <v>0.40031897926634769</v>
          </cell>
        </row>
        <row r="122">
          <cell r="A122" t="str">
            <v xml:space="preserve"> 397  Ветчина Дугушка ТМ Стародворье ТС Дугушка в полиамидной оболочке 0,6 кг. ПОКОМ</v>
          </cell>
          <cell r="D122" t="str">
            <v>шт</v>
          </cell>
          <cell r="E122">
            <v>180</v>
          </cell>
          <cell r="F122">
            <v>108</v>
          </cell>
          <cell r="G122">
            <v>0.80392156862745101</v>
          </cell>
        </row>
        <row r="123">
          <cell r="A123" t="str">
            <v xml:space="preserve"> 410  Сосиски Баварские с сыром ТМ Стародворье 0,35 кг. ПОКОМ</v>
          </cell>
          <cell r="D123" t="str">
            <v>шт</v>
          </cell>
          <cell r="E123">
            <v>-2</v>
          </cell>
          <cell r="F123">
            <v>-0.7</v>
          </cell>
          <cell r="G123">
            <v>0</v>
          </cell>
        </row>
        <row r="124">
          <cell r="A124" t="str">
            <v xml:space="preserve"> 412  Сосиски Баварские ТМ Стародворье 0,35 кг ПОКОМ</v>
          </cell>
          <cell r="D124" t="str">
            <v>шт</v>
          </cell>
          <cell r="E124">
            <v>26</v>
          </cell>
          <cell r="F124">
            <v>9.1</v>
          </cell>
          <cell r="G124">
            <v>0.53679653679653683</v>
          </cell>
        </row>
        <row r="125">
          <cell r="A125" t="str">
            <v xml:space="preserve"> 498  Колбаса Сочинка рубленая с сочным окороком 0,3кг ТМ Стародворье  ПОКОМ</v>
          </cell>
          <cell r="D125" t="str">
            <v>шт</v>
          </cell>
          <cell r="E125">
            <v>-3</v>
          </cell>
          <cell r="F125">
            <v>-0.9</v>
          </cell>
          <cell r="G125">
            <v>0</v>
          </cell>
        </row>
        <row r="126">
          <cell r="A126" t="str">
            <v xml:space="preserve"> 523  Колбаса Сальчичон нарезка 0,07кг ТМ Стародворье  ПОКОМ </v>
          </cell>
          <cell r="D126" t="str">
            <v>шт</v>
          </cell>
          <cell r="E126">
            <v>3</v>
          </cell>
          <cell r="F126">
            <v>0.21</v>
          </cell>
          <cell r="G126">
            <v>0.21093749999999997</v>
          </cell>
        </row>
        <row r="127">
          <cell r="A127" t="str">
            <v xml:space="preserve"> 524  Колбаса Сервелат Ореховый нарезка 0,07кг ТМ Стародворье  ПОКОМ</v>
          </cell>
          <cell r="D127" t="str">
            <v>шт</v>
          </cell>
          <cell r="E127">
            <v>23</v>
          </cell>
          <cell r="F127">
            <v>1.61</v>
          </cell>
          <cell r="G127">
            <v>0.15116279069767444</v>
          </cell>
        </row>
        <row r="128">
          <cell r="A128" t="str">
            <v xml:space="preserve"> 525  Колбаса Фуэт нарезка 0,07кг ТМ Стародворье  ПОКОМ</v>
          </cell>
          <cell r="D128" t="str">
            <v>шт</v>
          </cell>
          <cell r="E128">
            <v>43</v>
          </cell>
          <cell r="F128">
            <v>3.01</v>
          </cell>
          <cell r="G128">
            <v>0.16589861751152074</v>
          </cell>
        </row>
        <row r="129">
          <cell r="A129" t="str">
            <v xml:space="preserve"> 526  Корейка вяленая выдержанная нарезка 0,05кг ТМ Стародворье  ПОКОМ</v>
          </cell>
          <cell r="D129" t="str">
            <v>шт</v>
          </cell>
          <cell r="E129">
            <v>1</v>
          </cell>
          <cell r="F129">
            <v>0.05</v>
          </cell>
          <cell r="G129">
            <v>0.53846153846153855</v>
          </cell>
        </row>
        <row r="130">
          <cell r="A130" t="str">
            <v xml:space="preserve"> 544  Сосиски Мясные для гриля ТС Ядрена копоть 0,3 кг  ПОКОМ</v>
          </cell>
          <cell r="D130" t="str">
            <v>шт</v>
          </cell>
          <cell r="E130">
            <v>1</v>
          </cell>
          <cell r="F130">
            <v>0.3</v>
          </cell>
          <cell r="G130">
            <v>4.8192771084337352E-2</v>
          </cell>
        </row>
        <row r="131">
          <cell r="A131" t="str">
            <v xml:space="preserve"> 553  Ассорти колбас Мясорубская коллекция: Сервелат Делюкс, С балыком 0,08 кг нарезка  ПОКОМ</v>
          </cell>
          <cell r="D131" t="str">
            <v>шт</v>
          </cell>
          <cell r="E131">
            <v>59</v>
          </cell>
          <cell r="F131">
            <v>4.72</v>
          </cell>
          <cell r="G131">
            <v>0.43325526932084313</v>
          </cell>
        </row>
        <row r="132">
          <cell r="A132" t="str">
            <v xml:space="preserve"> 554  Колбаса Сервелат Мясорубский ТМ Стародворье в упаковке скин 0,08 кг нарезка  ПОКОМ</v>
          </cell>
          <cell r="D132" t="str">
            <v>шт</v>
          </cell>
          <cell r="E132">
            <v>52</v>
          </cell>
          <cell r="F132">
            <v>4.16</v>
          </cell>
          <cell r="G132">
            <v>0.49848024316109418</v>
          </cell>
        </row>
        <row r="133">
          <cell r="A133" t="str">
            <v xml:space="preserve"> 614  Буженина в пряном маринаде 0,25 кг консервы из мяса индейки ТМ Стародворье  ПОКОМ</v>
          </cell>
          <cell r="D133" t="str">
            <v>шт</v>
          </cell>
          <cell r="E133">
            <v>33</v>
          </cell>
          <cell r="F133">
            <v>8.25</v>
          </cell>
          <cell r="G133">
            <v>3.2128514056224897E-2</v>
          </cell>
        </row>
        <row r="134">
          <cell r="A134" t="str">
            <v xml:space="preserve"> 615  Гречка по-купечески с говядиной и овощами 0,325кг ТМ Стародворье  ПОКОМ</v>
          </cell>
          <cell r="D134" t="str">
            <v>шт</v>
          </cell>
          <cell r="E134">
            <v>292</v>
          </cell>
          <cell r="F134">
            <v>94.9</v>
          </cell>
          <cell r="G134">
            <v>9.0614886731391578E-2</v>
          </cell>
        </row>
        <row r="135">
          <cell r="A135" t="str">
            <v xml:space="preserve"> 616  Индейка томлёная в собственном соку 0,25кг ТМ Стародлворье Консервый из мяс.птицы  ПОКОМ</v>
          </cell>
          <cell r="D135" t="str">
            <v>шт</v>
          </cell>
          <cell r="E135">
            <v>132</v>
          </cell>
          <cell r="F135">
            <v>33</v>
          </cell>
          <cell r="G135">
            <v>2.8388278388278388E-2</v>
          </cell>
        </row>
        <row r="136">
          <cell r="A136" t="str">
            <v>495  Колбаса Сочинка по-европейски с сочной грудинкой 0,3кг ТМ Стародворье  ПОКОМ</v>
          </cell>
          <cell r="D136" t="str">
            <v>шт</v>
          </cell>
          <cell r="E136">
            <v>-13</v>
          </cell>
          <cell r="F136">
            <v>-3.9</v>
          </cell>
          <cell r="G136">
            <v>0.19933554817275748</v>
          </cell>
        </row>
        <row r="137">
          <cell r="A137" t="str">
            <v>496  Колбаса Сочинка по-фински с сочным окроком 0,3кг ТМ Стародворье  ПОКОМ</v>
          </cell>
          <cell r="D137" t="str">
            <v>шт</v>
          </cell>
          <cell r="E137">
            <v>1</v>
          </cell>
          <cell r="F137">
            <v>0.3</v>
          </cell>
          <cell r="G137">
            <v>0.34482758620689657</v>
          </cell>
        </row>
        <row r="138">
          <cell r="A138" t="str">
            <v>519  Грудинка 0,12 кг нарезка ТМ Стародворье  ПОКОМ</v>
          </cell>
          <cell r="D138" t="str">
            <v>шт</v>
          </cell>
          <cell r="E138">
            <v>-2</v>
          </cell>
          <cell r="F138">
            <v>-0.24</v>
          </cell>
          <cell r="G138">
            <v>0.2483660130718954</v>
          </cell>
        </row>
        <row r="139">
          <cell r="A139" t="str">
            <v>БОНУС_ 334  Паштет Любительский ТМ Стародворье ламистер 0,1 кг  ПОКОМ</v>
          </cell>
          <cell r="D139" t="str">
            <v>шт</v>
          </cell>
          <cell r="E139">
            <v>101</v>
          </cell>
          <cell r="F139">
            <v>10.1</v>
          </cell>
          <cell r="G139">
            <v>0.20134228187919462</v>
          </cell>
        </row>
        <row r="140">
          <cell r="A140" t="str">
            <v>ПОКОМ Логистический Партнер Заморозка</v>
          </cell>
        </row>
        <row r="141">
          <cell r="A141" t="str">
            <v>БОНУС_Готовые чебупели сочные с мясом ТМ Горячая штучка флоу-пак 0,24 кг  ПОКОМ</v>
          </cell>
          <cell r="D141" t="str">
            <v>шт</v>
          </cell>
          <cell r="E141">
            <v>200</v>
          </cell>
          <cell r="F141">
            <v>48</v>
          </cell>
          <cell r="G141">
            <v>0.47599999999999998</v>
          </cell>
        </row>
        <row r="142">
          <cell r="A142" t="str">
            <v>БОНУС_Наггетсы Нагетосы Сочная курочка ТМ Горячая штучка 0,25 кг зам  ПОКОМ</v>
          </cell>
          <cell r="D142" t="str">
            <v>шт</v>
          </cell>
          <cell r="E142">
            <v>53</v>
          </cell>
          <cell r="F142">
            <v>13.25</v>
          </cell>
          <cell r="G142">
            <v>0.52542372881355937</v>
          </cell>
        </row>
        <row r="143">
          <cell r="A143" t="str">
            <v>Бульмени хрустящие с мясом ТМ Горячая штучка ТС Бульмени ГШ сфера 0,22 кг  Поком</v>
          </cell>
          <cell r="D143" t="str">
            <v>шт</v>
          </cell>
          <cell r="E143">
            <v>137</v>
          </cell>
          <cell r="F143">
            <v>30.14</v>
          </cell>
          <cell r="G143">
            <v>0.2</v>
          </cell>
        </row>
        <row r="144">
          <cell r="A144" t="str">
            <v>Готовые бельмеши сочные с мясом ТМ Горячая штучка 0,3кг зам  ПОКОМ</v>
          </cell>
          <cell r="D144" t="str">
            <v>шт</v>
          </cell>
          <cell r="E144">
            <v>68</v>
          </cell>
          <cell r="F144">
            <v>20.399999999999999</v>
          </cell>
          <cell r="G144">
            <v>0.33257918552036203</v>
          </cell>
        </row>
        <row r="145">
          <cell r="A145" t="str">
            <v>Готовые хотстеры ТМ Горячая штучка ТС Хотстеры флоу-пак 0,25 кг.  ПОКОМ</v>
          </cell>
          <cell r="D145" t="str">
            <v>шт</v>
          </cell>
          <cell r="E145">
            <v>790</v>
          </cell>
          <cell r="F145">
            <v>197.5</v>
          </cell>
          <cell r="G145">
            <v>8.5714285714285715E-2</v>
          </cell>
        </row>
        <row r="146">
          <cell r="A146" t="str">
            <v>Готовые чебуманы с говядиной ТМ горячая штучка 0,28 кг.  Поком</v>
          </cell>
          <cell r="D146" t="str">
            <v>шт</v>
          </cell>
          <cell r="E146">
            <v>-10</v>
          </cell>
          <cell r="F146">
            <v>-2.8</v>
          </cell>
          <cell r="G146">
            <v>0.24376508447304907</v>
          </cell>
        </row>
        <row r="147">
          <cell r="A147" t="str">
            <v>Готовые чебупели острые с мясом ТМ Горячая штучка флоу-пак 0,24 кг  Поком</v>
          </cell>
          <cell r="D147" t="str">
            <v>шт</v>
          </cell>
          <cell r="E147">
            <v>348</v>
          </cell>
          <cell r="F147">
            <v>83.52</v>
          </cell>
          <cell r="G147">
            <v>0.42322335025380714</v>
          </cell>
        </row>
        <row r="148">
          <cell r="A148" t="str">
            <v>Готовые чебупели с ветчиной и сыром 0,24 кг НОВАЯ ТМ Горячая штучка  ПОКОМ</v>
          </cell>
          <cell r="D148" t="str">
            <v>шт</v>
          </cell>
          <cell r="E148">
            <v>265</v>
          </cell>
          <cell r="F148">
            <v>63.6</v>
          </cell>
          <cell r="G148">
            <v>0.34146341463414631</v>
          </cell>
        </row>
        <row r="149">
          <cell r="A149" t="str">
            <v>Готовые чебупели с ветчиной и сыром ТМ Горячая штучка флоу-пак 0,24 кг.  ПОКОМ</v>
          </cell>
          <cell r="D149" t="str">
            <v>шт</v>
          </cell>
          <cell r="E149">
            <v>-84</v>
          </cell>
          <cell r="F149">
            <v>-20.16</v>
          </cell>
          <cell r="G149">
            <v>0.57669048927982403</v>
          </cell>
        </row>
        <row r="150">
          <cell r="A150" t="str">
            <v>Готовые чебупели с мясом ТМ Горячая штучка 0,24 кг  ПОКОМ</v>
          </cell>
          <cell r="D150" t="str">
            <v>шт</v>
          </cell>
          <cell r="E150">
            <v>273</v>
          </cell>
          <cell r="F150">
            <v>65.52</v>
          </cell>
          <cell r="G150">
            <v>0.55384615384615388</v>
          </cell>
        </row>
        <row r="151">
          <cell r="A151" t="str">
            <v>Готовые чебупели сочные с мясом 0,48 кг НОВАЯ ТМ Горячая штучка флоу-пак МЕГАпачка  ПОКОМ</v>
          </cell>
          <cell r="D151" t="str">
            <v>шт</v>
          </cell>
          <cell r="E151">
            <v>86</v>
          </cell>
          <cell r="F151">
            <v>41.28</v>
          </cell>
          <cell r="G151">
            <v>0.2105263157894737</v>
          </cell>
        </row>
        <row r="152">
          <cell r="A152" t="str">
            <v>Готовые чебупели сочные с мясом ТМ Горячая штучка флоу-пак 0,24 кг  ПОКОМ</v>
          </cell>
          <cell r="D152" t="str">
            <v>шт</v>
          </cell>
          <cell r="E152">
            <v>439</v>
          </cell>
          <cell r="F152">
            <v>105.36</v>
          </cell>
          <cell r="G152">
            <v>0.52093596059113301</v>
          </cell>
        </row>
        <row r="153">
          <cell r="A153" t="str">
            <v>Готовые чебупели сочные с мясом ТМ Горячая штучка флоу-пак 0,48 кг XXL  Поком</v>
          </cell>
          <cell r="D153" t="str">
            <v>шт</v>
          </cell>
          <cell r="E153">
            <v>1</v>
          </cell>
          <cell r="F153">
            <v>0.48</v>
          </cell>
          <cell r="G153">
            <v>0.62068965517241381</v>
          </cell>
        </row>
        <row r="154">
          <cell r="A154" t="str">
            <v>Готовые чебуреки с мясом ТМ Горячая штучка 0,09 кг флоу-пак ПОКОМ</v>
          </cell>
          <cell r="D154" t="str">
            <v>шт</v>
          </cell>
          <cell r="E154">
            <v>384</v>
          </cell>
          <cell r="F154">
            <v>34.56</v>
          </cell>
          <cell r="G154">
            <v>0.79491017964071853</v>
          </cell>
        </row>
        <row r="155">
          <cell r="A155" t="str">
            <v>Готовые чебуреки со свининой и говядиной ТМ Горячая штучка ТС Базовый ассортимент 0,36 кг  ПОКОМ</v>
          </cell>
          <cell r="D155" t="str">
            <v>шт</v>
          </cell>
          <cell r="E155">
            <v>79</v>
          </cell>
          <cell r="F155">
            <v>28.44</v>
          </cell>
          <cell r="G155">
            <v>0.49691358024691357</v>
          </cell>
        </row>
        <row r="156">
          <cell r="A156" t="str">
            <v>ЖАР-ладушки с клубникой и вишней ТМ Стародворье 0,2 кг.  Поком</v>
          </cell>
          <cell r="D156" t="str">
            <v>шт</v>
          </cell>
          <cell r="E156">
            <v>56</v>
          </cell>
          <cell r="F156">
            <v>11.2</v>
          </cell>
          <cell r="G156">
            <v>0</v>
          </cell>
        </row>
        <row r="157">
          <cell r="A157" t="str">
            <v>Жареные вареники с картофелем и беконом ТМ Стародворье 0,2 кг  ПОКОМ</v>
          </cell>
          <cell r="D157" t="str">
            <v>шт</v>
          </cell>
          <cell r="E157">
            <v>158</v>
          </cell>
          <cell r="F157">
            <v>31.6</v>
          </cell>
          <cell r="G157">
            <v>0.3932584269662921</v>
          </cell>
        </row>
        <row r="158">
          <cell r="A158" t="str">
            <v>Круггетсы с сырным соусом ТМ Горячая штучка ТС Круггетсы флоу-пак 0,2 кг  ПОКОМ</v>
          </cell>
          <cell r="D158" t="str">
            <v>шт</v>
          </cell>
          <cell r="E158">
            <v>233</v>
          </cell>
          <cell r="F158">
            <v>46.6</v>
          </cell>
          <cell r="G158">
            <v>0.70629991126885527</v>
          </cell>
        </row>
        <row r="159">
          <cell r="A159" t="str">
            <v>Круггетсы сочные ТМ Горячая штучка ТС Круггетсы флоу-пак  0,2 кг.  ПОКОМ</v>
          </cell>
          <cell r="D159" t="str">
            <v>шт</v>
          </cell>
          <cell r="E159">
            <v>299</v>
          </cell>
          <cell r="F159">
            <v>59.8</v>
          </cell>
          <cell r="G159">
            <v>0.7415730337078652</v>
          </cell>
        </row>
        <row r="160">
          <cell r="A160" t="str">
            <v>Наггетсы из печи 0,25кг ТМ Вязанка замор.  ПОКОМ</v>
          </cell>
          <cell r="D160" t="str">
            <v>шт</v>
          </cell>
          <cell r="E160">
            <v>428</v>
          </cell>
          <cell r="F160">
            <v>107</v>
          </cell>
          <cell r="G160">
            <v>0.36439588688946017</v>
          </cell>
        </row>
        <row r="161">
          <cell r="A161" t="str">
            <v>Наггетсы Нагетосы Сочная курочка ТМ Горячая штучка 0,25 кг зам  ПОКОМ</v>
          </cell>
          <cell r="D161" t="str">
            <v>шт</v>
          </cell>
          <cell r="E161">
            <v>303</v>
          </cell>
          <cell r="F161">
            <v>75.75</v>
          </cell>
          <cell r="G161">
            <v>0.57114526524541398</v>
          </cell>
        </row>
        <row r="162">
          <cell r="A162" t="str">
            <v>Наггетсы с индейкой 0,25кг ТМ Вязанка ТС Из печи Сливушки ПОКОМ</v>
          </cell>
          <cell r="D162" t="str">
            <v>шт</v>
          </cell>
          <cell r="E162">
            <v>6</v>
          </cell>
          <cell r="F162">
            <v>1.5</v>
          </cell>
          <cell r="G162">
            <v>0.51289833080424885</v>
          </cell>
        </row>
        <row r="163">
          <cell r="A163" t="str">
            <v>Наггетсы с куриным филе и сыром ТМ Вязанка ТС Из печи Сливушки 0,25 кг.  Поком</v>
          </cell>
          <cell r="D163" t="str">
            <v>шт</v>
          </cell>
          <cell r="E163">
            <v>58</v>
          </cell>
          <cell r="F163">
            <v>14.5</v>
          </cell>
          <cell r="G163">
            <v>0.57220412595005432</v>
          </cell>
        </row>
        <row r="164">
          <cell r="A164" t="str">
            <v>Наггетсы Хрустящие ТМ Стародворье с сочной курочкой 0,23 кг  ПОКОМ</v>
          </cell>
          <cell r="D164" t="str">
            <v>шт</v>
          </cell>
          <cell r="E164">
            <v>10</v>
          </cell>
          <cell r="F164">
            <v>2.2999999999999998</v>
          </cell>
          <cell r="G164">
            <v>0.49390243902439024</v>
          </cell>
        </row>
        <row r="165">
          <cell r="A165" t="str">
            <v>Пекерсы с индейкой в сливочном соусе ТМ Горячая штучка 0,25 кг зам  ПОКОМ</v>
          </cell>
          <cell r="D165" t="str">
            <v>шт</v>
          </cell>
          <cell r="E165">
            <v>70</v>
          </cell>
          <cell r="F165">
            <v>17.5</v>
          </cell>
          <cell r="G165">
            <v>0.66724137931034477</v>
          </cell>
        </row>
        <row r="166">
          <cell r="A166" t="str">
            <v>Пельмени Grandmeni с говядиной и свининой ТМ Горячаяштучка флоу-па классическая форма 0,7 кг.  Поком</v>
          </cell>
          <cell r="D166" t="str">
            <v>шт</v>
          </cell>
          <cell r="E166">
            <v>-6</v>
          </cell>
          <cell r="F166">
            <v>-4.2</v>
          </cell>
          <cell r="G166">
            <v>0.53289473684210531</v>
          </cell>
        </row>
        <row r="167">
          <cell r="A167" t="str">
            <v>Пельмени Grandmeni с говядиной ТМ Горячаяштучка флоу-пак сфера 0,7 кг.  Поком</v>
          </cell>
          <cell r="D167" t="str">
            <v>шт</v>
          </cell>
          <cell r="E167">
            <v>27</v>
          </cell>
          <cell r="F167">
            <v>18.899999999999999</v>
          </cell>
          <cell r="G167">
            <v>0.52024291497975705</v>
          </cell>
        </row>
        <row r="168">
          <cell r="A168" t="str">
            <v>Пельмени Grandmeni со сливочным маслом  ТМ Горячая штучка флоу-пак сфера 0,7 кг.  Поком</v>
          </cell>
          <cell r="D168" t="str">
            <v>шт</v>
          </cell>
          <cell r="E168">
            <v>-2</v>
          </cell>
          <cell r="F168">
            <v>-1.4</v>
          </cell>
          <cell r="G168">
            <v>0.53846153846153855</v>
          </cell>
        </row>
        <row r="169">
          <cell r="A169" t="str">
            <v>Пельмени Бигбули #МЕГАВКУСИЩЕ с сочной грудинкой  ТМ Горячая штучка  флоу-пак сфера 0,7 кг.  Поком</v>
          </cell>
          <cell r="D169" t="str">
            <v>шт</v>
          </cell>
          <cell r="E169">
            <v>188</v>
          </cell>
          <cell r="F169">
            <v>131.6</v>
          </cell>
          <cell r="G169">
            <v>0.52501985702938847</v>
          </cell>
        </row>
        <row r="170">
          <cell r="A170" t="str">
            <v>Пельмени Бигбули с мясом ТМ Горячая штучка БУЛЬМЕНИ ТС Бигбули ГШ  флоу-пак сфера 0,7.   Поком</v>
          </cell>
          <cell r="D170" t="str">
            <v>шт</v>
          </cell>
          <cell r="E170">
            <v>36</v>
          </cell>
          <cell r="F170">
            <v>25.2</v>
          </cell>
          <cell r="G170">
            <v>0.65830346475507762</v>
          </cell>
        </row>
        <row r="171">
          <cell r="A171" t="str">
            <v>Пельмени Бигбули со сливочным маслом  ТС Бигбули ГШ#МЕГАМАСЛИЩЕ флоу-пак сфера 0,7.  Поком</v>
          </cell>
          <cell r="D171" t="str">
            <v>шт</v>
          </cell>
          <cell r="E171">
            <v>-19</v>
          </cell>
          <cell r="F171">
            <v>-13.3</v>
          </cell>
          <cell r="G171">
            <v>0.5379413974455296</v>
          </cell>
        </row>
        <row r="172">
          <cell r="A172" t="str">
            <v>Пельмени Бульмени мини с мясом и оливковым маслом  ТС Бульмени ГШ флоу-пак сфера 0,7кг  Поком</v>
          </cell>
          <cell r="D172" t="str">
            <v>шт</v>
          </cell>
          <cell r="E172">
            <v>22</v>
          </cell>
          <cell r="F172">
            <v>15.4</v>
          </cell>
          <cell r="G172">
            <v>0.39312977099236635</v>
          </cell>
        </row>
        <row r="173">
          <cell r="A173" t="str">
            <v>Пельмени Бульмени с говядиной и свининой Наваристые Горячая штучка ВЕС  ПОКОМ</v>
          </cell>
          <cell r="D173" t="str">
            <v>кг</v>
          </cell>
          <cell r="E173">
            <v>20</v>
          </cell>
          <cell r="F173">
            <v>20</v>
          </cell>
          <cell r="G173">
            <v>0.77938144329896908</v>
          </cell>
        </row>
        <row r="174">
          <cell r="A174" t="str">
            <v>Пельмени Бульмени с говядиной и свининой ТМ Горячая штучка  флоу-пак сфера 0,4 кг  Поком</v>
          </cell>
          <cell r="D174" t="str">
            <v>шт</v>
          </cell>
          <cell r="E174">
            <v>19</v>
          </cell>
          <cell r="F174">
            <v>7.6</v>
          </cell>
          <cell r="G174">
            <v>0.48796498905908092</v>
          </cell>
        </row>
        <row r="175">
          <cell r="A175" t="str">
            <v>Пельмени Бульмени с говядиной и свининой ТМ Горячая штучка БУЛЬМЕНИ  флоу-пак сфера 0,7 кг.  Поком</v>
          </cell>
          <cell r="D175" t="str">
            <v>шт</v>
          </cell>
          <cell r="E175">
            <v>511</v>
          </cell>
          <cell r="F175">
            <v>357.7</v>
          </cell>
          <cell r="G175">
            <v>0.60986865459708905</v>
          </cell>
        </row>
        <row r="176">
          <cell r="A176" t="str">
            <v>Пельмени Бульмени со сливочным маслом ТМ Горячая штучка  флоу-пак сфера 0,4 кг .  Поком</v>
          </cell>
          <cell r="D176" t="str">
            <v>шт</v>
          </cell>
          <cell r="E176">
            <v>666</v>
          </cell>
          <cell r="F176">
            <v>266.39999999999998</v>
          </cell>
          <cell r="G176">
            <v>0.44518103008669047</v>
          </cell>
        </row>
        <row r="177">
          <cell r="A177" t="str">
            <v>Пельмени Бульмени со сливочным маслом ТМ Горячая штучка флоу-пак сфера 0,7 кг .  Поком</v>
          </cell>
          <cell r="D177" t="str">
            <v>шт</v>
          </cell>
          <cell r="E177">
            <v>325</v>
          </cell>
          <cell r="F177">
            <v>227.5</v>
          </cell>
          <cell r="G177">
            <v>0.46997816593886466</v>
          </cell>
        </row>
        <row r="178">
          <cell r="A178" t="str">
            <v>Пельмени Медвежье ушко Премиум Мясные ТМ Медвежье ушко классическая форма флоу-пак 0,8 кг. ПОКОМ</v>
          </cell>
          <cell r="D178" t="str">
            <v>шт</v>
          </cell>
          <cell r="E178">
            <v>19</v>
          </cell>
          <cell r="F178">
            <v>15.2</v>
          </cell>
          <cell r="G178">
            <v>0.2510460251046025</v>
          </cell>
        </row>
        <row r="179">
          <cell r="A179" t="str">
            <v>Пельмени Мясные с говядиной ТМ Стародворье сфера флоу-пак 1 кг  ПОКОМ</v>
          </cell>
          <cell r="D179" t="str">
            <v>шт</v>
          </cell>
          <cell r="E179">
            <v>10</v>
          </cell>
          <cell r="F179">
            <v>10</v>
          </cell>
          <cell r="G179">
            <v>0.46423562412342217</v>
          </cell>
        </row>
        <row r="180">
          <cell r="A180" t="str">
            <v>Пельмени Отборные из свинины и говядины 0,9 кг ТМ Стародворье ТС Медвежье ушко  ПОКОМ</v>
          </cell>
          <cell r="D180" t="str">
            <v>шт</v>
          </cell>
          <cell r="E180">
            <v>99</v>
          </cell>
          <cell r="F180">
            <v>89.1</v>
          </cell>
          <cell r="G180">
            <v>0.31597222222222227</v>
          </cell>
        </row>
        <row r="181">
          <cell r="A181" t="str">
            <v>Пельмени Отборные с говядиной 0,9 кг НОВА ТМ Стародворье ТС Медвежье ушко  ПОКОМ</v>
          </cell>
          <cell r="D181" t="str">
            <v>шт</v>
          </cell>
          <cell r="E181">
            <v>92</v>
          </cell>
          <cell r="F181">
            <v>82.8</v>
          </cell>
          <cell r="G181">
            <v>0.25714285714285712</v>
          </cell>
        </row>
        <row r="182">
          <cell r="A182" t="str">
            <v>Пельмени С говядиной и свининой, ВЕС, ТМ Славница сфера пуговки  ПОКОМ</v>
          </cell>
          <cell r="D182" t="str">
            <v>кг</v>
          </cell>
          <cell r="E182">
            <v>295</v>
          </cell>
          <cell r="F182">
            <v>295</v>
          </cell>
          <cell r="G182">
            <v>0.23636363636363636</v>
          </cell>
        </row>
        <row r="183">
          <cell r="A183" t="str">
            <v>Пельмени Со свининой и говядиной ТМ Особый рецепт Любимая ложка 1,0 кг  ПОКОМ</v>
          </cell>
          <cell r="D183" t="str">
            <v>шт</v>
          </cell>
          <cell r="E183">
            <v>2</v>
          </cell>
          <cell r="F183">
            <v>2</v>
          </cell>
          <cell r="G183">
            <v>0.17040358744394618</v>
          </cell>
        </row>
        <row r="184">
          <cell r="A184" t="str">
            <v>Хотстеры Васаби-чили ТМ Горячая штучка ТС Хотстеры 0,23кг жареные ПОКОМ</v>
          </cell>
          <cell r="D184" t="str">
            <v>шт</v>
          </cell>
          <cell r="E184">
            <v>10</v>
          </cell>
          <cell r="F184">
            <v>2.2999999999999998</v>
          </cell>
          <cell r="G184">
            <v>0.86928104575163401</v>
          </cell>
        </row>
        <row r="185">
          <cell r="A185" t="str">
            <v>Хотстеры с сыром ТМ Горячая штучка ТС Хотстеры 0,25кг.  Поком</v>
          </cell>
          <cell r="D185" t="str">
            <v>шт</v>
          </cell>
          <cell r="E185">
            <v>-60</v>
          </cell>
          <cell r="F185">
            <v>-15</v>
          </cell>
          <cell r="G185">
            <v>0.66270566727605118</v>
          </cell>
        </row>
        <row r="186">
          <cell r="A186" t="str">
            <v>Хотстеры ТМ Горячая штучка ТС Хотстеры 0,25 кг зам  ПОКОМ</v>
          </cell>
          <cell r="D186" t="str">
            <v>шт</v>
          </cell>
          <cell r="E186">
            <v>8</v>
          </cell>
          <cell r="F186">
            <v>2</v>
          </cell>
          <cell r="G186">
            <v>0.58270106221547802</v>
          </cell>
        </row>
        <row r="187">
          <cell r="A187" t="str">
            <v>Хрустипай апельсин имбирь ТМ Горячая штучка 0,18 кг  ПОКОМ</v>
          </cell>
          <cell r="D187" t="str">
            <v>шт</v>
          </cell>
          <cell r="E187">
            <v>63</v>
          </cell>
          <cell r="F187">
            <v>11.34</v>
          </cell>
          <cell r="G187">
            <v>0.76666666666666661</v>
          </cell>
        </row>
        <row r="188">
          <cell r="A188" t="str">
            <v>Хрустипай манго маракуйя ТМ Горячая штучка 0,18 кг  ПОКОМ</v>
          </cell>
          <cell r="D188" t="str">
            <v>шт</v>
          </cell>
          <cell r="E188">
            <v>30</v>
          </cell>
          <cell r="F188">
            <v>5.4</v>
          </cell>
          <cell r="G188">
            <v>0.57894736842105265</v>
          </cell>
        </row>
        <row r="189">
          <cell r="A189" t="str">
            <v>Хрустипай манго чили ТМ Горячая штучка 0,18кг с начинкой ПОКОМ</v>
          </cell>
          <cell r="D189" t="str">
            <v>шт</v>
          </cell>
          <cell r="E189">
            <v>33</v>
          </cell>
          <cell r="F189">
            <v>5.94</v>
          </cell>
          <cell r="G189">
            <v>0.63157894736842113</v>
          </cell>
        </row>
        <row r="190">
          <cell r="A190" t="str">
            <v>Хрустящие крылышки острые к пиву ТМ Горячая штучка 0,3кг зам  ПОКОМ</v>
          </cell>
          <cell r="D190" t="str">
            <v>шт</v>
          </cell>
          <cell r="E190">
            <v>478</v>
          </cell>
          <cell r="F190">
            <v>143.4</v>
          </cell>
          <cell r="G190">
            <v>0.29702970297029702</v>
          </cell>
        </row>
        <row r="191">
          <cell r="A191" t="str">
            <v>Хрустящие крылышки ТМ Горячая штучка 0,3 кг зам  ПОКОМ</v>
          </cell>
          <cell r="D191" t="str">
            <v>шт</v>
          </cell>
          <cell r="E191">
            <v>66</v>
          </cell>
          <cell r="F191">
            <v>19.8</v>
          </cell>
          <cell r="G191">
            <v>0.35078534031413611</v>
          </cell>
        </row>
        <row r="192">
          <cell r="A192" t="str">
            <v>Чебупели Курочка гриль Базовый ассортимент Фикс.вес 0,3 Пакет Горячая штучка  Поком</v>
          </cell>
          <cell r="D192" t="str">
            <v>шт</v>
          </cell>
          <cell r="E192">
            <v>368</v>
          </cell>
          <cell r="F192">
            <v>110.4</v>
          </cell>
          <cell r="G192">
            <v>0.75524475524475521</v>
          </cell>
        </row>
        <row r="193">
          <cell r="A193" t="str">
            <v>Чебупели со вкусом Фо бо ТМ Горячая штучка 0,22 кг  ПОКОМ</v>
          </cell>
          <cell r="D193" t="str">
            <v>шт</v>
          </cell>
          <cell r="E193">
            <v>-12</v>
          </cell>
          <cell r="F193">
            <v>-2.64</v>
          </cell>
          <cell r="G193">
            <v>0.26136363636363635</v>
          </cell>
        </row>
        <row r="194">
          <cell r="A194" t="str">
            <v>Чебупицца курочка по-итальянски Горячая штучка 0,25 кг зам  ПОКОМ</v>
          </cell>
          <cell r="D194" t="str">
            <v>шт</v>
          </cell>
          <cell r="E194">
            <v>555</v>
          </cell>
          <cell r="F194">
            <v>138.75</v>
          </cell>
          <cell r="G194">
            <v>0.50017476406850747</v>
          </cell>
        </row>
        <row r="195">
          <cell r="A195" t="str">
            <v>Чебупицца Пепперони ТМ Горячая штучка ТС Чебупицца 0.25кг зам  ПОКОМ</v>
          </cell>
          <cell r="D195" t="str">
            <v>шт</v>
          </cell>
          <cell r="E195">
            <v>920</v>
          </cell>
          <cell r="F195">
            <v>230</v>
          </cell>
          <cell r="G195">
            <v>0.58520437535981573</v>
          </cell>
        </row>
        <row r="196">
          <cell r="A196" t="str">
            <v>Чебупицца со вкусом 4 сыра 0,2кг ТМ Горячая штучка ТС Foodgital  ПОКОМ</v>
          </cell>
          <cell r="D196" t="str">
            <v>шт</v>
          </cell>
          <cell r="E196">
            <v>95</v>
          </cell>
          <cell r="F196">
            <v>19</v>
          </cell>
          <cell r="G196">
            <v>0.44444444444444442</v>
          </cell>
        </row>
        <row r="197">
          <cell r="A197" t="str">
            <v>Чебупицца со вкусом Том ям ТМ Горячая штучка ТС Чебупицца 0,23кг жареные ПОКОМ</v>
          </cell>
          <cell r="D197" t="str">
            <v>шт</v>
          </cell>
          <cell r="E197">
            <v>-7</v>
          </cell>
          <cell r="F197">
            <v>-1.61</v>
          </cell>
          <cell r="G197">
            <v>0.64529914529914523</v>
          </cell>
        </row>
        <row r="198">
          <cell r="A198" t="str">
            <v>Чебупицца со вкусом Утка по-пекински ТМ Горячая штучка ТС Чебупицца 0,23 кг.  ПОКОМ</v>
          </cell>
          <cell r="D198" t="str">
            <v>шт</v>
          </cell>
          <cell r="E198">
            <v>-11</v>
          </cell>
          <cell r="F198">
            <v>-2.5299999999999998</v>
          </cell>
          <cell r="G198">
            <v>0.29707112970711297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D6" activePane="bottomRight" state="frozen"/>
      <selection pane="topRight"/>
      <selection pane="bottomLeft"/>
      <selection pane="bottomRight" activeCell="AS7" sqref="AS7"/>
    </sheetView>
  </sheetViews>
  <sheetFormatPr defaultRowHeight="15" x14ac:dyDescent="0.25"/>
  <cols>
    <col min="1" max="1" width="48.28515625" customWidth="1"/>
    <col min="2" max="2" width="3" customWidth="1"/>
    <col min="3" max="4" width="6" customWidth="1"/>
    <col min="5" max="5" width="7" customWidth="1"/>
    <col min="6" max="6" width="8.28515625" customWidth="1"/>
    <col min="7" max="7" width="8.28515625" style="10" customWidth="1"/>
    <col min="8" max="8" width="5" style="6" customWidth="1"/>
    <col min="9" max="9" width="5" customWidth="1"/>
    <col min="10" max="10" width="7" customWidth="1"/>
    <col min="11" max="11" width="1" customWidth="1"/>
    <col min="12" max="13" width="7" customWidth="1"/>
    <col min="14" max="15" width="0.5703125" customWidth="1"/>
    <col min="16" max="26" width="7" customWidth="1"/>
    <col min="27" max="27" width="7" style="33" customWidth="1"/>
    <col min="28" max="28" width="7" style="32" customWidth="1"/>
    <col min="29" max="30" width="7" customWidth="1"/>
    <col min="31" max="32" width="5" customWidth="1"/>
    <col min="33" max="40" width="6" customWidth="1"/>
    <col min="41" max="41" width="12.7109375" customWidth="1"/>
    <col min="42" max="43" width="7" customWidth="1"/>
    <col min="44" max="48" width="3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36" t="s">
        <v>187</v>
      </c>
      <c r="T1" s="37"/>
      <c r="U1" s="38"/>
      <c r="V1" s="1"/>
      <c r="W1" s="1"/>
      <c r="X1" s="1"/>
      <c r="Y1" s="1"/>
      <c r="Z1" s="1"/>
      <c r="AA1" s="35">
        <v>3</v>
      </c>
      <c r="AB1" s="35">
        <v>1.7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 t="s">
        <v>185</v>
      </c>
      <c r="G2" s="1" t="s">
        <v>186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39"/>
      <c r="T2" s="40"/>
      <c r="U2" s="41"/>
      <c r="V2" s="1"/>
      <c r="W2" s="1"/>
      <c r="X2" s="1"/>
      <c r="Y2" s="1"/>
      <c r="Z2" s="1"/>
      <c r="AA2" s="1" t="s">
        <v>192</v>
      </c>
      <c r="AB2" s="27" t="s">
        <v>193</v>
      </c>
      <c r="AC2" s="1" t="s">
        <v>185</v>
      </c>
      <c r="AD2" s="1" t="s">
        <v>186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14</v>
      </c>
      <c r="S3" s="11" t="s">
        <v>14</v>
      </c>
      <c r="T3" s="2" t="s">
        <v>14</v>
      </c>
      <c r="U3" s="12" t="s">
        <v>14</v>
      </c>
      <c r="V3" s="2" t="s">
        <v>14</v>
      </c>
      <c r="W3" s="2" t="s">
        <v>14</v>
      </c>
      <c r="X3" s="2" t="s">
        <v>14</v>
      </c>
      <c r="Y3" s="2" t="s">
        <v>15</v>
      </c>
      <c r="Z3" s="3" t="s">
        <v>191</v>
      </c>
      <c r="AA3" s="3" t="s">
        <v>191</v>
      </c>
      <c r="AB3" s="28" t="s">
        <v>190</v>
      </c>
      <c r="AC3" s="3" t="s">
        <v>194</v>
      </c>
      <c r="AD3" s="3" t="s">
        <v>194</v>
      </c>
      <c r="AE3" s="2" t="s">
        <v>16</v>
      </c>
      <c r="AF3" s="2" t="s">
        <v>17</v>
      </c>
      <c r="AG3" s="2" t="s">
        <v>18</v>
      </c>
      <c r="AH3" s="2" t="s">
        <v>18</v>
      </c>
      <c r="AI3" s="2" t="s">
        <v>18</v>
      </c>
      <c r="AJ3" s="2" t="s">
        <v>18</v>
      </c>
      <c r="AK3" s="2" t="s">
        <v>18</v>
      </c>
      <c r="AL3" s="2" t="s">
        <v>18</v>
      </c>
      <c r="AM3" s="2" t="s">
        <v>18</v>
      </c>
      <c r="AN3" s="2" t="s">
        <v>18</v>
      </c>
      <c r="AO3" s="2" t="s">
        <v>19</v>
      </c>
      <c r="AP3" s="2" t="s">
        <v>20</v>
      </c>
      <c r="AQ3" s="2" t="s">
        <v>20</v>
      </c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21</v>
      </c>
      <c r="Q4" s="1" t="s">
        <v>22</v>
      </c>
      <c r="R4" s="1" t="s">
        <v>23</v>
      </c>
      <c r="S4" s="13" t="s">
        <v>24</v>
      </c>
      <c r="T4" s="1" t="s">
        <v>25</v>
      </c>
      <c r="U4" s="14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/>
      <c r="AA4" s="1"/>
      <c r="AB4" s="27"/>
      <c r="AC4" s="1" t="s">
        <v>195</v>
      </c>
      <c r="AD4" s="1" t="s">
        <v>196</v>
      </c>
      <c r="AE4" s="1"/>
      <c r="AF4" s="1"/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/>
      <c r="AP4" s="1" t="s">
        <v>185</v>
      </c>
      <c r="AQ4" s="1" t="s">
        <v>186</v>
      </c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16054.392000000002</v>
      </c>
      <c r="F5" s="4">
        <f>SUM(F6:F499)</f>
        <v>10132.586000000001</v>
      </c>
      <c r="G5" s="4">
        <f>SUM(G6:G499)</f>
        <v>6470.2170000000006</v>
      </c>
      <c r="H5" s="7"/>
      <c r="I5" s="1"/>
      <c r="J5" s="1"/>
      <c r="K5" s="1"/>
      <c r="L5" s="4">
        <f t="shared" ref="L5:AD5" si="0">SUM(L6:L499)</f>
        <v>22880.027999999998</v>
      </c>
      <c r="M5" s="4">
        <f t="shared" si="0"/>
        <v>-6825.6359999999995</v>
      </c>
      <c r="N5" s="4">
        <f t="shared" si="0"/>
        <v>0</v>
      </c>
      <c r="O5" s="4">
        <f t="shared" si="0"/>
        <v>0</v>
      </c>
      <c r="P5" s="4">
        <f t="shared" si="0"/>
        <v>14772.140498707999</v>
      </c>
      <c r="Q5" s="4">
        <f t="shared" si="0"/>
        <v>-2131.3000000000002</v>
      </c>
      <c r="R5" s="4">
        <f t="shared" si="0"/>
        <v>1500</v>
      </c>
      <c r="S5" s="15">
        <f t="shared" si="0"/>
        <v>12160.493840000001</v>
      </c>
      <c r="T5" s="4">
        <f t="shared" si="0"/>
        <v>-2890.5</v>
      </c>
      <c r="U5" s="16">
        <f t="shared" si="0"/>
        <v>1560</v>
      </c>
      <c r="V5" s="4">
        <f t="shared" si="0"/>
        <v>10176.142996000002</v>
      </c>
      <c r="W5" s="4">
        <f t="shared" si="0"/>
        <v>-1310.9</v>
      </c>
      <c r="X5" s="4">
        <f t="shared" si="0"/>
        <v>1110</v>
      </c>
      <c r="Y5" s="4">
        <f t="shared" si="0"/>
        <v>3210.8783999999996</v>
      </c>
      <c r="Z5" s="4">
        <f t="shared" si="0"/>
        <v>6122.7396612920002</v>
      </c>
      <c r="AA5" s="4">
        <f t="shared" si="0"/>
        <v>13951.307081291998</v>
      </c>
      <c r="AB5" s="29"/>
      <c r="AC5" s="4">
        <f t="shared" si="0"/>
        <v>8232.0673739488429</v>
      </c>
      <c r="AD5" s="4">
        <f t="shared" si="0"/>
        <v>5719.2397073431584</v>
      </c>
      <c r="AE5" s="1"/>
      <c r="AF5" s="1"/>
      <c r="AG5" s="4">
        <f t="shared" ref="AG5:AN5" si="1">SUM(AG6:AG499)</f>
        <v>3221.938599999999</v>
      </c>
      <c r="AH5" s="4">
        <f t="shared" si="1"/>
        <v>3337.9455999999982</v>
      </c>
      <c r="AI5" s="4">
        <f t="shared" si="1"/>
        <v>4292.6824000000015</v>
      </c>
      <c r="AJ5" s="4">
        <f t="shared" si="1"/>
        <v>4269.7196000000004</v>
      </c>
      <c r="AK5" s="4">
        <f t="shared" si="1"/>
        <v>3863.9036000000019</v>
      </c>
      <c r="AL5" s="4">
        <f t="shared" si="1"/>
        <v>3651.6625999999987</v>
      </c>
      <c r="AM5" s="4">
        <f t="shared" si="1"/>
        <v>3634.1342000000018</v>
      </c>
      <c r="AN5" s="4">
        <f t="shared" si="1"/>
        <v>4204.6311999999989</v>
      </c>
      <c r="AO5" s="1"/>
      <c r="AP5" s="4">
        <f>SUM(AP6:AP499)</f>
        <v>5339</v>
      </c>
      <c r="AQ5" s="4">
        <f>SUM(AQ6:AQ499)</f>
        <v>3759</v>
      </c>
      <c r="AR5" s="1"/>
      <c r="AS5" s="1"/>
      <c r="AT5" s="1"/>
      <c r="AU5" s="1"/>
      <c r="AV5" s="1"/>
    </row>
    <row r="6" spans="1:48" x14ac:dyDescent="0.25">
      <c r="A6" s="1" t="s">
        <v>39</v>
      </c>
      <c r="B6" s="1" t="s">
        <v>40</v>
      </c>
      <c r="C6" s="1">
        <v>96.972999999999999</v>
      </c>
      <c r="D6" s="1">
        <v>470.904</v>
      </c>
      <c r="E6" s="1">
        <v>163.12100000000001</v>
      </c>
      <c r="F6" s="1">
        <v>108.248</v>
      </c>
      <c r="G6" s="1">
        <f>VLOOKUP(A6,[1]TDSheet!$A:$M,9,0)</f>
        <v>86.79</v>
      </c>
      <c r="H6" s="7">
        <v>1</v>
      </c>
      <c r="I6" s="1">
        <v>50</v>
      </c>
      <c r="J6" s="1" t="s">
        <v>41</v>
      </c>
      <c r="K6" s="1"/>
      <c r="L6" s="1">
        <v>206.8</v>
      </c>
      <c r="M6" s="1">
        <f t="shared" ref="M6:M37" si="2">E6-L6</f>
        <v>-43.679000000000002</v>
      </c>
      <c r="N6" s="1"/>
      <c r="O6" s="1"/>
      <c r="P6" s="1">
        <v>135.42599999999999</v>
      </c>
      <c r="Q6" s="1"/>
      <c r="R6" s="1"/>
      <c r="S6" s="13">
        <v>150</v>
      </c>
      <c r="T6" s="1"/>
      <c r="U6" s="14"/>
      <c r="V6" s="1">
        <v>10.95020000000004</v>
      </c>
      <c r="W6" s="1"/>
      <c r="X6" s="1"/>
      <c r="Y6" s="1">
        <f>E6/5</f>
        <v>32.624200000000002</v>
      </c>
      <c r="Z6" s="5"/>
      <c r="AA6" s="5">
        <f>Z6</f>
        <v>0</v>
      </c>
      <c r="AB6" s="30">
        <f>VLOOKUP(A6,[2]TDSheet!$A:$G,7,0)</f>
        <v>0.46202786786351779</v>
      </c>
      <c r="AC6" s="5">
        <f>AA6-AD6</f>
        <v>0</v>
      </c>
      <c r="AD6" s="5">
        <f>AA6*AB6</f>
        <v>0</v>
      </c>
      <c r="AE6" s="1">
        <f>(F6+G6+P6+Q6+R6+S6+T6+U6+V6+W6+X6+AC6+AD6)/Y6</f>
        <v>15.062873572378788</v>
      </c>
      <c r="AF6" s="1">
        <f t="shared" ref="AF6:AF37" si="3">(F6+G6+P6+Q6+R6+S6+T6+U6+V6+W6+X6)/Y6</f>
        <v>15.062873572378788</v>
      </c>
      <c r="AG6" s="1">
        <v>49.9176</v>
      </c>
      <c r="AH6" s="1">
        <v>50.513599999999997</v>
      </c>
      <c r="AI6" s="1">
        <v>52.347000000000001</v>
      </c>
      <c r="AJ6" s="1">
        <v>48.521000000000001</v>
      </c>
      <c r="AK6" s="1">
        <v>43.444600000000001</v>
      </c>
      <c r="AL6" s="1">
        <v>50.715400000000002</v>
      </c>
      <c r="AM6" s="1">
        <v>50.555</v>
      </c>
      <c r="AN6" s="1">
        <v>49.53</v>
      </c>
      <c r="AO6" s="1"/>
      <c r="AP6" s="1">
        <f>ROUND(H6*AC6,0)</f>
        <v>0</v>
      </c>
      <c r="AQ6" s="1">
        <f>ROUND(H6*AD6,0)</f>
        <v>0</v>
      </c>
      <c r="AR6" s="1"/>
      <c r="AS6" s="1"/>
      <c r="AT6" s="1"/>
      <c r="AU6" s="1"/>
      <c r="AV6" s="1"/>
    </row>
    <row r="7" spans="1:48" x14ac:dyDescent="0.25">
      <c r="A7" s="1" t="s">
        <v>42</v>
      </c>
      <c r="B7" s="1" t="s">
        <v>40</v>
      </c>
      <c r="C7" s="1">
        <v>604.58399999999995</v>
      </c>
      <c r="D7" s="1">
        <v>447.57</v>
      </c>
      <c r="E7" s="1">
        <v>376.52</v>
      </c>
      <c r="F7" s="1">
        <v>60.430999999999997</v>
      </c>
      <c r="G7" s="1">
        <f>VLOOKUP(A7,[1]TDSheet!$A:$M,9,0)</f>
        <v>205.726</v>
      </c>
      <c r="H7" s="7">
        <v>1</v>
      </c>
      <c r="I7" s="1">
        <v>45</v>
      </c>
      <c r="J7" s="1" t="s">
        <v>41</v>
      </c>
      <c r="K7" s="1"/>
      <c r="L7" s="1">
        <v>406.4</v>
      </c>
      <c r="M7" s="1">
        <f t="shared" si="2"/>
        <v>-29.879999999999995</v>
      </c>
      <c r="N7" s="1"/>
      <c r="O7" s="1"/>
      <c r="P7" s="1">
        <v>237.7456</v>
      </c>
      <c r="Q7" s="1"/>
      <c r="R7" s="1"/>
      <c r="S7" s="13">
        <v>370.68672000000032</v>
      </c>
      <c r="T7" s="1"/>
      <c r="U7" s="14"/>
      <c r="V7" s="1">
        <v>80.660679999999672</v>
      </c>
      <c r="W7" s="1"/>
      <c r="X7" s="1"/>
      <c r="Y7" s="1">
        <f t="shared" ref="Y7:Y70" si="4">E7/5</f>
        <v>75.304000000000002</v>
      </c>
      <c r="Z7" s="5"/>
      <c r="AA7" s="5">
        <f>Z7+$AA$1*Y7</f>
        <v>225.91200000000001</v>
      </c>
      <c r="AB7" s="30">
        <f>VLOOKUP(A7,[2]TDSheet!$A:$G,7,0)</f>
        <v>0.32572204943399224</v>
      </c>
      <c r="AC7" s="5">
        <f t="shared" ref="AC7:AC8" si="5">AA7-AD7</f>
        <v>152.32748036826794</v>
      </c>
      <c r="AD7" s="5">
        <f t="shared" ref="AD7:AD8" si="6">AA7*AB7</f>
        <v>73.584519631732064</v>
      </c>
      <c r="AE7" s="1">
        <f t="shared" ref="AE7:AE70" si="7">(F7+G7+P7+Q7+R7+S7+T7+U7+V7+W7+X7+AC7+AD7)/Y7</f>
        <v>15.685249123552534</v>
      </c>
      <c r="AF7" s="1">
        <f t="shared" si="3"/>
        <v>12.685249123552534</v>
      </c>
      <c r="AG7" s="1">
        <v>93.414999999999992</v>
      </c>
      <c r="AH7" s="1">
        <v>102.57940000000001</v>
      </c>
      <c r="AI7" s="1">
        <v>91.360199999999992</v>
      </c>
      <c r="AJ7" s="1">
        <v>75.338800000000006</v>
      </c>
      <c r="AK7" s="1">
        <v>78.611599999999996</v>
      </c>
      <c r="AL7" s="1">
        <v>107.873</v>
      </c>
      <c r="AM7" s="1">
        <v>130.68199999999999</v>
      </c>
      <c r="AN7" s="1">
        <v>153.03919999999999</v>
      </c>
      <c r="AO7" s="1"/>
      <c r="AP7" s="1">
        <f t="shared" ref="AP7:AP70" si="8">ROUND(H7*AC7,0)</f>
        <v>152</v>
      </c>
      <c r="AQ7" s="1">
        <f t="shared" ref="AQ7:AQ70" si="9">ROUND(H7*AD7,0)</f>
        <v>74</v>
      </c>
      <c r="AR7" s="1"/>
      <c r="AS7" s="1"/>
      <c r="AT7" s="1"/>
      <c r="AU7" s="1"/>
      <c r="AV7" s="1"/>
    </row>
    <row r="8" spans="1:48" x14ac:dyDescent="0.25">
      <c r="A8" s="1" t="s">
        <v>43</v>
      </c>
      <c r="B8" s="1" t="s">
        <v>40</v>
      </c>
      <c r="C8" s="1">
        <v>647.36599999999999</v>
      </c>
      <c r="D8" s="1">
        <v>840.25099999999998</v>
      </c>
      <c r="E8" s="1">
        <v>425.57</v>
      </c>
      <c r="F8" s="1">
        <v>288.74099999999999</v>
      </c>
      <c r="G8" s="1">
        <f>VLOOKUP(A8,[1]TDSheet!$A:$M,9,0)</f>
        <v>290.72699999999998</v>
      </c>
      <c r="H8" s="7">
        <v>1</v>
      </c>
      <c r="I8" s="1">
        <v>45</v>
      </c>
      <c r="J8" s="1" t="s">
        <v>41</v>
      </c>
      <c r="K8" s="1"/>
      <c r="L8" s="1">
        <v>477</v>
      </c>
      <c r="M8" s="1">
        <f t="shared" si="2"/>
        <v>-51.430000000000007</v>
      </c>
      <c r="N8" s="1"/>
      <c r="O8" s="1"/>
      <c r="P8" s="1">
        <v>0</v>
      </c>
      <c r="Q8" s="1"/>
      <c r="R8" s="1"/>
      <c r="S8" s="13">
        <v>0</v>
      </c>
      <c r="T8" s="1"/>
      <c r="U8" s="14"/>
      <c r="V8" s="1">
        <v>466.53300000000007</v>
      </c>
      <c r="W8" s="1"/>
      <c r="X8" s="1"/>
      <c r="Y8" s="1">
        <f t="shared" si="4"/>
        <v>85.114000000000004</v>
      </c>
      <c r="Z8" s="5">
        <v>50</v>
      </c>
      <c r="AA8" s="5">
        <f>Z8+$AA$1*Y8</f>
        <v>305.34199999999998</v>
      </c>
      <c r="AB8" s="30">
        <f>VLOOKUP(A8,[2]TDSheet!$A:$G,7,0)</f>
        <v>0.32367738324874568</v>
      </c>
      <c r="AC8" s="5">
        <f t="shared" si="5"/>
        <v>206.50970044406148</v>
      </c>
      <c r="AD8" s="5">
        <f t="shared" si="6"/>
        <v>98.832299555938491</v>
      </c>
      <c r="AE8" s="1">
        <f t="shared" si="7"/>
        <v>15.876859271095237</v>
      </c>
      <c r="AF8" s="1">
        <f t="shared" si="3"/>
        <v>12.289411847639636</v>
      </c>
      <c r="AG8" s="1">
        <v>96.858000000000004</v>
      </c>
      <c r="AH8" s="1">
        <v>78.322800000000001</v>
      </c>
      <c r="AI8" s="1">
        <v>84.352599999999995</v>
      </c>
      <c r="AJ8" s="1">
        <v>119.5784</v>
      </c>
      <c r="AK8" s="1">
        <v>115.399</v>
      </c>
      <c r="AL8" s="1">
        <v>92.236400000000003</v>
      </c>
      <c r="AM8" s="1">
        <v>101.6842</v>
      </c>
      <c r="AN8" s="1">
        <v>112.5746</v>
      </c>
      <c r="AO8" s="1"/>
      <c r="AP8" s="1">
        <f t="shared" si="8"/>
        <v>207</v>
      </c>
      <c r="AQ8" s="1">
        <f t="shared" si="9"/>
        <v>99</v>
      </c>
      <c r="AR8" s="1"/>
      <c r="AS8" s="1"/>
      <c r="AT8" s="1"/>
      <c r="AU8" s="1"/>
      <c r="AV8" s="1"/>
    </row>
    <row r="9" spans="1:48" x14ac:dyDescent="0.25">
      <c r="A9" s="18" t="s">
        <v>44</v>
      </c>
      <c r="B9" s="18" t="s">
        <v>45</v>
      </c>
      <c r="C9" s="18"/>
      <c r="D9" s="18"/>
      <c r="E9" s="18"/>
      <c r="F9" s="18"/>
      <c r="G9" s="18"/>
      <c r="H9" s="19">
        <v>0</v>
      </c>
      <c r="I9" s="18"/>
      <c r="J9" s="18" t="s">
        <v>41</v>
      </c>
      <c r="K9" s="18"/>
      <c r="L9" s="18"/>
      <c r="M9" s="18">
        <f t="shared" si="2"/>
        <v>0</v>
      </c>
      <c r="N9" s="18"/>
      <c r="O9" s="18"/>
      <c r="P9" s="18">
        <v>0</v>
      </c>
      <c r="Q9" s="18"/>
      <c r="R9" s="18"/>
      <c r="S9" s="20">
        <v>0</v>
      </c>
      <c r="T9" s="18"/>
      <c r="U9" s="21"/>
      <c r="V9" s="18">
        <v>0</v>
      </c>
      <c r="W9" s="18"/>
      <c r="X9" s="18"/>
      <c r="Y9" s="18">
        <f t="shared" si="4"/>
        <v>0</v>
      </c>
      <c r="Z9" s="22"/>
      <c r="AA9" s="5">
        <f t="shared" ref="AA9:AA62" si="10">Z9</f>
        <v>0</v>
      </c>
      <c r="AB9" s="31"/>
      <c r="AC9" s="22"/>
      <c r="AD9" s="22"/>
      <c r="AE9" s="1" t="e">
        <f t="shared" si="7"/>
        <v>#DIV/0!</v>
      </c>
      <c r="AF9" s="18" t="e">
        <f t="shared" si="3"/>
        <v>#DIV/0!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 t="s">
        <v>46</v>
      </c>
      <c r="AP9" s="1">
        <f t="shared" si="8"/>
        <v>0</v>
      </c>
      <c r="AQ9" s="1">
        <f t="shared" si="9"/>
        <v>0</v>
      </c>
      <c r="AR9" s="1"/>
      <c r="AS9" s="1"/>
      <c r="AT9" s="1"/>
      <c r="AU9" s="1"/>
      <c r="AV9" s="1"/>
    </row>
    <row r="10" spans="1:48" x14ac:dyDescent="0.25">
      <c r="A10" s="1" t="s">
        <v>47</v>
      </c>
      <c r="B10" s="1" t="s">
        <v>45</v>
      </c>
      <c r="C10" s="1">
        <v>282.85500000000002</v>
      </c>
      <c r="D10" s="1">
        <v>271</v>
      </c>
      <c r="E10" s="1">
        <v>-12</v>
      </c>
      <c r="F10" s="1"/>
      <c r="G10" s="1"/>
      <c r="H10" s="7">
        <v>0.45</v>
      </c>
      <c r="I10" s="1">
        <v>45</v>
      </c>
      <c r="J10" s="1" t="s">
        <v>41</v>
      </c>
      <c r="K10" s="1"/>
      <c r="L10" s="1">
        <v>514</v>
      </c>
      <c r="M10" s="1">
        <f t="shared" si="2"/>
        <v>-526</v>
      </c>
      <c r="N10" s="1"/>
      <c r="O10" s="1"/>
      <c r="P10" s="1">
        <v>750.93680000000018</v>
      </c>
      <c r="Q10" s="1"/>
      <c r="R10" s="1"/>
      <c r="S10" s="13">
        <v>0</v>
      </c>
      <c r="T10" s="1"/>
      <c r="U10" s="14"/>
      <c r="V10" s="1">
        <v>0</v>
      </c>
      <c r="W10" s="1"/>
      <c r="X10" s="1"/>
      <c r="Y10" s="1">
        <f t="shared" si="4"/>
        <v>-2.4</v>
      </c>
      <c r="Z10" s="5">
        <v>500</v>
      </c>
      <c r="AA10" s="5">
        <v>800</v>
      </c>
      <c r="AB10" s="30">
        <f>VLOOKUP(A10,[2]TDSheet!$A:$G,7,0)</f>
        <v>0.5691321063152659</v>
      </c>
      <c r="AC10" s="5">
        <f t="shared" ref="AC10:AC17" si="11">AA10-AD10</f>
        <v>300</v>
      </c>
      <c r="AD10" s="5">
        <v>500</v>
      </c>
      <c r="AE10" s="1">
        <f t="shared" si="7"/>
        <v>-646.22366666666676</v>
      </c>
      <c r="AF10" s="1">
        <f t="shared" si="3"/>
        <v>-312.89033333333344</v>
      </c>
      <c r="AG10" s="1">
        <v>1.8</v>
      </c>
      <c r="AH10" s="1">
        <v>59.4</v>
      </c>
      <c r="AI10" s="1">
        <v>80.107600000000005</v>
      </c>
      <c r="AJ10" s="1">
        <v>22.907599999999999</v>
      </c>
      <c r="AK10" s="1">
        <v>53.8</v>
      </c>
      <c r="AL10" s="1">
        <v>96.8</v>
      </c>
      <c r="AM10" s="1">
        <v>76.400000000000006</v>
      </c>
      <c r="AN10" s="1">
        <v>41.6</v>
      </c>
      <c r="AO10" s="9" t="s">
        <v>188</v>
      </c>
      <c r="AP10" s="1">
        <f t="shared" si="8"/>
        <v>135</v>
      </c>
      <c r="AQ10" s="1">
        <f t="shared" si="9"/>
        <v>225</v>
      </c>
      <c r="AR10" s="1"/>
      <c r="AS10" s="1"/>
      <c r="AT10" s="1"/>
      <c r="AU10" s="1"/>
      <c r="AV10" s="1"/>
    </row>
    <row r="11" spans="1:48" x14ac:dyDescent="0.25">
      <c r="A11" s="1" t="s">
        <v>48</v>
      </c>
      <c r="B11" s="1" t="s">
        <v>45</v>
      </c>
      <c r="C11" s="1">
        <v>1710</v>
      </c>
      <c r="D11" s="1">
        <v>1484</v>
      </c>
      <c r="E11" s="1">
        <v>930</v>
      </c>
      <c r="F11" s="1">
        <v>297</v>
      </c>
      <c r="G11" s="1">
        <f>VLOOKUP(A11,[1]TDSheet!$A:$M,9,0)</f>
        <v>679</v>
      </c>
      <c r="H11" s="7">
        <v>0.45</v>
      </c>
      <c r="I11" s="1">
        <v>45</v>
      </c>
      <c r="J11" s="1" t="s">
        <v>41</v>
      </c>
      <c r="K11" s="1"/>
      <c r="L11" s="1">
        <v>946</v>
      </c>
      <c r="M11" s="1">
        <f t="shared" si="2"/>
        <v>-16</v>
      </c>
      <c r="N11" s="1"/>
      <c r="O11" s="1"/>
      <c r="P11" s="1">
        <v>0</v>
      </c>
      <c r="Q11" s="1"/>
      <c r="R11" s="1"/>
      <c r="S11" s="13">
        <v>0</v>
      </c>
      <c r="T11" s="1"/>
      <c r="U11" s="14"/>
      <c r="V11" s="1">
        <v>679.40000000000009</v>
      </c>
      <c r="W11" s="1"/>
      <c r="X11" s="1"/>
      <c r="Y11" s="1">
        <f t="shared" si="4"/>
        <v>186</v>
      </c>
      <c r="Z11" s="5">
        <f>11*Y11-X11-W11-V11-U11-T11-S11-R11-Q11-P11-G11-F11</f>
        <v>390.59999999999991</v>
      </c>
      <c r="AA11" s="5">
        <f t="shared" ref="AA11:AA12" si="12">Z11+$AA$1*Y11</f>
        <v>948.59999999999991</v>
      </c>
      <c r="AB11" s="30">
        <f>VLOOKUP(A11,[2]TDSheet!$A:$G,7,0)</f>
        <v>0.50801924619085803</v>
      </c>
      <c r="AC11" s="5">
        <f t="shared" si="11"/>
        <v>466.692943063352</v>
      </c>
      <c r="AD11" s="5">
        <f t="shared" ref="AD11:AD17" si="13">AA11*AB11</f>
        <v>481.9070569366479</v>
      </c>
      <c r="AE11" s="1">
        <f t="shared" si="7"/>
        <v>14</v>
      </c>
      <c r="AF11" s="1">
        <f t="shared" si="3"/>
        <v>8.9</v>
      </c>
      <c r="AG11" s="1">
        <v>149.80000000000001</v>
      </c>
      <c r="AH11" s="1">
        <v>27.2</v>
      </c>
      <c r="AI11" s="1">
        <v>95.2</v>
      </c>
      <c r="AJ11" s="1">
        <v>169.6</v>
      </c>
      <c r="AK11" s="1">
        <v>188.2</v>
      </c>
      <c r="AL11" s="1">
        <v>158.4</v>
      </c>
      <c r="AM11" s="1">
        <v>100.4</v>
      </c>
      <c r="AN11" s="1">
        <v>145.4</v>
      </c>
      <c r="AO11" s="1"/>
      <c r="AP11" s="1">
        <f t="shared" si="8"/>
        <v>210</v>
      </c>
      <c r="AQ11" s="1">
        <f t="shared" si="9"/>
        <v>217</v>
      </c>
      <c r="AR11" s="1"/>
      <c r="AS11" s="1"/>
      <c r="AT11" s="1"/>
      <c r="AU11" s="1"/>
      <c r="AV11" s="1"/>
    </row>
    <row r="12" spans="1:48" x14ac:dyDescent="0.25">
      <c r="A12" s="1" t="s">
        <v>49</v>
      </c>
      <c r="B12" s="1" t="s">
        <v>45</v>
      </c>
      <c r="C12" s="1">
        <v>176</v>
      </c>
      <c r="D12" s="1">
        <v>78</v>
      </c>
      <c r="E12" s="1">
        <v>150</v>
      </c>
      <c r="F12" s="1">
        <v>16</v>
      </c>
      <c r="G12" s="1">
        <f>VLOOKUP(A12,[1]TDSheet!$A:$M,9,0)</f>
        <v>3</v>
      </c>
      <c r="H12" s="7">
        <v>0.17</v>
      </c>
      <c r="I12" s="1">
        <v>180</v>
      </c>
      <c r="J12" s="1" t="s">
        <v>41</v>
      </c>
      <c r="K12" s="1"/>
      <c r="L12" s="1">
        <v>150</v>
      </c>
      <c r="M12" s="1">
        <f t="shared" si="2"/>
        <v>0</v>
      </c>
      <c r="N12" s="1"/>
      <c r="O12" s="1"/>
      <c r="P12" s="1">
        <v>0</v>
      </c>
      <c r="Q12" s="1"/>
      <c r="R12" s="1"/>
      <c r="S12" s="13">
        <v>60</v>
      </c>
      <c r="T12" s="1"/>
      <c r="U12" s="14"/>
      <c r="V12" s="1">
        <v>117.8</v>
      </c>
      <c r="W12" s="1"/>
      <c r="X12" s="1"/>
      <c r="Y12" s="1">
        <f t="shared" si="4"/>
        <v>30</v>
      </c>
      <c r="Z12" s="5">
        <f>11*Y12-X12-W12-V12-U12-T12-S12-R12-Q12-P12-G12-F12</f>
        <v>133.19999999999999</v>
      </c>
      <c r="AA12" s="5">
        <f t="shared" si="12"/>
        <v>223.2</v>
      </c>
      <c r="AB12" s="30">
        <f>VLOOKUP(A12,[2]TDSheet!$A:$G,7,0)</f>
        <v>0.38589211618257263</v>
      </c>
      <c r="AC12" s="5">
        <f t="shared" si="11"/>
        <v>137.06887966804979</v>
      </c>
      <c r="AD12" s="5">
        <f t="shared" si="13"/>
        <v>86.1311203319502</v>
      </c>
      <c r="AE12" s="1">
        <f t="shared" si="7"/>
        <v>14</v>
      </c>
      <c r="AF12" s="1">
        <f t="shared" si="3"/>
        <v>6.5600000000000005</v>
      </c>
      <c r="AG12" s="1">
        <v>20.399999999999999</v>
      </c>
      <c r="AH12" s="1">
        <v>8.4</v>
      </c>
      <c r="AI12" s="1">
        <v>9</v>
      </c>
      <c r="AJ12" s="1">
        <v>4.4000000000000004</v>
      </c>
      <c r="AK12" s="1">
        <v>19.8</v>
      </c>
      <c r="AL12" s="1">
        <v>26.4</v>
      </c>
      <c r="AM12" s="1">
        <v>7.6</v>
      </c>
      <c r="AN12" s="1">
        <v>9</v>
      </c>
      <c r="AO12" s="1"/>
      <c r="AP12" s="1">
        <f t="shared" si="8"/>
        <v>23</v>
      </c>
      <c r="AQ12" s="1">
        <f t="shared" si="9"/>
        <v>15</v>
      </c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45</v>
      </c>
      <c r="C13" s="1">
        <v>19</v>
      </c>
      <c r="D13" s="1">
        <v>115</v>
      </c>
      <c r="E13" s="1">
        <v>47</v>
      </c>
      <c r="F13" s="1">
        <v>3</v>
      </c>
      <c r="G13" s="1"/>
      <c r="H13" s="7">
        <v>0.3</v>
      </c>
      <c r="I13" s="1">
        <v>40</v>
      </c>
      <c r="J13" s="17" t="s">
        <v>51</v>
      </c>
      <c r="K13" s="1"/>
      <c r="L13" s="1">
        <v>100</v>
      </c>
      <c r="M13" s="1">
        <f t="shared" si="2"/>
        <v>-53</v>
      </c>
      <c r="N13" s="1"/>
      <c r="O13" s="1"/>
      <c r="P13" s="1">
        <v>80</v>
      </c>
      <c r="Q13" s="1"/>
      <c r="R13" s="1"/>
      <c r="S13" s="13">
        <v>60</v>
      </c>
      <c r="T13" s="1"/>
      <c r="U13" s="14"/>
      <c r="V13" s="1">
        <v>0</v>
      </c>
      <c r="W13" s="1"/>
      <c r="X13" s="1"/>
      <c r="Y13" s="1">
        <f t="shared" si="4"/>
        <v>9.4</v>
      </c>
      <c r="Z13" s="5">
        <v>60</v>
      </c>
      <c r="AA13" s="5">
        <f>Z13*$AB$1</f>
        <v>102</v>
      </c>
      <c r="AB13" s="30">
        <f>VLOOKUP(A13,[2]TDSheet!$A:$G,7,0)</f>
        <v>0.18324607329842932</v>
      </c>
      <c r="AC13" s="5">
        <f t="shared" si="11"/>
        <v>83.308900523560212</v>
      </c>
      <c r="AD13" s="5">
        <f t="shared" si="13"/>
        <v>18.691099476439792</v>
      </c>
      <c r="AE13" s="1">
        <f t="shared" si="7"/>
        <v>26.063829787234045</v>
      </c>
      <c r="AF13" s="1">
        <f t="shared" si="3"/>
        <v>15.212765957446807</v>
      </c>
      <c r="AG13" s="1">
        <v>5.8</v>
      </c>
      <c r="AH13" s="1">
        <v>6.2</v>
      </c>
      <c r="AI13" s="1">
        <v>11.4</v>
      </c>
      <c r="AJ13" s="1">
        <v>16</v>
      </c>
      <c r="AK13" s="1">
        <v>6.8</v>
      </c>
      <c r="AL13" s="1">
        <v>-1.2</v>
      </c>
      <c r="AM13" s="1">
        <v>3.4</v>
      </c>
      <c r="AN13" s="1">
        <v>16.2</v>
      </c>
      <c r="AO13" s="1"/>
      <c r="AP13" s="1">
        <f t="shared" si="8"/>
        <v>25</v>
      </c>
      <c r="AQ13" s="1">
        <f t="shared" si="9"/>
        <v>6</v>
      </c>
      <c r="AR13" s="1"/>
      <c r="AS13" s="1"/>
      <c r="AT13" s="1"/>
      <c r="AU13" s="1"/>
      <c r="AV13" s="1"/>
    </row>
    <row r="14" spans="1:48" x14ac:dyDescent="0.25">
      <c r="A14" s="1" t="s">
        <v>52</v>
      </c>
      <c r="B14" s="1" t="s">
        <v>45</v>
      </c>
      <c r="C14" s="1">
        <v>413</v>
      </c>
      <c r="D14" s="1">
        <v>348</v>
      </c>
      <c r="E14" s="1">
        <v>193</v>
      </c>
      <c r="F14" s="1">
        <v>104</v>
      </c>
      <c r="G14" s="1">
        <f>VLOOKUP(A14,[1]TDSheet!$A:$M,9,0)</f>
        <v>207</v>
      </c>
      <c r="H14" s="7">
        <v>0.17</v>
      </c>
      <c r="I14" s="1">
        <v>180</v>
      </c>
      <c r="J14" s="1" t="s">
        <v>41</v>
      </c>
      <c r="K14" s="1"/>
      <c r="L14" s="1">
        <v>186</v>
      </c>
      <c r="M14" s="1">
        <f t="shared" si="2"/>
        <v>7</v>
      </c>
      <c r="N14" s="1"/>
      <c r="O14" s="1"/>
      <c r="P14" s="1">
        <v>138.80000000000001</v>
      </c>
      <c r="Q14" s="1"/>
      <c r="R14" s="1"/>
      <c r="S14" s="13">
        <v>100</v>
      </c>
      <c r="T14" s="1"/>
      <c r="U14" s="14"/>
      <c r="V14" s="1">
        <v>0</v>
      </c>
      <c r="W14" s="1"/>
      <c r="X14" s="1"/>
      <c r="Y14" s="1">
        <f t="shared" si="4"/>
        <v>38.6</v>
      </c>
      <c r="Z14" s="5"/>
      <c r="AA14" s="5">
        <f t="shared" si="10"/>
        <v>0</v>
      </c>
      <c r="AB14" s="30">
        <f>VLOOKUP(A14,[2]TDSheet!$A:$G,7,0)</f>
        <v>0.29949238578680204</v>
      </c>
      <c r="AC14" s="5">
        <f t="shared" si="11"/>
        <v>0</v>
      </c>
      <c r="AD14" s="5">
        <f t="shared" si="13"/>
        <v>0</v>
      </c>
      <c r="AE14" s="1">
        <f t="shared" si="7"/>
        <v>14.243523316062175</v>
      </c>
      <c r="AF14" s="1">
        <f t="shared" si="3"/>
        <v>14.243523316062175</v>
      </c>
      <c r="AG14" s="1">
        <v>35.799999999999997</v>
      </c>
      <c r="AH14" s="1">
        <v>42.8</v>
      </c>
      <c r="AI14" s="1">
        <v>55.6</v>
      </c>
      <c r="AJ14" s="1">
        <v>50.6</v>
      </c>
      <c r="AK14" s="1">
        <v>53.6</v>
      </c>
      <c r="AL14" s="1">
        <v>49</v>
      </c>
      <c r="AM14" s="1">
        <v>49.2</v>
      </c>
      <c r="AN14" s="1">
        <v>54.4</v>
      </c>
      <c r="AO14" s="1"/>
      <c r="AP14" s="1">
        <f t="shared" si="8"/>
        <v>0</v>
      </c>
      <c r="AQ14" s="1">
        <f t="shared" si="9"/>
        <v>0</v>
      </c>
      <c r="AR14" s="1"/>
      <c r="AS14" s="1"/>
      <c r="AT14" s="1"/>
      <c r="AU14" s="1"/>
      <c r="AV14" s="1"/>
    </row>
    <row r="15" spans="1:48" x14ac:dyDescent="0.25">
      <c r="A15" s="1" t="s">
        <v>53</v>
      </c>
      <c r="B15" s="1" t="s">
        <v>40</v>
      </c>
      <c r="C15" s="1">
        <v>281.755</v>
      </c>
      <c r="D15" s="1">
        <v>985.91700000000003</v>
      </c>
      <c r="E15" s="1">
        <v>333.34800000000001</v>
      </c>
      <c r="F15" s="1">
        <v>258.83499999999998</v>
      </c>
      <c r="G15" s="1">
        <f>VLOOKUP(A15,[1]TDSheet!$A:$M,9,0)</f>
        <v>94.304000000000002</v>
      </c>
      <c r="H15" s="7">
        <v>1</v>
      </c>
      <c r="I15" s="1">
        <v>70</v>
      </c>
      <c r="J15" s="17" t="s">
        <v>51</v>
      </c>
      <c r="K15" s="1"/>
      <c r="L15" s="1">
        <v>334.3</v>
      </c>
      <c r="M15" s="1">
        <f t="shared" si="2"/>
        <v>-0.95199999999999818</v>
      </c>
      <c r="N15" s="1"/>
      <c r="O15" s="1"/>
      <c r="P15" s="1">
        <v>100</v>
      </c>
      <c r="Q15" s="1"/>
      <c r="R15" s="1"/>
      <c r="S15" s="13">
        <v>270</v>
      </c>
      <c r="T15" s="1"/>
      <c r="U15" s="14"/>
      <c r="V15" s="1">
        <v>190.5833999999999</v>
      </c>
      <c r="W15" s="1"/>
      <c r="X15" s="1"/>
      <c r="Y15" s="1">
        <f t="shared" si="4"/>
        <v>66.669600000000003</v>
      </c>
      <c r="Z15" s="5">
        <v>180</v>
      </c>
      <c r="AA15" s="5">
        <f>Z15*$AB$1</f>
        <v>306</v>
      </c>
      <c r="AB15" s="30">
        <f>VLOOKUP(A15,[2]TDSheet!$A:$G,7,0)</f>
        <v>0.58502912326368495</v>
      </c>
      <c r="AC15" s="5">
        <f t="shared" si="11"/>
        <v>126.9810882813124</v>
      </c>
      <c r="AD15" s="5">
        <f t="shared" si="13"/>
        <v>179.0189117186876</v>
      </c>
      <c r="AE15" s="1">
        <f t="shared" si="7"/>
        <v>18.295031018635179</v>
      </c>
      <c r="AF15" s="1">
        <f t="shared" si="3"/>
        <v>13.705232969749328</v>
      </c>
      <c r="AG15" s="1">
        <v>94.391199999999998</v>
      </c>
      <c r="AH15" s="1">
        <v>92.775999999999996</v>
      </c>
      <c r="AI15" s="1">
        <v>91.034000000000006</v>
      </c>
      <c r="AJ15" s="1">
        <v>96.842399999999998</v>
      </c>
      <c r="AK15" s="1">
        <v>93.471599999999995</v>
      </c>
      <c r="AL15" s="1">
        <v>88.441000000000003</v>
      </c>
      <c r="AM15" s="1">
        <v>86.75739999999999</v>
      </c>
      <c r="AN15" s="1">
        <v>84.37</v>
      </c>
      <c r="AO15" s="1"/>
      <c r="AP15" s="1">
        <f t="shared" si="8"/>
        <v>127</v>
      </c>
      <c r="AQ15" s="1">
        <f t="shared" si="9"/>
        <v>179</v>
      </c>
      <c r="AR15" s="1"/>
      <c r="AS15" s="1"/>
      <c r="AT15" s="1"/>
      <c r="AU15" s="1"/>
      <c r="AV15" s="1"/>
    </row>
    <row r="16" spans="1:48" x14ac:dyDescent="0.25">
      <c r="A16" s="1" t="s">
        <v>54</v>
      </c>
      <c r="B16" s="1" t="s">
        <v>40</v>
      </c>
      <c r="C16" s="1">
        <v>618.327</v>
      </c>
      <c r="D16" s="1">
        <v>4183.12</v>
      </c>
      <c r="E16" s="1">
        <v>1751.402</v>
      </c>
      <c r="F16" s="1">
        <v>933.52499999999998</v>
      </c>
      <c r="G16" s="1">
        <f>VLOOKUP(A16,[1]TDSheet!$A:$M,9,0)</f>
        <v>1118.7950000000001</v>
      </c>
      <c r="H16" s="7">
        <v>1</v>
      </c>
      <c r="I16" s="1">
        <v>50</v>
      </c>
      <c r="J16" s="1" t="s">
        <v>41</v>
      </c>
      <c r="K16" s="1"/>
      <c r="L16" s="1">
        <v>2052.5189999999998</v>
      </c>
      <c r="M16" s="1">
        <f t="shared" si="2"/>
        <v>-301.11699999999973</v>
      </c>
      <c r="N16" s="1"/>
      <c r="O16" s="1"/>
      <c r="P16" s="1">
        <v>58.973120000000343</v>
      </c>
      <c r="Q16" s="1"/>
      <c r="R16" s="1">
        <v>660</v>
      </c>
      <c r="S16" s="13">
        <v>787.5626400000001</v>
      </c>
      <c r="T16" s="1"/>
      <c r="U16" s="14">
        <v>510</v>
      </c>
      <c r="V16" s="1">
        <v>1100</v>
      </c>
      <c r="W16" s="1"/>
      <c r="X16" s="1">
        <v>510</v>
      </c>
      <c r="Y16" s="1">
        <f t="shared" si="4"/>
        <v>350.28039999999999</v>
      </c>
      <c r="Z16" s="5">
        <v>200</v>
      </c>
      <c r="AA16" s="5">
        <v>700</v>
      </c>
      <c r="AB16" s="30">
        <f>VLOOKUP(A16,[2]TDSheet!$A:$G,7,0)</f>
        <v>0.30351914918401945</v>
      </c>
      <c r="AC16" s="5">
        <f t="shared" si="11"/>
        <v>200</v>
      </c>
      <c r="AD16" s="5">
        <v>500</v>
      </c>
      <c r="AE16" s="1">
        <f t="shared" si="7"/>
        <v>18.210712788954222</v>
      </c>
      <c r="AF16" s="1">
        <f t="shared" si="3"/>
        <v>16.212313792036326</v>
      </c>
      <c r="AG16" s="1">
        <v>480.89580000000001</v>
      </c>
      <c r="AH16" s="1">
        <v>437.53480000000002</v>
      </c>
      <c r="AI16" s="1">
        <v>456.43400000000003</v>
      </c>
      <c r="AJ16" s="1">
        <v>513.70119999999997</v>
      </c>
      <c r="AK16" s="1">
        <v>424.07979999999998</v>
      </c>
      <c r="AL16" s="1">
        <v>400.34519999999998</v>
      </c>
      <c r="AM16" s="1">
        <v>421.65800000000002</v>
      </c>
      <c r="AN16" s="1">
        <v>435.88019999999989</v>
      </c>
      <c r="AO16" s="1"/>
      <c r="AP16" s="1">
        <f t="shared" si="8"/>
        <v>200</v>
      </c>
      <c r="AQ16" s="1">
        <f t="shared" si="9"/>
        <v>500</v>
      </c>
      <c r="AR16" s="1"/>
      <c r="AS16" s="1"/>
      <c r="AT16" s="1"/>
      <c r="AU16" s="1"/>
      <c r="AV16" s="1"/>
    </row>
    <row r="17" spans="1:48" x14ac:dyDescent="0.25">
      <c r="A17" s="1" t="s">
        <v>55</v>
      </c>
      <c r="B17" s="1" t="s">
        <v>40</v>
      </c>
      <c r="C17" s="1">
        <v>27.952999999999999</v>
      </c>
      <c r="D17" s="1">
        <v>228.82900000000001</v>
      </c>
      <c r="E17" s="1">
        <v>33.520000000000003</v>
      </c>
      <c r="F17" s="1">
        <v>52.344000000000001</v>
      </c>
      <c r="G17" s="1">
        <f>VLOOKUP(A17,[1]TDSheet!$A:$M,9,0)</f>
        <v>105.289</v>
      </c>
      <c r="H17" s="7">
        <v>1</v>
      </c>
      <c r="I17" s="1">
        <v>60</v>
      </c>
      <c r="J17" s="1" t="s">
        <v>41</v>
      </c>
      <c r="K17" s="1"/>
      <c r="L17" s="1">
        <v>41.2</v>
      </c>
      <c r="M17" s="1">
        <f t="shared" si="2"/>
        <v>-7.68</v>
      </c>
      <c r="N17" s="1"/>
      <c r="O17" s="1"/>
      <c r="P17" s="1">
        <v>22.69019999999999</v>
      </c>
      <c r="Q17" s="1"/>
      <c r="R17" s="1"/>
      <c r="S17" s="13">
        <v>0</v>
      </c>
      <c r="T17" s="1"/>
      <c r="U17" s="14"/>
      <c r="V17" s="1">
        <v>0</v>
      </c>
      <c r="W17" s="1"/>
      <c r="X17" s="1"/>
      <c r="Y17" s="1">
        <f t="shared" si="4"/>
        <v>6.7040000000000006</v>
      </c>
      <c r="Z17" s="5"/>
      <c r="AA17" s="5">
        <f t="shared" si="10"/>
        <v>0</v>
      </c>
      <c r="AB17" s="30">
        <f>VLOOKUP(A17,[2]TDSheet!$A:$G,7,0)</f>
        <v>0.75592650491466251</v>
      </c>
      <c r="AC17" s="5">
        <f t="shared" si="11"/>
        <v>0</v>
      </c>
      <c r="AD17" s="5">
        <f t="shared" si="13"/>
        <v>0</v>
      </c>
      <c r="AE17" s="1">
        <f t="shared" si="7"/>
        <v>26.897852028639612</v>
      </c>
      <c r="AF17" s="1">
        <f t="shared" si="3"/>
        <v>26.897852028639612</v>
      </c>
      <c r="AG17" s="1">
        <v>9.8385999999999996</v>
      </c>
      <c r="AH17" s="1">
        <v>11.293200000000001</v>
      </c>
      <c r="AI17" s="1">
        <v>15.170199999999999</v>
      </c>
      <c r="AJ17" s="1">
        <v>14.3386</v>
      </c>
      <c r="AK17" s="1">
        <v>12.2934</v>
      </c>
      <c r="AL17" s="1">
        <v>14.3178</v>
      </c>
      <c r="AM17" s="1">
        <v>13.440799999999999</v>
      </c>
      <c r="AN17" s="1">
        <v>13.439399999999999</v>
      </c>
      <c r="AO17" s="1"/>
      <c r="AP17" s="1">
        <f t="shared" si="8"/>
        <v>0</v>
      </c>
      <c r="AQ17" s="1">
        <f t="shared" si="9"/>
        <v>0</v>
      </c>
      <c r="AR17" s="1"/>
      <c r="AS17" s="1"/>
      <c r="AT17" s="1"/>
      <c r="AU17" s="1"/>
      <c r="AV17" s="1"/>
    </row>
    <row r="18" spans="1:48" x14ac:dyDescent="0.25">
      <c r="A18" s="18" t="s">
        <v>56</v>
      </c>
      <c r="B18" s="18" t="s">
        <v>40</v>
      </c>
      <c r="C18" s="18">
        <v>-5.032</v>
      </c>
      <c r="D18" s="18">
        <v>5.032</v>
      </c>
      <c r="E18" s="18"/>
      <c r="F18" s="18"/>
      <c r="G18" s="18"/>
      <c r="H18" s="19">
        <v>0</v>
      </c>
      <c r="I18" s="18"/>
      <c r="J18" s="18" t="s">
        <v>57</v>
      </c>
      <c r="K18" s="18" t="s">
        <v>58</v>
      </c>
      <c r="L18" s="18"/>
      <c r="M18" s="18">
        <f t="shared" si="2"/>
        <v>0</v>
      </c>
      <c r="N18" s="18"/>
      <c r="O18" s="18"/>
      <c r="P18" s="18">
        <v>0</v>
      </c>
      <c r="Q18" s="18"/>
      <c r="R18" s="18"/>
      <c r="S18" s="20">
        <v>0</v>
      </c>
      <c r="T18" s="18"/>
      <c r="U18" s="21"/>
      <c r="V18" s="18">
        <v>0</v>
      </c>
      <c r="W18" s="18"/>
      <c r="X18" s="18"/>
      <c r="Y18" s="18">
        <f t="shared" si="4"/>
        <v>0</v>
      </c>
      <c r="Z18" s="22"/>
      <c r="AA18" s="5">
        <f t="shared" si="10"/>
        <v>0</v>
      </c>
      <c r="AB18" s="31"/>
      <c r="AC18" s="22"/>
      <c r="AD18" s="22"/>
      <c r="AE18" s="1" t="e">
        <f t="shared" si="7"/>
        <v>#DIV/0!</v>
      </c>
      <c r="AF18" s="18" t="e">
        <f t="shared" si="3"/>
        <v>#DIV/0!</v>
      </c>
      <c r="AG18" s="18">
        <v>0</v>
      </c>
      <c r="AH18" s="18">
        <v>0</v>
      </c>
      <c r="AI18" s="18">
        <v>1.0064</v>
      </c>
      <c r="AJ18" s="18">
        <v>1.0064</v>
      </c>
      <c r="AK18" s="18">
        <v>0</v>
      </c>
      <c r="AL18" s="18">
        <v>0</v>
      </c>
      <c r="AM18" s="18">
        <v>0</v>
      </c>
      <c r="AN18" s="18">
        <v>0</v>
      </c>
      <c r="AO18" s="18"/>
      <c r="AP18" s="1">
        <f t="shared" si="8"/>
        <v>0</v>
      </c>
      <c r="AQ18" s="1">
        <f t="shared" si="9"/>
        <v>0</v>
      </c>
      <c r="AR18" s="1"/>
      <c r="AS18" s="1"/>
      <c r="AT18" s="1"/>
      <c r="AU18" s="1"/>
      <c r="AV18" s="1"/>
    </row>
    <row r="19" spans="1:48" x14ac:dyDescent="0.25">
      <c r="A19" s="1" t="s">
        <v>59</v>
      </c>
      <c r="B19" s="1" t="s">
        <v>40</v>
      </c>
      <c r="C19" s="1">
        <v>17.905000000000001</v>
      </c>
      <c r="D19" s="1">
        <v>85.498999999999995</v>
      </c>
      <c r="E19" s="1">
        <v>14.055999999999999</v>
      </c>
      <c r="F19" s="1">
        <v>24.83</v>
      </c>
      <c r="G19" s="1">
        <f>VLOOKUP(A19,[1]TDSheet!$A:$M,9,0)</f>
        <v>29.116</v>
      </c>
      <c r="H19" s="7">
        <v>1</v>
      </c>
      <c r="I19" s="1">
        <v>60</v>
      </c>
      <c r="J19" s="17" t="s">
        <v>51</v>
      </c>
      <c r="K19" s="1"/>
      <c r="L19" s="1">
        <v>25.6</v>
      </c>
      <c r="M19" s="1">
        <f t="shared" si="2"/>
        <v>-11.544000000000002</v>
      </c>
      <c r="N19" s="1"/>
      <c r="O19" s="1"/>
      <c r="P19" s="1">
        <v>34.189199999999971</v>
      </c>
      <c r="Q19" s="1"/>
      <c r="R19" s="1"/>
      <c r="S19" s="13">
        <v>0</v>
      </c>
      <c r="T19" s="1"/>
      <c r="U19" s="14"/>
      <c r="V19" s="1">
        <v>10</v>
      </c>
      <c r="W19" s="1"/>
      <c r="X19" s="1"/>
      <c r="Y19" s="1">
        <f t="shared" si="4"/>
        <v>2.8111999999999999</v>
      </c>
      <c r="Z19" s="5"/>
      <c r="AA19" s="5">
        <f t="shared" si="10"/>
        <v>0</v>
      </c>
      <c r="AB19" s="30">
        <f>VLOOKUP(A19,[2]TDSheet!$A:$G,7,0)</f>
        <v>0.75835293721331087</v>
      </c>
      <c r="AC19" s="5">
        <f t="shared" ref="AC19:AC25" si="14">AA19-AD19</f>
        <v>0</v>
      </c>
      <c r="AD19" s="5">
        <f t="shared" ref="AD19:AD82" si="15">AA19*AB19</f>
        <v>0</v>
      </c>
      <c r="AE19" s="1">
        <f t="shared" si="7"/>
        <v>34.908651109846318</v>
      </c>
      <c r="AF19" s="1">
        <f t="shared" si="3"/>
        <v>34.908651109846318</v>
      </c>
      <c r="AG19" s="1">
        <v>5.9997999999999996</v>
      </c>
      <c r="AH19" s="1">
        <v>7.8230000000000004</v>
      </c>
      <c r="AI19" s="1">
        <v>10.795400000000001</v>
      </c>
      <c r="AJ19" s="1">
        <v>9.7043999999999997</v>
      </c>
      <c r="AK19" s="1">
        <v>7.2253999999999996</v>
      </c>
      <c r="AL19" s="1">
        <v>9.3013999999999992</v>
      </c>
      <c r="AM19" s="1">
        <v>8.0855999999999995</v>
      </c>
      <c r="AN19" s="1">
        <v>8.6264000000000003</v>
      </c>
      <c r="AO19" s="1"/>
      <c r="AP19" s="1">
        <f t="shared" si="8"/>
        <v>0</v>
      </c>
      <c r="AQ19" s="1">
        <f t="shared" si="9"/>
        <v>0</v>
      </c>
      <c r="AR19" s="1"/>
      <c r="AS19" s="1"/>
      <c r="AT19" s="1"/>
      <c r="AU19" s="1"/>
      <c r="AV19" s="1"/>
    </row>
    <row r="20" spans="1:48" x14ac:dyDescent="0.25">
      <c r="A20" s="1" t="s">
        <v>60</v>
      </c>
      <c r="B20" s="1" t="s">
        <v>40</v>
      </c>
      <c r="C20" s="1">
        <v>76.021000000000001</v>
      </c>
      <c r="D20" s="1">
        <v>16.161999999999999</v>
      </c>
      <c r="E20" s="1">
        <v>21.812000000000001</v>
      </c>
      <c r="F20" s="1">
        <v>14.474</v>
      </c>
      <c r="G20" s="1">
        <f>VLOOKUP(A20,[1]TDSheet!$A:$M,9,0)</f>
        <v>34.098999999999997</v>
      </c>
      <c r="H20" s="7">
        <v>1</v>
      </c>
      <c r="I20" s="1">
        <v>180</v>
      </c>
      <c r="J20" s="1" t="s">
        <v>41</v>
      </c>
      <c r="K20" s="1"/>
      <c r="L20" s="1">
        <v>24.04</v>
      </c>
      <c r="M20" s="1">
        <f t="shared" si="2"/>
        <v>-2.227999999999998</v>
      </c>
      <c r="N20" s="1"/>
      <c r="O20" s="1"/>
      <c r="P20" s="1">
        <v>8.9090000000000025</v>
      </c>
      <c r="Q20" s="1"/>
      <c r="R20" s="1"/>
      <c r="S20" s="13">
        <v>35</v>
      </c>
      <c r="T20" s="1"/>
      <c r="U20" s="14"/>
      <c r="V20" s="1">
        <v>0</v>
      </c>
      <c r="W20" s="1"/>
      <c r="X20" s="1"/>
      <c r="Y20" s="1">
        <f t="shared" si="4"/>
        <v>4.3624000000000001</v>
      </c>
      <c r="Z20" s="5"/>
      <c r="AA20" s="5">
        <f t="shared" si="10"/>
        <v>0</v>
      </c>
      <c r="AB20" s="30">
        <f>VLOOKUP(A20,[2]TDSheet!$A:$G,7,0)</f>
        <v>9.1908716820161884E-2</v>
      </c>
      <c r="AC20" s="5">
        <f t="shared" si="14"/>
        <v>0</v>
      </c>
      <c r="AD20" s="5">
        <f t="shared" si="15"/>
        <v>0</v>
      </c>
      <c r="AE20" s="1">
        <f t="shared" si="7"/>
        <v>21.19979827617825</v>
      </c>
      <c r="AF20" s="1">
        <f t="shared" si="3"/>
        <v>21.19979827617825</v>
      </c>
      <c r="AG20" s="1">
        <v>4.9363999999999999</v>
      </c>
      <c r="AH20" s="1">
        <v>5.5602</v>
      </c>
      <c r="AI20" s="1">
        <v>7.5060000000000002</v>
      </c>
      <c r="AJ20" s="1">
        <v>7.0279999999999996</v>
      </c>
      <c r="AK20" s="1">
        <v>6.3250000000000002</v>
      </c>
      <c r="AL20" s="1">
        <v>6.3784000000000001</v>
      </c>
      <c r="AM20" s="1">
        <v>6.1204000000000001</v>
      </c>
      <c r="AN20" s="1">
        <v>5.7140000000000004</v>
      </c>
      <c r="AO20" s="1"/>
      <c r="AP20" s="1">
        <f t="shared" si="8"/>
        <v>0</v>
      </c>
      <c r="AQ20" s="1">
        <f t="shared" si="9"/>
        <v>0</v>
      </c>
      <c r="AR20" s="1"/>
      <c r="AS20" s="1"/>
      <c r="AT20" s="1"/>
      <c r="AU20" s="1"/>
      <c r="AV20" s="1"/>
    </row>
    <row r="21" spans="1:48" x14ac:dyDescent="0.25">
      <c r="A21" s="1" t="s">
        <v>61</v>
      </c>
      <c r="B21" s="1" t="s">
        <v>40</v>
      </c>
      <c r="C21" s="1">
        <v>360.61900000000003</v>
      </c>
      <c r="D21" s="1">
        <v>804.48400000000004</v>
      </c>
      <c r="E21" s="1">
        <v>323.21800000000002</v>
      </c>
      <c r="F21" s="1">
        <v>200.721</v>
      </c>
      <c r="G21" s="1">
        <f>VLOOKUP(A21,[1]TDSheet!$A:$M,9,0)</f>
        <v>164.53399999999999</v>
      </c>
      <c r="H21" s="7">
        <v>1</v>
      </c>
      <c r="I21" s="1">
        <v>60</v>
      </c>
      <c r="J21" s="1" t="s">
        <v>41</v>
      </c>
      <c r="K21" s="1"/>
      <c r="L21" s="1">
        <v>339</v>
      </c>
      <c r="M21" s="1">
        <f t="shared" si="2"/>
        <v>-15.781999999999982</v>
      </c>
      <c r="N21" s="1"/>
      <c r="O21" s="1"/>
      <c r="P21" s="1">
        <v>191.41973870800001</v>
      </c>
      <c r="Q21" s="1"/>
      <c r="R21" s="1"/>
      <c r="S21" s="13">
        <v>0</v>
      </c>
      <c r="T21" s="1"/>
      <c r="U21" s="14"/>
      <c r="V21" s="1">
        <v>50</v>
      </c>
      <c r="W21" s="1"/>
      <c r="X21" s="1"/>
      <c r="Y21" s="1">
        <f t="shared" si="4"/>
        <v>64.643600000000006</v>
      </c>
      <c r="Z21" s="5">
        <f>11*Y21-X21-W21-V21-U21-T21-S21-R21-Q21-P21-G21-F21</f>
        <v>104.40486129200002</v>
      </c>
      <c r="AA21" s="5">
        <f>Z21+$AA$1*Y21</f>
        <v>298.33566129200005</v>
      </c>
      <c r="AB21" s="30">
        <f>VLOOKUP(A21,[2]TDSheet!$A:$G,7,0)</f>
        <v>0.59738759995230462</v>
      </c>
      <c r="AC21" s="5">
        <f t="shared" si="14"/>
        <v>120.11363661258846</v>
      </c>
      <c r="AD21" s="5">
        <f t="shared" si="15"/>
        <v>178.22202467941159</v>
      </c>
      <c r="AE21" s="1">
        <f t="shared" si="7"/>
        <v>13.999999999999998</v>
      </c>
      <c r="AF21" s="1">
        <f t="shared" si="3"/>
        <v>9.3849157334678122</v>
      </c>
      <c r="AG21" s="1">
        <v>58.071800000000003</v>
      </c>
      <c r="AH21" s="1">
        <v>56.750199999999992</v>
      </c>
      <c r="AI21" s="1">
        <v>79.769800000000004</v>
      </c>
      <c r="AJ21" s="1">
        <v>80.206800000000001</v>
      </c>
      <c r="AK21" s="1">
        <v>75.62</v>
      </c>
      <c r="AL21" s="1">
        <v>64.991</v>
      </c>
      <c r="AM21" s="1">
        <v>61.033200000000001</v>
      </c>
      <c r="AN21" s="1">
        <v>58.342399999999998</v>
      </c>
      <c r="AO21" s="1"/>
      <c r="AP21" s="1">
        <f t="shared" si="8"/>
        <v>120</v>
      </c>
      <c r="AQ21" s="1">
        <f t="shared" si="9"/>
        <v>178</v>
      </c>
      <c r="AR21" s="1"/>
      <c r="AS21" s="1"/>
      <c r="AT21" s="1"/>
      <c r="AU21" s="1"/>
      <c r="AV21" s="1"/>
    </row>
    <row r="22" spans="1:48" x14ac:dyDescent="0.25">
      <c r="A22" s="1" t="s">
        <v>62</v>
      </c>
      <c r="B22" s="1" t="s">
        <v>40</v>
      </c>
      <c r="C22" s="1">
        <v>57.487000000000002</v>
      </c>
      <c r="D22" s="1">
        <v>85.941999999999993</v>
      </c>
      <c r="E22" s="1">
        <v>55.542000000000002</v>
      </c>
      <c r="F22" s="1">
        <v>3.5609999999999999</v>
      </c>
      <c r="G22" s="1"/>
      <c r="H22" s="7">
        <v>1</v>
      </c>
      <c r="I22" s="1">
        <v>70</v>
      </c>
      <c r="J22" s="1" t="s">
        <v>41</v>
      </c>
      <c r="K22" s="1"/>
      <c r="L22" s="1">
        <v>74.099999999999994</v>
      </c>
      <c r="M22" s="1">
        <f t="shared" si="2"/>
        <v>-18.557999999999993</v>
      </c>
      <c r="N22" s="1"/>
      <c r="O22" s="1"/>
      <c r="P22" s="1">
        <v>178.4238</v>
      </c>
      <c r="Q22" s="1"/>
      <c r="R22" s="1"/>
      <c r="S22" s="13">
        <v>140</v>
      </c>
      <c r="T22" s="1"/>
      <c r="U22" s="14"/>
      <c r="V22" s="1">
        <v>0</v>
      </c>
      <c r="W22" s="1"/>
      <c r="X22" s="1"/>
      <c r="Y22" s="1">
        <f t="shared" si="4"/>
        <v>11.1084</v>
      </c>
      <c r="Z22" s="5">
        <v>20</v>
      </c>
      <c r="AA22" s="5">
        <f t="shared" si="10"/>
        <v>20</v>
      </c>
      <c r="AB22" s="30">
        <f>VLOOKUP(A22,[2]TDSheet!$A:$G,7,0)</f>
        <v>0.76135911551094049</v>
      </c>
      <c r="AC22" s="5">
        <f t="shared" si="14"/>
        <v>0</v>
      </c>
      <c r="AD22" s="34">
        <v>20</v>
      </c>
      <c r="AE22" s="1">
        <f t="shared" si="7"/>
        <v>30.786143819091858</v>
      </c>
      <c r="AF22" s="1">
        <f t="shared" si="3"/>
        <v>28.985704511900906</v>
      </c>
      <c r="AG22" s="1">
        <v>22.072600000000001</v>
      </c>
      <c r="AH22" s="1">
        <v>24.557600000000001</v>
      </c>
      <c r="AI22" s="1">
        <v>24.7864</v>
      </c>
      <c r="AJ22" s="1">
        <v>16.4818</v>
      </c>
      <c r="AK22" s="1">
        <v>17.9194</v>
      </c>
      <c r="AL22" s="1">
        <v>20.691400000000002</v>
      </c>
      <c r="AM22" s="1">
        <v>19.97</v>
      </c>
      <c r="AN22" s="1">
        <v>26.1326</v>
      </c>
      <c r="AO22" s="1"/>
      <c r="AP22" s="1">
        <f t="shared" si="8"/>
        <v>0</v>
      </c>
      <c r="AQ22" s="1">
        <f t="shared" si="9"/>
        <v>20</v>
      </c>
      <c r="AR22" s="1"/>
      <c r="AS22" s="1"/>
      <c r="AT22" s="1"/>
      <c r="AU22" s="1"/>
      <c r="AV22" s="1"/>
    </row>
    <row r="23" spans="1:48" x14ac:dyDescent="0.25">
      <c r="A23" s="1" t="s">
        <v>63</v>
      </c>
      <c r="B23" s="1" t="s">
        <v>40</v>
      </c>
      <c r="C23" s="1">
        <v>56.825000000000003</v>
      </c>
      <c r="D23" s="1">
        <v>303.81900000000002</v>
      </c>
      <c r="E23" s="1">
        <v>63.393000000000001</v>
      </c>
      <c r="F23" s="1">
        <v>65.918999999999997</v>
      </c>
      <c r="G23" s="1">
        <f>VLOOKUP(A23,[1]TDSheet!$A:$M,9,0)</f>
        <v>47.488999999999997</v>
      </c>
      <c r="H23" s="7">
        <v>1</v>
      </c>
      <c r="I23" s="1">
        <v>70</v>
      </c>
      <c r="J23" s="17" t="s">
        <v>51</v>
      </c>
      <c r="K23" s="1"/>
      <c r="L23" s="1">
        <v>145.35</v>
      </c>
      <c r="M23" s="1">
        <f t="shared" si="2"/>
        <v>-81.956999999999994</v>
      </c>
      <c r="N23" s="1"/>
      <c r="O23" s="1"/>
      <c r="P23" s="1">
        <v>100</v>
      </c>
      <c r="Q23" s="1"/>
      <c r="R23" s="1"/>
      <c r="S23" s="13">
        <v>100</v>
      </c>
      <c r="T23" s="1"/>
      <c r="U23" s="14"/>
      <c r="V23" s="1">
        <v>100</v>
      </c>
      <c r="W23" s="1"/>
      <c r="X23" s="1"/>
      <c r="Y23" s="1">
        <f t="shared" si="4"/>
        <v>12.678599999999999</v>
      </c>
      <c r="Z23" s="5"/>
      <c r="AA23" s="5">
        <f t="shared" si="10"/>
        <v>0</v>
      </c>
      <c r="AB23" s="30">
        <f>VLOOKUP(A23,[2]TDSheet!$A:$G,7,0)</f>
        <v>0.70595718015309139</v>
      </c>
      <c r="AC23" s="5">
        <f t="shared" si="14"/>
        <v>0</v>
      </c>
      <c r="AD23" s="5">
        <f t="shared" si="15"/>
        <v>0</v>
      </c>
      <c r="AE23" s="1">
        <f t="shared" si="7"/>
        <v>32.606754689003523</v>
      </c>
      <c r="AF23" s="1">
        <f t="shared" si="3"/>
        <v>32.606754689003523</v>
      </c>
      <c r="AG23" s="1">
        <v>24.118200000000002</v>
      </c>
      <c r="AH23" s="1">
        <v>18.269200000000001</v>
      </c>
      <c r="AI23" s="1">
        <v>21.5534</v>
      </c>
      <c r="AJ23" s="1">
        <v>26.809000000000001</v>
      </c>
      <c r="AK23" s="1">
        <v>31.9404</v>
      </c>
      <c r="AL23" s="1">
        <v>32.387</v>
      </c>
      <c r="AM23" s="1">
        <v>26.2134</v>
      </c>
      <c r="AN23" s="1">
        <v>29.136800000000001</v>
      </c>
      <c r="AO23" s="1" t="s">
        <v>64</v>
      </c>
      <c r="AP23" s="1">
        <f t="shared" si="8"/>
        <v>0</v>
      </c>
      <c r="AQ23" s="1">
        <f t="shared" si="9"/>
        <v>0</v>
      </c>
      <c r="AR23" s="1"/>
      <c r="AS23" s="1"/>
      <c r="AT23" s="1"/>
      <c r="AU23" s="1"/>
      <c r="AV23" s="1"/>
    </row>
    <row r="24" spans="1:48" x14ac:dyDescent="0.25">
      <c r="A24" s="1" t="s">
        <v>65</v>
      </c>
      <c r="B24" s="1" t="s">
        <v>40</v>
      </c>
      <c r="C24" s="1">
        <v>55.642000000000003</v>
      </c>
      <c r="D24" s="1">
        <v>27.599</v>
      </c>
      <c r="E24" s="1">
        <v>19.37</v>
      </c>
      <c r="F24" s="1">
        <v>12.022</v>
      </c>
      <c r="G24" s="1">
        <f>VLOOKUP(A24,[1]TDSheet!$A:$M,9,0)</f>
        <v>18.920999999999999</v>
      </c>
      <c r="H24" s="7">
        <v>1</v>
      </c>
      <c r="I24" s="1">
        <v>180</v>
      </c>
      <c r="J24" s="1" t="s">
        <v>41</v>
      </c>
      <c r="K24" s="1"/>
      <c r="L24" s="1">
        <v>24.19</v>
      </c>
      <c r="M24" s="1">
        <f t="shared" si="2"/>
        <v>-4.82</v>
      </c>
      <c r="N24" s="1"/>
      <c r="O24" s="1"/>
      <c r="P24" s="1">
        <v>35.346600000000002</v>
      </c>
      <c r="Q24" s="1"/>
      <c r="R24" s="1"/>
      <c r="S24" s="13">
        <v>35</v>
      </c>
      <c r="T24" s="1"/>
      <c r="U24" s="14"/>
      <c r="V24" s="1">
        <v>0</v>
      </c>
      <c r="W24" s="1"/>
      <c r="X24" s="1"/>
      <c r="Y24" s="1">
        <f t="shared" si="4"/>
        <v>3.8740000000000001</v>
      </c>
      <c r="Z24" s="5"/>
      <c r="AA24" s="5">
        <f t="shared" si="10"/>
        <v>0</v>
      </c>
      <c r="AB24" s="30">
        <f>VLOOKUP(A24,[2]TDSheet!$A:$G,7,0)</f>
        <v>8.7166397527391429E-2</v>
      </c>
      <c r="AC24" s="5">
        <f t="shared" si="14"/>
        <v>0</v>
      </c>
      <c r="AD24" s="5">
        <f t="shared" si="15"/>
        <v>0</v>
      </c>
      <c r="AE24" s="1">
        <f t="shared" si="7"/>
        <v>26.145998967475478</v>
      </c>
      <c r="AF24" s="1">
        <f t="shared" si="3"/>
        <v>26.145998967475478</v>
      </c>
      <c r="AG24" s="1">
        <v>4.6496000000000004</v>
      </c>
      <c r="AH24" s="1">
        <v>6.7364000000000006</v>
      </c>
      <c r="AI24" s="1">
        <v>8.1237999999999992</v>
      </c>
      <c r="AJ24" s="1">
        <v>7.3412000000000006</v>
      </c>
      <c r="AK24" s="1">
        <v>7.2737999999999996</v>
      </c>
      <c r="AL24" s="1">
        <v>6.770999999999999</v>
      </c>
      <c r="AM24" s="1">
        <v>5.3578000000000001</v>
      </c>
      <c r="AN24" s="1">
        <v>2.327</v>
      </c>
      <c r="AO24" s="1"/>
      <c r="AP24" s="1">
        <f t="shared" si="8"/>
        <v>0</v>
      </c>
      <c r="AQ24" s="1">
        <f t="shared" si="9"/>
        <v>0</v>
      </c>
      <c r="AR24" s="1"/>
      <c r="AS24" s="1"/>
      <c r="AT24" s="1"/>
      <c r="AU24" s="1"/>
      <c r="AV24" s="1"/>
    </row>
    <row r="25" spans="1:48" x14ac:dyDescent="0.25">
      <c r="A25" s="1" t="s">
        <v>66</v>
      </c>
      <c r="B25" s="1" t="s">
        <v>40</v>
      </c>
      <c r="C25" s="1">
        <v>157.01599999999999</v>
      </c>
      <c r="D25" s="1">
        <v>222.19800000000001</v>
      </c>
      <c r="E25" s="1">
        <v>163.215</v>
      </c>
      <c r="F25" s="1">
        <v>33.406999999999996</v>
      </c>
      <c r="G25" s="1">
        <f>VLOOKUP(A25,[1]TDSheet!$A:$M,9,0)</f>
        <v>-1.0999999999999999E-2</v>
      </c>
      <c r="H25" s="7">
        <v>1</v>
      </c>
      <c r="I25" s="1">
        <v>70</v>
      </c>
      <c r="J25" s="17" t="s">
        <v>51</v>
      </c>
      <c r="K25" s="1"/>
      <c r="L25" s="1">
        <v>182.4</v>
      </c>
      <c r="M25" s="1">
        <f t="shared" si="2"/>
        <v>-19.185000000000002</v>
      </c>
      <c r="N25" s="1"/>
      <c r="O25" s="1"/>
      <c r="P25" s="1">
        <v>100</v>
      </c>
      <c r="Q25" s="1"/>
      <c r="R25" s="1"/>
      <c r="S25" s="13">
        <v>303.96300000000002</v>
      </c>
      <c r="T25" s="1"/>
      <c r="U25" s="14"/>
      <c r="V25" s="1">
        <v>73.608599999999953</v>
      </c>
      <c r="W25" s="1"/>
      <c r="X25" s="1"/>
      <c r="Y25" s="1">
        <f t="shared" si="4"/>
        <v>32.643000000000001</v>
      </c>
      <c r="Z25" s="5"/>
      <c r="AA25" s="5">
        <f t="shared" si="10"/>
        <v>0</v>
      </c>
      <c r="AB25" s="30">
        <f>VLOOKUP(A25,[2]TDSheet!$A:$G,7,0)</f>
        <v>0.66351246697428412</v>
      </c>
      <c r="AC25" s="5">
        <f t="shared" si="14"/>
        <v>0</v>
      </c>
      <c r="AD25" s="5">
        <f t="shared" si="15"/>
        <v>0</v>
      </c>
      <c r="AE25" s="1">
        <f t="shared" si="7"/>
        <v>15.653205894066108</v>
      </c>
      <c r="AF25" s="1">
        <f t="shared" si="3"/>
        <v>15.653205894066108</v>
      </c>
      <c r="AG25" s="1">
        <v>50.256799999999998</v>
      </c>
      <c r="AH25" s="1">
        <v>50.878</v>
      </c>
      <c r="AI25" s="1">
        <v>32.047199999999997</v>
      </c>
      <c r="AJ25" s="1">
        <v>25.897600000000001</v>
      </c>
      <c r="AK25" s="1">
        <v>37.567</v>
      </c>
      <c r="AL25" s="1">
        <v>37.298999999999999</v>
      </c>
      <c r="AM25" s="1">
        <v>36.141000000000012</v>
      </c>
      <c r="AN25" s="1">
        <v>39.828000000000003</v>
      </c>
      <c r="AO25" s="1" t="s">
        <v>64</v>
      </c>
      <c r="AP25" s="1">
        <f t="shared" si="8"/>
        <v>0</v>
      </c>
      <c r="AQ25" s="1">
        <f t="shared" si="9"/>
        <v>0</v>
      </c>
      <c r="AR25" s="1"/>
      <c r="AS25" s="1"/>
      <c r="AT25" s="1"/>
      <c r="AU25" s="1"/>
      <c r="AV25" s="1"/>
    </row>
    <row r="26" spans="1:48" x14ac:dyDescent="0.25">
      <c r="A26" s="18" t="s">
        <v>67</v>
      </c>
      <c r="B26" s="18" t="s">
        <v>40</v>
      </c>
      <c r="C26" s="18"/>
      <c r="D26" s="18"/>
      <c r="E26" s="18"/>
      <c r="F26" s="18"/>
      <c r="G26" s="18"/>
      <c r="H26" s="19">
        <v>0</v>
      </c>
      <c r="I26" s="18"/>
      <c r="J26" s="18" t="s">
        <v>41</v>
      </c>
      <c r="K26" s="18"/>
      <c r="L26" s="18"/>
      <c r="M26" s="18">
        <f t="shared" si="2"/>
        <v>0</v>
      </c>
      <c r="N26" s="18"/>
      <c r="O26" s="18"/>
      <c r="P26" s="18">
        <v>0</v>
      </c>
      <c r="Q26" s="18"/>
      <c r="R26" s="18"/>
      <c r="S26" s="20">
        <v>0</v>
      </c>
      <c r="T26" s="18"/>
      <c r="U26" s="21"/>
      <c r="V26" s="18">
        <v>0</v>
      </c>
      <c r="W26" s="18"/>
      <c r="X26" s="18"/>
      <c r="Y26" s="18">
        <f t="shared" si="4"/>
        <v>0</v>
      </c>
      <c r="Z26" s="22"/>
      <c r="AA26" s="5">
        <f t="shared" si="10"/>
        <v>0</v>
      </c>
      <c r="AB26" s="31"/>
      <c r="AC26" s="22"/>
      <c r="AD26" s="22"/>
      <c r="AE26" s="1" t="e">
        <f t="shared" si="7"/>
        <v>#DIV/0!</v>
      </c>
      <c r="AF26" s="18" t="e">
        <f t="shared" si="3"/>
        <v>#DIV/0!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 t="s">
        <v>46</v>
      </c>
      <c r="AP26" s="1">
        <f t="shared" si="8"/>
        <v>0</v>
      </c>
      <c r="AQ26" s="1">
        <f t="shared" si="9"/>
        <v>0</v>
      </c>
      <c r="AR26" s="1"/>
      <c r="AS26" s="1"/>
      <c r="AT26" s="1"/>
      <c r="AU26" s="1"/>
      <c r="AV26" s="1"/>
    </row>
    <row r="27" spans="1:48" x14ac:dyDescent="0.25">
      <c r="A27" s="1" t="s">
        <v>68</v>
      </c>
      <c r="B27" s="1" t="s">
        <v>40</v>
      </c>
      <c r="C27" s="1">
        <v>163.29300000000001</v>
      </c>
      <c r="D27" s="1">
        <v>45.927999999999997</v>
      </c>
      <c r="E27" s="1">
        <v>128.446</v>
      </c>
      <c r="F27" s="1"/>
      <c r="G27" s="1">
        <f>VLOOKUP(A27,[1]TDSheet!$A:$M,9,0)</f>
        <v>16.323</v>
      </c>
      <c r="H27" s="7">
        <v>1</v>
      </c>
      <c r="I27" s="1"/>
      <c r="J27" s="17" t="s">
        <v>51</v>
      </c>
      <c r="K27" s="1"/>
      <c r="L27" s="1">
        <v>143.6</v>
      </c>
      <c r="M27" s="1">
        <f t="shared" si="2"/>
        <v>-15.153999999999996</v>
      </c>
      <c r="N27" s="1"/>
      <c r="O27" s="1"/>
      <c r="P27" s="1">
        <v>20</v>
      </c>
      <c r="Q27" s="1"/>
      <c r="R27" s="1"/>
      <c r="S27" s="13">
        <v>26.337299999999999</v>
      </c>
      <c r="T27" s="1"/>
      <c r="U27" s="14"/>
      <c r="V27" s="1">
        <v>176.92830000000001</v>
      </c>
      <c r="W27" s="1"/>
      <c r="X27" s="1"/>
      <c r="Y27" s="1">
        <f t="shared" si="4"/>
        <v>25.6892</v>
      </c>
      <c r="Z27" s="5">
        <f>11*Y27-X27-W27-V27-U27-T27-S27-R27-Q27-P27-G27-F27</f>
        <v>42.99259999999996</v>
      </c>
      <c r="AA27" s="5">
        <f t="shared" ref="AA27:AA28" si="16">Z27*$AB$1</f>
        <v>73.087419999999938</v>
      </c>
      <c r="AB27" s="30">
        <f>VLOOKUP(A27,[2]TDSheet!$A:$G,7,0)</f>
        <v>0.24420362586250699</v>
      </c>
      <c r="AC27" s="5">
        <f t="shared" ref="AC27:AC33" si="17">AA27-AD27</f>
        <v>55.239207031064041</v>
      </c>
      <c r="AD27" s="5">
        <f t="shared" si="15"/>
        <v>17.848212968935897</v>
      </c>
      <c r="AE27" s="1">
        <f t="shared" si="7"/>
        <v>12.171496971489962</v>
      </c>
      <c r="AF27" s="1">
        <f t="shared" si="3"/>
        <v>9.326432897871479</v>
      </c>
      <c r="AG27" s="1">
        <v>21.925799999999999</v>
      </c>
      <c r="AH27" s="1">
        <v>18.2592</v>
      </c>
      <c r="AI27" s="1">
        <v>16.141200000000001</v>
      </c>
      <c r="AJ27" s="1">
        <v>2.0912000000000002</v>
      </c>
      <c r="AK27" s="1">
        <v>5.1159999999999997</v>
      </c>
      <c r="AL27" s="1">
        <v>17.8748</v>
      </c>
      <c r="AM27" s="1">
        <v>40.319000000000003</v>
      </c>
      <c r="AN27" s="1">
        <v>42.488399999999999</v>
      </c>
      <c r="AO27" s="1"/>
      <c r="AP27" s="1">
        <f t="shared" si="8"/>
        <v>55</v>
      </c>
      <c r="AQ27" s="1">
        <f t="shared" si="9"/>
        <v>18</v>
      </c>
      <c r="AR27" s="1"/>
      <c r="AS27" s="1"/>
      <c r="AT27" s="1"/>
      <c r="AU27" s="1"/>
      <c r="AV27" s="1"/>
    </row>
    <row r="28" spans="1:48" x14ac:dyDescent="0.25">
      <c r="A28" s="1" t="s">
        <v>69</v>
      </c>
      <c r="B28" s="1" t="s">
        <v>40</v>
      </c>
      <c r="C28" s="1">
        <v>44.502000000000002</v>
      </c>
      <c r="D28" s="1">
        <v>12.183999999999999</v>
      </c>
      <c r="E28" s="1">
        <v>54.067</v>
      </c>
      <c r="F28" s="1">
        <v>-6.3E-2</v>
      </c>
      <c r="G28" s="1"/>
      <c r="H28" s="7">
        <v>1</v>
      </c>
      <c r="I28" s="1">
        <v>40</v>
      </c>
      <c r="J28" s="17" t="s">
        <v>51</v>
      </c>
      <c r="K28" s="1"/>
      <c r="L28" s="1">
        <v>65.099999999999994</v>
      </c>
      <c r="M28" s="1">
        <f t="shared" si="2"/>
        <v>-11.032999999999994</v>
      </c>
      <c r="N28" s="1"/>
      <c r="O28" s="1"/>
      <c r="P28" s="1">
        <v>0</v>
      </c>
      <c r="Q28" s="1"/>
      <c r="R28" s="1"/>
      <c r="S28" s="13">
        <v>80</v>
      </c>
      <c r="T28" s="1">
        <v>-81</v>
      </c>
      <c r="U28" s="14"/>
      <c r="V28" s="1">
        <v>80.547799999999967</v>
      </c>
      <c r="W28" s="1">
        <v>-81</v>
      </c>
      <c r="X28" s="1"/>
      <c r="Y28" s="1">
        <f t="shared" si="4"/>
        <v>10.8134</v>
      </c>
      <c r="Z28" s="5">
        <v>80</v>
      </c>
      <c r="AA28" s="5">
        <f t="shared" si="16"/>
        <v>136</v>
      </c>
      <c r="AB28" s="30">
        <f>VLOOKUP(A28,[2]TDSheet!$A:$G,7,0)</f>
        <v>0</v>
      </c>
      <c r="AC28" s="5">
        <f t="shared" si="17"/>
        <v>126</v>
      </c>
      <c r="AD28" s="34">
        <v>10</v>
      </c>
      <c r="AE28" s="1">
        <f t="shared" si="7"/>
        <v>12.436865370743703</v>
      </c>
      <c r="AF28" s="1">
        <f t="shared" si="3"/>
        <v>-0.14012244067546153</v>
      </c>
      <c r="AG28" s="1">
        <v>17.641400000000001</v>
      </c>
      <c r="AH28" s="1">
        <v>8.9708000000000006</v>
      </c>
      <c r="AI28" s="1">
        <v>-0.30919999999999997</v>
      </c>
      <c r="AJ28" s="1">
        <v>-0.6</v>
      </c>
      <c r="AK28" s="1">
        <v>-0.49919999999999998</v>
      </c>
      <c r="AL28" s="1">
        <v>-0.2084</v>
      </c>
      <c r="AM28" s="1">
        <v>-0.311</v>
      </c>
      <c r="AN28" s="1">
        <v>-0.96479999999999999</v>
      </c>
      <c r="AO28" s="1"/>
      <c r="AP28" s="1">
        <f t="shared" si="8"/>
        <v>126</v>
      </c>
      <c r="AQ28" s="1">
        <f t="shared" si="9"/>
        <v>10</v>
      </c>
      <c r="AR28" s="1"/>
      <c r="AS28" s="1"/>
      <c r="AT28" s="1"/>
      <c r="AU28" s="1"/>
      <c r="AV28" s="1"/>
    </row>
    <row r="29" spans="1:48" x14ac:dyDescent="0.25">
      <c r="A29" s="1" t="s">
        <v>70</v>
      </c>
      <c r="B29" s="1" t="s">
        <v>40</v>
      </c>
      <c r="C29" s="1">
        <v>25.741</v>
      </c>
      <c r="D29" s="1">
        <v>209.49700000000001</v>
      </c>
      <c r="E29" s="1">
        <v>46.667999999999999</v>
      </c>
      <c r="F29" s="1">
        <v>-0.155</v>
      </c>
      <c r="G29" s="1"/>
      <c r="H29" s="7">
        <v>1</v>
      </c>
      <c r="I29" s="1">
        <v>30</v>
      </c>
      <c r="J29" s="17" t="s">
        <v>51</v>
      </c>
      <c r="K29" s="1"/>
      <c r="L29" s="1">
        <v>144.19999999999999</v>
      </c>
      <c r="M29" s="1">
        <f t="shared" si="2"/>
        <v>-97.531999999999982</v>
      </c>
      <c r="N29" s="1"/>
      <c r="O29" s="1"/>
      <c r="P29" s="1">
        <v>300</v>
      </c>
      <c r="Q29" s="1"/>
      <c r="R29" s="1"/>
      <c r="S29" s="13">
        <v>300</v>
      </c>
      <c r="T29" s="1"/>
      <c r="U29" s="14"/>
      <c r="V29" s="1">
        <v>50</v>
      </c>
      <c r="W29" s="1"/>
      <c r="X29" s="1"/>
      <c r="Y29" s="1">
        <f t="shared" si="4"/>
        <v>9.3336000000000006</v>
      </c>
      <c r="Z29" s="5"/>
      <c r="AA29" s="5">
        <f t="shared" si="10"/>
        <v>0</v>
      </c>
      <c r="AB29" s="30">
        <f>VLOOKUP(A29,[2]TDSheet!$A:$G,7,0)</f>
        <v>0.1203076949631347</v>
      </c>
      <c r="AC29" s="5">
        <f t="shared" si="17"/>
        <v>0</v>
      </c>
      <c r="AD29" s="5">
        <f t="shared" si="15"/>
        <v>0</v>
      </c>
      <c r="AE29" s="1">
        <f t="shared" si="7"/>
        <v>69.62426073540756</v>
      </c>
      <c r="AF29" s="1">
        <f t="shared" si="3"/>
        <v>69.62426073540756</v>
      </c>
      <c r="AG29" s="1">
        <v>16.171600000000002</v>
      </c>
      <c r="AH29" s="1">
        <v>39.539400000000001</v>
      </c>
      <c r="AI29" s="1">
        <v>40.031599999999997</v>
      </c>
      <c r="AJ29" s="1">
        <v>22.977399999999999</v>
      </c>
      <c r="AK29" s="1">
        <v>27.055800000000001</v>
      </c>
      <c r="AL29" s="1">
        <v>48.028799999999997</v>
      </c>
      <c r="AM29" s="1">
        <v>31.125599999999999</v>
      </c>
      <c r="AN29" s="1">
        <v>27.609400000000001</v>
      </c>
      <c r="AO29" s="1"/>
      <c r="AP29" s="1">
        <f t="shared" si="8"/>
        <v>0</v>
      </c>
      <c r="AQ29" s="1">
        <f t="shared" si="9"/>
        <v>0</v>
      </c>
      <c r="AR29" s="1"/>
      <c r="AS29" s="1"/>
      <c r="AT29" s="1"/>
      <c r="AU29" s="1"/>
      <c r="AV29" s="1"/>
    </row>
    <row r="30" spans="1:48" x14ac:dyDescent="0.25">
      <c r="A30" s="1" t="s">
        <v>71</v>
      </c>
      <c r="B30" s="1" t="s">
        <v>40</v>
      </c>
      <c r="C30" s="1">
        <v>-0.36799999999999999</v>
      </c>
      <c r="D30" s="1">
        <v>833.44600000000003</v>
      </c>
      <c r="E30" s="1">
        <v>292.30200000000002</v>
      </c>
      <c r="F30" s="1">
        <v>209.53299999999999</v>
      </c>
      <c r="G30" s="1">
        <f>VLOOKUP(A30,[1]TDSheet!$A:$M,9,0)</f>
        <v>50.44</v>
      </c>
      <c r="H30" s="7">
        <v>1</v>
      </c>
      <c r="I30" s="1">
        <v>40</v>
      </c>
      <c r="J30" s="17" t="s">
        <v>51</v>
      </c>
      <c r="K30" s="1"/>
      <c r="L30" s="1">
        <v>325.3</v>
      </c>
      <c r="M30" s="1">
        <f t="shared" si="2"/>
        <v>-32.99799999999999</v>
      </c>
      <c r="N30" s="1"/>
      <c r="O30" s="1"/>
      <c r="P30" s="1">
        <v>600</v>
      </c>
      <c r="Q30" s="1"/>
      <c r="R30" s="1"/>
      <c r="S30" s="13">
        <v>300</v>
      </c>
      <c r="T30" s="1"/>
      <c r="U30" s="14"/>
      <c r="V30" s="1">
        <v>0</v>
      </c>
      <c r="W30" s="1"/>
      <c r="X30" s="1"/>
      <c r="Y30" s="1">
        <f t="shared" si="4"/>
        <v>58.460400000000007</v>
      </c>
      <c r="Z30" s="5"/>
      <c r="AA30" s="5">
        <f t="shared" si="10"/>
        <v>0</v>
      </c>
      <c r="AB30" s="30">
        <f>VLOOKUP(A30,[2]TDSheet!$A:$G,7,0)</f>
        <v>0.28649843951070153</v>
      </c>
      <c r="AC30" s="5">
        <f t="shared" si="17"/>
        <v>0</v>
      </c>
      <c r="AD30" s="5">
        <f t="shared" si="15"/>
        <v>0</v>
      </c>
      <c r="AE30" s="1">
        <f t="shared" si="7"/>
        <v>19.84202981847541</v>
      </c>
      <c r="AF30" s="1">
        <f t="shared" si="3"/>
        <v>19.84202981847541</v>
      </c>
      <c r="AG30" s="1">
        <v>43.297199999999997</v>
      </c>
      <c r="AH30" s="1">
        <v>65.6066</v>
      </c>
      <c r="AI30" s="1">
        <v>148.5498</v>
      </c>
      <c r="AJ30" s="1">
        <v>181.39400000000001</v>
      </c>
      <c r="AK30" s="1">
        <v>103.46299999999999</v>
      </c>
      <c r="AL30" s="1">
        <v>27.103999999999999</v>
      </c>
      <c r="AM30" s="1">
        <v>-0.1542</v>
      </c>
      <c r="AN30" s="1">
        <v>-1.585</v>
      </c>
      <c r="AO30" s="1"/>
      <c r="AP30" s="1">
        <f t="shared" si="8"/>
        <v>0</v>
      </c>
      <c r="AQ30" s="1">
        <f t="shared" si="9"/>
        <v>0</v>
      </c>
      <c r="AR30" s="1"/>
      <c r="AS30" s="1"/>
      <c r="AT30" s="1"/>
      <c r="AU30" s="1"/>
      <c r="AV30" s="1"/>
    </row>
    <row r="31" spans="1:48" x14ac:dyDescent="0.25">
      <c r="A31" s="1" t="s">
        <v>72</v>
      </c>
      <c r="B31" s="1" t="s">
        <v>40</v>
      </c>
      <c r="C31" s="1">
        <v>4.3479999999999999</v>
      </c>
      <c r="D31" s="1">
        <v>13.03</v>
      </c>
      <c r="E31" s="1">
        <v>6.22</v>
      </c>
      <c r="F31" s="1">
        <v>4.75</v>
      </c>
      <c r="G31" s="1"/>
      <c r="H31" s="7">
        <v>1</v>
      </c>
      <c r="I31" s="1">
        <v>40</v>
      </c>
      <c r="J31" s="17" t="s">
        <v>51</v>
      </c>
      <c r="K31" s="1"/>
      <c r="L31" s="1"/>
      <c r="M31" s="1">
        <f t="shared" si="2"/>
        <v>6.22</v>
      </c>
      <c r="N31" s="1"/>
      <c r="O31" s="1"/>
      <c r="P31" s="1">
        <v>20</v>
      </c>
      <c r="Q31" s="1"/>
      <c r="R31" s="1"/>
      <c r="S31" s="13">
        <v>57.9636</v>
      </c>
      <c r="T31" s="1">
        <v>-63</v>
      </c>
      <c r="U31" s="14"/>
      <c r="V31" s="1">
        <v>0</v>
      </c>
      <c r="W31" s="1"/>
      <c r="X31" s="1"/>
      <c r="Y31" s="1">
        <f t="shared" si="4"/>
        <v>1.244</v>
      </c>
      <c r="Z31" s="5">
        <v>40</v>
      </c>
      <c r="AA31" s="5">
        <f>Z31*$AB$1</f>
        <v>68</v>
      </c>
      <c r="AB31" s="30">
        <f>VLOOKUP(A31,[2]TDSheet!$A:$G,7,0)</f>
        <v>0.48870617580488707</v>
      </c>
      <c r="AC31" s="5">
        <f t="shared" si="17"/>
        <v>34.767980045267677</v>
      </c>
      <c r="AD31" s="5">
        <f t="shared" si="15"/>
        <v>33.232019954732323</v>
      </c>
      <c r="AE31" s="1">
        <f t="shared" si="7"/>
        <v>70.509324758842439</v>
      </c>
      <c r="AF31" s="1">
        <f t="shared" si="3"/>
        <v>15.846945337620578</v>
      </c>
      <c r="AG31" s="1">
        <v>4.5960000000000001</v>
      </c>
      <c r="AH31" s="1">
        <v>5.7263999999999999</v>
      </c>
      <c r="AI31" s="1">
        <v>3.5457999999999998</v>
      </c>
      <c r="AJ31" s="1">
        <v>2.9331999999999998</v>
      </c>
      <c r="AK31" s="1">
        <v>2.6417999999999999</v>
      </c>
      <c r="AL31" s="1">
        <v>0</v>
      </c>
      <c r="AM31" s="1">
        <v>0</v>
      </c>
      <c r="AN31" s="1">
        <v>0</v>
      </c>
      <c r="AO31" s="1"/>
      <c r="AP31" s="1">
        <f t="shared" si="8"/>
        <v>35</v>
      </c>
      <c r="AQ31" s="1">
        <f t="shared" si="9"/>
        <v>33</v>
      </c>
      <c r="AR31" s="1"/>
      <c r="AS31" s="1"/>
      <c r="AT31" s="1"/>
      <c r="AU31" s="1"/>
      <c r="AV31" s="1"/>
    </row>
    <row r="32" spans="1:48" x14ac:dyDescent="0.25">
      <c r="A32" s="1" t="s">
        <v>73</v>
      </c>
      <c r="B32" s="1" t="s">
        <v>40</v>
      </c>
      <c r="C32" s="1">
        <v>56.988999999999997</v>
      </c>
      <c r="D32" s="1">
        <v>163.08500000000001</v>
      </c>
      <c r="E32" s="1">
        <v>34.82</v>
      </c>
      <c r="F32" s="1">
        <v>71.459999999999994</v>
      </c>
      <c r="G32" s="1"/>
      <c r="H32" s="7">
        <v>1</v>
      </c>
      <c r="I32" s="1">
        <v>30</v>
      </c>
      <c r="J32" s="1" t="s">
        <v>41</v>
      </c>
      <c r="K32" s="1"/>
      <c r="L32" s="1">
        <v>64.5</v>
      </c>
      <c r="M32" s="1">
        <f t="shared" si="2"/>
        <v>-29.68</v>
      </c>
      <c r="N32" s="1"/>
      <c r="O32" s="1"/>
      <c r="P32" s="1">
        <v>82.062800000000038</v>
      </c>
      <c r="Q32" s="1"/>
      <c r="R32" s="1"/>
      <c r="S32" s="13">
        <v>0</v>
      </c>
      <c r="T32" s="1"/>
      <c r="U32" s="14"/>
      <c r="V32" s="1">
        <v>0</v>
      </c>
      <c r="W32" s="1"/>
      <c r="X32" s="1"/>
      <c r="Y32" s="1">
        <f t="shared" si="4"/>
        <v>6.9640000000000004</v>
      </c>
      <c r="Z32" s="5">
        <v>20</v>
      </c>
      <c r="AA32" s="5">
        <f t="shared" si="10"/>
        <v>20</v>
      </c>
      <c r="AB32" s="30">
        <f>VLOOKUP(A32,[2]TDSheet!$A:$G,7,0)</f>
        <v>2.091109158477698E-2</v>
      </c>
      <c r="AC32" s="5">
        <f t="shared" si="17"/>
        <v>0</v>
      </c>
      <c r="AD32" s="34">
        <v>20</v>
      </c>
      <c r="AE32" s="1">
        <f t="shared" si="7"/>
        <v>24.917116599655373</v>
      </c>
      <c r="AF32" s="1">
        <f t="shared" si="3"/>
        <v>22.045203905801266</v>
      </c>
      <c r="AG32" s="1">
        <v>-1.2383999999999999</v>
      </c>
      <c r="AH32" s="1">
        <v>7.7220000000000004</v>
      </c>
      <c r="AI32" s="1">
        <v>20.628799999999998</v>
      </c>
      <c r="AJ32" s="1">
        <v>19.175799999999999</v>
      </c>
      <c r="AK32" s="1">
        <v>5.3548</v>
      </c>
      <c r="AL32" s="1">
        <v>3.99</v>
      </c>
      <c r="AM32" s="1">
        <v>15.735799999999999</v>
      </c>
      <c r="AN32" s="1">
        <v>19.2578</v>
      </c>
      <c r="AO32" s="1" t="s">
        <v>74</v>
      </c>
      <c r="AP32" s="1">
        <f t="shared" si="8"/>
        <v>0</v>
      </c>
      <c r="AQ32" s="1">
        <f t="shared" si="9"/>
        <v>20</v>
      </c>
      <c r="AR32" s="1"/>
      <c r="AS32" s="1"/>
      <c r="AT32" s="1"/>
      <c r="AU32" s="1"/>
      <c r="AV32" s="1"/>
    </row>
    <row r="33" spans="1:48" ht="15.75" customHeight="1" x14ac:dyDescent="0.25">
      <c r="A33" s="1" t="s">
        <v>75</v>
      </c>
      <c r="B33" s="1" t="s">
        <v>40</v>
      </c>
      <c r="C33" s="1">
        <v>3.2759999999999998</v>
      </c>
      <c r="D33" s="1">
        <v>37.296999999999997</v>
      </c>
      <c r="E33" s="1">
        <v>0.91900000000000004</v>
      </c>
      <c r="F33" s="1"/>
      <c r="G33" s="1"/>
      <c r="H33" s="7">
        <v>1</v>
      </c>
      <c r="I33" s="1">
        <v>50</v>
      </c>
      <c r="J33" s="17" t="s">
        <v>51</v>
      </c>
      <c r="K33" s="1"/>
      <c r="L33" s="1">
        <v>23.1</v>
      </c>
      <c r="M33" s="1">
        <f t="shared" si="2"/>
        <v>-22.181000000000001</v>
      </c>
      <c r="N33" s="1"/>
      <c r="O33" s="1"/>
      <c r="P33" s="1">
        <v>160</v>
      </c>
      <c r="Q33" s="1">
        <v>-127</v>
      </c>
      <c r="R33" s="1"/>
      <c r="S33" s="13">
        <v>225</v>
      </c>
      <c r="T33" s="1"/>
      <c r="U33" s="14"/>
      <c r="V33" s="1">
        <v>100</v>
      </c>
      <c r="W33" s="1"/>
      <c r="X33" s="1"/>
      <c r="Y33" s="1">
        <f t="shared" si="4"/>
        <v>0.18380000000000002</v>
      </c>
      <c r="Z33" s="5"/>
      <c r="AA33" s="5">
        <f t="shared" si="10"/>
        <v>0</v>
      </c>
      <c r="AB33" s="30">
        <f>VLOOKUP(A33,[2]TDSheet!$A:$G,7,0)</f>
        <v>0.15311973581066429</v>
      </c>
      <c r="AC33" s="5">
        <f t="shared" si="17"/>
        <v>0</v>
      </c>
      <c r="AD33" s="5">
        <f t="shared" si="15"/>
        <v>0</v>
      </c>
      <c r="AE33" s="1">
        <f t="shared" si="7"/>
        <v>1947.7693144722523</v>
      </c>
      <c r="AF33" s="1">
        <f t="shared" si="3"/>
        <v>1947.7693144722523</v>
      </c>
      <c r="AG33" s="1">
        <v>4.2085999999999997</v>
      </c>
      <c r="AH33" s="1">
        <v>21.8612</v>
      </c>
      <c r="AI33" s="1">
        <v>24.236000000000001</v>
      </c>
      <c r="AJ33" s="1">
        <v>10.8574</v>
      </c>
      <c r="AK33" s="1">
        <v>12.3216</v>
      </c>
      <c r="AL33" s="1">
        <v>5.9024000000000001</v>
      </c>
      <c r="AM33" s="1">
        <v>2.0255999999999998</v>
      </c>
      <c r="AN33" s="1">
        <v>11.801600000000001</v>
      </c>
      <c r="AO33" s="1" t="s">
        <v>64</v>
      </c>
      <c r="AP33" s="1">
        <f t="shared" si="8"/>
        <v>0</v>
      </c>
      <c r="AQ33" s="1">
        <f t="shared" si="9"/>
        <v>0</v>
      </c>
      <c r="AR33" s="1"/>
      <c r="AS33" s="1"/>
      <c r="AT33" s="1"/>
      <c r="AU33" s="1"/>
      <c r="AV33" s="1"/>
    </row>
    <row r="34" spans="1:48" x14ac:dyDescent="0.25">
      <c r="A34" s="18" t="s">
        <v>76</v>
      </c>
      <c r="B34" s="18" t="s">
        <v>40</v>
      </c>
      <c r="C34" s="18">
        <v>-2.7559999999999998</v>
      </c>
      <c r="D34" s="18">
        <v>2.7559999999999998</v>
      </c>
      <c r="E34" s="18"/>
      <c r="F34" s="18"/>
      <c r="G34" s="18"/>
      <c r="H34" s="19">
        <v>0</v>
      </c>
      <c r="I34" s="18"/>
      <c r="J34" s="18" t="s">
        <v>77</v>
      </c>
      <c r="K34" s="18"/>
      <c r="L34" s="18"/>
      <c r="M34" s="18">
        <f t="shared" si="2"/>
        <v>0</v>
      </c>
      <c r="N34" s="18"/>
      <c r="O34" s="18"/>
      <c r="P34" s="18"/>
      <c r="Q34" s="18"/>
      <c r="R34" s="18"/>
      <c r="S34" s="20">
        <v>0</v>
      </c>
      <c r="T34" s="18"/>
      <c r="U34" s="21"/>
      <c r="V34" s="18">
        <v>0</v>
      </c>
      <c r="W34" s="18"/>
      <c r="X34" s="18"/>
      <c r="Y34" s="18">
        <f t="shared" si="4"/>
        <v>0</v>
      </c>
      <c r="Z34" s="22"/>
      <c r="AA34" s="5">
        <f t="shared" si="10"/>
        <v>0</v>
      </c>
      <c r="AB34" s="31"/>
      <c r="AC34" s="22"/>
      <c r="AD34" s="22"/>
      <c r="AE34" s="1" t="e">
        <f t="shared" si="7"/>
        <v>#DIV/0!</v>
      </c>
      <c r="AF34" s="18" t="e">
        <f t="shared" si="3"/>
        <v>#DIV/0!</v>
      </c>
      <c r="AG34" s="18">
        <v>0.55119999999999991</v>
      </c>
      <c r="AH34" s="18">
        <v>0.55119999999999991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/>
      <c r="AP34" s="1">
        <f t="shared" si="8"/>
        <v>0</v>
      </c>
      <c r="AQ34" s="1">
        <f t="shared" si="9"/>
        <v>0</v>
      </c>
      <c r="AR34" s="1"/>
      <c r="AS34" s="1"/>
      <c r="AT34" s="1"/>
      <c r="AU34" s="1"/>
      <c r="AV34" s="1"/>
    </row>
    <row r="35" spans="1:48" x14ac:dyDescent="0.25">
      <c r="A35" s="1" t="s">
        <v>78</v>
      </c>
      <c r="B35" s="1" t="s">
        <v>40</v>
      </c>
      <c r="C35" s="1">
        <v>136.65799999999999</v>
      </c>
      <c r="D35" s="1">
        <v>38.335000000000001</v>
      </c>
      <c r="E35" s="1">
        <v>140.67699999999999</v>
      </c>
      <c r="F35" s="1">
        <v>-3.66</v>
      </c>
      <c r="G35" s="1"/>
      <c r="H35" s="7">
        <v>1</v>
      </c>
      <c r="I35" s="1">
        <v>50</v>
      </c>
      <c r="J35" s="17" t="s">
        <v>51</v>
      </c>
      <c r="K35" s="1"/>
      <c r="L35" s="1">
        <v>162.30000000000001</v>
      </c>
      <c r="M35" s="1">
        <f t="shared" si="2"/>
        <v>-21.623000000000019</v>
      </c>
      <c r="N35" s="1"/>
      <c r="O35" s="1"/>
      <c r="P35" s="1">
        <v>55.375800000000027</v>
      </c>
      <c r="Q35" s="1">
        <v>-59.4</v>
      </c>
      <c r="R35" s="1"/>
      <c r="S35" s="13">
        <v>90</v>
      </c>
      <c r="T35" s="1"/>
      <c r="U35" s="14"/>
      <c r="V35" s="1">
        <v>100</v>
      </c>
      <c r="W35" s="1"/>
      <c r="X35" s="1"/>
      <c r="Y35" s="1">
        <f t="shared" si="4"/>
        <v>28.135399999999997</v>
      </c>
      <c r="Z35" s="5">
        <v>80</v>
      </c>
      <c r="AA35" s="5">
        <f t="shared" ref="AA35:AA36" si="18">Z35*$AB$1</f>
        <v>136</v>
      </c>
      <c r="AB35" s="30">
        <f>VLOOKUP(A35,[2]TDSheet!$A:$G,7,0)</f>
        <v>7.0934121713922535E-2</v>
      </c>
      <c r="AC35" s="5">
        <f t="shared" ref="AC35:AC43" si="19">AA35-AD35</f>
        <v>126.35295944690654</v>
      </c>
      <c r="AD35" s="5">
        <f t="shared" si="15"/>
        <v>9.6470405530934649</v>
      </c>
      <c r="AE35" s="1">
        <f t="shared" si="7"/>
        <v>11.313711551994997</v>
      </c>
      <c r="AF35" s="1">
        <f t="shared" si="3"/>
        <v>6.4799434164788856</v>
      </c>
      <c r="AG35" s="1">
        <v>25.8796</v>
      </c>
      <c r="AH35" s="1">
        <v>9.8638000000000012</v>
      </c>
      <c r="AI35" s="1">
        <v>26.817399999999999</v>
      </c>
      <c r="AJ35" s="1">
        <v>26.715599999999998</v>
      </c>
      <c r="AK35" s="1">
        <v>23.43</v>
      </c>
      <c r="AL35" s="1">
        <v>7.003400000000001</v>
      </c>
      <c r="AM35" s="1">
        <v>13.5762</v>
      </c>
      <c r="AN35" s="1">
        <v>20.1646</v>
      </c>
      <c r="AO35" s="1"/>
      <c r="AP35" s="1">
        <f t="shared" si="8"/>
        <v>126</v>
      </c>
      <c r="AQ35" s="1">
        <f t="shared" si="9"/>
        <v>10</v>
      </c>
      <c r="AR35" s="1"/>
      <c r="AS35" s="1"/>
      <c r="AT35" s="1"/>
      <c r="AU35" s="1"/>
      <c r="AV35" s="1"/>
    </row>
    <row r="36" spans="1:48" x14ac:dyDescent="0.25">
      <c r="A36" s="1" t="s">
        <v>79</v>
      </c>
      <c r="B36" s="1" t="s">
        <v>45</v>
      </c>
      <c r="C36" s="1">
        <v>565.505</v>
      </c>
      <c r="D36" s="1">
        <v>1218.4949999999999</v>
      </c>
      <c r="E36" s="1">
        <v>472</v>
      </c>
      <c r="F36" s="1"/>
      <c r="G36" s="1">
        <f>VLOOKUP(A36,[1]TDSheet!$A:$M,9,0)</f>
        <v>2</v>
      </c>
      <c r="H36" s="7">
        <v>0.4</v>
      </c>
      <c r="I36" s="1">
        <v>45</v>
      </c>
      <c r="J36" s="17" t="s">
        <v>51</v>
      </c>
      <c r="K36" s="1"/>
      <c r="L36" s="1">
        <v>1282</v>
      </c>
      <c r="M36" s="1">
        <f t="shared" si="2"/>
        <v>-810</v>
      </c>
      <c r="N36" s="1"/>
      <c r="O36" s="1"/>
      <c r="P36" s="1">
        <v>1000</v>
      </c>
      <c r="Q36" s="1"/>
      <c r="R36" s="1"/>
      <c r="S36" s="13">
        <v>600</v>
      </c>
      <c r="T36" s="1">
        <v>-600</v>
      </c>
      <c r="U36" s="14"/>
      <c r="V36" s="1">
        <v>800</v>
      </c>
      <c r="W36" s="1"/>
      <c r="X36" s="1"/>
      <c r="Y36" s="1">
        <f t="shared" si="4"/>
        <v>94.4</v>
      </c>
      <c r="Z36" s="5">
        <v>600</v>
      </c>
      <c r="AA36" s="5">
        <f t="shared" si="18"/>
        <v>1020</v>
      </c>
      <c r="AB36" s="30">
        <f>VLOOKUP(A36,[2]TDSheet!$A:$G,7,0)</f>
        <v>0.44251386321626618</v>
      </c>
      <c r="AC36" s="5">
        <f t="shared" si="19"/>
        <v>568.63585951940854</v>
      </c>
      <c r="AD36" s="5">
        <f t="shared" si="15"/>
        <v>451.36414048059152</v>
      </c>
      <c r="AE36" s="1">
        <f t="shared" si="7"/>
        <v>29.894067796610173</v>
      </c>
      <c r="AF36" s="1">
        <f t="shared" si="3"/>
        <v>19.088983050847457</v>
      </c>
      <c r="AG36" s="1">
        <v>116.2</v>
      </c>
      <c r="AH36" s="1">
        <v>89.6</v>
      </c>
      <c r="AI36" s="1">
        <v>12.8</v>
      </c>
      <c r="AJ36" s="1">
        <v>15.2</v>
      </c>
      <c r="AK36" s="1">
        <v>168.4</v>
      </c>
      <c r="AL36" s="1">
        <v>297.2</v>
      </c>
      <c r="AM36" s="1">
        <v>169.4</v>
      </c>
      <c r="AN36" s="1">
        <v>158.80000000000001</v>
      </c>
      <c r="AO36" s="1"/>
      <c r="AP36" s="1">
        <f t="shared" si="8"/>
        <v>227</v>
      </c>
      <c r="AQ36" s="1">
        <f t="shared" si="9"/>
        <v>181</v>
      </c>
      <c r="AR36" s="1"/>
      <c r="AS36" s="1"/>
      <c r="AT36" s="1"/>
      <c r="AU36" s="1"/>
      <c r="AV36" s="1"/>
    </row>
    <row r="37" spans="1:48" x14ac:dyDescent="0.25">
      <c r="A37" s="1" t="s">
        <v>80</v>
      </c>
      <c r="B37" s="1" t="s">
        <v>45</v>
      </c>
      <c r="C37" s="1">
        <v>272</v>
      </c>
      <c r="D37" s="1">
        <v>1023</v>
      </c>
      <c r="E37" s="1">
        <v>249</v>
      </c>
      <c r="F37" s="1">
        <v>243</v>
      </c>
      <c r="G37" s="1">
        <f>VLOOKUP(A37,[1]TDSheet!$A:$M,9,0)</f>
        <v>382</v>
      </c>
      <c r="H37" s="7">
        <v>0.45</v>
      </c>
      <c r="I37" s="1">
        <v>50</v>
      </c>
      <c r="J37" s="1" t="s">
        <v>41</v>
      </c>
      <c r="K37" s="1"/>
      <c r="L37" s="1">
        <v>266</v>
      </c>
      <c r="M37" s="1">
        <f t="shared" si="2"/>
        <v>-17</v>
      </c>
      <c r="N37" s="1"/>
      <c r="O37" s="1"/>
      <c r="P37" s="1">
        <v>262.63200000000012</v>
      </c>
      <c r="Q37" s="1"/>
      <c r="R37" s="1"/>
      <c r="S37" s="13">
        <v>0</v>
      </c>
      <c r="T37" s="1"/>
      <c r="U37" s="14"/>
      <c r="V37" s="1">
        <v>0</v>
      </c>
      <c r="W37" s="1"/>
      <c r="X37" s="1"/>
      <c r="Y37" s="1">
        <f t="shared" si="4"/>
        <v>49.8</v>
      </c>
      <c r="Z37" s="5"/>
      <c r="AA37" s="5">
        <f t="shared" si="10"/>
        <v>0</v>
      </c>
      <c r="AB37" s="30">
        <f>VLOOKUP(A37,[2]TDSheet!$A:$G,7,0)</f>
        <v>0.58559256390395031</v>
      </c>
      <c r="AC37" s="5">
        <f t="shared" si="19"/>
        <v>0</v>
      </c>
      <c r="AD37" s="5">
        <f t="shared" si="15"/>
        <v>0</v>
      </c>
      <c r="AE37" s="1">
        <f t="shared" si="7"/>
        <v>17.823935742971891</v>
      </c>
      <c r="AF37" s="1">
        <f t="shared" si="3"/>
        <v>17.823935742971891</v>
      </c>
      <c r="AG37" s="1">
        <v>55.4</v>
      </c>
      <c r="AH37" s="1">
        <v>60.4</v>
      </c>
      <c r="AI37" s="1">
        <v>85.4</v>
      </c>
      <c r="AJ37" s="1">
        <v>80.2</v>
      </c>
      <c r="AK37" s="1">
        <v>64.400000000000006</v>
      </c>
      <c r="AL37" s="1">
        <v>40.4</v>
      </c>
      <c r="AM37" s="1">
        <v>47</v>
      </c>
      <c r="AN37" s="1">
        <v>69.400000000000006</v>
      </c>
      <c r="AO37" s="1"/>
      <c r="AP37" s="1">
        <f t="shared" si="8"/>
        <v>0</v>
      </c>
      <c r="AQ37" s="1">
        <f t="shared" si="9"/>
        <v>0</v>
      </c>
      <c r="AR37" s="1"/>
      <c r="AS37" s="1"/>
      <c r="AT37" s="1"/>
      <c r="AU37" s="1"/>
      <c r="AV37" s="1"/>
    </row>
    <row r="38" spans="1:48" x14ac:dyDescent="0.25">
      <c r="A38" s="1" t="s">
        <v>81</v>
      </c>
      <c r="B38" s="1" t="s">
        <v>45</v>
      </c>
      <c r="C38" s="1">
        <v>60</v>
      </c>
      <c r="D38" s="1">
        <v>448</v>
      </c>
      <c r="E38" s="1">
        <v>187</v>
      </c>
      <c r="F38" s="1">
        <v>58</v>
      </c>
      <c r="G38" s="1">
        <f>VLOOKUP(A38,[1]TDSheet!$A:$M,9,0)</f>
        <v>114</v>
      </c>
      <c r="H38" s="7">
        <v>0.4</v>
      </c>
      <c r="I38" s="1">
        <v>45</v>
      </c>
      <c r="J38" s="17" t="s">
        <v>51</v>
      </c>
      <c r="K38" s="1"/>
      <c r="L38" s="1">
        <v>392</v>
      </c>
      <c r="M38" s="1">
        <f t="shared" ref="M38:M69" si="20">E38-L38</f>
        <v>-205</v>
      </c>
      <c r="N38" s="1"/>
      <c r="O38" s="1"/>
      <c r="P38" s="1">
        <v>423.80000000000013</v>
      </c>
      <c r="Q38" s="1"/>
      <c r="R38" s="1"/>
      <c r="S38" s="13">
        <v>150</v>
      </c>
      <c r="T38" s="1"/>
      <c r="U38" s="14"/>
      <c r="V38" s="1">
        <v>0</v>
      </c>
      <c r="W38" s="1"/>
      <c r="X38" s="1"/>
      <c r="Y38" s="1">
        <f t="shared" si="4"/>
        <v>37.4</v>
      </c>
      <c r="Z38" s="5"/>
      <c r="AA38" s="5">
        <v>150</v>
      </c>
      <c r="AB38" s="30">
        <f>VLOOKUP(A38,[2]TDSheet!$A:$G,7,0)</f>
        <v>0.63117870722433456</v>
      </c>
      <c r="AC38" s="5">
        <f t="shared" si="19"/>
        <v>50</v>
      </c>
      <c r="AD38" s="34">
        <v>100</v>
      </c>
      <c r="AE38" s="1">
        <f t="shared" si="7"/>
        <v>23.951871657754015</v>
      </c>
      <c r="AF38" s="1">
        <f t="shared" ref="AF38:AF69" si="21">(F38+G38+P38+Q38+R38+S38+T38+U38+V38+W38+X38)/Y38</f>
        <v>19.941176470588243</v>
      </c>
      <c r="AG38" s="1">
        <v>42.2</v>
      </c>
      <c r="AH38" s="1">
        <v>56.4</v>
      </c>
      <c r="AI38" s="1">
        <v>72.400000000000006</v>
      </c>
      <c r="AJ38" s="1">
        <v>42.4</v>
      </c>
      <c r="AK38" s="1">
        <v>24.4</v>
      </c>
      <c r="AL38" s="1">
        <v>-0.6</v>
      </c>
      <c r="AM38" s="1">
        <v>0.2</v>
      </c>
      <c r="AN38" s="1">
        <v>60.2</v>
      </c>
      <c r="AO38" s="1"/>
      <c r="AP38" s="1">
        <f t="shared" si="8"/>
        <v>20</v>
      </c>
      <c r="AQ38" s="1">
        <f t="shared" si="9"/>
        <v>40</v>
      </c>
      <c r="AR38" s="1"/>
      <c r="AS38" s="1"/>
      <c r="AT38" s="1"/>
      <c r="AU38" s="1"/>
      <c r="AV38" s="1"/>
    </row>
    <row r="39" spans="1:48" x14ac:dyDescent="0.25">
      <c r="A39" s="1" t="s">
        <v>82</v>
      </c>
      <c r="B39" s="1" t="s">
        <v>45</v>
      </c>
      <c r="C39" s="1">
        <v>4</v>
      </c>
      <c r="D39" s="1">
        <v>5</v>
      </c>
      <c r="E39" s="1"/>
      <c r="F39" s="1"/>
      <c r="G39" s="1"/>
      <c r="H39" s="7">
        <v>0.4</v>
      </c>
      <c r="I39" s="1">
        <v>40</v>
      </c>
      <c r="J39" s="17" t="s">
        <v>51</v>
      </c>
      <c r="K39" s="1"/>
      <c r="L39" s="1">
        <v>134</v>
      </c>
      <c r="M39" s="1">
        <f t="shared" si="20"/>
        <v>-134</v>
      </c>
      <c r="N39" s="1"/>
      <c r="O39" s="1"/>
      <c r="P39" s="1">
        <v>80</v>
      </c>
      <c r="Q39" s="1">
        <v>-84</v>
      </c>
      <c r="R39" s="1"/>
      <c r="S39" s="13">
        <v>150</v>
      </c>
      <c r="T39" s="1"/>
      <c r="U39" s="14"/>
      <c r="V39" s="1">
        <v>80</v>
      </c>
      <c r="W39" s="1"/>
      <c r="X39" s="1"/>
      <c r="Y39" s="1">
        <f t="shared" si="4"/>
        <v>0</v>
      </c>
      <c r="Z39" s="5">
        <v>40</v>
      </c>
      <c r="AA39" s="5">
        <v>100</v>
      </c>
      <c r="AB39" s="30">
        <f>VLOOKUP(A39,[2]TDSheet!$A:$G,7,0)</f>
        <v>0.24418604651162792</v>
      </c>
      <c r="AC39" s="5">
        <f t="shared" si="19"/>
        <v>75.581395348837205</v>
      </c>
      <c r="AD39" s="5">
        <f t="shared" si="15"/>
        <v>24.418604651162791</v>
      </c>
      <c r="AE39" s="1" t="e">
        <f t="shared" si="7"/>
        <v>#DIV/0!</v>
      </c>
      <c r="AF39" s="1" t="e">
        <f t="shared" si="21"/>
        <v>#DIV/0!</v>
      </c>
      <c r="AG39" s="1">
        <v>0</v>
      </c>
      <c r="AH39" s="1">
        <v>-0.2</v>
      </c>
      <c r="AI39" s="1">
        <v>-0.2</v>
      </c>
      <c r="AJ39" s="1">
        <v>0</v>
      </c>
      <c r="AK39" s="1">
        <v>0</v>
      </c>
      <c r="AL39" s="1">
        <v>3</v>
      </c>
      <c r="AM39" s="1">
        <v>5.6</v>
      </c>
      <c r="AN39" s="1">
        <v>12.6</v>
      </c>
      <c r="AO39" s="1"/>
      <c r="AP39" s="1">
        <f t="shared" si="8"/>
        <v>30</v>
      </c>
      <c r="AQ39" s="1">
        <f t="shared" si="9"/>
        <v>10</v>
      </c>
      <c r="AR39" s="1"/>
      <c r="AS39" s="1"/>
      <c r="AT39" s="1"/>
      <c r="AU39" s="1"/>
      <c r="AV39" s="1"/>
    </row>
    <row r="40" spans="1:48" x14ac:dyDescent="0.25">
      <c r="A40" s="1" t="s">
        <v>83</v>
      </c>
      <c r="B40" s="1" t="s">
        <v>40</v>
      </c>
      <c r="C40" s="1">
        <v>113.271</v>
      </c>
      <c r="D40" s="1">
        <v>65.929000000000002</v>
      </c>
      <c r="E40" s="1">
        <v>65.69</v>
      </c>
      <c r="F40" s="1">
        <v>7.1020000000000003</v>
      </c>
      <c r="G40" s="1">
        <f>VLOOKUP(A40,[1]TDSheet!$A:$M,9,0)</f>
        <v>34.137999999999998</v>
      </c>
      <c r="H40" s="7">
        <v>1</v>
      </c>
      <c r="I40" s="1">
        <v>45</v>
      </c>
      <c r="J40" s="17" t="s">
        <v>51</v>
      </c>
      <c r="K40" s="1"/>
      <c r="L40" s="1">
        <v>65.849999999999994</v>
      </c>
      <c r="M40" s="1">
        <f t="shared" si="20"/>
        <v>-0.15999999999999659</v>
      </c>
      <c r="N40" s="1"/>
      <c r="O40" s="1"/>
      <c r="P40" s="1">
        <v>20</v>
      </c>
      <c r="Q40" s="1"/>
      <c r="R40" s="1"/>
      <c r="S40" s="13">
        <v>14.50770000000001</v>
      </c>
      <c r="T40" s="1"/>
      <c r="U40" s="14"/>
      <c r="V40" s="1">
        <v>61.858099999999993</v>
      </c>
      <c r="W40" s="1"/>
      <c r="X40" s="1"/>
      <c r="Y40" s="1">
        <f t="shared" si="4"/>
        <v>13.138</v>
      </c>
      <c r="Z40" s="5">
        <v>20</v>
      </c>
      <c r="AA40" s="5">
        <f t="shared" ref="AA40" si="22">Z40*$AB$1</f>
        <v>34</v>
      </c>
      <c r="AB40" s="30">
        <f>VLOOKUP(A40,[2]TDSheet!$A:$G,7,0)</f>
        <v>7.3014024555520973E-2</v>
      </c>
      <c r="AC40" s="5">
        <f t="shared" si="19"/>
        <v>31.517523165112287</v>
      </c>
      <c r="AD40" s="5">
        <f t="shared" si="15"/>
        <v>2.4824768348877129</v>
      </c>
      <c r="AE40" s="1">
        <f t="shared" si="7"/>
        <v>13.061790226822955</v>
      </c>
      <c r="AF40" s="1">
        <f t="shared" si="21"/>
        <v>10.473877302481352</v>
      </c>
      <c r="AG40" s="1">
        <v>13.4964</v>
      </c>
      <c r="AH40" s="1">
        <v>12.9948</v>
      </c>
      <c r="AI40" s="1">
        <v>12.9156</v>
      </c>
      <c r="AJ40" s="1">
        <v>11.095599999999999</v>
      </c>
      <c r="AK40" s="1">
        <v>7.1444000000000001</v>
      </c>
      <c r="AL40" s="1">
        <v>1.1714</v>
      </c>
      <c r="AM40" s="1">
        <v>9.6359999999999992</v>
      </c>
      <c r="AN40" s="1">
        <v>15.555199999999999</v>
      </c>
      <c r="AO40" s="1" t="s">
        <v>64</v>
      </c>
      <c r="AP40" s="1">
        <f t="shared" si="8"/>
        <v>32</v>
      </c>
      <c r="AQ40" s="1">
        <f t="shared" si="9"/>
        <v>2</v>
      </c>
      <c r="AR40" s="1"/>
      <c r="AS40" s="1"/>
      <c r="AT40" s="1"/>
      <c r="AU40" s="1"/>
      <c r="AV40" s="1"/>
    </row>
    <row r="41" spans="1:48" x14ac:dyDescent="0.25">
      <c r="A41" s="1" t="s">
        <v>84</v>
      </c>
      <c r="B41" s="1" t="s">
        <v>45</v>
      </c>
      <c r="C41" s="1">
        <v>525</v>
      </c>
      <c r="D41" s="1">
        <v>210</v>
      </c>
      <c r="E41" s="1">
        <v>293</v>
      </c>
      <c r="F41" s="1">
        <v>80</v>
      </c>
      <c r="G41" s="1">
        <f>VLOOKUP(A41,[1]TDSheet!$A:$M,9,0)</f>
        <v>144</v>
      </c>
      <c r="H41" s="7">
        <v>0.1</v>
      </c>
      <c r="I41" s="1">
        <v>731</v>
      </c>
      <c r="J41" s="1" t="s">
        <v>41</v>
      </c>
      <c r="K41" s="1"/>
      <c r="L41" s="1">
        <v>300</v>
      </c>
      <c r="M41" s="1">
        <f t="shared" si="20"/>
        <v>-7</v>
      </c>
      <c r="N41" s="1"/>
      <c r="O41" s="1"/>
      <c r="P41" s="1">
        <v>50.2</v>
      </c>
      <c r="Q41" s="1"/>
      <c r="R41" s="1"/>
      <c r="S41" s="13">
        <v>200</v>
      </c>
      <c r="T41" s="1"/>
      <c r="U41" s="14"/>
      <c r="V41" s="1">
        <v>0</v>
      </c>
      <c r="W41" s="1"/>
      <c r="X41" s="1"/>
      <c r="Y41" s="1">
        <f t="shared" si="4"/>
        <v>58.6</v>
      </c>
      <c r="Z41" s="5">
        <f>11*Y41-X41-W41-V41-U41-T41-S41-R41-Q41-P41-G41-F41</f>
        <v>170.40000000000003</v>
      </c>
      <c r="AA41" s="5">
        <f>Z41+$AA$1*Y41</f>
        <v>346.20000000000005</v>
      </c>
      <c r="AB41" s="30">
        <f>VLOOKUP(A41,[2]TDSheet!$A:$G,7,0)</f>
        <v>0.17713365539452497</v>
      </c>
      <c r="AC41" s="5">
        <f t="shared" si="19"/>
        <v>284.8763285024155</v>
      </c>
      <c r="AD41" s="5">
        <f t="shared" si="15"/>
        <v>61.323671497584556</v>
      </c>
      <c r="AE41" s="1">
        <f t="shared" si="7"/>
        <v>14</v>
      </c>
      <c r="AF41" s="1">
        <f t="shared" si="21"/>
        <v>8.0921501706484644</v>
      </c>
      <c r="AG41" s="1">
        <v>39.6</v>
      </c>
      <c r="AH41" s="1">
        <v>43.2</v>
      </c>
      <c r="AI41" s="1">
        <v>50.2</v>
      </c>
      <c r="AJ41" s="1">
        <v>33.6</v>
      </c>
      <c r="AK41" s="1">
        <v>22.8</v>
      </c>
      <c r="AL41" s="1">
        <v>25</v>
      </c>
      <c r="AM41" s="1">
        <v>20.6</v>
      </c>
      <c r="AN41" s="1">
        <v>18.8</v>
      </c>
      <c r="AO41" s="1" t="s">
        <v>64</v>
      </c>
      <c r="AP41" s="1">
        <f t="shared" si="8"/>
        <v>28</v>
      </c>
      <c r="AQ41" s="1">
        <f t="shared" si="9"/>
        <v>6</v>
      </c>
      <c r="AR41" s="1"/>
      <c r="AS41" s="1"/>
      <c r="AT41" s="1"/>
      <c r="AU41" s="1"/>
      <c r="AV41" s="1"/>
    </row>
    <row r="42" spans="1:48" x14ac:dyDescent="0.25">
      <c r="A42" s="1" t="s">
        <v>85</v>
      </c>
      <c r="B42" s="1" t="s">
        <v>45</v>
      </c>
      <c r="C42" s="1">
        <v>57</v>
      </c>
      <c r="D42" s="1">
        <v>13</v>
      </c>
      <c r="E42" s="1">
        <v>68</v>
      </c>
      <c r="F42" s="1">
        <v>2</v>
      </c>
      <c r="G42" s="1"/>
      <c r="H42" s="7">
        <v>0.35</v>
      </c>
      <c r="I42" s="1">
        <v>40</v>
      </c>
      <c r="J42" s="17" t="s">
        <v>51</v>
      </c>
      <c r="K42" s="1"/>
      <c r="L42" s="1">
        <v>74</v>
      </c>
      <c r="M42" s="1">
        <f t="shared" si="20"/>
        <v>-6</v>
      </c>
      <c r="N42" s="1"/>
      <c r="O42" s="1"/>
      <c r="P42" s="1">
        <v>20</v>
      </c>
      <c r="Q42" s="1"/>
      <c r="R42" s="1"/>
      <c r="S42" s="13">
        <v>130</v>
      </c>
      <c r="T42" s="1">
        <v>-132</v>
      </c>
      <c r="U42" s="14"/>
      <c r="V42" s="1">
        <v>84.600000000000023</v>
      </c>
      <c r="W42" s="1">
        <v>-90</v>
      </c>
      <c r="X42" s="1"/>
      <c r="Y42" s="1">
        <f t="shared" si="4"/>
        <v>13.6</v>
      </c>
      <c r="Z42" s="5">
        <v>80</v>
      </c>
      <c r="AA42" s="5">
        <f t="shared" ref="AA42:AA43" si="23">Z42*$AB$1</f>
        <v>136</v>
      </c>
      <c r="AB42" s="30">
        <f>VLOOKUP(A42,[2]TDSheet!$A:$G,7,0)</f>
        <v>0</v>
      </c>
      <c r="AC42" s="5">
        <f t="shared" si="19"/>
        <v>136</v>
      </c>
      <c r="AD42" s="5">
        <f t="shared" si="15"/>
        <v>0</v>
      </c>
      <c r="AE42" s="1">
        <f t="shared" si="7"/>
        <v>11.073529411764708</v>
      </c>
      <c r="AF42" s="1">
        <f t="shared" si="21"/>
        <v>1.0735294117647076</v>
      </c>
      <c r="AG42" s="1">
        <v>19.8</v>
      </c>
      <c r="AH42" s="1">
        <v>6.8</v>
      </c>
      <c r="AI42" s="1">
        <v>0</v>
      </c>
      <c r="AJ42" s="1">
        <v>-0.6</v>
      </c>
      <c r="AK42" s="1">
        <v>-0.6</v>
      </c>
      <c r="AL42" s="1">
        <v>-0.8</v>
      </c>
      <c r="AM42" s="1">
        <v>-2.4</v>
      </c>
      <c r="AN42" s="1">
        <v>-2.8</v>
      </c>
      <c r="AO42" s="1"/>
      <c r="AP42" s="1">
        <f t="shared" si="8"/>
        <v>48</v>
      </c>
      <c r="AQ42" s="1">
        <f t="shared" si="9"/>
        <v>0</v>
      </c>
      <c r="AR42" s="1"/>
      <c r="AS42" s="1"/>
      <c r="AT42" s="1"/>
      <c r="AU42" s="1"/>
      <c r="AV42" s="1"/>
    </row>
    <row r="43" spans="1:48" x14ac:dyDescent="0.25">
      <c r="A43" s="1" t="s">
        <v>86</v>
      </c>
      <c r="B43" s="1" t="s">
        <v>40</v>
      </c>
      <c r="C43" s="1">
        <v>80.08</v>
      </c>
      <c r="D43" s="1">
        <v>62.468000000000004</v>
      </c>
      <c r="E43" s="1">
        <v>105.40600000000001</v>
      </c>
      <c r="F43" s="1">
        <v>-6.4000000000000001E-2</v>
      </c>
      <c r="G43" s="1"/>
      <c r="H43" s="7">
        <v>1</v>
      </c>
      <c r="I43" s="1">
        <v>40</v>
      </c>
      <c r="J43" s="17" t="s">
        <v>51</v>
      </c>
      <c r="K43" s="1"/>
      <c r="L43" s="1">
        <v>122.6</v>
      </c>
      <c r="M43" s="1">
        <f t="shared" si="20"/>
        <v>-17.193999999999988</v>
      </c>
      <c r="N43" s="1"/>
      <c r="O43" s="1"/>
      <c r="P43" s="1">
        <v>20</v>
      </c>
      <c r="Q43" s="1"/>
      <c r="R43" s="1"/>
      <c r="S43" s="13">
        <v>50</v>
      </c>
      <c r="T43" s="1"/>
      <c r="U43" s="14"/>
      <c r="V43" s="1">
        <v>132.05539999999999</v>
      </c>
      <c r="W43" s="1"/>
      <c r="X43" s="1"/>
      <c r="Y43" s="1">
        <f t="shared" si="4"/>
        <v>21.081200000000003</v>
      </c>
      <c r="Z43" s="5">
        <v>50</v>
      </c>
      <c r="AA43" s="5">
        <f t="shared" si="23"/>
        <v>85</v>
      </c>
      <c r="AB43" s="30">
        <f>VLOOKUP(A43,[2]TDSheet!$A:$G,7,0)</f>
        <v>0.18352771054037911</v>
      </c>
      <c r="AC43" s="5">
        <f t="shared" si="19"/>
        <v>69.400144604067776</v>
      </c>
      <c r="AD43" s="5">
        <f t="shared" si="15"/>
        <v>15.599855395932225</v>
      </c>
      <c r="AE43" s="1">
        <f t="shared" si="7"/>
        <v>13.613617820617423</v>
      </c>
      <c r="AF43" s="1">
        <f t="shared" si="21"/>
        <v>9.5815892833425025</v>
      </c>
      <c r="AG43" s="1">
        <v>19.641200000000001</v>
      </c>
      <c r="AH43" s="1">
        <v>9.0427999999999997</v>
      </c>
      <c r="AI43" s="1">
        <v>8.4745999999999988</v>
      </c>
      <c r="AJ43" s="1">
        <v>7.7513999999999994</v>
      </c>
      <c r="AK43" s="1">
        <v>5.5529999999999999</v>
      </c>
      <c r="AL43" s="1">
        <v>-1.6140000000000001</v>
      </c>
      <c r="AM43" s="1">
        <v>5.4058000000000002</v>
      </c>
      <c r="AN43" s="1">
        <v>14.0082</v>
      </c>
      <c r="AO43" s="1" t="s">
        <v>64</v>
      </c>
      <c r="AP43" s="1">
        <f t="shared" si="8"/>
        <v>69</v>
      </c>
      <c r="AQ43" s="1">
        <f t="shared" si="9"/>
        <v>16</v>
      </c>
      <c r="AR43" s="1"/>
      <c r="AS43" s="1"/>
      <c r="AT43" s="1"/>
      <c r="AU43" s="1"/>
      <c r="AV43" s="1"/>
    </row>
    <row r="44" spans="1:48" x14ac:dyDescent="0.25">
      <c r="A44" s="18" t="s">
        <v>87</v>
      </c>
      <c r="B44" s="18" t="s">
        <v>45</v>
      </c>
      <c r="C44" s="18">
        <v>1</v>
      </c>
      <c r="D44" s="18">
        <v>2</v>
      </c>
      <c r="E44" s="18">
        <v>4</v>
      </c>
      <c r="F44" s="18">
        <v>-4</v>
      </c>
      <c r="G44" s="18"/>
      <c r="H44" s="19">
        <v>0</v>
      </c>
      <c r="I44" s="18">
        <v>50</v>
      </c>
      <c r="J44" s="18" t="s">
        <v>77</v>
      </c>
      <c r="K44" s="18"/>
      <c r="L44" s="18">
        <v>7</v>
      </c>
      <c r="M44" s="18">
        <f t="shared" si="20"/>
        <v>-3</v>
      </c>
      <c r="N44" s="18"/>
      <c r="O44" s="18"/>
      <c r="P44" s="18">
        <v>0</v>
      </c>
      <c r="Q44" s="18"/>
      <c r="R44" s="18"/>
      <c r="S44" s="20">
        <v>0</v>
      </c>
      <c r="T44" s="18"/>
      <c r="U44" s="21"/>
      <c r="V44" s="18">
        <v>0</v>
      </c>
      <c r="W44" s="18"/>
      <c r="X44" s="18"/>
      <c r="Y44" s="18">
        <f t="shared" si="4"/>
        <v>0.8</v>
      </c>
      <c r="Z44" s="22"/>
      <c r="AA44" s="5">
        <f t="shared" si="10"/>
        <v>0</v>
      </c>
      <c r="AB44" s="31"/>
      <c r="AC44" s="22"/>
      <c r="AD44" s="22"/>
      <c r="AE44" s="1">
        <f t="shared" si="7"/>
        <v>-5</v>
      </c>
      <c r="AF44" s="18">
        <f t="shared" si="21"/>
        <v>-5</v>
      </c>
      <c r="AG44" s="18">
        <v>0</v>
      </c>
      <c r="AH44" s="18">
        <v>0</v>
      </c>
      <c r="AI44" s="18">
        <v>0</v>
      </c>
      <c r="AJ44" s="18">
        <v>0.2</v>
      </c>
      <c r="AK44" s="18">
        <v>-0.2</v>
      </c>
      <c r="AL44" s="18">
        <v>-0.2</v>
      </c>
      <c r="AM44" s="18">
        <v>0</v>
      </c>
      <c r="AN44" s="18">
        <v>1.4</v>
      </c>
      <c r="AO44" s="18"/>
      <c r="AP44" s="1">
        <f t="shared" si="8"/>
        <v>0</v>
      </c>
      <c r="AQ44" s="1">
        <f t="shared" si="9"/>
        <v>0</v>
      </c>
      <c r="AR44" s="1"/>
      <c r="AS44" s="1"/>
      <c r="AT44" s="1"/>
      <c r="AU44" s="1"/>
      <c r="AV44" s="1"/>
    </row>
    <row r="45" spans="1:48" x14ac:dyDescent="0.25">
      <c r="A45" s="1" t="s">
        <v>88</v>
      </c>
      <c r="B45" s="1" t="s">
        <v>45</v>
      </c>
      <c r="C45" s="1">
        <v>76</v>
      </c>
      <c r="D45" s="1">
        <v>250</v>
      </c>
      <c r="E45" s="1">
        <v>48</v>
      </c>
      <c r="F45" s="1">
        <v>47</v>
      </c>
      <c r="G45" s="1">
        <f>VLOOKUP(A45,[1]TDSheet!$A:$M,9,0)</f>
        <v>28</v>
      </c>
      <c r="H45" s="7">
        <v>0.4</v>
      </c>
      <c r="I45" s="1">
        <v>40</v>
      </c>
      <c r="J45" s="17" t="s">
        <v>51</v>
      </c>
      <c r="K45" s="1"/>
      <c r="L45" s="1">
        <v>340</v>
      </c>
      <c r="M45" s="1">
        <f t="shared" si="20"/>
        <v>-292</v>
      </c>
      <c r="N45" s="1"/>
      <c r="O45" s="1"/>
      <c r="P45" s="1">
        <v>100</v>
      </c>
      <c r="Q45" s="1"/>
      <c r="R45" s="1"/>
      <c r="S45" s="13">
        <v>0</v>
      </c>
      <c r="T45" s="1"/>
      <c r="U45" s="14"/>
      <c r="V45" s="1">
        <v>150</v>
      </c>
      <c r="W45" s="1">
        <v>-150</v>
      </c>
      <c r="X45" s="1"/>
      <c r="Y45" s="1">
        <f t="shared" si="4"/>
        <v>9.6</v>
      </c>
      <c r="Z45" s="5">
        <v>100</v>
      </c>
      <c r="AA45" s="5">
        <f>Z45*$AB$1</f>
        <v>170</v>
      </c>
      <c r="AB45" s="30">
        <f>VLOOKUP(A45,[2]TDSheet!$A:$G,7,0)</f>
        <v>0.49825783972125437</v>
      </c>
      <c r="AC45" s="5">
        <f t="shared" ref="AC45:AC70" si="24">AA45-AD45</f>
        <v>85.296167247386762</v>
      </c>
      <c r="AD45" s="5">
        <f t="shared" si="15"/>
        <v>84.703832752613238</v>
      </c>
      <c r="AE45" s="1">
        <f t="shared" si="7"/>
        <v>35.9375</v>
      </c>
      <c r="AF45" s="1">
        <f t="shared" si="21"/>
        <v>18.229166666666668</v>
      </c>
      <c r="AG45" s="1">
        <v>9.4</v>
      </c>
      <c r="AH45" s="1">
        <v>6</v>
      </c>
      <c r="AI45" s="1">
        <v>12.8</v>
      </c>
      <c r="AJ45" s="1">
        <v>21.4</v>
      </c>
      <c r="AK45" s="1">
        <v>19.8</v>
      </c>
      <c r="AL45" s="1">
        <v>8.6</v>
      </c>
      <c r="AM45" s="1">
        <v>8.8000000000000007</v>
      </c>
      <c r="AN45" s="1">
        <v>24.4</v>
      </c>
      <c r="AO45" s="1"/>
      <c r="AP45" s="1">
        <f t="shared" si="8"/>
        <v>34</v>
      </c>
      <c r="AQ45" s="1">
        <f t="shared" si="9"/>
        <v>34</v>
      </c>
      <c r="AR45" s="1"/>
      <c r="AS45" s="1"/>
      <c r="AT45" s="1"/>
      <c r="AU45" s="1"/>
      <c r="AV45" s="1"/>
    </row>
    <row r="46" spans="1:48" x14ac:dyDescent="0.25">
      <c r="A46" s="1" t="s">
        <v>89</v>
      </c>
      <c r="B46" s="1" t="s">
        <v>45</v>
      </c>
      <c r="C46" s="1">
        <v>161</v>
      </c>
      <c r="D46" s="1">
        <v>102</v>
      </c>
      <c r="E46" s="1">
        <v>57</v>
      </c>
      <c r="F46" s="1"/>
      <c r="G46" s="1"/>
      <c r="H46" s="7">
        <v>0.4</v>
      </c>
      <c r="I46" s="1">
        <v>45</v>
      </c>
      <c r="J46" s="1" t="s">
        <v>41</v>
      </c>
      <c r="K46" s="1"/>
      <c r="L46" s="1">
        <v>282</v>
      </c>
      <c r="M46" s="1">
        <f t="shared" si="20"/>
        <v>-225</v>
      </c>
      <c r="N46" s="1"/>
      <c r="O46" s="1"/>
      <c r="P46" s="1">
        <v>251.8</v>
      </c>
      <c r="Q46" s="1"/>
      <c r="R46" s="1"/>
      <c r="S46" s="13">
        <v>0</v>
      </c>
      <c r="T46" s="1"/>
      <c r="U46" s="14"/>
      <c r="V46" s="1">
        <v>0</v>
      </c>
      <c r="W46" s="1"/>
      <c r="X46" s="1"/>
      <c r="Y46" s="1">
        <f t="shared" si="4"/>
        <v>11.4</v>
      </c>
      <c r="Z46" s="5">
        <v>200</v>
      </c>
      <c r="AA46" s="5">
        <v>300</v>
      </c>
      <c r="AB46" s="30">
        <f>VLOOKUP(A46,[2]TDSheet!$A:$G,7,0)</f>
        <v>0.58163265306122458</v>
      </c>
      <c r="AC46" s="5">
        <f t="shared" si="24"/>
        <v>125.51020408163262</v>
      </c>
      <c r="AD46" s="5">
        <f t="shared" si="15"/>
        <v>174.48979591836738</v>
      </c>
      <c r="AE46" s="1">
        <f t="shared" si="7"/>
        <v>48.403508771929822</v>
      </c>
      <c r="AF46" s="1">
        <f t="shared" si="21"/>
        <v>22.087719298245613</v>
      </c>
      <c r="AG46" s="1">
        <v>16</v>
      </c>
      <c r="AH46" s="1">
        <v>27.8</v>
      </c>
      <c r="AI46" s="1">
        <v>36.4</v>
      </c>
      <c r="AJ46" s="1">
        <v>23.2</v>
      </c>
      <c r="AK46" s="1">
        <v>30.2</v>
      </c>
      <c r="AL46" s="1">
        <v>28.6</v>
      </c>
      <c r="AM46" s="1">
        <v>42.4</v>
      </c>
      <c r="AN46" s="1">
        <v>40.799999999999997</v>
      </c>
      <c r="AO46" s="1" t="s">
        <v>189</v>
      </c>
      <c r="AP46" s="1">
        <f t="shared" si="8"/>
        <v>50</v>
      </c>
      <c r="AQ46" s="1">
        <f t="shared" si="9"/>
        <v>70</v>
      </c>
      <c r="AR46" s="1"/>
      <c r="AS46" s="1"/>
      <c r="AT46" s="1"/>
      <c r="AU46" s="1"/>
      <c r="AV46" s="1"/>
    </row>
    <row r="47" spans="1:48" x14ac:dyDescent="0.25">
      <c r="A47" s="1" t="s">
        <v>90</v>
      </c>
      <c r="B47" s="1" t="s">
        <v>40</v>
      </c>
      <c r="C47" s="1">
        <v>4.5519999999999996</v>
      </c>
      <c r="D47" s="1">
        <v>109.107</v>
      </c>
      <c r="E47" s="1">
        <v>57.723999999999997</v>
      </c>
      <c r="F47" s="1">
        <v>21.068000000000001</v>
      </c>
      <c r="G47" s="1"/>
      <c r="H47" s="7">
        <v>1</v>
      </c>
      <c r="I47" s="1">
        <v>40</v>
      </c>
      <c r="J47" s="17" t="s">
        <v>51</v>
      </c>
      <c r="K47" s="1"/>
      <c r="L47" s="1">
        <v>87.7</v>
      </c>
      <c r="M47" s="1">
        <f t="shared" si="20"/>
        <v>-29.976000000000006</v>
      </c>
      <c r="N47" s="1"/>
      <c r="O47" s="1"/>
      <c r="P47" s="1">
        <v>50</v>
      </c>
      <c r="Q47" s="1"/>
      <c r="R47" s="1"/>
      <c r="S47" s="13">
        <v>100</v>
      </c>
      <c r="T47" s="1"/>
      <c r="U47" s="14"/>
      <c r="V47" s="1">
        <v>50</v>
      </c>
      <c r="W47" s="1"/>
      <c r="X47" s="1"/>
      <c r="Y47" s="1">
        <f t="shared" si="4"/>
        <v>11.544799999999999</v>
      </c>
      <c r="Z47" s="5"/>
      <c r="AA47" s="5">
        <f t="shared" si="10"/>
        <v>0</v>
      </c>
      <c r="AB47" s="30">
        <f>VLOOKUP(A47,[2]TDSheet!$A:$G,7,0)</f>
        <v>0.39275421057371884</v>
      </c>
      <c r="AC47" s="5">
        <f t="shared" si="24"/>
        <v>0</v>
      </c>
      <c r="AD47" s="5">
        <f t="shared" si="15"/>
        <v>0</v>
      </c>
      <c r="AE47" s="1">
        <f t="shared" si="7"/>
        <v>19.148707643267965</v>
      </c>
      <c r="AF47" s="1">
        <f t="shared" si="21"/>
        <v>19.148707643267965</v>
      </c>
      <c r="AG47" s="1">
        <v>8.1449999999999996</v>
      </c>
      <c r="AH47" s="1">
        <v>3.4784000000000002</v>
      </c>
      <c r="AI47" s="1">
        <v>2.7585999999999999</v>
      </c>
      <c r="AJ47" s="1">
        <v>8.6112000000000002</v>
      </c>
      <c r="AK47" s="1">
        <v>5.2758000000000003</v>
      </c>
      <c r="AL47" s="1">
        <v>-0.58460000000000001</v>
      </c>
      <c r="AM47" s="1">
        <v>1.7490000000000001</v>
      </c>
      <c r="AN47" s="1">
        <v>10.768800000000001</v>
      </c>
      <c r="AO47" s="1" t="s">
        <v>64</v>
      </c>
      <c r="AP47" s="1">
        <f t="shared" si="8"/>
        <v>0</v>
      </c>
      <c r="AQ47" s="1">
        <f t="shared" si="9"/>
        <v>0</v>
      </c>
      <c r="AR47" s="1"/>
      <c r="AS47" s="1"/>
      <c r="AT47" s="1"/>
      <c r="AU47" s="1"/>
      <c r="AV47" s="1"/>
    </row>
    <row r="48" spans="1:48" x14ac:dyDescent="0.25">
      <c r="A48" s="1" t="s">
        <v>91</v>
      </c>
      <c r="B48" s="1" t="s">
        <v>45</v>
      </c>
      <c r="C48" s="1">
        <v>31</v>
      </c>
      <c r="D48" s="1">
        <v>251</v>
      </c>
      <c r="E48" s="1">
        <v>94</v>
      </c>
      <c r="F48" s="1">
        <v>47</v>
      </c>
      <c r="G48" s="1"/>
      <c r="H48" s="7">
        <v>0.35</v>
      </c>
      <c r="I48" s="1">
        <v>40</v>
      </c>
      <c r="J48" s="17" t="s">
        <v>51</v>
      </c>
      <c r="K48" s="1"/>
      <c r="L48" s="1">
        <v>156</v>
      </c>
      <c r="M48" s="1">
        <f t="shared" si="20"/>
        <v>-62</v>
      </c>
      <c r="N48" s="1"/>
      <c r="O48" s="1"/>
      <c r="P48" s="1">
        <v>244.1999999999999</v>
      </c>
      <c r="Q48" s="1">
        <v>-246</v>
      </c>
      <c r="R48" s="1"/>
      <c r="S48" s="13">
        <v>300</v>
      </c>
      <c r="T48" s="1">
        <v>-300</v>
      </c>
      <c r="U48" s="14"/>
      <c r="V48" s="1">
        <v>200</v>
      </c>
      <c r="W48" s="1">
        <v>-204</v>
      </c>
      <c r="X48" s="1"/>
      <c r="Y48" s="1">
        <f t="shared" si="4"/>
        <v>18.8</v>
      </c>
      <c r="Z48" s="5">
        <v>100</v>
      </c>
      <c r="AA48" s="5">
        <f>Z48*$AB$1</f>
        <v>170</v>
      </c>
      <c r="AB48" s="30">
        <f>VLOOKUP(A48,[2]TDSheet!$A:$G,7,0)</f>
        <v>0.26755852842809363</v>
      </c>
      <c r="AC48" s="5">
        <f t="shared" si="24"/>
        <v>124.51505016722408</v>
      </c>
      <c r="AD48" s="5">
        <f t="shared" si="15"/>
        <v>45.484949832775918</v>
      </c>
      <c r="AE48" s="1">
        <f t="shared" si="7"/>
        <v>11.234042553191486</v>
      </c>
      <c r="AF48" s="1">
        <f t="shared" si="21"/>
        <v>2.1914893617021241</v>
      </c>
      <c r="AG48" s="1">
        <v>15.6</v>
      </c>
      <c r="AH48" s="1">
        <v>28.8</v>
      </c>
      <c r="AI48" s="1">
        <v>35.4</v>
      </c>
      <c r="AJ48" s="1">
        <v>26.6</v>
      </c>
      <c r="AK48" s="1">
        <v>13.4</v>
      </c>
      <c r="AL48" s="1">
        <v>0.4</v>
      </c>
      <c r="AM48" s="1">
        <v>13.8</v>
      </c>
      <c r="AN48" s="1">
        <v>44.6</v>
      </c>
      <c r="AO48" s="1"/>
      <c r="AP48" s="1">
        <f t="shared" si="8"/>
        <v>44</v>
      </c>
      <c r="AQ48" s="1">
        <f t="shared" si="9"/>
        <v>16</v>
      </c>
      <c r="AR48" s="1"/>
      <c r="AS48" s="1"/>
      <c r="AT48" s="1"/>
      <c r="AU48" s="1"/>
      <c r="AV48" s="1"/>
    </row>
    <row r="49" spans="1:48" x14ac:dyDescent="0.25">
      <c r="A49" s="1" t="s">
        <v>92</v>
      </c>
      <c r="B49" s="1" t="s">
        <v>45</v>
      </c>
      <c r="C49" s="1">
        <v>6</v>
      </c>
      <c r="D49" s="1">
        <v>941</v>
      </c>
      <c r="E49" s="1">
        <v>91</v>
      </c>
      <c r="F49" s="1">
        <v>330</v>
      </c>
      <c r="G49" s="1">
        <f>VLOOKUP(A49,[1]TDSheet!$A:$M,9,0)</f>
        <v>321</v>
      </c>
      <c r="H49" s="7">
        <v>0.4</v>
      </c>
      <c r="I49" s="1">
        <v>40</v>
      </c>
      <c r="J49" s="17" t="s">
        <v>51</v>
      </c>
      <c r="K49" s="1"/>
      <c r="L49" s="1">
        <v>213</v>
      </c>
      <c r="M49" s="1">
        <f t="shared" si="20"/>
        <v>-122</v>
      </c>
      <c r="N49" s="1"/>
      <c r="O49" s="1"/>
      <c r="P49" s="1">
        <v>250</v>
      </c>
      <c r="Q49" s="1"/>
      <c r="R49" s="1"/>
      <c r="S49" s="13">
        <v>0</v>
      </c>
      <c r="T49" s="1"/>
      <c r="U49" s="14"/>
      <c r="V49" s="1">
        <v>0</v>
      </c>
      <c r="W49" s="1"/>
      <c r="X49" s="1"/>
      <c r="Y49" s="1">
        <f t="shared" si="4"/>
        <v>18.2</v>
      </c>
      <c r="Z49" s="5"/>
      <c r="AA49" s="5">
        <f t="shared" si="10"/>
        <v>0</v>
      </c>
      <c r="AB49" s="30">
        <f>VLOOKUP(A49,[2]TDSheet!$A:$G,7,0)</f>
        <v>0.38158929976396538</v>
      </c>
      <c r="AC49" s="5">
        <f t="shared" si="24"/>
        <v>0</v>
      </c>
      <c r="AD49" s="5">
        <f t="shared" si="15"/>
        <v>0</v>
      </c>
      <c r="AE49" s="1">
        <f t="shared" si="7"/>
        <v>49.505494505494511</v>
      </c>
      <c r="AF49" s="1">
        <f t="shared" si="21"/>
        <v>49.505494505494511</v>
      </c>
      <c r="AG49" s="1">
        <v>16.8</v>
      </c>
      <c r="AH49" s="1">
        <v>48.8</v>
      </c>
      <c r="AI49" s="1">
        <v>98</v>
      </c>
      <c r="AJ49" s="1">
        <v>87.2</v>
      </c>
      <c r="AK49" s="1">
        <v>48.6</v>
      </c>
      <c r="AL49" s="1">
        <v>46</v>
      </c>
      <c r="AM49" s="1">
        <v>59.4</v>
      </c>
      <c r="AN49" s="1">
        <v>74.400000000000006</v>
      </c>
      <c r="AO49" s="1"/>
      <c r="AP49" s="1">
        <f t="shared" si="8"/>
        <v>0</v>
      </c>
      <c r="AQ49" s="1">
        <f t="shared" si="9"/>
        <v>0</v>
      </c>
      <c r="AR49" s="1"/>
      <c r="AS49" s="1"/>
      <c r="AT49" s="1"/>
      <c r="AU49" s="1"/>
      <c r="AV49" s="1"/>
    </row>
    <row r="50" spans="1:48" x14ac:dyDescent="0.25">
      <c r="A50" s="1" t="s">
        <v>93</v>
      </c>
      <c r="B50" s="1" t="s">
        <v>40</v>
      </c>
      <c r="C50" s="1">
        <v>90.436000000000007</v>
      </c>
      <c r="D50" s="1">
        <v>124.136</v>
      </c>
      <c r="E50" s="1">
        <v>74.319999999999993</v>
      </c>
      <c r="F50" s="1">
        <v>33.649000000000001</v>
      </c>
      <c r="G50" s="1">
        <f>VLOOKUP(A50,[1]TDSheet!$A:$M,9,0)</f>
        <v>18.77</v>
      </c>
      <c r="H50" s="7">
        <v>1</v>
      </c>
      <c r="I50" s="1">
        <v>50</v>
      </c>
      <c r="J50" s="1" t="s">
        <v>41</v>
      </c>
      <c r="K50" s="1"/>
      <c r="L50" s="1">
        <v>75.099999999999994</v>
      </c>
      <c r="M50" s="1">
        <f t="shared" si="20"/>
        <v>-0.78000000000000114</v>
      </c>
      <c r="N50" s="1"/>
      <c r="O50" s="1"/>
      <c r="P50" s="1">
        <v>0</v>
      </c>
      <c r="Q50" s="1"/>
      <c r="R50" s="1"/>
      <c r="S50" s="13">
        <v>0</v>
      </c>
      <c r="T50" s="1"/>
      <c r="U50" s="14"/>
      <c r="V50" s="1">
        <v>114.42612800000001</v>
      </c>
      <c r="W50" s="1"/>
      <c r="X50" s="1"/>
      <c r="Y50" s="1">
        <f t="shared" si="4"/>
        <v>14.863999999999999</v>
      </c>
      <c r="Z50" s="5"/>
      <c r="AA50" s="5">
        <f>Z50+$AA$1*Y50</f>
        <v>44.591999999999999</v>
      </c>
      <c r="AB50" s="30">
        <f>VLOOKUP(A50,[2]TDSheet!$A:$G,7,0)</f>
        <v>0.47706066042948408</v>
      </c>
      <c r="AC50" s="5">
        <f t="shared" si="24"/>
        <v>23.318911030128444</v>
      </c>
      <c r="AD50" s="5">
        <f t="shared" si="15"/>
        <v>21.273088969871555</v>
      </c>
      <c r="AE50" s="1">
        <f t="shared" si="7"/>
        <v>14.224779870828849</v>
      </c>
      <c r="AF50" s="1">
        <f t="shared" si="21"/>
        <v>11.224779870828849</v>
      </c>
      <c r="AG50" s="1">
        <v>16.485800000000001</v>
      </c>
      <c r="AH50" s="1">
        <v>12.978999999999999</v>
      </c>
      <c r="AI50" s="1">
        <v>13.252599999999999</v>
      </c>
      <c r="AJ50" s="1">
        <v>18.2804</v>
      </c>
      <c r="AK50" s="1">
        <v>17.846</v>
      </c>
      <c r="AL50" s="1">
        <v>16.891999999999999</v>
      </c>
      <c r="AM50" s="1">
        <v>15.883800000000001</v>
      </c>
      <c r="AN50" s="1">
        <v>13.0962</v>
      </c>
      <c r="AO50" s="1"/>
      <c r="AP50" s="1">
        <f t="shared" si="8"/>
        <v>23</v>
      </c>
      <c r="AQ50" s="1">
        <f t="shared" si="9"/>
        <v>21</v>
      </c>
      <c r="AR50" s="1"/>
      <c r="AS50" s="1"/>
      <c r="AT50" s="1"/>
      <c r="AU50" s="1"/>
      <c r="AV50" s="1"/>
    </row>
    <row r="51" spans="1:48" x14ac:dyDescent="0.25">
      <c r="A51" s="1" t="s">
        <v>94</v>
      </c>
      <c r="B51" s="1" t="s">
        <v>40</v>
      </c>
      <c r="C51" s="1">
        <v>28.701000000000001</v>
      </c>
      <c r="D51" s="1">
        <v>45.051000000000002</v>
      </c>
      <c r="E51" s="1">
        <v>0.86699999999999999</v>
      </c>
      <c r="F51" s="1"/>
      <c r="G51" s="1"/>
      <c r="H51" s="7">
        <v>1</v>
      </c>
      <c r="I51" s="1">
        <v>50</v>
      </c>
      <c r="J51" s="1" t="s">
        <v>41</v>
      </c>
      <c r="K51" s="1"/>
      <c r="L51" s="1">
        <v>90.9</v>
      </c>
      <c r="M51" s="1">
        <f t="shared" si="20"/>
        <v>-90.033000000000001</v>
      </c>
      <c r="N51" s="1"/>
      <c r="O51" s="1"/>
      <c r="P51" s="1">
        <v>250</v>
      </c>
      <c r="Q51" s="1"/>
      <c r="R51" s="1"/>
      <c r="S51" s="13">
        <v>119.06156</v>
      </c>
      <c r="T51" s="1"/>
      <c r="U51" s="14"/>
      <c r="V51" s="1">
        <v>0</v>
      </c>
      <c r="W51" s="1"/>
      <c r="X51" s="1"/>
      <c r="Y51" s="1">
        <f t="shared" si="4"/>
        <v>0.1734</v>
      </c>
      <c r="Z51" s="5"/>
      <c r="AA51" s="5">
        <f t="shared" si="10"/>
        <v>0</v>
      </c>
      <c r="AB51" s="30">
        <f>VLOOKUP(A51,[2]TDSheet!$A:$G,7,0)</f>
        <v>0.58062718822116932</v>
      </c>
      <c r="AC51" s="5">
        <f t="shared" si="24"/>
        <v>0</v>
      </c>
      <c r="AD51" s="5">
        <f t="shared" si="15"/>
        <v>0</v>
      </c>
      <c r="AE51" s="1">
        <f t="shared" si="7"/>
        <v>2128.3826989619379</v>
      </c>
      <c r="AF51" s="1">
        <f t="shared" si="21"/>
        <v>2128.3826989619379</v>
      </c>
      <c r="AG51" s="1">
        <v>14.5382</v>
      </c>
      <c r="AH51" s="1">
        <v>31.075199999999999</v>
      </c>
      <c r="AI51" s="1">
        <v>26.267199999999999</v>
      </c>
      <c r="AJ51" s="1">
        <v>8.4220000000000006</v>
      </c>
      <c r="AK51" s="1">
        <v>-0.2974</v>
      </c>
      <c r="AL51" s="1">
        <v>10.7278</v>
      </c>
      <c r="AM51" s="1">
        <v>16.38</v>
      </c>
      <c r="AN51" s="1">
        <v>5.3814000000000002</v>
      </c>
      <c r="AO51" s="1" t="s">
        <v>95</v>
      </c>
      <c r="AP51" s="1">
        <f t="shared" si="8"/>
        <v>0</v>
      </c>
      <c r="AQ51" s="1">
        <f t="shared" si="9"/>
        <v>0</v>
      </c>
      <c r="AR51" s="1"/>
      <c r="AS51" s="1"/>
      <c r="AT51" s="1"/>
      <c r="AU51" s="1"/>
      <c r="AV51" s="1"/>
    </row>
    <row r="52" spans="1:48" x14ac:dyDescent="0.25">
      <c r="A52" s="1" t="s">
        <v>96</v>
      </c>
      <c r="B52" s="1" t="s">
        <v>40</v>
      </c>
      <c r="C52" s="1">
        <v>0.434</v>
      </c>
      <c r="D52" s="1"/>
      <c r="E52" s="1"/>
      <c r="F52" s="1">
        <v>0.434</v>
      </c>
      <c r="G52" s="1"/>
      <c r="H52" s="7">
        <v>1</v>
      </c>
      <c r="I52" s="1">
        <v>45</v>
      </c>
      <c r="J52" s="17" t="s">
        <v>51</v>
      </c>
      <c r="K52" s="1"/>
      <c r="L52" s="1"/>
      <c r="M52" s="1">
        <f t="shared" si="20"/>
        <v>0</v>
      </c>
      <c r="N52" s="1"/>
      <c r="O52" s="1"/>
      <c r="P52" s="1">
        <v>80</v>
      </c>
      <c r="Q52" s="1">
        <v>-81</v>
      </c>
      <c r="R52" s="1"/>
      <c r="S52" s="13">
        <v>150</v>
      </c>
      <c r="T52" s="1"/>
      <c r="U52" s="14"/>
      <c r="V52" s="1">
        <v>100</v>
      </c>
      <c r="W52" s="1"/>
      <c r="X52" s="1"/>
      <c r="Y52" s="1">
        <f t="shared" si="4"/>
        <v>0</v>
      </c>
      <c r="Z52" s="5"/>
      <c r="AA52" s="5">
        <f t="shared" si="10"/>
        <v>0</v>
      </c>
      <c r="AB52" s="30">
        <f>VLOOKUP(A52,[2]TDSheet!$A:$G,7,0)</f>
        <v>0</v>
      </c>
      <c r="AC52" s="5">
        <f t="shared" si="24"/>
        <v>0</v>
      </c>
      <c r="AD52" s="5">
        <f t="shared" si="15"/>
        <v>0</v>
      </c>
      <c r="AE52" s="1" t="e">
        <f t="shared" si="7"/>
        <v>#DIV/0!</v>
      </c>
      <c r="AF52" s="1" t="e">
        <f t="shared" si="21"/>
        <v>#DIV/0!</v>
      </c>
      <c r="AG52" s="1">
        <v>0</v>
      </c>
      <c r="AH52" s="1">
        <v>-1.0289999999999999</v>
      </c>
      <c r="AI52" s="1">
        <v>-0.15640000000000001</v>
      </c>
      <c r="AJ52" s="1">
        <v>-0.15640000000000001</v>
      </c>
      <c r="AK52" s="1">
        <v>-1.0711999999999999</v>
      </c>
      <c r="AL52" s="1">
        <v>-1.0711999999999999</v>
      </c>
      <c r="AM52" s="1">
        <v>-0.8286</v>
      </c>
      <c r="AN52" s="1">
        <v>-1.7338</v>
      </c>
      <c r="AO52" s="1"/>
      <c r="AP52" s="1">
        <f t="shared" si="8"/>
        <v>0</v>
      </c>
      <c r="AQ52" s="1">
        <f t="shared" si="9"/>
        <v>0</v>
      </c>
      <c r="AR52" s="1"/>
      <c r="AS52" s="1"/>
      <c r="AT52" s="1"/>
      <c r="AU52" s="1"/>
      <c r="AV52" s="1"/>
    </row>
    <row r="53" spans="1:48" x14ac:dyDescent="0.25">
      <c r="A53" s="1" t="s">
        <v>97</v>
      </c>
      <c r="B53" s="1" t="s">
        <v>45</v>
      </c>
      <c r="C53" s="1">
        <v>81</v>
      </c>
      <c r="D53" s="1">
        <v>330</v>
      </c>
      <c r="E53" s="1">
        <v>107</v>
      </c>
      <c r="F53" s="1">
        <v>103</v>
      </c>
      <c r="G53" s="1">
        <f>VLOOKUP(A53,[1]TDSheet!$A:$M,9,0)</f>
        <v>116</v>
      </c>
      <c r="H53" s="7">
        <v>0.45</v>
      </c>
      <c r="I53" s="1">
        <v>50</v>
      </c>
      <c r="J53" s="1" t="s">
        <v>41</v>
      </c>
      <c r="K53" s="1"/>
      <c r="L53" s="1">
        <v>109</v>
      </c>
      <c r="M53" s="1">
        <f t="shared" si="20"/>
        <v>-2</v>
      </c>
      <c r="N53" s="1"/>
      <c r="O53" s="1"/>
      <c r="P53" s="1">
        <v>190.4</v>
      </c>
      <c r="Q53" s="1"/>
      <c r="R53" s="1"/>
      <c r="S53" s="13">
        <v>100</v>
      </c>
      <c r="T53" s="1"/>
      <c r="U53" s="14"/>
      <c r="V53" s="1">
        <v>0</v>
      </c>
      <c r="W53" s="1"/>
      <c r="X53" s="1"/>
      <c r="Y53" s="1">
        <f t="shared" si="4"/>
        <v>21.4</v>
      </c>
      <c r="Z53" s="5"/>
      <c r="AA53" s="5">
        <f t="shared" si="10"/>
        <v>0</v>
      </c>
      <c r="AB53" s="30">
        <f>VLOOKUP(A53,[2]TDSheet!$A:$G,7,0)</f>
        <v>0.52950558213716115</v>
      </c>
      <c r="AC53" s="5">
        <f t="shared" si="24"/>
        <v>0</v>
      </c>
      <c r="AD53" s="5">
        <f t="shared" si="15"/>
        <v>0</v>
      </c>
      <c r="AE53" s="1">
        <f t="shared" si="7"/>
        <v>23.803738317757009</v>
      </c>
      <c r="AF53" s="1">
        <f t="shared" si="21"/>
        <v>23.803738317757009</v>
      </c>
      <c r="AG53" s="1">
        <v>29</v>
      </c>
      <c r="AH53" s="1">
        <v>29.6</v>
      </c>
      <c r="AI53" s="1">
        <v>43</v>
      </c>
      <c r="AJ53" s="1">
        <v>42.6</v>
      </c>
      <c r="AK53" s="1">
        <v>20.399999999999999</v>
      </c>
      <c r="AL53" s="1">
        <v>15.4</v>
      </c>
      <c r="AM53" s="1">
        <v>31.4</v>
      </c>
      <c r="AN53" s="1">
        <v>32.4</v>
      </c>
      <c r="AO53" s="1"/>
      <c r="AP53" s="1">
        <f t="shared" si="8"/>
        <v>0</v>
      </c>
      <c r="AQ53" s="1">
        <f t="shared" si="9"/>
        <v>0</v>
      </c>
      <c r="AR53" s="1"/>
      <c r="AS53" s="1"/>
      <c r="AT53" s="1"/>
      <c r="AU53" s="1"/>
      <c r="AV53" s="1"/>
    </row>
    <row r="54" spans="1:48" x14ac:dyDescent="0.25">
      <c r="A54" s="1" t="s">
        <v>98</v>
      </c>
      <c r="B54" s="1" t="s">
        <v>45</v>
      </c>
      <c r="C54" s="1">
        <v>332</v>
      </c>
      <c r="D54" s="1">
        <v>675</v>
      </c>
      <c r="E54" s="1">
        <v>216</v>
      </c>
      <c r="F54" s="1">
        <v>230</v>
      </c>
      <c r="G54" s="1">
        <f>VLOOKUP(A54,[1]TDSheet!$A:$M,9,0)</f>
        <v>305</v>
      </c>
      <c r="H54" s="7">
        <v>0.45</v>
      </c>
      <c r="I54" s="1">
        <v>50</v>
      </c>
      <c r="J54" s="1" t="s">
        <v>41</v>
      </c>
      <c r="K54" s="1"/>
      <c r="L54" s="1">
        <v>232</v>
      </c>
      <c r="M54" s="1">
        <f t="shared" si="20"/>
        <v>-16</v>
      </c>
      <c r="N54" s="1"/>
      <c r="O54" s="1"/>
      <c r="P54" s="1">
        <v>0</v>
      </c>
      <c r="Q54" s="1"/>
      <c r="R54" s="1"/>
      <c r="S54" s="13">
        <v>0</v>
      </c>
      <c r="T54" s="1"/>
      <c r="U54" s="14"/>
      <c r="V54" s="1">
        <v>0</v>
      </c>
      <c r="W54" s="1"/>
      <c r="X54" s="1"/>
      <c r="Y54" s="1">
        <f t="shared" si="4"/>
        <v>43.2</v>
      </c>
      <c r="Z54" s="5"/>
      <c r="AA54" s="5">
        <f>Z54+$AA$1*Y54</f>
        <v>129.60000000000002</v>
      </c>
      <c r="AB54" s="30">
        <f>VLOOKUP(A54,[2]TDSheet!$A:$G,7,0)</f>
        <v>0.59173126614987082</v>
      </c>
      <c r="AC54" s="5">
        <f t="shared" si="24"/>
        <v>52.911627906976747</v>
      </c>
      <c r="AD54" s="5">
        <f t="shared" si="15"/>
        <v>76.688372093023276</v>
      </c>
      <c r="AE54" s="1">
        <f t="shared" si="7"/>
        <v>15.38425925925926</v>
      </c>
      <c r="AF54" s="1">
        <f t="shared" si="21"/>
        <v>12.384259259259258</v>
      </c>
      <c r="AG54" s="1">
        <v>32.200000000000003</v>
      </c>
      <c r="AH54" s="1">
        <v>15.8</v>
      </c>
      <c r="AI54" s="1">
        <v>47.8</v>
      </c>
      <c r="AJ54" s="1">
        <v>63.2</v>
      </c>
      <c r="AK54" s="1">
        <v>48.6</v>
      </c>
      <c r="AL54" s="1">
        <v>28.2</v>
      </c>
      <c r="AM54" s="1">
        <v>18</v>
      </c>
      <c r="AN54" s="1">
        <v>39.200000000000003</v>
      </c>
      <c r="AO54" s="1"/>
      <c r="AP54" s="1">
        <f t="shared" si="8"/>
        <v>24</v>
      </c>
      <c r="AQ54" s="1">
        <f t="shared" si="9"/>
        <v>35</v>
      </c>
      <c r="AR54" s="1"/>
      <c r="AS54" s="1"/>
      <c r="AT54" s="1"/>
      <c r="AU54" s="1"/>
      <c r="AV54" s="1"/>
    </row>
    <row r="55" spans="1:48" x14ac:dyDescent="0.25">
      <c r="A55" s="1" t="s">
        <v>99</v>
      </c>
      <c r="B55" s="1" t="s">
        <v>45</v>
      </c>
      <c r="C55" s="1">
        <v>5</v>
      </c>
      <c r="D55" s="1">
        <v>42</v>
      </c>
      <c r="E55" s="1">
        <v>2</v>
      </c>
      <c r="F55" s="1">
        <v>21</v>
      </c>
      <c r="G55" s="1"/>
      <c r="H55" s="7">
        <v>0.4</v>
      </c>
      <c r="I55" s="1">
        <v>40</v>
      </c>
      <c r="J55" s="17" t="s">
        <v>51</v>
      </c>
      <c r="K55" s="1"/>
      <c r="L55" s="1">
        <v>19</v>
      </c>
      <c r="M55" s="1">
        <f t="shared" si="20"/>
        <v>-17</v>
      </c>
      <c r="N55" s="1"/>
      <c r="O55" s="1"/>
      <c r="P55" s="1">
        <v>30</v>
      </c>
      <c r="Q55" s="1"/>
      <c r="R55" s="1"/>
      <c r="S55" s="13">
        <v>45</v>
      </c>
      <c r="T55" s="1">
        <v>-47.999999999999993</v>
      </c>
      <c r="U55" s="14"/>
      <c r="V55" s="1">
        <v>20</v>
      </c>
      <c r="W55" s="1"/>
      <c r="X55" s="1"/>
      <c r="Y55" s="1">
        <f t="shared" si="4"/>
        <v>0.4</v>
      </c>
      <c r="Z55" s="5">
        <v>20</v>
      </c>
      <c r="AA55" s="5">
        <f t="shared" ref="AA55:AA56" si="25">Z55*$AB$1</f>
        <v>34</v>
      </c>
      <c r="AB55" s="30">
        <f>VLOOKUP(A55,[2]TDSheet!$A:$G,7,0)</f>
        <v>0.14035087719298245</v>
      </c>
      <c r="AC55" s="5">
        <f t="shared" si="24"/>
        <v>29.228070175438596</v>
      </c>
      <c r="AD55" s="5">
        <f t="shared" si="15"/>
        <v>4.7719298245614032</v>
      </c>
      <c r="AE55" s="1">
        <f t="shared" si="7"/>
        <v>255</v>
      </c>
      <c r="AF55" s="1">
        <f t="shared" si="21"/>
        <v>170</v>
      </c>
      <c r="AG55" s="1">
        <v>0</v>
      </c>
      <c r="AH55" s="1">
        <v>-0.2</v>
      </c>
      <c r="AI55" s="1">
        <v>-0.2</v>
      </c>
      <c r="AJ55" s="1">
        <v>0</v>
      </c>
      <c r="AK55" s="1">
        <v>4</v>
      </c>
      <c r="AL55" s="1">
        <v>6.8</v>
      </c>
      <c r="AM55" s="1">
        <v>14.2</v>
      </c>
      <c r="AN55" s="1">
        <v>16.399999999999999</v>
      </c>
      <c r="AO55" s="1"/>
      <c r="AP55" s="1">
        <f t="shared" si="8"/>
        <v>12</v>
      </c>
      <c r="AQ55" s="1">
        <f t="shared" si="9"/>
        <v>2</v>
      </c>
      <c r="AR55" s="1"/>
      <c r="AS55" s="1"/>
      <c r="AT55" s="1"/>
      <c r="AU55" s="1"/>
      <c r="AV55" s="1"/>
    </row>
    <row r="56" spans="1:48" x14ac:dyDescent="0.25">
      <c r="A56" s="1" t="s">
        <v>100</v>
      </c>
      <c r="B56" s="1" t="s">
        <v>45</v>
      </c>
      <c r="C56" s="1">
        <v>23</v>
      </c>
      <c r="D56" s="1">
        <v>73</v>
      </c>
      <c r="E56" s="1">
        <v>18</v>
      </c>
      <c r="F56" s="1">
        <v>50</v>
      </c>
      <c r="G56" s="1"/>
      <c r="H56" s="7">
        <v>0.4</v>
      </c>
      <c r="I56" s="1">
        <v>40</v>
      </c>
      <c r="J56" s="17" t="s">
        <v>51</v>
      </c>
      <c r="K56" s="1"/>
      <c r="L56" s="1">
        <v>26</v>
      </c>
      <c r="M56" s="1">
        <f t="shared" si="20"/>
        <v>-8</v>
      </c>
      <c r="N56" s="1"/>
      <c r="O56" s="1"/>
      <c r="P56" s="1">
        <v>40</v>
      </c>
      <c r="Q56" s="1"/>
      <c r="R56" s="1"/>
      <c r="S56" s="13">
        <v>0</v>
      </c>
      <c r="T56" s="1"/>
      <c r="U56" s="14"/>
      <c r="V56" s="1">
        <v>0</v>
      </c>
      <c r="W56" s="1"/>
      <c r="X56" s="1"/>
      <c r="Y56" s="1">
        <f t="shared" si="4"/>
        <v>3.6</v>
      </c>
      <c r="Z56" s="5">
        <v>10</v>
      </c>
      <c r="AA56" s="5">
        <f t="shared" si="25"/>
        <v>17</v>
      </c>
      <c r="AB56" s="30">
        <f>VLOOKUP(A56,[2]TDSheet!$A:$G,7,0)</f>
        <v>0</v>
      </c>
      <c r="AC56" s="5">
        <f t="shared" si="24"/>
        <v>4</v>
      </c>
      <c r="AD56" s="34">
        <v>13</v>
      </c>
      <c r="AE56" s="1">
        <f t="shared" si="7"/>
        <v>29.722222222222221</v>
      </c>
      <c r="AF56" s="1">
        <f t="shared" si="21"/>
        <v>25</v>
      </c>
      <c r="AG56" s="1">
        <v>1.6</v>
      </c>
      <c r="AH56" s="1">
        <v>0.4</v>
      </c>
      <c r="AI56" s="1">
        <v>5.8</v>
      </c>
      <c r="AJ56" s="1">
        <v>8.8000000000000007</v>
      </c>
      <c r="AK56" s="1">
        <v>8.6</v>
      </c>
      <c r="AL56" s="1">
        <v>7.4</v>
      </c>
      <c r="AM56" s="1">
        <v>8.1999999999999993</v>
      </c>
      <c r="AN56" s="1">
        <v>12.4</v>
      </c>
      <c r="AO56" s="1"/>
      <c r="AP56" s="1">
        <f t="shared" si="8"/>
        <v>2</v>
      </c>
      <c r="AQ56" s="1">
        <f t="shared" si="9"/>
        <v>5</v>
      </c>
      <c r="AR56" s="1"/>
      <c r="AS56" s="1"/>
      <c r="AT56" s="1"/>
      <c r="AU56" s="1"/>
      <c r="AV56" s="1"/>
    </row>
    <row r="57" spans="1:48" x14ac:dyDescent="0.25">
      <c r="A57" s="1" t="s">
        <v>101</v>
      </c>
      <c r="B57" s="1" t="s">
        <v>40</v>
      </c>
      <c r="C57" s="1">
        <v>40.954000000000001</v>
      </c>
      <c r="D57" s="1">
        <v>80.497</v>
      </c>
      <c r="E57" s="1">
        <v>51.265999999999998</v>
      </c>
      <c r="F57" s="1">
        <v>16.245999999999999</v>
      </c>
      <c r="G57" s="1">
        <f>VLOOKUP(A57,[1]TDSheet!$A:$M,9,0)</f>
        <v>4.0590000000000002</v>
      </c>
      <c r="H57" s="7">
        <v>1</v>
      </c>
      <c r="I57" s="1">
        <v>50</v>
      </c>
      <c r="J57" s="1" t="s">
        <v>41</v>
      </c>
      <c r="K57" s="1"/>
      <c r="L57" s="1">
        <v>82.1</v>
      </c>
      <c r="M57" s="1">
        <f t="shared" si="20"/>
        <v>-30.833999999999996</v>
      </c>
      <c r="N57" s="1"/>
      <c r="O57" s="1"/>
      <c r="P57" s="1">
        <v>76.660399999999996</v>
      </c>
      <c r="Q57" s="1"/>
      <c r="R57" s="1"/>
      <c r="S57" s="13">
        <v>150</v>
      </c>
      <c r="T57" s="1"/>
      <c r="U57" s="14"/>
      <c r="V57" s="1">
        <v>0</v>
      </c>
      <c r="W57" s="1"/>
      <c r="X57" s="1"/>
      <c r="Y57" s="1">
        <f t="shared" si="4"/>
        <v>10.2532</v>
      </c>
      <c r="Z57" s="5"/>
      <c r="AA57" s="5">
        <f t="shared" si="10"/>
        <v>0</v>
      </c>
      <c r="AB57" s="30">
        <f>VLOOKUP(A57,[2]TDSheet!$A:$G,7,0)</f>
        <v>0.61477012866019376</v>
      </c>
      <c r="AC57" s="5">
        <f t="shared" si="24"/>
        <v>0</v>
      </c>
      <c r="AD57" s="5">
        <f t="shared" si="15"/>
        <v>0</v>
      </c>
      <c r="AE57" s="1">
        <f t="shared" si="7"/>
        <v>24.086665626341045</v>
      </c>
      <c r="AF57" s="1">
        <f t="shared" si="21"/>
        <v>24.086665626341045</v>
      </c>
      <c r="AG57" s="1">
        <v>15.079599999999999</v>
      </c>
      <c r="AH57" s="1">
        <v>14.2872</v>
      </c>
      <c r="AI57" s="1">
        <v>18.321200000000001</v>
      </c>
      <c r="AJ57" s="1">
        <v>15.973000000000001</v>
      </c>
      <c r="AK57" s="1">
        <v>7.6050000000000004</v>
      </c>
      <c r="AL57" s="1">
        <v>6.9670000000000014</v>
      </c>
      <c r="AM57" s="1">
        <v>5.6665999999999999</v>
      </c>
      <c r="AN57" s="1">
        <v>8.1686000000000014</v>
      </c>
      <c r="AO57" s="1" t="s">
        <v>64</v>
      </c>
      <c r="AP57" s="1">
        <f t="shared" si="8"/>
        <v>0</v>
      </c>
      <c r="AQ57" s="1">
        <f t="shared" si="9"/>
        <v>0</v>
      </c>
      <c r="AR57" s="1"/>
      <c r="AS57" s="1"/>
      <c r="AT57" s="1"/>
      <c r="AU57" s="1"/>
      <c r="AV57" s="1"/>
    </row>
    <row r="58" spans="1:48" x14ac:dyDescent="0.25">
      <c r="A58" s="1" t="s">
        <v>102</v>
      </c>
      <c r="B58" s="1" t="s">
        <v>45</v>
      </c>
      <c r="C58" s="1">
        <v>490</v>
      </c>
      <c r="D58" s="1">
        <v>243</v>
      </c>
      <c r="E58" s="26">
        <f>196+E132</f>
        <v>273</v>
      </c>
      <c r="F58" s="26">
        <f>157+F132</f>
        <v>141</v>
      </c>
      <c r="G58" s="26">
        <f>VLOOKUP(A58,[1]TDSheet!$A:$M,9,0)+G132</f>
        <v>179</v>
      </c>
      <c r="H58" s="7">
        <v>0.1</v>
      </c>
      <c r="I58" s="1">
        <v>731</v>
      </c>
      <c r="J58" s="1" t="s">
        <v>41</v>
      </c>
      <c r="K58" s="1"/>
      <c r="L58" s="1">
        <v>203</v>
      </c>
      <c r="M58" s="1">
        <f t="shared" si="20"/>
        <v>70</v>
      </c>
      <c r="N58" s="1"/>
      <c r="O58" s="1"/>
      <c r="P58" s="1">
        <v>83.80000000000004</v>
      </c>
      <c r="Q58" s="1"/>
      <c r="R58" s="1"/>
      <c r="S58" s="13">
        <v>0</v>
      </c>
      <c r="T58" s="1"/>
      <c r="U58" s="14"/>
      <c r="V58" s="1">
        <v>93.999999999999886</v>
      </c>
      <c r="W58" s="1"/>
      <c r="X58" s="1"/>
      <c r="Y58" s="1">
        <f t="shared" si="4"/>
        <v>54.6</v>
      </c>
      <c r="Z58" s="5">
        <f>11*Y58-X58-W58-V58-U58-T58-S58-R58-Q58-P58-G58-F58</f>
        <v>102.80000000000007</v>
      </c>
      <c r="AA58" s="5">
        <f t="shared" ref="AA58:AA61" si="26">Z58+$AA$1*Y58</f>
        <v>266.60000000000008</v>
      </c>
      <c r="AB58" s="30">
        <f>VLOOKUP(A58,[2]TDSheet!$A:$G,7,0)</f>
        <v>0.19157894736842104</v>
      </c>
      <c r="AC58" s="5">
        <f t="shared" si="24"/>
        <v>215.525052631579</v>
      </c>
      <c r="AD58" s="5">
        <f t="shared" si="15"/>
        <v>51.074947368421064</v>
      </c>
      <c r="AE58" s="1">
        <f t="shared" si="7"/>
        <v>14</v>
      </c>
      <c r="AF58" s="1">
        <f t="shared" si="21"/>
        <v>9.1172161172161168</v>
      </c>
      <c r="AG58" s="1">
        <v>50.4</v>
      </c>
      <c r="AH58" s="1">
        <v>48.6</v>
      </c>
      <c r="AI58" s="1">
        <v>62.6</v>
      </c>
      <c r="AJ58" s="1">
        <v>47.8</v>
      </c>
      <c r="AK58" s="1">
        <v>19.2</v>
      </c>
      <c r="AL58" s="1">
        <v>14.6</v>
      </c>
      <c r="AM58" s="1">
        <v>11.8</v>
      </c>
      <c r="AN58" s="1">
        <v>11</v>
      </c>
      <c r="AO58" s="1" t="s">
        <v>64</v>
      </c>
      <c r="AP58" s="1">
        <f t="shared" si="8"/>
        <v>22</v>
      </c>
      <c r="AQ58" s="1">
        <f t="shared" si="9"/>
        <v>5</v>
      </c>
      <c r="AR58" s="1"/>
      <c r="AS58" s="1"/>
      <c r="AT58" s="1"/>
      <c r="AU58" s="1"/>
      <c r="AV58" s="1"/>
    </row>
    <row r="59" spans="1:48" x14ac:dyDescent="0.25">
      <c r="A59" s="1" t="s">
        <v>103</v>
      </c>
      <c r="B59" s="1" t="s">
        <v>40</v>
      </c>
      <c r="C59" s="1">
        <v>216.81200000000001</v>
      </c>
      <c r="D59" s="1">
        <v>79.545000000000002</v>
      </c>
      <c r="E59" s="1">
        <v>164.124</v>
      </c>
      <c r="F59" s="1">
        <v>6.6539999999999999</v>
      </c>
      <c r="G59" s="1">
        <f>VLOOKUP(A59,[1]TDSheet!$A:$M,9,0)</f>
        <v>40.182000000000002</v>
      </c>
      <c r="H59" s="7">
        <v>1</v>
      </c>
      <c r="I59" s="1">
        <v>50</v>
      </c>
      <c r="J59" s="1" t="s">
        <v>41</v>
      </c>
      <c r="K59" s="1"/>
      <c r="L59" s="1">
        <v>159.9</v>
      </c>
      <c r="M59" s="1">
        <f t="shared" si="20"/>
        <v>4.2239999999999895</v>
      </c>
      <c r="N59" s="1"/>
      <c r="O59" s="1"/>
      <c r="P59" s="1">
        <v>7.4985999999999819</v>
      </c>
      <c r="Q59" s="1"/>
      <c r="R59" s="1"/>
      <c r="S59" s="13">
        <v>142.58860000000001</v>
      </c>
      <c r="T59" s="1"/>
      <c r="U59" s="14"/>
      <c r="V59" s="1">
        <v>101.35420000000001</v>
      </c>
      <c r="W59" s="1"/>
      <c r="X59" s="1"/>
      <c r="Y59" s="1">
        <f t="shared" si="4"/>
        <v>32.824799999999996</v>
      </c>
      <c r="Z59" s="5">
        <f>11*Y59-X59-W59-V59-U59-T59-S59-R59-Q59-P59-G59-F59</f>
        <v>62.795399999999987</v>
      </c>
      <c r="AA59" s="5">
        <f t="shared" si="26"/>
        <v>161.26979999999998</v>
      </c>
      <c r="AB59" s="30">
        <f>VLOOKUP(A59,[2]TDSheet!$A:$G,7,0)</f>
        <v>0.58253094910591474</v>
      </c>
      <c r="AC59" s="5">
        <f t="shared" si="24"/>
        <v>67.325150343878946</v>
      </c>
      <c r="AD59" s="5">
        <f t="shared" si="15"/>
        <v>93.94464965612103</v>
      </c>
      <c r="AE59" s="1">
        <f t="shared" si="7"/>
        <v>14</v>
      </c>
      <c r="AF59" s="1">
        <f t="shared" si="21"/>
        <v>9.086952548073409</v>
      </c>
      <c r="AG59" s="1">
        <v>29.584199999999999</v>
      </c>
      <c r="AH59" s="1">
        <v>28.664000000000001</v>
      </c>
      <c r="AI59" s="1">
        <v>22.774799999999999</v>
      </c>
      <c r="AJ59" s="1">
        <v>14.909599999999999</v>
      </c>
      <c r="AK59" s="1">
        <v>28.376000000000001</v>
      </c>
      <c r="AL59" s="1">
        <v>33.974800000000002</v>
      </c>
      <c r="AM59" s="1">
        <v>26.335999999999999</v>
      </c>
      <c r="AN59" s="1">
        <v>11.852399999999999</v>
      </c>
      <c r="AO59" s="1" t="s">
        <v>64</v>
      </c>
      <c r="AP59" s="1">
        <f t="shared" si="8"/>
        <v>67</v>
      </c>
      <c r="AQ59" s="1">
        <f t="shared" si="9"/>
        <v>94</v>
      </c>
      <c r="AR59" s="1"/>
      <c r="AS59" s="1"/>
      <c r="AT59" s="1"/>
      <c r="AU59" s="1"/>
      <c r="AV59" s="1"/>
    </row>
    <row r="60" spans="1:48" x14ac:dyDescent="0.25">
      <c r="A60" s="1" t="s">
        <v>104</v>
      </c>
      <c r="B60" s="1" t="s">
        <v>40</v>
      </c>
      <c r="C60" s="1">
        <v>42.197000000000003</v>
      </c>
      <c r="D60" s="1">
        <v>32.567999999999998</v>
      </c>
      <c r="E60" s="1">
        <v>41.384</v>
      </c>
      <c r="F60" s="1">
        <v>8.9999999999999993E-3</v>
      </c>
      <c r="G60" s="1"/>
      <c r="H60" s="7">
        <v>1</v>
      </c>
      <c r="I60" s="1">
        <v>55</v>
      </c>
      <c r="J60" s="1" t="s">
        <v>41</v>
      </c>
      <c r="K60" s="1"/>
      <c r="L60" s="1">
        <v>39.5</v>
      </c>
      <c r="M60" s="1">
        <f t="shared" si="20"/>
        <v>1.8840000000000003</v>
      </c>
      <c r="N60" s="1"/>
      <c r="O60" s="1"/>
      <c r="P60" s="1">
        <v>54.311000000000007</v>
      </c>
      <c r="Q60" s="1"/>
      <c r="R60" s="1"/>
      <c r="S60" s="13">
        <v>0</v>
      </c>
      <c r="T60" s="1"/>
      <c r="U60" s="14"/>
      <c r="V60" s="1">
        <v>4</v>
      </c>
      <c r="W60" s="1"/>
      <c r="X60" s="1"/>
      <c r="Y60" s="1">
        <f t="shared" si="4"/>
        <v>8.2767999999999997</v>
      </c>
      <c r="Z60" s="5">
        <f>11*Y60-X60-W60-V60-U60-T60-S60-R60-Q60-P60-G60-F60</f>
        <v>32.724799999999988</v>
      </c>
      <c r="AA60" s="5">
        <f t="shared" si="26"/>
        <v>57.555199999999985</v>
      </c>
      <c r="AB60" s="30">
        <f>VLOOKUP(A60,[2]TDSheet!$A:$G,7,0)</f>
        <v>0.26073559040809074</v>
      </c>
      <c r="AC60" s="5">
        <f t="shared" si="24"/>
        <v>42.548510946944248</v>
      </c>
      <c r="AD60" s="5">
        <f t="shared" si="15"/>
        <v>15.006689053055741</v>
      </c>
      <c r="AE60" s="1">
        <f t="shared" si="7"/>
        <v>14</v>
      </c>
      <c r="AF60" s="1">
        <f t="shared" si="21"/>
        <v>7.0462014305045439</v>
      </c>
      <c r="AG60" s="1">
        <v>5.8301999999999996</v>
      </c>
      <c r="AH60" s="1">
        <v>6.5529999999999999</v>
      </c>
      <c r="AI60" s="1">
        <v>8.4641999999999999</v>
      </c>
      <c r="AJ60" s="1">
        <v>5.9944000000000006</v>
      </c>
      <c r="AK60" s="1">
        <v>7.5114000000000001</v>
      </c>
      <c r="AL60" s="1">
        <v>6.9714</v>
      </c>
      <c r="AM60" s="1">
        <v>5.4367999999999999</v>
      </c>
      <c r="AN60" s="1">
        <v>7.0358000000000001</v>
      </c>
      <c r="AO60" s="1"/>
      <c r="AP60" s="1">
        <f t="shared" si="8"/>
        <v>43</v>
      </c>
      <c r="AQ60" s="1">
        <f t="shared" si="9"/>
        <v>15</v>
      </c>
      <c r="AR60" s="1"/>
      <c r="AS60" s="1"/>
      <c r="AT60" s="1"/>
      <c r="AU60" s="1"/>
      <c r="AV60" s="1"/>
    </row>
    <row r="61" spans="1:48" x14ac:dyDescent="0.25">
      <c r="A61" s="1" t="s">
        <v>105</v>
      </c>
      <c r="B61" s="1" t="s">
        <v>45</v>
      </c>
      <c r="C61" s="1">
        <v>626</v>
      </c>
      <c r="D61" s="1">
        <v>532</v>
      </c>
      <c r="E61" s="1">
        <v>174</v>
      </c>
      <c r="F61" s="1">
        <v>189</v>
      </c>
      <c r="G61" s="1">
        <f>VLOOKUP(A61,[1]TDSheet!$A:$M,9,0)</f>
        <v>225</v>
      </c>
      <c r="H61" s="7">
        <v>0.1</v>
      </c>
      <c r="I61" s="1">
        <v>731</v>
      </c>
      <c r="J61" s="1" t="s">
        <v>41</v>
      </c>
      <c r="K61" s="1"/>
      <c r="L61" s="1">
        <v>181</v>
      </c>
      <c r="M61" s="1">
        <f t="shared" si="20"/>
        <v>-7</v>
      </c>
      <c r="N61" s="1"/>
      <c r="O61" s="1"/>
      <c r="P61" s="1">
        <v>0</v>
      </c>
      <c r="Q61" s="1"/>
      <c r="R61" s="1"/>
      <c r="S61" s="13">
        <v>0</v>
      </c>
      <c r="T61" s="1"/>
      <c r="U61" s="14"/>
      <c r="V61" s="1">
        <v>0</v>
      </c>
      <c r="W61" s="1"/>
      <c r="X61" s="1"/>
      <c r="Y61" s="1">
        <f t="shared" si="4"/>
        <v>34.799999999999997</v>
      </c>
      <c r="Z61" s="5"/>
      <c r="AA61" s="5">
        <f t="shared" si="26"/>
        <v>104.39999999999999</v>
      </c>
      <c r="AB61" s="30">
        <f>VLOOKUP(A61,[2]TDSheet!$A:$G,7,0)</f>
        <v>0.12770137524557956</v>
      </c>
      <c r="AC61" s="5">
        <f t="shared" si="24"/>
        <v>91.06797642436149</v>
      </c>
      <c r="AD61" s="5">
        <f t="shared" si="15"/>
        <v>13.332023575638505</v>
      </c>
      <c r="AE61" s="1">
        <f t="shared" si="7"/>
        <v>14.896551724137932</v>
      </c>
      <c r="AF61" s="1">
        <f t="shared" si="21"/>
        <v>11.896551724137932</v>
      </c>
      <c r="AG61" s="1">
        <v>32</v>
      </c>
      <c r="AH61" s="1">
        <v>34</v>
      </c>
      <c r="AI61" s="1">
        <v>39.6</v>
      </c>
      <c r="AJ61" s="1">
        <v>29.8</v>
      </c>
      <c r="AK61" s="1">
        <v>25.2</v>
      </c>
      <c r="AL61" s="1">
        <v>21.2</v>
      </c>
      <c r="AM61" s="1">
        <v>13.2</v>
      </c>
      <c r="AN61" s="1">
        <v>16.2</v>
      </c>
      <c r="AO61" s="1" t="s">
        <v>64</v>
      </c>
      <c r="AP61" s="1">
        <f t="shared" si="8"/>
        <v>9</v>
      </c>
      <c r="AQ61" s="1">
        <f t="shared" si="9"/>
        <v>1</v>
      </c>
      <c r="AR61" s="1"/>
      <c r="AS61" s="1"/>
      <c r="AT61" s="1"/>
      <c r="AU61" s="1"/>
      <c r="AV61" s="1"/>
    </row>
    <row r="62" spans="1:48" x14ac:dyDescent="0.25">
      <c r="A62" s="1" t="s">
        <v>106</v>
      </c>
      <c r="B62" s="1" t="s">
        <v>45</v>
      </c>
      <c r="C62" s="1">
        <v>5</v>
      </c>
      <c r="D62" s="1">
        <v>22</v>
      </c>
      <c r="E62" s="1">
        <v>5</v>
      </c>
      <c r="F62" s="1">
        <v>14</v>
      </c>
      <c r="G62" s="1"/>
      <c r="H62" s="7">
        <v>0.4</v>
      </c>
      <c r="I62" s="1">
        <v>50</v>
      </c>
      <c r="J62" s="1" t="s">
        <v>41</v>
      </c>
      <c r="K62" s="1"/>
      <c r="L62" s="1">
        <v>5</v>
      </c>
      <c r="M62" s="1">
        <f t="shared" si="20"/>
        <v>0</v>
      </c>
      <c r="N62" s="1"/>
      <c r="O62" s="1"/>
      <c r="P62" s="1">
        <v>10.6</v>
      </c>
      <c r="Q62" s="1"/>
      <c r="R62" s="1"/>
      <c r="S62" s="13">
        <v>17.2</v>
      </c>
      <c r="T62" s="1"/>
      <c r="U62" s="14"/>
      <c r="V62" s="1">
        <v>0</v>
      </c>
      <c r="W62" s="1"/>
      <c r="X62" s="1"/>
      <c r="Y62" s="1">
        <f t="shared" si="4"/>
        <v>1</v>
      </c>
      <c r="Z62" s="5"/>
      <c r="AA62" s="5">
        <f t="shared" si="10"/>
        <v>0</v>
      </c>
      <c r="AB62" s="30">
        <f>VLOOKUP(A62,[2]TDSheet!$A:$G,7,0)</f>
        <v>0.1111111111111111</v>
      </c>
      <c r="AC62" s="5">
        <f t="shared" si="24"/>
        <v>0</v>
      </c>
      <c r="AD62" s="5">
        <f t="shared" si="15"/>
        <v>0</v>
      </c>
      <c r="AE62" s="1">
        <f t="shared" si="7"/>
        <v>41.8</v>
      </c>
      <c r="AF62" s="1">
        <f t="shared" si="21"/>
        <v>41.8</v>
      </c>
      <c r="AG62" s="1">
        <v>3.4</v>
      </c>
      <c r="AH62" s="1">
        <v>4</v>
      </c>
      <c r="AI62" s="1">
        <v>3.4</v>
      </c>
      <c r="AJ62" s="1">
        <v>3.2</v>
      </c>
      <c r="AK62" s="1">
        <v>1.2</v>
      </c>
      <c r="AL62" s="1">
        <v>0.2</v>
      </c>
      <c r="AM62" s="1">
        <v>3</v>
      </c>
      <c r="AN62" s="1">
        <v>3.4</v>
      </c>
      <c r="AO62" s="1"/>
      <c r="AP62" s="1">
        <f t="shared" si="8"/>
        <v>0</v>
      </c>
      <c r="AQ62" s="1">
        <f t="shared" si="9"/>
        <v>0</v>
      </c>
      <c r="AR62" s="1"/>
      <c r="AS62" s="1"/>
      <c r="AT62" s="1"/>
      <c r="AU62" s="1"/>
      <c r="AV62" s="1"/>
    </row>
    <row r="63" spans="1:48" x14ac:dyDescent="0.25">
      <c r="A63" s="1" t="s">
        <v>107</v>
      </c>
      <c r="B63" s="1" t="s">
        <v>40</v>
      </c>
      <c r="C63" s="1">
        <v>18.059000000000001</v>
      </c>
      <c r="D63" s="1">
        <v>171.55600000000001</v>
      </c>
      <c r="E63" s="1">
        <v>77.242000000000004</v>
      </c>
      <c r="F63" s="1">
        <v>62.716000000000001</v>
      </c>
      <c r="G63" s="1"/>
      <c r="H63" s="7">
        <v>1</v>
      </c>
      <c r="I63" s="1">
        <v>40</v>
      </c>
      <c r="J63" s="17" t="s">
        <v>51</v>
      </c>
      <c r="K63" s="1"/>
      <c r="L63" s="1">
        <v>120.4</v>
      </c>
      <c r="M63" s="1">
        <f t="shared" si="20"/>
        <v>-43.158000000000001</v>
      </c>
      <c r="N63" s="1"/>
      <c r="O63" s="1"/>
      <c r="P63" s="1">
        <v>150</v>
      </c>
      <c r="Q63" s="1"/>
      <c r="R63" s="1"/>
      <c r="S63" s="13">
        <v>0</v>
      </c>
      <c r="T63" s="1"/>
      <c r="U63" s="14"/>
      <c r="V63" s="1">
        <v>40</v>
      </c>
      <c r="W63" s="1"/>
      <c r="X63" s="1"/>
      <c r="Y63" s="1">
        <f t="shared" si="4"/>
        <v>15.448400000000001</v>
      </c>
      <c r="Z63" s="5">
        <v>60</v>
      </c>
      <c r="AA63" s="5">
        <f t="shared" ref="AA63:AA64" si="27">Z63*$AB$1</f>
        <v>102</v>
      </c>
      <c r="AB63" s="30">
        <f>VLOOKUP(A63,[2]TDSheet!$A:$G,7,0)</f>
        <v>0.1865257486180367</v>
      </c>
      <c r="AC63" s="5">
        <f t="shared" si="24"/>
        <v>82.974373640960252</v>
      </c>
      <c r="AD63" s="5">
        <f t="shared" si="15"/>
        <v>19.025626359039745</v>
      </c>
      <c r="AE63" s="1">
        <f t="shared" si="7"/>
        <v>22.961342274928146</v>
      </c>
      <c r="AF63" s="1">
        <f t="shared" si="21"/>
        <v>16.358716760311747</v>
      </c>
      <c r="AG63" s="1">
        <v>13.5816</v>
      </c>
      <c r="AH63" s="1">
        <v>21.594999999999999</v>
      </c>
      <c r="AI63" s="1">
        <v>26.615600000000001</v>
      </c>
      <c r="AJ63" s="1">
        <v>27.269600000000001</v>
      </c>
      <c r="AK63" s="1">
        <v>19.244599999999998</v>
      </c>
      <c r="AL63" s="1">
        <v>2.0972</v>
      </c>
      <c r="AM63" s="1">
        <v>14.3964</v>
      </c>
      <c r="AN63" s="1">
        <v>41.171799999999998</v>
      </c>
      <c r="AO63" s="1"/>
      <c r="AP63" s="1">
        <f t="shared" si="8"/>
        <v>83</v>
      </c>
      <c r="AQ63" s="1">
        <f t="shared" si="9"/>
        <v>19</v>
      </c>
      <c r="AR63" s="1"/>
      <c r="AS63" s="1"/>
      <c r="AT63" s="1"/>
      <c r="AU63" s="1"/>
      <c r="AV63" s="1"/>
    </row>
    <row r="64" spans="1:48" x14ac:dyDescent="0.25">
      <c r="A64" s="1" t="s">
        <v>108</v>
      </c>
      <c r="B64" s="1" t="s">
        <v>40</v>
      </c>
      <c r="C64" s="1">
        <v>37.82</v>
      </c>
      <c r="D64" s="1">
        <v>80.039000000000001</v>
      </c>
      <c r="E64" s="1">
        <v>59.051000000000002</v>
      </c>
      <c r="F64" s="1">
        <v>-1.748</v>
      </c>
      <c r="G64" s="1"/>
      <c r="H64" s="7">
        <v>1</v>
      </c>
      <c r="I64" s="1">
        <v>40</v>
      </c>
      <c r="J64" s="17" t="s">
        <v>51</v>
      </c>
      <c r="K64" s="1"/>
      <c r="L64" s="1">
        <v>63</v>
      </c>
      <c r="M64" s="1">
        <f t="shared" si="20"/>
        <v>-3.9489999999999981</v>
      </c>
      <c r="N64" s="1"/>
      <c r="O64" s="1"/>
      <c r="P64" s="1">
        <v>230</v>
      </c>
      <c r="Q64" s="1">
        <v>-234.9</v>
      </c>
      <c r="R64" s="1"/>
      <c r="S64" s="13">
        <v>150</v>
      </c>
      <c r="T64" s="1">
        <v>-153.9</v>
      </c>
      <c r="U64" s="14"/>
      <c r="V64" s="1">
        <v>150</v>
      </c>
      <c r="W64" s="1">
        <v>-153.9</v>
      </c>
      <c r="X64" s="1"/>
      <c r="Y64" s="1">
        <f t="shared" si="4"/>
        <v>11.8102</v>
      </c>
      <c r="Z64" s="5">
        <v>100</v>
      </c>
      <c r="AA64" s="5">
        <f t="shared" si="27"/>
        <v>170</v>
      </c>
      <c r="AB64" s="30">
        <f>VLOOKUP(A64,[2]TDSheet!$A:$G,7,0)</f>
        <v>7.2181243414120133E-2</v>
      </c>
      <c r="AC64" s="5">
        <f t="shared" si="24"/>
        <v>157.72918861959957</v>
      </c>
      <c r="AD64" s="5">
        <f t="shared" si="15"/>
        <v>12.270811380400422</v>
      </c>
      <c r="AE64" s="1">
        <f t="shared" si="7"/>
        <v>13.170987790215237</v>
      </c>
      <c r="AF64" s="1">
        <f t="shared" si="21"/>
        <v>-1.2233493082250941</v>
      </c>
      <c r="AG64" s="1">
        <v>25.3964</v>
      </c>
      <c r="AH64" s="1">
        <v>39.029400000000003</v>
      </c>
      <c r="AI64" s="1">
        <v>33.448999999999998</v>
      </c>
      <c r="AJ64" s="1">
        <v>20.904800000000002</v>
      </c>
      <c r="AK64" s="1">
        <v>8.2733999999999988</v>
      </c>
      <c r="AL64" s="1">
        <v>11.537800000000001</v>
      </c>
      <c r="AM64" s="1">
        <v>27.928999999999998</v>
      </c>
      <c r="AN64" s="1">
        <v>28.781600000000001</v>
      </c>
      <c r="AO64" s="1"/>
      <c r="AP64" s="1">
        <f t="shared" si="8"/>
        <v>158</v>
      </c>
      <c r="AQ64" s="1">
        <f t="shared" si="9"/>
        <v>12</v>
      </c>
      <c r="AR64" s="1"/>
      <c r="AS64" s="1"/>
      <c r="AT64" s="1"/>
      <c r="AU64" s="1"/>
      <c r="AV64" s="1"/>
    </row>
    <row r="65" spans="1:48" x14ac:dyDescent="0.25">
      <c r="A65" s="1" t="s">
        <v>109</v>
      </c>
      <c r="B65" s="1" t="s">
        <v>45</v>
      </c>
      <c r="C65" s="1">
        <v>97</v>
      </c>
      <c r="D65" s="1">
        <v>577</v>
      </c>
      <c r="E65" s="1">
        <v>179</v>
      </c>
      <c r="F65" s="1">
        <v>132</v>
      </c>
      <c r="G65" s="1">
        <f>VLOOKUP(A65,[1]TDSheet!$A:$M,9,0)</f>
        <v>30</v>
      </c>
      <c r="H65" s="7">
        <v>0.4</v>
      </c>
      <c r="I65" s="1">
        <v>40</v>
      </c>
      <c r="J65" s="17" t="s">
        <v>51</v>
      </c>
      <c r="K65" s="1"/>
      <c r="L65" s="1">
        <v>410</v>
      </c>
      <c r="M65" s="1">
        <f t="shared" si="20"/>
        <v>-231</v>
      </c>
      <c r="N65" s="1"/>
      <c r="O65" s="1"/>
      <c r="P65" s="1">
        <v>450</v>
      </c>
      <c r="Q65" s="1"/>
      <c r="R65" s="1"/>
      <c r="S65" s="13">
        <v>450</v>
      </c>
      <c r="T65" s="1"/>
      <c r="U65" s="14"/>
      <c r="V65" s="1">
        <v>100</v>
      </c>
      <c r="W65" s="1"/>
      <c r="X65" s="1"/>
      <c r="Y65" s="1">
        <f t="shared" si="4"/>
        <v>35.799999999999997</v>
      </c>
      <c r="Z65" s="5"/>
      <c r="AA65" s="5">
        <v>100</v>
      </c>
      <c r="AB65" s="30">
        <f>VLOOKUP(A65,[2]TDSheet!$A:$G,7,0)</f>
        <v>0.35735080058224161</v>
      </c>
      <c r="AC65" s="5">
        <f t="shared" si="24"/>
        <v>64.264919941775844</v>
      </c>
      <c r="AD65" s="5">
        <f t="shared" si="15"/>
        <v>35.735080058224163</v>
      </c>
      <c r="AE65" s="1">
        <f t="shared" si="7"/>
        <v>35.251396648044697</v>
      </c>
      <c r="AF65" s="1">
        <f t="shared" si="21"/>
        <v>32.458100558659218</v>
      </c>
      <c r="AG65" s="1">
        <v>36.6</v>
      </c>
      <c r="AH65" s="1">
        <v>28.8</v>
      </c>
      <c r="AI65" s="1">
        <v>9</v>
      </c>
      <c r="AJ65" s="1">
        <v>49</v>
      </c>
      <c r="AK65" s="1">
        <v>115.2</v>
      </c>
      <c r="AL65" s="1">
        <v>114</v>
      </c>
      <c r="AM65" s="1">
        <v>79.599999999999994</v>
      </c>
      <c r="AN65" s="1">
        <v>77.400000000000006</v>
      </c>
      <c r="AO65" s="1"/>
      <c r="AP65" s="1">
        <f t="shared" si="8"/>
        <v>26</v>
      </c>
      <c r="AQ65" s="1">
        <f t="shared" si="9"/>
        <v>14</v>
      </c>
      <c r="AR65" s="1"/>
      <c r="AS65" s="1"/>
      <c r="AT65" s="1"/>
      <c r="AU65" s="1"/>
      <c r="AV65" s="1"/>
    </row>
    <row r="66" spans="1:48" x14ac:dyDescent="0.25">
      <c r="A66" s="1" t="s">
        <v>110</v>
      </c>
      <c r="B66" s="1" t="s">
        <v>45</v>
      </c>
      <c r="C66" s="1">
        <v>112</v>
      </c>
      <c r="D66" s="1">
        <v>334</v>
      </c>
      <c r="E66" s="1">
        <v>171</v>
      </c>
      <c r="F66" s="1">
        <v>86</v>
      </c>
      <c r="G66" s="1"/>
      <c r="H66" s="7">
        <v>0.4</v>
      </c>
      <c r="I66" s="1">
        <v>40</v>
      </c>
      <c r="J66" s="1" t="s">
        <v>41</v>
      </c>
      <c r="K66" s="1"/>
      <c r="L66" s="1">
        <v>238</v>
      </c>
      <c r="M66" s="1">
        <f t="shared" si="20"/>
        <v>-67</v>
      </c>
      <c r="N66" s="1"/>
      <c r="O66" s="1"/>
      <c r="P66" s="1">
        <v>346.4</v>
      </c>
      <c r="Q66" s="1"/>
      <c r="R66" s="1"/>
      <c r="S66" s="13">
        <v>0</v>
      </c>
      <c r="T66" s="1"/>
      <c r="U66" s="14"/>
      <c r="V66" s="1">
        <v>0</v>
      </c>
      <c r="W66" s="1"/>
      <c r="X66" s="1"/>
      <c r="Y66" s="1">
        <f t="shared" si="4"/>
        <v>34.200000000000003</v>
      </c>
      <c r="Z66" s="5">
        <v>100</v>
      </c>
      <c r="AA66" s="5">
        <v>200</v>
      </c>
      <c r="AB66" s="30">
        <f>VLOOKUP(A66,[2]TDSheet!$A:$G,7,0)</f>
        <v>0.29808660624370598</v>
      </c>
      <c r="AC66" s="5">
        <f t="shared" si="24"/>
        <v>140.38267875125882</v>
      </c>
      <c r="AD66" s="5">
        <f t="shared" si="15"/>
        <v>59.617321248741192</v>
      </c>
      <c r="AE66" s="1">
        <f t="shared" si="7"/>
        <v>18.491228070175435</v>
      </c>
      <c r="AF66" s="1">
        <f t="shared" si="21"/>
        <v>12.643274853801168</v>
      </c>
      <c r="AG66" s="1">
        <v>38.4</v>
      </c>
      <c r="AH66" s="1">
        <v>38.200000000000003</v>
      </c>
      <c r="AI66" s="1">
        <v>54</v>
      </c>
      <c r="AJ66" s="1">
        <v>42.6</v>
      </c>
      <c r="AK66" s="1">
        <v>53.4</v>
      </c>
      <c r="AL66" s="1">
        <v>71.599999999999994</v>
      </c>
      <c r="AM66" s="1">
        <v>43.4</v>
      </c>
      <c r="AN66" s="1">
        <v>48.2</v>
      </c>
      <c r="AO66" s="1"/>
      <c r="AP66" s="1">
        <f t="shared" si="8"/>
        <v>56</v>
      </c>
      <c r="AQ66" s="1">
        <f t="shared" si="9"/>
        <v>24</v>
      </c>
      <c r="AR66" s="1"/>
      <c r="AS66" s="1"/>
      <c r="AT66" s="1"/>
      <c r="AU66" s="1"/>
      <c r="AV66" s="1"/>
    </row>
    <row r="67" spans="1:48" x14ac:dyDescent="0.25">
      <c r="A67" s="1" t="s">
        <v>111</v>
      </c>
      <c r="B67" s="1" t="s">
        <v>40</v>
      </c>
      <c r="C67" s="1">
        <v>12.641999999999999</v>
      </c>
      <c r="D67" s="1">
        <v>172.822</v>
      </c>
      <c r="E67" s="1">
        <v>96.736000000000004</v>
      </c>
      <c r="F67" s="1">
        <v>-8.1000000000000003E-2</v>
      </c>
      <c r="G67" s="1">
        <f>VLOOKUP(A67,[1]TDSheet!$A:$M,9,0)</f>
        <v>1.0580000000000001</v>
      </c>
      <c r="H67" s="7">
        <v>1</v>
      </c>
      <c r="I67" s="1">
        <v>40</v>
      </c>
      <c r="J67" s="17" t="s">
        <v>51</v>
      </c>
      <c r="K67" s="1"/>
      <c r="L67" s="1">
        <v>158</v>
      </c>
      <c r="M67" s="1">
        <f t="shared" si="20"/>
        <v>-61.263999999999996</v>
      </c>
      <c r="N67" s="1"/>
      <c r="O67" s="1"/>
      <c r="P67" s="1">
        <v>40</v>
      </c>
      <c r="Q67" s="1">
        <v>-43.2</v>
      </c>
      <c r="R67" s="1"/>
      <c r="S67" s="13">
        <v>75</v>
      </c>
      <c r="T67" s="1"/>
      <c r="U67" s="14"/>
      <c r="V67" s="1">
        <v>50</v>
      </c>
      <c r="W67" s="1"/>
      <c r="X67" s="1"/>
      <c r="Y67" s="1">
        <f t="shared" si="4"/>
        <v>19.347200000000001</v>
      </c>
      <c r="Z67" s="5">
        <v>50</v>
      </c>
      <c r="AA67" s="5">
        <f t="shared" ref="AA67:AA70" si="28">Z67*$AB$1</f>
        <v>85</v>
      </c>
      <c r="AB67" s="30">
        <f>VLOOKUP(A67,[2]TDSheet!$A:$G,7,0)</f>
        <v>0.21497063661856583</v>
      </c>
      <c r="AC67" s="5">
        <f t="shared" si="24"/>
        <v>66.72749588742191</v>
      </c>
      <c r="AD67" s="5">
        <f t="shared" si="15"/>
        <v>18.272504112578094</v>
      </c>
      <c r="AE67" s="1">
        <f t="shared" si="7"/>
        <v>10.739383476678796</v>
      </c>
      <c r="AF67" s="1">
        <f t="shared" si="21"/>
        <v>6.3459828812437964</v>
      </c>
      <c r="AG67" s="1">
        <v>13.451000000000001</v>
      </c>
      <c r="AH67" s="1">
        <v>8.1768000000000001</v>
      </c>
      <c r="AI67" s="1">
        <v>2.9136000000000002</v>
      </c>
      <c r="AJ67" s="1">
        <v>16.226600000000001</v>
      </c>
      <c r="AK67" s="1">
        <v>18.217400000000001</v>
      </c>
      <c r="AL67" s="1">
        <v>20.844200000000001</v>
      </c>
      <c r="AM67" s="1">
        <v>20.661999999999999</v>
      </c>
      <c r="AN67" s="1">
        <v>14.938599999999999</v>
      </c>
      <c r="AO67" s="1"/>
      <c r="AP67" s="1">
        <f t="shared" si="8"/>
        <v>67</v>
      </c>
      <c r="AQ67" s="1">
        <f t="shared" si="9"/>
        <v>18</v>
      </c>
      <c r="AR67" s="1"/>
      <c r="AS67" s="1"/>
      <c r="AT67" s="1"/>
      <c r="AU67" s="1"/>
      <c r="AV67" s="1"/>
    </row>
    <row r="68" spans="1:48" x14ac:dyDescent="0.25">
      <c r="A68" s="1" t="s">
        <v>112</v>
      </c>
      <c r="B68" s="1" t="s">
        <v>40</v>
      </c>
      <c r="C68" s="1">
        <v>10.363</v>
      </c>
      <c r="D68" s="1">
        <v>42.723999999999997</v>
      </c>
      <c r="E68" s="1">
        <v>-1.827</v>
      </c>
      <c r="F68" s="1"/>
      <c r="G68" s="1"/>
      <c r="H68" s="7">
        <v>1</v>
      </c>
      <c r="I68" s="1">
        <v>40</v>
      </c>
      <c r="J68" s="17" t="s">
        <v>51</v>
      </c>
      <c r="K68" s="1"/>
      <c r="L68" s="1">
        <v>64.900000000000006</v>
      </c>
      <c r="M68" s="1">
        <f t="shared" si="20"/>
        <v>-66.727000000000004</v>
      </c>
      <c r="N68" s="1"/>
      <c r="O68" s="1"/>
      <c r="P68" s="1">
        <v>100</v>
      </c>
      <c r="Q68" s="1">
        <v>-102.6</v>
      </c>
      <c r="R68" s="1"/>
      <c r="S68" s="13">
        <v>100</v>
      </c>
      <c r="T68" s="1"/>
      <c r="U68" s="14"/>
      <c r="V68" s="1">
        <v>50</v>
      </c>
      <c r="W68" s="1">
        <v>-54</v>
      </c>
      <c r="X68" s="1"/>
      <c r="Y68" s="1">
        <f t="shared" si="4"/>
        <v>-0.3654</v>
      </c>
      <c r="Z68" s="5">
        <v>50</v>
      </c>
      <c r="AA68" s="5">
        <f t="shared" si="28"/>
        <v>85</v>
      </c>
      <c r="AB68" s="30">
        <f>VLOOKUP(A68,[2]TDSheet!$A:$G,7,0)</f>
        <v>0.2293321336973608</v>
      </c>
      <c r="AC68" s="5">
        <f t="shared" si="24"/>
        <v>65.506768635724328</v>
      </c>
      <c r="AD68" s="5">
        <f t="shared" si="15"/>
        <v>19.493231364275669</v>
      </c>
      <c r="AE68" s="1">
        <f t="shared" si="7"/>
        <v>-488.23207443897098</v>
      </c>
      <c r="AF68" s="1">
        <f t="shared" si="21"/>
        <v>-255.61029009304872</v>
      </c>
      <c r="AG68" s="1">
        <v>-0.3654</v>
      </c>
      <c r="AH68" s="1">
        <v>-1.2702</v>
      </c>
      <c r="AI68" s="1">
        <v>-1.0875999999999999</v>
      </c>
      <c r="AJ68" s="1">
        <v>10.1266</v>
      </c>
      <c r="AK68" s="1">
        <v>11.384600000000001</v>
      </c>
      <c r="AL68" s="1">
        <v>8.4802</v>
      </c>
      <c r="AM68" s="1">
        <v>12.4748</v>
      </c>
      <c r="AN68" s="1">
        <v>12.3028</v>
      </c>
      <c r="AO68" s="1"/>
      <c r="AP68" s="1">
        <f t="shared" si="8"/>
        <v>66</v>
      </c>
      <c r="AQ68" s="1">
        <f t="shared" si="9"/>
        <v>19</v>
      </c>
      <c r="AR68" s="1"/>
      <c r="AS68" s="1"/>
      <c r="AT68" s="1"/>
      <c r="AU68" s="1"/>
      <c r="AV68" s="1"/>
    </row>
    <row r="69" spans="1:48" x14ac:dyDescent="0.25">
      <c r="A69" s="1" t="s">
        <v>113</v>
      </c>
      <c r="B69" s="1" t="s">
        <v>40</v>
      </c>
      <c r="C69" s="1">
        <v>3.806</v>
      </c>
      <c r="D69" s="1">
        <v>513.38300000000004</v>
      </c>
      <c r="E69" s="1">
        <v>194.16800000000001</v>
      </c>
      <c r="F69" s="1">
        <v>50.837000000000003</v>
      </c>
      <c r="G69" s="1">
        <f>VLOOKUP(A69,[1]TDSheet!$A:$M,9,0)</f>
        <v>66.376999999999995</v>
      </c>
      <c r="H69" s="7">
        <v>1</v>
      </c>
      <c r="I69" s="1">
        <v>40</v>
      </c>
      <c r="J69" s="17" t="s">
        <v>51</v>
      </c>
      <c r="K69" s="1"/>
      <c r="L69" s="1">
        <v>292.3</v>
      </c>
      <c r="M69" s="1">
        <f t="shared" si="20"/>
        <v>-98.132000000000005</v>
      </c>
      <c r="N69" s="1"/>
      <c r="O69" s="1"/>
      <c r="P69" s="1">
        <v>300</v>
      </c>
      <c r="Q69" s="1"/>
      <c r="R69" s="1"/>
      <c r="S69" s="13">
        <v>0</v>
      </c>
      <c r="T69" s="1"/>
      <c r="U69" s="14"/>
      <c r="V69" s="1">
        <v>0</v>
      </c>
      <c r="W69" s="1"/>
      <c r="X69" s="1"/>
      <c r="Y69" s="1">
        <f t="shared" si="4"/>
        <v>38.833600000000004</v>
      </c>
      <c r="Z69" s="5">
        <v>100</v>
      </c>
      <c r="AA69" s="5">
        <v>250</v>
      </c>
      <c r="AB69" s="30">
        <f>VLOOKUP(A69,[2]TDSheet!$A:$G,7,0)</f>
        <v>0.25822993542952138</v>
      </c>
      <c r="AC69" s="5">
        <f t="shared" si="24"/>
        <v>185.44251614261964</v>
      </c>
      <c r="AD69" s="5">
        <f t="shared" si="15"/>
        <v>64.557483857380348</v>
      </c>
      <c r="AE69" s="1">
        <f t="shared" si="7"/>
        <v>17.181358411272711</v>
      </c>
      <c r="AF69" s="1">
        <f t="shared" si="21"/>
        <v>10.74363437847637</v>
      </c>
      <c r="AG69" s="1">
        <v>-1.4410000000000001</v>
      </c>
      <c r="AH69" s="1">
        <v>-0.9012</v>
      </c>
      <c r="AI69" s="1">
        <v>26.5594</v>
      </c>
      <c r="AJ69" s="1">
        <v>56.472000000000001</v>
      </c>
      <c r="AK69" s="1">
        <v>75.826599999999999</v>
      </c>
      <c r="AL69" s="1">
        <v>76.188999999999993</v>
      </c>
      <c r="AM69" s="1">
        <v>96.034199999999998</v>
      </c>
      <c r="AN69" s="1">
        <v>98.497799999999998</v>
      </c>
      <c r="AO69" s="1"/>
      <c r="AP69" s="1">
        <f t="shared" si="8"/>
        <v>185</v>
      </c>
      <c r="AQ69" s="1">
        <f t="shared" si="9"/>
        <v>65</v>
      </c>
      <c r="AR69" s="1"/>
      <c r="AS69" s="1"/>
      <c r="AT69" s="1"/>
      <c r="AU69" s="1"/>
      <c r="AV69" s="1"/>
    </row>
    <row r="70" spans="1:48" x14ac:dyDescent="0.25">
      <c r="A70" s="1" t="s">
        <v>114</v>
      </c>
      <c r="B70" s="1" t="s">
        <v>40</v>
      </c>
      <c r="C70" s="1">
        <v>11.217000000000001</v>
      </c>
      <c r="D70" s="1">
        <v>23.911999999999999</v>
      </c>
      <c r="E70" s="1">
        <v>13.554</v>
      </c>
      <c r="F70" s="1"/>
      <c r="G70" s="1"/>
      <c r="H70" s="7">
        <v>1</v>
      </c>
      <c r="I70" s="1">
        <v>40</v>
      </c>
      <c r="J70" s="17" t="s">
        <v>51</v>
      </c>
      <c r="K70" s="1"/>
      <c r="L70" s="1">
        <v>54.9</v>
      </c>
      <c r="M70" s="1">
        <f t="shared" ref="M70:M101" si="29">E70-L70</f>
        <v>-41.345999999999997</v>
      </c>
      <c r="N70" s="1"/>
      <c r="O70" s="1"/>
      <c r="P70" s="1">
        <v>120</v>
      </c>
      <c r="Q70" s="1">
        <v>-124.2</v>
      </c>
      <c r="R70" s="1"/>
      <c r="S70" s="13">
        <v>100</v>
      </c>
      <c r="T70" s="1">
        <v>-102.6</v>
      </c>
      <c r="U70" s="14"/>
      <c r="V70" s="1">
        <v>80</v>
      </c>
      <c r="W70" s="1">
        <v>-81</v>
      </c>
      <c r="X70" s="1"/>
      <c r="Y70" s="1">
        <f t="shared" si="4"/>
        <v>2.7107999999999999</v>
      </c>
      <c r="Z70" s="5">
        <v>80</v>
      </c>
      <c r="AA70" s="5">
        <f t="shared" si="28"/>
        <v>136</v>
      </c>
      <c r="AB70" s="30">
        <f>VLOOKUP(A70,[2]TDSheet!$A:$G,7,0)</f>
        <v>0.30712434907297931</v>
      </c>
      <c r="AC70" s="5">
        <f t="shared" si="24"/>
        <v>94.231088526074814</v>
      </c>
      <c r="AD70" s="5">
        <f t="shared" si="15"/>
        <v>41.768911473925186</v>
      </c>
      <c r="AE70" s="1">
        <f t="shared" si="7"/>
        <v>47.292312232551275</v>
      </c>
      <c r="AF70" s="1">
        <f t="shared" ref="AF70:AF101" si="30">(F70+G70+P70+Q70+R70+S70+T70+U70+V70+W70+X70)/Y70</f>
        <v>-2.8773793714032747</v>
      </c>
      <c r="AG70" s="1">
        <v>18.175599999999999</v>
      </c>
      <c r="AH70" s="1">
        <v>14.3584</v>
      </c>
      <c r="AI70" s="1">
        <v>-0.11700000000000001</v>
      </c>
      <c r="AJ70" s="1">
        <v>11.7364</v>
      </c>
      <c r="AK70" s="1">
        <v>16.224799999999998</v>
      </c>
      <c r="AL70" s="1">
        <v>34.017000000000003</v>
      </c>
      <c r="AM70" s="1">
        <v>35.487000000000002</v>
      </c>
      <c r="AN70" s="1">
        <v>19.944600000000001</v>
      </c>
      <c r="AO70" s="1"/>
      <c r="AP70" s="1">
        <f t="shared" si="8"/>
        <v>94</v>
      </c>
      <c r="AQ70" s="1">
        <f t="shared" si="9"/>
        <v>42</v>
      </c>
      <c r="AR70" s="1"/>
      <c r="AS70" s="1"/>
      <c r="AT70" s="1"/>
      <c r="AU70" s="1"/>
      <c r="AV70" s="1"/>
    </row>
    <row r="71" spans="1:48" x14ac:dyDescent="0.25">
      <c r="A71" s="18" t="s">
        <v>115</v>
      </c>
      <c r="B71" s="18" t="s">
        <v>45</v>
      </c>
      <c r="C71" s="18"/>
      <c r="D71" s="18"/>
      <c r="E71" s="18"/>
      <c r="F71" s="18"/>
      <c r="G71" s="18"/>
      <c r="H71" s="19">
        <v>0</v>
      </c>
      <c r="I71" s="18"/>
      <c r="J71" s="18" t="s">
        <v>41</v>
      </c>
      <c r="K71" s="18"/>
      <c r="L71" s="18"/>
      <c r="M71" s="18">
        <f t="shared" si="29"/>
        <v>0</v>
      </c>
      <c r="N71" s="18"/>
      <c r="O71" s="18"/>
      <c r="P71" s="18">
        <v>0</v>
      </c>
      <c r="Q71" s="18"/>
      <c r="R71" s="18"/>
      <c r="S71" s="20">
        <v>0</v>
      </c>
      <c r="T71" s="18"/>
      <c r="U71" s="21"/>
      <c r="V71" s="18">
        <v>0</v>
      </c>
      <c r="W71" s="18"/>
      <c r="X71" s="18"/>
      <c r="Y71" s="18">
        <f t="shared" ref="Y71:Y132" si="31">E71/5</f>
        <v>0</v>
      </c>
      <c r="Z71" s="22"/>
      <c r="AA71" s="5">
        <f t="shared" ref="AA71:AA132" si="32">Z71</f>
        <v>0</v>
      </c>
      <c r="AB71" s="31"/>
      <c r="AC71" s="22"/>
      <c r="AD71" s="22"/>
      <c r="AE71" s="1" t="e">
        <f t="shared" ref="AE71:AE132" si="33">(F71+G71+P71+Q71+R71+S71+T71+U71+V71+W71+X71+AC71+AD71)/Y71</f>
        <v>#DIV/0!</v>
      </c>
      <c r="AF71" s="18" t="e">
        <f t="shared" si="30"/>
        <v>#DIV/0!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 t="s">
        <v>46</v>
      </c>
      <c r="AP71" s="1">
        <f t="shared" ref="AP71:AP132" si="34">ROUND(H71*AC71,0)</f>
        <v>0</v>
      </c>
      <c r="AQ71" s="1">
        <f t="shared" ref="AQ71:AQ132" si="35">ROUND(H71*AD71,0)</f>
        <v>0</v>
      </c>
      <c r="AR71" s="1"/>
      <c r="AS71" s="1"/>
      <c r="AT71" s="1"/>
      <c r="AU71" s="1"/>
      <c r="AV71" s="1"/>
    </row>
    <row r="72" spans="1:48" x14ac:dyDescent="0.25">
      <c r="A72" s="1" t="s">
        <v>116</v>
      </c>
      <c r="B72" s="1" t="s">
        <v>40</v>
      </c>
      <c r="C72" s="1">
        <v>97.472999999999999</v>
      </c>
      <c r="D72" s="1">
        <v>242.059</v>
      </c>
      <c r="E72" s="1">
        <v>56.622999999999998</v>
      </c>
      <c r="F72" s="1">
        <v>57.883000000000003</v>
      </c>
      <c r="G72" s="1">
        <f>VLOOKUP(A72,[1]TDSheet!$A:$M,9,0)</f>
        <v>0.02</v>
      </c>
      <c r="H72" s="7">
        <v>1</v>
      </c>
      <c r="I72" s="1">
        <v>30</v>
      </c>
      <c r="J72" s="17" t="s">
        <v>51</v>
      </c>
      <c r="K72" s="1"/>
      <c r="L72" s="1">
        <v>130.1</v>
      </c>
      <c r="M72" s="1">
        <f t="shared" si="29"/>
        <v>-73.477000000000004</v>
      </c>
      <c r="N72" s="1"/>
      <c r="O72" s="1"/>
      <c r="P72" s="1">
        <v>150</v>
      </c>
      <c r="Q72" s="1"/>
      <c r="R72" s="1"/>
      <c r="S72" s="13">
        <v>0</v>
      </c>
      <c r="T72" s="1"/>
      <c r="U72" s="14"/>
      <c r="V72" s="1">
        <v>50</v>
      </c>
      <c r="W72" s="1"/>
      <c r="X72" s="1"/>
      <c r="Y72" s="1">
        <f t="shared" si="31"/>
        <v>11.3246</v>
      </c>
      <c r="Z72" s="5">
        <v>40</v>
      </c>
      <c r="AA72" s="5">
        <f>Z72*$AB$1</f>
        <v>68</v>
      </c>
      <c r="AB72" s="30">
        <f>VLOOKUP(A72,[2]TDSheet!$A:$G,7,0)</f>
        <v>0.10233475877166946</v>
      </c>
      <c r="AC72" s="5">
        <f t="shared" ref="AC72:AC74" si="36">AA72-AD72</f>
        <v>61.041236403526476</v>
      </c>
      <c r="AD72" s="5">
        <f t="shared" si="15"/>
        <v>6.9587635964735233</v>
      </c>
      <c r="AE72" s="1">
        <f t="shared" si="33"/>
        <v>28.778323296187065</v>
      </c>
      <c r="AF72" s="1">
        <f t="shared" si="30"/>
        <v>22.773696201190329</v>
      </c>
      <c r="AG72" s="1">
        <v>-3.0474000000000001</v>
      </c>
      <c r="AH72" s="1">
        <v>6.3057999999999996</v>
      </c>
      <c r="AI72" s="1">
        <v>38.624600000000001</v>
      </c>
      <c r="AJ72" s="1">
        <v>42.8994</v>
      </c>
      <c r="AK72" s="1">
        <v>11.5352</v>
      </c>
      <c r="AL72" s="1">
        <v>1.75</v>
      </c>
      <c r="AM72" s="1">
        <v>29.075600000000001</v>
      </c>
      <c r="AN72" s="1">
        <v>33.2898</v>
      </c>
      <c r="AO72" s="1" t="s">
        <v>117</v>
      </c>
      <c r="AP72" s="1">
        <f t="shared" si="34"/>
        <v>61</v>
      </c>
      <c r="AQ72" s="1">
        <f t="shared" si="35"/>
        <v>7</v>
      </c>
      <c r="AR72" s="1"/>
      <c r="AS72" s="1"/>
      <c r="AT72" s="1"/>
      <c r="AU72" s="1"/>
      <c r="AV72" s="1"/>
    </row>
    <row r="73" spans="1:48" x14ac:dyDescent="0.25">
      <c r="A73" s="1" t="s">
        <v>118</v>
      </c>
      <c r="B73" s="1" t="s">
        <v>45</v>
      </c>
      <c r="C73" s="1">
        <v>415</v>
      </c>
      <c r="D73" s="1">
        <v>206</v>
      </c>
      <c r="E73" s="1">
        <v>181</v>
      </c>
      <c r="F73" s="1">
        <v>100</v>
      </c>
      <c r="G73" s="1">
        <f>VLOOKUP(A73,[1]TDSheet!$A:$M,9,0)</f>
        <v>117</v>
      </c>
      <c r="H73" s="7">
        <v>0.6</v>
      </c>
      <c r="I73" s="1">
        <v>60</v>
      </c>
      <c r="J73" s="1" t="s">
        <v>41</v>
      </c>
      <c r="K73" s="1"/>
      <c r="L73" s="1">
        <v>173</v>
      </c>
      <c r="M73" s="1">
        <f t="shared" si="29"/>
        <v>8</v>
      </c>
      <c r="N73" s="1"/>
      <c r="O73" s="1"/>
      <c r="P73" s="1">
        <v>0</v>
      </c>
      <c r="Q73" s="1"/>
      <c r="R73" s="1"/>
      <c r="S73" s="13">
        <v>0</v>
      </c>
      <c r="T73" s="1"/>
      <c r="U73" s="14"/>
      <c r="V73" s="1">
        <v>63</v>
      </c>
      <c r="W73" s="1"/>
      <c r="X73" s="1"/>
      <c r="Y73" s="1">
        <f t="shared" si="31"/>
        <v>36.200000000000003</v>
      </c>
      <c r="Z73" s="5">
        <f>11*Y73-X73-W73-V73-U73-T73-S73-R73-Q73-P73-G73-F73</f>
        <v>118.20000000000005</v>
      </c>
      <c r="AA73" s="5">
        <f t="shared" ref="AA73:AA74" si="37">Z73+$AA$1*Y73</f>
        <v>226.80000000000007</v>
      </c>
      <c r="AB73" s="30">
        <f>VLOOKUP(A73,[2]TDSheet!$A:$G,7,0)</f>
        <v>0.65653495440729481</v>
      </c>
      <c r="AC73" s="5">
        <f t="shared" si="36"/>
        <v>77.89787234042555</v>
      </c>
      <c r="AD73" s="5">
        <f t="shared" si="15"/>
        <v>148.90212765957452</v>
      </c>
      <c r="AE73" s="1">
        <f t="shared" si="33"/>
        <v>14</v>
      </c>
      <c r="AF73" s="1">
        <f t="shared" si="30"/>
        <v>7.7348066298342539</v>
      </c>
      <c r="AG73" s="1">
        <v>27</v>
      </c>
      <c r="AH73" s="1">
        <v>1.2</v>
      </c>
      <c r="AI73" s="1">
        <v>3.2</v>
      </c>
      <c r="AJ73" s="1">
        <v>19.399999999999999</v>
      </c>
      <c r="AK73" s="1">
        <v>37</v>
      </c>
      <c r="AL73" s="1">
        <v>27.2</v>
      </c>
      <c r="AM73" s="1">
        <v>8.6</v>
      </c>
      <c r="AN73" s="1">
        <v>18.600000000000001</v>
      </c>
      <c r="AO73" s="1"/>
      <c r="AP73" s="1">
        <f t="shared" si="34"/>
        <v>47</v>
      </c>
      <c r="AQ73" s="1">
        <f t="shared" si="35"/>
        <v>89</v>
      </c>
      <c r="AR73" s="1"/>
      <c r="AS73" s="1"/>
      <c r="AT73" s="1"/>
      <c r="AU73" s="1"/>
      <c r="AV73" s="1"/>
    </row>
    <row r="74" spans="1:48" x14ac:dyDescent="0.25">
      <c r="A74" s="1" t="s">
        <v>119</v>
      </c>
      <c r="B74" s="1" t="s">
        <v>45</v>
      </c>
      <c r="C74" s="1">
        <v>463</v>
      </c>
      <c r="D74" s="1">
        <v>585</v>
      </c>
      <c r="E74" s="1">
        <v>238</v>
      </c>
      <c r="F74" s="1">
        <v>110</v>
      </c>
      <c r="G74" s="1">
        <f>VLOOKUP(A74,[1]TDSheet!$A:$M,9,0)</f>
        <v>141</v>
      </c>
      <c r="H74" s="7">
        <v>0.6</v>
      </c>
      <c r="I74" s="1">
        <v>60</v>
      </c>
      <c r="J74" s="1" t="s">
        <v>41</v>
      </c>
      <c r="K74" s="1"/>
      <c r="L74" s="1">
        <v>226</v>
      </c>
      <c r="M74" s="1">
        <f t="shared" si="29"/>
        <v>12</v>
      </c>
      <c r="N74" s="1"/>
      <c r="O74" s="1"/>
      <c r="P74" s="1">
        <v>0</v>
      </c>
      <c r="Q74" s="1"/>
      <c r="R74" s="1"/>
      <c r="S74" s="13">
        <v>0</v>
      </c>
      <c r="T74" s="1"/>
      <c r="U74" s="14"/>
      <c r="V74" s="1">
        <v>174</v>
      </c>
      <c r="W74" s="1"/>
      <c r="X74" s="1"/>
      <c r="Y74" s="1">
        <f t="shared" si="31"/>
        <v>47.6</v>
      </c>
      <c r="Z74" s="5">
        <f>11*Y74-X74-W74-V74-U74-T74-S74-R74-Q74-P74-G74-F74</f>
        <v>98.600000000000023</v>
      </c>
      <c r="AA74" s="5">
        <f t="shared" si="37"/>
        <v>241.40000000000003</v>
      </c>
      <c r="AB74" s="30">
        <f>VLOOKUP(A74,[2]TDSheet!$A:$G,7,0)</f>
        <v>0.72602739726027399</v>
      </c>
      <c r="AC74" s="5">
        <f t="shared" si="36"/>
        <v>66.136986301369859</v>
      </c>
      <c r="AD74" s="5">
        <f t="shared" si="15"/>
        <v>175.26301369863017</v>
      </c>
      <c r="AE74" s="1">
        <f t="shared" si="33"/>
        <v>14.000000000000002</v>
      </c>
      <c r="AF74" s="1">
        <f t="shared" si="30"/>
        <v>8.9285714285714288</v>
      </c>
      <c r="AG74" s="1">
        <v>37</v>
      </c>
      <c r="AH74" s="1">
        <v>11.8</v>
      </c>
      <c r="AI74" s="1">
        <v>25.4</v>
      </c>
      <c r="AJ74" s="1">
        <v>30.4</v>
      </c>
      <c r="AK74" s="1">
        <v>51</v>
      </c>
      <c r="AL74" s="1">
        <v>42</v>
      </c>
      <c r="AM74" s="1">
        <v>18.399999999999999</v>
      </c>
      <c r="AN74" s="1">
        <v>32</v>
      </c>
      <c r="AO74" s="1"/>
      <c r="AP74" s="1">
        <f t="shared" si="34"/>
        <v>40</v>
      </c>
      <c r="AQ74" s="1">
        <f t="shared" si="35"/>
        <v>105</v>
      </c>
      <c r="AR74" s="1"/>
      <c r="AS74" s="1"/>
      <c r="AT74" s="1"/>
      <c r="AU74" s="1"/>
      <c r="AV74" s="1"/>
    </row>
    <row r="75" spans="1:48" x14ac:dyDescent="0.25">
      <c r="A75" s="18" t="s">
        <v>120</v>
      </c>
      <c r="B75" s="18" t="s">
        <v>45</v>
      </c>
      <c r="C75" s="18">
        <v>-3</v>
      </c>
      <c r="D75" s="18">
        <v>3</v>
      </c>
      <c r="E75" s="18"/>
      <c r="F75" s="18"/>
      <c r="G75" s="18"/>
      <c r="H75" s="19">
        <v>0</v>
      </c>
      <c r="I75" s="18"/>
      <c r="J75" s="18" t="s">
        <v>77</v>
      </c>
      <c r="K75" s="18" t="s">
        <v>118</v>
      </c>
      <c r="L75" s="18"/>
      <c r="M75" s="18">
        <f t="shared" si="29"/>
        <v>0</v>
      </c>
      <c r="N75" s="18"/>
      <c r="O75" s="18"/>
      <c r="P75" s="18"/>
      <c r="Q75" s="18"/>
      <c r="R75" s="18"/>
      <c r="S75" s="20">
        <v>0</v>
      </c>
      <c r="T75" s="18"/>
      <c r="U75" s="21"/>
      <c r="V75" s="18">
        <v>0</v>
      </c>
      <c r="W75" s="18"/>
      <c r="X75" s="18"/>
      <c r="Y75" s="18">
        <f t="shared" si="31"/>
        <v>0</v>
      </c>
      <c r="Z75" s="22"/>
      <c r="AA75" s="5">
        <f t="shared" si="32"/>
        <v>0</v>
      </c>
      <c r="AB75" s="31"/>
      <c r="AC75" s="22"/>
      <c r="AD75" s="22"/>
      <c r="AE75" s="1" t="e">
        <f t="shared" si="33"/>
        <v>#DIV/0!</v>
      </c>
      <c r="AF75" s="18" t="e">
        <f t="shared" si="30"/>
        <v>#DIV/0!</v>
      </c>
      <c r="AG75" s="18">
        <v>0.6</v>
      </c>
      <c r="AH75" s="18">
        <v>0.6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/>
      <c r="AP75" s="1">
        <f t="shared" si="34"/>
        <v>0</v>
      </c>
      <c r="AQ75" s="1">
        <f t="shared" si="35"/>
        <v>0</v>
      </c>
      <c r="AR75" s="1"/>
      <c r="AS75" s="1"/>
      <c r="AT75" s="1"/>
      <c r="AU75" s="1"/>
      <c r="AV75" s="1"/>
    </row>
    <row r="76" spans="1:48" x14ac:dyDescent="0.25">
      <c r="A76" s="1" t="s">
        <v>121</v>
      </c>
      <c r="B76" s="1" t="s">
        <v>45</v>
      </c>
      <c r="C76" s="1">
        <v>106</v>
      </c>
      <c r="D76" s="1">
        <v>158</v>
      </c>
      <c r="E76" s="1">
        <v>90</v>
      </c>
      <c r="F76" s="1">
        <v>39</v>
      </c>
      <c r="G76" s="1">
        <f>VLOOKUP(A76,[1]TDSheet!$A:$M,9,0)</f>
        <v>7</v>
      </c>
      <c r="H76" s="7">
        <v>0.4</v>
      </c>
      <c r="I76" s="1">
        <v>90</v>
      </c>
      <c r="J76" s="17" t="s">
        <v>51</v>
      </c>
      <c r="K76" s="1"/>
      <c r="L76" s="1">
        <v>80</v>
      </c>
      <c r="M76" s="1">
        <f t="shared" si="29"/>
        <v>10</v>
      </c>
      <c r="N76" s="1"/>
      <c r="O76" s="1"/>
      <c r="P76" s="1">
        <v>136.6</v>
      </c>
      <c r="Q76" s="1">
        <v>-144</v>
      </c>
      <c r="R76" s="1"/>
      <c r="S76" s="13">
        <v>144</v>
      </c>
      <c r="T76" s="1"/>
      <c r="U76" s="14"/>
      <c r="V76" s="1">
        <v>100</v>
      </c>
      <c r="W76" s="1"/>
      <c r="X76" s="1"/>
      <c r="Y76" s="1">
        <f t="shared" si="31"/>
        <v>18</v>
      </c>
      <c r="Z76" s="5">
        <v>40</v>
      </c>
      <c r="AA76" s="5">
        <f t="shared" ref="AA76:AA78" si="38">Z76*$AB$1</f>
        <v>68</v>
      </c>
      <c r="AB76" s="30">
        <f>VLOOKUP(A76,[2]TDSheet!$A:$G,7,0)</f>
        <v>0.29090909090909089</v>
      </c>
      <c r="AC76" s="5">
        <f t="shared" ref="AC76:AC84" si="39">AA76-AD76</f>
        <v>48.218181818181819</v>
      </c>
      <c r="AD76" s="5">
        <f t="shared" si="15"/>
        <v>19.781818181818181</v>
      </c>
      <c r="AE76" s="1">
        <f t="shared" si="33"/>
        <v>19.477777777777778</v>
      </c>
      <c r="AF76" s="1">
        <f t="shared" si="30"/>
        <v>15.700000000000001</v>
      </c>
      <c r="AG76" s="1">
        <v>23.6</v>
      </c>
      <c r="AH76" s="1">
        <v>29</v>
      </c>
      <c r="AI76" s="1">
        <v>27.8</v>
      </c>
      <c r="AJ76" s="1">
        <v>26</v>
      </c>
      <c r="AK76" s="1">
        <v>21.4</v>
      </c>
      <c r="AL76" s="1">
        <v>17</v>
      </c>
      <c r="AM76" s="1">
        <v>24.2</v>
      </c>
      <c r="AN76" s="1">
        <v>25.2</v>
      </c>
      <c r="AO76" s="1"/>
      <c r="AP76" s="1">
        <f t="shared" si="34"/>
        <v>19</v>
      </c>
      <c r="AQ76" s="1">
        <f t="shared" si="35"/>
        <v>8</v>
      </c>
      <c r="AR76" s="1"/>
      <c r="AS76" s="1"/>
      <c r="AT76" s="1"/>
      <c r="AU76" s="1"/>
      <c r="AV76" s="1"/>
    </row>
    <row r="77" spans="1:48" x14ac:dyDescent="0.25">
      <c r="A77" s="1" t="s">
        <v>122</v>
      </c>
      <c r="B77" s="1" t="s">
        <v>45</v>
      </c>
      <c r="C77" s="1">
        <v>66</v>
      </c>
      <c r="D77" s="1">
        <v>307</v>
      </c>
      <c r="E77" s="1">
        <v>106</v>
      </c>
      <c r="F77" s="1">
        <v>87</v>
      </c>
      <c r="G77" s="1">
        <f>VLOOKUP(A77,[1]TDSheet!$A:$M,9,0)</f>
        <v>40</v>
      </c>
      <c r="H77" s="7">
        <v>0.33</v>
      </c>
      <c r="I77" s="1">
        <v>60</v>
      </c>
      <c r="J77" s="17" t="s">
        <v>51</v>
      </c>
      <c r="K77" s="1"/>
      <c r="L77" s="1">
        <v>119</v>
      </c>
      <c r="M77" s="1">
        <f t="shared" si="29"/>
        <v>-13</v>
      </c>
      <c r="N77" s="1"/>
      <c r="O77" s="1"/>
      <c r="P77" s="1">
        <v>179.8</v>
      </c>
      <c r="Q77" s="1">
        <v>-184</v>
      </c>
      <c r="R77" s="1"/>
      <c r="S77" s="13">
        <v>184</v>
      </c>
      <c r="T77" s="1"/>
      <c r="U77" s="14"/>
      <c r="V77" s="1">
        <v>100</v>
      </c>
      <c r="W77" s="1"/>
      <c r="X77" s="1"/>
      <c r="Y77" s="1">
        <f t="shared" si="31"/>
        <v>21.2</v>
      </c>
      <c r="Z77" s="5">
        <v>60</v>
      </c>
      <c r="AA77" s="5">
        <f t="shared" si="38"/>
        <v>102</v>
      </c>
      <c r="AB77" s="30">
        <f>VLOOKUP(A77,[2]TDSheet!$A:$G,7,0)</f>
        <v>0.33741496598639453</v>
      </c>
      <c r="AC77" s="5">
        <f t="shared" si="39"/>
        <v>67.583673469387747</v>
      </c>
      <c r="AD77" s="5">
        <f t="shared" si="15"/>
        <v>34.416326530612245</v>
      </c>
      <c r="AE77" s="1">
        <f t="shared" si="33"/>
        <v>24</v>
      </c>
      <c r="AF77" s="1">
        <f t="shared" si="30"/>
        <v>19.188679245283019</v>
      </c>
      <c r="AG77" s="1">
        <v>23.8</v>
      </c>
      <c r="AH77" s="1">
        <v>36.200000000000003</v>
      </c>
      <c r="AI77" s="1">
        <v>36.4</v>
      </c>
      <c r="AJ77" s="1">
        <v>33.6</v>
      </c>
      <c r="AK77" s="1">
        <v>31.8</v>
      </c>
      <c r="AL77" s="1">
        <v>29.6</v>
      </c>
      <c r="AM77" s="1">
        <v>46.4</v>
      </c>
      <c r="AN77" s="1">
        <v>50.6</v>
      </c>
      <c r="AO77" s="1"/>
      <c r="AP77" s="1">
        <f t="shared" si="34"/>
        <v>22</v>
      </c>
      <c r="AQ77" s="1">
        <f t="shared" si="35"/>
        <v>11</v>
      </c>
      <c r="AR77" s="1"/>
      <c r="AS77" s="1"/>
      <c r="AT77" s="1"/>
      <c r="AU77" s="1"/>
      <c r="AV77" s="1"/>
    </row>
    <row r="78" spans="1:48" x14ac:dyDescent="0.25">
      <c r="A78" s="1" t="s">
        <v>123</v>
      </c>
      <c r="B78" s="1" t="s">
        <v>45</v>
      </c>
      <c r="C78" s="1">
        <v>125</v>
      </c>
      <c r="D78" s="1">
        <v>153</v>
      </c>
      <c r="E78" s="1">
        <v>100</v>
      </c>
      <c r="F78" s="1">
        <v>47</v>
      </c>
      <c r="G78" s="1">
        <f>VLOOKUP(A78,[1]TDSheet!$A:$M,9,0)</f>
        <v>2</v>
      </c>
      <c r="H78" s="7">
        <v>0.35</v>
      </c>
      <c r="I78" s="1">
        <v>90</v>
      </c>
      <c r="J78" s="17" t="s">
        <v>51</v>
      </c>
      <c r="K78" s="1"/>
      <c r="L78" s="1">
        <v>95</v>
      </c>
      <c r="M78" s="1">
        <f t="shared" si="29"/>
        <v>5</v>
      </c>
      <c r="N78" s="1"/>
      <c r="O78" s="1"/>
      <c r="P78" s="1">
        <v>222.60000000000011</v>
      </c>
      <c r="Q78" s="1">
        <v>-224</v>
      </c>
      <c r="R78" s="1"/>
      <c r="S78" s="13">
        <v>224</v>
      </c>
      <c r="T78" s="1"/>
      <c r="U78" s="14"/>
      <c r="V78" s="1">
        <v>100</v>
      </c>
      <c r="W78" s="1">
        <v>-104</v>
      </c>
      <c r="X78" s="1"/>
      <c r="Y78" s="1">
        <f t="shared" si="31"/>
        <v>20</v>
      </c>
      <c r="Z78" s="5">
        <v>60</v>
      </c>
      <c r="AA78" s="5">
        <f t="shared" si="38"/>
        <v>102</v>
      </c>
      <c r="AB78" s="30">
        <f>VLOOKUP(A78,[2]TDSheet!$A:$G,7,0)</f>
        <v>0.40031897926634769</v>
      </c>
      <c r="AC78" s="5">
        <f t="shared" si="39"/>
        <v>61.167464114832534</v>
      </c>
      <c r="AD78" s="5">
        <f t="shared" si="15"/>
        <v>40.832535885167466</v>
      </c>
      <c r="AE78" s="1">
        <f t="shared" si="33"/>
        <v>18.480000000000008</v>
      </c>
      <c r="AF78" s="1">
        <f t="shared" si="30"/>
        <v>13.380000000000006</v>
      </c>
      <c r="AG78" s="1">
        <v>25.6</v>
      </c>
      <c r="AH78" s="1">
        <v>33.4</v>
      </c>
      <c r="AI78" s="1">
        <v>36.200000000000003</v>
      </c>
      <c r="AJ78" s="1">
        <v>29.8</v>
      </c>
      <c r="AK78" s="1">
        <v>32.4</v>
      </c>
      <c r="AL78" s="1">
        <v>29.2</v>
      </c>
      <c r="AM78" s="1">
        <v>27.2</v>
      </c>
      <c r="AN78" s="1">
        <v>29.8</v>
      </c>
      <c r="AO78" s="1"/>
      <c r="AP78" s="1">
        <f t="shared" si="34"/>
        <v>21</v>
      </c>
      <c r="AQ78" s="1">
        <f t="shared" si="35"/>
        <v>14</v>
      </c>
      <c r="AR78" s="1"/>
      <c r="AS78" s="1"/>
      <c r="AT78" s="1"/>
      <c r="AU78" s="1"/>
      <c r="AV78" s="1"/>
    </row>
    <row r="79" spans="1:48" x14ac:dyDescent="0.25">
      <c r="A79" s="1" t="s">
        <v>124</v>
      </c>
      <c r="B79" s="1" t="s">
        <v>45</v>
      </c>
      <c r="C79" s="1">
        <v>12</v>
      </c>
      <c r="D79" s="1"/>
      <c r="E79" s="1">
        <v>9</v>
      </c>
      <c r="F79" s="1">
        <v>3</v>
      </c>
      <c r="G79" s="1"/>
      <c r="H79" s="7">
        <v>0.37</v>
      </c>
      <c r="I79" s="1"/>
      <c r="J79" s="1" t="s">
        <v>41</v>
      </c>
      <c r="K79" s="1"/>
      <c r="L79" s="1">
        <v>10</v>
      </c>
      <c r="M79" s="1">
        <f t="shared" si="29"/>
        <v>-1</v>
      </c>
      <c r="N79" s="1"/>
      <c r="O79" s="1"/>
      <c r="P79" s="1">
        <v>0</v>
      </c>
      <c r="Q79" s="1"/>
      <c r="R79" s="1"/>
      <c r="S79" s="13">
        <v>20.399999999999999</v>
      </c>
      <c r="T79" s="1"/>
      <c r="U79" s="14"/>
      <c r="V79" s="1">
        <v>29.8</v>
      </c>
      <c r="W79" s="1"/>
      <c r="X79" s="1"/>
      <c r="Y79" s="1">
        <f t="shared" si="31"/>
        <v>1.8</v>
      </c>
      <c r="Z79" s="5"/>
      <c r="AA79" s="5">
        <f t="shared" si="32"/>
        <v>0</v>
      </c>
      <c r="AB79" s="30">
        <f>VLOOKUP(A79,[2]TDSheet!$A:$G,7,0)</f>
        <v>0.44444444444444442</v>
      </c>
      <c r="AC79" s="5">
        <f t="shared" si="39"/>
        <v>0</v>
      </c>
      <c r="AD79" s="5">
        <f t="shared" si="15"/>
        <v>0</v>
      </c>
      <c r="AE79" s="1">
        <f t="shared" si="33"/>
        <v>29.555555555555557</v>
      </c>
      <c r="AF79" s="1">
        <f t="shared" si="30"/>
        <v>29.555555555555557</v>
      </c>
      <c r="AG79" s="1">
        <v>4.5999999999999996</v>
      </c>
      <c r="AH79" s="1">
        <v>3.6</v>
      </c>
      <c r="AI79" s="1">
        <v>0.4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 t="s">
        <v>125</v>
      </c>
      <c r="AP79" s="1">
        <f t="shared" si="34"/>
        <v>0</v>
      </c>
      <c r="AQ79" s="1">
        <f t="shared" si="35"/>
        <v>0</v>
      </c>
      <c r="AR79" s="1"/>
      <c r="AS79" s="1"/>
      <c r="AT79" s="1"/>
      <c r="AU79" s="1"/>
      <c r="AV79" s="1"/>
    </row>
    <row r="80" spans="1:48" x14ac:dyDescent="0.25">
      <c r="A80" s="1" t="s">
        <v>126</v>
      </c>
      <c r="B80" s="1" t="s">
        <v>45</v>
      </c>
      <c r="C80" s="1">
        <v>198</v>
      </c>
      <c r="D80" s="1">
        <v>197</v>
      </c>
      <c r="E80" s="1">
        <v>109</v>
      </c>
      <c r="F80" s="1">
        <v>28</v>
      </c>
      <c r="G80" s="1">
        <f>VLOOKUP(A80,[1]TDSheet!$A:$M,9,0)</f>
        <v>53</v>
      </c>
      <c r="H80" s="7">
        <v>0.6</v>
      </c>
      <c r="I80" s="1">
        <v>70</v>
      </c>
      <c r="J80" s="1" t="s">
        <v>41</v>
      </c>
      <c r="K80" s="1"/>
      <c r="L80" s="1">
        <v>104</v>
      </c>
      <c r="M80" s="1">
        <f t="shared" si="29"/>
        <v>5</v>
      </c>
      <c r="N80" s="1"/>
      <c r="O80" s="1"/>
      <c r="P80" s="1">
        <v>0</v>
      </c>
      <c r="Q80" s="1"/>
      <c r="R80" s="1"/>
      <c r="S80" s="13">
        <v>0</v>
      </c>
      <c r="T80" s="1"/>
      <c r="U80" s="14"/>
      <c r="V80" s="1">
        <v>36</v>
      </c>
      <c r="W80" s="1"/>
      <c r="X80" s="1"/>
      <c r="Y80" s="1">
        <f t="shared" si="31"/>
        <v>21.8</v>
      </c>
      <c r="Z80" s="5">
        <f>11*Y80-X80-W80-V80-U80-T80-S80-R80-Q80-P80-G80-F80</f>
        <v>122.80000000000001</v>
      </c>
      <c r="AA80" s="5">
        <f>Z80+$AA$1*Y80</f>
        <v>188.20000000000002</v>
      </c>
      <c r="AB80" s="30">
        <f>VLOOKUP(A80,[2]TDSheet!$A:$G,7,0)</f>
        <v>0.80392156862745101</v>
      </c>
      <c r="AC80" s="5">
        <f t="shared" si="39"/>
        <v>36.901960784313729</v>
      </c>
      <c r="AD80" s="5">
        <f t="shared" si="15"/>
        <v>151.29803921568629</v>
      </c>
      <c r="AE80" s="1">
        <f t="shared" si="33"/>
        <v>14.000000000000002</v>
      </c>
      <c r="AF80" s="1">
        <f t="shared" si="30"/>
        <v>5.3669724770642198</v>
      </c>
      <c r="AG80" s="1">
        <v>14</v>
      </c>
      <c r="AH80" s="1">
        <v>3</v>
      </c>
      <c r="AI80" s="1">
        <v>5</v>
      </c>
      <c r="AJ80" s="1">
        <v>8</v>
      </c>
      <c r="AK80" s="1">
        <v>19</v>
      </c>
      <c r="AL80" s="1">
        <v>18.399999999999999</v>
      </c>
      <c r="AM80" s="1">
        <v>8.4</v>
      </c>
      <c r="AN80" s="1">
        <v>11.8</v>
      </c>
      <c r="AO80" s="1"/>
      <c r="AP80" s="1">
        <f t="shared" si="34"/>
        <v>22</v>
      </c>
      <c r="AQ80" s="1">
        <f t="shared" si="35"/>
        <v>91</v>
      </c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45</v>
      </c>
      <c r="C81" s="1">
        <v>-1</v>
      </c>
      <c r="D81" s="1">
        <v>45</v>
      </c>
      <c r="E81" s="1">
        <v>8</v>
      </c>
      <c r="F81" s="1"/>
      <c r="G81" s="1"/>
      <c r="H81" s="7">
        <v>0.33</v>
      </c>
      <c r="I81" s="1">
        <v>40</v>
      </c>
      <c r="J81" s="1" t="s">
        <v>41</v>
      </c>
      <c r="K81" s="1"/>
      <c r="L81" s="1">
        <v>64</v>
      </c>
      <c r="M81" s="1">
        <f t="shared" si="29"/>
        <v>-56</v>
      </c>
      <c r="N81" s="1"/>
      <c r="O81" s="1"/>
      <c r="P81" s="1">
        <v>150</v>
      </c>
      <c r="Q81" s="1"/>
      <c r="R81" s="1"/>
      <c r="S81" s="13">
        <v>24.800000000000011</v>
      </c>
      <c r="T81" s="1"/>
      <c r="U81" s="14"/>
      <c r="V81" s="1">
        <v>0</v>
      </c>
      <c r="W81" s="1"/>
      <c r="X81" s="1"/>
      <c r="Y81" s="1">
        <f t="shared" si="31"/>
        <v>1.6</v>
      </c>
      <c r="Z81" s="5">
        <v>30</v>
      </c>
      <c r="AA81" s="5">
        <f t="shared" si="32"/>
        <v>30</v>
      </c>
      <c r="AB81" s="30">
        <f>VLOOKUP(A81,[2]TDSheet!$A:$G,7,0)</f>
        <v>0.34061135371179041</v>
      </c>
      <c r="AC81" s="5">
        <f t="shared" si="39"/>
        <v>19.78165938864629</v>
      </c>
      <c r="AD81" s="5">
        <f t="shared" si="15"/>
        <v>10.218340611353712</v>
      </c>
      <c r="AE81" s="1">
        <f t="shared" si="33"/>
        <v>128</v>
      </c>
      <c r="AF81" s="1">
        <f t="shared" si="30"/>
        <v>109.25</v>
      </c>
      <c r="AG81" s="1">
        <v>5</v>
      </c>
      <c r="AH81" s="1">
        <v>15.8</v>
      </c>
      <c r="AI81" s="1">
        <v>18</v>
      </c>
      <c r="AJ81" s="1">
        <v>7</v>
      </c>
      <c r="AK81" s="1">
        <v>9.6</v>
      </c>
      <c r="AL81" s="1">
        <v>13.4</v>
      </c>
      <c r="AM81" s="1">
        <v>11</v>
      </c>
      <c r="AN81" s="1">
        <v>16.600000000000001</v>
      </c>
      <c r="AO81" s="1"/>
      <c r="AP81" s="1">
        <f t="shared" si="34"/>
        <v>7</v>
      </c>
      <c r="AQ81" s="1">
        <f t="shared" si="35"/>
        <v>3</v>
      </c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45</v>
      </c>
      <c r="C82" s="1">
        <v>28</v>
      </c>
      <c r="D82" s="1">
        <v>13</v>
      </c>
      <c r="E82" s="1">
        <v>30</v>
      </c>
      <c r="F82" s="1"/>
      <c r="G82" s="1"/>
      <c r="H82" s="7">
        <v>0.4</v>
      </c>
      <c r="I82" s="1">
        <v>55</v>
      </c>
      <c r="J82" s="1" t="s">
        <v>41</v>
      </c>
      <c r="K82" s="1"/>
      <c r="L82" s="1">
        <v>31</v>
      </c>
      <c r="M82" s="1">
        <f t="shared" si="29"/>
        <v>-1</v>
      </c>
      <c r="N82" s="1"/>
      <c r="O82" s="1"/>
      <c r="P82" s="1">
        <v>78.800000000000011</v>
      </c>
      <c r="Q82" s="1"/>
      <c r="R82" s="1"/>
      <c r="S82" s="13">
        <v>29.599999999999991</v>
      </c>
      <c r="T82" s="1"/>
      <c r="U82" s="14"/>
      <c r="V82" s="1">
        <v>32.799999999999983</v>
      </c>
      <c r="W82" s="1"/>
      <c r="X82" s="1"/>
      <c r="Y82" s="1">
        <f t="shared" si="31"/>
        <v>6</v>
      </c>
      <c r="Z82" s="5"/>
      <c r="AA82" s="5">
        <f t="shared" si="32"/>
        <v>0</v>
      </c>
      <c r="AB82" s="30">
        <f>VLOOKUP(A82,[2]TDSheet!$A:$G,7,0)</f>
        <v>0.11764705882352942</v>
      </c>
      <c r="AC82" s="5">
        <f t="shared" si="39"/>
        <v>0</v>
      </c>
      <c r="AD82" s="5">
        <f t="shared" si="15"/>
        <v>0</v>
      </c>
      <c r="AE82" s="1">
        <f t="shared" si="33"/>
        <v>23.533333333333331</v>
      </c>
      <c r="AF82" s="1">
        <f t="shared" si="30"/>
        <v>23.533333333333331</v>
      </c>
      <c r="AG82" s="1">
        <v>11.6</v>
      </c>
      <c r="AH82" s="1">
        <v>12.4</v>
      </c>
      <c r="AI82" s="1">
        <v>11.4</v>
      </c>
      <c r="AJ82" s="1">
        <v>6.2</v>
      </c>
      <c r="AK82" s="1">
        <v>8.4</v>
      </c>
      <c r="AL82" s="1">
        <v>10.6</v>
      </c>
      <c r="AM82" s="1">
        <v>6.2</v>
      </c>
      <c r="AN82" s="1">
        <v>7</v>
      </c>
      <c r="AO82" s="1"/>
      <c r="AP82" s="1">
        <f t="shared" si="34"/>
        <v>0</v>
      </c>
      <c r="AQ82" s="1">
        <f t="shared" si="35"/>
        <v>0</v>
      </c>
      <c r="AR82" s="1"/>
      <c r="AS82" s="1"/>
      <c r="AT82" s="1"/>
      <c r="AU82" s="1"/>
      <c r="AV82" s="1"/>
    </row>
    <row r="83" spans="1:48" x14ac:dyDescent="0.25">
      <c r="A83" s="1" t="s">
        <v>129</v>
      </c>
      <c r="B83" s="1" t="s">
        <v>45</v>
      </c>
      <c r="C83" s="1">
        <v>-2</v>
      </c>
      <c r="D83" s="1">
        <v>24</v>
      </c>
      <c r="E83" s="1">
        <v>10</v>
      </c>
      <c r="F83" s="1">
        <v>6</v>
      </c>
      <c r="G83" s="1">
        <f>VLOOKUP(A83,[1]TDSheet!$A:$M,9,0)</f>
        <v>-2</v>
      </c>
      <c r="H83" s="7">
        <v>0.35</v>
      </c>
      <c r="I83" s="1">
        <v>40</v>
      </c>
      <c r="J83" s="17" t="s">
        <v>51</v>
      </c>
      <c r="K83" s="1"/>
      <c r="L83" s="1">
        <v>16</v>
      </c>
      <c r="M83" s="1">
        <f t="shared" si="29"/>
        <v>-6</v>
      </c>
      <c r="N83" s="1"/>
      <c r="O83" s="1"/>
      <c r="P83" s="1">
        <v>20</v>
      </c>
      <c r="Q83" s="1">
        <v>-24</v>
      </c>
      <c r="R83" s="1"/>
      <c r="S83" s="13">
        <v>30</v>
      </c>
      <c r="T83" s="1"/>
      <c r="U83" s="14"/>
      <c r="V83" s="1">
        <v>10</v>
      </c>
      <c r="W83" s="1"/>
      <c r="X83" s="1"/>
      <c r="Y83" s="1">
        <f t="shared" si="31"/>
        <v>2</v>
      </c>
      <c r="Z83" s="5">
        <v>10</v>
      </c>
      <c r="AA83" s="5">
        <f t="shared" ref="AA83:AA84" si="40">Z83*$AB$1</f>
        <v>17</v>
      </c>
      <c r="AB83" s="30">
        <f>VLOOKUP(A83,[2]TDSheet!$A:$G,7,0)</f>
        <v>0</v>
      </c>
      <c r="AC83" s="5">
        <f t="shared" si="39"/>
        <v>17</v>
      </c>
      <c r="AD83" s="5">
        <f t="shared" ref="AD83:AD84" si="41">AA83*AB83</f>
        <v>0</v>
      </c>
      <c r="AE83" s="1">
        <f t="shared" si="33"/>
        <v>28.5</v>
      </c>
      <c r="AF83" s="1">
        <f t="shared" si="30"/>
        <v>20</v>
      </c>
      <c r="AG83" s="1">
        <v>1.2</v>
      </c>
      <c r="AH83" s="1">
        <v>0</v>
      </c>
      <c r="AI83" s="1">
        <v>-0.6</v>
      </c>
      <c r="AJ83" s="1">
        <v>-0.4</v>
      </c>
      <c r="AK83" s="1">
        <v>3.6</v>
      </c>
      <c r="AL83" s="1">
        <v>4.4000000000000004</v>
      </c>
      <c r="AM83" s="1">
        <v>1</v>
      </c>
      <c r="AN83" s="1">
        <v>-0.4</v>
      </c>
      <c r="AO83" s="1" t="s">
        <v>130</v>
      </c>
      <c r="AP83" s="1">
        <f t="shared" si="34"/>
        <v>6</v>
      </c>
      <c r="AQ83" s="1">
        <f t="shared" si="35"/>
        <v>0</v>
      </c>
      <c r="AR83" s="1"/>
      <c r="AS83" s="1"/>
      <c r="AT83" s="1"/>
      <c r="AU83" s="1"/>
      <c r="AV83" s="1"/>
    </row>
    <row r="84" spans="1:48" x14ac:dyDescent="0.25">
      <c r="A84" s="1" t="s">
        <v>131</v>
      </c>
      <c r="B84" s="1" t="s">
        <v>45</v>
      </c>
      <c r="C84" s="1">
        <v>36</v>
      </c>
      <c r="D84" s="1">
        <v>36</v>
      </c>
      <c r="E84" s="1">
        <v>33</v>
      </c>
      <c r="F84" s="1">
        <v>19</v>
      </c>
      <c r="G84" s="1"/>
      <c r="H84" s="7">
        <v>0.35</v>
      </c>
      <c r="I84" s="1">
        <v>45</v>
      </c>
      <c r="J84" s="17" t="s">
        <v>51</v>
      </c>
      <c r="K84" s="1"/>
      <c r="L84" s="1">
        <v>46</v>
      </c>
      <c r="M84" s="1">
        <f t="shared" si="29"/>
        <v>-13</v>
      </c>
      <c r="N84" s="1"/>
      <c r="O84" s="1"/>
      <c r="P84" s="1">
        <v>66.600000000000023</v>
      </c>
      <c r="Q84" s="1"/>
      <c r="R84" s="1"/>
      <c r="S84" s="13">
        <v>15</v>
      </c>
      <c r="T84" s="1"/>
      <c r="U84" s="14"/>
      <c r="V84" s="1">
        <v>15</v>
      </c>
      <c r="W84" s="1"/>
      <c r="X84" s="1"/>
      <c r="Y84" s="1">
        <f t="shared" si="31"/>
        <v>6.6</v>
      </c>
      <c r="Z84" s="5">
        <v>20</v>
      </c>
      <c r="AA84" s="5">
        <f t="shared" si="40"/>
        <v>34</v>
      </c>
      <c r="AB84" s="30">
        <f>VLOOKUP(A84,[2]TDSheet!$A:$G,7,0)</f>
        <v>0.53679653679653683</v>
      </c>
      <c r="AC84" s="5">
        <f t="shared" si="39"/>
        <v>15.748917748917748</v>
      </c>
      <c r="AD84" s="5">
        <f t="shared" si="41"/>
        <v>18.251082251082252</v>
      </c>
      <c r="AE84" s="1">
        <f t="shared" si="33"/>
        <v>22.666666666666671</v>
      </c>
      <c r="AF84" s="1">
        <f t="shared" si="30"/>
        <v>17.515151515151519</v>
      </c>
      <c r="AG84" s="1">
        <v>10.6</v>
      </c>
      <c r="AH84" s="1">
        <v>11</v>
      </c>
      <c r="AI84" s="1">
        <v>11.8</v>
      </c>
      <c r="AJ84" s="1">
        <v>10.199999999999999</v>
      </c>
      <c r="AK84" s="1">
        <v>11</v>
      </c>
      <c r="AL84" s="1">
        <v>7</v>
      </c>
      <c r="AM84" s="1">
        <v>9.4</v>
      </c>
      <c r="AN84" s="1">
        <v>13</v>
      </c>
      <c r="AO84" s="1"/>
      <c r="AP84" s="1">
        <f t="shared" si="34"/>
        <v>6</v>
      </c>
      <c r="AQ84" s="1">
        <f t="shared" si="35"/>
        <v>6</v>
      </c>
      <c r="AR84" s="1"/>
      <c r="AS84" s="1"/>
      <c r="AT84" s="1"/>
      <c r="AU84" s="1"/>
      <c r="AV84" s="1"/>
    </row>
    <row r="85" spans="1:48" x14ac:dyDescent="0.25">
      <c r="A85" s="18" t="s">
        <v>132</v>
      </c>
      <c r="B85" s="18" t="s">
        <v>45</v>
      </c>
      <c r="C85" s="18"/>
      <c r="D85" s="18"/>
      <c r="E85" s="18"/>
      <c r="F85" s="18"/>
      <c r="G85" s="18"/>
      <c r="H85" s="19">
        <v>0</v>
      </c>
      <c r="I85" s="18"/>
      <c r="J85" s="18" t="s">
        <v>41</v>
      </c>
      <c r="K85" s="18"/>
      <c r="L85" s="18"/>
      <c r="M85" s="18">
        <f t="shared" si="29"/>
        <v>0</v>
      </c>
      <c r="N85" s="18"/>
      <c r="O85" s="18"/>
      <c r="P85" s="18">
        <v>0</v>
      </c>
      <c r="Q85" s="18"/>
      <c r="R85" s="18"/>
      <c r="S85" s="20">
        <v>0</v>
      </c>
      <c r="T85" s="18"/>
      <c r="U85" s="21"/>
      <c r="V85" s="18">
        <v>0</v>
      </c>
      <c r="W85" s="18"/>
      <c r="X85" s="18"/>
      <c r="Y85" s="18">
        <f t="shared" si="31"/>
        <v>0</v>
      </c>
      <c r="Z85" s="22"/>
      <c r="AA85" s="5">
        <f t="shared" si="32"/>
        <v>0</v>
      </c>
      <c r="AB85" s="31"/>
      <c r="AC85" s="22"/>
      <c r="AD85" s="22"/>
      <c r="AE85" s="1" t="e">
        <f t="shared" si="33"/>
        <v>#DIV/0!</v>
      </c>
      <c r="AF85" s="18" t="e">
        <f t="shared" si="30"/>
        <v>#DIV/0!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 t="s">
        <v>46</v>
      </c>
      <c r="AP85" s="1">
        <f t="shared" si="34"/>
        <v>0</v>
      </c>
      <c r="AQ85" s="1">
        <f t="shared" si="35"/>
        <v>0</v>
      </c>
      <c r="AR85" s="1"/>
      <c r="AS85" s="1"/>
      <c r="AT85" s="1"/>
      <c r="AU85" s="1"/>
      <c r="AV85" s="1"/>
    </row>
    <row r="86" spans="1:48" x14ac:dyDescent="0.25">
      <c r="A86" s="18" t="s">
        <v>133</v>
      </c>
      <c r="B86" s="18" t="s">
        <v>40</v>
      </c>
      <c r="C86" s="18"/>
      <c r="D86" s="18"/>
      <c r="E86" s="18"/>
      <c r="F86" s="18"/>
      <c r="G86" s="18"/>
      <c r="H86" s="19">
        <v>0</v>
      </c>
      <c r="I86" s="18"/>
      <c r="J86" s="18" t="s">
        <v>41</v>
      </c>
      <c r="K86" s="18"/>
      <c r="L86" s="18"/>
      <c r="M86" s="18">
        <f t="shared" si="29"/>
        <v>0</v>
      </c>
      <c r="N86" s="18"/>
      <c r="O86" s="18"/>
      <c r="P86" s="18">
        <v>0</v>
      </c>
      <c r="Q86" s="18"/>
      <c r="R86" s="18"/>
      <c r="S86" s="20">
        <v>0</v>
      </c>
      <c r="T86" s="18"/>
      <c r="U86" s="21"/>
      <c r="V86" s="18">
        <v>0</v>
      </c>
      <c r="W86" s="18"/>
      <c r="X86" s="18"/>
      <c r="Y86" s="18">
        <f t="shared" si="31"/>
        <v>0</v>
      </c>
      <c r="Z86" s="22"/>
      <c r="AA86" s="5">
        <f t="shared" si="32"/>
        <v>0</v>
      </c>
      <c r="AB86" s="31"/>
      <c r="AC86" s="22"/>
      <c r="AD86" s="22"/>
      <c r="AE86" s="1" t="e">
        <f t="shared" si="33"/>
        <v>#DIV/0!</v>
      </c>
      <c r="AF86" s="18" t="e">
        <f t="shared" si="30"/>
        <v>#DIV/0!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 t="s">
        <v>46</v>
      </c>
      <c r="AP86" s="1">
        <f t="shared" si="34"/>
        <v>0</v>
      </c>
      <c r="AQ86" s="1">
        <f t="shared" si="35"/>
        <v>0</v>
      </c>
      <c r="AR86" s="1"/>
      <c r="AS86" s="1"/>
      <c r="AT86" s="1"/>
      <c r="AU86" s="1"/>
      <c r="AV86" s="1"/>
    </row>
    <row r="87" spans="1:48" x14ac:dyDescent="0.25">
      <c r="A87" s="18" t="s">
        <v>134</v>
      </c>
      <c r="B87" s="18" t="s">
        <v>40</v>
      </c>
      <c r="C87" s="18"/>
      <c r="D87" s="18"/>
      <c r="E87" s="18"/>
      <c r="F87" s="18"/>
      <c r="G87" s="18"/>
      <c r="H87" s="19">
        <v>0</v>
      </c>
      <c r="I87" s="18"/>
      <c r="J87" s="18" t="s">
        <v>41</v>
      </c>
      <c r="K87" s="18"/>
      <c r="L87" s="18"/>
      <c r="M87" s="18">
        <f t="shared" si="29"/>
        <v>0</v>
      </c>
      <c r="N87" s="18"/>
      <c r="O87" s="18"/>
      <c r="P87" s="18">
        <v>0</v>
      </c>
      <c r="Q87" s="18"/>
      <c r="R87" s="18"/>
      <c r="S87" s="20">
        <v>0</v>
      </c>
      <c r="T87" s="18"/>
      <c r="U87" s="21"/>
      <c r="V87" s="18">
        <v>0</v>
      </c>
      <c r="W87" s="18"/>
      <c r="X87" s="18"/>
      <c r="Y87" s="18">
        <f t="shared" si="31"/>
        <v>0</v>
      </c>
      <c r="Z87" s="22"/>
      <c r="AA87" s="5">
        <f t="shared" si="32"/>
        <v>0</v>
      </c>
      <c r="AB87" s="31"/>
      <c r="AC87" s="22"/>
      <c r="AD87" s="22"/>
      <c r="AE87" s="1" t="e">
        <f t="shared" si="33"/>
        <v>#DIV/0!</v>
      </c>
      <c r="AF87" s="18" t="e">
        <f t="shared" si="30"/>
        <v>#DIV/0!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 t="s">
        <v>46</v>
      </c>
      <c r="AP87" s="1">
        <f t="shared" si="34"/>
        <v>0</v>
      </c>
      <c r="AQ87" s="1">
        <f t="shared" si="35"/>
        <v>0</v>
      </c>
      <c r="AR87" s="1"/>
      <c r="AS87" s="1"/>
      <c r="AT87" s="1"/>
      <c r="AU87" s="1"/>
      <c r="AV87" s="1"/>
    </row>
    <row r="88" spans="1:48" x14ac:dyDescent="0.25">
      <c r="A88" s="1" t="s">
        <v>135</v>
      </c>
      <c r="B88" s="1" t="s">
        <v>40</v>
      </c>
      <c r="C88" s="1">
        <v>159.25899999999999</v>
      </c>
      <c r="D88" s="1">
        <v>318.137</v>
      </c>
      <c r="E88" s="1">
        <v>156.374</v>
      </c>
      <c r="F88" s="1">
        <v>34.832999999999998</v>
      </c>
      <c r="G88" s="1">
        <f>VLOOKUP(A88,[1]TDSheet!$A:$M,9,0)</f>
        <v>41.610999999999997</v>
      </c>
      <c r="H88" s="7">
        <v>1</v>
      </c>
      <c r="I88" s="1">
        <v>60</v>
      </c>
      <c r="J88" s="1" t="s">
        <v>41</v>
      </c>
      <c r="K88" s="1"/>
      <c r="L88" s="1">
        <v>173.9</v>
      </c>
      <c r="M88" s="1">
        <f t="shared" si="29"/>
        <v>-17.52600000000001</v>
      </c>
      <c r="N88" s="1"/>
      <c r="O88" s="1"/>
      <c r="P88" s="1">
        <v>111.4485999999999</v>
      </c>
      <c r="Q88" s="1"/>
      <c r="R88" s="1"/>
      <c r="S88" s="13">
        <v>0</v>
      </c>
      <c r="T88" s="1"/>
      <c r="U88" s="14"/>
      <c r="V88" s="1">
        <v>226.4267880000001</v>
      </c>
      <c r="W88" s="1"/>
      <c r="X88" s="1"/>
      <c r="Y88" s="1">
        <f t="shared" si="31"/>
        <v>31.274799999999999</v>
      </c>
      <c r="Z88" s="5"/>
      <c r="AA88" s="5">
        <f>Z88+$AA$1*Y88</f>
        <v>93.824399999999997</v>
      </c>
      <c r="AB88" s="30">
        <f>VLOOKUP(A88,[2]TDSheet!$A:$G,7,0)</f>
        <v>0.67209217724671544</v>
      </c>
      <c r="AC88" s="5">
        <f>AA88-AD88</f>
        <v>30.76575472513327</v>
      </c>
      <c r="AD88" s="5">
        <f t="shared" ref="AD88" si="42">AA88*AB88</f>
        <v>63.058645274866727</v>
      </c>
      <c r="AE88" s="1">
        <f t="shared" si="33"/>
        <v>16.247707035696472</v>
      </c>
      <c r="AF88" s="1">
        <f t="shared" si="30"/>
        <v>13.247707035696472</v>
      </c>
      <c r="AG88" s="1">
        <v>38.356999999999999</v>
      </c>
      <c r="AH88" s="1">
        <v>28.520600000000002</v>
      </c>
      <c r="AI88" s="1">
        <v>36.330599999999997</v>
      </c>
      <c r="AJ88" s="1">
        <v>35.1526</v>
      </c>
      <c r="AK88" s="1">
        <v>35.555399999999999</v>
      </c>
      <c r="AL88" s="1">
        <v>38.276200000000003</v>
      </c>
      <c r="AM88" s="1">
        <v>32.9236</v>
      </c>
      <c r="AN88" s="1">
        <v>36.190600000000003</v>
      </c>
      <c r="AO88" s="1"/>
      <c r="AP88" s="1">
        <f t="shared" si="34"/>
        <v>31</v>
      </c>
      <c r="AQ88" s="1">
        <f t="shared" si="35"/>
        <v>63</v>
      </c>
      <c r="AR88" s="1"/>
      <c r="AS88" s="1"/>
      <c r="AT88" s="1"/>
      <c r="AU88" s="1"/>
      <c r="AV88" s="1"/>
    </row>
    <row r="89" spans="1:48" x14ac:dyDescent="0.25">
      <c r="A89" s="18" t="s">
        <v>136</v>
      </c>
      <c r="B89" s="18" t="s">
        <v>45</v>
      </c>
      <c r="C89" s="18"/>
      <c r="D89" s="18"/>
      <c r="E89" s="18"/>
      <c r="F89" s="18"/>
      <c r="G89" s="18"/>
      <c r="H89" s="19">
        <v>0</v>
      </c>
      <c r="I89" s="18"/>
      <c r="J89" s="18" t="s">
        <v>41</v>
      </c>
      <c r="K89" s="18"/>
      <c r="L89" s="18"/>
      <c r="M89" s="18">
        <f t="shared" si="29"/>
        <v>0</v>
      </c>
      <c r="N89" s="18"/>
      <c r="O89" s="18"/>
      <c r="P89" s="18">
        <v>0</v>
      </c>
      <c r="Q89" s="18"/>
      <c r="R89" s="18"/>
      <c r="S89" s="20">
        <v>0</v>
      </c>
      <c r="T89" s="18"/>
      <c r="U89" s="21"/>
      <c r="V89" s="18">
        <v>0</v>
      </c>
      <c r="W89" s="18"/>
      <c r="X89" s="18"/>
      <c r="Y89" s="18">
        <f t="shared" si="31"/>
        <v>0</v>
      </c>
      <c r="Z89" s="22"/>
      <c r="AA89" s="5">
        <f t="shared" si="32"/>
        <v>0</v>
      </c>
      <c r="AB89" s="31"/>
      <c r="AC89" s="22"/>
      <c r="AD89" s="22"/>
      <c r="AE89" s="1" t="e">
        <f t="shared" si="33"/>
        <v>#DIV/0!</v>
      </c>
      <c r="AF89" s="18" t="e">
        <f t="shared" si="30"/>
        <v>#DIV/0!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 t="s">
        <v>46</v>
      </c>
      <c r="AP89" s="1">
        <f t="shared" si="34"/>
        <v>0</v>
      </c>
      <c r="AQ89" s="1">
        <f t="shared" si="35"/>
        <v>0</v>
      </c>
      <c r="AR89" s="1"/>
      <c r="AS89" s="1"/>
      <c r="AT89" s="1"/>
      <c r="AU89" s="1"/>
      <c r="AV89" s="1"/>
    </row>
    <row r="90" spans="1:48" x14ac:dyDescent="0.25">
      <c r="A90" s="1" t="s">
        <v>137</v>
      </c>
      <c r="B90" s="1" t="s">
        <v>40</v>
      </c>
      <c r="C90" s="1">
        <v>529.26599999999996</v>
      </c>
      <c r="D90" s="1">
        <v>2946.9279999999999</v>
      </c>
      <c r="E90" s="1">
        <v>1390.002</v>
      </c>
      <c r="F90" s="1">
        <v>473.935</v>
      </c>
      <c r="G90" s="1">
        <f>VLOOKUP(A90,[1]TDSheet!$A:$M,9,0)</f>
        <v>606.91499999999996</v>
      </c>
      <c r="H90" s="7">
        <v>1</v>
      </c>
      <c r="I90" s="1">
        <v>60</v>
      </c>
      <c r="J90" s="1" t="s">
        <v>41</v>
      </c>
      <c r="K90" s="1"/>
      <c r="L90" s="1">
        <v>1722</v>
      </c>
      <c r="M90" s="1">
        <f t="shared" si="29"/>
        <v>-331.99800000000005</v>
      </c>
      <c r="N90" s="1"/>
      <c r="O90" s="1"/>
      <c r="P90" s="1">
        <v>280.11407999999892</v>
      </c>
      <c r="Q90" s="1"/>
      <c r="R90" s="1">
        <v>300</v>
      </c>
      <c r="S90" s="13">
        <v>593.96328000000005</v>
      </c>
      <c r="T90" s="1"/>
      <c r="U90" s="14">
        <v>390</v>
      </c>
      <c r="V90" s="1">
        <v>1100</v>
      </c>
      <c r="W90" s="1"/>
      <c r="X90" s="1"/>
      <c r="Y90" s="1">
        <f t="shared" si="31"/>
        <v>278.00040000000001</v>
      </c>
      <c r="Z90" s="5">
        <v>200</v>
      </c>
      <c r="AA90" s="5">
        <v>800</v>
      </c>
      <c r="AB90" s="30">
        <f>VLOOKUP(A90,[2]TDSheet!$A:$G,7,0)</f>
        <v>0.21647221174909395</v>
      </c>
      <c r="AC90" s="5">
        <f t="shared" ref="AC90:AC92" si="43">AA90-AD90</f>
        <v>626.82223060072488</v>
      </c>
      <c r="AD90" s="5">
        <f t="shared" ref="AD90:AD92" si="44">AA90*AB90</f>
        <v>173.17776939927515</v>
      </c>
      <c r="AE90" s="1">
        <f t="shared" si="33"/>
        <v>16.348636045127986</v>
      </c>
      <c r="AF90" s="1">
        <f t="shared" si="30"/>
        <v>13.470942343967845</v>
      </c>
      <c r="AG90" s="1">
        <v>350.90559999999999</v>
      </c>
      <c r="AH90" s="1">
        <v>329.9796</v>
      </c>
      <c r="AI90" s="1">
        <v>326.053</v>
      </c>
      <c r="AJ90" s="1">
        <v>345.89080000000001</v>
      </c>
      <c r="AK90" s="1">
        <v>302.62</v>
      </c>
      <c r="AL90" s="1">
        <v>310.3272</v>
      </c>
      <c r="AM90" s="1">
        <v>282.59039999999999</v>
      </c>
      <c r="AN90" s="1">
        <v>311.91120000000001</v>
      </c>
      <c r="AO90" s="1"/>
      <c r="AP90" s="1">
        <f t="shared" si="34"/>
        <v>627</v>
      </c>
      <c r="AQ90" s="1">
        <f t="shared" si="35"/>
        <v>173</v>
      </c>
      <c r="AR90" s="1"/>
      <c r="AS90" s="1"/>
      <c r="AT90" s="1"/>
      <c r="AU90" s="1"/>
      <c r="AV90" s="1"/>
    </row>
    <row r="91" spans="1:48" x14ac:dyDescent="0.25">
      <c r="A91" s="1" t="s">
        <v>138</v>
      </c>
      <c r="B91" s="1" t="s">
        <v>40</v>
      </c>
      <c r="C91" s="1">
        <v>648.23400000000004</v>
      </c>
      <c r="D91" s="1">
        <v>2059.895</v>
      </c>
      <c r="E91" s="1">
        <v>1471.5840000000001</v>
      </c>
      <c r="F91" s="1">
        <v>439.36</v>
      </c>
      <c r="G91" s="1"/>
      <c r="H91" s="7">
        <v>1</v>
      </c>
      <c r="I91" s="1">
        <v>60</v>
      </c>
      <c r="J91" s="1" t="s">
        <v>41</v>
      </c>
      <c r="K91" s="1"/>
      <c r="L91" s="1">
        <v>1502.0150000000001</v>
      </c>
      <c r="M91" s="1">
        <f t="shared" si="29"/>
        <v>-30.43100000000004</v>
      </c>
      <c r="N91" s="1"/>
      <c r="O91" s="1"/>
      <c r="P91" s="1">
        <v>374.66375999999929</v>
      </c>
      <c r="Q91" s="1"/>
      <c r="R91" s="1">
        <v>210</v>
      </c>
      <c r="S91" s="13">
        <v>411.12504000000001</v>
      </c>
      <c r="T91" s="1"/>
      <c r="U91" s="14">
        <v>360</v>
      </c>
      <c r="V91" s="1">
        <v>1600</v>
      </c>
      <c r="W91" s="1"/>
      <c r="X91" s="1"/>
      <c r="Y91" s="1">
        <f t="shared" si="31"/>
        <v>294.3168</v>
      </c>
      <c r="Z91" s="5"/>
      <c r="AA91" s="5">
        <v>1200</v>
      </c>
      <c r="AB91" s="30">
        <f>VLOOKUP(A91,[2]TDSheet!$A:$G,7,0)</f>
        <v>0.27084335278481431</v>
      </c>
      <c r="AC91" s="5">
        <f t="shared" si="43"/>
        <v>874.98797665822281</v>
      </c>
      <c r="AD91" s="5">
        <f t="shared" si="44"/>
        <v>325.01202334177719</v>
      </c>
      <c r="AE91" s="1">
        <f t="shared" si="33"/>
        <v>15.612934090068933</v>
      </c>
      <c r="AF91" s="1">
        <f t="shared" si="30"/>
        <v>11.535694870289428</v>
      </c>
      <c r="AG91" s="1">
        <v>304.10160000000002</v>
      </c>
      <c r="AH91" s="1">
        <v>228.40280000000001</v>
      </c>
      <c r="AI91" s="1">
        <v>232.9778</v>
      </c>
      <c r="AJ91" s="1">
        <v>248.2516</v>
      </c>
      <c r="AK91" s="1">
        <v>249.66139999999999</v>
      </c>
      <c r="AL91" s="1">
        <v>205.2064</v>
      </c>
      <c r="AM91" s="1">
        <v>161.07499999999999</v>
      </c>
      <c r="AN91" s="1">
        <v>169.74440000000001</v>
      </c>
      <c r="AO91" s="1"/>
      <c r="AP91" s="1">
        <f t="shared" si="34"/>
        <v>875</v>
      </c>
      <c r="AQ91" s="1">
        <f t="shared" si="35"/>
        <v>325</v>
      </c>
      <c r="AR91" s="1"/>
      <c r="AS91" s="1"/>
      <c r="AT91" s="1"/>
      <c r="AU91" s="1"/>
      <c r="AV91" s="1"/>
    </row>
    <row r="92" spans="1:48" x14ac:dyDescent="0.25">
      <c r="A92" s="1" t="s">
        <v>139</v>
      </c>
      <c r="B92" s="1" t="s">
        <v>40</v>
      </c>
      <c r="C92" s="1">
        <v>1276.489</v>
      </c>
      <c r="D92" s="1">
        <v>3248.0729999999999</v>
      </c>
      <c r="E92" s="1">
        <v>809.41800000000001</v>
      </c>
      <c r="F92" s="1">
        <v>1197.05</v>
      </c>
      <c r="G92" s="1">
        <f>VLOOKUP(A92,[1]TDSheet!$A:$M,9,0)</f>
        <v>289.93099999999998</v>
      </c>
      <c r="H92" s="7">
        <v>1</v>
      </c>
      <c r="I92" s="1">
        <v>60</v>
      </c>
      <c r="J92" s="1" t="s">
        <v>41</v>
      </c>
      <c r="K92" s="1"/>
      <c r="L92" s="1">
        <v>1969.6</v>
      </c>
      <c r="M92" s="1">
        <f t="shared" si="29"/>
        <v>-1160.1819999999998</v>
      </c>
      <c r="N92" s="1"/>
      <c r="O92" s="1"/>
      <c r="P92" s="1">
        <v>676.85639999999967</v>
      </c>
      <c r="Q92" s="1"/>
      <c r="R92" s="1">
        <v>330</v>
      </c>
      <c r="S92" s="13">
        <v>1000</v>
      </c>
      <c r="T92" s="1"/>
      <c r="U92" s="14">
        <v>300</v>
      </c>
      <c r="V92" s="1">
        <v>0</v>
      </c>
      <c r="W92" s="1"/>
      <c r="X92" s="1">
        <v>600</v>
      </c>
      <c r="Y92" s="1">
        <f t="shared" si="31"/>
        <v>161.8836</v>
      </c>
      <c r="Z92" s="5">
        <v>200</v>
      </c>
      <c r="AA92" s="5">
        <f t="shared" si="32"/>
        <v>200</v>
      </c>
      <c r="AB92" s="30">
        <f>VLOOKUP(A92,[2]TDSheet!$A:$G,7,0)</f>
        <v>0.33773273844595425</v>
      </c>
      <c r="AC92" s="5">
        <f t="shared" si="43"/>
        <v>132.45345231080915</v>
      </c>
      <c r="AD92" s="5">
        <f t="shared" si="44"/>
        <v>67.546547689190845</v>
      </c>
      <c r="AE92" s="1">
        <f t="shared" si="33"/>
        <v>28.377410682737469</v>
      </c>
      <c r="AF92" s="1">
        <f t="shared" si="30"/>
        <v>27.141955083776242</v>
      </c>
      <c r="AG92" s="1">
        <v>16.910799999999998</v>
      </c>
      <c r="AH92" s="1">
        <v>161.07499999999999</v>
      </c>
      <c r="AI92" s="1">
        <v>363.33519999999999</v>
      </c>
      <c r="AJ92" s="1">
        <v>362.65</v>
      </c>
      <c r="AK92" s="1">
        <v>268.4776</v>
      </c>
      <c r="AL92" s="1">
        <v>268.70100000000002</v>
      </c>
      <c r="AM92" s="1">
        <v>349.07299999999998</v>
      </c>
      <c r="AN92" s="1">
        <v>386.24540000000002</v>
      </c>
      <c r="AO92" s="9" t="s">
        <v>183</v>
      </c>
      <c r="AP92" s="1">
        <f t="shared" si="34"/>
        <v>132</v>
      </c>
      <c r="AQ92" s="1">
        <f t="shared" si="35"/>
        <v>68</v>
      </c>
      <c r="AR92" s="1"/>
      <c r="AS92" s="1"/>
      <c r="AT92" s="1"/>
      <c r="AU92" s="1"/>
      <c r="AV92" s="1"/>
    </row>
    <row r="93" spans="1:48" x14ac:dyDescent="0.25">
      <c r="A93" s="18" t="s">
        <v>140</v>
      </c>
      <c r="B93" s="18" t="s">
        <v>40</v>
      </c>
      <c r="C93" s="18"/>
      <c r="D93" s="18"/>
      <c r="E93" s="18"/>
      <c r="F93" s="18"/>
      <c r="G93" s="18"/>
      <c r="H93" s="19">
        <v>0</v>
      </c>
      <c r="I93" s="18"/>
      <c r="J93" s="18" t="s">
        <v>41</v>
      </c>
      <c r="K93" s="18"/>
      <c r="L93" s="18"/>
      <c r="M93" s="18">
        <f t="shared" si="29"/>
        <v>0</v>
      </c>
      <c r="N93" s="18"/>
      <c r="O93" s="18"/>
      <c r="P93" s="18">
        <v>0</v>
      </c>
      <c r="Q93" s="18"/>
      <c r="R93" s="18"/>
      <c r="S93" s="20">
        <v>0</v>
      </c>
      <c r="T93" s="18"/>
      <c r="U93" s="21"/>
      <c r="V93" s="18">
        <v>0</v>
      </c>
      <c r="W93" s="18"/>
      <c r="X93" s="18"/>
      <c r="Y93" s="18">
        <f t="shared" si="31"/>
        <v>0</v>
      </c>
      <c r="Z93" s="22"/>
      <c r="AA93" s="5">
        <f t="shared" si="32"/>
        <v>0</v>
      </c>
      <c r="AB93" s="31"/>
      <c r="AC93" s="22"/>
      <c r="AD93" s="22"/>
      <c r="AE93" s="1" t="e">
        <f t="shared" si="33"/>
        <v>#DIV/0!</v>
      </c>
      <c r="AF93" s="18" t="e">
        <f t="shared" si="30"/>
        <v>#DIV/0!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 t="s">
        <v>46</v>
      </c>
      <c r="AP93" s="1">
        <f t="shared" si="34"/>
        <v>0</v>
      </c>
      <c r="AQ93" s="1">
        <f t="shared" si="35"/>
        <v>0</v>
      </c>
      <c r="AR93" s="1"/>
      <c r="AS93" s="1"/>
      <c r="AT93" s="1"/>
      <c r="AU93" s="1"/>
      <c r="AV93" s="1"/>
    </row>
    <row r="94" spans="1:48" x14ac:dyDescent="0.25">
      <c r="A94" s="1" t="s">
        <v>141</v>
      </c>
      <c r="B94" s="1" t="s">
        <v>45</v>
      </c>
      <c r="C94" s="1">
        <v>-3</v>
      </c>
      <c r="D94" s="1">
        <v>3</v>
      </c>
      <c r="E94" s="1"/>
      <c r="F94" s="1"/>
      <c r="G94" s="1"/>
      <c r="H94" s="7">
        <v>0.3</v>
      </c>
      <c r="I94" s="1">
        <v>40</v>
      </c>
      <c r="J94" s="17" t="s">
        <v>51</v>
      </c>
      <c r="K94" s="1"/>
      <c r="L94" s="1"/>
      <c r="M94" s="1">
        <f t="shared" si="29"/>
        <v>0</v>
      </c>
      <c r="N94" s="1"/>
      <c r="O94" s="1"/>
      <c r="P94" s="1">
        <v>40</v>
      </c>
      <c r="Q94" s="1"/>
      <c r="R94" s="1"/>
      <c r="S94" s="13">
        <v>30</v>
      </c>
      <c r="T94" s="1">
        <v>-30</v>
      </c>
      <c r="U94" s="14"/>
      <c r="V94" s="1">
        <v>30</v>
      </c>
      <c r="W94" s="1">
        <v>-30</v>
      </c>
      <c r="X94" s="1"/>
      <c r="Y94" s="1">
        <f t="shared" si="31"/>
        <v>0</v>
      </c>
      <c r="Z94" s="5">
        <v>20</v>
      </c>
      <c r="AA94" s="5">
        <f>Z94*$AB$1</f>
        <v>34</v>
      </c>
      <c r="AB94" s="30">
        <f>VLOOKUP(A94,[2]TDSheet!$A:$G,7,0)</f>
        <v>0</v>
      </c>
      <c r="AC94" s="5">
        <f>AA94-AD94</f>
        <v>34</v>
      </c>
      <c r="AD94" s="5">
        <f t="shared" ref="AD94" si="45">AA94*AB94</f>
        <v>0</v>
      </c>
      <c r="AE94" s="1" t="e">
        <f t="shared" si="33"/>
        <v>#DIV/0!</v>
      </c>
      <c r="AF94" s="1" t="e">
        <f t="shared" si="30"/>
        <v>#DIV/0!</v>
      </c>
      <c r="AG94" s="1">
        <v>0</v>
      </c>
      <c r="AH94" s="1">
        <v>-0.4</v>
      </c>
      <c r="AI94" s="1">
        <v>-1.6</v>
      </c>
      <c r="AJ94" s="1">
        <v>-1.8</v>
      </c>
      <c r="AK94" s="1">
        <v>-1</v>
      </c>
      <c r="AL94" s="1">
        <v>-0.8</v>
      </c>
      <c r="AM94" s="1">
        <v>-1.2</v>
      </c>
      <c r="AN94" s="1">
        <v>-0.4</v>
      </c>
      <c r="AO94" s="1"/>
      <c r="AP94" s="1">
        <f t="shared" si="34"/>
        <v>10</v>
      </c>
      <c r="AQ94" s="1">
        <f t="shared" si="35"/>
        <v>0</v>
      </c>
      <c r="AR94" s="1"/>
      <c r="AS94" s="1"/>
      <c r="AT94" s="1"/>
      <c r="AU94" s="1"/>
      <c r="AV94" s="1"/>
    </row>
    <row r="95" spans="1:48" x14ac:dyDescent="0.25">
      <c r="A95" s="18" t="s">
        <v>142</v>
      </c>
      <c r="B95" s="18" t="s">
        <v>45</v>
      </c>
      <c r="C95" s="18"/>
      <c r="D95" s="18"/>
      <c r="E95" s="18"/>
      <c r="F95" s="18"/>
      <c r="G95" s="18"/>
      <c r="H95" s="19">
        <v>0</v>
      </c>
      <c r="I95" s="18"/>
      <c r="J95" s="18" t="s">
        <v>41</v>
      </c>
      <c r="K95" s="18"/>
      <c r="L95" s="18"/>
      <c r="M95" s="18">
        <f t="shared" si="29"/>
        <v>0</v>
      </c>
      <c r="N95" s="18"/>
      <c r="O95" s="18"/>
      <c r="P95" s="18">
        <v>0</v>
      </c>
      <c r="Q95" s="18"/>
      <c r="R95" s="18"/>
      <c r="S95" s="20">
        <v>0</v>
      </c>
      <c r="T95" s="18"/>
      <c r="U95" s="21"/>
      <c r="V95" s="18">
        <v>0</v>
      </c>
      <c r="W95" s="18"/>
      <c r="X95" s="18"/>
      <c r="Y95" s="18">
        <f t="shared" si="31"/>
        <v>0</v>
      </c>
      <c r="Z95" s="22"/>
      <c r="AA95" s="5">
        <f t="shared" si="32"/>
        <v>0</v>
      </c>
      <c r="AB95" s="31"/>
      <c r="AC95" s="22"/>
      <c r="AD95" s="22"/>
      <c r="AE95" s="1" t="e">
        <f t="shared" si="33"/>
        <v>#DIV/0!</v>
      </c>
      <c r="AF95" s="18" t="e">
        <f t="shared" si="30"/>
        <v>#DIV/0!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 t="s">
        <v>46</v>
      </c>
      <c r="AP95" s="1">
        <f t="shared" si="34"/>
        <v>0</v>
      </c>
      <c r="AQ95" s="1">
        <f t="shared" si="35"/>
        <v>0</v>
      </c>
      <c r="AR95" s="1"/>
      <c r="AS95" s="1"/>
      <c r="AT95" s="1"/>
      <c r="AU95" s="1"/>
      <c r="AV95" s="1"/>
    </row>
    <row r="96" spans="1:48" x14ac:dyDescent="0.25">
      <c r="A96" s="1" t="s">
        <v>143</v>
      </c>
      <c r="B96" s="1" t="s">
        <v>45</v>
      </c>
      <c r="C96" s="1">
        <v>6</v>
      </c>
      <c r="D96" s="1">
        <v>86</v>
      </c>
      <c r="E96" s="1">
        <v>29</v>
      </c>
      <c r="F96" s="1">
        <v>35</v>
      </c>
      <c r="G96" s="1"/>
      <c r="H96" s="7">
        <v>7.0000000000000007E-2</v>
      </c>
      <c r="I96" s="1">
        <v>90</v>
      </c>
      <c r="J96" s="17" t="s">
        <v>51</v>
      </c>
      <c r="K96" s="1"/>
      <c r="L96" s="1">
        <v>68</v>
      </c>
      <c r="M96" s="1">
        <f t="shared" si="29"/>
        <v>-39</v>
      </c>
      <c r="N96" s="1"/>
      <c r="O96" s="1"/>
      <c r="P96" s="1">
        <v>50</v>
      </c>
      <c r="Q96" s="1">
        <v>-50</v>
      </c>
      <c r="R96" s="1"/>
      <c r="S96" s="13">
        <v>90</v>
      </c>
      <c r="T96" s="1"/>
      <c r="U96" s="14"/>
      <c r="V96" s="1">
        <v>50</v>
      </c>
      <c r="W96" s="1">
        <v>-72</v>
      </c>
      <c r="X96" s="1"/>
      <c r="Y96" s="1">
        <f t="shared" si="31"/>
        <v>5.8</v>
      </c>
      <c r="Z96" s="5">
        <v>40</v>
      </c>
      <c r="AA96" s="5">
        <f t="shared" ref="AA96:AA98" si="46">Z96*$AB$1</f>
        <v>68</v>
      </c>
      <c r="AB96" s="30">
        <f>VLOOKUP(A96,[2]TDSheet!$A:$G,7,0)</f>
        <v>0.21093749999999997</v>
      </c>
      <c r="AC96" s="5">
        <f t="shared" ref="AC96:AC98" si="47">AA96-AD96</f>
        <v>53.65625</v>
      </c>
      <c r="AD96" s="5">
        <f t="shared" ref="AD96:AD98" si="48">AA96*AB96</f>
        <v>14.343749999999998</v>
      </c>
      <c r="AE96" s="1">
        <f t="shared" si="33"/>
        <v>29.482758620689655</v>
      </c>
      <c r="AF96" s="1">
        <f t="shared" si="30"/>
        <v>17.758620689655174</v>
      </c>
      <c r="AG96" s="1">
        <v>0</v>
      </c>
      <c r="AH96" s="1">
        <v>0</v>
      </c>
      <c r="AI96" s="1">
        <v>6.8</v>
      </c>
      <c r="AJ96" s="1">
        <v>10.199999999999999</v>
      </c>
      <c r="AK96" s="1">
        <v>7.8</v>
      </c>
      <c r="AL96" s="1">
        <v>10.6</v>
      </c>
      <c r="AM96" s="1">
        <v>21.2</v>
      </c>
      <c r="AN96" s="1">
        <v>22.4</v>
      </c>
      <c r="AO96" s="1"/>
      <c r="AP96" s="1">
        <f t="shared" si="34"/>
        <v>4</v>
      </c>
      <c r="AQ96" s="1">
        <f t="shared" si="35"/>
        <v>1</v>
      </c>
      <c r="AR96" s="1"/>
      <c r="AS96" s="1"/>
      <c r="AT96" s="1"/>
      <c r="AU96" s="1"/>
      <c r="AV96" s="1"/>
    </row>
    <row r="97" spans="1:48" x14ac:dyDescent="0.25">
      <c r="A97" s="1" t="s">
        <v>144</v>
      </c>
      <c r="B97" s="1" t="s">
        <v>45</v>
      </c>
      <c r="C97" s="1">
        <v>29</v>
      </c>
      <c r="D97" s="1">
        <v>210</v>
      </c>
      <c r="E97" s="1">
        <v>29</v>
      </c>
      <c r="F97" s="1">
        <v>119</v>
      </c>
      <c r="G97" s="1"/>
      <c r="H97" s="7">
        <v>7.0000000000000007E-2</v>
      </c>
      <c r="I97" s="1">
        <v>90</v>
      </c>
      <c r="J97" s="17" t="s">
        <v>51</v>
      </c>
      <c r="K97" s="1"/>
      <c r="L97" s="1">
        <v>86</v>
      </c>
      <c r="M97" s="1">
        <f t="shared" si="29"/>
        <v>-57</v>
      </c>
      <c r="N97" s="1"/>
      <c r="O97" s="1"/>
      <c r="P97" s="1">
        <v>100.60000000000009</v>
      </c>
      <c r="Q97" s="1">
        <v>-108</v>
      </c>
      <c r="R97" s="1"/>
      <c r="S97" s="13">
        <v>60</v>
      </c>
      <c r="T97" s="1">
        <v>-72</v>
      </c>
      <c r="U97" s="14"/>
      <c r="V97" s="1">
        <v>50</v>
      </c>
      <c r="W97" s="1">
        <v>-72</v>
      </c>
      <c r="X97" s="1"/>
      <c r="Y97" s="1">
        <f t="shared" si="31"/>
        <v>5.8</v>
      </c>
      <c r="Z97" s="5">
        <v>40</v>
      </c>
      <c r="AA97" s="5">
        <f t="shared" si="46"/>
        <v>68</v>
      </c>
      <c r="AB97" s="30">
        <f>VLOOKUP(A97,[2]TDSheet!$A:$G,7,0)</f>
        <v>0.15116279069767444</v>
      </c>
      <c r="AC97" s="5">
        <f t="shared" si="47"/>
        <v>57.720930232558139</v>
      </c>
      <c r="AD97" s="5">
        <f t="shared" si="48"/>
        <v>10.279069767441861</v>
      </c>
      <c r="AE97" s="1">
        <f t="shared" si="33"/>
        <v>25.103448275862082</v>
      </c>
      <c r="AF97" s="1">
        <f t="shared" si="30"/>
        <v>13.3793103448276</v>
      </c>
      <c r="AG97" s="1">
        <v>8.4</v>
      </c>
      <c r="AH97" s="1">
        <v>15.2</v>
      </c>
      <c r="AI97" s="1">
        <v>24.6</v>
      </c>
      <c r="AJ97" s="1">
        <v>21.6</v>
      </c>
      <c r="AK97" s="1">
        <v>6</v>
      </c>
      <c r="AL97" s="1">
        <v>1.4</v>
      </c>
      <c r="AM97" s="1">
        <v>12.6</v>
      </c>
      <c r="AN97" s="1">
        <v>13.6</v>
      </c>
      <c r="AO97" s="1"/>
      <c r="AP97" s="1">
        <f t="shared" si="34"/>
        <v>4</v>
      </c>
      <c r="AQ97" s="1">
        <f t="shared" si="35"/>
        <v>1</v>
      </c>
      <c r="AR97" s="1"/>
      <c r="AS97" s="1"/>
      <c r="AT97" s="1"/>
      <c r="AU97" s="1"/>
      <c r="AV97" s="1"/>
    </row>
    <row r="98" spans="1:48" x14ac:dyDescent="0.25">
      <c r="A98" s="1" t="s">
        <v>145</v>
      </c>
      <c r="B98" s="1" t="s">
        <v>45</v>
      </c>
      <c r="C98" s="1">
        <v>65</v>
      </c>
      <c r="D98" s="1">
        <v>133</v>
      </c>
      <c r="E98" s="1">
        <v>67</v>
      </c>
      <c r="F98" s="1">
        <v>98</v>
      </c>
      <c r="G98" s="1"/>
      <c r="H98" s="7">
        <v>7.0000000000000007E-2</v>
      </c>
      <c r="I98" s="1">
        <v>90</v>
      </c>
      <c r="J98" s="17" t="s">
        <v>51</v>
      </c>
      <c r="K98" s="1"/>
      <c r="L98" s="1">
        <v>75</v>
      </c>
      <c r="M98" s="1">
        <f t="shared" si="29"/>
        <v>-8</v>
      </c>
      <c r="N98" s="1"/>
      <c r="O98" s="1"/>
      <c r="P98" s="1">
        <v>130.19999999999999</v>
      </c>
      <c r="Q98" s="1">
        <v>-130</v>
      </c>
      <c r="R98" s="1"/>
      <c r="S98" s="13">
        <v>75</v>
      </c>
      <c r="T98" s="1"/>
      <c r="U98" s="14"/>
      <c r="V98" s="1">
        <v>50</v>
      </c>
      <c r="W98" s="1"/>
      <c r="X98" s="1"/>
      <c r="Y98" s="1">
        <f t="shared" si="31"/>
        <v>13.4</v>
      </c>
      <c r="Z98" s="5">
        <v>40</v>
      </c>
      <c r="AA98" s="5">
        <f t="shared" si="46"/>
        <v>68</v>
      </c>
      <c r="AB98" s="30">
        <f>VLOOKUP(A98,[2]TDSheet!$A:$G,7,0)</f>
        <v>0.16589861751152074</v>
      </c>
      <c r="AC98" s="5">
        <f t="shared" si="47"/>
        <v>56.718894009216591</v>
      </c>
      <c r="AD98" s="5">
        <f t="shared" si="48"/>
        <v>11.281105990783411</v>
      </c>
      <c r="AE98" s="1">
        <f t="shared" si="33"/>
        <v>21.731343283582088</v>
      </c>
      <c r="AF98" s="1">
        <f t="shared" si="30"/>
        <v>16.656716417910445</v>
      </c>
      <c r="AG98" s="1">
        <v>12.6</v>
      </c>
      <c r="AH98" s="1">
        <v>15</v>
      </c>
      <c r="AI98" s="1">
        <v>27</v>
      </c>
      <c r="AJ98" s="1">
        <v>21.8</v>
      </c>
      <c r="AK98" s="1">
        <v>19.8</v>
      </c>
      <c r="AL98" s="1">
        <v>22</v>
      </c>
      <c r="AM98" s="1">
        <v>17.399999999999999</v>
      </c>
      <c r="AN98" s="1">
        <v>16.8</v>
      </c>
      <c r="AO98" s="1"/>
      <c r="AP98" s="1">
        <f t="shared" si="34"/>
        <v>4</v>
      </c>
      <c r="AQ98" s="1">
        <f t="shared" si="35"/>
        <v>1</v>
      </c>
      <c r="AR98" s="1"/>
      <c r="AS98" s="1"/>
      <c r="AT98" s="1"/>
      <c r="AU98" s="1"/>
      <c r="AV98" s="1"/>
    </row>
    <row r="99" spans="1:48" x14ac:dyDescent="0.25">
      <c r="A99" s="18" t="s">
        <v>146</v>
      </c>
      <c r="B99" s="18" t="s">
        <v>45</v>
      </c>
      <c r="C99" s="18">
        <v>1</v>
      </c>
      <c r="D99" s="18">
        <v>7</v>
      </c>
      <c r="E99" s="18">
        <v>-5</v>
      </c>
      <c r="F99" s="18"/>
      <c r="G99" s="18"/>
      <c r="H99" s="19">
        <v>0</v>
      </c>
      <c r="I99" s="18">
        <v>90</v>
      </c>
      <c r="J99" s="18" t="s">
        <v>77</v>
      </c>
      <c r="K99" s="18"/>
      <c r="L99" s="18">
        <v>2</v>
      </c>
      <c r="M99" s="18">
        <f t="shared" si="29"/>
        <v>-7</v>
      </c>
      <c r="N99" s="18"/>
      <c r="O99" s="18"/>
      <c r="P99" s="18">
        <v>0</v>
      </c>
      <c r="Q99" s="18"/>
      <c r="R99" s="18"/>
      <c r="S99" s="20">
        <v>0</v>
      </c>
      <c r="T99" s="18"/>
      <c r="U99" s="21"/>
      <c r="V99" s="18">
        <v>0</v>
      </c>
      <c r="W99" s="18"/>
      <c r="X99" s="18"/>
      <c r="Y99" s="18">
        <f t="shared" si="31"/>
        <v>-1</v>
      </c>
      <c r="Z99" s="22"/>
      <c r="AA99" s="5">
        <f t="shared" si="32"/>
        <v>0</v>
      </c>
      <c r="AB99" s="31"/>
      <c r="AC99" s="22"/>
      <c r="AD99" s="22"/>
      <c r="AE99" s="1">
        <f t="shared" si="33"/>
        <v>0</v>
      </c>
      <c r="AF99" s="18">
        <f t="shared" si="30"/>
        <v>0</v>
      </c>
      <c r="AG99" s="18">
        <v>-0.8</v>
      </c>
      <c r="AH99" s="18">
        <v>0</v>
      </c>
      <c r="AI99" s="18">
        <v>0</v>
      </c>
      <c r="AJ99" s="18">
        <v>0</v>
      </c>
      <c r="AK99" s="18">
        <v>0</v>
      </c>
      <c r="AL99" s="18">
        <v>0.2</v>
      </c>
      <c r="AM99" s="18">
        <v>1.4</v>
      </c>
      <c r="AN99" s="18">
        <v>3.8</v>
      </c>
      <c r="AO99" s="18"/>
      <c r="AP99" s="1">
        <f t="shared" si="34"/>
        <v>0</v>
      </c>
      <c r="AQ99" s="1">
        <f t="shared" si="35"/>
        <v>0</v>
      </c>
      <c r="AR99" s="1"/>
      <c r="AS99" s="1"/>
      <c r="AT99" s="1"/>
      <c r="AU99" s="1"/>
      <c r="AV99" s="1"/>
    </row>
    <row r="100" spans="1:48" x14ac:dyDescent="0.25">
      <c r="A100" s="1" t="s">
        <v>147</v>
      </c>
      <c r="B100" s="1" t="s">
        <v>45</v>
      </c>
      <c r="C100" s="1">
        <v>1</v>
      </c>
      <c r="D100" s="1"/>
      <c r="E100" s="1"/>
      <c r="F100" s="1"/>
      <c r="G100" s="1"/>
      <c r="H100" s="7">
        <v>0.3</v>
      </c>
      <c r="I100" s="1"/>
      <c r="J100" s="1" t="s">
        <v>41</v>
      </c>
      <c r="K100" s="1"/>
      <c r="L100" s="1"/>
      <c r="M100" s="1">
        <f t="shared" si="29"/>
        <v>0</v>
      </c>
      <c r="N100" s="1"/>
      <c r="O100" s="1"/>
      <c r="P100" s="1">
        <v>140</v>
      </c>
      <c r="Q100" s="1"/>
      <c r="R100" s="1"/>
      <c r="S100" s="13">
        <v>0</v>
      </c>
      <c r="T100" s="1"/>
      <c r="U100" s="14"/>
      <c r="V100" s="1">
        <v>0</v>
      </c>
      <c r="W100" s="1"/>
      <c r="X100" s="1"/>
      <c r="Y100" s="1">
        <f t="shared" si="31"/>
        <v>0</v>
      </c>
      <c r="Z100" s="5">
        <v>10</v>
      </c>
      <c r="AA100" s="5">
        <f t="shared" si="32"/>
        <v>10</v>
      </c>
      <c r="AB100" s="30">
        <f>VLOOKUP(A100,[2]TDSheet!$A:$G,7,0)</f>
        <v>4.8192771084337352E-2</v>
      </c>
      <c r="AC100" s="5">
        <f t="shared" ref="AC100:AC102" si="49">AA100-AD100</f>
        <v>0</v>
      </c>
      <c r="AD100" s="34">
        <v>10</v>
      </c>
      <c r="AE100" s="1" t="e">
        <f t="shared" si="33"/>
        <v>#DIV/0!</v>
      </c>
      <c r="AF100" s="1" t="e">
        <f t="shared" si="30"/>
        <v>#DIV/0!</v>
      </c>
      <c r="AG100" s="1">
        <v>0.8</v>
      </c>
      <c r="AH100" s="1">
        <v>12.6</v>
      </c>
      <c r="AI100" s="1">
        <v>15.8</v>
      </c>
      <c r="AJ100" s="1">
        <v>4</v>
      </c>
      <c r="AK100" s="1">
        <v>0</v>
      </c>
      <c r="AL100" s="1">
        <v>0</v>
      </c>
      <c r="AM100" s="1">
        <v>0</v>
      </c>
      <c r="AN100" s="1">
        <v>0</v>
      </c>
      <c r="AO100" s="1" t="s">
        <v>125</v>
      </c>
      <c r="AP100" s="1">
        <f t="shared" si="34"/>
        <v>0</v>
      </c>
      <c r="AQ100" s="1">
        <f t="shared" si="35"/>
        <v>3</v>
      </c>
      <c r="AR100" s="1"/>
      <c r="AS100" s="1"/>
      <c r="AT100" s="1"/>
      <c r="AU100" s="1"/>
      <c r="AV100" s="1"/>
    </row>
    <row r="101" spans="1:48" x14ac:dyDescent="0.25">
      <c r="A101" s="1" t="s">
        <v>148</v>
      </c>
      <c r="B101" s="1" t="s">
        <v>40</v>
      </c>
      <c r="C101" s="1">
        <v>4.1059999999999999</v>
      </c>
      <c r="D101" s="1">
        <v>2.0169999999999999</v>
      </c>
      <c r="E101" s="1">
        <v>-1.59</v>
      </c>
      <c r="F101" s="1"/>
      <c r="G101" s="1"/>
      <c r="H101" s="7">
        <v>1</v>
      </c>
      <c r="I101" s="1">
        <v>55</v>
      </c>
      <c r="J101" s="17" t="s">
        <v>51</v>
      </c>
      <c r="K101" s="1"/>
      <c r="L101" s="1">
        <v>5.2</v>
      </c>
      <c r="M101" s="1">
        <f t="shared" si="29"/>
        <v>-6.79</v>
      </c>
      <c r="N101" s="1"/>
      <c r="O101" s="1"/>
      <c r="P101" s="1">
        <v>20.30439999999999</v>
      </c>
      <c r="Q101" s="1"/>
      <c r="R101" s="1"/>
      <c r="S101" s="13">
        <v>0</v>
      </c>
      <c r="T101" s="1"/>
      <c r="U101" s="14"/>
      <c r="V101" s="1">
        <v>10</v>
      </c>
      <c r="W101" s="1"/>
      <c r="X101" s="1"/>
      <c r="Y101" s="1">
        <f t="shared" si="31"/>
        <v>-0.318</v>
      </c>
      <c r="Z101" s="5">
        <v>10</v>
      </c>
      <c r="AA101" s="5">
        <f>Z101*$AB$1</f>
        <v>17</v>
      </c>
      <c r="AB101" s="30">
        <f>VLOOKUP(A101,[2]TDSheet!$A:$G,7,0)</f>
        <v>0.79172689869898805</v>
      </c>
      <c r="AC101" s="5">
        <f t="shared" si="49"/>
        <v>4</v>
      </c>
      <c r="AD101" s="34">
        <v>13</v>
      </c>
      <c r="AE101" s="1">
        <f t="shared" si="33"/>
        <v>-148.75597484276724</v>
      </c>
      <c r="AF101" s="1">
        <f t="shared" si="30"/>
        <v>-95.296855345911922</v>
      </c>
      <c r="AG101" s="1">
        <v>-0.318</v>
      </c>
      <c r="AH101" s="1">
        <v>1.2194</v>
      </c>
      <c r="AI101" s="1">
        <v>2.0341999999999998</v>
      </c>
      <c r="AJ101" s="1">
        <v>0.81479999999999997</v>
      </c>
      <c r="AK101" s="1">
        <v>0.20419999999999999</v>
      </c>
      <c r="AL101" s="1">
        <v>0.2034</v>
      </c>
      <c r="AM101" s="1">
        <v>0.40780000000000011</v>
      </c>
      <c r="AN101" s="1">
        <v>-0.11600000000000001</v>
      </c>
      <c r="AO101" s="1" t="s">
        <v>149</v>
      </c>
      <c r="AP101" s="1">
        <f t="shared" si="34"/>
        <v>4</v>
      </c>
      <c r="AQ101" s="1">
        <f t="shared" si="35"/>
        <v>13</v>
      </c>
      <c r="AR101" s="1"/>
      <c r="AS101" s="1"/>
      <c r="AT101" s="1"/>
      <c r="AU101" s="1"/>
      <c r="AV101" s="1"/>
    </row>
    <row r="102" spans="1:48" x14ac:dyDescent="0.25">
      <c r="A102" s="1" t="s">
        <v>150</v>
      </c>
      <c r="B102" s="1" t="s">
        <v>45</v>
      </c>
      <c r="C102" s="1">
        <v>56</v>
      </c>
      <c r="D102" s="1">
        <v>91</v>
      </c>
      <c r="E102" s="1">
        <v>5</v>
      </c>
      <c r="F102" s="1">
        <v>51</v>
      </c>
      <c r="G102" s="1">
        <f>VLOOKUP(A102,[1]TDSheet!$A:$M,9,0)</f>
        <v>40</v>
      </c>
      <c r="H102" s="7">
        <v>0.11</v>
      </c>
      <c r="I102" s="1">
        <v>30</v>
      </c>
      <c r="J102" s="1" t="s">
        <v>41</v>
      </c>
      <c r="K102" s="1"/>
      <c r="L102" s="1">
        <v>57</v>
      </c>
      <c r="M102" s="1">
        <f t="shared" ref="M102:M132" si="50">E102-L102</f>
        <v>-52</v>
      </c>
      <c r="N102" s="1"/>
      <c r="O102" s="1"/>
      <c r="P102" s="1">
        <v>65</v>
      </c>
      <c r="Q102" s="1"/>
      <c r="R102" s="1"/>
      <c r="S102" s="13">
        <v>0</v>
      </c>
      <c r="T102" s="1"/>
      <c r="U102" s="14"/>
      <c r="V102" s="1">
        <v>40</v>
      </c>
      <c r="W102" s="1"/>
      <c r="X102" s="1"/>
      <c r="Y102" s="1">
        <f t="shared" si="31"/>
        <v>1</v>
      </c>
      <c r="Z102" s="5"/>
      <c r="AA102" s="5">
        <f t="shared" si="32"/>
        <v>0</v>
      </c>
      <c r="AB102" s="30">
        <f>VLOOKUP(A102,[2]TDSheet!$A:$G,7,0)</f>
        <v>0.58823529411764708</v>
      </c>
      <c r="AC102" s="5">
        <f t="shared" si="49"/>
        <v>0</v>
      </c>
      <c r="AD102" s="5">
        <f t="shared" ref="AD102" si="51">AA102*AB102</f>
        <v>0</v>
      </c>
      <c r="AE102" s="1">
        <f t="shared" si="33"/>
        <v>196</v>
      </c>
      <c r="AF102" s="1">
        <f t="shared" ref="AF102:AF132" si="52">(F102+G102+P102+Q102+R102+S102+T102+U102+V102+W102+X102)/Y102</f>
        <v>196</v>
      </c>
      <c r="AG102" s="1">
        <v>1.4</v>
      </c>
      <c r="AH102" s="1">
        <v>0.4</v>
      </c>
      <c r="AI102" s="1">
        <v>11</v>
      </c>
      <c r="AJ102" s="1">
        <v>1.4</v>
      </c>
      <c r="AK102" s="1">
        <v>3.2</v>
      </c>
      <c r="AL102" s="1">
        <v>3.6</v>
      </c>
      <c r="AM102" s="1">
        <v>0.4</v>
      </c>
      <c r="AN102" s="1">
        <v>1.6</v>
      </c>
      <c r="AO102" s="1" t="s">
        <v>151</v>
      </c>
      <c r="AP102" s="1">
        <f t="shared" si="34"/>
        <v>0</v>
      </c>
      <c r="AQ102" s="1">
        <f t="shared" si="35"/>
        <v>0</v>
      </c>
      <c r="AR102" s="1"/>
      <c r="AS102" s="1"/>
      <c r="AT102" s="1"/>
      <c r="AU102" s="1"/>
      <c r="AV102" s="1"/>
    </row>
    <row r="103" spans="1:48" x14ac:dyDescent="0.25">
      <c r="A103" s="18" t="s">
        <v>152</v>
      </c>
      <c r="B103" s="18" t="s">
        <v>45</v>
      </c>
      <c r="C103" s="18"/>
      <c r="D103" s="18"/>
      <c r="E103" s="18"/>
      <c r="F103" s="18"/>
      <c r="G103" s="18"/>
      <c r="H103" s="19">
        <v>0</v>
      </c>
      <c r="I103" s="18"/>
      <c r="J103" s="18" t="s">
        <v>41</v>
      </c>
      <c r="K103" s="18"/>
      <c r="L103" s="18"/>
      <c r="M103" s="18">
        <f t="shared" si="50"/>
        <v>0</v>
      </c>
      <c r="N103" s="18"/>
      <c r="O103" s="18"/>
      <c r="P103" s="18">
        <v>0</v>
      </c>
      <c r="Q103" s="18"/>
      <c r="R103" s="18"/>
      <c r="S103" s="20">
        <v>0</v>
      </c>
      <c r="T103" s="18"/>
      <c r="U103" s="21"/>
      <c r="V103" s="18">
        <v>0</v>
      </c>
      <c r="W103" s="18"/>
      <c r="X103" s="18"/>
      <c r="Y103" s="18">
        <f t="shared" si="31"/>
        <v>0</v>
      </c>
      <c r="Z103" s="22"/>
      <c r="AA103" s="5">
        <f t="shared" si="32"/>
        <v>0</v>
      </c>
      <c r="AB103" s="31"/>
      <c r="AC103" s="22"/>
      <c r="AD103" s="22"/>
      <c r="AE103" s="1" t="e">
        <f t="shared" si="33"/>
        <v>#DIV/0!</v>
      </c>
      <c r="AF103" s="18" t="e">
        <f t="shared" si="52"/>
        <v>#DIV/0!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 t="s">
        <v>46</v>
      </c>
      <c r="AP103" s="1">
        <f t="shared" si="34"/>
        <v>0</v>
      </c>
      <c r="AQ103" s="1">
        <f t="shared" si="35"/>
        <v>0</v>
      </c>
      <c r="AR103" s="1"/>
      <c r="AS103" s="1"/>
      <c r="AT103" s="1"/>
      <c r="AU103" s="1"/>
      <c r="AV103" s="1"/>
    </row>
    <row r="104" spans="1:48" x14ac:dyDescent="0.25">
      <c r="A104" s="1" t="s">
        <v>153</v>
      </c>
      <c r="B104" s="1" t="s">
        <v>45</v>
      </c>
      <c r="C104" s="1">
        <v>100</v>
      </c>
      <c r="D104" s="1">
        <v>125</v>
      </c>
      <c r="E104" s="1">
        <v>108</v>
      </c>
      <c r="F104" s="1">
        <v>19</v>
      </c>
      <c r="G104" s="1"/>
      <c r="H104" s="7">
        <v>0.08</v>
      </c>
      <c r="I104" s="1">
        <v>45</v>
      </c>
      <c r="J104" s="1" t="s">
        <v>41</v>
      </c>
      <c r="K104" s="1"/>
      <c r="L104" s="1">
        <v>117</v>
      </c>
      <c r="M104" s="1">
        <f t="shared" si="50"/>
        <v>-9</v>
      </c>
      <c r="N104" s="1"/>
      <c r="O104" s="1"/>
      <c r="P104" s="1">
        <v>105.9999999999999</v>
      </c>
      <c r="Q104" s="1"/>
      <c r="R104" s="1"/>
      <c r="S104" s="13">
        <v>0</v>
      </c>
      <c r="T104" s="1"/>
      <c r="U104" s="14"/>
      <c r="V104" s="1">
        <v>101.2000000000001</v>
      </c>
      <c r="W104" s="1"/>
      <c r="X104" s="1"/>
      <c r="Y104" s="1">
        <f t="shared" si="31"/>
        <v>21.6</v>
      </c>
      <c r="Z104" s="5">
        <f>11*Y104-X104-W104-V104-U104-T104-S104-R104-Q104-P104-G104-F104</f>
        <v>11.40000000000002</v>
      </c>
      <c r="AA104" s="5">
        <f t="shared" ref="AA104:AA105" si="53">Z104+$AA$1*Y104</f>
        <v>76.200000000000031</v>
      </c>
      <c r="AB104" s="30">
        <f>VLOOKUP(A104,[2]TDSheet!$A:$G,7,0)</f>
        <v>0.43325526932084313</v>
      </c>
      <c r="AC104" s="5">
        <f t="shared" ref="AC104:AC109" si="54">AA104-AD104</f>
        <v>43.185948477751772</v>
      </c>
      <c r="AD104" s="5">
        <f t="shared" ref="AD104:AD105" si="55">AA104*AB104</f>
        <v>33.014051522248259</v>
      </c>
      <c r="AE104" s="1">
        <f t="shared" si="33"/>
        <v>14</v>
      </c>
      <c r="AF104" s="1">
        <f t="shared" si="52"/>
        <v>10.472222222222221</v>
      </c>
      <c r="AG104" s="1">
        <v>22.8</v>
      </c>
      <c r="AH104" s="1">
        <v>18</v>
      </c>
      <c r="AI104" s="1">
        <v>24.4</v>
      </c>
      <c r="AJ104" s="1">
        <v>21.8</v>
      </c>
      <c r="AK104" s="1">
        <v>22.4</v>
      </c>
      <c r="AL104" s="1">
        <v>19.399999999999999</v>
      </c>
      <c r="AM104" s="1">
        <v>14.4</v>
      </c>
      <c r="AN104" s="1">
        <v>21.6</v>
      </c>
      <c r="AO104" s="1"/>
      <c r="AP104" s="1">
        <f t="shared" si="34"/>
        <v>3</v>
      </c>
      <c r="AQ104" s="1">
        <f t="shared" si="35"/>
        <v>3</v>
      </c>
      <c r="AR104" s="1"/>
      <c r="AS104" s="1"/>
      <c r="AT104" s="1"/>
      <c r="AU104" s="1"/>
      <c r="AV104" s="1"/>
    </row>
    <row r="105" spans="1:48" x14ac:dyDescent="0.25">
      <c r="A105" s="1" t="s">
        <v>154</v>
      </c>
      <c r="B105" s="1" t="s">
        <v>45</v>
      </c>
      <c r="C105" s="1">
        <v>83</v>
      </c>
      <c r="D105" s="1">
        <v>188</v>
      </c>
      <c r="E105" s="1">
        <v>83</v>
      </c>
      <c r="F105" s="1">
        <v>77</v>
      </c>
      <c r="G105" s="1"/>
      <c r="H105" s="7">
        <v>0.08</v>
      </c>
      <c r="I105" s="1">
        <v>45</v>
      </c>
      <c r="J105" s="1" t="s">
        <v>41</v>
      </c>
      <c r="K105" s="1"/>
      <c r="L105" s="1">
        <v>99</v>
      </c>
      <c r="M105" s="1">
        <f t="shared" si="50"/>
        <v>-16</v>
      </c>
      <c r="N105" s="1"/>
      <c r="O105" s="1"/>
      <c r="P105" s="1">
        <v>34</v>
      </c>
      <c r="Q105" s="1"/>
      <c r="R105" s="1"/>
      <c r="S105" s="13">
        <v>50</v>
      </c>
      <c r="T105" s="1"/>
      <c r="U105" s="14"/>
      <c r="V105" s="1">
        <v>38.200000000000017</v>
      </c>
      <c r="W105" s="1"/>
      <c r="X105" s="1"/>
      <c r="Y105" s="1">
        <f t="shared" si="31"/>
        <v>16.600000000000001</v>
      </c>
      <c r="Z105" s="5"/>
      <c r="AA105" s="5">
        <f t="shared" si="53"/>
        <v>49.800000000000004</v>
      </c>
      <c r="AB105" s="30">
        <f>VLOOKUP(A105,[2]TDSheet!$A:$G,7,0)</f>
        <v>0.49848024316109418</v>
      </c>
      <c r="AC105" s="5">
        <f t="shared" si="54"/>
        <v>24.97568389057751</v>
      </c>
      <c r="AD105" s="5">
        <f t="shared" si="55"/>
        <v>24.824316109422494</v>
      </c>
      <c r="AE105" s="1">
        <f t="shared" si="33"/>
        <v>14.999999999999998</v>
      </c>
      <c r="AF105" s="1">
        <f t="shared" si="52"/>
        <v>12</v>
      </c>
      <c r="AG105" s="1">
        <v>17.600000000000001</v>
      </c>
      <c r="AH105" s="1">
        <v>11.2</v>
      </c>
      <c r="AI105" s="1">
        <v>18</v>
      </c>
      <c r="AJ105" s="1">
        <v>19</v>
      </c>
      <c r="AK105" s="1">
        <v>18</v>
      </c>
      <c r="AL105" s="1">
        <v>15.6</v>
      </c>
      <c r="AM105" s="1">
        <v>11.6</v>
      </c>
      <c r="AN105" s="1">
        <v>11.6</v>
      </c>
      <c r="AO105" s="1"/>
      <c r="AP105" s="1">
        <f t="shared" si="34"/>
        <v>2</v>
      </c>
      <c r="AQ105" s="1">
        <f t="shared" si="35"/>
        <v>2</v>
      </c>
      <c r="AR105" s="1"/>
      <c r="AS105" s="1"/>
      <c r="AT105" s="1"/>
      <c r="AU105" s="1"/>
      <c r="AV105" s="1"/>
    </row>
    <row r="106" spans="1:48" x14ac:dyDescent="0.25">
      <c r="A106" s="1" t="s">
        <v>155</v>
      </c>
      <c r="B106" s="1" t="s">
        <v>45</v>
      </c>
      <c r="C106" s="1">
        <v>58</v>
      </c>
      <c r="D106" s="1"/>
      <c r="E106" s="1"/>
      <c r="F106" s="1"/>
      <c r="G106" s="1"/>
      <c r="H106" s="7">
        <v>0.17</v>
      </c>
      <c r="I106" s="1">
        <v>30</v>
      </c>
      <c r="J106" s="1" t="s">
        <v>41</v>
      </c>
      <c r="K106" s="1"/>
      <c r="L106" s="1">
        <v>17</v>
      </c>
      <c r="M106" s="1">
        <f t="shared" si="50"/>
        <v>-17</v>
      </c>
      <c r="N106" s="1"/>
      <c r="O106" s="1"/>
      <c r="P106" s="1">
        <v>0</v>
      </c>
      <c r="Q106" s="1"/>
      <c r="R106" s="1"/>
      <c r="S106" s="13">
        <v>0</v>
      </c>
      <c r="T106" s="1"/>
      <c r="U106" s="14"/>
      <c r="V106" s="1">
        <v>30</v>
      </c>
      <c r="W106" s="1"/>
      <c r="X106" s="1"/>
      <c r="Y106" s="1">
        <f t="shared" si="31"/>
        <v>0</v>
      </c>
      <c r="Z106" s="5">
        <v>20</v>
      </c>
      <c r="AA106" s="5">
        <f t="shared" si="32"/>
        <v>20</v>
      </c>
      <c r="AB106" s="30">
        <f>VLOOKUP(A106,[2]TDSheet!$A:$G,7,0)</f>
        <v>0.76666666666666672</v>
      </c>
      <c r="AC106" s="5">
        <f t="shared" si="54"/>
        <v>0</v>
      </c>
      <c r="AD106" s="34">
        <v>20</v>
      </c>
      <c r="AE106" s="1" t="e">
        <f t="shared" si="33"/>
        <v>#DIV/0!</v>
      </c>
      <c r="AF106" s="1" t="e">
        <f t="shared" si="52"/>
        <v>#DIV/0!</v>
      </c>
      <c r="AG106" s="1">
        <v>0.2</v>
      </c>
      <c r="AH106" s="1">
        <v>0.2</v>
      </c>
      <c r="AI106" s="1">
        <v>1</v>
      </c>
      <c r="AJ106" s="1">
        <v>1</v>
      </c>
      <c r="AK106" s="1">
        <v>1.4</v>
      </c>
      <c r="AL106" s="1">
        <v>1.2</v>
      </c>
      <c r="AM106" s="1">
        <v>0.4</v>
      </c>
      <c r="AN106" s="1">
        <v>3.6</v>
      </c>
      <c r="AO106" s="1" t="s">
        <v>156</v>
      </c>
      <c r="AP106" s="1">
        <f t="shared" si="34"/>
        <v>0</v>
      </c>
      <c r="AQ106" s="1">
        <f t="shared" si="35"/>
        <v>3</v>
      </c>
      <c r="AR106" s="1"/>
      <c r="AS106" s="1"/>
      <c r="AT106" s="1"/>
      <c r="AU106" s="1"/>
      <c r="AV106" s="1"/>
    </row>
    <row r="107" spans="1:48" x14ac:dyDescent="0.25">
      <c r="A107" s="1" t="s">
        <v>157</v>
      </c>
      <c r="B107" s="1" t="s">
        <v>40</v>
      </c>
      <c r="C107" s="1">
        <v>-38.189</v>
      </c>
      <c r="D107" s="1">
        <v>64.361000000000004</v>
      </c>
      <c r="E107" s="1">
        <v>21.286999999999999</v>
      </c>
      <c r="F107" s="1">
        <v>4.0000000000000001E-3</v>
      </c>
      <c r="G107" s="1"/>
      <c r="H107" s="7">
        <v>1</v>
      </c>
      <c r="I107" s="1">
        <v>40</v>
      </c>
      <c r="J107" s="17" t="s">
        <v>51</v>
      </c>
      <c r="K107" s="1"/>
      <c r="L107" s="1">
        <v>62.1</v>
      </c>
      <c r="M107" s="1">
        <f t="shared" si="50"/>
        <v>-40.813000000000002</v>
      </c>
      <c r="N107" s="1"/>
      <c r="O107" s="1"/>
      <c r="P107" s="1">
        <v>100</v>
      </c>
      <c r="Q107" s="1"/>
      <c r="R107" s="1"/>
      <c r="S107" s="13">
        <v>250</v>
      </c>
      <c r="T107" s="1">
        <v>-252</v>
      </c>
      <c r="U107" s="14"/>
      <c r="V107" s="1">
        <v>0</v>
      </c>
      <c r="W107" s="1"/>
      <c r="X107" s="1"/>
      <c r="Y107" s="1">
        <f t="shared" si="31"/>
        <v>4.2573999999999996</v>
      </c>
      <c r="Z107" s="5">
        <v>50</v>
      </c>
      <c r="AA107" s="5">
        <f t="shared" ref="AA107:AA109" si="56">Z107*$AB$1</f>
        <v>85</v>
      </c>
      <c r="AB107" s="30">
        <f>VLOOKUP(A107,[2]TDSheet!$A:$G,7,0)</f>
        <v>0.27955591296966448</v>
      </c>
      <c r="AC107" s="5">
        <f t="shared" si="54"/>
        <v>61.237747397578516</v>
      </c>
      <c r="AD107" s="5">
        <f t="shared" ref="AD107:AD109" si="57">AA107*AB107</f>
        <v>23.76225260242148</v>
      </c>
      <c r="AE107" s="1">
        <f t="shared" si="33"/>
        <v>42.98492037393715</v>
      </c>
      <c r="AF107" s="1">
        <f t="shared" si="52"/>
        <v>23.019683374829714</v>
      </c>
      <c r="AG107" s="1">
        <v>0.29620000000000002</v>
      </c>
      <c r="AH107" s="1">
        <v>12.997</v>
      </c>
      <c r="AI107" s="1">
        <v>22.168800000000001</v>
      </c>
      <c r="AJ107" s="1">
        <v>13.851800000000001</v>
      </c>
      <c r="AK107" s="1">
        <v>7.4358000000000004</v>
      </c>
      <c r="AL107" s="1">
        <v>1.85</v>
      </c>
      <c r="AM107" s="1">
        <v>1.1499999999999999</v>
      </c>
      <c r="AN107" s="1">
        <v>11.496</v>
      </c>
      <c r="AO107" s="1"/>
      <c r="AP107" s="1">
        <f t="shared" si="34"/>
        <v>61</v>
      </c>
      <c r="AQ107" s="1">
        <f t="shared" si="35"/>
        <v>24</v>
      </c>
      <c r="AR107" s="1"/>
      <c r="AS107" s="1"/>
      <c r="AT107" s="1"/>
      <c r="AU107" s="1"/>
      <c r="AV107" s="1"/>
    </row>
    <row r="108" spans="1:48" x14ac:dyDescent="0.25">
      <c r="A108" s="1" t="s">
        <v>158</v>
      </c>
      <c r="B108" s="1" t="s">
        <v>40</v>
      </c>
      <c r="C108" s="1">
        <v>14.904999999999999</v>
      </c>
      <c r="D108" s="1">
        <v>137.72399999999999</v>
      </c>
      <c r="E108" s="1">
        <v>69.825999999999993</v>
      </c>
      <c r="F108" s="1">
        <v>-2.4E-2</v>
      </c>
      <c r="G108" s="1"/>
      <c r="H108" s="7">
        <v>1</v>
      </c>
      <c r="I108" s="1">
        <v>40</v>
      </c>
      <c r="J108" s="17" t="s">
        <v>51</v>
      </c>
      <c r="K108" s="1"/>
      <c r="L108" s="1">
        <v>123.5</v>
      </c>
      <c r="M108" s="1">
        <f t="shared" si="50"/>
        <v>-53.674000000000007</v>
      </c>
      <c r="N108" s="1"/>
      <c r="O108" s="1"/>
      <c r="P108" s="1">
        <v>30</v>
      </c>
      <c r="Q108" s="1"/>
      <c r="R108" s="1"/>
      <c r="S108" s="13">
        <v>250</v>
      </c>
      <c r="T108" s="1"/>
      <c r="U108" s="14"/>
      <c r="V108" s="1">
        <v>0</v>
      </c>
      <c r="W108" s="1"/>
      <c r="X108" s="1"/>
      <c r="Y108" s="1">
        <f t="shared" si="31"/>
        <v>13.965199999999999</v>
      </c>
      <c r="Z108" s="5">
        <v>40</v>
      </c>
      <c r="AA108" s="5">
        <f t="shared" si="56"/>
        <v>68</v>
      </c>
      <c r="AB108" s="30">
        <f>VLOOKUP(A108,[2]TDSheet!$A:$G,7,0)</f>
        <v>0.16113254501772536</v>
      </c>
      <c r="AC108" s="5">
        <f t="shared" si="54"/>
        <v>57.042986938794677</v>
      </c>
      <c r="AD108" s="5">
        <f t="shared" si="57"/>
        <v>10.957013061205325</v>
      </c>
      <c r="AE108" s="1">
        <f t="shared" si="33"/>
        <v>24.917366024117094</v>
      </c>
      <c r="AF108" s="1">
        <f t="shared" si="52"/>
        <v>20.048119611605994</v>
      </c>
      <c r="AG108" s="1">
        <v>19.686800000000002</v>
      </c>
      <c r="AH108" s="1">
        <v>16.466799999999999</v>
      </c>
      <c r="AI108" s="1">
        <v>7.055200000000001</v>
      </c>
      <c r="AJ108" s="1">
        <v>12.9968</v>
      </c>
      <c r="AK108" s="1">
        <v>8.9847999999999999</v>
      </c>
      <c r="AL108" s="1">
        <v>1.7248000000000001</v>
      </c>
      <c r="AM108" s="1">
        <v>5.3618000000000006</v>
      </c>
      <c r="AN108" s="1">
        <v>15.671200000000001</v>
      </c>
      <c r="AO108" s="1"/>
      <c r="AP108" s="1">
        <f t="shared" si="34"/>
        <v>57</v>
      </c>
      <c r="AQ108" s="1">
        <f t="shared" si="35"/>
        <v>11</v>
      </c>
      <c r="AR108" s="1"/>
      <c r="AS108" s="1"/>
      <c r="AT108" s="1"/>
      <c r="AU108" s="1"/>
      <c r="AV108" s="1"/>
    </row>
    <row r="109" spans="1:48" x14ac:dyDescent="0.25">
      <c r="A109" s="1" t="s">
        <v>159</v>
      </c>
      <c r="B109" s="1" t="s">
        <v>40</v>
      </c>
      <c r="C109" s="1">
        <v>0.46800000000000003</v>
      </c>
      <c r="D109" s="1">
        <v>14.441000000000001</v>
      </c>
      <c r="E109" s="1">
        <v>-1.425</v>
      </c>
      <c r="F109" s="1"/>
      <c r="G109" s="1"/>
      <c r="H109" s="7">
        <v>1</v>
      </c>
      <c r="I109" s="1">
        <v>40</v>
      </c>
      <c r="J109" s="17" t="s">
        <v>51</v>
      </c>
      <c r="K109" s="1"/>
      <c r="L109" s="1">
        <v>36.5</v>
      </c>
      <c r="M109" s="1">
        <f t="shared" si="50"/>
        <v>-37.924999999999997</v>
      </c>
      <c r="N109" s="1"/>
      <c r="O109" s="1"/>
      <c r="P109" s="1">
        <v>60</v>
      </c>
      <c r="Q109" s="1">
        <v>-63</v>
      </c>
      <c r="R109" s="1"/>
      <c r="S109" s="13">
        <v>250</v>
      </c>
      <c r="T109" s="1">
        <v>-252</v>
      </c>
      <c r="U109" s="14"/>
      <c r="V109" s="1">
        <v>60</v>
      </c>
      <c r="W109" s="1">
        <v>-63</v>
      </c>
      <c r="X109" s="1"/>
      <c r="Y109" s="1">
        <f t="shared" si="31"/>
        <v>-0.28500000000000003</v>
      </c>
      <c r="Z109" s="5">
        <v>40</v>
      </c>
      <c r="AA109" s="5">
        <f t="shared" si="56"/>
        <v>68</v>
      </c>
      <c r="AB109" s="30">
        <f>VLOOKUP(A109,[2]TDSheet!$A:$G,7,0)</f>
        <v>0.1738879904830945</v>
      </c>
      <c r="AC109" s="5">
        <f t="shared" si="54"/>
        <v>56.175616647149575</v>
      </c>
      <c r="AD109" s="5">
        <f t="shared" si="57"/>
        <v>11.824383352850425</v>
      </c>
      <c r="AE109" s="1">
        <f t="shared" si="33"/>
        <v>-210.52631578947367</v>
      </c>
      <c r="AF109" s="1">
        <f t="shared" si="52"/>
        <v>28.07017543859649</v>
      </c>
      <c r="AG109" s="1">
        <v>-0.71140000000000003</v>
      </c>
      <c r="AH109" s="1">
        <v>-0.71239999999999992</v>
      </c>
      <c r="AI109" s="1">
        <v>-0.42520000000000002</v>
      </c>
      <c r="AJ109" s="1">
        <v>-0.4284</v>
      </c>
      <c r="AK109" s="1">
        <v>2.9601999999999999</v>
      </c>
      <c r="AL109" s="1">
        <v>5.3917999999999999</v>
      </c>
      <c r="AM109" s="1">
        <v>4.0991999999999997</v>
      </c>
      <c r="AN109" s="1">
        <v>11.083399999999999</v>
      </c>
      <c r="AO109" s="1"/>
      <c r="AP109" s="1">
        <f t="shared" si="34"/>
        <v>56</v>
      </c>
      <c r="AQ109" s="1">
        <f t="shared" si="35"/>
        <v>12</v>
      </c>
      <c r="AR109" s="1"/>
      <c r="AS109" s="1"/>
      <c r="AT109" s="1"/>
      <c r="AU109" s="1"/>
      <c r="AV109" s="1"/>
    </row>
    <row r="110" spans="1:48" x14ac:dyDescent="0.25">
      <c r="A110" s="18" t="s">
        <v>160</v>
      </c>
      <c r="B110" s="18" t="s">
        <v>45</v>
      </c>
      <c r="C110" s="18"/>
      <c r="D110" s="18"/>
      <c r="E110" s="18"/>
      <c r="F110" s="18"/>
      <c r="G110" s="18"/>
      <c r="H110" s="19">
        <v>0</v>
      </c>
      <c r="I110" s="18"/>
      <c r="J110" s="18" t="s">
        <v>41</v>
      </c>
      <c r="K110" s="18"/>
      <c r="L110" s="18"/>
      <c r="M110" s="18">
        <f t="shared" si="50"/>
        <v>0</v>
      </c>
      <c r="N110" s="18"/>
      <c r="O110" s="18"/>
      <c r="P110" s="18">
        <v>0</v>
      </c>
      <c r="Q110" s="18"/>
      <c r="R110" s="18"/>
      <c r="S110" s="20">
        <v>0</v>
      </c>
      <c r="T110" s="18"/>
      <c r="U110" s="21"/>
      <c r="V110" s="18">
        <v>0</v>
      </c>
      <c r="W110" s="18"/>
      <c r="X110" s="18"/>
      <c r="Y110" s="18">
        <f t="shared" si="31"/>
        <v>0</v>
      </c>
      <c r="Z110" s="22"/>
      <c r="AA110" s="5">
        <f t="shared" si="32"/>
        <v>0</v>
      </c>
      <c r="AB110" s="31"/>
      <c r="AC110" s="22"/>
      <c r="AD110" s="22"/>
      <c r="AE110" s="1" t="e">
        <f t="shared" si="33"/>
        <v>#DIV/0!</v>
      </c>
      <c r="AF110" s="18" t="e">
        <f t="shared" si="52"/>
        <v>#DIV/0!</v>
      </c>
      <c r="AG110" s="18">
        <v>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 t="s">
        <v>46</v>
      </c>
      <c r="AP110" s="1">
        <f t="shared" si="34"/>
        <v>0</v>
      </c>
      <c r="AQ110" s="1">
        <f t="shared" si="35"/>
        <v>0</v>
      </c>
      <c r="AR110" s="1"/>
      <c r="AS110" s="1"/>
      <c r="AT110" s="1"/>
      <c r="AU110" s="1"/>
      <c r="AV110" s="1"/>
    </row>
    <row r="111" spans="1:48" x14ac:dyDescent="0.25">
      <c r="A111" s="18" t="s">
        <v>161</v>
      </c>
      <c r="B111" s="18" t="s">
        <v>40</v>
      </c>
      <c r="C111" s="18"/>
      <c r="D111" s="18"/>
      <c r="E111" s="18"/>
      <c r="F111" s="18"/>
      <c r="G111" s="18"/>
      <c r="H111" s="19">
        <v>0</v>
      </c>
      <c r="I111" s="18"/>
      <c r="J111" s="18" t="s">
        <v>41</v>
      </c>
      <c r="K111" s="18"/>
      <c r="L111" s="18"/>
      <c r="M111" s="18">
        <f t="shared" si="50"/>
        <v>0</v>
      </c>
      <c r="N111" s="18"/>
      <c r="O111" s="18"/>
      <c r="P111" s="18">
        <v>0</v>
      </c>
      <c r="Q111" s="18"/>
      <c r="R111" s="18"/>
      <c r="S111" s="20">
        <v>0</v>
      </c>
      <c r="T111" s="18"/>
      <c r="U111" s="21"/>
      <c r="V111" s="18">
        <v>0</v>
      </c>
      <c r="W111" s="18"/>
      <c r="X111" s="18"/>
      <c r="Y111" s="18">
        <f t="shared" si="31"/>
        <v>0</v>
      </c>
      <c r="Z111" s="22"/>
      <c r="AA111" s="5">
        <f t="shared" si="32"/>
        <v>0</v>
      </c>
      <c r="AB111" s="31"/>
      <c r="AC111" s="22"/>
      <c r="AD111" s="22"/>
      <c r="AE111" s="1" t="e">
        <f t="shared" si="33"/>
        <v>#DIV/0!</v>
      </c>
      <c r="AF111" s="18" t="e">
        <f t="shared" si="52"/>
        <v>#DIV/0!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 t="s">
        <v>46</v>
      </c>
      <c r="AP111" s="1">
        <f t="shared" si="34"/>
        <v>0</v>
      </c>
      <c r="AQ111" s="1">
        <f t="shared" si="35"/>
        <v>0</v>
      </c>
      <c r="AR111" s="1"/>
      <c r="AS111" s="1"/>
      <c r="AT111" s="1"/>
      <c r="AU111" s="1"/>
      <c r="AV111" s="1"/>
    </row>
    <row r="112" spans="1:48" x14ac:dyDescent="0.25">
      <c r="A112" s="1" t="s">
        <v>162</v>
      </c>
      <c r="B112" s="1" t="s">
        <v>45</v>
      </c>
      <c r="C112" s="1">
        <v>4</v>
      </c>
      <c r="D112" s="1">
        <v>140</v>
      </c>
      <c r="E112" s="1">
        <v>54</v>
      </c>
      <c r="F112" s="1">
        <v>-3</v>
      </c>
      <c r="G112" s="1"/>
      <c r="H112" s="7">
        <v>0.28000000000000003</v>
      </c>
      <c r="I112" s="1">
        <v>40</v>
      </c>
      <c r="J112" s="17" t="s">
        <v>51</v>
      </c>
      <c r="K112" s="1"/>
      <c r="L112" s="1">
        <v>125</v>
      </c>
      <c r="M112" s="1">
        <f t="shared" si="50"/>
        <v>-71</v>
      </c>
      <c r="N112" s="1"/>
      <c r="O112" s="1"/>
      <c r="P112" s="1">
        <v>150</v>
      </c>
      <c r="Q112" s="1"/>
      <c r="R112" s="1"/>
      <c r="S112" s="13">
        <v>250</v>
      </c>
      <c r="T112" s="1">
        <v>-252</v>
      </c>
      <c r="U112" s="14"/>
      <c r="V112" s="1">
        <v>0</v>
      </c>
      <c r="W112" s="1"/>
      <c r="X112" s="1"/>
      <c r="Y112" s="1">
        <f t="shared" si="31"/>
        <v>10.8</v>
      </c>
      <c r="Z112" s="5">
        <v>80</v>
      </c>
      <c r="AA112" s="5">
        <f>Z112*$AB$1</f>
        <v>136</v>
      </c>
      <c r="AB112" s="30">
        <f>VLOOKUP(A112,[2]TDSheet!$A:$G,7,0)</f>
        <v>0.5485714285714286</v>
      </c>
      <c r="AC112" s="5">
        <f t="shared" ref="AC112:AC131" si="58">AA112-AD112</f>
        <v>61.394285714285715</v>
      </c>
      <c r="AD112" s="5">
        <f t="shared" ref="AD112:AD120" si="59">AA112*AB112</f>
        <v>74.605714285714285</v>
      </c>
      <c r="AE112" s="1">
        <f t="shared" si="33"/>
        <v>26.018518518518515</v>
      </c>
      <c r="AF112" s="1">
        <f t="shared" si="52"/>
        <v>13.425925925925926</v>
      </c>
      <c r="AG112" s="1">
        <v>0.2</v>
      </c>
      <c r="AH112" s="1">
        <v>13.2</v>
      </c>
      <c r="AI112" s="1">
        <v>23.2</v>
      </c>
      <c r="AJ112" s="1">
        <v>17.8</v>
      </c>
      <c r="AK112" s="1">
        <v>7.4</v>
      </c>
      <c r="AL112" s="1">
        <v>-2</v>
      </c>
      <c r="AM112" s="1">
        <v>-3.4</v>
      </c>
      <c r="AN112" s="1">
        <v>-3.8</v>
      </c>
      <c r="AO112" s="1"/>
      <c r="AP112" s="1">
        <f t="shared" si="34"/>
        <v>17</v>
      </c>
      <c r="AQ112" s="1">
        <f t="shared" si="35"/>
        <v>21</v>
      </c>
      <c r="AR112" s="1"/>
      <c r="AS112" s="1"/>
      <c r="AT112" s="1"/>
      <c r="AU112" s="1"/>
      <c r="AV112" s="1"/>
    </row>
    <row r="113" spans="1:48" x14ac:dyDescent="0.25">
      <c r="A113" s="1" t="s">
        <v>163</v>
      </c>
      <c r="B113" s="1" t="s">
        <v>45</v>
      </c>
      <c r="C113" s="1"/>
      <c r="D113" s="1">
        <v>226</v>
      </c>
      <c r="E113" s="1">
        <v>54</v>
      </c>
      <c r="F113" s="1">
        <v>81</v>
      </c>
      <c r="G113" s="1"/>
      <c r="H113" s="7">
        <v>0.28000000000000003</v>
      </c>
      <c r="I113" s="1">
        <v>40</v>
      </c>
      <c r="J113" s="17" t="s">
        <v>51</v>
      </c>
      <c r="K113" s="1"/>
      <c r="L113" s="1">
        <v>122</v>
      </c>
      <c r="M113" s="1">
        <f t="shared" si="50"/>
        <v>-68</v>
      </c>
      <c r="N113" s="1"/>
      <c r="O113" s="1"/>
      <c r="P113" s="1">
        <v>152</v>
      </c>
      <c r="Q113" s="1"/>
      <c r="R113" s="1"/>
      <c r="S113" s="13">
        <v>250</v>
      </c>
      <c r="T113" s="1"/>
      <c r="U113" s="14"/>
      <c r="V113" s="1">
        <v>0</v>
      </c>
      <c r="W113" s="1"/>
      <c r="X113" s="1"/>
      <c r="Y113" s="1">
        <f t="shared" si="31"/>
        <v>10.8</v>
      </c>
      <c r="Z113" s="5"/>
      <c r="AA113" s="5">
        <f t="shared" si="32"/>
        <v>0</v>
      </c>
      <c r="AB113" s="30"/>
      <c r="AC113" s="5">
        <f t="shared" si="58"/>
        <v>0</v>
      </c>
      <c r="AD113" s="5">
        <f t="shared" si="59"/>
        <v>0</v>
      </c>
      <c r="AE113" s="1">
        <f t="shared" si="33"/>
        <v>44.722222222222221</v>
      </c>
      <c r="AF113" s="1">
        <f t="shared" si="52"/>
        <v>44.722222222222221</v>
      </c>
      <c r="AG113" s="1">
        <v>-0.6</v>
      </c>
      <c r="AH113" s="1">
        <v>14.4</v>
      </c>
      <c r="AI113" s="1">
        <v>25</v>
      </c>
      <c r="AJ113" s="1">
        <v>16.600000000000001</v>
      </c>
      <c r="AK113" s="1">
        <v>8.8000000000000007</v>
      </c>
      <c r="AL113" s="1">
        <v>-1.2</v>
      </c>
      <c r="AM113" s="1">
        <v>-1.4</v>
      </c>
      <c r="AN113" s="1">
        <v>0.6</v>
      </c>
      <c r="AO113" s="1"/>
      <c r="AP113" s="1">
        <f t="shared" si="34"/>
        <v>0</v>
      </c>
      <c r="AQ113" s="1">
        <f t="shared" si="35"/>
        <v>0</v>
      </c>
      <c r="AR113" s="1"/>
      <c r="AS113" s="1"/>
      <c r="AT113" s="1"/>
      <c r="AU113" s="1"/>
      <c r="AV113" s="1"/>
    </row>
    <row r="114" spans="1:48" x14ac:dyDescent="0.25">
      <c r="A114" s="1" t="s">
        <v>164</v>
      </c>
      <c r="B114" s="1" t="s">
        <v>45</v>
      </c>
      <c r="C114" s="1">
        <v>-7</v>
      </c>
      <c r="D114" s="1">
        <v>66</v>
      </c>
      <c r="E114" s="1">
        <v>-2</v>
      </c>
      <c r="F114" s="1"/>
      <c r="G114" s="1"/>
      <c r="H114" s="7">
        <v>0.28000000000000003</v>
      </c>
      <c r="I114" s="1">
        <v>40</v>
      </c>
      <c r="J114" s="17" t="s">
        <v>51</v>
      </c>
      <c r="K114" s="1"/>
      <c r="L114" s="1">
        <v>69</v>
      </c>
      <c r="M114" s="1">
        <f t="shared" si="50"/>
        <v>-71</v>
      </c>
      <c r="N114" s="1"/>
      <c r="O114" s="1"/>
      <c r="P114" s="1">
        <v>150</v>
      </c>
      <c r="Q114" s="1"/>
      <c r="R114" s="1"/>
      <c r="S114" s="13">
        <v>250</v>
      </c>
      <c r="T114" s="1">
        <v>-252</v>
      </c>
      <c r="U114" s="14"/>
      <c r="V114" s="1">
        <v>0</v>
      </c>
      <c r="W114" s="1"/>
      <c r="X114" s="1"/>
      <c r="Y114" s="1">
        <f t="shared" si="31"/>
        <v>-0.4</v>
      </c>
      <c r="Z114" s="5">
        <v>40</v>
      </c>
      <c r="AA114" s="5">
        <f>Z114*$AB$1</f>
        <v>68</v>
      </c>
      <c r="AB114" s="30">
        <f>VLOOKUP(A114,[2]TDSheet!$A:$G,7,0)</f>
        <v>0.53846153846153855</v>
      </c>
      <c r="AC114" s="5">
        <f t="shared" si="58"/>
        <v>31.38461538461538</v>
      </c>
      <c r="AD114" s="5">
        <f t="shared" si="59"/>
        <v>36.61538461538462</v>
      </c>
      <c r="AE114" s="1">
        <f t="shared" si="33"/>
        <v>-540</v>
      </c>
      <c r="AF114" s="1">
        <f t="shared" si="52"/>
        <v>-370</v>
      </c>
      <c r="AG114" s="1">
        <v>-0.2</v>
      </c>
      <c r="AH114" s="1">
        <v>9.1999999999999993</v>
      </c>
      <c r="AI114" s="1">
        <v>19.600000000000001</v>
      </c>
      <c r="AJ114" s="1">
        <v>12.2</v>
      </c>
      <c r="AK114" s="1">
        <v>4.8</v>
      </c>
      <c r="AL114" s="1">
        <v>0</v>
      </c>
      <c r="AM114" s="1">
        <v>1.2</v>
      </c>
      <c r="AN114" s="1">
        <v>1.2</v>
      </c>
      <c r="AO114" s="1"/>
      <c r="AP114" s="1">
        <f t="shared" si="34"/>
        <v>9</v>
      </c>
      <c r="AQ114" s="1">
        <f t="shared" si="35"/>
        <v>10</v>
      </c>
      <c r="AR114" s="1"/>
      <c r="AS114" s="1"/>
      <c r="AT114" s="1"/>
      <c r="AU114" s="1"/>
      <c r="AV114" s="1"/>
    </row>
    <row r="115" spans="1:48" x14ac:dyDescent="0.25">
      <c r="A115" s="1" t="s">
        <v>165</v>
      </c>
      <c r="B115" s="1" t="s">
        <v>45</v>
      </c>
      <c r="C115" s="1">
        <v>94</v>
      </c>
      <c r="D115" s="1">
        <v>52</v>
      </c>
      <c r="E115" s="1">
        <v>41</v>
      </c>
      <c r="F115" s="1"/>
      <c r="G115" s="1">
        <f>VLOOKUP(A115,[1]TDSheet!$A:$M,9,0)</f>
        <v>30</v>
      </c>
      <c r="H115" s="7">
        <v>0.09</v>
      </c>
      <c r="I115" s="1">
        <v>45</v>
      </c>
      <c r="J115" s="1" t="s">
        <v>41</v>
      </c>
      <c r="K115" s="1"/>
      <c r="L115" s="1">
        <v>64</v>
      </c>
      <c r="M115" s="1">
        <f t="shared" si="50"/>
        <v>-23</v>
      </c>
      <c r="N115" s="1"/>
      <c r="O115" s="1"/>
      <c r="P115" s="1">
        <v>38.800000000000011</v>
      </c>
      <c r="Q115" s="1"/>
      <c r="R115" s="1"/>
      <c r="S115" s="13">
        <v>0</v>
      </c>
      <c r="T115" s="1"/>
      <c r="U115" s="14"/>
      <c r="V115" s="1">
        <v>0</v>
      </c>
      <c r="W115" s="1"/>
      <c r="X115" s="1"/>
      <c r="Y115" s="1">
        <f t="shared" si="31"/>
        <v>8.1999999999999993</v>
      </c>
      <c r="Z115" s="5">
        <f t="shared" ref="Z115:Z120" si="60">11*Y115-X115-W115-V115-U115-T115-S115-R115-Q115-P115-G115-F115</f>
        <v>21.399999999999977</v>
      </c>
      <c r="AA115" s="5">
        <f>Z115+$AA$1*Y115</f>
        <v>45.999999999999972</v>
      </c>
      <c r="AB115" s="30">
        <f>VLOOKUP(A115,[2]TDSheet!$A:$G,7,0)</f>
        <v>0.1297071129707113</v>
      </c>
      <c r="AC115" s="5">
        <f t="shared" si="58"/>
        <v>40.033472803347252</v>
      </c>
      <c r="AD115" s="5">
        <f t="shared" si="59"/>
        <v>5.9665271966527165</v>
      </c>
      <c r="AE115" s="1">
        <f t="shared" si="33"/>
        <v>14</v>
      </c>
      <c r="AF115" s="1">
        <f t="shared" si="52"/>
        <v>8.3902439024390265</v>
      </c>
      <c r="AG115" s="1">
        <v>8.1999999999999993</v>
      </c>
      <c r="AH115" s="1">
        <v>8.8000000000000007</v>
      </c>
      <c r="AI115" s="1">
        <v>12.4</v>
      </c>
      <c r="AJ115" s="1">
        <v>12.6</v>
      </c>
      <c r="AK115" s="1">
        <v>15</v>
      </c>
      <c r="AL115" s="1">
        <v>15</v>
      </c>
      <c r="AM115" s="1">
        <v>10</v>
      </c>
      <c r="AN115" s="1">
        <v>8.1999999999999993</v>
      </c>
      <c r="AO115" s="1"/>
      <c r="AP115" s="1">
        <f t="shared" si="34"/>
        <v>4</v>
      </c>
      <c r="AQ115" s="1">
        <f t="shared" si="35"/>
        <v>1</v>
      </c>
      <c r="AR115" s="1"/>
      <c r="AS115" s="1"/>
      <c r="AT115" s="1"/>
      <c r="AU115" s="1"/>
      <c r="AV115" s="1"/>
    </row>
    <row r="116" spans="1:48" x14ac:dyDescent="0.25">
      <c r="A116" s="1" t="s">
        <v>166</v>
      </c>
      <c r="B116" s="1" t="s">
        <v>40</v>
      </c>
      <c r="C116" s="1">
        <v>5.0620000000000003</v>
      </c>
      <c r="D116" s="1">
        <v>52.606000000000002</v>
      </c>
      <c r="E116" s="1">
        <v>25.448</v>
      </c>
      <c r="F116" s="1">
        <v>22.446000000000002</v>
      </c>
      <c r="G116" s="1"/>
      <c r="H116" s="7">
        <v>1</v>
      </c>
      <c r="I116" s="1">
        <v>60</v>
      </c>
      <c r="J116" s="1" t="s">
        <v>41</v>
      </c>
      <c r="K116" s="1"/>
      <c r="L116" s="1">
        <v>27.5</v>
      </c>
      <c r="M116" s="1">
        <f t="shared" si="50"/>
        <v>-2.0519999999999996</v>
      </c>
      <c r="N116" s="1"/>
      <c r="O116" s="1"/>
      <c r="P116" s="1">
        <v>61.823799999999991</v>
      </c>
      <c r="Q116" s="1"/>
      <c r="R116" s="1"/>
      <c r="S116" s="13">
        <v>18.379400000000011</v>
      </c>
      <c r="T116" s="1"/>
      <c r="U116" s="14"/>
      <c r="V116" s="1">
        <v>0</v>
      </c>
      <c r="W116" s="1"/>
      <c r="X116" s="1"/>
      <c r="Y116" s="1">
        <f t="shared" si="31"/>
        <v>5.0895999999999999</v>
      </c>
      <c r="Z116" s="5"/>
      <c r="AA116" s="5">
        <f t="shared" si="32"/>
        <v>0</v>
      </c>
      <c r="AB116" s="30">
        <f>VLOOKUP(A116,[2]TDSheet!$A:$G,7,0)</f>
        <v>0.16997943442066712</v>
      </c>
      <c r="AC116" s="5">
        <f t="shared" si="58"/>
        <v>0</v>
      </c>
      <c r="AD116" s="5">
        <f t="shared" si="59"/>
        <v>0</v>
      </c>
      <c r="AE116" s="1">
        <f t="shared" si="33"/>
        <v>20.168421879911978</v>
      </c>
      <c r="AF116" s="1">
        <f t="shared" si="52"/>
        <v>20.168421879911978</v>
      </c>
      <c r="AG116" s="1">
        <v>8.0502000000000002</v>
      </c>
      <c r="AH116" s="1">
        <v>10.552199999999999</v>
      </c>
      <c r="AI116" s="1">
        <v>11.1274</v>
      </c>
      <c r="AJ116" s="1">
        <v>8.5960000000000001</v>
      </c>
      <c r="AK116" s="1">
        <v>6.4635999999999996</v>
      </c>
      <c r="AL116" s="1">
        <v>6.4147999999999996</v>
      </c>
      <c r="AM116" s="1">
        <v>7.0069999999999997</v>
      </c>
      <c r="AN116" s="1">
        <v>6.0356000000000014</v>
      </c>
      <c r="AO116" s="1"/>
      <c r="AP116" s="1">
        <f t="shared" si="34"/>
        <v>0</v>
      </c>
      <c r="AQ116" s="1">
        <f t="shared" si="35"/>
        <v>0</v>
      </c>
      <c r="AR116" s="1"/>
      <c r="AS116" s="1"/>
      <c r="AT116" s="1"/>
      <c r="AU116" s="1"/>
      <c r="AV116" s="1"/>
    </row>
    <row r="117" spans="1:48" x14ac:dyDescent="0.25">
      <c r="A117" s="1" t="s">
        <v>167</v>
      </c>
      <c r="B117" s="1" t="s">
        <v>40</v>
      </c>
      <c r="C117" s="1">
        <v>7.6230000000000002</v>
      </c>
      <c r="D117" s="1">
        <v>22.009</v>
      </c>
      <c r="E117" s="1">
        <v>12.584</v>
      </c>
      <c r="F117" s="1"/>
      <c r="G117" s="1"/>
      <c r="H117" s="7">
        <v>1</v>
      </c>
      <c r="I117" s="1">
        <v>50</v>
      </c>
      <c r="J117" s="1" t="s">
        <v>41</v>
      </c>
      <c r="K117" s="1"/>
      <c r="L117" s="1">
        <v>30.064</v>
      </c>
      <c r="M117" s="1">
        <f t="shared" si="50"/>
        <v>-17.48</v>
      </c>
      <c r="N117" s="1"/>
      <c r="O117" s="1"/>
      <c r="P117" s="1">
        <v>150</v>
      </c>
      <c r="Q117" s="1"/>
      <c r="R117" s="1"/>
      <c r="S117" s="13">
        <v>47.601800000000019</v>
      </c>
      <c r="T117" s="1"/>
      <c r="U117" s="14"/>
      <c r="V117" s="1">
        <v>0</v>
      </c>
      <c r="W117" s="1"/>
      <c r="X117" s="1"/>
      <c r="Y117" s="1">
        <f t="shared" si="31"/>
        <v>2.5167999999999999</v>
      </c>
      <c r="Z117" s="5"/>
      <c r="AA117" s="5">
        <f t="shared" si="32"/>
        <v>0</v>
      </c>
      <c r="AB117" s="30">
        <f>VLOOKUP(A117,[2]TDSheet!$A:$G,7,0)</f>
        <v>0.1059706887103732</v>
      </c>
      <c r="AC117" s="5">
        <f t="shared" si="58"/>
        <v>0</v>
      </c>
      <c r="AD117" s="5">
        <f t="shared" si="59"/>
        <v>0</v>
      </c>
      <c r="AE117" s="1">
        <f t="shared" si="33"/>
        <v>78.513111888111894</v>
      </c>
      <c r="AF117" s="1">
        <f t="shared" si="52"/>
        <v>78.513111888111894</v>
      </c>
      <c r="AG117" s="1">
        <v>9.4036000000000008</v>
      </c>
      <c r="AH117" s="1">
        <v>18.6568</v>
      </c>
      <c r="AI117" s="1">
        <v>16.679200000000002</v>
      </c>
      <c r="AJ117" s="1">
        <v>8.3925999999999998</v>
      </c>
      <c r="AK117" s="1">
        <v>11.4232</v>
      </c>
      <c r="AL117" s="1">
        <v>9.4489999999999998</v>
      </c>
      <c r="AM117" s="1">
        <v>6.4813999999999989</v>
      </c>
      <c r="AN117" s="1">
        <v>7.4802000000000008</v>
      </c>
      <c r="AO117" s="1"/>
      <c r="AP117" s="1">
        <f t="shared" si="34"/>
        <v>0</v>
      </c>
      <c r="AQ117" s="1">
        <f t="shared" si="35"/>
        <v>0</v>
      </c>
      <c r="AR117" s="1"/>
      <c r="AS117" s="1"/>
      <c r="AT117" s="1"/>
      <c r="AU117" s="1"/>
      <c r="AV117" s="1"/>
    </row>
    <row r="118" spans="1:48" x14ac:dyDescent="0.25">
      <c r="A118" s="1" t="s">
        <v>168</v>
      </c>
      <c r="B118" s="1" t="s">
        <v>45</v>
      </c>
      <c r="C118" s="1">
        <v>108</v>
      </c>
      <c r="D118" s="1">
        <v>76</v>
      </c>
      <c r="E118" s="1">
        <v>69</v>
      </c>
      <c r="F118" s="1">
        <v>29</v>
      </c>
      <c r="G118" s="1">
        <f>VLOOKUP(A118,[1]TDSheet!$A:$M,9,0)</f>
        <v>30</v>
      </c>
      <c r="H118" s="7">
        <v>0.09</v>
      </c>
      <c r="I118" s="1">
        <v>45</v>
      </c>
      <c r="J118" s="1" t="s">
        <v>41</v>
      </c>
      <c r="K118" s="1"/>
      <c r="L118" s="1">
        <v>81</v>
      </c>
      <c r="M118" s="1">
        <f t="shared" si="50"/>
        <v>-12</v>
      </c>
      <c r="N118" s="1"/>
      <c r="O118" s="1"/>
      <c r="P118" s="1">
        <v>0</v>
      </c>
      <c r="Q118" s="1"/>
      <c r="R118" s="1"/>
      <c r="S118" s="13">
        <v>0</v>
      </c>
      <c r="T118" s="1"/>
      <c r="U118" s="14"/>
      <c r="V118" s="1">
        <v>18.399999999999981</v>
      </c>
      <c r="W118" s="1"/>
      <c r="X118" s="1"/>
      <c r="Y118" s="1">
        <f t="shared" si="31"/>
        <v>13.8</v>
      </c>
      <c r="Z118" s="5">
        <f t="shared" si="60"/>
        <v>74.400000000000034</v>
      </c>
      <c r="AA118" s="5">
        <f t="shared" ref="AA118:AA120" si="61">Z118+$AA$1*Y118</f>
        <v>115.80000000000004</v>
      </c>
      <c r="AB118" s="30">
        <f>VLOOKUP(A118,[2]TDSheet!$A:$G,7,0)</f>
        <v>7.9787234042553196E-2</v>
      </c>
      <c r="AC118" s="5">
        <f t="shared" si="58"/>
        <v>106.56063829787237</v>
      </c>
      <c r="AD118" s="5">
        <f t="shared" si="59"/>
        <v>9.2393617021276633</v>
      </c>
      <c r="AE118" s="1">
        <f t="shared" si="33"/>
        <v>14</v>
      </c>
      <c r="AF118" s="1">
        <f t="shared" si="52"/>
        <v>5.6086956521739113</v>
      </c>
      <c r="AG118" s="1">
        <v>9.1999999999999993</v>
      </c>
      <c r="AH118" s="1">
        <v>3.6</v>
      </c>
      <c r="AI118" s="1">
        <v>8.4</v>
      </c>
      <c r="AJ118" s="1">
        <v>12.8</v>
      </c>
      <c r="AK118" s="1">
        <v>13.8</v>
      </c>
      <c r="AL118" s="1">
        <v>12</v>
      </c>
      <c r="AM118" s="1">
        <v>7</v>
      </c>
      <c r="AN118" s="1">
        <v>7.6</v>
      </c>
      <c r="AO118" s="1"/>
      <c r="AP118" s="1">
        <f t="shared" si="34"/>
        <v>10</v>
      </c>
      <c r="AQ118" s="1">
        <f t="shared" si="35"/>
        <v>1</v>
      </c>
      <c r="AR118" s="1"/>
      <c r="AS118" s="1"/>
      <c r="AT118" s="1"/>
      <c r="AU118" s="1"/>
      <c r="AV118" s="1"/>
    </row>
    <row r="119" spans="1:48" x14ac:dyDescent="0.25">
      <c r="A119" s="1" t="s">
        <v>169</v>
      </c>
      <c r="B119" s="1" t="s">
        <v>45</v>
      </c>
      <c r="C119" s="1">
        <v>98</v>
      </c>
      <c r="D119" s="1">
        <v>129</v>
      </c>
      <c r="E119" s="1">
        <v>50</v>
      </c>
      <c r="F119" s="1">
        <v>47</v>
      </c>
      <c r="G119" s="1">
        <f>VLOOKUP(A119,[1]TDSheet!$A:$M,9,0)</f>
        <v>30</v>
      </c>
      <c r="H119" s="7">
        <v>0.09</v>
      </c>
      <c r="I119" s="1">
        <v>45</v>
      </c>
      <c r="J119" s="1" t="s">
        <v>41</v>
      </c>
      <c r="K119" s="1"/>
      <c r="L119" s="1">
        <v>59</v>
      </c>
      <c r="M119" s="1">
        <f t="shared" si="50"/>
        <v>-9</v>
      </c>
      <c r="N119" s="1"/>
      <c r="O119" s="1"/>
      <c r="P119" s="1">
        <v>0</v>
      </c>
      <c r="Q119" s="1"/>
      <c r="R119" s="1"/>
      <c r="S119" s="13">
        <v>0</v>
      </c>
      <c r="T119" s="1"/>
      <c r="U119" s="14"/>
      <c r="V119" s="1">
        <v>0</v>
      </c>
      <c r="W119" s="1"/>
      <c r="X119" s="1"/>
      <c r="Y119" s="1">
        <f t="shared" si="31"/>
        <v>10</v>
      </c>
      <c r="Z119" s="5">
        <f t="shared" si="60"/>
        <v>33</v>
      </c>
      <c r="AA119" s="5">
        <f t="shared" si="61"/>
        <v>63</v>
      </c>
      <c r="AB119" s="30">
        <f>VLOOKUP(A119,[2]TDSheet!$A:$G,7,0)</f>
        <v>8.7804878048780496E-2</v>
      </c>
      <c r="AC119" s="5">
        <f t="shared" si="58"/>
        <v>57.46829268292683</v>
      </c>
      <c r="AD119" s="5">
        <f t="shared" si="59"/>
        <v>5.5317073170731712</v>
      </c>
      <c r="AE119" s="1">
        <f t="shared" si="33"/>
        <v>14</v>
      </c>
      <c r="AF119" s="1">
        <f t="shared" si="52"/>
        <v>7.7</v>
      </c>
      <c r="AG119" s="1">
        <v>7.2</v>
      </c>
      <c r="AH119" s="1">
        <v>4</v>
      </c>
      <c r="AI119" s="1">
        <v>11</v>
      </c>
      <c r="AJ119" s="1">
        <v>14.6</v>
      </c>
      <c r="AK119" s="1">
        <v>14.6</v>
      </c>
      <c r="AL119" s="1">
        <v>14</v>
      </c>
      <c r="AM119" s="1">
        <v>9.1999999999999993</v>
      </c>
      <c r="AN119" s="1">
        <v>12.2</v>
      </c>
      <c r="AO119" s="1"/>
      <c r="AP119" s="1">
        <f t="shared" si="34"/>
        <v>5</v>
      </c>
      <c r="AQ119" s="1">
        <f t="shared" si="35"/>
        <v>0</v>
      </c>
      <c r="AR119" s="1"/>
      <c r="AS119" s="1"/>
      <c r="AT119" s="1"/>
      <c r="AU119" s="1"/>
      <c r="AV119" s="1"/>
    </row>
    <row r="120" spans="1:48" x14ac:dyDescent="0.25">
      <c r="A120" s="1" t="s">
        <v>170</v>
      </c>
      <c r="B120" s="1" t="s">
        <v>40</v>
      </c>
      <c r="C120" s="1">
        <v>71.034000000000006</v>
      </c>
      <c r="D120" s="1">
        <v>155.56200000000001</v>
      </c>
      <c r="E120" s="1">
        <v>77.611000000000004</v>
      </c>
      <c r="F120" s="1">
        <v>56.688000000000002</v>
      </c>
      <c r="G120" s="1">
        <f>VLOOKUP(A120,[1]TDSheet!$A:$M,9,0)</f>
        <v>41.076000000000001</v>
      </c>
      <c r="H120" s="7">
        <v>1</v>
      </c>
      <c r="I120" s="1">
        <v>60</v>
      </c>
      <c r="J120" s="1" t="s">
        <v>41</v>
      </c>
      <c r="K120" s="1"/>
      <c r="L120" s="1">
        <v>83.7</v>
      </c>
      <c r="M120" s="1">
        <f t="shared" si="50"/>
        <v>-6.0889999999999986</v>
      </c>
      <c r="N120" s="1"/>
      <c r="O120" s="1"/>
      <c r="P120" s="1">
        <v>5.1610000000000396</v>
      </c>
      <c r="Q120" s="1"/>
      <c r="R120" s="1"/>
      <c r="S120" s="13">
        <v>0</v>
      </c>
      <c r="T120" s="1"/>
      <c r="U120" s="14"/>
      <c r="V120" s="1">
        <v>44.797199999999982</v>
      </c>
      <c r="W120" s="1"/>
      <c r="X120" s="1"/>
      <c r="Y120" s="1">
        <f t="shared" si="31"/>
        <v>15.522200000000002</v>
      </c>
      <c r="Z120" s="5">
        <f t="shared" si="60"/>
        <v>23.021999999999977</v>
      </c>
      <c r="AA120" s="5">
        <f t="shared" si="61"/>
        <v>69.588599999999985</v>
      </c>
      <c r="AB120" s="30">
        <f>VLOOKUP(A120,[2]TDSheet!$A:$G,7,0)</f>
        <v>0.27723544580852094</v>
      </c>
      <c r="AC120" s="5">
        <f t="shared" si="58"/>
        <v>50.296173455809154</v>
      </c>
      <c r="AD120" s="5">
        <f t="shared" si="59"/>
        <v>19.292426544190835</v>
      </c>
      <c r="AE120" s="1">
        <f t="shared" si="33"/>
        <v>14</v>
      </c>
      <c r="AF120" s="1">
        <f t="shared" si="52"/>
        <v>9.5168339539498277</v>
      </c>
      <c r="AG120" s="1">
        <v>15.4832</v>
      </c>
      <c r="AH120" s="1">
        <v>12.798999999999999</v>
      </c>
      <c r="AI120" s="1">
        <v>18.248999999999999</v>
      </c>
      <c r="AJ120" s="1">
        <v>21.303999999999998</v>
      </c>
      <c r="AK120" s="1">
        <v>16.989799999999999</v>
      </c>
      <c r="AL120" s="1">
        <v>15.9558</v>
      </c>
      <c r="AM120" s="1">
        <v>9.9768000000000008</v>
      </c>
      <c r="AN120" s="1">
        <v>13.449199999999999</v>
      </c>
      <c r="AO120" s="1"/>
      <c r="AP120" s="1">
        <f t="shared" si="34"/>
        <v>50</v>
      </c>
      <c r="AQ120" s="1">
        <f t="shared" si="35"/>
        <v>19</v>
      </c>
      <c r="AR120" s="1"/>
      <c r="AS120" s="1"/>
      <c r="AT120" s="1"/>
      <c r="AU120" s="1"/>
      <c r="AV120" s="1"/>
    </row>
    <row r="121" spans="1:48" x14ac:dyDescent="0.25">
      <c r="A121" s="1" t="s">
        <v>171</v>
      </c>
      <c r="B121" s="1" t="s">
        <v>40</v>
      </c>
      <c r="C121" s="1">
        <v>69.301000000000002</v>
      </c>
      <c r="D121" s="1">
        <v>129.095</v>
      </c>
      <c r="E121" s="1">
        <v>87.334999999999994</v>
      </c>
      <c r="F121" s="1">
        <v>44.167000000000002</v>
      </c>
      <c r="G121" s="1"/>
      <c r="H121" s="7">
        <v>1</v>
      </c>
      <c r="I121" s="1">
        <v>60</v>
      </c>
      <c r="J121" s="1" t="s">
        <v>41</v>
      </c>
      <c r="K121" s="1"/>
      <c r="L121" s="1">
        <v>104.5</v>
      </c>
      <c r="M121" s="1">
        <f t="shared" si="50"/>
        <v>-17.165000000000006</v>
      </c>
      <c r="N121" s="1"/>
      <c r="O121" s="1"/>
      <c r="P121" s="1">
        <v>450</v>
      </c>
      <c r="Q121" s="1"/>
      <c r="R121" s="1"/>
      <c r="S121" s="13">
        <v>0</v>
      </c>
      <c r="T121" s="1"/>
      <c r="U121" s="14"/>
      <c r="V121" s="1">
        <v>0</v>
      </c>
      <c r="W121" s="1"/>
      <c r="X121" s="1"/>
      <c r="Y121" s="1">
        <f t="shared" si="31"/>
        <v>17.466999999999999</v>
      </c>
      <c r="Z121" s="5">
        <v>50</v>
      </c>
      <c r="AA121" s="5">
        <f t="shared" si="32"/>
        <v>50</v>
      </c>
      <c r="AB121" s="30">
        <f>VLOOKUP(A121,[2]TDSheet!$A:$G,7,0)</f>
        <v>0.43169986561334323</v>
      </c>
      <c r="AC121" s="5">
        <f t="shared" si="58"/>
        <v>0</v>
      </c>
      <c r="AD121" s="34">
        <v>50</v>
      </c>
      <c r="AE121" s="1">
        <f t="shared" si="33"/>
        <v>31.1540046945669</v>
      </c>
      <c r="AF121" s="1">
        <f t="shared" si="52"/>
        <v>28.291463903360626</v>
      </c>
      <c r="AG121" s="1">
        <v>27.170999999999999</v>
      </c>
      <c r="AH121" s="1">
        <v>43.596200000000003</v>
      </c>
      <c r="AI121" s="1">
        <v>48.666800000000002</v>
      </c>
      <c r="AJ121" s="1">
        <v>30.369199999999999</v>
      </c>
      <c r="AK121" s="1">
        <v>23.996400000000001</v>
      </c>
      <c r="AL121" s="1">
        <v>29.323</v>
      </c>
      <c r="AM121" s="1">
        <v>27.450399999999998</v>
      </c>
      <c r="AN121" s="1">
        <v>22.645399999999999</v>
      </c>
      <c r="AO121" s="1"/>
      <c r="AP121" s="1">
        <f t="shared" si="34"/>
        <v>0</v>
      </c>
      <c r="AQ121" s="1">
        <f t="shared" si="35"/>
        <v>50</v>
      </c>
      <c r="AR121" s="1"/>
      <c r="AS121" s="1"/>
      <c r="AT121" s="1"/>
      <c r="AU121" s="1"/>
      <c r="AV121" s="1"/>
    </row>
    <row r="122" spans="1:48" x14ac:dyDescent="0.25">
      <c r="A122" s="1" t="s">
        <v>172</v>
      </c>
      <c r="B122" s="1" t="s">
        <v>40</v>
      </c>
      <c r="C122" s="1">
        <v>7.9850000000000003</v>
      </c>
      <c r="D122" s="1">
        <v>42.566000000000003</v>
      </c>
      <c r="E122" s="1">
        <v>10.949</v>
      </c>
      <c r="F122" s="1">
        <v>16.52</v>
      </c>
      <c r="G122" s="1"/>
      <c r="H122" s="7">
        <v>1</v>
      </c>
      <c r="I122" s="1">
        <v>60</v>
      </c>
      <c r="J122" s="1" t="s">
        <v>41</v>
      </c>
      <c r="K122" s="1"/>
      <c r="L122" s="1">
        <v>26</v>
      </c>
      <c r="M122" s="1">
        <f t="shared" si="50"/>
        <v>-15.051</v>
      </c>
      <c r="N122" s="1"/>
      <c r="O122" s="1"/>
      <c r="P122" s="1">
        <v>81.252800000000008</v>
      </c>
      <c r="Q122" s="1"/>
      <c r="R122" s="1"/>
      <c r="S122" s="13">
        <v>12.7532</v>
      </c>
      <c r="T122" s="1"/>
      <c r="U122" s="14"/>
      <c r="V122" s="1">
        <v>0</v>
      </c>
      <c r="W122" s="1"/>
      <c r="X122" s="1"/>
      <c r="Y122" s="1">
        <f t="shared" si="31"/>
        <v>2.1898</v>
      </c>
      <c r="Z122" s="5"/>
      <c r="AA122" s="5">
        <f t="shared" si="32"/>
        <v>0</v>
      </c>
      <c r="AB122" s="30">
        <f>VLOOKUP(A122,[2]TDSheet!$A:$G,7,0)</f>
        <v>0.28714645965189872</v>
      </c>
      <c r="AC122" s="5">
        <f t="shared" si="58"/>
        <v>0</v>
      </c>
      <c r="AD122" s="5">
        <f t="shared" ref="AD122" si="62">AA122*AB122</f>
        <v>0</v>
      </c>
      <c r="AE122" s="1">
        <f t="shared" si="33"/>
        <v>50.473102566444432</v>
      </c>
      <c r="AF122" s="1">
        <f t="shared" si="52"/>
        <v>50.473102566444432</v>
      </c>
      <c r="AG122" s="1">
        <v>5.8907999999999996</v>
      </c>
      <c r="AH122" s="1">
        <v>10.9154</v>
      </c>
      <c r="AI122" s="1">
        <v>11.5212</v>
      </c>
      <c r="AJ122" s="1">
        <v>7.3034000000000008</v>
      </c>
      <c r="AK122" s="1">
        <v>5.2080000000000002</v>
      </c>
      <c r="AL122" s="1">
        <v>6.9459999999999997</v>
      </c>
      <c r="AM122" s="1">
        <v>7.2998000000000003</v>
      </c>
      <c r="AN122" s="1">
        <v>8.6598000000000006</v>
      </c>
      <c r="AO122" s="1"/>
      <c r="AP122" s="1">
        <f t="shared" si="34"/>
        <v>0</v>
      </c>
      <c r="AQ122" s="1">
        <f t="shared" si="35"/>
        <v>0</v>
      </c>
      <c r="AR122" s="1"/>
      <c r="AS122" s="1"/>
      <c r="AT122" s="1"/>
      <c r="AU122" s="1"/>
      <c r="AV122" s="1"/>
    </row>
    <row r="123" spans="1:48" x14ac:dyDescent="0.25">
      <c r="A123" s="1" t="s">
        <v>58</v>
      </c>
      <c r="B123" s="1" t="s">
        <v>40</v>
      </c>
      <c r="C123" s="1">
        <v>548.10599999999999</v>
      </c>
      <c r="D123" s="1">
        <v>2566.373</v>
      </c>
      <c r="E123" s="1">
        <v>606.88400000000001</v>
      </c>
      <c r="F123" s="1">
        <v>1591.829</v>
      </c>
      <c r="G123" s="1">
        <f>VLOOKUP(A123,[1]TDSheet!$A:$M,9,0)</f>
        <v>-335.46199999999999</v>
      </c>
      <c r="H123" s="7">
        <v>1</v>
      </c>
      <c r="I123" s="1">
        <v>60</v>
      </c>
      <c r="J123" s="1" t="s">
        <v>41</v>
      </c>
      <c r="K123" s="1"/>
      <c r="L123" s="1">
        <v>1029.5</v>
      </c>
      <c r="M123" s="1">
        <f t="shared" si="50"/>
        <v>-422.61599999999999</v>
      </c>
      <c r="N123" s="1"/>
      <c r="O123" s="1"/>
      <c r="P123" s="1">
        <v>0</v>
      </c>
      <c r="Q123" s="1"/>
      <c r="R123" s="1"/>
      <c r="S123" s="13">
        <v>500</v>
      </c>
      <c r="T123" s="1"/>
      <c r="U123" s="14"/>
      <c r="V123" s="1">
        <v>0</v>
      </c>
      <c r="W123" s="1"/>
      <c r="X123" s="1"/>
      <c r="Y123" s="1">
        <f t="shared" si="31"/>
        <v>121.3768</v>
      </c>
      <c r="Z123" s="5">
        <v>200</v>
      </c>
      <c r="AA123" s="5">
        <f t="shared" si="32"/>
        <v>200</v>
      </c>
      <c r="AB123" s="30">
        <f>VLOOKUP(A123,[2]TDSheet!$A:$G,7,0)</f>
        <v>0.31664985578029059</v>
      </c>
      <c r="AC123" s="5">
        <f t="shared" si="58"/>
        <v>0</v>
      </c>
      <c r="AD123" s="34">
        <v>200</v>
      </c>
      <c r="AE123" s="1">
        <f t="shared" si="33"/>
        <v>16.11812965904522</v>
      </c>
      <c r="AF123" s="1">
        <f t="shared" si="52"/>
        <v>14.470368307617271</v>
      </c>
      <c r="AG123" s="1">
        <v>-0.12620000000000001</v>
      </c>
      <c r="AH123" s="1">
        <v>16.735600000000002</v>
      </c>
      <c r="AI123" s="1">
        <v>189.98179999999999</v>
      </c>
      <c r="AJ123" s="1">
        <v>232.40639999999999</v>
      </c>
      <c r="AK123" s="1">
        <v>104.16679999999999</v>
      </c>
      <c r="AL123" s="1">
        <v>38.833199999999998</v>
      </c>
      <c r="AM123" s="1">
        <v>101.4106</v>
      </c>
      <c r="AN123" s="1">
        <v>172.1686</v>
      </c>
      <c r="AO123" s="9" t="s">
        <v>184</v>
      </c>
      <c r="AP123" s="1">
        <f t="shared" si="34"/>
        <v>0</v>
      </c>
      <c r="AQ123" s="1">
        <f t="shared" si="35"/>
        <v>200</v>
      </c>
      <c r="AR123" s="1"/>
      <c r="AS123" s="1"/>
      <c r="AT123" s="1"/>
      <c r="AU123" s="1"/>
      <c r="AV123" s="1"/>
    </row>
    <row r="124" spans="1:48" x14ac:dyDescent="0.25">
      <c r="A124" s="1" t="s">
        <v>173</v>
      </c>
      <c r="B124" s="1" t="s">
        <v>45</v>
      </c>
      <c r="C124" s="1">
        <v>56</v>
      </c>
      <c r="D124" s="1">
        <v>261</v>
      </c>
      <c r="E124" s="1">
        <v>60</v>
      </c>
      <c r="F124" s="1">
        <v>210</v>
      </c>
      <c r="G124" s="1"/>
      <c r="H124" s="7">
        <v>0.25</v>
      </c>
      <c r="I124" s="1">
        <v>1096</v>
      </c>
      <c r="J124" s="1" t="s">
        <v>41</v>
      </c>
      <c r="K124" s="1"/>
      <c r="L124" s="1">
        <v>74</v>
      </c>
      <c r="M124" s="1">
        <f t="shared" si="50"/>
        <v>-14</v>
      </c>
      <c r="N124" s="1"/>
      <c r="O124" s="1"/>
      <c r="P124" s="1">
        <v>462.80000000000013</v>
      </c>
      <c r="Q124" s="1"/>
      <c r="R124" s="1"/>
      <c r="S124" s="13">
        <v>0</v>
      </c>
      <c r="T124" s="1"/>
      <c r="U124" s="14"/>
      <c r="V124" s="1">
        <v>0</v>
      </c>
      <c r="W124" s="1"/>
      <c r="X124" s="1"/>
      <c r="Y124" s="1">
        <f t="shared" si="31"/>
        <v>12</v>
      </c>
      <c r="Z124" s="5">
        <v>50</v>
      </c>
      <c r="AA124" s="5">
        <f t="shared" si="32"/>
        <v>50</v>
      </c>
      <c r="AB124" s="30">
        <f>VLOOKUP(A124,[2]TDSheet!$A:$G,7,0)</f>
        <v>3.2128514056224897E-2</v>
      </c>
      <c r="AC124" s="5">
        <f t="shared" si="58"/>
        <v>0</v>
      </c>
      <c r="AD124" s="34">
        <v>50</v>
      </c>
      <c r="AE124" s="1">
        <f t="shared" si="33"/>
        <v>60.233333333333348</v>
      </c>
      <c r="AF124" s="1">
        <f t="shared" si="52"/>
        <v>56.066666666666684</v>
      </c>
      <c r="AG124" s="1">
        <v>8.1999999999999993</v>
      </c>
      <c r="AH124" s="1">
        <v>28.6</v>
      </c>
      <c r="AI124" s="1">
        <v>57.6</v>
      </c>
      <c r="AJ124" s="1">
        <v>38</v>
      </c>
      <c r="AK124" s="1">
        <v>10.4</v>
      </c>
      <c r="AL124" s="1">
        <v>4.8</v>
      </c>
      <c r="AM124" s="1">
        <v>28.2</v>
      </c>
      <c r="AN124" s="1">
        <v>28.8</v>
      </c>
      <c r="AO124" s="1"/>
      <c r="AP124" s="1">
        <f t="shared" si="34"/>
        <v>0</v>
      </c>
      <c r="AQ124" s="1">
        <f t="shared" si="35"/>
        <v>13</v>
      </c>
      <c r="AR124" s="1"/>
      <c r="AS124" s="1"/>
      <c r="AT124" s="1"/>
      <c r="AU124" s="1"/>
      <c r="AV124" s="1"/>
    </row>
    <row r="125" spans="1:48" x14ac:dyDescent="0.25">
      <c r="A125" s="1" t="s">
        <v>174</v>
      </c>
      <c r="B125" s="1" t="s">
        <v>45</v>
      </c>
      <c r="C125" s="1">
        <v>317</v>
      </c>
      <c r="D125" s="1">
        <v>6</v>
      </c>
      <c r="E125" s="1">
        <v>51</v>
      </c>
      <c r="F125" s="1">
        <v>120</v>
      </c>
      <c r="G125" s="1">
        <f>VLOOKUP(A125,[1]TDSheet!$A:$M,9,0)</f>
        <v>144</v>
      </c>
      <c r="H125" s="7">
        <v>0.32500000000000001</v>
      </c>
      <c r="I125" s="1">
        <v>1096</v>
      </c>
      <c r="J125" s="1" t="s">
        <v>41</v>
      </c>
      <c r="K125" s="1"/>
      <c r="L125" s="1">
        <v>56</v>
      </c>
      <c r="M125" s="1">
        <f t="shared" si="50"/>
        <v>-5</v>
      </c>
      <c r="N125" s="1"/>
      <c r="O125" s="1"/>
      <c r="P125" s="1">
        <v>97</v>
      </c>
      <c r="Q125" s="1"/>
      <c r="R125" s="1"/>
      <c r="S125" s="13">
        <v>0</v>
      </c>
      <c r="T125" s="1"/>
      <c r="U125" s="14"/>
      <c r="V125" s="1">
        <v>0</v>
      </c>
      <c r="W125" s="1"/>
      <c r="X125" s="1"/>
      <c r="Y125" s="1">
        <f t="shared" si="31"/>
        <v>10.199999999999999</v>
      </c>
      <c r="Z125" s="5"/>
      <c r="AA125" s="5">
        <f t="shared" si="32"/>
        <v>0</v>
      </c>
      <c r="AB125" s="30">
        <f>VLOOKUP(A125,[2]TDSheet!$A:$G,7,0)</f>
        <v>9.0614886731391578E-2</v>
      </c>
      <c r="AC125" s="5">
        <f t="shared" si="58"/>
        <v>0</v>
      </c>
      <c r="AD125" s="5">
        <f t="shared" ref="AD125:AD128" si="63">AA125*AB125</f>
        <v>0</v>
      </c>
      <c r="AE125" s="1">
        <f t="shared" si="33"/>
        <v>35.392156862745104</v>
      </c>
      <c r="AF125" s="1">
        <f t="shared" si="52"/>
        <v>35.392156862745104</v>
      </c>
      <c r="AG125" s="1">
        <v>14.2</v>
      </c>
      <c r="AH125" s="1">
        <v>26.4</v>
      </c>
      <c r="AI125" s="1">
        <v>35</v>
      </c>
      <c r="AJ125" s="1">
        <v>17</v>
      </c>
      <c r="AK125" s="1">
        <v>11.2</v>
      </c>
      <c r="AL125" s="1">
        <v>18</v>
      </c>
      <c r="AM125" s="1">
        <v>20</v>
      </c>
      <c r="AN125" s="1">
        <v>16.399999999999999</v>
      </c>
      <c r="AO125" s="1"/>
      <c r="AP125" s="1">
        <f t="shared" si="34"/>
        <v>0</v>
      </c>
      <c r="AQ125" s="1">
        <f t="shared" si="35"/>
        <v>0</v>
      </c>
      <c r="AR125" s="1"/>
      <c r="AS125" s="1"/>
      <c r="AT125" s="1"/>
      <c r="AU125" s="1"/>
      <c r="AV125" s="1"/>
    </row>
    <row r="126" spans="1:48" x14ac:dyDescent="0.25">
      <c r="A126" s="1" t="s">
        <v>175</v>
      </c>
      <c r="B126" s="1" t="s">
        <v>45</v>
      </c>
      <c r="C126" s="1">
        <v>192</v>
      </c>
      <c r="D126" s="1">
        <v>179</v>
      </c>
      <c r="E126" s="1">
        <v>88</v>
      </c>
      <c r="F126" s="1">
        <v>144</v>
      </c>
      <c r="G126" s="1">
        <f>VLOOKUP(A126,[1]TDSheet!$A:$M,9,0)</f>
        <v>36</v>
      </c>
      <c r="H126" s="7">
        <v>0.25</v>
      </c>
      <c r="I126" s="1">
        <v>1096</v>
      </c>
      <c r="J126" s="1" t="s">
        <v>41</v>
      </c>
      <c r="K126" s="1"/>
      <c r="L126" s="1">
        <v>93</v>
      </c>
      <c r="M126" s="1">
        <f t="shared" si="50"/>
        <v>-5</v>
      </c>
      <c r="N126" s="1"/>
      <c r="O126" s="1"/>
      <c r="P126" s="1">
        <v>700</v>
      </c>
      <c r="Q126" s="1"/>
      <c r="R126" s="1"/>
      <c r="S126" s="13">
        <v>0</v>
      </c>
      <c r="T126" s="1"/>
      <c r="U126" s="14"/>
      <c r="V126" s="1">
        <v>0</v>
      </c>
      <c r="W126" s="1"/>
      <c r="X126" s="1"/>
      <c r="Y126" s="1">
        <f t="shared" si="31"/>
        <v>17.600000000000001</v>
      </c>
      <c r="Z126" s="5"/>
      <c r="AA126" s="5">
        <f t="shared" si="32"/>
        <v>0</v>
      </c>
      <c r="AB126" s="30">
        <f>VLOOKUP(A126,[2]TDSheet!$A:$G,7,0)</f>
        <v>2.8388278388278388E-2</v>
      </c>
      <c r="AC126" s="5">
        <f t="shared" si="58"/>
        <v>0</v>
      </c>
      <c r="AD126" s="5">
        <f t="shared" si="63"/>
        <v>0</v>
      </c>
      <c r="AE126" s="1">
        <f t="shared" si="33"/>
        <v>49.999999999999993</v>
      </c>
      <c r="AF126" s="1">
        <f t="shared" si="52"/>
        <v>49.999999999999993</v>
      </c>
      <c r="AG126" s="1">
        <v>27.4</v>
      </c>
      <c r="AH126" s="1">
        <v>50.6</v>
      </c>
      <c r="AI126" s="1">
        <v>68.599999999999994</v>
      </c>
      <c r="AJ126" s="1">
        <v>45</v>
      </c>
      <c r="AK126" s="1">
        <v>43.2</v>
      </c>
      <c r="AL126" s="1">
        <v>44</v>
      </c>
      <c r="AM126" s="1">
        <v>62.8</v>
      </c>
      <c r="AN126" s="1">
        <v>77.599999999999994</v>
      </c>
      <c r="AO126" s="1"/>
      <c r="AP126" s="1">
        <f t="shared" si="34"/>
        <v>0</v>
      </c>
      <c r="AQ126" s="1">
        <f t="shared" si="35"/>
        <v>0</v>
      </c>
      <c r="AR126" s="1"/>
      <c r="AS126" s="1"/>
      <c r="AT126" s="1"/>
      <c r="AU126" s="1"/>
      <c r="AV126" s="1"/>
    </row>
    <row r="127" spans="1:48" x14ac:dyDescent="0.25">
      <c r="A127" s="1" t="s">
        <v>176</v>
      </c>
      <c r="B127" s="1" t="s">
        <v>45</v>
      </c>
      <c r="C127" s="1">
        <v>-13</v>
      </c>
      <c r="D127" s="1">
        <v>35</v>
      </c>
      <c r="E127" s="1">
        <v>-3</v>
      </c>
      <c r="F127" s="1"/>
      <c r="G127" s="1"/>
      <c r="H127" s="7">
        <v>0.3</v>
      </c>
      <c r="I127" s="1">
        <v>40</v>
      </c>
      <c r="J127" s="17" t="s">
        <v>51</v>
      </c>
      <c r="K127" s="1"/>
      <c r="L127" s="1">
        <v>1</v>
      </c>
      <c r="M127" s="1">
        <f t="shared" si="50"/>
        <v>-4</v>
      </c>
      <c r="N127" s="1"/>
      <c r="O127" s="1"/>
      <c r="P127" s="1">
        <v>60</v>
      </c>
      <c r="Q127" s="1"/>
      <c r="R127" s="1"/>
      <c r="S127" s="13">
        <v>150</v>
      </c>
      <c r="T127" s="1">
        <v>-150</v>
      </c>
      <c r="U127" s="14"/>
      <c r="V127" s="1">
        <v>50</v>
      </c>
      <c r="W127" s="1">
        <v>-54</v>
      </c>
      <c r="X127" s="1"/>
      <c r="Y127" s="1">
        <f t="shared" si="31"/>
        <v>-0.6</v>
      </c>
      <c r="Z127" s="5">
        <v>60</v>
      </c>
      <c r="AA127" s="5">
        <f t="shared" ref="AA127:AA128" si="64">Z127*$AB$1</f>
        <v>102</v>
      </c>
      <c r="AB127" s="30">
        <f>VLOOKUP(A127,[2]TDSheet!$A:$G,7,0)</f>
        <v>0.19933554817275748</v>
      </c>
      <c r="AC127" s="5">
        <f t="shared" si="58"/>
        <v>81.667774086378742</v>
      </c>
      <c r="AD127" s="5">
        <f t="shared" si="63"/>
        <v>20.332225913621262</v>
      </c>
      <c r="AE127" s="1">
        <f t="shared" si="33"/>
        <v>-263.33333333333337</v>
      </c>
      <c r="AF127" s="1">
        <f t="shared" si="52"/>
        <v>-93.333333333333343</v>
      </c>
      <c r="AG127" s="1">
        <v>-0.8</v>
      </c>
      <c r="AH127" s="1">
        <v>-1</v>
      </c>
      <c r="AI127" s="1">
        <v>-0.4</v>
      </c>
      <c r="AJ127" s="1">
        <v>-0.2</v>
      </c>
      <c r="AK127" s="1">
        <v>-0.2</v>
      </c>
      <c r="AL127" s="1">
        <v>0</v>
      </c>
      <c r="AM127" s="1">
        <v>21.8</v>
      </c>
      <c r="AN127" s="1">
        <v>46.2</v>
      </c>
      <c r="AO127" s="1"/>
      <c r="AP127" s="1">
        <f t="shared" si="34"/>
        <v>25</v>
      </c>
      <c r="AQ127" s="1">
        <f t="shared" si="35"/>
        <v>6</v>
      </c>
      <c r="AR127" s="1"/>
      <c r="AS127" s="1"/>
      <c r="AT127" s="1"/>
      <c r="AU127" s="1"/>
      <c r="AV127" s="1"/>
    </row>
    <row r="128" spans="1:48" x14ac:dyDescent="0.25">
      <c r="A128" s="1" t="s">
        <v>177</v>
      </c>
      <c r="B128" s="1" t="s">
        <v>45</v>
      </c>
      <c r="C128" s="1">
        <v>1</v>
      </c>
      <c r="D128" s="1">
        <v>8</v>
      </c>
      <c r="E128" s="1"/>
      <c r="F128" s="1"/>
      <c r="G128" s="1"/>
      <c r="H128" s="7">
        <v>0.3</v>
      </c>
      <c r="I128" s="1">
        <v>40</v>
      </c>
      <c r="J128" s="17" t="s">
        <v>51</v>
      </c>
      <c r="K128" s="1"/>
      <c r="L128" s="1">
        <v>5</v>
      </c>
      <c r="M128" s="1">
        <f t="shared" si="50"/>
        <v>-5</v>
      </c>
      <c r="N128" s="1"/>
      <c r="O128" s="1"/>
      <c r="P128" s="1">
        <v>60</v>
      </c>
      <c r="Q128" s="1">
        <v>-60</v>
      </c>
      <c r="R128" s="1"/>
      <c r="S128" s="13">
        <v>90</v>
      </c>
      <c r="T128" s="1">
        <v>-90</v>
      </c>
      <c r="U128" s="14"/>
      <c r="V128" s="1">
        <v>60</v>
      </c>
      <c r="W128" s="1">
        <v>-60</v>
      </c>
      <c r="X128" s="1"/>
      <c r="Y128" s="1">
        <f t="shared" si="31"/>
        <v>0</v>
      </c>
      <c r="Z128" s="5">
        <v>60</v>
      </c>
      <c r="AA128" s="5">
        <f t="shared" si="64"/>
        <v>102</v>
      </c>
      <c r="AB128" s="30">
        <f>VLOOKUP(A128,[2]TDSheet!$A:$G,7,0)</f>
        <v>0.34482758620689657</v>
      </c>
      <c r="AC128" s="5">
        <f t="shared" si="58"/>
        <v>66.827586206896541</v>
      </c>
      <c r="AD128" s="5">
        <f t="shared" si="63"/>
        <v>35.172413793103452</v>
      </c>
      <c r="AE128" s="1" t="e">
        <f t="shared" si="33"/>
        <v>#DIV/0!</v>
      </c>
      <c r="AF128" s="1" t="e">
        <f t="shared" si="52"/>
        <v>#DIV/0!</v>
      </c>
      <c r="AG128" s="1">
        <v>-0.6</v>
      </c>
      <c r="AH128" s="1">
        <v>-0.8</v>
      </c>
      <c r="AI128" s="1">
        <v>-1</v>
      </c>
      <c r="AJ128" s="1">
        <v>-1.8</v>
      </c>
      <c r="AK128" s="1">
        <v>-2</v>
      </c>
      <c r="AL128" s="1">
        <v>-1.8</v>
      </c>
      <c r="AM128" s="1">
        <v>-2</v>
      </c>
      <c r="AN128" s="1">
        <v>-1.6</v>
      </c>
      <c r="AO128" s="1"/>
      <c r="AP128" s="1">
        <f t="shared" si="34"/>
        <v>20</v>
      </c>
      <c r="AQ128" s="1">
        <f t="shared" si="35"/>
        <v>11</v>
      </c>
      <c r="AR128" s="1"/>
      <c r="AS128" s="1"/>
      <c r="AT128" s="1"/>
      <c r="AU128" s="1"/>
      <c r="AV128" s="1"/>
    </row>
    <row r="129" spans="1:48" x14ac:dyDescent="0.25">
      <c r="A129" s="1" t="s">
        <v>178</v>
      </c>
      <c r="B129" s="1" t="s">
        <v>40</v>
      </c>
      <c r="C129" s="1">
        <v>17.434000000000001</v>
      </c>
      <c r="D129" s="1">
        <v>8.94</v>
      </c>
      <c r="E129" s="1">
        <v>10.571</v>
      </c>
      <c r="F129" s="1">
        <v>5.15</v>
      </c>
      <c r="G129" s="1"/>
      <c r="H129" s="7">
        <v>1</v>
      </c>
      <c r="I129" s="1">
        <v>50</v>
      </c>
      <c r="J129" s="1" t="s">
        <v>41</v>
      </c>
      <c r="K129" s="1"/>
      <c r="L129" s="1">
        <v>11.7</v>
      </c>
      <c r="M129" s="1">
        <f t="shared" si="50"/>
        <v>-1.1289999999999996</v>
      </c>
      <c r="N129" s="1"/>
      <c r="O129" s="1"/>
      <c r="P129" s="1">
        <v>27.114999999999991</v>
      </c>
      <c r="Q129" s="1"/>
      <c r="R129" s="1"/>
      <c r="S129" s="13">
        <v>0</v>
      </c>
      <c r="T129" s="1"/>
      <c r="U129" s="14"/>
      <c r="V129" s="1">
        <v>7.2132000000000174</v>
      </c>
      <c r="W129" s="1"/>
      <c r="X129" s="1"/>
      <c r="Y129" s="1">
        <f t="shared" si="31"/>
        <v>2.1141999999999999</v>
      </c>
      <c r="Z129" s="5">
        <v>10</v>
      </c>
      <c r="AA129" s="5">
        <f t="shared" si="32"/>
        <v>10</v>
      </c>
      <c r="AB129" s="30">
        <f>VLOOKUP(A129,[2]TDSheet!$A:$G,7,0)</f>
        <v>0.44556169876663226</v>
      </c>
      <c r="AC129" s="5">
        <f t="shared" si="58"/>
        <v>0</v>
      </c>
      <c r="AD129" s="34">
        <v>10</v>
      </c>
      <c r="AE129" s="1">
        <f t="shared" si="33"/>
        <v>23.402800113518122</v>
      </c>
      <c r="AF129" s="1">
        <f t="shared" si="52"/>
        <v>18.672878630214743</v>
      </c>
      <c r="AG129" s="1">
        <v>3.4316</v>
      </c>
      <c r="AH129" s="1">
        <v>3.7071999999999998</v>
      </c>
      <c r="AI129" s="1">
        <v>4.2619999999999996</v>
      </c>
      <c r="AJ129" s="1">
        <v>3.2035999999999998</v>
      </c>
      <c r="AK129" s="1">
        <v>1.8520000000000001</v>
      </c>
      <c r="AL129" s="1">
        <v>0.26700000000000002</v>
      </c>
      <c r="AM129" s="1">
        <v>1.8872</v>
      </c>
      <c r="AN129" s="1">
        <v>2.9937999999999998</v>
      </c>
      <c r="AO129" s="1"/>
      <c r="AP129" s="1">
        <f t="shared" si="34"/>
        <v>0</v>
      </c>
      <c r="AQ129" s="1">
        <f t="shared" si="35"/>
        <v>10</v>
      </c>
      <c r="AR129" s="1"/>
      <c r="AS129" s="1"/>
      <c r="AT129" s="1"/>
      <c r="AU129" s="1"/>
      <c r="AV129" s="1"/>
    </row>
    <row r="130" spans="1:48" x14ac:dyDescent="0.25">
      <c r="A130" s="1" t="s">
        <v>179</v>
      </c>
      <c r="B130" s="1" t="s">
        <v>45</v>
      </c>
      <c r="C130" s="1"/>
      <c r="D130" s="1">
        <v>21</v>
      </c>
      <c r="E130" s="1"/>
      <c r="F130" s="1"/>
      <c r="G130" s="1"/>
      <c r="H130" s="7">
        <v>0.3</v>
      </c>
      <c r="I130" s="1">
        <v>40</v>
      </c>
      <c r="J130" s="17" t="s">
        <v>51</v>
      </c>
      <c r="K130" s="1"/>
      <c r="L130" s="1"/>
      <c r="M130" s="1">
        <f t="shared" si="50"/>
        <v>0</v>
      </c>
      <c r="N130" s="1"/>
      <c r="O130" s="1"/>
      <c r="P130" s="1">
        <v>40</v>
      </c>
      <c r="Q130" s="1">
        <v>-42</v>
      </c>
      <c r="R130" s="1"/>
      <c r="S130" s="13">
        <v>60</v>
      </c>
      <c r="T130" s="1">
        <v>-60</v>
      </c>
      <c r="U130" s="14"/>
      <c r="V130" s="1">
        <v>40</v>
      </c>
      <c r="W130" s="1">
        <v>-42</v>
      </c>
      <c r="X130" s="1"/>
      <c r="Y130" s="1">
        <f t="shared" si="31"/>
        <v>0</v>
      </c>
      <c r="Z130" s="5">
        <v>40</v>
      </c>
      <c r="AA130" s="5">
        <f t="shared" ref="AA130:AA131" si="65">Z130*$AB$1</f>
        <v>68</v>
      </c>
      <c r="AB130" s="30"/>
      <c r="AC130" s="5">
        <f t="shared" si="58"/>
        <v>43</v>
      </c>
      <c r="AD130" s="34">
        <v>25</v>
      </c>
      <c r="AE130" s="1" t="e">
        <f t="shared" si="33"/>
        <v>#DIV/0!</v>
      </c>
      <c r="AF130" s="1" t="e">
        <f t="shared" si="52"/>
        <v>#DIV/0!</v>
      </c>
      <c r="AG130" s="1">
        <v>0</v>
      </c>
      <c r="AH130" s="1">
        <v>0</v>
      </c>
      <c r="AI130" s="1">
        <v>-0.2</v>
      </c>
      <c r="AJ130" s="1">
        <v>-0.2</v>
      </c>
      <c r="AK130" s="1">
        <v>-0.4</v>
      </c>
      <c r="AL130" s="1">
        <v>0.4</v>
      </c>
      <c r="AM130" s="1">
        <v>17.8</v>
      </c>
      <c r="AN130" s="1">
        <v>33.4</v>
      </c>
      <c r="AO130" s="1"/>
      <c r="AP130" s="1">
        <f t="shared" si="34"/>
        <v>13</v>
      </c>
      <c r="AQ130" s="1">
        <f t="shared" si="35"/>
        <v>8</v>
      </c>
      <c r="AR130" s="1"/>
      <c r="AS130" s="1"/>
      <c r="AT130" s="1"/>
      <c r="AU130" s="1"/>
      <c r="AV130" s="1"/>
    </row>
    <row r="131" spans="1:48" x14ac:dyDescent="0.25">
      <c r="A131" s="1" t="s">
        <v>180</v>
      </c>
      <c r="B131" s="1" t="s">
        <v>45</v>
      </c>
      <c r="C131" s="1">
        <v>-2</v>
      </c>
      <c r="D131" s="1">
        <v>64</v>
      </c>
      <c r="E131" s="1">
        <v>18</v>
      </c>
      <c r="F131" s="1">
        <v>18</v>
      </c>
      <c r="G131" s="1"/>
      <c r="H131" s="7">
        <v>0.12</v>
      </c>
      <c r="I131" s="1">
        <v>45</v>
      </c>
      <c r="J131" s="17" t="s">
        <v>51</v>
      </c>
      <c r="K131" s="1"/>
      <c r="L131" s="1">
        <v>27</v>
      </c>
      <c r="M131" s="1">
        <f t="shared" si="50"/>
        <v>-9</v>
      </c>
      <c r="N131" s="1"/>
      <c r="O131" s="1"/>
      <c r="P131" s="1">
        <v>20</v>
      </c>
      <c r="Q131" s="1"/>
      <c r="R131" s="1"/>
      <c r="S131" s="13">
        <v>15</v>
      </c>
      <c r="T131" s="1"/>
      <c r="U131" s="14"/>
      <c r="V131" s="1">
        <v>10</v>
      </c>
      <c r="W131" s="1"/>
      <c r="X131" s="1"/>
      <c r="Y131" s="1">
        <f t="shared" si="31"/>
        <v>3.6</v>
      </c>
      <c r="Z131" s="5">
        <v>30</v>
      </c>
      <c r="AA131" s="5">
        <f t="shared" si="65"/>
        <v>51</v>
      </c>
      <c r="AB131" s="30">
        <f>VLOOKUP(A131,[2]TDSheet!$A:$G,7,0)</f>
        <v>0.2483660130718954</v>
      </c>
      <c r="AC131" s="5">
        <f t="shared" si="58"/>
        <v>38.333333333333336</v>
      </c>
      <c r="AD131" s="5">
        <f t="shared" ref="AD131" si="66">AA131*AB131</f>
        <v>12.666666666666666</v>
      </c>
      <c r="AE131" s="1">
        <f t="shared" si="33"/>
        <v>31.666666666666671</v>
      </c>
      <c r="AF131" s="1">
        <f t="shared" si="52"/>
        <v>17.5</v>
      </c>
      <c r="AG131" s="1">
        <v>-0.2</v>
      </c>
      <c r="AH131" s="1">
        <v>2.6</v>
      </c>
      <c r="AI131" s="1">
        <v>8</v>
      </c>
      <c r="AJ131" s="1">
        <v>6.2</v>
      </c>
      <c r="AK131" s="1">
        <v>7.8</v>
      </c>
      <c r="AL131" s="1">
        <v>11.4</v>
      </c>
      <c r="AM131" s="1">
        <v>9.4</v>
      </c>
      <c r="AN131" s="1">
        <v>6.8</v>
      </c>
      <c r="AO131" s="1"/>
      <c r="AP131" s="1">
        <f t="shared" si="34"/>
        <v>5</v>
      </c>
      <c r="AQ131" s="1">
        <f t="shared" si="35"/>
        <v>2</v>
      </c>
      <c r="AR131" s="1"/>
      <c r="AS131" s="1"/>
      <c r="AT131" s="1"/>
      <c r="AU131" s="1"/>
      <c r="AV131" s="1"/>
    </row>
    <row r="132" spans="1:48" ht="15.75" thickBot="1" x14ac:dyDescent="0.3">
      <c r="A132" s="18" t="s">
        <v>181</v>
      </c>
      <c r="B132" s="18" t="s">
        <v>45</v>
      </c>
      <c r="C132" s="18">
        <v>139</v>
      </c>
      <c r="D132" s="18">
        <v>26</v>
      </c>
      <c r="E132" s="26">
        <v>77</v>
      </c>
      <c r="F132" s="26">
        <v>-16</v>
      </c>
      <c r="G132" s="26">
        <f>VLOOKUP(A132,[1]TDSheet!$A:$M,9,0)</f>
        <v>-4</v>
      </c>
      <c r="H132" s="19">
        <v>0</v>
      </c>
      <c r="I132" s="18"/>
      <c r="J132" s="18" t="s">
        <v>182</v>
      </c>
      <c r="K132" s="18" t="s">
        <v>102</v>
      </c>
      <c r="L132" s="18">
        <v>78</v>
      </c>
      <c r="M132" s="18">
        <f t="shared" si="50"/>
        <v>-1</v>
      </c>
      <c r="N132" s="18"/>
      <c r="O132" s="18"/>
      <c r="P132" s="18">
        <v>0</v>
      </c>
      <c r="Q132" s="18"/>
      <c r="R132" s="18"/>
      <c r="S132" s="23">
        <v>0</v>
      </c>
      <c r="T132" s="24"/>
      <c r="U132" s="25"/>
      <c r="V132" s="18">
        <v>0</v>
      </c>
      <c r="W132" s="18"/>
      <c r="X132" s="18"/>
      <c r="Y132" s="18">
        <f t="shared" si="31"/>
        <v>15.4</v>
      </c>
      <c r="Z132" s="22"/>
      <c r="AA132" s="5">
        <f t="shared" si="32"/>
        <v>0</v>
      </c>
      <c r="AB132" s="31"/>
      <c r="AC132" s="22"/>
      <c r="AD132" s="22"/>
      <c r="AE132" s="1">
        <f t="shared" si="33"/>
        <v>-1.2987012987012987</v>
      </c>
      <c r="AF132" s="18">
        <f t="shared" si="52"/>
        <v>-1.2987012987012987</v>
      </c>
      <c r="AG132" s="18">
        <v>18.399999999999999</v>
      </c>
      <c r="AH132" s="18">
        <v>15.4</v>
      </c>
      <c r="AI132" s="18">
        <v>18</v>
      </c>
      <c r="AJ132" s="18">
        <v>14.4</v>
      </c>
      <c r="AK132" s="18">
        <v>2.8</v>
      </c>
      <c r="AL132" s="18">
        <v>0</v>
      </c>
      <c r="AM132" s="18">
        <v>0</v>
      </c>
      <c r="AN132" s="18">
        <v>0</v>
      </c>
      <c r="AO132" s="18"/>
      <c r="AP132" s="1">
        <f t="shared" si="34"/>
        <v>0</v>
      </c>
      <c r="AQ132" s="1">
        <f t="shared" si="35"/>
        <v>0</v>
      </c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7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7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7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7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7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7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7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7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7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7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7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7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7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7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7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7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7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7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7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7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7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7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7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7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7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7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7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7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7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7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7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27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7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27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7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27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7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27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7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7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7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27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7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27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7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7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7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7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7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7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7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7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7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27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7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27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7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27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7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27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7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27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7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27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7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7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7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27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7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27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7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7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7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27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7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27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7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7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7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7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7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7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7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7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7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27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7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7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7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27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7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7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7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27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7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27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27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27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27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27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27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27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27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27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27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27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27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27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27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27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27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27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27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27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27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27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27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27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27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27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27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27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27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27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27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27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27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27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27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27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27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27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27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27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27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27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27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27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27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27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27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27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27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27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27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27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27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27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27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27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27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27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27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27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27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27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27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27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7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27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27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27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27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27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27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27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27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27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27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27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27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27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27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27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27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27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27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27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27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27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27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27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27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27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27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27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27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27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27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27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27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27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27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27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27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27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27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27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27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27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27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27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27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7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7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27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27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27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27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27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27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27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27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27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27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27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27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27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27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27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27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27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27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27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27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27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7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7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27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27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27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27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27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27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27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27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7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7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27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27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27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27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27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27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27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27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27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27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27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27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27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27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27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27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27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27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27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27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27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27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27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27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27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27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27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27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27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27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27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27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27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27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27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27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27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27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27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27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27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27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27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27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27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27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27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27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27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27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27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27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27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27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27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27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27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27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27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27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27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27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27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27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27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27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27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27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27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27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27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27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27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27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27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27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7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7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27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27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27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27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27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27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27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27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27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27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27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27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27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27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27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27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27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27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27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27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27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27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27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27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27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27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27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27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7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27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27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27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27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27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27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7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27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27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27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27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27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27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27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27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27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27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27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27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27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27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27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P132" xr:uid="{710CF8EF-524D-4B8B-B8FB-68FB8DE46B97}"/>
  <mergeCells count="1">
    <mergeCell ref="S1:U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2026-09-22T10:25:37Z</dcterms:created>
  <dcterms:modified xsi:type="dcterms:W3CDTF">2026-09-23T11:23:37Z</dcterms:modified>
</cp:coreProperties>
</file>