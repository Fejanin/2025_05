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2729BDA-16CC-44BF-A40D-321CC318B2D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5" i="1" l="1"/>
  <c r="X554" i="1"/>
  <c r="BO553" i="1"/>
  <c r="BM553" i="1"/>
  <c r="Y553" i="1"/>
  <c r="P553" i="1"/>
  <c r="X550" i="1"/>
  <c r="X549" i="1"/>
  <c r="BO548" i="1"/>
  <c r="BM548" i="1"/>
  <c r="Y548" i="1"/>
  <c r="P548" i="1"/>
  <c r="BO547" i="1"/>
  <c r="BM547" i="1"/>
  <c r="Y547" i="1"/>
  <c r="Y549" i="1" s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AB566" i="1" s="1"/>
  <c r="P535" i="1"/>
  <c r="X531" i="1"/>
  <c r="X530" i="1"/>
  <c r="BO529" i="1"/>
  <c r="BM529" i="1"/>
  <c r="Y529" i="1"/>
  <c r="P529" i="1"/>
  <c r="BP528" i="1"/>
  <c r="BO528" i="1"/>
  <c r="BN528" i="1"/>
  <c r="BM528" i="1"/>
  <c r="Z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8" i="1"/>
  <c r="Y457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X421" i="1"/>
  <c r="Y420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Y395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Z285" i="1"/>
  <c r="Y285" i="1"/>
  <c r="P285" i="1"/>
  <c r="BO284" i="1"/>
  <c r="BM284" i="1"/>
  <c r="Y284" i="1"/>
  <c r="P284" i="1"/>
  <c r="BO283" i="1"/>
  <c r="BM283" i="1"/>
  <c r="Y283" i="1"/>
  <c r="BP283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70" i="1"/>
  <c r="X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X255" i="1"/>
  <c r="X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X249" i="1"/>
  <c r="X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X237" i="1"/>
  <c r="X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Y142" i="1" s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X131" i="1"/>
  <c r="X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Y127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O88" i="1"/>
  <c r="BM88" i="1"/>
  <c r="Y88" i="1"/>
  <c r="BP88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BP82" i="1" s="1"/>
  <c r="P82" i="1"/>
  <c r="BO81" i="1"/>
  <c r="BM81" i="1"/>
  <c r="Y81" i="1"/>
  <c r="Y85" i="1" s="1"/>
  <c r="P81" i="1"/>
  <c r="X79" i="1"/>
  <c r="X78" i="1"/>
  <c r="BP77" i="1"/>
  <c r="BO77" i="1"/>
  <c r="BN77" i="1"/>
  <c r="BM77" i="1"/>
  <c r="Z77" i="1"/>
  <c r="Y77" i="1"/>
  <c r="P77" i="1"/>
  <c r="BO76" i="1"/>
  <c r="BM76" i="1"/>
  <c r="Y76" i="1"/>
  <c r="Y79" i="1" s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Y73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60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J9" i="1"/>
  <c r="F9" i="1"/>
  <c r="A9" i="1"/>
  <c r="A10" i="1" s="1"/>
  <c r="D7" i="1"/>
  <c r="Q6" i="1"/>
  <c r="P2" i="1"/>
  <c r="BP294" i="1" l="1"/>
  <c r="BN294" i="1"/>
  <c r="Z294" i="1"/>
  <c r="BP309" i="1"/>
  <c r="BN309" i="1"/>
  <c r="Z309" i="1"/>
  <c r="BP337" i="1"/>
  <c r="BN337" i="1"/>
  <c r="Z337" i="1"/>
  <c r="BP352" i="1"/>
  <c r="BN352" i="1"/>
  <c r="Z352" i="1"/>
  <c r="BP370" i="1"/>
  <c r="BN370" i="1"/>
  <c r="Z370" i="1"/>
  <c r="BP386" i="1"/>
  <c r="BN386" i="1"/>
  <c r="Z386" i="1"/>
  <c r="BP400" i="1"/>
  <c r="BN400" i="1"/>
  <c r="Z400" i="1"/>
  <c r="BP426" i="1"/>
  <c r="BN426" i="1"/>
  <c r="Z426" i="1"/>
  <c r="BP438" i="1"/>
  <c r="BN438" i="1"/>
  <c r="Z438" i="1"/>
  <c r="BP471" i="1"/>
  <c r="BN471" i="1"/>
  <c r="Z471" i="1"/>
  <c r="BP487" i="1"/>
  <c r="BN487" i="1"/>
  <c r="Z487" i="1"/>
  <c r="BP510" i="1"/>
  <c r="BN510" i="1"/>
  <c r="Z510" i="1"/>
  <c r="BP526" i="1"/>
  <c r="BN526" i="1"/>
  <c r="Z526" i="1"/>
  <c r="Z22" i="1"/>
  <c r="BN22" i="1"/>
  <c r="Y32" i="1"/>
  <c r="Z30" i="1"/>
  <c r="BN30" i="1"/>
  <c r="C566" i="1"/>
  <c r="Z40" i="1"/>
  <c r="BN40" i="1"/>
  <c r="D566" i="1"/>
  <c r="Z50" i="1"/>
  <c r="BN50" i="1"/>
  <c r="Z57" i="1"/>
  <c r="BN57" i="1"/>
  <c r="Z61" i="1"/>
  <c r="BN61" i="1"/>
  <c r="Z67" i="1"/>
  <c r="BN67" i="1"/>
  <c r="BP67" i="1"/>
  <c r="Z71" i="1"/>
  <c r="BN71" i="1"/>
  <c r="Z81" i="1"/>
  <c r="BN81" i="1"/>
  <c r="BP81" i="1"/>
  <c r="Z88" i="1"/>
  <c r="BN88" i="1"/>
  <c r="Z92" i="1"/>
  <c r="BN92" i="1"/>
  <c r="Y100" i="1"/>
  <c r="Z98" i="1"/>
  <c r="BN98" i="1"/>
  <c r="G566" i="1"/>
  <c r="Z107" i="1"/>
  <c r="BN107" i="1"/>
  <c r="Z111" i="1"/>
  <c r="BN111" i="1"/>
  <c r="Y119" i="1"/>
  <c r="Z123" i="1"/>
  <c r="BN123" i="1"/>
  <c r="Z129" i="1"/>
  <c r="Z130" i="1" s="1"/>
  <c r="BN129" i="1"/>
  <c r="BP129" i="1"/>
  <c r="Y130" i="1"/>
  <c r="Z134" i="1"/>
  <c r="BN134" i="1"/>
  <c r="Z144" i="1"/>
  <c r="BN144" i="1"/>
  <c r="BP144" i="1"/>
  <c r="I566" i="1"/>
  <c r="Z153" i="1"/>
  <c r="BN153" i="1"/>
  <c r="Z159" i="1"/>
  <c r="Z160" i="1" s="1"/>
  <c r="BN159" i="1"/>
  <c r="BP159" i="1"/>
  <c r="Y160" i="1"/>
  <c r="Z164" i="1"/>
  <c r="BN164" i="1"/>
  <c r="Z172" i="1"/>
  <c r="BN172" i="1"/>
  <c r="Z178" i="1"/>
  <c r="BN178" i="1"/>
  <c r="Z181" i="1"/>
  <c r="BN181" i="1"/>
  <c r="Z185" i="1"/>
  <c r="BN185" i="1"/>
  <c r="Z207" i="1"/>
  <c r="BN207" i="1"/>
  <c r="Z211" i="1"/>
  <c r="BN211" i="1"/>
  <c r="Z224" i="1"/>
  <c r="BN224" i="1"/>
  <c r="Z228" i="1"/>
  <c r="BN228" i="1"/>
  <c r="Z232" i="1"/>
  <c r="BN232" i="1"/>
  <c r="Z240" i="1"/>
  <c r="BN240" i="1"/>
  <c r="Z244" i="1"/>
  <c r="BN244" i="1"/>
  <c r="Z252" i="1"/>
  <c r="BN252" i="1"/>
  <c r="Z273" i="1"/>
  <c r="BN273" i="1"/>
  <c r="Z277" i="1"/>
  <c r="BN277" i="1"/>
  <c r="Z283" i="1"/>
  <c r="BN283" i="1"/>
  <c r="Z286" i="1"/>
  <c r="BN286" i="1"/>
  <c r="Z290" i="1"/>
  <c r="BN290" i="1"/>
  <c r="BP305" i="1"/>
  <c r="BN305" i="1"/>
  <c r="Z305" i="1"/>
  <c r="BP330" i="1"/>
  <c r="BN330" i="1"/>
  <c r="Z330" i="1"/>
  <c r="Y340" i="1"/>
  <c r="BP346" i="1"/>
  <c r="BN346" i="1"/>
  <c r="Z346" i="1"/>
  <c r="BP366" i="1"/>
  <c r="BN366" i="1"/>
  <c r="Z366" i="1"/>
  <c r="BP378" i="1"/>
  <c r="BN378" i="1"/>
  <c r="Z378" i="1"/>
  <c r="Y396" i="1"/>
  <c r="BP392" i="1"/>
  <c r="BN392" i="1"/>
  <c r="Z392" i="1"/>
  <c r="BP412" i="1"/>
  <c r="BN412" i="1"/>
  <c r="Z412" i="1"/>
  <c r="BP434" i="1"/>
  <c r="BN434" i="1"/>
  <c r="Z434" i="1"/>
  <c r="BP450" i="1"/>
  <c r="BN450" i="1"/>
  <c r="Z450" i="1"/>
  <c r="BP481" i="1"/>
  <c r="BN481" i="1"/>
  <c r="Z481" i="1"/>
  <c r="BP506" i="1"/>
  <c r="BN506" i="1"/>
  <c r="Z506" i="1"/>
  <c r="BP518" i="1"/>
  <c r="BN518" i="1"/>
  <c r="Z518" i="1"/>
  <c r="BP548" i="1"/>
  <c r="BN548" i="1"/>
  <c r="Z548" i="1"/>
  <c r="AC566" i="1"/>
  <c r="Y554" i="1"/>
  <c r="BP553" i="1"/>
  <c r="BN553" i="1"/>
  <c r="Z553" i="1"/>
  <c r="Z554" i="1" s="1"/>
  <c r="Y300" i="1"/>
  <c r="Y25" i="1"/>
  <c r="Y33" i="1"/>
  <c r="Y43" i="1"/>
  <c r="Y51" i="1"/>
  <c r="Y64" i="1"/>
  <c r="Y74" i="1"/>
  <c r="Y78" i="1"/>
  <c r="Y84" i="1"/>
  <c r="Y93" i="1"/>
  <c r="Y101" i="1"/>
  <c r="Y114" i="1"/>
  <c r="Y120" i="1"/>
  <c r="Y126" i="1"/>
  <c r="Y137" i="1"/>
  <c r="Y141" i="1"/>
  <c r="Y147" i="1"/>
  <c r="Y156" i="1"/>
  <c r="Y169" i="1"/>
  <c r="Y173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6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Y237" i="1"/>
  <c r="Y248" i="1"/>
  <c r="BP239" i="1"/>
  <c r="BN239" i="1"/>
  <c r="Z239" i="1"/>
  <c r="BP243" i="1"/>
  <c r="BN243" i="1"/>
  <c r="Z243" i="1"/>
  <c r="BP247" i="1"/>
  <c r="BN247" i="1"/>
  <c r="Z247" i="1"/>
  <c r="Y249" i="1"/>
  <c r="Y254" i="1"/>
  <c r="BP251" i="1"/>
  <c r="BN251" i="1"/>
  <c r="Z251" i="1"/>
  <c r="BP268" i="1"/>
  <c r="BN268" i="1"/>
  <c r="Z268" i="1"/>
  <c r="Z269" i="1" s="1"/>
  <c r="Y270" i="1"/>
  <c r="Y281" i="1"/>
  <c r="BP272" i="1"/>
  <c r="BN272" i="1"/>
  <c r="Z272" i="1"/>
  <c r="BP276" i="1"/>
  <c r="BN276" i="1"/>
  <c r="Z276" i="1"/>
  <c r="Y280" i="1"/>
  <c r="BP284" i="1"/>
  <c r="BN284" i="1"/>
  <c r="Z284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34" i="1"/>
  <c r="BP327" i="1"/>
  <c r="BN327" i="1"/>
  <c r="Z327" i="1"/>
  <c r="Y333" i="1"/>
  <c r="BP331" i="1"/>
  <c r="BN331" i="1"/>
  <c r="Z331" i="1"/>
  <c r="BP399" i="1"/>
  <c r="BN399" i="1"/>
  <c r="Z399" i="1"/>
  <c r="Y403" i="1"/>
  <c r="BP407" i="1"/>
  <c r="BN407" i="1"/>
  <c r="Z407" i="1"/>
  <c r="Y409" i="1"/>
  <c r="Y414" i="1"/>
  <c r="BP411" i="1"/>
  <c r="BN411" i="1"/>
  <c r="Z411" i="1"/>
  <c r="Y415" i="1"/>
  <c r="BP425" i="1"/>
  <c r="BN425" i="1"/>
  <c r="Z425" i="1"/>
  <c r="Y427" i="1"/>
  <c r="P566" i="1"/>
  <c r="H9" i="1"/>
  <c r="B566" i="1"/>
  <c r="X557" i="1"/>
  <c r="X559" i="1" s="1"/>
  <c r="X558" i="1"/>
  <c r="Z23" i="1"/>
  <c r="Z24" i="1" s="1"/>
  <c r="BN23" i="1"/>
  <c r="Y24" i="1"/>
  <c r="X556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6" i="1"/>
  <c r="Z56" i="1"/>
  <c r="BN56" i="1"/>
  <c r="Z58" i="1"/>
  <c r="BN58" i="1"/>
  <c r="Z60" i="1"/>
  <c r="BN60" i="1"/>
  <c r="Z62" i="1"/>
  <c r="BN62" i="1"/>
  <c r="Y65" i="1"/>
  <c r="Z68" i="1"/>
  <c r="BN68" i="1"/>
  <c r="Z70" i="1"/>
  <c r="BN70" i="1"/>
  <c r="Z72" i="1"/>
  <c r="BN72" i="1"/>
  <c r="Z76" i="1"/>
  <c r="Z78" i="1" s="1"/>
  <c r="BN76" i="1"/>
  <c r="BP76" i="1"/>
  <c r="Z82" i="1"/>
  <c r="Z84" i="1" s="1"/>
  <c r="BN82" i="1"/>
  <c r="F566" i="1"/>
  <c r="Z89" i="1"/>
  <c r="BN89" i="1"/>
  <c r="Z91" i="1"/>
  <c r="BN91" i="1"/>
  <c r="Y94" i="1"/>
  <c r="Z97" i="1"/>
  <c r="BN97" i="1"/>
  <c r="Z99" i="1"/>
  <c r="BN99" i="1"/>
  <c r="Z104" i="1"/>
  <c r="BN104" i="1"/>
  <c r="BP104" i="1"/>
  <c r="Z106" i="1"/>
  <c r="BN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2" i="1"/>
  <c r="BN122" i="1"/>
  <c r="BP122" i="1"/>
  <c r="Z124" i="1"/>
  <c r="BN124" i="1"/>
  <c r="H566" i="1"/>
  <c r="Z135" i="1"/>
  <c r="BN135" i="1"/>
  <c r="Y136" i="1"/>
  <c r="Z139" i="1"/>
  <c r="Z141" i="1" s="1"/>
  <c r="BN139" i="1"/>
  <c r="BP139" i="1"/>
  <c r="Z145" i="1"/>
  <c r="BN145" i="1"/>
  <c r="Z150" i="1"/>
  <c r="BN150" i="1"/>
  <c r="BP150" i="1"/>
  <c r="Z152" i="1"/>
  <c r="BN152" i="1"/>
  <c r="Z154" i="1"/>
  <c r="BN154" i="1"/>
  <c r="Y157" i="1"/>
  <c r="J566" i="1"/>
  <c r="Z165" i="1"/>
  <c r="BN165" i="1"/>
  <c r="Z167" i="1"/>
  <c r="BN167" i="1"/>
  <c r="Y168" i="1"/>
  <c r="Z171" i="1"/>
  <c r="BN171" i="1"/>
  <c r="BP171" i="1"/>
  <c r="Y187" i="1"/>
  <c r="Z177" i="1"/>
  <c r="BN177" i="1"/>
  <c r="Z179" i="1"/>
  <c r="BN179" i="1"/>
  <c r="BP180" i="1"/>
  <c r="BN180" i="1"/>
  <c r="BP182" i="1"/>
  <c r="BN182" i="1"/>
  <c r="Z182" i="1"/>
  <c r="BP186" i="1"/>
  <c r="BN186" i="1"/>
  <c r="Z186" i="1"/>
  <c r="Y188" i="1"/>
  <c r="Y193" i="1"/>
  <c r="BP190" i="1"/>
  <c r="BN190" i="1"/>
  <c r="Z190" i="1"/>
  <c r="Z193" i="1" s="1"/>
  <c r="BP208" i="1"/>
  <c r="BN208" i="1"/>
  <c r="Z208" i="1"/>
  <c r="BP212" i="1"/>
  <c r="BN212" i="1"/>
  <c r="Z212" i="1"/>
  <c r="Y214" i="1"/>
  <c r="L566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45" i="1"/>
  <c r="BN245" i="1"/>
  <c r="Z245" i="1"/>
  <c r="BP253" i="1"/>
  <c r="BN253" i="1"/>
  <c r="Z253" i="1"/>
  <c r="Y255" i="1"/>
  <c r="Y258" i="1"/>
  <c r="BP257" i="1"/>
  <c r="BN257" i="1"/>
  <c r="Z257" i="1"/>
  <c r="Z258" i="1" s="1"/>
  <c r="Y259" i="1"/>
  <c r="M566" i="1"/>
  <c r="Y265" i="1"/>
  <c r="BP262" i="1"/>
  <c r="BN262" i="1"/>
  <c r="Z262" i="1"/>
  <c r="Z264" i="1" s="1"/>
  <c r="Y269" i="1"/>
  <c r="BP274" i="1"/>
  <c r="BN274" i="1"/>
  <c r="Z274" i="1"/>
  <c r="BP278" i="1"/>
  <c r="BN278" i="1"/>
  <c r="Z278" i="1"/>
  <c r="BP289" i="1"/>
  <c r="BN289" i="1"/>
  <c r="Z289" i="1"/>
  <c r="BP293" i="1"/>
  <c r="BN293" i="1"/>
  <c r="Z293" i="1"/>
  <c r="BP345" i="1"/>
  <c r="BN345" i="1"/>
  <c r="Z345" i="1"/>
  <c r="Z349" i="1" s="1"/>
  <c r="Y349" i="1"/>
  <c r="BP353" i="1"/>
  <c r="BN353" i="1"/>
  <c r="Z353" i="1"/>
  <c r="Z354" i="1" s="1"/>
  <c r="Y355" i="1"/>
  <c r="S566" i="1"/>
  <c r="Y361" i="1"/>
  <c r="BP358" i="1"/>
  <c r="BN358" i="1"/>
  <c r="Z358" i="1"/>
  <c r="Y362" i="1"/>
  <c r="BP367" i="1"/>
  <c r="BN367" i="1"/>
  <c r="Z367" i="1"/>
  <c r="BP371" i="1"/>
  <c r="BN371" i="1"/>
  <c r="Z371" i="1"/>
  <c r="Y373" i="1"/>
  <c r="Y382" i="1"/>
  <c r="BP375" i="1"/>
  <c r="BN375" i="1"/>
  <c r="Z375" i="1"/>
  <c r="Y383" i="1"/>
  <c r="BP379" i="1"/>
  <c r="BN379" i="1"/>
  <c r="Z379" i="1"/>
  <c r="BP387" i="1"/>
  <c r="BN387" i="1"/>
  <c r="Z387" i="1"/>
  <c r="Y296" i="1"/>
  <c r="BP285" i="1"/>
  <c r="BN285" i="1"/>
  <c r="BP287" i="1"/>
  <c r="BN287" i="1"/>
  <c r="Z287" i="1"/>
  <c r="BP291" i="1"/>
  <c r="BN291" i="1"/>
  <c r="Z291" i="1"/>
  <c r="Y295" i="1"/>
  <c r="BP299" i="1"/>
  <c r="BN299" i="1"/>
  <c r="Z299" i="1"/>
  <c r="Z300" i="1" s="1"/>
  <c r="Y301" i="1"/>
  <c r="O566" i="1"/>
  <c r="Y311" i="1"/>
  <c r="BP304" i="1"/>
  <c r="BN304" i="1"/>
  <c r="Z304" i="1"/>
  <c r="BP308" i="1"/>
  <c r="BN308" i="1"/>
  <c r="Z308" i="1"/>
  <c r="BP329" i="1"/>
  <c r="BN329" i="1"/>
  <c r="Z329" i="1"/>
  <c r="BP338" i="1"/>
  <c r="BN338" i="1"/>
  <c r="Z338" i="1"/>
  <c r="Z340" i="1" s="1"/>
  <c r="BP347" i="1"/>
  <c r="BN347" i="1"/>
  <c r="Z347" i="1"/>
  <c r="Y354" i="1"/>
  <c r="BP360" i="1"/>
  <c r="BN360" i="1"/>
  <c r="Z360" i="1"/>
  <c r="T566" i="1"/>
  <c r="Y372" i="1"/>
  <c r="BP365" i="1"/>
  <c r="BN365" i="1"/>
  <c r="Z365" i="1"/>
  <c r="BP369" i="1"/>
  <c r="BN369" i="1"/>
  <c r="Z369" i="1"/>
  <c r="BP377" i="1"/>
  <c r="BN377" i="1"/>
  <c r="Z377" i="1"/>
  <c r="BP381" i="1"/>
  <c r="BN381" i="1"/>
  <c r="Z381" i="1"/>
  <c r="Y390" i="1"/>
  <c r="BP385" i="1"/>
  <c r="BN385" i="1"/>
  <c r="Z385" i="1"/>
  <c r="Y389" i="1"/>
  <c r="BP393" i="1"/>
  <c r="BN393" i="1"/>
  <c r="Z393" i="1"/>
  <c r="Z395" i="1" s="1"/>
  <c r="Y402" i="1"/>
  <c r="BP401" i="1"/>
  <c r="BN401" i="1"/>
  <c r="Z401" i="1"/>
  <c r="Y408" i="1"/>
  <c r="BP405" i="1"/>
  <c r="BN405" i="1"/>
  <c r="Z405" i="1"/>
  <c r="Z408" i="1" s="1"/>
  <c r="BP413" i="1"/>
  <c r="BN413" i="1"/>
  <c r="Z413" i="1"/>
  <c r="U566" i="1"/>
  <c r="Y421" i="1"/>
  <c r="BP418" i="1"/>
  <c r="BN418" i="1"/>
  <c r="Z418" i="1"/>
  <c r="Z420" i="1" s="1"/>
  <c r="BP433" i="1"/>
  <c r="BN433" i="1"/>
  <c r="Z433" i="1"/>
  <c r="BP437" i="1"/>
  <c r="BN437" i="1"/>
  <c r="Z437" i="1"/>
  <c r="BP445" i="1"/>
  <c r="BN445" i="1"/>
  <c r="Z445" i="1"/>
  <c r="Y447" i="1"/>
  <c r="Y452" i="1"/>
  <c r="BP449" i="1"/>
  <c r="BN449" i="1"/>
  <c r="Z449" i="1"/>
  <c r="Y453" i="1"/>
  <c r="BP462" i="1"/>
  <c r="BN462" i="1"/>
  <c r="Z462" i="1"/>
  <c r="Z463" i="1" s="1"/>
  <c r="Y464" i="1"/>
  <c r="Y467" i="1"/>
  <c r="BP466" i="1"/>
  <c r="BN466" i="1"/>
  <c r="Z466" i="1"/>
  <c r="Z467" i="1" s="1"/>
  <c r="Y468" i="1"/>
  <c r="Y473" i="1"/>
  <c r="BP470" i="1"/>
  <c r="BN470" i="1"/>
  <c r="Z470" i="1"/>
  <c r="Y474" i="1"/>
  <c r="BP480" i="1"/>
  <c r="BN480" i="1"/>
  <c r="Z480" i="1"/>
  <c r="Y484" i="1"/>
  <c r="BP488" i="1"/>
  <c r="BN488" i="1"/>
  <c r="Z488" i="1"/>
  <c r="Z489" i="1" s="1"/>
  <c r="Y490" i="1"/>
  <c r="Y494" i="1"/>
  <c r="BP493" i="1"/>
  <c r="BN493" i="1"/>
  <c r="Z493" i="1"/>
  <c r="Z494" i="1" s="1"/>
  <c r="Z566" i="1"/>
  <c r="Y495" i="1"/>
  <c r="Y500" i="1"/>
  <c r="BP497" i="1"/>
  <c r="BN497" i="1"/>
  <c r="Z497" i="1"/>
  <c r="Y501" i="1"/>
  <c r="BP507" i="1"/>
  <c r="BN507" i="1"/>
  <c r="Z507" i="1"/>
  <c r="BP511" i="1"/>
  <c r="BN511" i="1"/>
  <c r="Z511" i="1"/>
  <c r="BP519" i="1"/>
  <c r="BN519" i="1"/>
  <c r="Z519" i="1"/>
  <c r="Y521" i="1"/>
  <c r="Y530" i="1"/>
  <c r="BP523" i="1"/>
  <c r="BN523" i="1"/>
  <c r="Z523" i="1"/>
  <c r="Y531" i="1"/>
  <c r="BP527" i="1"/>
  <c r="BN527" i="1"/>
  <c r="Z527" i="1"/>
  <c r="X566" i="1"/>
  <c r="Q566" i="1"/>
  <c r="Y341" i="1"/>
  <c r="R566" i="1"/>
  <c r="Y350" i="1"/>
  <c r="V566" i="1"/>
  <c r="Y428" i="1"/>
  <c r="W566" i="1"/>
  <c r="Y440" i="1"/>
  <c r="BP435" i="1"/>
  <c r="BN435" i="1"/>
  <c r="Z435" i="1"/>
  <c r="Z440" i="1" s="1"/>
  <c r="BP439" i="1"/>
  <c r="BN439" i="1"/>
  <c r="Z439" i="1"/>
  <c r="Y441" i="1"/>
  <c r="Y446" i="1"/>
  <c r="BP443" i="1"/>
  <c r="BN443" i="1"/>
  <c r="Z443" i="1"/>
  <c r="Z446" i="1" s="1"/>
  <c r="BP451" i="1"/>
  <c r="BN451" i="1"/>
  <c r="Z451" i="1"/>
  <c r="Y458" i="1"/>
  <c r="BP455" i="1"/>
  <c r="BN455" i="1"/>
  <c r="Z455" i="1"/>
  <c r="Z457" i="1" s="1"/>
  <c r="Y463" i="1"/>
  <c r="BP472" i="1"/>
  <c r="BN472" i="1"/>
  <c r="Z472" i="1"/>
  <c r="Y566" i="1"/>
  <c r="Y485" i="1"/>
  <c r="BP478" i="1"/>
  <c r="BN478" i="1"/>
  <c r="Z478" i="1"/>
  <c r="Z484" i="1" s="1"/>
  <c r="BP482" i="1"/>
  <c r="BN482" i="1"/>
  <c r="Z482" i="1"/>
  <c r="Y489" i="1"/>
  <c r="BP499" i="1"/>
  <c r="BN499" i="1"/>
  <c r="Z499" i="1"/>
  <c r="AA566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Z520" i="1" s="1"/>
  <c r="BP525" i="1"/>
  <c r="BN525" i="1"/>
  <c r="Z525" i="1"/>
  <c r="BP529" i="1"/>
  <c r="BN529" i="1"/>
  <c r="Z529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50" i="1"/>
  <c r="BP547" i="1"/>
  <c r="BN547" i="1"/>
  <c r="Z547" i="1"/>
  <c r="Z549" i="1" s="1"/>
  <c r="Y555" i="1"/>
  <c r="Z168" i="1" l="1"/>
  <c r="Z100" i="1"/>
  <c r="Z64" i="1"/>
  <c r="Y558" i="1"/>
  <c r="Z402" i="1"/>
  <c r="Z389" i="1"/>
  <c r="Z187" i="1"/>
  <c r="Z173" i="1"/>
  <c r="Z156" i="1"/>
  <c r="Z146" i="1"/>
  <c r="Z136" i="1"/>
  <c r="Z126" i="1"/>
  <c r="Z93" i="1"/>
  <c r="Z73" i="1"/>
  <c r="Z51" i="1"/>
  <c r="Z42" i="1"/>
  <c r="Y557" i="1"/>
  <c r="Z427" i="1"/>
  <c r="Z295" i="1"/>
  <c r="Z514" i="1"/>
  <c r="Z500" i="1"/>
  <c r="Z372" i="1"/>
  <c r="Z311" i="1"/>
  <c r="Z236" i="1"/>
  <c r="Z119" i="1"/>
  <c r="Z113" i="1"/>
  <c r="Z32" i="1"/>
  <c r="Y560" i="1"/>
  <c r="Z333" i="1"/>
  <c r="Z280" i="1"/>
  <c r="Z254" i="1"/>
  <c r="Z530" i="1"/>
  <c r="Z473" i="1"/>
  <c r="Z452" i="1"/>
  <c r="Z382" i="1"/>
  <c r="Z361" i="1"/>
  <c r="Z414" i="1"/>
  <c r="Z248" i="1"/>
  <c r="Z213" i="1"/>
  <c r="Y556" i="1"/>
  <c r="Z561" i="1" l="1"/>
  <c r="Y559" i="1"/>
</calcChain>
</file>

<file path=xl/sharedStrings.xml><?xml version="1.0" encoding="utf-8"?>
<sst xmlns="http://schemas.openxmlformats.org/spreadsheetml/2006/main" count="2543" uniqueCount="911">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</sst>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1" t="s">
        <v>0</v>
      </c>
      <c r="E1" s="678"/>
      <c r="F1" s="678"/>
      <c r="G1" s="12" t="s">
        <v>1</v>
      </c>
      <c r="H1" s="721" t="s">
        <v>2</v>
      </c>
      <c r="I1" s="678"/>
      <c r="J1" s="678"/>
      <c r="K1" s="678"/>
      <c r="L1" s="678"/>
      <c r="M1" s="678"/>
      <c r="N1" s="678"/>
      <c r="O1" s="678"/>
      <c r="P1" s="678"/>
      <c r="Q1" s="678"/>
      <c r="R1" s="677" t="s">
        <v>3</v>
      </c>
      <c r="S1" s="678"/>
      <c r="T1" s="6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7" t="s">
        <v>8</v>
      </c>
      <c r="B5" s="669"/>
      <c r="C5" s="670"/>
      <c r="D5" s="731"/>
      <c r="E5" s="732"/>
      <c r="F5" s="966" t="s">
        <v>9</v>
      </c>
      <c r="G5" s="670"/>
      <c r="H5" s="731"/>
      <c r="I5" s="904"/>
      <c r="J5" s="904"/>
      <c r="K5" s="904"/>
      <c r="L5" s="904"/>
      <c r="M5" s="732"/>
      <c r="N5" s="58"/>
      <c r="P5" s="24" t="s">
        <v>10</v>
      </c>
      <c r="Q5" s="984">
        <v>46291</v>
      </c>
      <c r="R5" s="776"/>
      <c r="T5" s="822" t="s">
        <v>11</v>
      </c>
      <c r="U5" s="823"/>
      <c r="V5" s="825" t="s">
        <v>12</v>
      </c>
      <c r="W5" s="776"/>
      <c r="AB5" s="51"/>
      <c r="AC5" s="51"/>
      <c r="AD5" s="51"/>
      <c r="AE5" s="51"/>
    </row>
    <row r="6" spans="1:32" s="637" customFormat="1" ht="24" customHeight="1" x14ac:dyDescent="0.2">
      <c r="A6" s="777" t="s">
        <v>13</v>
      </c>
      <c r="B6" s="669"/>
      <c r="C6" s="670"/>
      <c r="D6" s="907"/>
      <c r="E6" s="908"/>
      <c r="F6" s="908"/>
      <c r="G6" s="908"/>
      <c r="H6" s="908"/>
      <c r="I6" s="908"/>
      <c r="J6" s="908"/>
      <c r="K6" s="908"/>
      <c r="L6" s="908"/>
      <c r="M6" s="776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Суббота</v>
      </c>
      <c r="R6" s="648"/>
      <c r="T6" s="831" t="s">
        <v>15</v>
      </c>
      <c r="U6" s="823"/>
      <c r="V6" s="888" t="s">
        <v>16</v>
      </c>
      <c r="W6" s="724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8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58"/>
      <c r="U7" s="823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12" t="s">
        <v>17</v>
      </c>
      <c r="B8" s="650"/>
      <c r="C8" s="65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18</v>
      </c>
      <c r="Q8" s="786">
        <v>0.41666666666666669</v>
      </c>
      <c r="R8" s="710"/>
      <c r="T8" s="658"/>
      <c r="U8" s="823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7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795"/>
      <c r="E9" s="664"/>
      <c r="F9" s="7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5"/>
      <c r="P9" s="26" t="s">
        <v>19</v>
      </c>
      <c r="Q9" s="772"/>
      <c r="R9" s="773"/>
      <c r="T9" s="658"/>
      <c r="U9" s="823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795"/>
      <c r="E10" s="664"/>
      <c r="F10" s="7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0" t="str">
        <f>IFERROR(VLOOKUP($D$10,Proxy,2,FALSE),"")</f>
        <v/>
      </c>
      <c r="I10" s="658"/>
      <c r="J10" s="658"/>
      <c r="K10" s="658"/>
      <c r="L10" s="658"/>
      <c r="M10" s="658"/>
      <c r="N10" s="636"/>
      <c r="P10" s="26" t="s">
        <v>20</v>
      </c>
      <c r="Q10" s="832"/>
      <c r="R10" s="833"/>
      <c r="U10" s="24" t="s">
        <v>21</v>
      </c>
      <c r="V10" s="723" t="s">
        <v>22</v>
      </c>
      <c r="W10" s="724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2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9" t="s">
        <v>27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28</v>
      </c>
      <c r="Q12" s="786"/>
      <c r="R12" s="710"/>
      <c r="S12" s="23"/>
      <c r="U12" s="24"/>
      <c r="V12" s="678"/>
      <c r="W12" s="658"/>
      <c r="AB12" s="51"/>
      <c r="AC12" s="51"/>
      <c r="AD12" s="51"/>
      <c r="AE12" s="51"/>
    </row>
    <row r="13" spans="1:32" s="637" customFormat="1" ht="23.25" customHeight="1" x14ac:dyDescent="0.2">
      <c r="A13" s="819" t="s">
        <v>29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30</v>
      </c>
      <c r="Q13" s="932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9" t="s">
        <v>31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805" t="s">
        <v>33</v>
      </c>
      <c r="Q15" s="678"/>
      <c r="R15" s="678"/>
      <c r="S15" s="678"/>
      <c r="T15" s="6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6"/>
      <c r="Q16" s="806"/>
      <c r="R16" s="806"/>
      <c r="S16" s="806"/>
      <c r="T16" s="8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34</v>
      </c>
      <c r="B17" s="691" t="s">
        <v>35</v>
      </c>
      <c r="C17" s="792" t="s">
        <v>36</v>
      </c>
      <c r="D17" s="691" t="s">
        <v>37</v>
      </c>
      <c r="E17" s="755"/>
      <c r="F17" s="691" t="s">
        <v>38</v>
      </c>
      <c r="G17" s="691" t="s">
        <v>39</v>
      </c>
      <c r="H17" s="691" t="s">
        <v>40</v>
      </c>
      <c r="I17" s="691" t="s">
        <v>41</v>
      </c>
      <c r="J17" s="691" t="s">
        <v>42</v>
      </c>
      <c r="K17" s="691" t="s">
        <v>43</v>
      </c>
      <c r="L17" s="691" t="s">
        <v>44</v>
      </c>
      <c r="M17" s="691" t="s">
        <v>45</v>
      </c>
      <c r="N17" s="691" t="s">
        <v>46</v>
      </c>
      <c r="O17" s="691" t="s">
        <v>47</v>
      </c>
      <c r="P17" s="691" t="s">
        <v>48</v>
      </c>
      <c r="Q17" s="754"/>
      <c r="R17" s="754"/>
      <c r="S17" s="754"/>
      <c r="T17" s="755"/>
      <c r="U17" s="1010" t="s">
        <v>49</v>
      </c>
      <c r="V17" s="670"/>
      <c r="W17" s="691" t="s">
        <v>50</v>
      </c>
      <c r="X17" s="691" t="s">
        <v>51</v>
      </c>
      <c r="Y17" s="1008" t="s">
        <v>52</v>
      </c>
      <c r="Z17" s="902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2"/>
      <c r="B18" s="692"/>
      <c r="C18" s="692"/>
      <c r="D18" s="756"/>
      <c r="E18" s="75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756"/>
      <c r="Q18" s="757"/>
      <c r="R18" s="757"/>
      <c r="S18" s="757"/>
      <c r="T18" s="758"/>
      <c r="U18" s="67" t="s">
        <v>59</v>
      </c>
      <c r="V18" s="67" t="s">
        <v>60</v>
      </c>
      <c r="W18" s="692"/>
      <c r="X18" s="692"/>
      <c r="Y18" s="1009"/>
      <c r="Z18" s="903"/>
      <c r="AA18" s="879"/>
      <c r="AB18" s="879"/>
      <c r="AC18" s="879"/>
      <c r="AD18" s="962"/>
      <c r="AE18" s="963"/>
      <c r="AF18" s="964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73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38"/>
      <c r="AB20" s="638"/>
      <c r="AC20" s="638"/>
    </row>
    <row r="21" spans="1:68" ht="14.25" hidden="1" customHeight="1" x14ac:dyDescent="0.25">
      <c r="A21" s="66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9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9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7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9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59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73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38"/>
      <c r="AB35" s="638"/>
      <c r="AC35" s="638"/>
    </row>
    <row r="36" spans="1:68" ht="14.25" hidden="1" customHeight="1" x14ac:dyDescent="0.25">
      <c r="A36" s="66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3"/>
      <c r="R40" s="653"/>
      <c r="S40" s="653"/>
      <c r="T40" s="654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3"/>
      <c r="R41" s="653"/>
      <c r="S41" s="653"/>
      <c r="T41" s="654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9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9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73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38"/>
      <c r="AB45" s="638"/>
      <c r="AC45" s="638"/>
    </row>
    <row r="46" spans="1:68" ht="14.25" hidden="1" customHeight="1" x14ac:dyDescent="0.25">
      <c r="A46" s="66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3"/>
      <c r="R47" s="653"/>
      <c r="S47" s="653"/>
      <c r="T47" s="654"/>
      <c r="U47" s="34"/>
      <c r="V47" s="34"/>
      <c r="W47" s="35" t="s">
        <v>67</v>
      </c>
      <c r="X47" s="643">
        <v>188</v>
      </c>
      <c r="Y47" s="644">
        <f>IFERROR(IF(X47="",0,CEILING((X47/$H47),1)*$H47),"")</f>
        <v>194.4</v>
      </c>
      <c r="Z47" s="36">
        <f>IFERROR(IF(Y47=0,"",ROUNDUP(Y47/H47,0)*0.01898),"")</f>
        <v>0.34164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195.13703703703703</v>
      </c>
      <c r="BN47" s="64">
        <f>IFERROR(Y47*I47/H47,"0")</f>
        <v>201.78</v>
      </c>
      <c r="BO47" s="64">
        <f>IFERROR(1/J47*(X47/H47),"0")</f>
        <v>0.2719907407407407</v>
      </c>
      <c r="BP47" s="64">
        <f>IFERROR(1/J47*(Y47/H47),"0")</f>
        <v>0.28125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3"/>
      <c r="R48" s="653"/>
      <c r="S48" s="653"/>
      <c r="T48" s="654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3"/>
      <c r="R49" s="653"/>
      <c r="S49" s="653"/>
      <c r="T49" s="654"/>
      <c r="U49" s="34"/>
      <c r="V49" s="34"/>
      <c r="W49" s="35" t="s">
        <v>67</v>
      </c>
      <c r="X49" s="643">
        <v>29</v>
      </c>
      <c r="Y49" s="644">
        <f>IFERROR(IF(X49="",0,CEILING((X49/$H49),1)*$H49),"")</f>
        <v>32</v>
      </c>
      <c r="Z49" s="36">
        <f>IFERROR(IF(Y49=0,"",ROUNDUP(Y49/H49,0)*0.00902),"")</f>
        <v>7.2160000000000002E-2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30.377500000000001</v>
      </c>
      <c r="BN49" s="64">
        <f>IFERROR(Y49*I49/H49,"0")</f>
        <v>33.520000000000003</v>
      </c>
      <c r="BO49" s="64">
        <f>IFERROR(1/J49*(X49/H49),"0")</f>
        <v>5.4924242424242424E-2</v>
      </c>
      <c r="BP49" s="64">
        <f>IFERROR(1/J49*(Y49/H49),"0")</f>
        <v>6.0606060606060608E-2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6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3"/>
      <c r="R50" s="653"/>
      <c r="S50" s="653"/>
      <c r="T50" s="654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7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9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24.657407407407405</v>
      </c>
      <c r="Y51" s="645">
        <f>IFERROR(Y47/H47,"0")+IFERROR(Y48/H48,"0")+IFERROR(Y49/H49,"0")+IFERROR(Y50/H50,"0")</f>
        <v>26</v>
      </c>
      <c r="Z51" s="645">
        <f>IFERROR(IF(Z47="",0,Z47),"0")+IFERROR(IF(Z48="",0,Z48),"0")+IFERROR(IF(Z49="",0,Z49),"0")+IFERROR(IF(Z50="",0,Z50),"0")</f>
        <v>0.4138</v>
      </c>
      <c r="AA51" s="646"/>
      <c r="AB51" s="646"/>
      <c r="AC51" s="646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9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217</v>
      </c>
      <c r="Y52" s="645">
        <f>IFERROR(SUM(Y47:Y50),"0")</f>
        <v>226.4</v>
      </c>
      <c r="Z52" s="37"/>
      <c r="AA52" s="646"/>
      <c r="AB52" s="646"/>
      <c r="AC52" s="646"/>
    </row>
    <row r="53" spans="1:68" ht="16.5" hidden="1" customHeight="1" x14ac:dyDescent="0.25">
      <c r="A53" s="673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38"/>
      <c r="AB53" s="638"/>
      <c r="AC53" s="638"/>
    </row>
    <row r="54" spans="1:68" ht="14.25" hidden="1" customHeight="1" x14ac:dyDescent="0.25">
      <c r="A54" s="66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3"/>
      <c r="R55" s="653"/>
      <c r="S55" s="653"/>
      <c r="T55" s="654"/>
      <c r="U55" s="34"/>
      <c r="V55" s="34"/>
      <c r="W55" s="35" t="s">
        <v>67</v>
      </c>
      <c r="X55" s="643">
        <v>0</v>
      </c>
      <c r="Y55" s="644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3"/>
      <c r="R56" s="653"/>
      <c r="S56" s="653"/>
      <c r="T56" s="654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3"/>
      <c r="R57" s="653"/>
      <c r="S57" s="653"/>
      <c r="T57" s="654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3"/>
      <c r="R60" s="653"/>
      <c r="S60" s="653"/>
      <c r="T60" s="654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3"/>
      <c r="R61" s="653"/>
      <c r="S61" s="653"/>
      <c r="T61" s="654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3"/>
      <c r="R62" s="653"/>
      <c r="S62" s="653"/>
      <c r="T62" s="654"/>
      <c r="U62" s="34"/>
      <c r="V62" s="34"/>
      <c r="W62" s="35" t="s">
        <v>67</v>
      </c>
      <c r="X62" s="643">
        <v>43</v>
      </c>
      <c r="Y62" s="644">
        <f t="shared" si="0"/>
        <v>45</v>
      </c>
      <c r="Z62" s="36">
        <f>IFERROR(IF(Y62=0,"",ROUNDUP(Y62/H62,0)*0.00902),"")</f>
        <v>9.0200000000000002E-2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44.815555555555562</v>
      </c>
      <c r="BN62" s="64">
        <f t="shared" si="2"/>
        <v>46.900000000000006</v>
      </c>
      <c r="BO62" s="64">
        <f t="shared" si="3"/>
        <v>7.2390572390572394E-2</v>
      </c>
      <c r="BP62" s="64">
        <f t="shared" si="4"/>
        <v>7.575757575757576E-2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6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3"/>
      <c r="R63" s="653"/>
      <c r="S63" s="653"/>
      <c r="T63" s="654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7"/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9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9.5555555555555554</v>
      </c>
      <c r="Y64" s="645">
        <f>IFERROR(Y55/H55,"0")+IFERROR(Y56/H56,"0")+IFERROR(Y57/H57,"0")+IFERROR(Y58/H58,"0")+IFERROR(Y59/H59,"0")+IFERROR(Y60/H60,"0")+IFERROR(Y61/H61,"0")+IFERROR(Y62/H62,"0")+IFERROR(Y63/H63,"0")</f>
        <v>10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9.0200000000000002E-2</v>
      </c>
      <c r="AA64" s="646"/>
      <c r="AB64" s="646"/>
      <c r="AC64" s="646"/>
    </row>
    <row r="65" spans="1:68" x14ac:dyDescent="0.2">
      <c r="A65" s="658"/>
      <c r="B65" s="658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9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43</v>
      </c>
      <c r="Y65" s="645">
        <f>IFERROR(SUM(Y55:Y63),"0")</f>
        <v>45</v>
      </c>
      <c r="Z65" s="37"/>
      <c r="AA65" s="646"/>
      <c r="AB65" s="646"/>
      <c r="AC65" s="646"/>
    </row>
    <row r="66" spans="1:68" ht="14.25" hidden="1" customHeight="1" x14ac:dyDescent="0.25">
      <c r="A66" s="667" t="s">
        <v>148</v>
      </c>
      <c r="B66" s="658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39"/>
      <c r="AB66" s="639"/>
      <c r="AC66" s="639"/>
    </row>
    <row r="67" spans="1:68" ht="16.5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3"/>
      <c r="R67" s="653"/>
      <c r="S67" s="653"/>
      <c r="T67" s="654"/>
      <c r="U67" s="34"/>
      <c r="V67" s="34"/>
      <c r="W67" s="35" t="s">
        <v>67</v>
      </c>
      <c r="X67" s="643">
        <v>4</v>
      </c>
      <c r="Y67" s="644">
        <f t="shared" ref="Y67:Y72" si="5">IFERROR(IF(X67="",0,CEILING((X67/$H67),1)*$H67),"")</f>
        <v>10.8</v>
      </c>
      <c r="Z67" s="36">
        <f>IFERROR(IF(Y67=0,"",ROUNDUP(Y67/H67,0)*0.01898),"")</f>
        <v>1.898E-2</v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4.1518518518518519</v>
      </c>
      <c r="BN67" s="64">
        <f t="shared" ref="BN67:BN72" si="7">IFERROR(Y67*I67/H67,"0")</f>
        <v>11.21</v>
      </c>
      <c r="BO67" s="64">
        <f t="shared" ref="BO67:BO72" si="8">IFERROR(1/J67*(X67/H67),"0")</f>
        <v>5.7870370370370367E-3</v>
      </c>
      <c r="BP67" s="64">
        <f t="shared" ref="BP67:BP72" si="9">IFERROR(1/J67*(Y67/H67),"0")</f>
        <v>1.5625E-2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3"/>
      <c r="R68" s="653"/>
      <c r="S68" s="653"/>
      <c r="T68" s="654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3"/>
      <c r="R69" s="653"/>
      <c r="S69" s="653"/>
      <c r="T69" s="654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8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3"/>
      <c r="R70" s="653"/>
      <c r="S70" s="653"/>
      <c r="T70" s="654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3"/>
      <c r="R71" s="653"/>
      <c r="S71" s="653"/>
      <c r="T71" s="654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47">
        <v>4680115881433</v>
      </c>
      <c r="E72" s="648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98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3"/>
      <c r="R72" s="653"/>
      <c r="S72" s="653"/>
      <c r="T72" s="654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57"/>
      <c r="B73" s="658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9"/>
      <c r="P73" s="649" t="s">
        <v>72</v>
      </c>
      <c r="Q73" s="650"/>
      <c r="R73" s="650"/>
      <c r="S73" s="650"/>
      <c r="T73" s="650"/>
      <c r="U73" s="650"/>
      <c r="V73" s="651"/>
      <c r="W73" s="37" t="s">
        <v>73</v>
      </c>
      <c r="X73" s="645">
        <f>IFERROR(X67/H67,"0")+IFERROR(X68/H68,"0")+IFERROR(X69/H69,"0")+IFERROR(X70/H70,"0")+IFERROR(X71/H71,"0")+IFERROR(X72/H72,"0")</f>
        <v>0.37037037037037035</v>
      </c>
      <c r="Y73" s="645">
        <f>IFERROR(Y67/H67,"0")+IFERROR(Y68/H68,"0")+IFERROR(Y69/H69,"0")+IFERROR(Y70/H70,"0")+IFERROR(Y71/H71,"0")+IFERROR(Y72/H72,"0")</f>
        <v>1</v>
      </c>
      <c r="Z73" s="645">
        <f>IFERROR(IF(Z67="",0,Z67),"0")+IFERROR(IF(Z68="",0,Z68),"0")+IFERROR(IF(Z69="",0,Z69),"0")+IFERROR(IF(Z70="",0,Z70),"0")+IFERROR(IF(Z71="",0,Z71),"0")+IFERROR(IF(Z72="",0,Z72),"0")</f>
        <v>1.898E-2</v>
      </c>
      <c r="AA73" s="646"/>
      <c r="AB73" s="646"/>
      <c r="AC73" s="646"/>
    </row>
    <row r="74" spans="1:68" x14ac:dyDescent="0.2">
      <c r="A74" s="658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9"/>
      <c r="P74" s="649" t="s">
        <v>72</v>
      </c>
      <c r="Q74" s="650"/>
      <c r="R74" s="650"/>
      <c r="S74" s="650"/>
      <c r="T74" s="650"/>
      <c r="U74" s="650"/>
      <c r="V74" s="651"/>
      <c r="W74" s="37" t="s">
        <v>67</v>
      </c>
      <c r="X74" s="645">
        <f>IFERROR(SUM(X67:X72),"0")</f>
        <v>4</v>
      </c>
      <c r="Y74" s="645">
        <f>IFERROR(SUM(Y67:Y72),"0")</f>
        <v>10.8</v>
      </c>
      <c r="Z74" s="37"/>
      <c r="AA74" s="646"/>
      <c r="AB74" s="646"/>
      <c r="AC74" s="646"/>
    </row>
    <row r="75" spans="1:68" ht="14.25" hidden="1" customHeight="1" x14ac:dyDescent="0.25">
      <c r="A75" s="667" t="s">
        <v>74</v>
      </c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47">
        <v>4680115884311</v>
      </c>
      <c r="E76" s="648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3"/>
      <c r="R76" s="653"/>
      <c r="S76" s="653"/>
      <c r="T76" s="654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47">
        <v>4680115884403</v>
      </c>
      <c r="E77" s="648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4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3"/>
      <c r="R77" s="653"/>
      <c r="S77" s="653"/>
      <c r="T77" s="654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7"/>
      <c r="B78" s="658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9"/>
      <c r="P78" s="649" t="s">
        <v>72</v>
      </c>
      <c r="Q78" s="650"/>
      <c r="R78" s="650"/>
      <c r="S78" s="650"/>
      <c r="T78" s="650"/>
      <c r="U78" s="650"/>
      <c r="V78" s="651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58"/>
      <c r="B79" s="658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9"/>
      <c r="P79" s="649" t="s">
        <v>72</v>
      </c>
      <c r="Q79" s="650"/>
      <c r="R79" s="650"/>
      <c r="S79" s="650"/>
      <c r="T79" s="650"/>
      <c r="U79" s="650"/>
      <c r="V79" s="651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67" t="s">
        <v>168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39"/>
      <c r="AB80" s="639"/>
      <c r="AC80" s="639"/>
    </row>
    <row r="81" spans="1:68" ht="27" hidden="1" customHeight="1" x14ac:dyDescent="0.25">
      <c r="A81" s="54" t="s">
        <v>169</v>
      </c>
      <c r="B81" s="54" t="s">
        <v>170</v>
      </c>
      <c r="C81" s="31">
        <v>4301060455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3"/>
      <c r="R81" s="653"/>
      <c r="S81" s="653"/>
      <c r="T81" s="654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47">
        <v>4680115881532</v>
      </c>
      <c r="E82" s="648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9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3"/>
      <c r="R82" s="653"/>
      <c r="S82" s="653"/>
      <c r="T82" s="654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47">
        <v>4680115881464</v>
      </c>
      <c r="E83" s="648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10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57"/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9"/>
      <c r="P84" s="649" t="s">
        <v>72</v>
      </c>
      <c r="Q84" s="650"/>
      <c r="R84" s="650"/>
      <c r="S84" s="650"/>
      <c r="T84" s="650"/>
      <c r="U84" s="650"/>
      <c r="V84" s="651"/>
      <c r="W84" s="37" t="s">
        <v>73</v>
      </c>
      <c r="X84" s="645">
        <f>IFERROR(X81/H81,"0")+IFERROR(X82/H82,"0")+IFERROR(X83/H83,"0")</f>
        <v>0</v>
      </c>
      <c r="Y84" s="645">
        <f>IFERROR(Y81/H81,"0")+IFERROR(Y82/H82,"0")+IFERROR(Y83/H83,"0")</f>
        <v>0</v>
      </c>
      <c r="Z84" s="645">
        <f>IFERROR(IF(Z81="",0,Z81),"0")+IFERROR(IF(Z82="",0,Z82),"0")+IFERROR(IF(Z83="",0,Z83),"0")</f>
        <v>0</v>
      </c>
      <c r="AA84" s="646"/>
      <c r="AB84" s="646"/>
      <c r="AC84" s="646"/>
    </row>
    <row r="85" spans="1:68" hidden="1" x14ac:dyDescent="0.2">
      <c r="A85" s="658"/>
      <c r="B85" s="658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9"/>
      <c r="P85" s="649" t="s">
        <v>72</v>
      </c>
      <c r="Q85" s="650"/>
      <c r="R85" s="650"/>
      <c r="S85" s="650"/>
      <c r="T85" s="650"/>
      <c r="U85" s="650"/>
      <c r="V85" s="651"/>
      <c r="W85" s="37" t="s">
        <v>67</v>
      </c>
      <c r="X85" s="645">
        <f>IFERROR(SUM(X81:X83),"0")</f>
        <v>0</v>
      </c>
      <c r="Y85" s="645">
        <f>IFERROR(SUM(Y81:Y83),"0")</f>
        <v>0</v>
      </c>
      <c r="Z85" s="37"/>
      <c r="AA85" s="646"/>
      <c r="AB85" s="646"/>
      <c r="AC85" s="646"/>
    </row>
    <row r="86" spans="1:68" ht="16.5" hidden="1" customHeight="1" x14ac:dyDescent="0.25">
      <c r="A86" s="673" t="s">
        <v>176</v>
      </c>
      <c r="B86" s="658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38"/>
      <c r="AB86" s="638"/>
      <c r="AC86" s="638"/>
    </row>
    <row r="87" spans="1:68" ht="14.25" hidden="1" customHeight="1" x14ac:dyDescent="0.25">
      <c r="A87" s="667" t="s">
        <v>111</v>
      </c>
      <c r="B87" s="658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39"/>
      <c r="AB87" s="639"/>
      <c r="AC87" s="639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47">
        <v>4680115881327</v>
      </c>
      <c r="E88" s="648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4301012392</v>
      </c>
      <c r="D89" s="647">
        <v>4680115887732</v>
      </c>
      <c r="E89" s="648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47">
        <v>4680115881518</v>
      </c>
      <c r="E91" s="648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3"/>
      <c r="R91" s="653"/>
      <c r="S91" s="653"/>
      <c r="T91" s="654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47">
        <v>4680115881303</v>
      </c>
      <c r="E92" s="648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3"/>
      <c r="R92" s="653"/>
      <c r="S92" s="653"/>
      <c r="T92" s="654"/>
      <c r="U92" s="34"/>
      <c r="V92" s="34"/>
      <c r="W92" s="35" t="s">
        <v>67</v>
      </c>
      <c r="X92" s="643">
        <v>80</v>
      </c>
      <c r="Y92" s="644">
        <f>IFERROR(IF(X92="",0,CEILING((X92/$H92),1)*$H92),"")</f>
        <v>81</v>
      </c>
      <c r="Z92" s="36">
        <f>IFERROR(IF(Y92=0,"",ROUNDUP(Y92/H92,0)*0.00902),"")</f>
        <v>0.16236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83.377777777777794</v>
      </c>
      <c r="BN92" s="64">
        <f>IFERROR(Y92*I92/H92,"0")</f>
        <v>84.420000000000016</v>
      </c>
      <c r="BO92" s="64">
        <f>IFERROR(1/J92*(X92/H92),"0")</f>
        <v>0.13468013468013468</v>
      </c>
      <c r="BP92" s="64">
        <f>IFERROR(1/J92*(Y92/H92),"0")</f>
        <v>0.13636363636363635</v>
      </c>
    </row>
    <row r="93" spans="1:68" x14ac:dyDescent="0.2">
      <c r="A93" s="657"/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9"/>
      <c r="P93" s="649" t="s">
        <v>72</v>
      </c>
      <c r="Q93" s="650"/>
      <c r="R93" s="650"/>
      <c r="S93" s="650"/>
      <c r="T93" s="650"/>
      <c r="U93" s="650"/>
      <c r="V93" s="651"/>
      <c r="W93" s="37" t="s">
        <v>73</v>
      </c>
      <c r="X93" s="645">
        <f>IFERROR(X88/H88,"0")+IFERROR(X89/H89,"0")+IFERROR(X90/H90,"0")+IFERROR(X91/H91,"0")+IFERROR(X92/H92,"0")</f>
        <v>17.777777777777779</v>
      </c>
      <c r="Y93" s="645">
        <f>IFERROR(Y88/H88,"0")+IFERROR(Y89/H89,"0")+IFERROR(Y90/H90,"0")+IFERROR(Y91/H91,"0")+IFERROR(Y92/H92,"0")</f>
        <v>18</v>
      </c>
      <c r="Z93" s="645">
        <f>IFERROR(IF(Z88="",0,Z88),"0")+IFERROR(IF(Z89="",0,Z89),"0")+IFERROR(IF(Z90="",0,Z90),"0")+IFERROR(IF(Z91="",0,Z91),"0")+IFERROR(IF(Z92="",0,Z92),"0")</f>
        <v>0.16236</v>
      </c>
      <c r="AA93" s="646"/>
      <c r="AB93" s="646"/>
      <c r="AC93" s="646"/>
    </row>
    <row r="94" spans="1:68" x14ac:dyDescent="0.2">
      <c r="A94" s="658"/>
      <c r="B94" s="658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9"/>
      <c r="P94" s="649" t="s">
        <v>72</v>
      </c>
      <c r="Q94" s="650"/>
      <c r="R94" s="650"/>
      <c r="S94" s="650"/>
      <c r="T94" s="650"/>
      <c r="U94" s="650"/>
      <c r="V94" s="651"/>
      <c r="W94" s="37" t="s">
        <v>67</v>
      </c>
      <c r="X94" s="645">
        <f>IFERROR(SUM(X88:X92),"0")</f>
        <v>80</v>
      </c>
      <c r="Y94" s="645">
        <f>IFERROR(SUM(Y88:Y92),"0")</f>
        <v>81</v>
      </c>
      <c r="Z94" s="37"/>
      <c r="AA94" s="646"/>
      <c r="AB94" s="646"/>
      <c r="AC94" s="646"/>
    </row>
    <row r="95" spans="1:68" ht="14.25" hidden="1" customHeight="1" x14ac:dyDescent="0.25">
      <c r="A95" s="667" t="s">
        <v>74</v>
      </c>
      <c r="B95" s="658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39"/>
      <c r="AB95" s="639"/>
      <c r="AC95" s="639"/>
    </row>
    <row r="96" spans="1:68" ht="27" customHeight="1" x14ac:dyDescent="0.25">
      <c r="A96" s="54" t="s">
        <v>188</v>
      </c>
      <c r="B96" s="54" t="s">
        <v>189</v>
      </c>
      <c r="C96" s="31">
        <v>4301052101</v>
      </c>
      <c r="D96" s="647">
        <v>4607091386967</v>
      </c>
      <c r="E96" s="648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3"/>
      <c r="R96" s="653"/>
      <c r="S96" s="653"/>
      <c r="T96" s="654"/>
      <c r="U96" s="34"/>
      <c r="V96" s="34"/>
      <c r="W96" s="35" t="s">
        <v>67</v>
      </c>
      <c r="X96" s="643">
        <v>502</v>
      </c>
      <c r="Y96" s="644">
        <f>IFERROR(IF(X96="",0,CEILING((X96/$H96),1)*$H96),"")</f>
        <v>502.2</v>
      </c>
      <c r="Z96" s="36">
        <f>IFERROR(IF(Y96=0,"",ROUNDUP(Y96/H96,0)*0.01898),"")</f>
        <v>1.17676</v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532.61580246913582</v>
      </c>
      <c r="BN96" s="64">
        <f>IFERROR(Y96*I96/H96,"0")</f>
        <v>532.82799999999997</v>
      </c>
      <c r="BO96" s="64">
        <f>IFERROR(1/J96*(X96/H96),"0")</f>
        <v>0.96836419753086422</v>
      </c>
      <c r="BP96" s="64">
        <f>IFERROR(1/J96*(Y96/H96),"0")</f>
        <v>0.96875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47">
        <v>4680115884953</v>
      </c>
      <c r="E97" s="648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3"/>
      <c r="R97" s="653"/>
      <c r="S97" s="653"/>
      <c r="T97" s="654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194</v>
      </c>
      <c r="B98" s="54" t="s">
        <v>195</v>
      </c>
      <c r="C98" s="31">
        <v>4301052094</v>
      </c>
      <c r="D98" s="647">
        <v>4607091385731</v>
      </c>
      <c r="E98" s="648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0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3"/>
      <c r="R98" s="653"/>
      <c r="S98" s="653"/>
      <c r="T98" s="654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47">
        <v>4680115880894</v>
      </c>
      <c r="E99" s="648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9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3"/>
      <c r="R99" s="653"/>
      <c r="S99" s="653"/>
      <c r="T99" s="654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7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649" t="s">
        <v>72</v>
      </c>
      <c r="Q100" s="650"/>
      <c r="R100" s="650"/>
      <c r="S100" s="650"/>
      <c r="T100" s="650"/>
      <c r="U100" s="650"/>
      <c r="V100" s="651"/>
      <c r="W100" s="37" t="s">
        <v>73</v>
      </c>
      <c r="X100" s="645">
        <f>IFERROR(X96/H96,"0")+IFERROR(X97/H97,"0")+IFERROR(X98/H98,"0")+IFERROR(X99/H99,"0")</f>
        <v>61.97530864197531</v>
      </c>
      <c r="Y100" s="645">
        <f>IFERROR(Y96/H96,"0")+IFERROR(Y97/H97,"0")+IFERROR(Y98/H98,"0")+IFERROR(Y99/H99,"0")</f>
        <v>62</v>
      </c>
      <c r="Z100" s="645">
        <f>IFERROR(IF(Z96="",0,Z96),"0")+IFERROR(IF(Z97="",0,Z97),"0")+IFERROR(IF(Z98="",0,Z98),"0")+IFERROR(IF(Z99="",0,Z99),"0")</f>
        <v>1.17676</v>
      </c>
      <c r="AA100" s="646"/>
      <c r="AB100" s="646"/>
      <c r="AC100" s="646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9"/>
      <c r="P101" s="649" t="s">
        <v>72</v>
      </c>
      <c r="Q101" s="650"/>
      <c r="R101" s="650"/>
      <c r="S101" s="650"/>
      <c r="T101" s="650"/>
      <c r="U101" s="650"/>
      <c r="V101" s="651"/>
      <c r="W101" s="37" t="s">
        <v>67</v>
      </c>
      <c r="X101" s="645">
        <f>IFERROR(SUM(X96:X99),"0")</f>
        <v>502</v>
      </c>
      <c r="Y101" s="645">
        <f>IFERROR(SUM(Y96:Y99),"0")</f>
        <v>502.2</v>
      </c>
      <c r="Z101" s="37"/>
      <c r="AA101" s="646"/>
      <c r="AB101" s="646"/>
      <c r="AC101" s="646"/>
    </row>
    <row r="102" spans="1:68" ht="16.5" hidden="1" customHeight="1" x14ac:dyDescent="0.25">
      <c r="A102" s="673" t="s">
        <v>199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38"/>
      <c r="AB102" s="638"/>
      <c r="AC102" s="638"/>
    </row>
    <row r="103" spans="1:68" ht="14.25" hidden="1" customHeight="1" x14ac:dyDescent="0.25">
      <c r="A103" s="66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3"/>
      <c r="R104" s="653"/>
      <c r="S104" s="653"/>
      <c r="T104" s="654"/>
      <c r="U104" s="34"/>
      <c r="V104" s="34"/>
      <c r="W104" s="35" t="s">
        <v>67</v>
      </c>
      <c r="X104" s="643">
        <v>17</v>
      </c>
      <c r="Y104" s="644">
        <f t="shared" ref="Y104:Y112" si="10">IFERROR(IF(X104="",0,CEILING((X104/$H104),1)*$H104),"")</f>
        <v>21.6</v>
      </c>
      <c r="Z104" s="36">
        <f>IFERROR(IF(Y104=0,"",ROUNDUP(Y104/H104,0)*0.01898),"")</f>
        <v>3.7960000000000001E-2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17.645370370370372</v>
      </c>
      <c r="BN104" s="64">
        <f t="shared" ref="BN104:BN112" si="12">IFERROR(Y104*I104/H104,"0")</f>
        <v>22.42</v>
      </c>
      <c r="BO104" s="64">
        <f t="shared" ref="BO104:BO112" si="13">IFERROR(1/J104*(X104/H104),"0")</f>
        <v>2.4594907407407406E-2</v>
      </c>
      <c r="BP104" s="64">
        <f t="shared" ref="BP104:BP112" si="14">IFERROR(1/J104*(Y104/H104),"0")</f>
        <v>3.125E-2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47">
        <v>4680115882133</v>
      </c>
      <c r="E105" s="648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94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3"/>
      <c r="R105" s="653"/>
      <c r="S105" s="653"/>
      <c r="T105" s="654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47">
        <v>4680115887718</v>
      </c>
      <c r="E106" s="648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3"/>
      <c r="R106" s="653"/>
      <c r="S106" s="653"/>
      <c r="T106" s="654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3"/>
      <c r="R107" s="653"/>
      <c r="S107" s="653"/>
      <c r="T107" s="654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47">
        <v>4680115880269</v>
      </c>
      <c r="E108" s="648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3"/>
      <c r="R108" s="653"/>
      <c r="S108" s="653"/>
      <c r="T108" s="654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211</v>
      </c>
      <c r="B109" s="54" t="s">
        <v>212</v>
      </c>
      <c r="C109" s="31">
        <v>4301012254</v>
      </c>
      <c r="D109" s="647">
        <v>4680115880429</v>
      </c>
      <c r="E109" s="648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3"/>
      <c r="R109" s="653"/>
      <c r="S109" s="653"/>
      <c r="T109" s="654"/>
      <c r="U109" s="34"/>
      <c r="V109" s="34"/>
      <c r="W109" s="35" t="s">
        <v>67</v>
      </c>
      <c r="X109" s="643">
        <v>107</v>
      </c>
      <c r="Y109" s="644">
        <f t="shared" si="10"/>
        <v>108</v>
      </c>
      <c r="Z109" s="36">
        <f>IFERROR(IF(Y109=0,"",ROUNDUP(Y109/H109,0)*0.00902),"")</f>
        <v>0.21648000000000001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111.51777777777778</v>
      </c>
      <c r="BN109" s="64">
        <f t="shared" si="12"/>
        <v>112.56</v>
      </c>
      <c r="BO109" s="64">
        <f t="shared" si="13"/>
        <v>0.18013468013468015</v>
      </c>
      <c r="BP109" s="64">
        <f t="shared" si="14"/>
        <v>0.18181818181818182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3"/>
      <c r="R110" s="653"/>
      <c r="S110" s="653"/>
      <c r="T110" s="654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47">
        <v>4680115881457</v>
      </c>
      <c r="E111" s="648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3"/>
      <c r="R111" s="653"/>
      <c r="S111" s="653"/>
      <c r="T111" s="654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47">
        <v>4680115889477</v>
      </c>
      <c r="E112" s="648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3"/>
      <c r="R112" s="653"/>
      <c r="S112" s="653"/>
      <c r="T112" s="654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7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9"/>
      <c r="P113" s="649" t="s">
        <v>72</v>
      </c>
      <c r="Q113" s="650"/>
      <c r="R113" s="650"/>
      <c r="S113" s="650"/>
      <c r="T113" s="650"/>
      <c r="U113" s="650"/>
      <c r="V113" s="651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25.351851851851851</v>
      </c>
      <c r="Y113" s="645">
        <f>IFERROR(Y104/H104,"0")+IFERROR(Y105/H105,"0")+IFERROR(Y106/H106,"0")+IFERROR(Y107/H107,"0")+IFERROR(Y108/H108,"0")+IFERROR(Y109/H109,"0")+IFERROR(Y110/H110,"0")+IFERROR(Y111/H111,"0")+IFERROR(Y112/H112,"0")</f>
        <v>26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0.25444</v>
      </c>
      <c r="AA113" s="646"/>
      <c r="AB113" s="646"/>
      <c r="AC113" s="646"/>
    </row>
    <row r="114" spans="1:68" x14ac:dyDescent="0.2">
      <c r="A114" s="658"/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9"/>
      <c r="P114" s="649" t="s">
        <v>72</v>
      </c>
      <c r="Q114" s="650"/>
      <c r="R114" s="650"/>
      <c r="S114" s="650"/>
      <c r="T114" s="650"/>
      <c r="U114" s="650"/>
      <c r="V114" s="651"/>
      <c r="W114" s="37" t="s">
        <v>67</v>
      </c>
      <c r="X114" s="645">
        <f>IFERROR(SUM(X104:X112),"0")</f>
        <v>124</v>
      </c>
      <c r="Y114" s="645">
        <f>IFERROR(SUM(Y104:Y112),"0")</f>
        <v>129.6</v>
      </c>
      <c r="Z114" s="37"/>
      <c r="AA114" s="646"/>
      <c r="AB114" s="646"/>
      <c r="AC114" s="646"/>
    </row>
    <row r="115" spans="1:68" ht="14.25" hidden="1" customHeight="1" x14ac:dyDescent="0.25">
      <c r="A115" s="667" t="s">
        <v>148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39"/>
      <c r="AB115" s="639"/>
      <c r="AC115" s="639"/>
    </row>
    <row r="116" spans="1:68" ht="27" customHeight="1" x14ac:dyDescent="0.25">
      <c r="A116" s="54" t="s">
        <v>219</v>
      </c>
      <c r="B116" s="54" t="s">
        <v>220</v>
      </c>
      <c r="C116" s="31">
        <v>4301020391</v>
      </c>
      <c r="D116" s="647">
        <v>4680115881488</v>
      </c>
      <c r="E116" s="648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3"/>
      <c r="R116" s="653"/>
      <c r="S116" s="653"/>
      <c r="T116" s="654"/>
      <c r="U116" s="34"/>
      <c r="V116" s="34"/>
      <c r="W116" s="35" t="s">
        <v>67</v>
      </c>
      <c r="X116" s="643">
        <v>37</v>
      </c>
      <c r="Y116" s="644">
        <f>IFERROR(IF(X116="",0,CEILING((X116/$H116),1)*$H116),"")</f>
        <v>43.2</v>
      </c>
      <c r="Z116" s="36">
        <f>IFERROR(IF(Y116=0,"",ROUNDUP(Y116/H116,0)*0.01898),"")</f>
        <v>7.5920000000000001E-2</v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38.404629629629632</v>
      </c>
      <c r="BN116" s="64">
        <f>IFERROR(Y116*I116/H116,"0")</f>
        <v>44.84</v>
      </c>
      <c r="BO116" s="64">
        <f>IFERROR(1/J116*(X116/H116),"0")</f>
        <v>5.3530092592592587E-2</v>
      </c>
      <c r="BP116" s="64">
        <f>IFERROR(1/J116*(Y116/H116),"0")</f>
        <v>6.25E-2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47">
        <v>4680115882775</v>
      </c>
      <c r="E117" s="648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3"/>
      <c r="R117" s="653"/>
      <c r="S117" s="653"/>
      <c r="T117" s="654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224</v>
      </c>
      <c r="B118" s="54" t="s">
        <v>225</v>
      </c>
      <c r="C118" s="31">
        <v>4301020392</v>
      </c>
      <c r="D118" s="647">
        <v>4680115880658</v>
      </c>
      <c r="E118" s="648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3"/>
      <c r="R118" s="653"/>
      <c r="S118" s="653"/>
      <c r="T118" s="654"/>
      <c r="U118" s="34"/>
      <c r="V118" s="34"/>
      <c r="W118" s="35" t="s">
        <v>67</v>
      </c>
      <c r="X118" s="643">
        <v>6</v>
      </c>
      <c r="Y118" s="644">
        <f>IFERROR(IF(X118="",0,CEILING((X118/$H118),1)*$H118),"")</f>
        <v>7.1999999999999993</v>
      </c>
      <c r="Z118" s="36">
        <f>IFERROR(IF(Y118=0,"",ROUNDUP(Y118/H118,0)*0.00651),"")</f>
        <v>1.9529999999999999E-2</v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6.45</v>
      </c>
      <c r="BN118" s="64">
        <f>IFERROR(Y118*I118/H118,"0")</f>
        <v>7.7399999999999993</v>
      </c>
      <c r="BO118" s="64">
        <f>IFERROR(1/J118*(X118/H118),"0")</f>
        <v>1.3736263736263738E-2</v>
      </c>
      <c r="BP118" s="64">
        <f>IFERROR(1/J118*(Y118/H118),"0")</f>
        <v>1.6483516483516484E-2</v>
      </c>
    </row>
    <row r="119" spans="1:68" x14ac:dyDescent="0.2">
      <c r="A119" s="657"/>
      <c r="B119" s="658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9"/>
      <c r="P119" s="649" t="s">
        <v>72</v>
      </c>
      <c r="Q119" s="650"/>
      <c r="R119" s="650"/>
      <c r="S119" s="650"/>
      <c r="T119" s="650"/>
      <c r="U119" s="650"/>
      <c r="V119" s="651"/>
      <c r="W119" s="37" t="s">
        <v>73</v>
      </c>
      <c r="X119" s="645">
        <f>IFERROR(X116/H116,"0")+IFERROR(X117/H117,"0")+IFERROR(X118/H118,"0")</f>
        <v>5.9259259259259256</v>
      </c>
      <c r="Y119" s="645">
        <f>IFERROR(Y116/H116,"0")+IFERROR(Y117/H117,"0")+IFERROR(Y118/H118,"0")</f>
        <v>7</v>
      </c>
      <c r="Z119" s="645">
        <f>IFERROR(IF(Z116="",0,Z116),"0")+IFERROR(IF(Z117="",0,Z117),"0")+IFERROR(IF(Z118="",0,Z118),"0")</f>
        <v>9.5450000000000007E-2</v>
      </c>
      <c r="AA119" s="646"/>
      <c r="AB119" s="646"/>
      <c r="AC119" s="646"/>
    </row>
    <row r="120" spans="1:68" x14ac:dyDescent="0.2">
      <c r="A120" s="658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9"/>
      <c r="P120" s="649" t="s">
        <v>72</v>
      </c>
      <c r="Q120" s="650"/>
      <c r="R120" s="650"/>
      <c r="S120" s="650"/>
      <c r="T120" s="650"/>
      <c r="U120" s="650"/>
      <c r="V120" s="651"/>
      <c r="W120" s="37" t="s">
        <v>67</v>
      </c>
      <c r="X120" s="645">
        <f>IFERROR(SUM(X116:X118),"0")</f>
        <v>43</v>
      </c>
      <c r="Y120" s="645">
        <f>IFERROR(SUM(Y116:Y118),"0")</f>
        <v>50.400000000000006</v>
      </c>
      <c r="Z120" s="37"/>
      <c r="AA120" s="646"/>
      <c r="AB120" s="646"/>
      <c r="AC120" s="646"/>
    </row>
    <row r="121" spans="1:68" ht="14.25" hidden="1" customHeight="1" x14ac:dyDescent="0.25">
      <c r="A121" s="667" t="s">
        <v>74</v>
      </c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39"/>
      <c r="AB121" s="639"/>
      <c r="AC121" s="639"/>
    </row>
    <row r="122" spans="1:68" ht="27" customHeight="1" x14ac:dyDescent="0.25">
      <c r="A122" s="54" t="s">
        <v>226</v>
      </c>
      <c r="B122" s="54" t="s">
        <v>227</v>
      </c>
      <c r="C122" s="31">
        <v>4301052088</v>
      </c>
      <c r="D122" s="647">
        <v>4607091385168</v>
      </c>
      <c r="E122" s="648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81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3"/>
      <c r="R122" s="653"/>
      <c r="S122" s="653"/>
      <c r="T122" s="654"/>
      <c r="U122" s="34"/>
      <c r="V122" s="34"/>
      <c r="W122" s="35" t="s">
        <v>67</v>
      </c>
      <c r="X122" s="643">
        <v>584</v>
      </c>
      <c r="Y122" s="644">
        <f>IFERROR(IF(X122="",0,CEILING((X122/$H122),1)*$H122),"")</f>
        <v>591.29999999999995</v>
      </c>
      <c r="Z122" s="36">
        <f>IFERROR(IF(Y122=0,"",ROUNDUP(Y122/H122,0)*0.01898),"")</f>
        <v>1.38554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619.18419753086425</v>
      </c>
      <c r="BN122" s="64">
        <f>IFERROR(Y122*I122/H122,"0")</f>
        <v>626.92399999999986</v>
      </c>
      <c r="BO122" s="64">
        <f>IFERROR(1/J122*(X122/H122),"0")</f>
        <v>1.1265432098765433</v>
      </c>
      <c r="BP122" s="64">
        <f>IFERROR(1/J122*(Y122/H122),"0")</f>
        <v>1.140625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47">
        <v>4607091383256</v>
      </c>
      <c r="E123" s="648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3"/>
      <c r="R123" s="653"/>
      <c r="S123" s="653"/>
      <c r="T123" s="654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231</v>
      </c>
      <c r="B124" s="54" t="s">
        <v>232</v>
      </c>
      <c r="C124" s="31">
        <v>4301052086</v>
      </c>
      <c r="D124" s="647">
        <v>4607091385748</v>
      </c>
      <c r="E124" s="648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07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3"/>
      <c r="R124" s="653"/>
      <c r="S124" s="653"/>
      <c r="T124" s="654"/>
      <c r="U124" s="34"/>
      <c r="V124" s="34"/>
      <c r="W124" s="35" t="s">
        <v>67</v>
      </c>
      <c r="X124" s="643">
        <v>0</v>
      </c>
      <c r="Y124" s="6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47">
        <v>4680115884533</v>
      </c>
      <c r="E125" s="648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928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3"/>
      <c r="R125" s="653"/>
      <c r="S125" s="653"/>
      <c r="T125" s="654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7"/>
      <c r="B126" s="658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9"/>
      <c r="P126" s="649" t="s">
        <v>72</v>
      </c>
      <c r="Q126" s="650"/>
      <c r="R126" s="650"/>
      <c r="S126" s="650"/>
      <c r="T126" s="650"/>
      <c r="U126" s="650"/>
      <c r="V126" s="651"/>
      <c r="W126" s="37" t="s">
        <v>73</v>
      </c>
      <c r="X126" s="645">
        <f>IFERROR(X122/H122,"0")+IFERROR(X123/H123,"0")+IFERROR(X124/H124,"0")+IFERROR(X125/H125,"0")</f>
        <v>72.098765432098773</v>
      </c>
      <c r="Y126" s="645">
        <f>IFERROR(Y122/H122,"0")+IFERROR(Y123/H123,"0")+IFERROR(Y124/H124,"0")+IFERROR(Y125/H125,"0")</f>
        <v>73</v>
      </c>
      <c r="Z126" s="645">
        <f>IFERROR(IF(Z122="",0,Z122),"0")+IFERROR(IF(Z123="",0,Z123),"0")+IFERROR(IF(Z124="",0,Z124),"0")+IFERROR(IF(Z125="",0,Z125),"0")</f>
        <v>1.38554</v>
      </c>
      <c r="AA126" s="646"/>
      <c r="AB126" s="646"/>
      <c r="AC126" s="646"/>
    </row>
    <row r="127" spans="1:68" x14ac:dyDescent="0.2">
      <c r="A127" s="658"/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9"/>
      <c r="P127" s="649" t="s">
        <v>72</v>
      </c>
      <c r="Q127" s="650"/>
      <c r="R127" s="650"/>
      <c r="S127" s="650"/>
      <c r="T127" s="650"/>
      <c r="U127" s="650"/>
      <c r="V127" s="651"/>
      <c r="W127" s="37" t="s">
        <v>67</v>
      </c>
      <c r="X127" s="645">
        <f>IFERROR(SUM(X122:X125),"0")</f>
        <v>584</v>
      </c>
      <c r="Y127" s="645">
        <f>IFERROR(SUM(Y122:Y125),"0")</f>
        <v>591.29999999999995</v>
      </c>
      <c r="Z127" s="37"/>
      <c r="AA127" s="646"/>
      <c r="AB127" s="646"/>
      <c r="AC127" s="646"/>
    </row>
    <row r="128" spans="1:68" ht="14.25" hidden="1" customHeight="1" x14ac:dyDescent="0.25">
      <c r="A128" s="667" t="s">
        <v>168</v>
      </c>
      <c r="B128" s="658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39"/>
      <c r="AB128" s="639"/>
      <c r="AC128" s="639"/>
    </row>
    <row r="129" spans="1:68" ht="16.5" hidden="1" customHeight="1" x14ac:dyDescent="0.25">
      <c r="A129" s="54" t="s">
        <v>236</v>
      </c>
      <c r="B129" s="54" t="s">
        <v>237</v>
      </c>
      <c r="C129" s="31">
        <v>4301060525</v>
      </c>
      <c r="D129" s="647">
        <v>4680115880238</v>
      </c>
      <c r="E129" s="648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5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3"/>
      <c r="R129" s="653"/>
      <c r="S129" s="653"/>
      <c r="T129" s="654"/>
      <c r="U129" s="34"/>
      <c r="V129" s="34"/>
      <c r="W129" s="35" t="s">
        <v>67</v>
      </c>
      <c r="X129" s="643">
        <v>0</v>
      </c>
      <c r="Y129" s="6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57"/>
      <c r="B130" s="658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9"/>
      <c r="P130" s="649" t="s">
        <v>72</v>
      </c>
      <c r="Q130" s="650"/>
      <c r="R130" s="650"/>
      <c r="S130" s="650"/>
      <c r="T130" s="650"/>
      <c r="U130" s="650"/>
      <c r="V130" s="651"/>
      <c r="W130" s="37" t="s">
        <v>73</v>
      </c>
      <c r="X130" s="645">
        <f>IFERROR(X129/H129,"0")</f>
        <v>0</v>
      </c>
      <c r="Y130" s="645">
        <f>IFERROR(Y129/H129,"0")</f>
        <v>0</v>
      </c>
      <c r="Z130" s="645">
        <f>IFERROR(IF(Z129="",0,Z129),"0")</f>
        <v>0</v>
      </c>
      <c r="AA130" s="646"/>
      <c r="AB130" s="646"/>
      <c r="AC130" s="646"/>
    </row>
    <row r="131" spans="1:68" hidden="1" x14ac:dyDescent="0.2">
      <c r="A131" s="658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9"/>
      <c r="P131" s="649" t="s">
        <v>72</v>
      </c>
      <c r="Q131" s="650"/>
      <c r="R131" s="650"/>
      <c r="S131" s="650"/>
      <c r="T131" s="650"/>
      <c r="U131" s="650"/>
      <c r="V131" s="651"/>
      <c r="W131" s="37" t="s">
        <v>67</v>
      </c>
      <c r="X131" s="645">
        <f>IFERROR(SUM(X129:X129),"0")</f>
        <v>0</v>
      </c>
      <c r="Y131" s="645">
        <f>IFERROR(SUM(Y129:Y129),"0")</f>
        <v>0</v>
      </c>
      <c r="Z131" s="37"/>
      <c r="AA131" s="646"/>
      <c r="AB131" s="646"/>
      <c r="AC131" s="646"/>
    </row>
    <row r="132" spans="1:68" ht="16.5" hidden="1" customHeight="1" x14ac:dyDescent="0.25">
      <c r="A132" s="673" t="s">
        <v>239</v>
      </c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38"/>
      <c r="AB132" s="638"/>
      <c r="AC132" s="638"/>
    </row>
    <row r="133" spans="1:68" ht="14.25" hidden="1" customHeight="1" x14ac:dyDescent="0.25">
      <c r="A133" s="667" t="s">
        <v>111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39"/>
      <c r="AB133" s="639"/>
      <c r="AC133" s="639"/>
    </row>
    <row r="134" spans="1:68" ht="27" customHeight="1" x14ac:dyDescent="0.25">
      <c r="A134" s="54" t="s">
        <v>240</v>
      </c>
      <c r="B134" s="54" t="s">
        <v>241</v>
      </c>
      <c r="C134" s="31">
        <v>4301011562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9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4"/>
      <c r="V134" s="34"/>
      <c r="W134" s="35" t="s">
        <v>67</v>
      </c>
      <c r="X134" s="643">
        <v>8</v>
      </c>
      <c r="Y134" s="644">
        <f>IFERROR(IF(X134="",0,CEILING((X134/$H134),1)*$H134),"")</f>
        <v>9.6000000000000014</v>
      </c>
      <c r="Z134" s="36">
        <f>IFERROR(IF(Y134=0,"",ROUNDUP(Y134/H134,0)*0.00651),"")</f>
        <v>1.9529999999999999E-2</v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8.4499999999999993</v>
      </c>
      <c r="BN134" s="64">
        <f>IFERROR(Y134*I134/H134,"0")</f>
        <v>10.139999999999999</v>
      </c>
      <c r="BO134" s="64">
        <f>IFERROR(1/J134*(X134/H134),"0")</f>
        <v>1.3736263736263738E-2</v>
      </c>
      <c r="BP134" s="64">
        <f>IFERROR(1/J134*(Y134/H134),"0")</f>
        <v>1.6483516483516487E-2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47">
        <v>4680115882577</v>
      </c>
      <c r="E135" s="648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7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9"/>
      <c r="P136" s="649" t="s">
        <v>72</v>
      </c>
      <c r="Q136" s="650"/>
      <c r="R136" s="650"/>
      <c r="S136" s="650"/>
      <c r="T136" s="650"/>
      <c r="U136" s="650"/>
      <c r="V136" s="651"/>
      <c r="W136" s="37" t="s">
        <v>73</v>
      </c>
      <c r="X136" s="645">
        <f>IFERROR(X134/H134,"0")+IFERROR(X135/H135,"0")</f>
        <v>2.5</v>
      </c>
      <c r="Y136" s="645">
        <f>IFERROR(Y134/H134,"0")+IFERROR(Y135/H135,"0")</f>
        <v>3.0000000000000004</v>
      </c>
      <c r="Z136" s="645">
        <f>IFERROR(IF(Z134="",0,Z134),"0")+IFERROR(IF(Z135="",0,Z135),"0")</f>
        <v>1.9529999999999999E-2</v>
      </c>
      <c r="AA136" s="646"/>
      <c r="AB136" s="646"/>
      <c r="AC136" s="646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9"/>
      <c r="P137" s="649" t="s">
        <v>72</v>
      </c>
      <c r="Q137" s="650"/>
      <c r="R137" s="650"/>
      <c r="S137" s="650"/>
      <c r="T137" s="650"/>
      <c r="U137" s="650"/>
      <c r="V137" s="651"/>
      <c r="W137" s="37" t="s">
        <v>67</v>
      </c>
      <c r="X137" s="645">
        <f>IFERROR(SUM(X134:X135),"0")</f>
        <v>8</v>
      </c>
      <c r="Y137" s="645">
        <f>IFERROR(SUM(Y134:Y135),"0")</f>
        <v>9.6000000000000014</v>
      </c>
      <c r="Z137" s="37"/>
      <c r="AA137" s="646"/>
      <c r="AB137" s="646"/>
      <c r="AC137" s="646"/>
    </row>
    <row r="138" spans="1:68" ht="14.25" hidden="1" customHeight="1" x14ac:dyDescent="0.25">
      <c r="A138" s="667" t="s">
        <v>62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39"/>
      <c r="AB138" s="639"/>
      <c r="AC138" s="639"/>
    </row>
    <row r="139" spans="1:68" ht="27" customHeight="1" x14ac:dyDescent="0.25">
      <c r="A139" s="54" t="s">
        <v>245</v>
      </c>
      <c r="B139" s="54" t="s">
        <v>246</v>
      </c>
      <c r="C139" s="31">
        <v>4301031234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9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3"/>
      <c r="R139" s="653"/>
      <c r="S139" s="653"/>
      <c r="T139" s="654"/>
      <c r="U139" s="34"/>
      <c r="V139" s="34"/>
      <c r="W139" s="35" t="s">
        <v>67</v>
      </c>
      <c r="X139" s="643">
        <v>12</v>
      </c>
      <c r="Y139" s="644">
        <f>IFERROR(IF(X139="",0,CEILING((X139/$H139),1)*$H139),"")</f>
        <v>14</v>
      </c>
      <c r="Z139" s="36">
        <f>IFERROR(IF(Y139=0,"",ROUNDUP(Y139/H139,0)*0.00651),"")</f>
        <v>3.2550000000000003E-2</v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13.148571428571429</v>
      </c>
      <c r="BN139" s="64">
        <f>IFERROR(Y139*I139/H139,"0")</f>
        <v>15.34</v>
      </c>
      <c r="BO139" s="64">
        <f>IFERROR(1/J139*(X139/H139),"0")</f>
        <v>2.3547880690737835E-2</v>
      </c>
      <c r="BP139" s="64">
        <f>IFERROR(1/J139*(Y139/H139),"0")</f>
        <v>2.7472527472527476E-2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47">
        <v>4680115883444</v>
      </c>
      <c r="E140" s="648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3"/>
      <c r="R140" s="653"/>
      <c r="S140" s="653"/>
      <c r="T140" s="654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57"/>
      <c r="B141" s="658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9"/>
      <c r="P141" s="649" t="s">
        <v>72</v>
      </c>
      <c r="Q141" s="650"/>
      <c r="R141" s="650"/>
      <c r="S141" s="650"/>
      <c r="T141" s="650"/>
      <c r="U141" s="650"/>
      <c r="V141" s="651"/>
      <c r="W141" s="37" t="s">
        <v>73</v>
      </c>
      <c r="X141" s="645">
        <f>IFERROR(X139/H139,"0")+IFERROR(X140/H140,"0")</f>
        <v>4.2857142857142856</v>
      </c>
      <c r="Y141" s="645">
        <f>IFERROR(Y139/H139,"0")+IFERROR(Y140/H140,"0")</f>
        <v>5</v>
      </c>
      <c r="Z141" s="645">
        <f>IFERROR(IF(Z139="",0,Z139),"0")+IFERROR(IF(Z140="",0,Z140),"0")</f>
        <v>3.2550000000000003E-2</v>
      </c>
      <c r="AA141" s="646"/>
      <c r="AB141" s="646"/>
      <c r="AC141" s="646"/>
    </row>
    <row r="142" spans="1:68" x14ac:dyDescent="0.2">
      <c r="A142" s="658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9"/>
      <c r="P142" s="649" t="s">
        <v>72</v>
      </c>
      <c r="Q142" s="650"/>
      <c r="R142" s="650"/>
      <c r="S142" s="650"/>
      <c r="T142" s="650"/>
      <c r="U142" s="650"/>
      <c r="V142" s="651"/>
      <c r="W142" s="37" t="s">
        <v>67</v>
      </c>
      <c r="X142" s="645">
        <f>IFERROR(SUM(X139:X140),"0")</f>
        <v>12</v>
      </c>
      <c r="Y142" s="645">
        <f>IFERROR(SUM(Y139:Y140),"0")</f>
        <v>14</v>
      </c>
      <c r="Z142" s="37"/>
      <c r="AA142" s="646"/>
      <c r="AB142" s="646"/>
      <c r="AC142" s="646"/>
    </row>
    <row r="143" spans="1:68" ht="14.25" hidden="1" customHeight="1" x14ac:dyDescent="0.25">
      <c r="A143" s="667" t="s">
        <v>74</v>
      </c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39"/>
      <c r="AB143" s="639"/>
      <c r="AC143" s="639"/>
    </row>
    <row r="144" spans="1:68" ht="16.5" customHeight="1" x14ac:dyDescent="0.25">
      <c r="A144" s="54" t="s">
        <v>249</v>
      </c>
      <c r="B144" s="54" t="s">
        <v>250</v>
      </c>
      <c r="C144" s="31">
        <v>4301051476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6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3"/>
      <c r="R144" s="653"/>
      <c r="S144" s="653"/>
      <c r="T144" s="654"/>
      <c r="U144" s="34"/>
      <c r="V144" s="34"/>
      <c r="W144" s="35" t="s">
        <v>67</v>
      </c>
      <c r="X144" s="643">
        <v>36</v>
      </c>
      <c r="Y144" s="644">
        <f>IFERROR(IF(X144="",0,CEILING((X144/$H144),1)*$H144),"")</f>
        <v>36.96</v>
      </c>
      <c r="Z144" s="36">
        <f>IFERROR(IF(Y144=0,"",ROUNDUP(Y144/H144,0)*0.00651),"")</f>
        <v>9.1139999999999999E-2</v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39.654545454545456</v>
      </c>
      <c r="BN144" s="64">
        <f>IFERROR(Y144*I144/H144,"0")</f>
        <v>40.711999999999996</v>
      </c>
      <c r="BO144" s="64">
        <f>IFERROR(1/J144*(X144/H144),"0")</f>
        <v>7.4925074925074928E-2</v>
      </c>
      <c r="BP144" s="64">
        <f>IFERROR(1/J144*(Y144/H144),"0")</f>
        <v>7.6923076923076927E-2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47">
        <v>4680115882584</v>
      </c>
      <c r="E145" s="648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6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3"/>
      <c r="R145" s="653"/>
      <c r="S145" s="653"/>
      <c r="T145" s="654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57"/>
      <c r="B146" s="658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9"/>
      <c r="P146" s="649" t="s">
        <v>72</v>
      </c>
      <c r="Q146" s="650"/>
      <c r="R146" s="650"/>
      <c r="S146" s="650"/>
      <c r="T146" s="650"/>
      <c r="U146" s="650"/>
      <c r="V146" s="651"/>
      <c r="W146" s="37" t="s">
        <v>73</v>
      </c>
      <c r="X146" s="645">
        <f>IFERROR(X144/H144,"0")+IFERROR(X145/H145,"0")</f>
        <v>13.636363636363635</v>
      </c>
      <c r="Y146" s="645">
        <f>IFERROR(Y144/H144,"0")+IFERROR(Y145/H145,"0")</f>
        <v>14</v>
      </c>
      <c r="Z146" s="645">
        <f>IFERROR(IF(Z144="",0,Z144),"0")+IFERROR(IF(Z145="",0,Z145),"0")</f>
        <v>9.1139999999999999E-2</v>
      </c>
      <c r="AA146" s="646"/>
      <c r="AB146" s="646"/>
      <c r="AC146" s="646"/>
    </row>
    <row r="147" spans="1:68" x14ac:dyDescent="0.2">
      <c r="A147" s="658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9"/>
      <c r="P147" s="649" t="s">
        <v>72</v>
      </c>
      <c r="Q147" s="650"/>
      <c r="R147" s="650"/>
      <c r="S147" s="650"/>
      <c r="T147" s="650"/>
      <c r="U147" s="650"/>
      <c r="V147" s="651"/>
      <c r="W147" s="37" t="s">
        <v>67</v>
      </c>
      <c r="X147" s="645">
        <f>IFERROR(SUM(X144:X145),"0")</f>
        <v>36</v>
      </c>
      <c r="Y147" s="645">
        <f>IFERROR(SUM(Y144:Y145),"0")</f>
        <v>36.96</v>
      </c>
      <c r="Z147" s="37"/>
      <c r="AA147" s="646"/>
      <c r="AB147" s="646"/>
      <c r="AC147" s="646"/>
    </row>
    <row r="148" spans="1:68" ht="16.5" hidden="1" customHeight="1" x14ac:dyDescent="0.25">
      <c r="A148" s="673" t="s">
        <v>252</v>
      </c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38"/>
      <c r="AB148" s="638"/>
      <c r="AC148" s="638"/>
    </row>
    <row r="149" spans="1:68" ht="14.25" hidden="1" customHeight="1" x14ac:dyDescent="0.25">
      <c r="A149" s="66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47">
        <v>4680115888203</v>
      </c>
      <c r="E150" s="648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3"/>
      <c r="R150" s="653"/>
      <c r="S150" s="653"/>
      <c r="T150" s="654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47">
        <v>4680115888180</v>
      </c>
      <c r="E151" s="648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3"/>
      <c r="R151" s="653"/>
      <c r="S151" s="653"/>
      <c r="T151" s="654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47">
        <v>4680115888180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3"/>
      <c r="R152" s="653"/>
      <c r="S152" s="653"/>
      <c r="T152" s="654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47">
        <v>4680115888197</v>
      </c>
      <c r="E153" s="648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3"/>
      <c r="R153" s="653"/>
      <c r="S153" s="653"/>
      <c r="T153" s="654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47">
        <v>4680115888210</v>
      </c>
      <c r="E154" s="648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47">
        <v>4680115888210</v>
      </c>
      <c r="E155" s="648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3"/>
      <c r="R155" s="653"/>
      <c r="S155" s="653"/>
      <c r="T155" s="654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7"/>
      <c r="B156" s="658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9"/>
      <c r="P156" s="649" t="s">
        <v>72</v>
      </c>
      <c r="Q156" s="650"/>
      <c r="R156" s="650"/>
      <c r="S156" s="650"/>
      <c r="T156" s="650"/>
      <c r="U156" s="650"/>
      <c r="V156" s="651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58"/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9"/>
      <c r="P157" s="649" t="s">
        <v>72</v>
      </c>
      <c r="Q157" s="650"/>
      <c r="R157" s="650"/>
      <c r="S157" s="650"/>
      <c r="T157" s="650"/>
      <c r="U157" s="650"/>
      <c r="V157" s="651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67" t="s">
        <v>267</v>
      </c>
      <c r="B158" s="658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47">
        <v>4680115889132</v>
      </c>
      <c r="E159" s="648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3"/>
      <c r="R159" s="653"/>
      <c r="S159" s="653"/>
      <c r="T159" s="654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7"/>
      <c r="B160" s="658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9"/>
      <c r="P160" s="649" t="s">
        <v>72</v>
      </c>
      <c r="Q160" s="650"/>
      <c r="R160" s="650"/>
      <c r="S160" s="650"/>
      <c r="T160" s="650"/>
      <c r="U160" s="650"/>
      <c r="V160" s="651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58"/>
      <c r="B161" s="658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9"/>
      <c r="P161" s="649" t="s">
        <v>72</v>
      </c>
      <c r="Q161" s="650"/>
      <c r="R161" s="650"/>
      <c r="S161" s="650"/>
      <c r="T161" s="650"/>
      <c r="U161" s="650"/>
      <c r="V161" s="651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673" t="s">
        <v>109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38"/>
      <c r="AB162" s="638"/>
      <c r="AC162" s="638"/>
    </row>
    <row r="163" spans="1:68" ht="14.25" hidden="1" customHeight="1" x14ac:dyDescent="0.25">
      <c r="A163" s="667" t="s">
        <v>111</v>
      </c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39"/>
      <c r="AB163" s="639"/>
      <c r="AC163" s="639"/>
    </row>
    <row r="164" spans="1:68" ht="27" hidden="1" customHeight="1" x14ac:dyDescent="0.25">
      <c r="A164" s="54" t="s">
        <v>274</v>
      </c>
      <c r="B164" s="54" t="s">
        <v>275</v>
      </c>
      <c r="C164" s="31">
        <v>4301012338</v>
      </c>
      <c r="D164" s="647">
        <v>4680115887374</v>
      </c>
      <c r="E164" s="648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3"/>
      <c r="R164" s="653"/>
      <c r="S164" s="653"/>
      <c r="T164" s="654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3"/>
      <c r="R165" s="653"/>
      <c r="S165" s="653"/>
      <c r="T165" s="654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47">
        <v>4607091384604</v>
      </c>
      <c r="E166" s="648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96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3"/>
      <c r="R166" s="653"/>
      <c r="S166" s="653"/>
      <c r="T166" s="654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47">
        <v>4680115888876</v>
      </c>
      <c r="E167" s="648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7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3"/>
      <c r="R167" s="653"/>
      <c r="S167" s="653"/>
      <c r="T167" s="654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7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9"/>
      <c r="P168" s="649" t="s">
        <v>72</v>
      </c>
      <c r="Q168" s="650"/>
      <c r="R168" s="650"/>
      <c r="S168" s="650"/>
      <c r="T168" s="650"/>
      <c r="U168" s="650"/>
      <c r="V168" s="651"/>
      <c r="W168" s="37" t="s">
        <v>73</v>
      </c>
      <c r="X168" s="645">
        <f>IFERROR(X164/H164,"0")+IFERROR(X165/H165,"0")+IFERROR(X166/H166,"0")+IFERROR(X167/H167,"0")</f>
        <v>0</v>
      </c>
      <c r="Y168" s="645">
        <f>IFERROR(Y164/H164,"0")+IFERROR(Y165/H165,"0")+IFERROR(Y166/H166,"0")+IFERROR(Y167/H167,"0")</f>
        <v>0</v>
      </c>
      <c r="Z168" s="645">
        <f>IFERROR(IF(Z164="",0,Z164),"0")+IFERROR(IF(Z165="",0,Z165),"0")+IFERROR(IF(Z166="",0,Z166),"0")+IFERROR(IF(Z167="",0,Z167),"0")</f>
        <v>0</v>
      </c>
      <c r="AA168" s="646"/>
      <c r="AB168" s="646"/>
      <c r="AC168" s="646"/>
    </row>
    <row r="169" spans="1:68" hidden="1" x14ac:dyDescent="0.2">
      <c r="A169" s="658"/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9"/>
      <c r="P169" s="649" t="s">
        <v>72</v>
      </c>
      <c r="Q169" s="650"/>
      <c r="R169" s="650"/>
      <c r="S169" s="650"/>
      <c r="T169" s="650"/>
      <c r="U169" s="650"/>
      <c r="V169" s="651"/>
      <c r="W169" s="37" t="s">
        <v>67</v>
      </c>
      <c r="X169" s="645">
        <f>IFERROR(SUM(X164:X167),"0")</f>
        <v>0</v>
      </c>
      <c r="Y169" s="645">
        <f>IFERROR(SUM(Y164:Y167),"0")</f>
        <v>0</v>
      </c>
      <c r="Z169" s="37"/>
      <c r="AA169" s="646"/>
      <c r="AB169" s="646"/>
      <c r="AC169" s="646"/>
    </row>
    <row r="170" spans="1:68" ht="14.25" hidden="1" customHeight="1" x14ac:dyDescent="0.25">
      <c r="A170" s="667" t="s">
        <v>148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47">
        <v>4680115887695</v>
      </c>
      <c r="E171" s="648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7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3"/>
      <c r="R171" s="653"/>
      <c r="S171" s="653"/>
      <c r="T171" s="654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47">
        <v>4680115889491</v>
      </c>
      <c r="E172" s="648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6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3"/>
      <c r="R172" s="653"/>
      <c r="S172" s="653"/>
      <c r="T172" s="654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7"/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9"/>
      <c r="P173" s="649" t="s">
        <v>72</v>
      </c>
      <c r="Q173" s="650"/>
      <c r="R173" s="650"/>
      <c r="S173" s="650"/>
      <c r="T173" s="650"/>
      <c r="U173" s="650"/>
      <c r="V173" s="651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58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9"/>
      <c r="P174" s="649" t="s">
        <v>72</v>
      </c>
      <c r="Q174" s="650"/>
      <c r="R174" s="650"/>
      <c r="S174" s="650"/>
      <c r="T174" s="650"/>
      <c r="U174" s="650"/>
      <c r="V174" s="651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67" t="s">
        <v>62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39"/>
      <c r="AB175" s="639"/>
      <c r="AC175" s="639"/>
    </row>
    <row r="176" spans="1:68" ht="27" customHeight="1" x14ac:dyDescent="0.25">
      <c r="A176" s="54" t="s">
        <v>290</v>
      </c>
      <c r="B176" s="54" t="s">
        <v>291</v>
      </c>
      <c r="C176" s="31">
        <v>4301031496</v>
      </c>
      <c r="D176" s="647">
        <v>4680115887428</v>
      </c>
      <c r="E176" s="648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9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3"/>
      <c r="R176" s="653"/>
      <c r="S176" s="653"/>
      <c r="T176" s="654"/>
      <c r="U176" s="34"/>
      <c r="V176" s="34"/>
      <c r="W176" s="35" t="s">
        <v>67</v>
      </c>
      <c r="X176" s="643">
        <v>85</v>
      </c>
      <c r="Y176" s="644">
        <f t="shared" ref="Y176:Y186" si="21">IFERROR(IF(X176="",0,CEILING((X176/$H176),1)*$H176),"")</f>
        <v>87.5</v>
      </c>
      <c r="Z176" s="36">
        <f>IFERROR(IF(Y176=0,"",ROUNDUP(Y176/H176,0)*0.00902),"")</f>
        <v>0.22550000000000001</v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89.614285714285714</v>
      </c>
      <c r="BN176" s="64">
        <f t="shared" ref="BN176:BN186" si="23">IFERROR(Y176*I176/H176,"0")</f>
        <v>92.25</v>
      </c>
      <c r="BO176" s="64">
        <f t="shared" ref="BO176:BO186" si="24">IFERROR(1/J176*(X176/H176),"0")</f>
        <v>0.18398268398268397</v>
      </c>
      <c r="BP176" s="64">
        <f t="shared" ref="BP176:BP186" si="25">IFERROR(1/J176*(Y176/H176),"0")</f>
        <v>0.18939393939393939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47">
        <v>4680115889170</v>
      </c>
      <c r="E177" s="648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3"/>
      <c r="R177" s="653"/>
      <c r="S177" s="653"/>
      <c r="T177" s="654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296</v>
      </c>
      <c r="B178" s="54" t="s">
        <v>297</v>
      </c>
      <c r="C178" s="31">
        <v>4301031522</v>
      </c>
      <c r="D178" s="647">
        <v>4680115887398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4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3"/>
      <c r="R178" s="653"/>
      <c r="S178" s="653"/>
      <c r="T178" s="654"/>
      <c r="U178" s="34"/>
      <c r="V178" s="34"/>
      <c r="W178" s="35" t="s">
        <v>67</v>
      </c>
      <c r="X178" s="643">
        <v>255</v>
      </c>
      <c r="Y178" s="644">
        <f t="shared" si="21"/>
        <v>255.5</v>
      </c>
      <c r="Z178" s="36">
        <f>IFERROR(IF(Y178=0,"",ROUNDUP(Y178/H178,0)*0.00902),"")</f>
        <v>0.65846000000000005</v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268.8428571428571</v>
      </c>
      <c r="BN178" s="64">
        <f t="shared" si="23"/>
        <v>269.37</v>
      </c>
      <c r="BO178" s="64">
        <f t="shared" si="24"/>
        <v>0.55194805194805197</v>
      </c>
      <c r="BP178" s="64">
        <f t="shared" si="25"/>
        <v>0.55303030303030309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47">
        <v>4680115887336</v>
      </c>
      <c r="E179" s="648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3"/>
      <c r="R179" s="653"/>
      <c r="S179" s="653"/>
      <c r="T179" s="654"/>
      <c r="U179" s="34"/>
      <c r="V179" s="34"/>
      <c r="W179" s="35" t="s">
        <v>67</v>
      </c>
      <c r="X179" s="643">
        <v>170</v>
      </c>
      <c r="Y179" s="644">
        <f t="shared" si="21"/>
        <v>171.5</v>
      </c>
      <c r="Z179" s="36">
        <f>IFERROR(IF(Y179=0,"",ROUNDUP(Y179/H179,0)*0.00902),"")</f>
        <v>0.44198000000000004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179.22857142857143</v>
      </c>
      <c r="BN179" s="64">
        <f t="shared" si="23"/>
        <v>180.81</v>
      </c>
      <c r="BO179" s="64">
        <f t="shared" si="24"/>
        <v>0.36796536796536794</v>
      </c>
      <c r="BP179" s="64">
        <f t="shared" si="25"/>
        <v>0.37121212121212122</v>
      </c>
    </row>
    <row r="180" spans="1:68" ht="16.5" hidden="1" customHeight="1" x14ac:dyDescent="0.25">
      <c r="A180" s="54" t="s">
        <v>302</v>
      </c>
      <c r="B180" s="54" t="s">
        <v>303</v>
      </c>
      <c r="C180" s="31">
        <v>4301032049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7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3"/>
      <c r="R180" s="653"/>
      <c r="S180" s="653"/>
      <c r="T180" s="654"/>
      <c r="U180" s="34"/>
      <c r="V180" s="34"/>
      <c r="W180" s="35" t="s">
        <v>67</v>
      </c>
      <c r="X180" s="643">
        <v>0</v>
      </c>
      <c r="Y180" s="644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47">
        <v>4680115887787</v>
      </c>
      <c r="E181" s="648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47">
        <v>4680115887503</v>
      </c>
      <c r="E182" s="648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4"/>
      <c r="V182" s="34"/>
      <c r="W182" s="35" t="s">
        <v>67</v>
      </c>
      <c r="X182" s="643">
        <v>48</v>
      </c>
      <c r="Y182" s="644">
        <f t="shared" si="21"/>
        <v>48.72</v>
      </c>
      <c r="Z182" s="36">
        <f>IFERROR(IF(Y182=0,"",ROUNDUP(Y182/H182,0)*0.00502),"")</f>
        <v>0.14558000000000001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50.857142857142861</v>
      </c>
      <c r="BN182" s="64">
        <f t="shared" si="23"/>
        <v>51.62</v>
      </c>
      <c r="BO182" s="64">
        <f t="shared" si="24"/>
        <v>0.12210012210012212</v>
      </c>
      <c r="BP182" s="64">
        <f t="shared" si="25"/>
        <v>0.12393162393162395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4301031389</v>
      </c>
      <c r="D183" s="647">
        <v>4680115887763</v>
      </c>
      <c r="E183" s="648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4"/>
      <c r="V183" s="34"/>
      <c r="W183" s="35" t="s">
        <v>67</v>
      </c>
      <c r="X183" s="643">
        <v>0</v>
      </c>
      <c r="Y183" s="644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4301031521</v>
      </c>
      <c r="D184" s="647">
        <v>4680115887480</v>
      </c>
      <c r="E184" s="648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3"/>
      <c r="R184" s="653"/>
      <c r="S184" s="653"/>
      <c r="T184" s="654"/>
      <c r="U184" s="34"/>
      <c r="V184" s="34"/>
      <c r="W184" s="35" t="s">
        <v>67</v>
      </c>
      <c r="X184" s="643">
        <v>0</v>
      </c>
      <c r="Y184" s="644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313</v>
      </c>
      <c r="B185" s="54" t="s">
        <v>314</v>
      </c>
      <c r="C185" s="31">
        <v>4301031434</v>
      </c>
      <c r="D185" s="647">
        <v>4680115888067</v>
      </c>
      <c r="E185" s="648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3"/>
      <c r="R185" s="653"/>
      <c r="S185" s="653"/>
      <c r="T185" s="654"/>
      <c r="U185" s="34"/>
      <c r="V185" s="34"/>
      <c r="W185" s="35" t="s">
        <v>67</v>
      </c>
      <c r="X185" s="643">
        <v>0</v>
      </c>
      <c r="Y185" s="644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47">
        <v>4680115887435</v>
      </c>
      <c r="E186" s="648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3"/>
      <c r="R186" s="653"/>
      <c r="S186" s="653"/>
      <c r="T186" s="654"/>
      <c r="U186" s="34"/>
      <c r="V186" s="34"/>
      <c r="W186" s="35" t="s">
        <v>67</v>
      </c>
      <c r="X186" s="643">
        <v>95</v>
      </c>
      <c r="Y186" s="644">
        <f t="shared" si="21"/>
        <v>95.759999999999991</v>
      </c>
      <c r="Z186" s="36">
        <f>IFERROR(IF(Y186=0,"",ROUNDUP(Y186/H186,0)*0.00502),"")</f>
        <v>0.28614000000000001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100.6547619047619</v>
      </c>
      <c r="BN186" s="64">
        <f t="shared" si="23"/>
        <v>101.46000000000001</v>
      </c>
      <c r="BO186" s="64">
        <f t="shared" si="24"/>
        <v>0.2416564916564917</v>
      </c>
      <c r="BP186" s="64">
        <f t="shared" si="25"/>
        <v>0.24358974358974361</v>
      </c>
    </row>
    <row r="187" spans="1:68" x14ac:dyDescent="0.2">
      <c r="A187" s="657"/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9"/>
      <c r="P187" s="649" t="s">
        <v>72</v>
      </c>
      <c r="Q187" s="650"/>
      <c r="R187" s="650"/>
      <c r="S187" s="650"/>
      <c r="T187" s="650"/>
      <c r="U187" s="650"/>
      <c r="V187" s="651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230.83333333333337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233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1.7576600000000002</v>
      </c>
      <c r="AA187" s="646"/>
      <c r="AB187" s="646"/>
      <c r="AC187" s="646"/>
    </row>
    <row r="188" spans="1:68" x14ac:dyDescent="0.2">
      <c r="A188" s="658"/>
      <c r="B188" s="658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9"/>
      <c r="P188" s="649" t="s">
        <v>72</v>
      </c>
      <c r="Q188" s="650"/>
      <c r="R188" s="650"/>
      <c r="S188" s="650"/>
      <c r="T188" s="650"/>
      <c r="U188" s="650"/>
      <c r="V188" s="651"/>
      <c r="W188" s="37" t="s">
        <v>67</v>
      </c>
      <c r="X188" s="645">
        <f>IFERROR(SUM(X176:X186),"0")</f>
        <v>653</v>
      </c>
      <c r="Y188" s="645">
        <f>IFERROR(SUM(Y176:Y186),"0")</f>
        <v>658.98</v>
      </c>
      <c r="Z188" s="37"/>
      <c r="AA188" s="646"/>
      <c r="AB188" s="646"/>
      <c r="AC188" s="646"/>
    </row>
    <row r="189" spans="1:68" ht="14.25" hidden="1" customHeight="1" x14ac:dyDescent="0.25">
      <c r="A189" s="667" t="s">
        <v>74</v>
      </c>
      <c r="B189" s="658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47">
        <v>4680115888395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3"/>
      <c r="R190" s="653"/>
      <c r="S190" s="653"/>
      <c r="T190" s="654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47">
        <v>4680115888371</v>
      </c>
      <c r="E191" s="648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3"/>
      <c r="R191" s="653"/>
      <c r="S191" s="653"/>
      <c r="T191" s="654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4301052064</v>
      </c>
      <c r="D192" s="647">
        <v>4680115887459</v>
      </c>
      <c r="E192" s="648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75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3"/>
      <c r="R192" s="653"/>
      <c r="S192" s="653"/>
      <c r="T192" s="654"/>
      <c r="U192" s="34"/>
      <c r="V192" s="34"/>
      <c r="W192" s="35" t="s">
        <v>67</v>
      </c>
      <c r="X192" s="643">
        <v>0</v>
      </c>
      <c r="Y192" s="6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7"/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9"/>
      <c r="P193" s="649" t="s">
        <v>72</v>
      </c>
      <c r="Q193" s="650"/>
      <c r="R193" s="650"/>
      <c r="S193" s="650"/>
      <c r="T193" s="650"/>
      <c r="U193" s="650"/>
      <c r="V193" s="651"/>
      <c r="W193" s="37" t="s">
        <v>73</v>
      </c>
      <c r="X193" s="645">
        <f>IFERROR(X190/H190,"0")+IFERROR(X191/H191,"0")+IFERROR(X192/H192,"0")</f>
        <v>0</v>
      </c>
      <c r="Y193" s="645">
        <f>IFERROR(Y190/H190,"0")+IFERROR(Y191/H191,"0")+IFERROR(Y192/H192,"0")</f>
        <v>0</v>
      </c>
      <c r="Z193" s="645">
        <f>IFERROR(IF(Z190="",0,Z190),"0")+IFERROR(IF(Z191="",0,Z191),"0")+IFERROR(IF(Z192="",0,Z192),"0")</f>
        <v>0</v>
      </c>
      <c r="AA193" s="646"/>
      <c r="AB193" s="646"/>
      <c r="AC193" s="646"/>
    </row>
    <row r="194" spans="1:68" hidden="1" x14ac:dyDescent="0.2">
      <c r="A194" s="658"/>
      <c r="B194" s="658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9"/>
      <c r="P194" s="649" t="s">
        <v>72</v>
      </c>
      <c r="Q194" s="650"/>
      <c r="R194" s="650"/>
      <c r="S194" s="650"/>
      <c r="T194" s="650"/>
      <c r="U194" s="650"/>
      <c r="V194" s="651"/>
      <c r="W194" s="37" t="s">
        <v>67</v>
      </c>
      <c r="X194" s="645">
        <f>IFERROR(SUM(X190:X192),"0")</f>
        <v>0</v>
      </c>
      <c r="Y194" s="645">
        <f>IFERROR(SUM(Y190:Y192),"0")</f>
        <v>0</v>
      </c>
      <c r="Z194" s="37"/>
      <c r="AA194" s="646"/>
      <c r="AB194" s="646"/>
      <c r="AC194" s="646"/>
    </row>
    <row r="195" spans="1:68" ht="14.25" hidden="1" customHeight="1" x14ac:dyDescent="0.25">
      <c r="A195" s="667" t="s">
        <v>267</v>
      </c>
      <c r="B195" s="658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47">
        <v>4680115889026</v>
      </c>
      <c r="E196" s="648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9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3"/>
      <c r="R196" s="653"/>
      <c r="S196" s="653"/>
      <c r="T196" s="654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7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9"/>
      <c r="P197" s="649" t="s">
        <v>72</v>
      </c>
      <c r="Q197" s="650"/>
      <c r="R197" s="650"/>
      <c r="S197" s="650"/>
      <c r="T197" s="650"/>
      <c r="U197" s="650"/>
      <c r="V197" s="651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58"/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9"/>
      <c r="P198" s="649" t="s">
        <v>72</v>
      </c>
      <c r="Q198" s="650"/>
      <c r="R198" s="650"/>
      <c r="S198" s="650"/>
      <c r="T198" s="650"/>
      <c r="U198" s="650"/>
      <c r="V198" s="651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67" t="s">
        <v>331</v>
      </c>
      <c r="B199" s="658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47">
        <v>4680115889033</v>
      </c>
      <c r="E200" s="648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99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3"/>
      <c r="R200" s="653"/>
      <c r="S200" s="653"/>
      <c r="T200" s="654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7"/>
      <c r="B201" s="658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9"/>
      <c r="P201" s="649" t="s">
        <v>72</v>
      </c>
      <c r="Q201" s="650"/>
      <c r="R201" s="650"/>
      <c r="S201" s="650"/>
      <c r="T201" s="650"/>
      <c r="U201" s="650"/>
      <c r="V201" s="651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58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9"/>
      <c r="P202" s="649" t="s">
        <v>72</v>
      </c>
      <c r="Q202" s="650"/>
      <c r="R202" s="650"/>
      <c r="S202" s="650"/>
      <c r="T202" s="650"/>
      <c r="U202" s="650"/>
      <c r="V202" s="651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661" t="s">
        <v>335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48"/>
      <c r="AB203" s="48"/>
      <c r="AC203" s="48"/>
    </row>
    <row r="204" spans="1:68" ht="16.5" hidden="1" customHeight="1" x14ac:dyDescent="0.25">
      <c r="A204" s="673" t="s">
        <v>336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38"/>
      <c r="AB204" s="638"/>
      <c r="AC204" s="638"/>
    </row>
    <row r="205" spans="1:68" ht="14.25" hidden="1" customHeight="1" x14ac:dyDescent="0.25">
      <c r="A205" s="667" t="s">
        <v>111</v>
      </c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47">
        <v>4607091383423</v>
      </c>
      <c r="E206" s="648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3"/>
      <c r="R206" s="653"/>
      <c r="S206" s="653"/>
      <c r="T206" s="654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47">
        <v>4680115888760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3"/>
      <c r="R207" s="653"/>
      <c r="S207" s="653"/>
      <c r="T207" s="654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47">
        <v>4680115888807</v>
      </c>
      <c r="E208" s="648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3"/>
      <c r="R208" s="653"/>
      <c r="S208" s="653"/>
      <c r="T208" s="654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47">
        <v>4680115888852</v>
      </c>
      <c r="E209" s="648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3"/>
      <c r="R209" s="653"/>
      <c r="S209" s="653"/>
      <c r="T209" s="654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47">
        <v>4680115886957</v>
      </c>
      <c r="E210" s="648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3"/>
      <c r="R210" s="653"/>
      <c r="S210" s="653"/>
      <c r="T210" s="654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47">
        <v>4680115885660</v>
      </c>
      <c r="E211" s="648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3"/>
      <c r="R211" s="653"/>
      <c r="S211" s="653"/>
      <c r="T211" s="654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47">
        <v>4680115886773</v>
      </c>
      <c r="E212" s="648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3"/>
      <c r="R212" s="653"/>
      <c r="S212" s="653"/>
      <c r="T212" s="654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7"/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9"/>
      <c r="P213" s="649" t="s">
        <v>72</v>
      </c>
      <c r="Q213" s="650"/>
      <c r="R213" s="650"/>
      <c r="S213" s="650"/>
      <c r="T213" s="650"/>
      <c r="U213" s="650"/>
      <c r="V213" s="651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58"/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9"/>
      <c r="P214" s="649" t="s">
        <v>72</v>
      </c>
      <c r="Q214" s="650"/>
      <c r="R214" s="650"/>
      <c r="S214" s="650"/>
      <c r="T214" s="650"/>
      <c r="U214" s="650"/>
      <c r="V214" s="651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673" t="s">
        <v>357</v>
      </c>
      <c r="B215" s="658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38"/>
      <c r="AB215" s="638"/>
      <c r="AC215" s="638"/>
    </row>
    <row r="216" spans="1:68" ht="14.25" hidden="1" customHeight="1" x14ac:dyDescent="0.25">
      <c r="A216" s="667" t="s">
        <v>148</v>
      </c>
      <c r="B216" s="658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47">
        <v>4680115886223</v>
      </c>
      <c r="E217" s="648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3"/>
      <c r="R217" s="653"/>
      <c r="S217" s="653"/>
      <c r="T217" s="654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7"/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9"/>
      <c r="P218" s="649" t="s">
        <v>72</v>
      </c>
      <c r="Q218" s="650"/>
      <c r="R218" s="650"/>
      <c r="S218" s="650"/>
      <c r="T218" s="650"/>
      <c r="U218" s="650"/>
      <c r="V218" s="651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58"/>
      <c r="B219" s="658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9"/>
      <c r="P219" s="649" t="s">
        <v>72</v>
      </c>
      <c r="Q219" s="650"/>
      <c r="R219" s="650"/>
      <c r="S219" s="650"/>
      <c r="T219" s="650"/>
      <c r="U219" s="650"/>
      <c r="V219" s="651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67" t="s">
        <v>62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39"/>
      <c r="AB220" s="639"/>
      <c r="AC220" s="639"/>
    </row>
    <row r="221" spans="1:68" ht="27" customHeight="1" x14ac:dyDescent="0.25">
      <c r="A221" s="54" t="s">
        <v>361</v>
      </c>
      <c r="B221" s="54" t="s">
        <v>362</v>
      </c>
      <c r="C221" s="31">
        <v>4301031191</v>
      </c>
      <c r="D221" s="647">
        <v>4680115880993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3"/>
      <c r="R221" s="653"/>
      <c r="S221" s="653"/>
      <c r="T221" s="654"/>
      <c r="U221" s="34"/>
      <c r="V221" s="34"/>
      <c r="W221" s="35" t="s">
        <v>67</v>
      </c>
      <c r="X221" s="643">
        <v>256</v>
      </c>
      <c r="Y221" s="644">
        <f t="shared" ref="Y221:Y235" si="32">IFERROR(IF(X221="",0,CEILING((X221/$H221),1)*$H221),"")</f>
        <v>256.2</v>
      </c>
      <c r="Z221" s="36">
        <f>IFERROR(IF(Y221=0,"",ROUNDUP(Y221/H221,0)*0.00902),"")</f>
        <v>0.55022000000000004</v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271.23809523809524</v>
      </c>
      <c r="BN221" s="64">
        <f t="shared" ref="BN221:BN235" si="34">IFERROR(Y221*I221/H221,"0")</f>
        <v>271.45</v>
      </c>
      <c r="BO221" s="64">
        <f t="shared" ref="BO221:BO235" si="35">IFERROR(1/J221*(X221/H221),"0")</f>
        <v>0.46176046176046176</v>
      </c>
      <c r="BP221" s="64">
        <f t="shared" ref="BP221:BP235" si="36">IFERROR(1/J221*(Y221/H221),"0")</f>
        <v>0.4621212121212121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47">
        <v>4680115881761</v>
      </c>
      <c r="E222" s="648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3"/>
      <c r="R222" s="653"/>
      <c r="S222" s="653"/>
      <c r="T222" s="654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367</v>
      </c>
      <c r="B223" s="54" t="s">
        <v>368</v>
      </c>
      <c r="C223" s="31">
        <v>4301031201</v>
      </c>
      <c r="D223" s="647">
        <v>4680115881563</v>
      </c>
      <c r="E223" s="648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3"/>
      <c r="R223" s="653"/>
      <c r="S223" s="653"/>
      <c r="T223" s="654"/>
      <c r="U223" s="34"/>
      <c r="V223" s="34"/>
      <c r="W223" s="35" t="s">
        <v>67</v>
      </c>
      <c r="X223" s="643">
        <v>136</v>
      </c>
      <c r="Y223" s="644">
        <f t="shared" si="32"/>
        <v>138.6</v>
      </c>
      <c r="Z223" s="36">
        <f>IFERROR(IF(Y223=0,"",ROUNDUP(Y223/H223,0)*0.00902),"")</f>
        <v>0.29766000000000004</v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142.15238095238095</v>
      </c>
      <c r="BN223" s="64">
        <f t="shared" si="34"/>
        <v>144.86999999999998</v>
      </c>
      <c r="BO223" s="64">
        <f t="shared" si="35"/>
        <v>0.24531024531024531</v>
      </c>
      <c r="BP223" s="64">
        <f t="shared" si="36"/>
        <v>0.25</v>
      </c>
    </row>
    <row r="224" spans="1:68" ht="37.5" hidden="1" customHeight="1" x14ac:dyDescent="0.25">
      <c r="A224" s="54" t="s">
        <v>370</v>
      </c>
      <c r="B224" s="54" t="s">
        <v>371</v>
      </c>
      <c r="C224" s="31">
        <v>4301031447</v>
      </c>
      <c r="D224" s="647">
        <v>4680115887565</v>
      </c>
      <c r="E224" s="648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3"/>
      <c r="R224" s="653"/>
      <c r="S224" s="653"/>
      <c r="T224" s="654"/>
      <c r="U224" s="34"/>
      <c r="V224" s="34"/>
      <c r="W224" s="35" t="s">
        <v>67</v>
      </c>
      <c r="X224" s="643">
        <v>0</v>
      </c>
      <c r="Y224" s="644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373</v>
      </c>
      <c r="B225" s="54" t="s">
        <v>374</v>
      </c>
      <c r="C225" s="31">
        <v>4301031199</v>
      </c>
      <c r="D225" s="647">
        <v>4680115880986</v>
      </c>
      <c r="E225" s="648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3"/>
      <c r="R225" s="653"/>
      <c r="S225" s="653"/>
      <c r="T225" s="654"/>
      <c r="U225" s="34"/>
      <c r="V225" s="34"/>
      <c r="W225" s="35" t="s">
        <v>67</v>
      </c>
      <c r="X225" s="643">
        <v>60</v>
      </c>
      <c r="Y225" s="644">
        <f t="shared" si="32"/>
        <v>60.900000000000006</v>
      </c>
      <c r="Z225" s="36">
        <f t="shared" ref="Z225:Z230" si="37">IFERROR(IF(Y225=0,"",ROUNDUP(Y225/H225,0)*0.00502),"")</f>
        <v>0.14558000000000001</v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63.714285714285715</v>
      </c>
      <c r="BN225" s="64">
        <f t="shared" si="34"/>
        <v>64.67</v>
      </c>
      <c r="BO225" s="64">
        <f t="shared" si="35"/>
        <v>0.12210012210012211</v>
      </c>
      <c r="BP225" s="64">
        <f t="shared" si="36"/>
        <v>0.12393162393162395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47">
        <v>4680115887213</v>
      </c>
      <c r="E226" s="648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3"/>
      <c r="R226" s="653"/>
      <c r="S226" s="653"/>
      <c r="T226" s="654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47">
        <v>4680115881785</v>
      </c>
      <c r="E227" s="648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3"/>
      <c r="R227" s="653"/>
      <c r="S227" s="653"/>
      <c r="T227" s="654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47">
        <v>4680115888432</v>
      </c>
      <c r="E228" s="648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3"/>
      <c r="R228" s="653"/>
      <c r="S228" s="653"/>
      <c r="T228" s="654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47">
        <v>4680115888104</v>
      </c>
      <c r="E229" s="648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3"/>
      <c r="R229" s="653"/>
      <c r="S229" s="653"/>
      <c r="T229" s="654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customHeight="1" x14ac:dyDescent="0.25">
      <c r="A230" s="54" t="s">
        <v>386</v>
      </c>
      <c r="B230" s="54" t="s">
        <v>387</v>
      </c>
      <c r="C230" s="31">
        <v>4301031503</v>
      </c>
      <c r="D230" s="647">
        <v>4680115886537</v>
      </c>
      <c r="E230" s="648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4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3"/>
      <c r="R230" s="653"/>
      <c r="S230" s="653"/>
      <c r="T230" s="654"/>
      <c r="U230" s="34"/>
      <c r="V230" s="34"/>
      <c r="W230" s="35" t="s">
        <v>67</v>
      </c>
      <c r="X230" s="643">
        <v>15</v>
      </c>
      <c r="Y230" s="644">
        <f t="shared" si="32"/>
        <v>16.2</v>
      </c>
      <c r="Z230" s="36">
        <f t="shared" si="37"/>
        <v>4.5179999999999998E-2</v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16.083333333333332</v>
      </c>
      <c r="BN230" s="64">
        <f t="shared" si="34"/>
        <v>17.369999999999997</v>
      </c>
      <c r="BO230" s="64">
        <f t="shared" si="35"/>
        <v>3.561253561253562E-2</v>
      </c>
      <c r="BP230" s="64">
        <f t="shared" si="36"/>
        <v>3.8461538461538464E-2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4301031279</v>
      </c>
      <c r="D231" s="647">
        <v>4680115887596</v>
      </c>
      <c r="E231" s="648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3"/>
      <c r="R231" s="653"/>
      <c r="S231" s="653"/>
      <c r="T231" s="654"/>
      <c r="U231" s="34"/>
      <c r="V231" s="34"/>
      <c r="W231" s="35" t="s">
        <v>67</v>
      </c>
      <c r="X231" s="643">
        <v>0</v>
      </c>
      <c r="Y231" s="644">
        <f t="shared" si="32"/>
        <v>0</v>
      </c>
      <c r="Z231" s="36" t="str">
        <f>IFERROR(IF(Y231=0,"",ROUNDUP(Y231/H231,0)*0.00417),"")</f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37.5" customHeight="1" x14ac:dyDescent="0.25">
      <c r="A232" s="54" t="s">
        <v>392</v>
      </c>
      <c r="B232" s="54" t="s">
        <v>393</v>
      </c>
      <c r="C232" s="31">
        <v>4301031530</v>
      </c>
      <c r="D232" s="647">
        <v>4680115881679</v>
      </c>
      <c r="E232" s="648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6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3"/>
      <c r="R232" s="653"/>
      <c r="S232" s="653"/>
      <c r="T232" s="654"/>
      <c r="U232" s="34"/>
      <c r="V232" s="34"/>
      <c r="W232" s="35" t="s">
        <v>67</v>
      </c>
      <c r="X232" s="643">
        <v>89</v>
      </c>
      <c r="Y232" s="644">
        <f t="shared" si="32"/>
        <v>90.3</v>
      </c>
      <c r="Z232" s="36">
        <f>IFERROR(IF(Y232=0,"",ROUNDUP(Y232/H232,0)*0.00502),"")</f>
        <v>0.21586</v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93.238095238095241</v>
      </c>
      <c r="BN232" s="64">
        <f t="shared" si="34"/>
        <v>94.6</v>
      </c>
      <c r="BO232" s="64">
        <f t="shared" si="35"/>
        <v>0.18111518111518113</v>
      </c>
      <c r="BP232" s="64">
        <f t="shared" si="36"/>
        <v>0.18376068376068377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3"/>
      <c r="R233" s="653"/>
      <c r="S233" s="653"/>
      <c r="T233" s="654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47">
        <v>4680115880191</v>
      </c>
      <c r="E234" s="648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70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3"/>
      <c r="R234" s="653"/>
      <c r="S234" s="653"/>
      <c r="T234" s="654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47">
        <v>4680115883963</v>
      </c>
      <c r="E235" s="648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3"/>
      <c r="R235" s="653"/>
      <c r="S235" s="653"/>
      <c r="T235" s="654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7"/>
      <c r="B236" s="658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9"/>
      <c r="P236" s="649" t="s">
        <v>72</v>
      </c>
      <c r="Q236" s="650"/>
      <c r="R236" s="650"/>
      <c r="S236" s="650"/>
      <c r="T236" s="650"/>
      <c r="U236" s="650"/>
      <c r="V236" s="651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172.61904761904762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175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1.2544999999999999</v>
      </c>
      <c r="AA236" s="646"/>
      <c r="AB236" s="646"/>
      <c r="AC236" s="646"/>
    </row>
    <row r="237" spans="1:68" x14ac:dyDescent="0.2">
      <c r="A237" s="658"/>
      <c r="B237" s="658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9"/>
      <c r="P237" s="649" t="s">
        <v>72</v>
      </c>
      <c r="Q237" s="650"/>
      <c r="R237" s="650"/>
      <c r="S237" s="650"/>
      <c r="T237" s="650"/>
      <c r="U237" s="650"/>
      <c r="V237" s="651"/>
      <c r="W237" s="37" t="s">
        <v>67</v>
      </c>
      <c r="X237" s="645">
        <f>IFERROR(SUM(X221:X235),"0")</f>
        <v>556</v>
      </c>
      <c r="Y237" s="645">
        <f>IFERROR(SUM(Y221:Y235),"0")</f>
        <v>562.19999999999993</v>
      </c>
      <c r="Z237" s="37"/>
      <c r="AA237" s="646"/>
      <c r="AB237" s="646"/>
      <c r="AC237" s="646"/>
    </row>
    <row r="238" spans="1:68" ht="14.25" hidden="1" customHeight="1" x14ac:dyDescent="0.25">
      <c r="A238" s="667" t="s">
        <v>74</v>
      </c>
      <c r="B238" s="658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79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3"/>
      <c r="R239" s="653"/>
      <c r="S239" s="653"/>
      <c r="T239" s="654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47">
        <v>4680115888692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7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9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47">
        <v>4680115888722</v>
      </c>
      <c r="E242" s="648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7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3"/>
      <c r="R242" s="653"/>
      <c r="S242" s="653"/>
      <c r="T242" s="654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3"/>
      <c r="R243" s="653"/>
      <c r="S243" s="653"/>
      <c r="T243" s="654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47">
        <v>4680115888951</v>
      </c>
      <c r="E244" s="648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3"/>
      <c r="R244" s="653"/>
      <c r="S244" s="653"/>
      <c r="T244" s="654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47">
        <v>4680115888975</v>
      </c>
      <c r="E245" s="648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3"/>
      <c r="R245" s="653"/>
      <c r="S245" s="653"/>
      <c r="T245" s="654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3"/>
      <c r="R246" s="653"/>
      <c r="S246" s="653"/>
      <c r="T246" s="654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47">
        <v>4680115888982</v>
      </c>
      <c r="E247" s="648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93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3"/>
      <c r="R247" s="653"/>
      <c r="S247" s="653"/>
      <c r="T247" s="654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7"/>
      <c r="B248" s="658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9"/>
      <c r="P248" s="649" t="s">
        <v>72</v>
      </c>
      <c r="Q248" s="650"/>
      <c r="R248" s="650"/>
      <c r="S248" s="650"/>
      <c r="T248" s="650"/>
      <c r="U248" s="650"/>
      <c r="V248" s="651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8"/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9"/>
      <c r="P249" s="649" t="s">
        <v>72</v>
      </c>
      <c r="Q249" s="650"/>
      <c r="R249" s="650"/>
      <c r="S249" s="650"/>
      <c r="T249" s="650"/>
      <c r="U249" s="650"/>
      <c r="V249" s="651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67" t="s">
        <v>267</v>
      </c>
      <c r="B250" s="658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47">
        <v>4680115886780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3"/>
      <c r="R251" s="653"/>
      <c r="S251" s="653"/>
      <c r="T251" s="654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423</v>
      </c>
      <c r="B252" s="54" t="s">
        <v>424</v>
      </c>
      <c r="C252" s="31">
        <v>4301032051</v>
      </c>
      <c r="D252" s="647">
        <v>4680115886742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69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3"/>
      <c r="R252" s="653"/>
      <c r="S252" s="653"/>
      <c r="T252" s="654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426</v>
      </c>
      <c r="B253" s="54" t="s">
        <v>427</v>
      </c>
      <c r="C253" s="31">
        <v>4301032052</v>
      </c>
      <c r="D253" s="647">
        <v>4680115886766</v>
      </c>
      <c r="E253" s="648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9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3"/>
      <c r="R253" s="653"/>
      <c r="S253" s="653"/>
      <c r="T253" s="654"/>
      <c r="U253" s="34"/>
      <c r="V253" s="34"/>
      <c r="W253" s="35" t="s">
        <v>67</v>
      </c>
      <c r="X253" s="643">
        <v>4</v>
      </c>
      <c r="Y253" s="644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4.6031746031746028</v>
      </c>
      <c r="BN253" s="64">
        <f>IFERROR(Y253*I253/H253,"0")</f>
        <v>5.8</v>
      </c>
      <c r="BO253" s="64">
        <f>IFERROR(1/J253*(X253/H253),"0")</f>
        <v>1.469723691945914E-2</v>
      </c>
      <c r="BP253" s="64">
        <f>IFERROR(1/J253*(Y253/H253),"0")</f>
        <v>1.8518518518518517E-2</v>
      </c>
    </row>
    <row r="254" spans="1:68" x14ac:dyDescent="0.2">
      <c r="A254" s="657"/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9"/>
      <c r="P254" s="649" t="s">
        <v>72</v>
      </c>
      <c r="Q254" s="650"/>
      <c r="R254" s="650"/>
      <c r="S254" s="650"/>
      <c r="T254" s="650"/>
      <c r="U254" s="650"/>
      <c r="V254" s="651"/>
      <c r="W254" s="37" t="s">
        <v>73</v>
      </c>
      <c r="X254" s="645">
        <f>IFERROR(X251/H251,"0")+IFERROR(X252/H252,"0")+IFERROR(X253/H253,"0")</f>
        <v>3.1746031746031744</v>
      </c>
      <c r="Y254" s="645">
        <f>IFERROR(Y251/H251,"0")+IFERROR(Y252/H252,"0")+IFERROR(Y253/H253,"0")</f>
        <v>4</v>
      </c>
      <c r="Z254" s="645">
        <f>IFERROR(IF(Z251="",0,Z251),"0")+IFERROR(IF(Z252="",0,Z252),"0")+IFERROR(IF(Z253="",0,Z253),"0")</f>
        <v>2.3599999999999999E-2</v>
      </c>
      <c r="AA254" s="646"/>
      <c r="AB254" s="646"/>
      <c r="AC254" s="646"/>
    </row>
    <row r="255" spans="1:68" x14ac:dyDescent="0.2">
      <c r="A255" s="658"/>
      <c r="B255" s="658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9"/>
      <c r="P255" s="649" t="s">
        <v>72</v>
      </c>
      <c r="Q255" s="650"/>
      <c r="R255" s="650"/>
      <c r="S255" s="650"/>
      <c r="T255" s="650"/>
      <c r="U255" s="650"/>
      <c r="V255" s="651"/>
      <c r="W255" s="37" t="s">
        <v>67</v>
      </c>
      <c r="X255" s="645">
        <f>IFERROR(SUM(X251:X253),"0")</f>
        <v>4</v>
      </c>
      <c r="Y255" s="645">
        <f>IFERROR(SUM(Y251:Y253),"0")</f>
        <v>5.04</v>
      </c>
      <c r="Z255" s="37"/>
      <c r="AA255" s="646"/>
      <c r="AB255" s="646"/>
      <c r="AC255" s="646"/>
    </row>
    <row r="256" spans="1:68" ht="14.25" hidden="1" customHeight="1" x14ac:dyDescent="0.25">
      <c r="A256" s="667" t="s">
        <v>428</v>
      </c>
      <c r="B256" s="658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39"/>
      <c r="AB256" s="639"/>
      <c r="AC256" s="639"/>
    </row>
    <row r="257" spans="1:68" ht="27" customHeight="1" x14ac:dyDescent="0.25">
      <c r="A257" s="54" t="s">
        <v>429</v>
      </c>
      <c r="B257" s="54" t="s">
        <v>430</v>
      </c>
      <c r="C257" s="31">
        <v>4301170013</v>
      </c>
      <c r="D257" s="647">
        <v>4680115886797</v>
      </c>
      <c r="E257" s="648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9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3"/>
      <c r="R257" s="653"/>
      <c r="S257" s="653"/>
      <c r="T257" s="654"/>
      <c r="U257" s="34"/>
      <c r="V257" s="34"/>
      <c r="W257" s="35" t="s">
        <v>67</v>
      </c>
      <c r="X257" s="643">
        <v>1</v>
      </c>
      <c r="Y257" s="644">
        <f>IFERROR(IF(X257="",0,CEILING((X257/$H257),1)*$H257),"")</f>
        <v>1.26</v>
      </c>
      <c r="Z257" s="36">
        <f>IFERROR(IF(Y257=0,"",ROUNDUP(Y257/H257,0)*0.0059),"")</f>
        <v>5.8999999999999999E-3</v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1.1507936507936507</v>
      </c>
      <c r="BN257" s="64">
        <f>IFERROR(Y257*I257/H257,"0")</f>
        <v>1.45</v>
      </c>
      <c r="BO257" s="64">
        <f>IFERROR(1/J257*(X257/H257),"0")</f>
        <v>3.6743092298647849E-3</v>
      </c>
      <c r="BP257" s="64">
        <f>IFERROR(1/J257*(Y257/H257),"0")</f>
        <v>4.6296296296296294E-3</v>
      </c>
    </row>
    <row r="258" spans="1:68" x14ac:dyDescent="0.2">
      <c r="A258" s="657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59"/>
      <c r="P258" s="649" t="s">
        <v>72</v>
      </c>
      <c r="Q258" s="650"/>
      <c r="R258" s="650"/>
      <c r="S258" s="650"/>
      <c r="T258" s="650"/>
      <c r="U258" s="650"/>
      <c r="V258" s="651"/>
      <c r="W258" s="37" t="s">
        <v>73</v>
      </c>
      <c r="X258" s="645">
        <f>IFERROR(X257/H257,"0")</f>
        <v>0.79365079365079361</v>
      </c>
      <c r="Y258" s="645">
        <f>IFERROR(Y257/H257,"0")</f>
        <v>1</v>
      </c>
      <c r="Z258" s="645">
        <f>IFERROR(IF(Z257="",0,Z257),"0")</f>
        <v>5.8999999999999999E-3</v>
      </c>
      <c r="AA258" s="646"/>
      <c r="AB258" s="646"/>
      <c r="AC258" s="646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9"/>
      <c r="P259" s="649" t="s">
        <v>72</v>
      </c>
      <c r="Q259" s="650"/>
      <c r="R259" s="650"/>
      <c r="S259" s="650"/>
      <c r="T259" s="650"/>
      <c r="U259" s="650"/>
      <c r="V259" s="651"/>
      <c r="W259" s="37" t="s">
        <v>67</v>
      </c>
      <c r="X259" s="645">
        <f>IFERROR(SUM(X257:X257),"0")</f>
        <v>1</v>
      </c>
      <c r="Y259" s="645">
        <f>IFERROR(SUM(Y257:Y257),"0")</f>
        <v>1.26</v>
      </c>
      <c r="Z259" s="37"/>
      <c r="AA259" s="646"/>
      <c r="AB259" s="646"/>
      <c r="AC259" s="646"/>
    </row>
    <row r="260" spans="1:68" ht="16.5" hidden="1" customHeight="1" x14ac:dyDescent="0.25">
      <c r="A260" s="673" t="s">
        <v>431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38"/>
      <c r="AB260" s="638"/>
      <c r="AC260" s="638"/>
    </row>
    <row r="261" spans="1:68" ht="14.25" hidden="1" customHeight="1" x14ac:dyDescent="0.25">
      <c r="A261" s="667" t="s">
        <v>111</v>
      </c>
      <c r="B261" s="658"/>
      <c r="C261" s="658"/>
      <c r="D261" s="658"/>
      <c r="E261" s="658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47">
        <v>4680115881402</v>
      </c>
      <c r="E262" s="648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3"/>
      <c r="R262" s="653"/>
      <c r="S262" s="653"/>
      <c r="T262" s="654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47">
        <v>4680115881396</v>
      </c>
      <c r="E263" s="648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3"/>
      <c r="R263" s="653"/>
      <c r="S263" s="653"/>
      <c r="T263" s="654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9"/>
      <c r="P264" s="649" t="s">
        <v>72</v>
      </c>
      <c r="Q264" s="650"/>
      <c r="R264" s="650"/>
      <c r="S264" s="650"/>
      <c r="T264" s="650"/>
      <c r="U264" s="650"/>
      <c r="V264" s="651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8"/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9"/>
      <c r="P265" s="649" t="s">
        <v>72</v>
      </c>
      <c r="Q265" s="650"/>
      <c r="R265" s="650"/>
      <c r="S265" s="650"/>
      <c r="T265" s="650"/>
      <c r="U265" s="650"/>
      <c r="V265" s="651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67" t="s">
        <v>148</v>
      </c>
      <c r="B266" s="658"/>
      <c r="C266" s="658"/>
      <c r="D266" s="658"/>
      <c r="E266" s="658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47">
        <v>4680115882935</v>
      </c>
      <c r="E267" s="648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3"/>
      <c r="R267" s="653"/>
      <c r="S267" s="653"/>
      <c r="T267" s="654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47">
        <v>4680115880764</v>
      </c>
      <c r="E268" s="648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3"/>
      <c r="R268" s="653"/>
      <c r="S268" s="653"/>
      <c r="T268" s="654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59"/>
      <c r="P269" s="649" t="s">
        <v>72</v>
      </c>
      <c r="Q269" s="650"/>
      <c r="R269" s="650"/>
      <c r="S269" s="650"/>
      <c r="T269" s="650"/>
      <c r="U269" s="650"/>
      <c r="V269" s="651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8"/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9"/>
      <c r="P270" s="649" t="s">
        <v>72</v>
      </c>
      <c r="Q270" s="650"/>
      <c r="R270" s="650"/>
      <c r="S270" s="650"/>
      <c r="T270" s="650"/>
      <c r="U270" s="650"/>
      <c r="V270" s="651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67" t="s">
        <v>62</v>
      </c>
      <c r="B271" s="658"/>
      <c r="C271" s="658"/>
      <c r="D271" s="658"/>
      <c r="E271" s="658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39"/>
      <c r="AB271" s="639"/>
      <c r="AC271" s="639"/>
    </row>
    <row r="272" spans="1:68" ht="27" customHeight="1" x14ac:dyDescent="0.25">
      <c r="A272" s="54" t="s">
        <v>442</v>
      </c>
      <c r="B272" s="54" t="s">
        <v>443</v>
      </c>
      <c r="C272" s="31">
        <v>4301031224</v>
      </c>
      <c r="D272" s="647">
        <v>4680115882683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3"/>
      <c r="R272" s="653"/>
      <c r="S272" s="653"/>
      <c r="T272" s="654"/>
      <c r="U272" s="34"/>
      <c r="V272" s="34"/>
      <c r="W272" s="35" t="s">
        <v>67</v>
      </c>
      <c r="X272" s="643">
        <v>51</v>
      </c>
      <c r="Y272" s="644">
        <f t="shared" ref="Y272:Y279" si="43">IFERROR(IF(X272="",0,CEILING((X272/$H272),1)*$H272),"")</f>
        <v>54</v>
      </c>
      <c r="Z272" s="36">
        <f>IFERROR(IF(Y272=0,"",ROUNDUP(Y272/H272,0)*0.00902),"")</f>
        <v>9.0200000000000002E-2</v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52.794444444444437</v>
      </c>
      <c r="BN272" s="64">
        <f t="shared" ref="BN272:BN279" si="45">IFERROR(Y272*I272/H272,"0")</f>
        <v>55.9</v>
      </c>
      <c r="BO272" s="64">
        <f t="shared" ref="BO272:BO279" si="46">IFERROR(1/J272*(X272/H272),"0")</f>
        <v>7.1548821548821556E-2</v>
      </c>
      <c r="BP272" s="64">
        <f t="shared" ref="BP272:BP279" si="47">IFERROR(1/J272*(Y272/H272),"0")</f>
        <v>7.575757575757576E-2</v>
      </c>
    </row>
    <row r="273" spans="1:68" ht="27" customHeight="1" x14ac:dyDescent="0.25">
      <c r="A273" s="54" t="s">
        <v>445</v>
      </c>
      <c r="B273" s="54" t="s">
        <v>446</v>
      </c>
      <c r="C273" s="31">
        <v>4301031230</v>
      </c>
      <c r="D273" s="647">
        <v>4680115882690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3"/>
      <c r="R273" s="653"/>
      <c r="S273" s="653"/>
      <c r="T273" s="654"/>
      <c r="U273" s="34"/>
      <c r="V273" s="34"/>
      <c r="W273" s="35" t="s">
        <v>67</v>
      </c>
      <c r="X273" s="643">
        <v>51</v>
      </c>
      <c r="Y273" s="644">
        <f t="shared" si="43"/>
        <v>54</v>
      </c>
      <c r="Z273" s="36">
        <f>IFERROR(IF(Y273=0,"",ROUNDUP(Y273/H273,0)*0.00902),"")</f>
        <v>9.0200000000000002E-2</v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52.794444444444437</v>
      </c>
      <c r="BN273" s="64">
        <f t="shared" si="45"/>
        <v>55.9</v>
      </c>
      <c r="BO273" s="64">
        <f t="shared" si="46"/>
        <v>7.1548821548821556E-2</v>
      </c>
      <c r="BP273" s="64">
        <f t="shared" si="47"/>
        <v>7.575757575757576E-2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47">
        <v>4680115882669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3"/>
      <c r="R274" s="653"/>
      <c r="S274" s="653"/>
      <c r="T274" s="654"/>
      <c r="U274" s="34"/>
      <c r="V274" s="34"/>
      <c r="W274" s="35" t="s">
        <v>67</v>
      </c>
      <c r="X274" s="643">
        <v>85</v>
      </c>
      <c r="Y274" s="644">
        <f t="shared" si="43"/>
        <v>86.4</v>
      </c>
      <c r="Z274" s="36">
        <f>IFERROR(IF(Y274=0,"",ROUNDUP(Y274/H274,0)*0.00902),"")</f>
        <v>0.14432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87.990740740740733</v>
      </c>
      <c r="BN274" s="64">
        <f t="shared" si="45"/>
        <v>89.44</v>
      </c>
      <c r="BO274" s="64">
        <f t="shared" si="46"/>
        <v>0.11924803591470258</v>
      </c>
      <c r="BP274" s="64">
        <f t="shared" si="47"/>
        <v>0.12121212121212122</v>
      </c>
    </row>
    <row r="275" spans="1:68" ht="27" customHeight="1" x14ac:dyDescent="0.25">
      <c r="A275" s="54" t="s">
        <v>451</v>
      </c>
      <c r="B275" s="54" t="s">
        <v>452</v>
      </c>
      <c r="C275" s="31">
        <v>4301031221</v>
      </c>
      <c r="D275" s="647">
        <v>4680115882676</v>
      </c>
      <c r="E275" s="648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3"/>
      <c r="R275" s="653"/>
      <c r="S275" s="653"/>
      <c r="T275" s="654"/>
      <c r="U275" s="34"/>
      <c r="V275" s="34"/>
      <c r="W275" s="35" t="s">
        <v>67</v>
      </c>
      <c r="X275" s="643">
        <v>102</v>
      </c>
      <c r="Y275" s="644">
        <f t="shared" si="43"/>
        <v>102.60000000000001</v>
      </c>
      <c r="Z275" s="36">
        <f>IFERROR(IF(Y275=0,"",ROUNDUP(Y275/H275,0)*0.00902),"")</f>
        <v>0.17138</v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105.58888888888887</v>
      </c>
      <c r="BN275" s="64">
        <f t="shared" si="45"/>
        <v>106.21</v>
      </c>
      <c r="BO275" s="64">
        <f t="shared" si="46"/>
        <v>0.14309764309764311</v>
      </c>
      <c r="BP275" s="64">
        <f t="shared" si="47"/>
        <v>0.14393939393939395</v>
      </c>
    </row>
    <row r="276" spans="1:68" ht="27" customHeight="1" x14ac:dyDescent="0.25">
      <c r="A276" s="54" t="s">
        <v>454</v>
      </c>
      <c r="B276" s="54" t="s">
        <v>455</v>
      </c>
      <c r="C276" s="31">
        <v>4301031223</v>
      </c>
      <c r="D276" s="647">
        <v>4680115884014</v>
      </c>
      <c r="E276" s="648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3"/>
      <c r="R276" s="653"/>
      <c r="S276" s="653"/>
      <c r="T276" s="654"/>
      <c r="U276" s="34"/>
      <c r="V276" s="34"/>
      <c r="W276" s="35" t="s">
        <v>67</v>
      </c>
      <c r="X276" s="643">
        <v>15</v>
      </c>
      <c r="Y276" s="644">
        <f t="shared" si="43"/>
        <v>16.2</v>
      </c>
      <c r="Z276" s="36">
        <f>IFERROR(IF(Y276=0,"",ROUNDUP(Y276/H276,0)*0.00502),"")</f>
        <v>4.5179999999999998E-2</v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16.083333333333332</v>
      </c>
      <c r="BN276" s="64">
        <f t="shared" si="45"/>
        <v>17.369999999999997</v>
      </c>
      <c r="BO276" s="64">
        <f t="shared" si="46"/>
        <v>3.561253561253562E-2</v>
      </c>
      <c r="BP276" s="64">
        <f t="shared" si="47"/>
        <v>3.8461538461538464E-2</v>
      </c>
    </row>
    <row r="277" spans="1:68" ht="27" customHeight="1" x14ac:dyDescent="0.25">
      <c r="A277" s="54" t="s">
        <v>456</v>
      </c>
      <c r="B277" s="54" t="s">
        <v>457</v>
      </c>
      <c r="C277" s="31">
        <v>4301031222</v>
      </c>
      <c r="D277" s="647">
        <v>4680115884007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3"/>
      <c r="R277" s="653"/>
      <c r="S277" s="653"/>
      <c r="T277" s="654"/>
      <c r="U277" s="34"/>
      <c r="V277" s="34"/>
      <c r="W277" s="35" t="s">
        <v>67</v>
      </c>
      <c r="X277" s="643">
        <v>15</v>
      </c>
      <c r="Y277" s="644">
        <f t="shared" si="43"/>
        <v>16.2</v>
      </c>
      <c r="Z277" s="36">
        <f>IFERROR(IF(Y277=0,"",ROUNDUP(Y277/H277,0)*0.00502),"")</f>
        <v>4.5179999999999998E-2</v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15.833333333333332</v>
      </c>
      <c r="BN277" s="64">
        <f t="shared" si="45"/>
        <v>17.099999999999998</v>
      </c>
      <c r="BO277" s="64">
        <f t="shared" si="46"/>
        <v>3.561253561253562E-2</v>
      </c>
      <c r="BP277" s="64">
        <f t="shared" si="47"/>
        <v>3.8461538461538464E-2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47">
        <v>4680115884038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3"/>
      <c r="R278" s="653"/>
      <c r="S278" s="653"/>
      <c r="T278" s="654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460</v>
      </c>
      <c r="B279" s="54" t="s">
        <v>461</v>
      </c>
      <c r="C279" s="31">
        <v>4301031225</v>
      </c>
      <c r="D279" s="647">
        <v>4680115884021</v>
      </c>
      <c r="E279" s="648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3"/>
      <c r="R279" s="653"/>
      <c r="S279" s="653"/>
      <c r="T279" s="654"/>
      <c r="U279" s="34"/>
      <c r="V279" s="34"/>
      <c r="W279" s="35" t="s">
        <v>67</v>
      </c>
      <c r="X279" s="643">
        <v>26</v>
      </c>
      <c r="Y279" s="644">
        <f t="shared" si="43"/>
        <v>27</v>
      </c>
      <c r="Z279" s="36">
        <f>IFERROR(IF(Y279=0,"",ROUNDUP(Y279/H279,0)*0.00502),"")</f>
        <v>7.5300000000000006E-2</v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27.444444444444443</v>
      </c>
      <c r="BN279" s="64">
        <f t="shared" si="45"/>
        <v>28.499999999999996</v>
      </c>
      <c r="BO279" s="64">
        <f t="shared" si="46"/>
        <v>6.1728395061728406E-2</v>
      </c>
      <c r="BP279" s="64">
        <f t="shared" si="47"/>
        <v>6.4102564102564111E-2</v>
      </c>
    </row>
    <row r="280" spans="1:68" x14ac:dyDescent="0.2">
      <c r="A280" s="657"/>
      <c r="B280" s="658"/>
      <c r="C280" s="658"/>
      <c r="D280" s="658"/>
      <c r="E280" s="658"/>
      <c r="F280" s="658"/>
      <c r="G280" s="658"/>
      <c r="H280" s="658"/>
      <c r="I280" s="658"/>
      <c r="J280" s="658"/>
      <c r="K280" s="658"/>
      <c r="L280" s="658"/>
      <c r="M280" s="658"/>
      <c r="N280" s="658"/>
      <c r="O280" s="659"/>
      <c r="P280" s="649" t="s">
        <v>72</v>
      </c>
      <c r="Q280" s="650"/>
      <c r="R280" s="650"/>
      <c r="S280" s="650"/>
      <c r="T280" s="650"/>
      <c r="U280" s="650"/>
      <c r="V280" s="651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84.629629629629633</v>
      </c>
      <c r="Y280" s="645">
        <f>IFERROR(Y272/H272,"0")+IFERROR(Y273/H273,"0")+IFERROR(Y274/H274,"0")+IFERROR(Y275/H275,"0")+IFERROR(Y276/H276,"0")+IFERROR(Y277/H277,"0")+IFERROR(Y278/H278,"0")+IFERROR(Y279/H279,"0")</f>
        <v>88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0.66176000000000001</v>
      </c>
      <c r="AA280" s="646"/>
      <c r="AB280" s="646"/>
      <c r="AC280" s="646"/>
    </row>
    <row r="281" spans="1:68" x14ac:dyDescent="0.2">
      <c r="A281" s="658"/>
      <c r="B281" s="658"/>
      <c r="C281" s="658"/>
      <c r="D281" s="658"/>
      <c r="E281" s="658"/>
      <c r="F281" s="658"/>
      <c r="G281" s="658"/>
      <c r="H281" s="658"/>
      <c r="I281" s="658"/>
      <c r="J281" s="658"/>
      <c r="K281" s="658"/>
      <c r="L281" s="658"/>
      <c r="M281" s="658"/>
      <c r="N281" s="658"/>
      <c r="O281" s="659"/>
      <c r="P281" s="649" t="s">
        <v>72</v>
      </c>
      <c r="Q281" s="650"/>
      <c r="R281" s="650"/>
      <c r="S281" s="650"/>
      <c r="T281" s="650"/>
      <c r="U281" s="650"/>
      <c r="V281" s="651"/>
      <c r="W281" s="37" t="s">
        <v>67</v>
      </c>
      <c r="X281" s="645">
        <f>IFERROR(SUM(X272:X279),"0")</f>
        <v>345</v>
      </c>
      <c r="Y281" s="645">
        <f>IFERROR(SUM(Y272:Y279),"0")</f>
        <v>356.4</v>
      </c>
      <c r="Z281" s="37"/>
      <c r="AA281" s="646"/>
      <c r="AB281" s="646"/>
      <c r="AC281" s="646"/>
    </row>
    <row r="282" spans="1:68" ht="14.25" hidden="1" customHeight="1" x14ac:dyDescent="0.25">
      <c r="A282" s="667" t="s">
        <v>74</v>
      </c>
      <c r="B282" s="658"/>
      <c r="C282" s="658"/>
      <c r="D282" s="658"/>
      <c r="E282" s="658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39"/>
      <c r="AB282" s="639"/>
      <c r="AC282" s="639"/>
    </row>
    <row r="283" spans="1:68" ht="27" hidden="1" customHeight="1" x14ac:dyDescent="0.25">
      <c r="A283" s="54" t="s">
        <v>462</v>
      </c>
      <c r="B283" s="54" t="s">
        <v>463</v>
      </c>
      <c r="C283" s="31">
        <v>4301051408</v>
      </c>
      <c r="D283" s="647">
        <v>4680115881594</v>
      </c>
      <c r="E283" s="648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3"/>
      <c r="R283" s="653"/>
      <c r="S283" s="653"/>
      <c r="T283" s="654"/>
      <c r="U283" s="34"/>
      <c r="V283" s="34"/>
      <c r="W283" s="35" t="s">
        <v>67</v>
      </c>
      <c r="X283" s="643">
        <v>0</v>
      </c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customHeight="1" x14ac:dyDescent="0.25">
      <c r="A284" s="54" t="s">
        <v>465</v>
      </c>
      <c r="B284" s="54" t="s">
        <v>466</v>
      </c>
      <c r="C284" s="31">
        <v>4301051411</v>
      </c>
      <c r="D284" s="647">
        <v>4680115881617</v>
      </c>
      <c r="E284" s="648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5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3"/>
      <c r="R284" s="653"/>
      <c r="S284" s="653"/>
      <c r="T284" s="654"/>
      <c r="U284" s="34"/>
      <c r="V284" s="34"/>
      <c r="W284" s="35" t="s">
        <v>67</v>
      </c>
      <c r="X284" s="643">
        <v>34</v>
      </c>
      <c r="Y284" s="644">
        <f t="shared" si="48"/>
        <v>40.5</v>
      </c>
      <c r="Z284" s="36">
        <f>IFERROR(IF(Y284=0,"",ROUNDUP(Y284/H284,0)*0.01898),"")</f>
        <v>9.4899999999999998E-2</v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35.998024691358026</v>
      </c>
      <c r="BN284" s="64">
        <f t="shared" si="50"/>
        <v>42.88</v>
      </c>
      <c r="BO284" s="64">
        <f t="shared" si="51"/>
        <v>6.558641975308642E-2</v>
      </c>
      <c r="BP284" s="64">
        <f t="shared" si="52"/>
        <v>7.8125E-2</v>
      </c>
    </row>
    <row r="285" spans="1:68" ht="27" hidden="1" customHeight="1" x14ac:dyDescent="0.25">
      <c r="A285" s="54" t="s">
        <v>468</v>
      </c>
      <c r="B285" s="54" t="s">
        <v>469</v>
      </c>
      <c r="C285" s="31">
        <v>4301051656</v>
      </c>
      <c r="D285" s="647">
        <v>4680115880573</v>
      </c>
      <c r="E285" s="648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3"/>
      <c r="R285" s="653"/>
      <c r="S285" s="653"/>
      <c r="T285" s="654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471</v>
      </c>
      <c r="B286" s="54" t="s">
        <v>472</v>
      </c>
      <c r="C286" s="31">
        <v>4301051407</v>
      </c>
      <c r="D286" s="647">
        <v>4680115882195</v>
      </c>
      <c r="E286" s="648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6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3"/>
      <c r="R286" s="653"/>
      <c r="S286" s="653"/>
      <c r="T286" s="654"/>
      <c r="U286" s="34"/>
      <c r="V286" s="34"/>
      <c r="W286" s="35" t="s">
        <v>67</v>
      </c>
      <c r="X286" s="643">
        <v>68</v>
      </c>
      <c r="Y286" s="644">
        <f t="shared" si="48"/>
        <v>69.599999999999994</v>
      </c>
      <c r="Z286" s="36">
        <f>IFERROR(IF(Y286=0,"",ROUNDUP(Y286/H286,0)*0.00651),"")</f>
        <v>0.18879000000000001</v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75.650000000000006</v>
      </c>
      <c r="BN286" s="64">
        <f t="shared" si="50"/>
        <v>77.430000000000007</v>
      </c>
      <c r="BO286" s="64">
        <f t="shared" si="51"/>
        <v>0.15567765567765571</v>
      </c>
      <c r="BP286" s="64">
        <f t="shared" si="52"/>
        <v>0.15934065934065936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3"/>
      <c r="R287" s="653"/>
      <c r="S287" s="653"/>
      <c r="T287" s="654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47">
        <v>4680115882607</v>
      </c>
      <c r="E288" s="648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3"/>
      <c r="R288" s="653"/>
      <c r="S288" s="653"/>
      <c r="T288" s="654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47">
        <v>4680115880092</v>
      </c>
      <c r="E289" s="648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3"/>
      <c r="R289" s="653"/>
      <c r="S289" s="653"/>
      <c r="T289" s="654"/>
      <c r="U289" s="34"/>
      <c r="V289" s="34"/>
      <c r="W289" s="35" t="s">
        <v>67</v>
      </c>
      <c r="X289" s="643">
        <v>315</v>
      </c>
      <c r="Y289" s="644">
        <f t="shared" si="48"/>
        <v>316.8</v>
      </c>
      <c r="Z289" s="36">
        <f>IFERROR(IF(Y289=0,"",ROUNDUP(Y289/H289,0)*0.00651),"")</f>
        <v>0.85931999999999997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348.07499999999999</v>
      </c>
      <c r="BN289" s="64">
        <f t="shared" si="50"/>
        <v>350.06400000000008</v>
      </c>
      <c r="BO289" s="64">
        <f t="shared" si="51"/>
        <v>0.72115384615384626</v>
      </c>
      <c r="BP289" s="64">
        <f t="shared" si="52"/>
        <v>0.72527472527472536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47">
        <v>4680115889064</v>
      </c>
      <c r="E290" s="648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3"/>
      <c r="R290" s="653"/>
      <c r="S290" s="653"/>
      <c r="T290" s="654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482</v>
      </c>
      <c r="B291" s="54" t="s">
        <v>483</v>
      </c>
      <c r="C291" s="31">
        <v>4301051668</v>
      </c>
      <c r="D291" s="647">
        <v>4680115880221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3"/>
      <c r="R291" s="653"/>
      <c r="S291" s="653"/>
      <c r="T291" s="654"/>
      <c r="U291" s="34"/>
      <c r="V291" s="34"/>
      <c r="W291" s="35" t="s">
        <v>67</v>
      </c>
      <c r="X291" s="643">
        <v>170</v>
      </c>
      <c r="Y291" s="644">
        <f t="shared" si="48"/>
        <v>170.4</v>
      </c>
      <c r="Z291" s="36">
        <f>IFERROR(IF(Y291=0,"",ROUNDUP(Y291/H291,0)*0.00651),"")</f>
        <v>0.46221000000000001</v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187.85000000000002</v>
      </c>
      <c r="BN291" s="64">
        <f t="shared" si="50"/>
        <v>188.29200000000003</v>
      </c>
      <c r="BO291" s="64">
        <f t="shared" si="51"/>
        <v>0.38919413919413925</v>
      </c>
      <c r="BP291" s="64">
        <f t="shared" si="52"/>
        <v>0.39010989010989017</v>
      </c>
    </row>
    <row r="292" spans="1:68" ht="27" customHeight="1" x14ac:dyDescent="0.25">
      <c r="A292" s="54" t="s">
        <v>484</v>
      </c>
      <c r="B292" s="54" t="s">
        <v>485</v>
      </c>
      <c r="C292" s="31">
        <v>4301051945</v>
      </c>
      <c r="D292" s="647">
        <v>4680115880504</v>
      </c>
      <c r="E292" s="648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3"/>
      <c r="R292" s="653"/>
      <c r="S292" s="653"/>
      <c r="T292" s="654"/>
      <c r="U292" s="34"/>
      <c r="V292" s="34"/>
      <c r="W292" s="35" t="s">
        <v>67</v>
      </c>
      <c r="X292" s="643">
        <v>27</v>
      </c>
      <c r="Y292" s="644">
        <f t="shared" si="48"/>
        <v>28.799999999999997</v>
      </c>
      <c r="Z292" s="36">
        <f>IFERROR(IF(Y292=0,"",ROUNDUP(Y292/H292,0)*0.00651),"")</f>
        <v>7.8119999999999995E-2</v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29.835000000000001</v>
      </c>
      <c r="BN292" s="64">
        <f t="shared" si="50"/>
        <v>31.824000000000002</v>
      </c>
      <c r="BO292" s="64">
        <f t="shared" si="51"/>
        <v>6.1813186813186816E-2</v>
      </c>
      <c r="BP292" s="64">
        <f t="shared" si="52"/>
        <v>6.5934065934065936E-2</v>
      </c>
    </row>
    <row r="293" spans="1:68" ht="27" customHeight="1" x14ac:dyDescent="0.25">
      <c r="A293" s="54" t="s">
        <v>487</v>
      </c>
      <c r="B293" s="54" t="s">
        <v>488</v>
      </c>
      <c r="C293" s="31">
        <v>4301051410</v>
      </c>
      <c r="D293" s="647">
        <v>4680115882164</v>
      </c>
      <c r="E293" s="648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3"/>
      <c r="R293" s="653"/>
      <c r="S293" s="653"/>
      <c r="T293" s="654"/>
      <c r="U293" s="34"/>
      <c r="V293" s="34"/>
      <c r="W293" s="35" t="s">
        <v>67</v>
      </c>
      <c r="X293" s="643">
        <v>183</v>
      </c>
      <c r="Y293" s="644">
        <f t="shared" si="48"/>
        <v>184.79999999999998</v>
      </c>
      <c r="Z293" s="36">
        <f>IFERROR(IF(Y293=0,"",ROUNDUP(Y293/H293,0)*0.00651),"")</f>
        <v>0.50126999999999999</v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202.67250000000001</v>
      </c>
      <c r="BN293" s="64">
        <f t="shared" si="50"/>
        <v>204.66599999999997</v>
      </c>
      <c r="BO293" s="64">
        <f t="shared" si="51"/>
        <v>0.41895604395604397</v>
      </c>
      <c r="BP293" s="64">
        <f t="shared" si="52"/>
        <v>0.42307692307692313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47">
        <v>4680115888340</v>
      </c>
      <c r="E294" s="648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10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3"/>
      <c r="R294" s="653"/>
      <c r="S294" s="653"/>
      <c r="T294" s="654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7"/>
      <c r="B295" s="658"/>
      <c r="C295" s="658"/>
      <c r="D295" s="658"/>
      <c r="E295" s="658"/>
      <c r="F295" s="658"/>
      <c r="G295" s="658"/>
      <c r="H295" s="658"/>
      <c r="I295" s="658"/>
      <c r="J295" s="658"/>
      <c r="K295" s="658"/>
      <c r="L295" s="658"/>
      <c r="M295" s="658"/>
      <c r="N295" s="658"/>
      <c r="O295" s="659"/>
      <c r="P295" s="649" t="s">
        <v>72</v>
      </c>
      <c r="Q295" s="650"/>
      <c r="R295" s="650"/>
      <c r="S295" s="650"/>
      <c r="T295" s="650"/>
      <c r="U295" s="650"/>
      <c r="V295" s="651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322.1141975308642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326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2.1846099999999997</v>
      </c>
      <c r="AA295" s="646"/>
      <c r="AB295" s="646"/>
      <c r="AC295" s="646"/>
    </row>
    <row r="296" spans="1:68" x14ac:dyDescent="0.2">
      <c r="A296" s="658"/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9"/>
      <c r="P296" s="649" t="s">
        <v>72</v>
      </c>
      <c r="Q296" s="650"/>
      <c r="R296" s="650"/>
      <c r="S296" s="650"/>
      <c r="T296" s="650"/>
      <c r="U296" s="650"/>
      <c r="V296" s="651"/>
      <c r="W296" s="37" t="s">
        <v>67</v>
      </c>
      <c r="X296" s="645">
        <f>IFERROR(SUM(X283:X294),"0")</f>
        <v>797</v>
      </c>
      <c r="Y296" s="645">
        <f>IFERROR(SUM(Y283:Y294),"0")</f>
        <v>810.89999999999986</v>
      </c>
      <c r="Z296" s="37"/>
      <c r="AA296" s="646"/>
      <c r="AB296" s="646"/>
      <c r="AC296" s="646"/>
    </row>
    <row r="297" spans="1:68" ht="14.25" hidden="1" customHeight="1" x14ac:dyDescent="0.25">
      <c r="A297" s="667" t="s">
        <v>168</v>
      </c>
      <c r="B297" s="658"/>
      <c r="C297" s="658"/>
      <c r="D297" s="658"/>
      <c r="E297" s="658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39"/>
      <c r="AB297" s="639"/>
      <c r="AC297" s="639"/>
    </row>
    <row r="298" spans="1:68" ht="27" customHeight="1" x14ac:dyDescent="0.25">
      <c r="A298" s="54" t="s">
        <v>493</v>
      </c>
      <c r="B298" s="54" t="s">
        <v>494</v>
      </c>
      <c r="C298" s="31">
        <v>4301060463</v>
      </c>
      <c r="D298" s="647">
        <v>4680115880818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3"/>
      <c r="R298" s="653"/>
      <c r="S298" s="653"/>
      <c r="T298" s="654"/>
      <c r="U298" s="34"/>
      <c r="V298" s="34"/>
      <c r="W298" s="35" t="s">
        <v>67</v>
      </c>
      <c r="X298" s="643">
        <v>7</v>
      </c>
      <c r="Y298" s="644">
        <f>IFERROR(IF(X298="",0,CEILING((X298/$H298),1)*$H298),"")</f>
        <v>7.1999999999999993</v>
      </c>
      <c r="Z298" s="36">
        <f>IFERROR(IF(Y298=0,"",ROUNDUP(Y298/H298,0)*0.00651),"")</f>
        <v>1.9529999999999999E-2</v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7.7350000000000003</v>
      </c>
      <c r="BN298" s="64">
        <f>IFERROR(Y298*I298/H298,"0")</f>
        <v>7.9560000000000004</v>
      </c>
      <c r="BO298" s="64">
        <f>IFERROR(1/J298*(X298/H298),"0")</f>
        <v>1.6025641025641028E-2</v>
      </c>
      <c r="BP298" s="64">
        <f>IFERROR(1/J298*(Y298/H298),"0")</f>
        <v>1.6483516483516484E-2</v>
      </c>
    </row>
    <row r="299" spans="1:68" ht="27" hidden="1" customHeight="1" x14ac:dyDescent="0.25">
      <c r="A299" s="54" t="s">
        <v>496</v>
      </c>
      <c r="B299" s="54" t="s">
        <v>497</v>
      </c>
      <c r="C299" s="31">
        <v>4301060389</v>
      </c>
      <c r="D299" s="647">
        <v>4680115880801</v>
      </c>
      <c r="E299" s="648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3"/>
      <c r="R299" s="653"/>
      <c r="S299" s="653"/>
      <c r="T299" s="654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7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59"/>
      <c r="P300" s="649" t="s">
        <v>72</v>
      </c>
      <c r="Q300" s="650"/>
      <c r="R300" s="650"/>
      <c r="S300" s="650"/>
      <c r="T300" s="650"/>
      <c r="U300" s="650"/>
      <c r="V300" s="651"/>
      <c r="W300" s="37" t="s">
        <v>73</v>
      </c>
      <c r="X300" s="645">
        <f>IFERROR(X298/H298,"0")+IFERROR(X299/H299,"0")</f>
        <v>2.916666666666667</v>
      </c>
      <c r="Y300" s="645">
        <f>IFERROR(Y298/H298,"0")+IFERROR(Y299/H299,"0")</f>
        <v>3</v>
      </c>
      <c r="Z300" s="645">
        <f>IFERROR(IF(Z298="",0,Z298),"0")+IFERROR(IF(Z299="",0,Z299),"0")</f>
        <v>1.9529999999999999E-2</v>
      </c>
      <c r="AA300" s="646"/>
      <c r="AB300" s="646"/>
      <c r="AC300" s="646"/>
    </row>
    <row r="301" spans="1:68" x14ac:dyDescent="0.2">
      <c r="A301" s="658"/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9"/>
      <c r="P301" s="649" t="s">
        <v>72</v>
      </c>
      <c r="Q301" s="650"/>
      <c r="R301" s="650"/>
      <c r="S301" s="650"/>
      <c r="T301" s="650"/>
      <c r="U301" s="650"/>
      <c r="V301" s="651"/>
      <c r="W301" s="37" t="s">
        <v>67</v>
      </c>
      <c r="X301" s="645">
        <f>IFERROR(SUM(X298:X299),"0")</f>
        <v>7</v>
      </c>
      <c r="Y301" s="645">
        <f>IFERROR(SUM(Y298:Y299),"0")</f>
        <v>7.1999999999999993</v>
      </c>
      <c r="Z301" s="37"/>
      <c r="AA301" s="646"/>
      <c r="AB301" s="646"/>
      <c r="AC301" s="646"/>
    </row>
    <row r="302" spans="1:68" ht="16.5" hidden="1" customHeight="1" x14ac:dyDescent="0.25">
      <c r="A302" s="673" t="s">
        <v>499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38"/>
      <c r="AB302" s="638"/>
      <c r="AC302" s="638"/>
    </row>
    <row r="303" spans="1:68" ht="14.25" hidden="1" customHeight="1" x14ac:dyDescent="0.25">
      <c r="A303" s="667" t="s">
        <v>111</v>
      </c>
      <c r="B303" s="658"/>
      <c r="C303" s="658"/>
      <c r="D303" s="658"/>
      <c r="E303" s="658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39"/>
      <c r="AB303" s="639"/>
      <c r="AC303" s="639"/>
    </row>
    <row r="304" spans="1:68" ht="27" hidden="1" customHeight="1" x14ac:dyDescent="0.25">
      <c r="A304" s="54" t="s">
        <v>500</v>
      </c>
      <c r="B304" s="54" t="s">
        <v>501</v>
      </c>
      <c r="C304" s="31">
        <v>4301011826</v>
      </c>
      <c r="D304" s="647">
        <v>4680115884137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3"/>
      <c r="R304" s="653"/>
      <c r="S304" s="653"/>
      <c r="T304" s="654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503</v>
      </c>
      <c r="B305" s="54" t="s">
        <v>504</v>
      </c>
      <c r="C305" s="31">
        <v>4301011724</v>
      </c>
      <c r="D305" s="647">
        <v>4680115884236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3"/>
      <c r="R305" s="653"/>
      <c r="S305" s="653"/>
      <c r="T305" s="654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47">
        <v>4680115884175</v>
      </c>
      <c r="E306" s="648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3"/>
      <c r="R306" s="653"/>
      <c r="S306" s="653"/>
      <c r="T306" s="654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47">
        <v>4680115884144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3"/>
      <c r="R307" s="653"/>
      <c r="S307" s="653"/>
      <c r="T307" s="654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47">
        <v>4680115886551</v>
      </c>
      <c r="E308" s="648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3"/>
      <c r="R308" s="653"/>
      <c r="S308" s="653"/>
      <c r="T308" s="654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47">
        <v>4680115887282</v>
      </c>
      <c r="E309" s="648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3"/>
      <c r="R309" s="653"/>
      <c r="S309" s="653"/>
      <c r="T309" s="654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516</v>
      </c>
      <c r="B310" s="54" t="s">
        <v>517</v>
      </c>
      <c r="C310" s="31">
        <v>4301011722</v>
      </c>
      <c r="D310" s="647">
        <v>4680115884205</v>
      </c>
      <c r="E310" s="648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3"/>
      <c r="R310" s="653"/>
      <c r="S310" s="653"/>
      <c r="T310" s="654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7"/>
      <c r="B311" s="658"/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9"/>
      <c r="P311" s="649" t="s">
        <v>72</v>
      </c>
      <c r="Q311" s="650"/>
      <c r="R311" s="650"/>
      <c r="S311" s="650"/>
      <c r="T311" s="650"/>
      <c r="U311" s="650"/>
      <c r="V311" s="651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8"/>
      <c r="B312" s="658"/>
      <c r="C312" s="658"/>
      <c r="D312" s="658"/>
      <c r="E312" s="658"/>
      <c r="F312" s="658"/>
      <c r="G312" s="658"/>
      <c r="H312" s="658"/>
      <c r="I312" s="658"/>
      <c r="J312" s="658"/>
      <c r="K312" s="658"/>
      <c r="L312" s="658"/>
      <c r="M312" s="658"/>
      <c r="N312" s="658"/>
      <c r="O312" s="659"/>
      <c r="P312" s="649" t="s">
        <v>72</v>
      </c>
      <c r="Q312" s="650"/>
      <c r="R312" s="650"/>
      <c r="S312" s="650"/>
      <c r="T312" s="650"/>
      <c r="U312" s="650"/>
      <c r="V312" s="651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67" t="s">
        <v>148</v>
      </c>
      <c r="B313" s="658"/>
      <c r="C313" s="658"/>
      <c r="D313" s="658"/>
      <c r="E313" s="658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47">
        <v>4680115885981</v>
      </c>
      <c r="E314" s="648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3"/>
      <c r="R314" s="653"/>
      <c r="S314" s="653"/>
      <c r="T314" s="654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59"/>
      <c r="P315" s="649" t="s">
        <v>72</v>
      </c>
      <c r="Q315" s="650"/>
      <c r="R315" s="650"/>
      <c r="S315" s="650"/>
      <c r="T315" s="650"/>
      <c r="U315" s="650"/>
      <c r="V315" s="651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59"/>
      <c r="P316" s="649" t="s">
        <v>72</v>
      </c>
      <c r="Q316" s="650"/>
      <c r="R316" s="650"/>
      <c r="S316" s="650"/>
      <c r="T316" s="650"/>
      <c r="U316" s="650"/>
      <c r="V316" s="651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67" t="s">
        <v>521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39"/>
      <c r="AB317" s="639"/>
      <c r="AC317" s="639"/>
    </row>
    <row r="318" spans="1:68" ht="27" customHeight="1" x14ac:dyDescent="0.25">
      <c r="A318" s="54" t="s">
        <v>522</v>
      </c>
      <c r="B318" s="54" t="s">
        <v>523</v>
      </c>
      <c r="C318" s="31">
        <v>4301040362</v>
      </c>
      <c r="D318" s="647">
        <v>4680115886803</v>
      </c>
      <c r="E318" s="648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3"/>
      <c r="R318" s="653"/>
      <c r="S318" s="653"/>
      <c r="T318" s="654"/>
      <c r="U318" s="34"/>
      <c r="V318" s="34"/>
      <c r="W318" s="35" t="s">
        <v>67</v>
      </c>
      <c r="X318" s="643">
        <v>2</v>
      </c>
      <c r="Y318" s="644">
        <f>IFERROR(IF(X318="",0,CEILING((X318/$H318),1)*$H318),"")</f>
        <v>3.6</v>
      </c>
      <c r="Z318" s="36">
        <f>IFERROR(IF(Y318=0,"",ROUNDUP(Y318/H318,0)*0.0059),"")</f>
        <v>1.18E-2</v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2.1944444444444446</v>
      </c>
      <c r="BN318" s="64">
        <f>IFERROR(Y318*I318/H318,"0")</f>
        <v>3.95</v>
      </c>
      <c r="BO318" s="64">
        <f>IFERROR(1/J318*(X318/H318),"0")</f>
        <v>5.1440329218106996E-3</v>
      </c>
      <c r="BP318" s="64">
        <f>IFERROR(1/J318*(Y318/H318),"0")</f>
        <v>9.2592592592592587E-3</v>
      </c>
    </row>
    <row r="319" spans="1:68" x14ac:dyDescent="0.2">
      <c r="A319" s="657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59"/>
      <c r="P319" s="649" t="s">
        <v>72</v>
      </c>
      <c r="Q319" s="650"/>
      <c r="R319" s="650"/>
      <c r="S319" s="650"/>
      <c r="T319" s="650"/>
      <c r="U319" s="650"/>
      <c r="V319" s="651"/>
      <c r="W319" s="37" t="s">
        <v>73</v>
      </c>
      <c r="X319" s="645">
        <f>IFERROR(X318/H318,"0")</f>
        <v>1.1111111111111112</v>
      </c>
      <c r="Y319" s="645">
        <f>IFERROR(Y318/H318,"0")</f>
        <v>2</v>
      </c>
      <c r="Z319" s="645">
        <f>IFERROR(IF(Z318="",0,Z318),"0")</f>
        <v>1.18E-2</v>
      </c>
      <c r="AA319" s="646"/>
      <c r="AB319" s="646"/>
      <c r="AC319" s="646"/>
    </row>
    <row r="320" spans="1:68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59"/>
      <c r="P320" s="649" t="s">
        <v>72</v>
      </c>
      <c r="Q320" s="650"/>
      <c r="R320" s="650"/>
      <c r="S320" s="650"/>
      <c r="T320" s="650"/>
      <c r="U320" s="650"/>
      <c r="V320" s="651"/>
      <c r="W320" s="37" t="s">
        <v>67</v>
      </c>
      <c r="X320" s="645">
        <f>IFERROR(SUM(X318:X318),"0")</f>
        <v>2</v>
      </c>
      <c r="Y320" s="645">
        <f>IFERROR(SUM(Y318:Y318),"0")</f>
        <v>3.6</v>
      </c>
      <c r="Z320" s="37"/>
      <c r="AA320" s="646"/>
      <c r="AB320" s="646"/>
      <c r="AC320" s="646"/>
    </row>
    <row r="321" spans="1:68" ht="14.25" hidden="1" customHeight="1" x14ac:dyDescent="0.25">
      <c r="A321" s="667" t="s">
        <v>331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47">
        <v>4680115886681</v>
      </c>
      <c r="E322" s="648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3"/>
      <c r="R322" s="653"/>
      <c r="S322" s="653"/>
      <c r="T322" s="654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7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59"/>
      <c r="P323" s="649" t="s">
        <v>72</v>
      </c>
      <c r="Q323" s="650"/>
      <c r="R323" s="650"/>
      <c r="S323" s="650"/>
      <c r="T323" s="650"/>
      <c r="U323" s="650"/>
      <c r="V323" s="651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59"/>
      <c r="P324" s="649" t="s">
        <v>72</v>
      </c>
      <c r="Q324" s="650"/>
      <c r="R324" s="650"/>
      <c r="S324" s="650"/>
      <c r="T324" s="650"/>
      <c r="U324" s="650"/>
      <c r="V324" s="651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673" t="s">
        <v>528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38"/>
      <c r="AB325" s="638"/>
      <c r="AC325" s="638"/>
    </row>
    <row r="326" spans="1:68" ht="14.25" hidden="1" customHeight="1" x14ac:dyDescent="0.25">
      <c r="A326" s="667" t="s">
        <v>111</v>
      </c>
      <c r="B326" s="658"/>
      <c r="C326" s="658"/>
      <c r="D326" s="658"/>
      <c r="E326" s="658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47">
        <v>4680115889637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3"/>
      <c r="R327" s="653"/>
      <c r="S327" s="653"/>
      <c r="T327" s="654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47">
        <v>4680115885837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3"/>
      <c r="R328" s="653"/>
      <c r="S328" s="653"/>
      <c r="T328" s="654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47">
        <v>4680115887237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3"/>
      <c r="R329" s="653"/>
      <c r="S329" s="653"/>
      <c r="T329" s="654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47">
        <v>4680115885806</v>
      </c>
      <c r="E330" s="648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3"/>
      <c r="R330" s="653"/>
      <c r="S330" s="653"/>
      <c r="T330" s="654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47">
        <v>4680115885844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3"/>
      <c r="R331" s="653"/>
      <c r="S331" s="653"/>
      <c r="T331" s="654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47">
        <v>4680115885820</v>
      </c>
      <c r="E332" s="648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3"/>
      <c r="R332" s="653"/>
      <c r="S332" s="653"/>
      <c r="T332" s="654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7"/>
      <c r="B333" s="658"/>
      <c r="C333" s="658"/>
      <c r="D333" s="658"/>
      <c r="E333" s="658"/>
      <c r="F333" s="658"/>
      <c r="G333" s="658"/>
      <c r="H333" s="658"/>
      <c r="I333" s="658"/>
      <c r="J333" s="658"/>
      <c r="K333" s="658"/>
      <c r="L333" s="658"/>
      <c r="M333" s="658"/>
      <c r="N333" s="658"/>
      <c r="O333" s="659"/>
      <c r="P333" s="649" t="s">
        <v>72</v>
      </c>
      <c r="Q333" s="650"/>
      <c r="R333" s="650"/>
      <c r="S333" s="650"/>
      <c r="T333" s="650"/>
      <c r="U333" s="650"/>
      <c r="V333" s="651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58"/>
      <c r="B334" s="658"/>
      <c r="C334" s="658"/>
      <c r="D334" s="658"/>
      <c r="E334" s="658"/>
      <c r="F334" s="658"/>
      <c r="G334" s="658"/>
      <c r="H334" s="658"/>
      <c r="I334" s="658"/>
      <c r="J334" s="658"/>
      <c r="K334" s="658"/>
      <c r="L334" s="658"/>
      <c r="M334" s="658"/>
      <c r="N334" s="658"/>
      <c r="O334" s="659"/>
      <c r="P334" s="649" t="s">
        <v>72</v>
      </c>
      <c r="Q334" s="650"/>
      <c r="R334" s="650"/>
      <c r="S334" s="650"/>
      <c r="T334" s="650"/>
      <c r="U334" s="650"/>
      <c r="V334" s="651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673" t="s">
        <v>548</v>
      </c>
      <c r="B335" s="658"/>
      <c r="C335" s="658"/>
      <c r="D335" s="658"/>
      <c r="E335" s="658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38"/>
      <c r="AB335" s="638"/>
      <c r="AC335" s="638"/>
    </row>
    <row r="336" spans="1:68" ht="14.25" hidden="1" customHeight="1" x14ac:dyDescent="0.25">
      <c r="A336" s="667" t="s">
        <v>74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47">
        <v>4680115886186</v>
      </c>
      <c r="E337" s="648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3"/>
      <c r="R337" s="653"/>
      <c r="S337" s="653"/>
      <c r="T337" s="654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552</v>
      </c>
      <c r="B338" s="54" t="s">
        <v>553</v>
      </c>
      <c r="C338" s="31">
        <v>4301051795</v>
      </c>
      <c r="D338" s="647">
        <v>4680115881228</v>
      </c>
      <c r="E338" s="648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101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3"/>
      <c r="R338" s="653"/>
      <c r="S338" s="653"/>
      <c r="T338" s="654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555</v>
      </c>
      <c r="B339" s="54" t="s">
        <v>556</v>
      </c>
      <c r="C339" s="31">
        <v>4301051388</v>
      </c>
      <c r="D339" s="647">
        <v>4680115881211</v>
      </c>
      <c r="E339" s="648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3"/>
      <c r="R339" s="653"/>
      <c r="S339" s="653"/>
      <c r="T339" s="654"/>
      <c r="U339" s="34"/>
      <c r="V339" s="34"/>
      <c r="W339" s="35" t="s">
        <v>67</v>
      </c>
      <c r="X339" s="643">
        <v>0</v>
      </c>
      <c r="Y339" s="64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57"/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9"/>
      <c r="P340" s="649" t="s">
        <v>72</v>
      </c>
      <c r="Q340" s="650"/>
      <c r="R340" s="650"/>
      <c r="S340" s="650"/>
      <c r="T340" s="650"/>
      <c r="U340" s="650"/>
      <c r="V340" s="651"/>
      <c r="W340" s="37" t="s">
        <v>73</v>
      </c>
      <c r="X340" s="645">
        <f>IFERROR(X337/H337,"0")+IFERROR(X338/H338,"0")+IFERROR(X339/H339,"0")</f>
        <v>0</v>
      </c>
      <c r="Y340" s="645">
        <f>IFERROR(Y337/H337,"0")+IFERROR(Y338/H338,"0")+IFERROR(Y339/H339,"0")</f>
        <v>0</v>
      </c>
      <c r="Z340" s="645">
        <f>IFERROR(IF(Z337="",0,Z337),"0")+IFERROR(IF(Z338="",0,Z338),"0")+IFERROR(IF(Z339="",0,Z339),"0")</f>
        <v>0</v>
      </c>
      <c r="AA340" s="646"/>
      <c r="AB340" s="646"/>
      <c r="AC340" s="646"/>
    </row>
    <row r="341" spans="1:68" hidden="1" x14ac:dyDescent="0.2">
      <c r="A341" s="658"/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9"/>
      <c r="P341" s="649" t="s">
        <v>72</v>
      </c>
      <c r="Q341" s="650"/>
      <c r="R341" s="650"/>
      <c r="S341" s="650"/>
      <c r="T341" s="650"/>
      <c r="U341" s="650"/>
      <c r="V341" s="651"/>
      <c r="W341" s="37" t="s">
        <v>67</v>
      </c>
      <c r="X341" s="645">
        <f>IFERROR(SUM(X337:X339),"0")</f>
        <v>0</v>
      </c>
      <c r="Y341" s="645">
        <f>IFERROR(SUM(Y337:Y339),"0")</f>
        <v>0</v>
      </c>
      <c r="Z341" s="37"/>
      <c r="AA341" s="646"/>
      <c r="AB341" s="646"/>
      <c r="AC341" s="646"/>
    </row>
    <row r="342" spans="1:68" ht="16.5" hidden="1" customHeight="1" x14ac:dyDescent="0.25">
      <c r="A342" s="673" t="s">
        <v>557</v>
      </c>
      <c r="B342" s="658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38"/>
      <c r="AB342" s="638"/>
      <c r="AC342" s="638"/>
    </row>
    <row r="343" spans="1:68" ht="14.25" hidden="1" customHeight="1" x14ac:dyDescent="0.25">
      <c r="A343" s="667" t="s">
        <v>62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47">
        <v>4680115888319</v>
      </c>
      <c r="E344" s="648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97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3"/>
      <c r="R344" s="653"/>
      <c r="S344" s="653"/>
      <c r="T344" s="654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47">
        <v>4680115884700</v>
      </c>
      <c r="E345" s="648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3"/>
      <c r="R345" s="653"/>
      <c r="S345" s="653"/>
      <c r="T345" s="654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47">
        <v>4680115880344</v>
      </c>
      <c r="E346" s="648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3"/>
      <c r="R346" s="653"/>
      <c r="S346" s="653"/>
      <c r="T346" s="654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47">
        <v>4680115886919</v>
      </c>
      <c r="E347" s="648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9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3"/>
      <c r="R347" s="653"/>
      <c r="S347" s="653"/>
      <c r="T347" s="654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47">
        <v>4680115883970</v>
      </c>
      <c r="E348" s="648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93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3"/>
      <c r="R348" s="653"/>
      <c r="S348" s="653"/>
      <c r="T348" s="654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7"/>
      <c r="B349" s="658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9"/>
      <c r="P349" s="649" t="s">
        <v>72</v>
      </c>
      <c r="Q349" s="650"/>
      <c r="R349" s="650"/>
      <c r="S349" s="650"/>
      <c r="T349" s="650"/>
      <c r="U349" s="650"/>
      <c r="V349" s="651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58"/>
      <c r="B350" s="658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9"/>
      <c r="P350" s="649" t="s">
        <v>72</v>
      </c>
      <c r="Q350" s="650"/>
      <c r="R350" s="650"/>
      <c r="S350" s="650"/>
      <c r="T350" s="650"/>
      <c r="U350" s="650"/>
      <c r="V350" s="651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67" t="s">
        <v>74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47">
        <v>4680115884618</v>
      </c>
      <c r="E352" s="648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3"/>
      <c r="R352" s="653"/>
      <c r="S352" s="653"/>
      <c r="T352" s="654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47">
        <v>4680115887114</v>
      </c>
      <c r="E353" s="648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3"/>
      <c r="R353" s="653"/>
      <c r="S353" s="653"/>
      <c r="T353" s="654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7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9"/>
      <c r="P354" s="649" t="s">
        <v>72</v>
      </c>
      <c r="Q354" s="650"/>
      <c r="R354" s="650"/>
      <c r="S354" s="650"/>
      <c r="T354" s="650"/>
      <c r="U354" s="650"/>
      <c r="V354" s="651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59"/>
      <c r="P355" s="649" t="s">
        <v>72</v>
      </c>
      <c r="Q355" s="650"/>
      <c r="R355" s="650"/>
      <c r="S355" s="650"/>
      <c r="T355" s="650"/>
      <c r="U355" s="650"/>
      <c r="V355" s="651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673" t="s">
        <v>578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38"/>
      <c r="AB356" s="638"/>
      <c r="AC356" s="638"/>
    </row>
    <row r="357" spans="1:68" ht="14.25" hidden="1" customHeight="1" x14ac:dyDescent="0.25">
      <c r="A357" s="667" t="s">
        <v>111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39"/>
      <c r="AB357" s="639"/>
      <c r="AC357" s="639"/>
    </row>
    <row r="358" spans="1:68" ht="27" customHeight="1" x14ac:dyDescent="0.25">
      <c r="A358" s="54" t="s">
        <v>579</v>
      </c>
      <c r="B358" s="54" t="s">
        <v>580</v>
      </c>
      <c r="C358" s="31">
        <v>4301012324</v>
      </c>
      <c r="D358" s="647">
        <v>4680115887947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3"/>
      <c r="R358" s="653"/>
      <c r="S358" s="653"/>
      <c r="T358" s="654"/>
      <c r="U358" s="34"/>
      <c r="V358" s="34"/>
      <c r="W358" s="35" t="s">
        <v>67</v>
      </c>
      <c r="X358" s="643">
        <v>176</v>
      </c>
      <c r="Y358" s="644">
        <f>IFERROR(IF(X358="",0,CEILING((X358/$H358),1)*$H358),"")</f>
        <v>179.4</v>
      </c>
      <c r="Z358" s="36">
        <f>IFERROR(IF(Y358=0,"",ROUNDUP(Y358/H358,0)*0.01898),"")</f>
        <v>0.43653999999999998</v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185.25128205128206</v>
      </c>
      <c r="BN358" s="64">
        <f>IFERROR(Y358*I358/H358,"0")</f>
        <v>188.83000000000004</v>
      </c>
      <c r="BO358" s="64">
        <f>IFERROR(1/J358*(X358/H358),"0")</f>
        <v>0.35256410256410259</v>
      </c>
      <c r="BP358" s="64">
        <f>IFERROR(1/J358*(Y358/H358),"0")</f>
        <v>0.359375</v>
      </c>
    </row>
    <row r="359" spans="1:68" ht="27" hidden="1" customHeight="1" x14ac:dyDescent="0.25">
      <c r="A359" s="54" t="s">
        <v>581</v>
      </c>
      <c r="B359" s="54" t="s">
        <v>582</v>
      </c>
      <c r="C359" s="31">
        <v>4301012325</v>
      </c>
      <c r="D359" s="647">
        <v>4680115887978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3"/>
      <c r="R359" s="653"/>
      <c r="S359" s="653"/>
      <c r="T359" s="654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47">
        <v>4680115887992</v>
      </c>
      <c r="E360" s="648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3"/>
      <c r="R360" s="653"/>
      <c r="S360" s="653"/>
      <c r="T360" s="654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57"/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9"/>
      <c r="P361" s="649" t="s">
        <v>72</v>
      </c>
      <c r="Q361" s="650"/>
      <c r="R361" s="650"/>
      <c r="S361" s="650"/>
      <c r="T361" s="650"/>
      <c r="U361" s="650"/>
      <c r="V361" s="651"/>
      <c r="W361" s="37" t="s">
        <v>73</v>
      </c>
      <c r="X361" s="645">
        <f>IFERROR(X358/H358,"0")+IFERROR(X359/H359,"0")+IFERROR(X360/H360,"0")</f>
        <v>22.564102564102566</v>
      </c>
      <c r="Y361" s="645">
        <f>IFERROR(Y358/H358,"0")+IFERROR(Y359/H359,"0")+IFERROR(Y360/H360,"0")</f>
        <v>23</v>
      </c>
      <c r="Z361" s="645">
        <f>IFERROR(IF(Z358="",0,Z358),"0")+IFERROR(IF(Z359="",0,Z359),"0")+IFERROR(IF(Z360="",0,Z360),"0")</f>
        <v>0.43653999999999998</v>
      </c>
      <c r="AA361" s="646"/>
      <c r="AB361" s="646"/>
      <c r="AC361" s="646"/>
    </row>
    <row r="362" spans="1:68" x14ac:dyDescent="0.2">
      <c r="A362" s="658"/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9"/>
      <c r="P362" s="649" t="s">
        <v>72</v>
      </c>
      <c r="Q362" s="650"/>
      <c r="R362" s="650"/>
      <c r="S362" s="650"/>
      <c r="T362" s="650"/>
      <c r="U362" s="650"/>
      <c r="V362" s="651"/>
      <c r="W362" s="37" t="s">
        <v>67</v>
      </c>
      <c r="X362" s="645">
        <f>IFERROR(SUM(X358:X360),"0")</f>
        <v>176</v>
      </c>
      <c r="Y362" s="645">
        <f>IFERROR(SUM(Y358:Y360),"0")</f>
        <v>179.4</v>
      </c>
      <c r="Z362" s="37"/>
      <c r="AA362" s="646"/>
      <c r="AB362" s="646"/>
      <c r="AC362" s="646"/>
    </row>
    <row r="363" spans="1:68" ht="16.5" hidden="1" customHeight="1" x14ac:dyDescent="0.25">
      <c r="A363" s="673" t="s">
        <v>587</v>
      </c>
      <c r="B363" s="658"/>
      <c r="C363" s="658"/>
      <c r="D363" s="658"/>
      <c r="E363" s="658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38"/>
      <c r="AB363" s="638"/>
      <c r="AC363" s="638"/>
    </row>
    <row r="364" spans="1:68" ht="14.25" hidden="1" customHeight="1" x14ac:dyDescent="0.25">
      <c r="A364" s="667" t="s">
        <v>111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47">
        <v>4680115889880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3"/>
      <c r="R365" s="653"/>
      <c r="S365" s="653"/>
      <c r="T365" s="654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47">
        <v>4680115889293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3"/>
      <c r="R366" s="653"/>
      <c r="S366" s="653"/>
      <c r="T366" s="654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47">
        <v>4680115887190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3"/>
      <c r="R367" s="653"/>
      <c r="S367" s="653"/>
      <c r="T367" s="654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47">
        <v>4680115887138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10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3"/>
      <c r="R368" s="653"/>
      <c r="S368" s="653"/>
      <c r="T368" s="654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4301012016</v>
      </c>
      <c r="D369" s="647">
        <v>4680115885554</v>
      </c>
      <c r="E369" s="648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3"/>
      <c r="R369" s="653"/>
      <c r="S369" s="653"/>
      <c r="T369" s="654"/>
      <c r="U369" s="34"/>
      <c r="V369" s="34"/>
      <c r="W369" s="35" t="s">
        <v>67</v>
      </c>
      <c r="X369" s="643">
        <v>0</v>
      </c>
      <c r="Y369" s="644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47">
        <v>4680115887220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3"/>
      <c r="R370" s="653"/>
      <c r="S370" s="653"/>
      <c r="T370" s="654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47">
        <v>4680115885608</v>
      </c>
      <c r="E371" s="648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7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3"/>
      <c r="R371" s="653"/>
      <c r="S371" s="653"/>
      <c r="T371" s="654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7"/>
      <c r="B372" s="658"/>
      <c r="C372" s="658"/>
      <c r="D372" s="658"/>
      <c r="E372" s="658"/>
      <c r="F372" s="658"/>
      <c r="G372" s="658"/>
      <c r="H372" s="658"/>
      <c r="I372" s="658"/>
      <c r="J372" s="658"/>
      <c r="K372" s="658"/>
      <c r="L372" s="658"/>
      <c r="M372" s="658"/>
      <c r="N372" s="658"/>
      <c r="O372" s="659"/>
      <c r="P372" s="649" t="s">
        <v>72</v>
      </c>
      <c r="Q372" s="650"/>
      <c r="R372" s="650"/>
      <c r="S372" s="650"/>
      <c r="T372" s="650"/>
      <c r="U372" s="650"/>
      <c r="V372" s="651"/>
      <c r="W372" s="37" t="s">
        <v>73</v>
      </c>
      <c r="X372" s="645">
        <f>IFERROR(X365/H365,"0")+IFERROR(X366/H366,"0")+IFERROR(X367/H367,"0")+IFERROR(X368/H368,"0")+IFERROR(X369/H369,"0")+IFERROR(X370/H370,"0")+IFERROR(X371/H371,"0")</f>
        <v>0</v>
      </c>
      <c r="Y372" s="645">
        <f>IFERROR(Y365/H365,"0")+IFERROR(Y366/H366,"0")+IFERROR(Y367/H367,"0")+IFERROR(Y368/H368,"0")+IFERROR(Y369/H369,"0")+IFERROR(Y370/H370,"0")+IFERROR(Y371/H371,"0")</f>
        <v>0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6"/>
      <c r="AB372" s="646"/>
      <c r="AC372" s="646"/>
    </row>
    <row r="373" spans="1:68" hidden="1" x14ac:dyDescent="0.2">
      <c r="A373" s="658"/>
      <c r="B373" s="658"/>
      <c r="C373" s="658"/>
      <c r="D373" s="658"/>
      <c r="E373" s="658"/>
      <c r="F373" s="658"/>
      <c r="G373" s="658"/>
      <c r="H373" s="658"/>
      <c r="I373" s="658"/>
      <c r="J373" s="658"/>
      <c r="K373" s="658"/>
      <c r="L373" s="658"/>
      <c r="M373" s="658"/>
      <c r="N373" s="658"/>
      <c r="O373" s="659"/>
      <c r="P373" s="649" t="s">
        <v>72</v>
      </c>
      <c r="Q373" s="650"/>
      <c r="R373" s="650"/>
      <c r="S373" s="650"/>
      <c r="T373" s="650"/>
      <c r="U373" s="650"/>
      <c r="V373" s="651"/>
      <c r="W373" s="37" t="s">
        <v>67</v>
      </c>
      <c r="X373" s="645">
        <f>IFERROR(SUM(X365:X371),"0")</f>
        <v>0</v>
      </c>
      <c r="Y373" s="645">
        <f>IFERROR(SUM(Y365:Y371),"0")</f>
        <v>0</v>
      </c>
      <c r="Z373" s="37"/>
      <c r="AA373" s="646"/>
      <c r="AB373" s="646"/>
      <c r="AC373" s="646"/>
    </row>
    <row r="374" spans="1:68" ht="14.25" hidden="1" customHeight="1" x14ac:dyDescent="0.25">
      <c r="A374" s="667" t="s">
        <v>62</v>
      </c>
      <c r="B374" s="658"/>
      <c r="C374" s="658"/>
      <c r="D374" s="658"/>
      <c r="E374" s="658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47">
        <v>4607091387193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3"/>
      <c r="R375" s="653"/>
      <c r="S375" s="653"/>
      <c r="T375" s="654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4301031153</v>
      </c>
      <c r="D376" s="647">
        <v>4607091387230</v>
      </c>
      <c r="E376" s="648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7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3"/>
      <c r="R376" s="653"/>
      <c r="S376" s="653"/>
      <c r="T376" s="654"/>
      <c r="U376" s="34"/>
      <c r="V376" s="34"/>
      <c r="W376" s="35" t="s">
        <v>67</v>
      </c>
      <c r="X376" s="643">
        <v>0</v>
      </c>
      <c r="Y376" s="644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47">
        <v>4607091387292</v>
      </c>
      <c r="E377" s="648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3"/>
      <c r="R377" s="653"/>
      <c r="S377" s="653"/>
      <c r="T377" s="654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47">
        <v>4607091387285</v>
      </c>
      <c r="E378" s="648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3"/>
      <c r="R378" s="653"/>
      <c r="S378" s="653"/>
      <c r="T378" s="654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47">
        <v>4607091389845</v>
      </c>
      <c r="E379" s="648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6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3"/>
      <c r="R379" s="653"/>
      <c r="S379" s="653"/>
      <c r="T379" s="654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47">
        <v>4680115887442</v>
      </c>
      <c r="E380" s="648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3"/>
      <c r="R380" s="653"/>
      <c r="S380" s="653"/>
      <c r="T380" s="654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4301031066</v>
      </c>
      <c r="D381" s="647">
        <v>4607091383836</v>
      </c>
      <c r="E381" s="648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70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3"/>
      <c r="R381" s="653"/>
      <c r="S381" s="653"/>
      <c r="T381" s="654"/>
      <c r="U381" s="34"/>
      <c r="V381" s="34"/>
      <c r="W381" s="35" t="s">
        <v>67</v>
      </c>
      <c r="X381" s="643">
        <v>14</v>
      </c>
      <c r="Y381" s="644">
        <f t="shared" si="68"/>
        <v>14.4</v>
      </c>
      <c r="Z381" s="36">
        <f>IFERROR(IF(Y381=0,"",ROUNDUP(Y381/H381,0)*0.00651),"")</f>
        <v>5.2080000000000001E-2</v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15.773333333333333</v>
      </c>
      <c r="BN381" s="64">
        <f t="shared" si="70"/>
        <v>16.224</v>
      </c>
      <c r="BO381" s="64">
        <f t="shared" si="71"/>
        <v>4.2735042735042736E-2</v>
      </c>
      <c r="BP381" s="64">
        <f t="shared" si="72"/>
        <v>4.3956043956043959E-2</v>
      </c>
    </row>
    <row r="382" spans="1:68" x14ac:dyDescent="0.2">
      <c r="A382" s="657"/>
      <c r="B382" s="658"/>
      <c r="C382" s="658"/>
      <c r="D382" s="658"/>
      <c r="E382" s="658"/>
      <c r="F382" s="658"/>
      <c r="G382" s="658"/>
      <c r="H382" s="658"/>
      <c r="I382" s="658"/>
      <c r="J382" s="658"/>
      <c r="K382" s="658"/>
      <c r="L382" s="658"/>
      <c r="M382" s="658"/>
      <c r="N382" s="658"/>
      <c r="O382" s="659"/>
      <c r="P382" s="649" t="s">
        <v>72</v>
      </c>
      <c r="Q382" s="650"/>
      <c r="R382" s="650"/>
      <c r="S382" s="650"/>
      <c r="T382" s="650"/>
      <c r="U382" s="650"/>
      <c r="V382" s="651"/>
      <c r="W382" s="37" t="s">
        <v>73</v>
      </c>
      <c r="X382" s="645">
        <f>IFERROR(X375/H375,"0")+IFERROR(X376/H376,"0")+IFERROR(X377/H377,"0")+IFERROR(X378/H378,"0")+IFERROR(X379/H379,"0")+IFERROR(X380/H380,"0")+IFERROR(X381/H381,"0")</f>
        <v>7.7777777777777777</v>
      </c>
      <c r="Y382" s="645">
        <f>IFERROR(Y375/H375,"0")+IFERROR(Y376/H376,"0")+IFERROR(Y377/H377,"0")+IFERROR(Y378/H378,"0")+IFERROR(Y379/H379,"0")+IFERROR(Y380/H380,"0")+IFERROR(Y381/H381,"0")</f>
        <v>8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5.2080000000000001E-2</v>
      </c>
      <c r="AA382" s="646"/>
      <c r="AB382" s="646"/>
      <c r="AC382" s="646"/>
    </row>
    <row r="383" spans="1:68" x14ac:dyDescent="0.2">
      <c r="A383" s="658"/>
      <c r="B383" s="658"/>
      <c r="C383" s="658"/>
      <c r="D383" s="658"/>
      <c r="E383" s="658"/>
      <c r="F383" s="658"/>
      <c r="G383" s="658"/>
      <c r="H383" s="658"/>
      <c r="I383" s="658"/>
      <c r="J383" s="658"/>
      <c r="K383" s="658"/>
      <c r="L383" s="658"/>
      <c r="M383" s="658"/>
      <c r="N383" s="658"/>
      <c r="O383" s="659"/>
      <c r="P383" s="649" t="s">
        <v>72</v>
      </c>
      <c r="Q383" s="650"/>
      <c r="R383" s="650"/>
      <c r="S383" s="650"/>
      <c r="T383" s="650"/>
      <c r="U383" s="650"/>
      <c r="V383" s="651"/>
      <c r="W383" s="37" t="s">
        <v>67</v>
      </c>
      <c r="X383" s="645">
        <f>IFERROR(SUM(X375:X381),"0")</f>
        <v>14</v>
      </c>
      <c r="Y383" s="645">
        <f>IFERROR(SUM(Y375:Y381),"0")</f>
        <v>14.4</v>
      </c>
      <c r="Z383" s="37"/>
      <c r="AA383" s="646"/>
      <c r="AB383" s="646"/>
      <c r="AC383" s="646"/>
    </row>
    <row r="384" spans="1:68" ht="14.25" hidden="1" customHeight="1" x14ac:dyDescent="0.25">
      <c r="A384" s="667" t="s">
        <v>74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47">
        <v>4607091387766</v>
      </c>
      <c r="E385" s="648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3"/>
      <c r="R385" s="653"/>
      <c r="S385" s="653"/>
      <c r="T385" s="654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47">
        <v>4607091387957</v>
      </c>
      <c r="E386" s="648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3"/>
      <c r="R386" s="653"/>
      <c r="S386" s="653"/>
      <c r="T386" s="654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47">
        <v>4607091387964</v>
      </c>
      <c r="E387" s="648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3"/>
      <c r="R387" s="653"/>
      <c r="S387" s="653"/>
      <c r="T387" s="654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47">
        <v>4680115884588</v>
      </c>
      <c r="E388" s="648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3"/>
      <c r="R388" s="653"/>
      <c r="S388" s="653"/>
      <c r="T388" s="654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7"/>
      <c r="B389" s="658"/>
      <c r="C389" s="658"/>
      <c r="D389" s="658"/>
      <c r="E389" s="658"/>
      <c r="F389" s="658"/>
      <c r="G389" s="658"/>
      <c r="H389" s="658"/>
      <c r="I389" s="658"/>
      <c r="J389" s="658"/>
      <c r="K389" s="658"/>
      <c r="L389" s="658"/>
      <c r="M389" s="658"/>
      <c r="N389" s="658"/>
      <c r="O389" s="659"/>
      <c r="P389" s="649" t="s">
        <v>72</v>
      </c>
      <c r="Q389" s="650"/>
      <c r="R389" s="650"/>
      <c r="S389" s="650"/>
      <c r="T389" s="650"/>
      <c r="U389" s="650"/>
      <c r="V389" s="651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58"/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9"/>
      <c r="P390" s="649" t="s">
        <v>72</v>
      </c>
      <c r="Q390" s="650"/>
      <c r="R390" s="650"/>
      <c r="S390" s="650"/>
      <c r="T390" s="650"/>
      <c r="U390" s="650"/>
      <c r="V390" s="651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67" t="s">
        <v>168</v>
      </c>
      <c r="B391" s="658"/>
      <c r="C391" s="658"/>
      <c r="D391" s="658"/>
      <c r="E391" s="658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39"/>
      <c r="AB391" s="639"/>
      <c r="AC391" s="639"/>
    </row>
    <row r="392" spans="1:68" ht="27" customHeight="1" x14ac:dyDescent="0.25">
      <c r="A392" s="54" t="s">
        <v>637</v>
      </c>
      <c r="B392" s="54" t="s">
        <v>638</v>
      </c>
      <c r="C392" s="31">
        <v>4301060387</v>
      </c>
      <c r="D392" s="647">
        <v>4607091380880</v>
      </c>
      <c r="E392" s="648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3"/>
      <c r="R392" s="653"/>
      <c r="S392" s="653"/>
      <c r="T392" s="654"/>
      <c r="U392" s="34"/>
      <c r="V392" s="34"/>
      <c r="W392" s="35" t="s">
        <v>67</v>
      </c>
      <c r="X392" s="643">
        <v>365</v>
      </c>
      <c r="Y392" s="644">
        <f>IFERROR(IF(X392="",0,CEILING((X392/$H392),1)*$H392),"")</f>
        <v>369.6</v>
      </c>
      <c r="Z392" s="36">
        <f>IFERROR(IF(Y392=0,"",ROUNDUP(Y392/H392,0)*0.01898),"")</f>
        <v>0.83511999999999997</v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386.46547619047618</v>
      </c>
      <c r="BN392" s="64">
        <f>IFERROR(Y392*I392/H392,"0")</f>
        <v>391.33600000000001</v>
      </c>
      <c r="BO392" s="64">
        <f>IFERROR(1/J392*(X392/H392),"0")</f>
        <v>0.67894345238095233</v>
      </c>
      <c r="BP392" s="64">
        <f>IFERROR(1/J392*(Y392/H392),"0")</f>
        <v>0.6875</v>
      </c>
    </row>
    <row r="393" spans="1:68" ht="27" customHeight="1" x14ac:dyDescent="0.25">
      <c r="A393" s="54" t="s">
        <v>640</v>
      </c>
      <c r="B393" s="54" t="s">
        <v>641</v>
      </c>
      <c r="C393" s="31">
        <v>4301060406</v>
      </c>
      <c r="D393" s="647">
        <v>4607091384482</v>
      </c>
      <c r="E393" s="648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3"/>
      <c r="R393" s="653"/>
      <c r="S393" s="653"/>
      <c r="T393" s="654"/>
      <c r="U393" s="34"/>
      <c r="V393" s="34"/>
      <c r="W393" s="35" t="s">
        <v>67</v>
      </c>
      <c r="X393" s="643">
        <v>425</v>
      </c>
      <c r="Y393" s="644">
        <f>IFERROR(IF(X393="",0,CEILING((X393/$H393),1)*$H393),"")</f>
        <v>429</v>
      </c>
      <c r="Z393" s="36">
        <f>IFERROR(IF(Y393=0,"",ROUNDUP(Y393/H393,0)*0.01898),"")</f>
        <v>1.0439000000000001</v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451.91666666666669</v>
      </c>
      <c r="BN393" s="64">
        <f>IFERROR(Y393*I393/H393,"0")</f>
        <v>456.17</v>
      </c>
      <c r="BO393" s="64">
        <f>IFERROR(1/J393*(X393/H393),"0")</f>
        <v>0.85136217948717952</v>
      </c>
      <c r="BP393" s="64">
        <f>IFERROR(1/J393*(Y393/H393),"0")</f>
        <v>0.859375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4301060484</v>
      </c>
      <c r="D394" s="647">
        <v>4607091380897</v>
      </c>
      <c r="E394" s="648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7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3"/>
      <c r="R394" s="653"/>
      <c r="S394" s="653"/>
      <c r="T394" s="654"/>
      <c r="U394" s="34"/>
      <c r="V394" s="34"/>
      <c r="W394" s="35" t="s">
        <v>67</v>
      </c>
      <c r="X394" s="643">
        <v>0</v>
      </c>
      <c r="Y394" s="64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57"/>
      <c r="B395" s="658"/>
      <c r="C395" s="658"/>
      <c r="D395" s="658"/>
      <c r="E395" s="658"/>
      <c r="F395" s="658"/>
      <c r="G395" s="658"/>
      <c r="H395" s="658"/>
      <c r="I395" s="658"/>
      <c r="J395" s="658"/>
      <c r="K395" s="658"/>
      <c r="L395" s="658"/>
      <c r="M395" s="658"/>
      <c r="N395" s="658"/>
      <c r="O395" s="659"/>
      <c r="P395" s="649" t="s">
        <v>72</v>
      </c>
      <c r="Q395" s="650"/>
      <c r="R395" s="650"/>
      <c r="S395" s="650"/>
      <c r="T395" s="650"/>
      <c r="U395" s="650"/>
      <c r="V395" s="651"/>
      <c r="W395" s="37" t="s">
        <v>73</v>
      </c>
      <c r="X395" s="645">
        <f>IFERROR(X392/H392,"0")+IFERROR(X393/H393,"0")+IFERROR(X394/H394,"0")</f>
        <v>97.939560439560438</v>
      </c>
      <c r="Y395" s="645">
        <f>IFERROR(Y392/H392,"0")+IFERROR(Y393/H393,"0")+IFERROR(Y394/H394,"0")</f>
        <v>99</v>
      </c>
      <c r="Z395" s="645">
        <f>IFERROR(IF(Z392="",0,Z392),"0")+IFERROR(IF(Z393="",0,Z393),"0")+IFERROR(IF(Z394="",0,Z394),"0")</f>
        <v>1.8790200000000001</v>
      </c>
      <c r="AA395" s="646"/>
      <c r="AB395" s="646"/>
      <c r="AC395" s="646"/>
    </row>
    <row r="396" spans="1:68" x14ac:dyDescent="0.2">
      <c r="A396" s="658"/>
      <c r="B396" s="658"/>
      <c r="C396" s="658"/>
      <c r="D396" s="658"/>
      <c r="E396" s="658"/>
      <c r="F396" s="658"/>
      <c r="G396" s="658"/>
      <c r="H396" s="658"/>
      <c r="I396" s="658"/>
      <c r="J396" s="658"/>
      <c r="K396" s="658"/>
      <c r="L396" s="658"/>
      <c r="M396" s="658"/>
      <c r="N396" s="658"/>
      <c r="O396" s="659"/>
      <c r="P396" s="649" t="s">
        <v>72</v>
      </c>
      <c r="Q396" s="650"/>
      <c r="R396" s="650"/>
      <c r="S396" s="650"/>
      <c r="T396" s="650"/>
      <c r="U396" s="650"/>
      <c r="V396" s="651"/>
      <c r="W396" s="37" t="s">
        <v>67</v>
      </c>
      <c r="X396" s="645">
        <f>IFERROR(SUM(X392:X394),"0")</f>
        <v>790</v>
      </c>
      <c r="Y396" s="645">
        <f>IFERROR(SUM(Y392:Y394),"0")</f>
        <v>798.6</v>
      </c>
      <c r="Z396" s="37"/>
      <c r="AA396" s="646"/>
      <c r="AB396" s="646"/>
      <c r="AC396" s="646"/>
    </row>
    <row r="397" spans="1:68" ht="14.25" hidden="1" customHeight="1" x14ac:dyDescent="0.25">
      <c r="A397" s="667" t="s">
        <v>267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47">
        <v>4607091388381</v>
      </c>
      <c r="E398" s="648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3"/>
      <c r="R398" s="653"/>
      <c r="S398" s="653"/>
      <c r="T398" s="654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47">
        <v>4607091388374</v>
      </c>
      <c r="E399" s="648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3"/>
      <c r="R399" s="653"/>
      <c r="S399" s="653"/>
      <c r="T399" s="654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4301032015</v>
      </c>
      <c r="D400" s="647">
        <v>4607091383102</v>
      </c>
      <c r="E400" s="648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3"/>
      <c r="R400" s="653"/>
      <c r="S400" s="653"/>
      <c r="T400" s="654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653</v>
      </c>
      <c r="B401" s="54" t="s">
        <v>654</v>
      </c>
      <c r="C401" s="31">
        <v>4301030233</v>
      </c>
      <c r="D401" s="647">
        <v>4607091388404</v>
      </c>
      <c r="E401" s="648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74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3"/>
      <c r="R401" s="653"/>
      <c r="S401" s="653"/>
      <c r="T401" s="654"/>
      <c r="U401" s="34"/>
      <c r="V401" s="34"/>
      <c r="W401" s="35" t="s">
        <v>67</v>
      </c>
      <c r="X401" s="643">
        <v>0</v>
      </c>
      <c r="Y401" s="644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7"/>
      <c r="B402" s="658"/>
      <c r="C402" s="658"/>
      <c r="D402" s="658"/>
      <c r="E402" s="658"/>
      <c r="F402" s="658"/>
      <c r="G402" s="658"/>
      <c r="H402" s="658"/>
      <c r="I402" s="658"/>
      <c r="J402" s="658"/>
      <c r="K402" s="658"/>
      <c r="L402" s="658"/>
      <c r="M402" s="658"/>
      <c r="N402" s="658"/>
      <c r="O402" s="659"/>
      <c r="P402" s="649" t="s">
        <v>72</v>
      </c>
      <c r="Q402" s="650"/>
      <c r="R402" s="650"/>
      <c r="S402" s="650"/>
      <c r="T402" s="650"/>
      <c r="U402" s="650"/>
      <c r="V402" s="651"/>
      <c r="W402" s="37" t="s">
        <v>73</v>
      </c>
      <c r="X402" s="645">
        <f>IFERROR(X398/H398,"0")+IFERROR(X399/H399,"0")+IFERROR(X400/H400,"0")+IFERROR(X401/H401,"0")</f>
        <v>0</v>
      </c>
      <c r="Y402" s="645">
        <f>IFERROR(Y398/H398,"0")+IFERROR(Y399/H399,"0")+IFERROR(Y400/H400,"0")+IFERROR(Y401/H401,"0")</f>
        <v>0</v>
      </c>
      <c r="Z402" s="645">
        <f>IFERROR(IF(Z398="",0,Z398),"0")+IFERROR(IF(Z399="",0,Z399),"0")+IFERROR(IF(Z400="",0,Z400),"0")+IFERROR(IF(Z401="",0,Z401),"0")</f>
        <v>0</v>
      </c>
      <c r="AA402" s="646"/>
      <c r="AB402" s="646"/>
      <c r="AC402" s="646"/>
    </row>
    <row r="403" spans="1:68" hidden="1" x14ac:dyDescent="0.2">
      <c r="A403" s="658"/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9"/>
      <c r="P403" s="649" t="s">
        <v>72</v>
      </c>
      <c r="Q403" s="650"/>
      <c r="R403" s="650"/>
      <c r="S403" s="650"/>
      <c r="T403" s="650"/>
      <c r="U403" s="650"/>
      <c r="V403" s="651"/>
      <c r="W403" s="37" t="s">
        <v>67</v>
      </c>
      <c r="X403" s="645">
        <f>IFERROR(SUM(X398:X401),"0")</f>
        <v>0</v>
      </c>
      <c r="Y403" s="645">
        <f>IFERROR(SUM(Y398:Y401),"0")</f>
        <v>0</v>
      </c>
      <c r="Z403" s="37"/>
      <c r="AA403" s="646"/>
      <c r="AB403" s="646"/>
      <c r="AC403" s="646"/>
    </row>
    <row r="404" spans="1:68" ht="14.25" hidden="1" customHeight="1" x14ac:dyDescent="0.25">
      <c r="A404" s="667" t="s">
        <v>655</v>
      </c>
      <c r="B404" s="658"/>
      <c r="C404" s="658"/>
      <c r="D404" s="658"/>
      <c r="E404" s="658"/>
      <c r="F404" s="658"/>
      <c r="G404" s="658"/>
      <c r="H404" s="658"/>
      <c r="I404" s="658"/>
      <c r="J404" s="658"/>
      <c r="K404" s="658"/>
      <c r="L404" s="658"/>
      <c r="M404" s="658"/>
      <c r="N404" s="658"/>
      <c r="O404" s="658"/>
      <c r="P404" s="658"/>
      <c r="Q404" s="658"/>
      <c r="R404" s="658"/>
      <c r="S404" s="658"/>
      <c r="T404" s="658"/>
      <c r="U404" s="658"/>
      <c r="V404" s="658"/>
      <c r="W404" s="658"/>
      <c r="X404" s="658"/>
      <c r="Y404" s="658"/>
      <c r="Z404" s="658"/>
      <c r="AA404" s="639"/>
      <c r="AB404" s="639"/>
      <c r="AC404" s="639"/>
    </row>
    <row r="405" spans="1:68" ht="16.5" customHeight="1" x14ac:dyDescent="0.25">
      <c r="A405" s="54" t="s">
        <v>656</v>
      </c>
      <c r="B405" s="54" t="s">
        <v>657</v>
      </c>
      <c r="C405" s="31">
        <v>4301180007</v>
      </c>
      <c r="D405" s="647">
        <v>4680115881808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3"/>
      <c r="R405" s="653"/>
      <c r="S405" s="653"/>
      <c r="T405" s="654"/>
      <c r="U405" s="34"/>
      <c r="V405" s="34"/>
      <c r="W405" s="35" t="s">
        <v>67</v>
      </c>
      <c r="X405" s="643">
        <v>43</v>
      </c>
      <c r="Y405" s="644">
        <f>IFERROR(IF(X405="",0,CEILING((X405/$H405),1)*$H405),"")</f>
        <v>44</v>
      </c>
      <c r="Z405" s="36">
        <f>IFERROR(IF(Y405=0,"",ROUNDUP(Y405/H405,0)*0.00474),"")</f>
        <v>0.10428000000000001</v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48.160000000000004</v>
      </c>
      <c r="BN405" s="64">
        <f>IFERROR(Y405*I405/H405,"0")</f>
        <v>49.28</v>
      </c>
      <c r="BO405" s="64">
        <f>IFERROR(1/J405*(X405/H405),"0")</f>
        <v>9.0336134453781511E-2</v>
      </c>
      <c r="BP405" s="64">
        <f>IFERROR(1/J405*(Y405/H405),"0")</f>
        <v>9.2436974789915957E-2</v>
      </c>
    </row>
    <row r="406" spans="1:68" ht="27" customHeight="1" x14ac:dyDescent="0.25">
      <c r="A406" s="54" t="s">
        <v>660</v>
      </c>
      <c r="B406" s="54" t="s">
        <v>661</v>
      </c>
      <c r="C406" s="31">
        <v>4301180006</v>
      </c>
      <c r="D406" s="647">
        <v>4680115881822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3"/>
      <c r="R406" s="653"/>
      <c r="S406" s="653"/>
      <c r="T406" s="654"/>
      <c r="U406" s="34"/>
      <c r="V406" s="34"/>
      <c r="W406" s="35" t="s">
        <v>67</v>
      </c>
      <c r="X406" s="643">
        <v>25</v>
      </c>
      <c r="Y406" s="644">
        <f>IFERROR(IF(X406="",0,CEILING((X406/$H406),1)*$H406),"")</f>
        <v>26</v>
      </c>
      <c r="Z406" s="36">
        <f>IFERROR(IF(Y406=0,"",ROUNDUP(Y406/H406,0)*0.00474),"")</f>
        <v>6.1620000000000001E-2</v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28.000000000000004</v>
      </c>
      <c r="BN406" s="64">
        <f>IFERROR(Y406*I406/H406,"0")</f>
        <v>29.120000000000005</v>
      </c>
      <c r="BO406" s="64">
        <f>IFERROR(1/J406*(X406/H406),"0")</f>
        <v>5.2521008403361345E-2</v>
      </c>
      <c r="BP406" s="64">
        <f>IFERROR(1/J406*(Y406/H406),"0")</f>
        <v>5.4621848739495799E-2</v>
      </c>
    </row>
    <row r="407" spans="1:68" ht="27" customHeight="1" x14ac:dyDescent="0.25">
      <c r="A407" s="54" t="s">
        <v>662</v>
      </c>
      <c r="B407" s="54" t="s">
        <v>663</v>
      </c>
      <c r="C407" s="31">
        <v>4301180001</v>
      </c>
      <c r="D407" s="647">
        <v>4680115880016</v>
      </c>
      <c r="E407" s="648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3"/>
      <c r="R407" s="653"/>
      <c r="S407" s="653"/>
      <c r="T407" s="654"/>
      <c r="U407" s="34"/>
      <c r="V407" s="34"/>
      <c r="W407" s="35" t="s">
        <v>67</v>
      </c>
      <c r="X407" s="643">
        <v>82</v>
      </c>
      <c r="Y407" s="644">
        <f>IFERROR(IF(X407="",0,CEILING((X407/$H407),1)*$H407),"")</f>
        <v>82</v>
      </c>
      <c r="Z407" s="36">
        <f>IFERROR(IF(Y407=0,"",ROUNDUP(Y407/H407,0)*0.00474),"")</f>
        <v>0.19434000000000001</v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91.84</v>
      </c>
      <c r="BN407" s="64">
        <f>IFERROR(Y407*I407/H407,"0")</f>
        <v>91.84</v>
      </c>
      <c r="BO407" s="64">
        <f>IFERROR(1/J407*(X407/H407),"0")</f>
        <v>0.17226890756302521</v>
      </c>
      <c r="BP407" s="64">
        <f>IFERROR(1/J407*(Y407/H407),"0")</f>
        <v>0.17226890756302521</v>
      </c>
    </row>
    <row r="408" spans="1:68" x14ac:dyDescent="0.2">
      <c r="A408" s="657"/>
      <c r="B408" s="658"/>
      <c r="C408" s="658"/>
      <c r="D408" s="658"/>
      <c r="E408" s="658"/>
      <c r="F408" s="658"/>
      <c r="G408" s="658"/>
      <c r="H408" s="658"/>
      <c r="I408" s="658"/>
      <c r="J408" s="658"/>
      <c r="K408" s="658"/>
      <c r="L408" s="658"/>
      <c r="M408" s="658"/>
      <c r="N408" s="658"/>
      <c r="O408" s="659"/>
      <c r="P408" s="649" t="s">
        <v>72</v>
      </c>
      <c r="Q408" s="650"/>
      <c r="R408" s="650"/>
      <c r="S408" s="650"/>
      <c r="T408" s="650"/>
      <c r="U408" s="650"/>
      <c r="V408" s="651"/>
      <c r="W408" s="37" t="s">
        <v>73</v>
      </c>
      <c r="X408" s="645">
        <f>IFERROR(X405/H405,"0")+IFERROR(X406/H406,"0")+IFERROR(X407/H407,"0")</f>
        <v>75</v>
      </c>
      <c r="Y408" s="645">
        <f>IFERROR(Y405/H405,"0")+IFERROR(Y406/H406,"0")+IFERROR(Y407/H407,"0")</f>
        <v>76</v>
      </c>
      <c r="Z408" s="645">
        <f>IFERROR(IF(Z405="",0,Z405),"0")+IFERROR(IF(Z406="",0,Z406),"0")+IFERROR(IF(Z407="",0,Z407),"0")</f>
        <v>0.36024</v>
      </c>
      <c r="AA408" s="646"/>
      <c r="AB408" s="646"/>
      <c r="AC408" s="646"/>
    </row>
    <row r="409" spans="1:68" x14ac:dyDescent="0.2">
      <c r="A409" s="658"/>
      <c r="B409" s="658"/>
      <c r="C409" s="658"/>
      <c r="D409" s="658"/>
      <c r="E409" s="658"/>
      <c r="F409" s="658"/>
      <c r="G409" s="658"/>
      <c r="H409" s="658"/>
      <c r="I409" s="658"/>
      <c r="J409" s="658"/>
      <c r="K409" s="658"/>
      <c r="L409" s="658"/>
      <c r="M409" s="658"/>
      <c r="N409" s="658"/>
      <c r="O409" s="659"/>
      <c r="P409" s="649" t="s">
        <v>72</v>
      </c>
      <c r="Q409" s="650"/>
      <c r="R409" s="650"/>
      <c r="S409" s="650"/>
      <c r="T409" s="650"/>
      <c r="U409" s="650"/>
      <c r="V409" s="651"/>
      <c r="W409" s="37" t="s">
        <v>67</v>
      </c>
      <c r="X409" s="645">
        <f>IFERROR(SUM(X405:X407),"0")</f>
        <v>150</v>
      </c>
      <c r="Y409" s="645">
        <f>IFERROR(SUM(Y405:Y407),"0")</f>
        <v>152</v>
      </c>
      <c r="Z409" s="37"/>
      <c r="AA409" s="646"/>
      <c r="AB409" s="646"/>
      <c r="AC409" s="646"/>
    </row>
    <row r="410" spans="1:68" ht="14.25" hidden="1" customHeight="1" x14ac:dyDescent="0.25">
      <c r="A410" s="667" t="s">
        <v>664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47">
        <v>4680115888678</v>
      </c>
      <c r="E411" s="648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78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3"/>
      <c r="R411" s="653"/>
      <c r="S411" s="653"/>
      <c r="T411" s="654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47">
        <v>4680115888654</v>
      </c>
      <c r="E412" s="648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3"/>
      <c r="R412" s="653"/>
      <c r="S412" s="653"/>
      <c r="T412" s="654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671</v>
      </c>
      <c r="B413" s="54" t="s">
        <v>672</v>
      </c>
      <c r="C413" s="31">
        <v>4301220002</v>
      </c>
      <c r="D413" s="647">
        <v>4680115888753</v>
      </c>
      <c r="E413" s="648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3"/>
      <c r="R413" s="653"/>
      <c r="S413" s="653"/>
      <c r="T413" s="654"/>
      <c r="U413" s="34"/>
      <c r="V413" s="34"/>
      <c r="W413" s="35" t="s">
        <v>67</v>
      </c>
      <c r="X413" s="643">
        <v>0</v>
      </c>
      <c r="Y413" s="644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7"/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9"/>
      <c r="P414" s="649" t="s">
        <v>72</v>
      </c>
      <c r="Q414" s="650"/>
      <c r="R414" s="650"/>
      <c r="S414" s="650"/>
      <c r="T414" s="650"/>
      <c r="U414" s="650"/>
      <c r="V414" s="651"/>
      <c r="W414" s="37" t="s">
        <v>73</v>
      </c>
      <c r="X414" s="645">
        <f>IFERROR(X411/H411,"0")+IFERROR(X412/H412,"0")+IFERROR(X413/H413,"0")</f>
        <v>0</v>
      </c>
      <c r="Y414" s="645">
        <f>IFERROR(Y411/H411,"0")+IFERROR(Y412/H412,"0")+IFERROR(Y413/H413,"0")</f>
        <v>0</v>
      </c>
      <c r="Z414" s="645">
        <f>IFERROR(IF(Z411="",0,Z411),"0")+IFERROR(IF(Z412="",0,Z412),"0")+IFERROR(IF(Z413="",0,Z413),"0")</f>
        <v>0</v>
      </c>
      <c r="AA414" s="646"/>
      <c r="AB414" s="646"/>
      <c r="AC414" s="646"/>
    </row>
    <row r="415" spans="1:68" hidden="1" x14ac:dyDescent="0.2">
      <c r="A415" s="658"/>
      <c r="B415" s="658"/>
      <c r="C415" s="658"/>
      <c r="D415" s="658"/>
      <c r="E415" s="658"/>
      <c r="F415" s="658"/>
      <c r="G415" s="658"/>
      <c r="H415" s="658"/>
      <c r="I415" s="658"/>
      <c r="J415" s="658"/>
      <c r="K415" s="658"/>
      <c r="L415" s="658"/>
      <c r="M415" s="658"/>
      <c r="N415" s="658"/>
      <c r="O415" s="659"/>
      <c r="P415" s="649" t="s">
        <v>72</v>
      </c>
      <c r="Q415" s="650"/>
      <c r="R415" s="650"/>
      <c r="S415" s="650"/>
      <c r="T415" s="650"/>
      <c r="U415" s="650"/>
      <c r="V415" s="651"/>
      <c r="W415" s="37" t="s">
        <v>67</v>
      </c>
      <c r="X415" s="645">
        <f>IFERROR(SUM(X411:X413),"0")</f>
        <v>0</v>
      </c>
      <c r="Y415" s="645">
        <f>IFERROR(SUM(Y411:Y413),"0")</f>
        <v>0</v>
      </c>
      <c r="Z415" s="37"/>
      <c r="AA415" s="646"/>
      <c r="AB415" s="646"/>
      <c r="AC415" s="646"/>
    </row>
    <row r="416" spans="1:68" ht="16.5" hidden="1" customHeight="1" x14ac:dyDescent="0.25">
      <c r="A416" s="673" t="s">
        <v>673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38"/>
      <c r="AB416" s="638"/>
      <c r="AC416" s="638"/>
    </row>
    <row r="417" spans="1:68" ht="14.25" hidden="1" customHeight="1" x14ac:dyDescent="0.25">
      <c r="A417" s="667" t="s">
        <v>74</v>
      </c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58"/>
      <c r="P417" s="658"/>
      <c r="Q417" s="658"/>
      <c r="R417" s="658"/>
      <c r="S417" s="658"/>
      <c r="T417" s="658"/>
      <c r="U417" s="658"/>
      <c r="V417" s="658"/>
      <c r="W417" s="658"/>
      <c r="X417" s="658"/>
      <c r="Y417" s="658"/>
      <c r="Z417" s="658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47">
        <v>4680115889415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3"/>
      <c r="R418" s="653"/>
      <c r="S418" s="653"/>
      <c r="T418" s="654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47">
        <v>4680115889422</v>
      </c>
      <c r="E419" s="648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80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3"/>
      <c r="R419" s="653"/>
      <c r="S419" s="653"/>
      <c r="T419" s="654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7"/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9"/>
      <c r="P420" s="649" t="s">
        <v>72</v>
      </c>
      <c r="Q420" s="650"/>
      <c r="R420" s="650"/>
      <c r="S420" s="650"/>
      <c r="T420" s="650"/>
      <c r="U420" s="650"/>
      <c r="V420" s="651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58"/>
      <c r="B421" s="658"/>
      <c r="C421" s="658"/>
      <c r="D421" s="658"/>
      <c r="E421" s="658"/>
      <c r="F421" s="658"/>
      <c r="G421" s="658"/>
      <c r="H421" s="658"/>
      <c r="I421" s="658"/>
      <c r="J421" s="658"/>
      <c r="K421" s="658"/>
      <c r="L421" s="658"/>
      <c r="M421" s="658"/>
      <c r="N421" s="658"/>
      <c r="O421" s="659"/>
      <c r="P421" s="649" t="s">
        <v>72</v>
      </c>
      <c r="Q421" s="650"/>
      <c r="R421" s="650"/>
      <c r="S421" s="650"/>
      <c r="T421" s="650"/>
      <c r="U421" s="650"/>
      <c r="V421" s="651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673" t="s">
        <v>680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38"/>
      <c r="AB422" s="638"/>
      <c r="AC422" s="638"/>
    </row>
    <row r="423" spans="1:68" ht="14.25" hidden="1" customHeight="1" x14ac:dyDescent="0.25">
      <c r="A423" s="667" t="s">
        <v>74</v>
      </c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58"/>
      <c r="P423" s="658"/>
      <c r="Q423" s="658"/>
      <c r="R423" s="658"/>
      <c r="S423" s="658"/>
      <c r="T423" s="658"/>
      <c r="U423" s="658"/>
      <c r="V423" s="658"/>
      <c r="W423" s="658"/>
      <c r="X423" s="658"/>
      <c r="Y423" s="658"/>
      <c r="Z423" s="658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47">
        <v>4607091387919</v>
      </c>
      <c r="E424" s="648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3"/>
      <c r="R424" s="653"/>
      <c r="S424" s="653"/>
      <c r="T424" s="654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47">
        <v>4680115883604</v>
      </c>
      <c r="E425" s="648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3"/>
      <c r="R425" s="653"/>
      <c r="S425" s="653"/>
      <c r="T425" s="654"/>
      <c r="U425" s="34"/>
      <c r="V425" s="34"/>
      <c r="W425" s="35" t="s">
        <v>67</v>
      </c>
      <c r="X425" s="643">
        <v>30</v>
      </c>
      <c r="Y425" s="644">
        <f>IFERROR(IF(X425="",0,CEILING((X425/$H425),1)*$H425),"")</f>
        <v>31.5</v>
      </c>
      <c r="Z425" s="36">
        <f>IFERROR(IF(Y425=0,"",ROUNDUP(Y425/H425,0)*0.00651),"")</f>
        <v>9.7650000000000001E-2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33.6</v>
      </c>
      <c r="BN425" s="64">
        <f>IFERROR(Y425*I425/H425,"0")</f>
        <v>35.279999999999994</v>
      </c>
      <c r="BO425" s="64">
        <f>IFERROR(1/J425*(X425/H425),"0")</f>
        <v>7.8492935635792779E-2</v>
      </c>
      <c r="BP425" s="64">
        <f>IFERROR(1/J425*(Y425/H425),"0")</f>
        <v>8.241758241758243E-2</v>
      </c>
    </row>
    <row r="426" spans="1:68" ht="27" customHeight="1" x14ac:dyDescent="0.25">
      <c r="A426" s="54" t="s">
        <v>687</v>
      </c>
      <c r="B426" s="54" t="s">
        <v>688</v>
      </c>
      <c r="C426" s="31">
        <v>4301051864</v>
      </c>
      <c r="D426" s="647">
        <v>4680115883567</v>
      </c>
      <c r="E426" s="648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3"/>
      <c r="R426" s="653"/>
      <c r="S426" s="653"/>
      <c r="T426" s="654"/>
      <c r="U426" s="34"/>
      <c r="V426" s="34"/>
      <c r="W426" s="35" t="s">
        <v>67</v>
      </c>
      <c r="X426" s="643">
        <v>6</v>
      </c>
      <c r="Y426" s="644">
        <f>IFERROR(IF(X426="",0,CEILING((X426/$H426),1)*$H426),"")</f>
        <v>6.3000000000000007</v>
      </c>
      <c r="Z426" s="36">
        <f>IFERROR(IF(Y426=0,"",ROUNDUP(Y426/H426,0)*0.00651),"")</f>
        <v>1.9529999999999999E-2</v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6.6857142857142851</v>
      </c>
      <c r="BN426" s="64">
        <f>IFERROR(Y426*I426/H426,"0")</f>
        <v>7.0200000000000005</v>
      </c>
      <c r="BO426" s="64">
        <f>IFERROR(1/J426*(X426/H426),"0")</f>
        <v>1.5698587127158558E-2</v>
      </c>
      <c r="BP426" s="64">
        <f>IFERROR(1/J426*(Y426/H426),"0")</f>
        <v>1.6483516483516484E-2</v>
      </c>
    </row>
    <row r="427" spans="1:68" x14ac:dyDescent="0.2">
      <c r="A427" s="657"/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9"/>
      <c r="P427" s="649" t="s">
        <v>72</v>
      </c>
      <c r="Q427" s="650"/>
      <c r="R427" s="650"/>
      <c r="S427" s="650"/>
      <c r="T427" s="650"/>
      <c r="U427" s="650"/>
      <c r="V427" s="651"/>
      <c r="W427" s="37" t="s">
        <v>73</v>
      </c>
      <c r="X427" s="645">
        <f>IFERROR(X424/H424,"0")+IFERROR(X425/H425,"0")+IFERROR(X426/H426,"0")</f>
        <v>17.142857142857142</v>
      </c>
      <c r="Y427" s="645">
        <f>IFERROR(Y424/H424,"0")+IFERROR(Y425/H425,"0")+IFERROR(Y426/H426,"0")</f>
        <v>18</v>
      </c>
      <c r="Z427" s="645">
        <f>IFERROR(IF(Z424="",0,Z424),"0")+IFERROR(IF(Z425="",0,Z425),"0")+IFERROR(IF(Z426="",0,Z426),"0")</f>
        <v>0.11718000000000001</v>
      </c>
      <c r="AA427" s="646"/>
      <c r="AB427" s="646"/>
      <c r="AC427" s="646"/>
    </row>
    <row r="428" spans="1:68" x14ac:dyDescent="0.2">
      <c r="A428" s="658"/>
      <c r="B428" s="658"/>
      <c r="C428" s="658"/>
      <c r="D428" s="658"/>
      <c r="E428" s="658"/>
      <c r="F428" s="658"/>
      <c r="G428" s="658"/>
      <c r="H428" s="658"/>
      <c r="I428" s="658"/>
      <c r="J428" s="658"/>
      <c r="K428" s="658"/>
      <c r="L428" s="658"/>
      <c r="M428" s="658"/>
      <c r="N428" s="658"/>
      <c r="O428" s="659"/>
      <c r="P428" s="649" t="s">
        <v>72</v>
      </c>
      <c r="Q428" s="650"/>
      <c r="R428" s="650"/>
      <c r="S428" s="650"/>
      <c r="T428" s="650"/>
      <c r="U428" s="650"/>
      <c r="V428" s="651"/>
      <c r="W428" s="37" t="s">
        <v>67</v>
      </c>
      <c r="X428" s="645">
        <f>IFERROR(SUM(X424:X426),"0")</f>
        <v>36</v>
      </c>
      <c r="Y428" s="645">
        <f>IFERROR(SUM(Y424:Y426),"0")</f>
        <v>37.799999999999997</v>
      </c>
      <c r="Z428" s="37"/>
      <c r="AA428" s="646"/>
      <c r="AB428" s="646"/>
      <c r="AC428" s="646"/>
    </row>
    <row r="429" spans="1:68" ht="27.75" hidden="1" customHeight="1" x14ac:dyDescent="0.2">
      <c r="A429" s="661" t="s">
        <v>690</v>
      </c>
      <c r="B429" s="662"/>
      <c r="C429" s="662"/>
      <c r="D429" s="662"/>
      <c r="E429" s="662"/>
      <c r="F429" s="662"/>
      <c r="G429" s="662"/>
      <c r="H429" s="662"/>
      <c r="I429" s="662"/>
      <c r="J429" s="662"/>
      <c r="K429" s="662"/>
      <c r="L429" s="662"/>
      <c r="M429" s="662"/>
      <c r="N429" s="662"/>
      <c r="O429" s="662"/>
      <c r="P429" s="662"/>
      <c r="Q429" s="662"/>
      <c r="R429" s="662"/>
      <c r="S429" s="662"/>
      <c r="T429" s="662"/>
      <c r="U429" s="662"/>
      <c r="V429" s="662"/>
      <c r="W429" s="662"/>
      <c r="X429" s="662"/>
      <c r="Y429" s="662"/>
      <c r="Z429" s="662"/>
      <c r="AA429" s="48"/>
      <c r="AB429" s="48"/>
      <c r="AC429" s="48"/>
    </row>
    <row r="430" spans="1:68" ht="16.5" hidden="1" customHeight="1" x14ac:dyDescent="0.25">
      <c r="A430" s="673" t="s">
        <v>691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38"/>
      <c r="AB430" s="638"/>
      <c r="AC430" s="638"/>
    </row>
    <row r="431" spans="1:68" ht="14.25" hidden="1" customHeight="1" x14ac:dyDescent="0.25">
      <c r="A431" s="667" t="s">
        <v>111</v>
      </c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58"/>
      <c r="P431" s="658"/>
      <c r="Q431" s="658"/>
      <c r="R431" s="658"/>
      <c r="S431" s="658"/>
      <c r="T431" s="658"/>
      <c r="U431" s="658"/>
      <c r="V431" s="658"/>
      <c r="W431" s="658"/>
      <c r="X431" s="658"/>
      <c r="Y431" s="658"/>
      <c r="Z431" s="658"/>
      <c r="AA431" s="639"/>
      <c r="AB431" s="639"/>
      <c r="AC431" s="639"/>
    </row>
    <row r="432" spans="1:68" ht="27" customHeight="1" x14ac:dyDescent="0.25">
      <c r="A432" s="54" t="s">
        <v>692</v>
      </c>
      <c r="B432" s="54" t="s">
        <v>693</v>
      </c>
      <c r="C432" s="31">
        <v>4301012332</v>
      </c>
      <c r="D432" s="647">
        <v>4680115888401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6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3"/>
      <c r="R432" s="653"/>
      <c r="S432" s="653"/>
      <c r="T432" s="654"/>
      <c r="U432" s="34"/>
      <c r="V432" s="34"/>
      <c r="W432" s="35" t="s">
        <v>67</v>
      </c>
      <c r="X432" s="643">
        <v>53</v>
      </c>
      <c r="Y432" s="644">
        <f t="shared" ref="Y432:Y439" si="73">IFERROR(IF(X432="",0,CEILING((X432/$H432),1)*$H432),"")</f>
        <v>60</v>
      </c>
      <c r="Z432" s="36">
        <f>IFERROR(IF(Y432=0,"",ROUNDUP(Y432/H432,0)*0.02175),"")</f>
        <v>8.6999999999999994E-2</v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54.660666666666671</v>
      </c>
      <c r="BN432" s="64">
        <f t="shared" ref="BN432:BN439" si="75">IFERROR(Y432*I432/H432,"0")</f>
        <v>61.88</v>
      </c>
      <c r="BO432" s="64">
        <f t="shared" ref="BO432:BO439" si="76">IFERROR(1/J432*(X432/H432),"0")</f>
        <v>7.3611111111111099E-2</v>
      </c>
      <c r="BP432" s="64">
        <f t="shared" ref="BP432:BP439" si="77">IFERROR(1/J432*(Y432/H432),"0")</f>
        <v>8.3333333333333329E-2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47">
        <v>4680115884847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3"/>
      <c r="R433" s="653"/>
      <c r="S433" s="653"/>
      <c r="T433" s="654"/>
      <c r="U433" s="34"/>
      <c r="V433" s="34"/>
      <c r="W433" s="35" t="s">
        <v>67</v>
      </c>
      <c r="X433" s="643">
        <v>1800</v>
      </c>
      <c r="Y433" s="644">
        <f t="shared" si="73"/>
        <v>1800</v>
      </c>
      <c r="Z433" s="36">
        <f>IFERROR(IF(Y433=0,"",ROUNDUP(Y433/H433,0)*0.02175),"")</f>
        <v>2.61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1856.4</v>
      </c>
      <c r="BN433" s="64">
        <f t="shared" si="75"/>
        <v>1856.4</v>
      </c>
      <c r="BO433" s="64">
        <f t="shared" si="76"/>
        <v>2.5</v>
      </c>
      <c r="BP433" s="64">
        <f t="shared" si="77"/>
        <v>2.5</v>
      </c>
    </row>
    <row r="434" spans="1:68" ht="27" customHeight="1" x14ac:dyDescent="0.25">
      <c r="A434" s="54" t="s">
        <v>698</v>
      </c>
      <c r="B434" s="54" t="s">
        <v>699</v>
      </c>
      <c r="C434" s="31">
        <v>4301012083</v>
      </c>
      <c r="D434" s="647">
        <v>4680115884854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9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3"/>
      <c r="R434" s="653"/>
      <c r="S434" s="653"/>
      <c r="T434" s="654"/>
      <c r="U434" s="34"/>
      <c r="V434" s="34"/>
      <c r="W434" s="35" t="s">
        <v>67</v>
      </c>
      <c r="X434" s="643">
        <v>1850</v>
      </c>
      <c r="Y434" s="644">
        <f t="shared" si="73"/>
        <v>1860</v>
      </c>
      <c r="Z434" s="36">
        <f>IFERROR(IF(Y434=0,"",ROUNDUP(Y434/H434,0)*0.02175),"")</f>
        <v>2.6969999999999996</v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1907.9666666666667</v>
      </c>
      <c r="BN434" s="64">
        <f t="shared" si="75"/>
        <v>1918.28</v>
      </c>
      <c r="BO434" s="64">
        <f t="shared" si="76"/>
        <v>2.5694444444444442</v>
      </c>
      <c r="BP434" s="64">
        <f t="shared" si="77"/>
        <v>2.583333333333333</v>
      </c>
    </row>
    <row r="435" spans="1:68" ht="27" customHeight="1" x14ac:dyDescent="0.25">
      <c r="A435" s="54" t="s">
        <v>701</v>
      </c>
      <c r="B435" s="54" t="s">
        <v>702</v>
      </c>
      <c r="C435" s="31">
        <v>4301011867</v>
      </c>
      <c r="D435" s="647">
        <v>4680115884830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98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3"/>
      <c r="R435" s="653"/>
      <c r="S435" s="653"/>
      <c r="T435" s="654"/>
      <c r="U435" s="34"/>
      <c r="V435" s="34"/>
      <c r="W435" s="35" t="s">
        <v>67</v>
      </c>
      <c r="X435" s="643">
        <v>724</v>
      </c>
      <c r="Y435" s="644">
        <f t="shared" si="73"/>
        <v>735</v>
      </c>
      <c r="Z435" s="36">
        <f>IFERROR(IF(Y435=0,"",ROUNDUP(Y435/H435,0)*0.02175),"")</f>
        <v>1.06575</v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746.68533333333335</v>
      </c>
      <c r="BN435" s="64">
        <f t="shared" si="75"/>
        <v>758.03000000000009</v>
      </c>
      <c r="BO435" s="64">
        <f t="shared" si="76"/>
        <v>1.0055555555555555</v>
      </c>
      <c r="BP435" s="64">
        <f t="shared" si="77"/>
        <v>1.0208333333333333</v>
      </c>
    </row>
    <row r="436" spans="1:68" ht="27" customHeight="1" x14ac:dyDescent="0.25">
      <c r="A436" s="54" t="s">
        <v>704</v>
      </c>
      <c r="B436" s="54" t="s">
        <v>705</v>
      </c>
      <c r="C436" s="31">
        <v>4301012356</v>
      </c>
      <c r="D436" s="647">
        <v>4680115889231</v>
      </c>
      <c r="E436" s="648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9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3"/>
      <c r="R436" s="653"/>
      <c r="S436" s="653"/>
      <c r="T436" s="654"/>
      <c r="U436" s="34"/>
      <c r="V436" s="34"/>
      <c r="W436" s="35" t="s">
        <v>67</v>
      </c>
      <c r="X436" s="643">
        <v>900</v>
      </c>
      <c r="Y436" s="644">
        <f t="shared" si="73"/>
        <v>900</v>
      </c>
      <c r="Z436" s="36">
        <f>IFERROR(IF(Y436=0,"",ROUNDUP(Y436/H436,0)*0.02175),"")</f>
        <v>1.3049999999999999</v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928.2</v>
      </c>
      <c r="BN436" s="64">
        <f t="shared" si="75"/>
        <v>928.2</v>
      </c>
      <c r="BO436" s="64">
        <f t="shared" si="76"/>
        <v>1.25</v>
      </c>
      <c r="BP436" s="64">
        <f t="shared" si="77"/>
        <v>1.25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47">
        <v>4680115882638</v>
      </c>
      <c r="E437" s="648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6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3"/>
      <c r="R437" s="653"/>
      <c r="S437" s="653"/>
      <c r="T437" s="654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47">
        <v>4680115884922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3"/>
      <c r="R438" s="653"/>
      <c r="S438" s="653"/>
      <c r="T438" s="654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47">
        <v>4680115884861</v>
      </c>
      <c r="E439" s="648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97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3"/>
      <c r="R439" s="653"/>
      <c r="S439" s="653"/>
      <c r="T439" s="654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7"/>
      <c r="B440" s="658"/>
      <c r="C440" s="658"/>
      <c r="D440" s="658"/>
      <c r="E440" s="658"/>
      <c r="F440" s="658"/>
      <c r="G440" s="658"/>
      <c r="H440" s="658"/>
      <c r="I440" s="658"/>
      <c r="J440" s="658"/>
      <c r="K440" s="658"/>
      <c r="L440" s="658"/>
      <c r="M440" s="658"/>
      <c r="N440" s="658"/>
      <c r="O440" s="659"/>
      <c r="P440" s="649" t="s">
        <v>72</v>
      </c>
      <c r="Q440" s="650"/>
      <c r="R440" s="650"/>
      <c r="S440" s="650"/>
      <c r="T440" s="650"/>
      <c r="U440" s="650"/>
      <c r="V440" s="651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355.13333333333333</v>
      </c>
      <c r="Y440" s="645">
        <f>IFERROR(Y432/H432,"0")+IFERROR(Y433/H433,"0")+IFERROR(Y434/H434,"0")+IFERROR(Y435/H435,"0")+IFERROR(Y436/H436,"0")+IFERROR(Y437/H437,"0")+IFERROR(Y438/H438,"0")+IFERROR(Y439/H439,"0")</f>
        <v>357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7.7647499999999994</v>
      </c>
      <c r="AA440" s="646"/>
      <c r="AB440" s="646"/>
      <c r="AC440" s="646"/>
    </row>
    <row r="441" spans="1:68" x14ac:dyDescent="0.2">
      <c r="A441" s="658"/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9"/>
      <c r="P441" s="649" t="s">
        <v>72</v>
      </c>
      <c r="Q441" s="650"/>
      <c r="R441" s="650"/>
      <c r="S441" s="650"/>
      <c r="T441" s="650"/>
      <c r="U441" s="650"/>
      <c r="V441" s="651"/>
      <c r="W441" s="37" t="s">
        <v>67</v>
      </c>
      <c r="X441" s="645">
        <f>IFERROR(SUM(X432:X439),"0")</f>
        <v>5327</v>
      </c>
      <c r="Y441" s="645">
        <f>IFERROR(SUM(Y432:Y439),"0")</f>
        <v>5355</v>
      </c>
      <c r="Z441" s="37"/>
      <c r="AA441" s="646"/>
      <c r="AB441" s="646"/>
      <c r="AC441" s="646"/>
    </row>
    <row r="442" spans="1:68" ht="14.25" hidden="1" customHeight="1" x14ac:dyDescent="0.25">
      <c r="A442" s="667" t="s">
        <v>148</v>
      </c>
      <c r="B442" s="658"/>
      <c r="C442" s="658"/>
      <c r="D442" s="658"/>
      <c r="E442" s="658"/>
      <c r="F442" s="658"/>
      <c r="G442" s="658"/>
      <c r="H442" s="658"/>
      <c r="I442" s="658"/>
      <c r="J442" s="658"/>
      <c r="K442" s="658"/>
      <c r="L442" s="658"/>
      <c r="M442" s="658"/>
      <c r="N442" s="658"/>
      <c r="O442" s="658"/>
      <c r="P442" s="658"/>
      <c r="Q442" s="658"/>
      <c r="R442" s="658"/>
      <c r="S442" s="658"/>
      <c r="T442" s="658"/>
      <c r="U442" s="658"/>
      <c r="V442" s="658"/>
      <c r="W442" s="658"/>
      <c r="X442" s="658"/>
      <c r="Y442" s="658"/>
      <c r="Z442" s="658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47">
        <v>4607091383980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3"/>
      <c r="R443" s="653"/>
      <c r="S443" s="653"/>
      <c r="T443" s="654"/>
      <c r="U443" s="34"/>
      <c r="V443" s="34"/>
      <c r="W443" s="35" t="s">
        <v>67</v>
      </c>
      <c r="X443" s="643">
        <v>1100</v>
      </c>
      <c r="Y443" s="644">
        <f>IFERROR(IF(X443="",0,CEILING((X443/$H443),1)*$H443),"")</f>
        <v>1110</v>
      </c>
      <c r="Z443" s="36">
        <f>IFERROR(IF(Y443=0,"",ROUNDUP(Y443/H443,0)*0.02175),"")</f>
        <v>1.6094999999999999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1134.4666666666667</v>
      </c>
      <c r="BN443" s="64">
        <f>IFERROR(Y443*I443/H443,"0")</f>
        <v>1144.78</v>
      </c>
      <c r="BO443" s="64">
        <f>IFERROR(1/J443*(X443/H443),"0")</f>
        <v>1.5277777777777777</v>
      </c>
      <c r="BP443" s="64">
        <f>IFERROR(1/J443*(Y443/H443),"0")</f>
        <v>1.5416666666666665</v>
      </c>
    </row>
    <row r="444" spans="1:68" ht="27" customHeight="1" x14ac:dyDescent="0.25">
      <c r="A444" s="54" t="s">
        <v>719</v>
      </c>
      <c r="B444" s="54" t="s">
        <v>720</v>
      </c>
      <c r="C444" s="31">
        <v>4301020355</v>
      </c>
      <c r="D444" s="647">
        <v>4680115888425</v>
      </c>
      <c r="E444" s="648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3"/>
      <c r="R444" s="653"/>
      <c r="S444" s="653"/>
      <c r="T444" s="654"/>
      <c r="U444" s="34"/>
      <c r="V444" s="34"/>
      <c r="W444" s="35" t="s">
        <v>67</v>
      </c>
      <c r="X444" s="643">
        <v>29</v>
      </c>
      <c r="Y444" s="644">
        <f>IFERROR(IF(X444="",0,CEILING((X444/$H444),1)*$H444),"")</f>
        <v>30</v>
      </c>
      <c r="Z444" s="36">
        <f>IFERROR(IF(Y444=0,"",ROUNDUP(Y444/H444,0)*0.02175),"")</f>
        <v>4.3499999999999997E-2</v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29.908666666666665</v>
      </c>
      <c r="BN444" s="64">
        <f>IFERROR(Y444*I444/H444,"0")</f>
        <v>30.94</v>
      </c>
      <c r="BO444" s="64">
        <f>IFERROR(1/J444*(X444/H444),"0")</f>
        <v>4.0277777777777773E-2</v>
      </c>
      <c r="BP444" s="64">
        <f>IFERROR(1/J444*(Y444/H444),"0")</f>
        <v>4.1666666666666664E-2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47">
        <v>4607091384178</v>
      </c>
      <c r="E445" s="648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3"/>
      <c r="R445" s="653"/>
      <c r="S445" s="653"/>
      <c r="T445" s="654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7"/>
      <c r="B446" s="658"/>
      <c r="C446" s="658"/>
      <c r="D446" s="658"/>
      <c r="E446" s="658"/>
      <c r="F446" s="658"/>
      <c r="G446" s="658"/>
      <c r="H446" s="658"/>
      <c r="I446" s="658"/>
      <c r="J446" s="658"/>
      <c r="K446" s="658"/>
      <c r="L446" s="658"/>
      <c r="M446" s="658"/>
      <c r="N446" s="658"/>
      <c r="O446" s="659"/>
      <c r="P446" s="649" t="s">
        <v>72</v>
      </c>
      <c r="Q446" s="650"/>
      <c r="R446" s="650"/>
      <c r="S446" s="650"/>
      <c r="T446" s="650"/>
      <c r="U446" s="650"/>
      <c r="V446" s="651"/>
      <c r="W446" s="37" t="s">
        <v>73</v>
      </c>
      <c r="X446" s="645">
        <f>IFERROR(X443/H443,"0")+IFERROR(X444/H444,"0")+IFERROR(X445/H445,"0")</f>
        <v>75.266666666666666</v>
      </c>
      <c r="Y446" s="645">
        <f>IFERROR(Y443/H443,"0")+IFERROR(Y444/H444,"0")+IFERROR(Y445/H445,"0")</f>
        <v>76</v>
      </c>
      <c r="Z446" s="645">
        <f>IFERROR(IF(Z443="",0,Z443),"0")+IFERROR(IF(Z444="",0,Z444),"0")+IFERROR(IF(Z445="",0,Z445),"0")</f>
        <v>1.653</v>
      </c>
      <c r="AA446" s="646"/>
      <c r="AB446" s="646"/>
      <c r="AC446" s="646"/>
    </row>
    <row r="447" spans="1:68" x14ac:dyDescent="0.2">
      <c r="A447" s="658"/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9"/>
      <c r="P447" s="649" t="s">
        <v>72</v>
      </c>
      <c r="Q447" s="650"/>
      <c r="R447" s="650"/>
      <c r="S447" s="650"/>
      <c r="T447" s="650"/>
      <c r="U447" s="650"/>
      <c r="V447" s="651"/>
      <c r="W447" s="37" t="s">
        <v>67</v>
      </c>
      <c r="X447" s="645">
        <f>IFERROR(SUM(X443:X445),"0")</f>
        <v>1129</v>
      </c>
      <c r="Y447" s="645">
        <f>IFERROR(SUM(Y443:Y445),"0")</f>
        <v>1140</v>
      </c>
      <c r="Z447" s="37"/>
      <c r="AA447" s="646"/>
      <c r="AB447" s="646"/>
      <c r="AC447" s="646"/>
    </row>
    <row r="448" spans="1:68" ht="14.25" hidden="1" customHeight="1" x14ac:dyDescent="0.25">
      <c r="A448" s="667" t="s">
        <v>74</v>
      </c>
      <c r="B448" s="658"/>
      <c r="C448" s="658"/>
      <c r="D448" s="658"/>
      <c r="E448" s="658"/>
      <c r="F448" s="658"/>
      <c r="G448" s="658"/>
      <c r="H448" s="658"/>
      <c r="I448" s="658"/>
      <c r="J448" s="658"/>
      <c r="K448" s="658"/>
      <c r="L448" s="658"/>
      <c r="M448" s="658"/>
      <c r="N448" s="658"/>
      <c r="O448" s="658"/>
      <c r="P448" s="658"/>
      <c r="Q448" s="658"/>
      <c r="R448" s="658"/>
      <c r="S448" s="658"/>
      <c r="T448" s="658"/>
      <c r="U448" s="658"/>
      <c r="V448" s="658"/>
      <c r="W448" s="658"/>
      <c r="X448" s="658"/>
      <c r="Y448" s="658"/>
      <c r="Z448" s="658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47">
        <v>4607091383928</v>
      </c>
      <c r="E449" s="648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3"/>
      <c r="R449" s="653"/>
      <c r="S449" s="653"/>
      <c r="T449" s="654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728</v>
      </c>
      <c r="B450" s="54" t="s">
        <v>729</v>
      </c>
      <c r="C450" s="31">
        <v>4301051897</v>
      </c>
      <c r="D450" s="647">
        <v>4607091384260</v>
      </c>
      <c r="E450" s="648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3"/>
      <c r="R450" s="653"/>
      <c r="S450" s="653"/>
      <c r="T450" s="654"/>
      <c r="U450" s="34"/>
      <c r="V450" s="34"/>
      <c r="W450" s="35" t="s">
        <v>67</v>
      </c>
      <c r="X450" s="643">
        <v>34</v>
      </c>
      <c r="Y450" s="644">
        <f>IFERROR(IF(X450="",0,CEILING((X450/$H450),1)*$H450),"")</f>
        <v>36</v>
      </c>
      <c r="Z450" s="36">
        <f>IFERROR(IF(Y450=0,"",ROUNDUP(Y450/H450,0)*0.01898),"")</f>
        <v>7.5920000000000001E-2</v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35.86622222222222</v>
      </c>
      <c r="BN450" s="64">
        <f>IFERROR(Y450*I450/H450,"0")</f>
        <v>37.975999999999999</v>
      </c>
      <c r="BO450" s="64">
        <f>IFERROR(1/J450*(X450/H450),"0")</f>
        <v>5.9027777777777776E-2</v>
      </c>
      <c r="BP450" s="64">
        <f>IFERROR(1/J450*(Y450/H450),"0")</f>
        <v>6.25E-2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47">
        <v>4680115889538</v>
      </c>
      <c r="E451" s="648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3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3"/>
      <c r="R451" s="653"/>
      <c r="S451" s="653"/>
      <c r="T451" s="654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57"/>
      <c r="B452" s="658"/>
      <c r="C452" s="658"/>
      <c r="D452" s="658"/>
      <c r="E452" s="658"/>
      <c r="F452" s="658"/>
      <c r="G452" s="658"/>
      <c r="H452" s="658"/>
      <c r="I452" s="658"/>
      <c r="J452" s="658"/>
      <c r="K452" s="658"/>
      <c r="L452" s="658"/>
      <c r="M452" s="658"/>
      <c r="N452" s="658"/>
      <c r="O452" s="659"/>
      <c r="P452" s="649" t="s">
        <v>72</v>
      </c>
      <c r="Q452" s="650"/>
      <c r="R452" s="650"/>
      <c r="S452" s="650"/>
      <c r="T452" s="650"/>
      <c r="U452" s="650"/>
      <c r="V452" s="651"/>
      <c r="W452" s="37" t="s">
        <v>73</v>
      </c>
      <c r="X452" s="645">
        <f>IFERROR(X449/H449,"0")+IFERROR(X450/H450,"0")+IFERROR(X451/H451,"0")</f>
        <v>3.7777777777777777</v>
      </c>
      <c r="Y452" s="645">
        <f>IFERROR(Y449/H449,"0")+IFERROR(Y450/H450,"0")+IFERROR(Y451/H451,"0")</f>
        <v>4</v>
      </c>
      <c r="Z452" s="645">
        <f>IFERROR(IF(Z449="",0,Z449),"0")+IFERROR(IF(Z450="",0,Z450),"0")+IFERROR(IF(Z451="",0,Z451),"0")</f>
        <v>7.5920000000000001E-2</v>
      </c>
      <c r="AA452" s="646"/>
      <c r="AB452" s="646"/>
      <c r="AC452" s="646"/>
    </row>
    <row r="453" spans="1:68" x14ac:dyDescent="0.2">
      <c r="A453" s="658"/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9"/>
      <c r="P453" s="649" t="s">
        <v>72</v>
      </c>
      <c r="Q453" s="650"/>
      <c r="R453" s="650"/>
      <c r="S453" s="650"/>
      <c r="T453" s="650"/>
      <c r="U453" s="650"/>
      <c r="V453" s="651"/>
      <c r="W453" s="37" t="s">
        <v>67</v>
      </c>
      <c r="X453" s="645">
        <f>IFERROR(SUM(X449:X451),"0")</f>
        <v>34</v>
      </c>
      <c r="Y453" s="645">
        <f>IFERROR(SUM(Y449:Y451),"0")</f>
        <v>36</v>
      </c>
      <c r="Z453" s="37"/>
      <c r="AA453" s="646"/>
      <c r="AB453" s="646"/>
      <c r="AC453" s="646"/>
    </row>
    <row r="454" spans="1:68" ht="14.25" hidden="1" customHeight="1" x14ac:dyDescent="0.25">
      <c r="A454" s="667" t="s">
        <v>168</v>
      </c>
      <c r="B454" s="658"/>
      <c r="C454" s="658"/>
      <c r="D454" s="658"/>
      <c r="E454" s="658"/>
      <c r="F454" s="658"/>
      <c r="G454" s="658"/>
      <c r="H454" s="658"/>
      <c r="I454" s="658"/>
      <c r="J454" s="658"/>
      <c r="K454" s="658"/>
      <c r="L454" s="658"/>
      <c r="M454" s="658"/>
      <c r="N454" s="658"/>
      <c r="O454" s="658"/>
      <c r="P454" s="658"/>
      <c r="Q454" s="658"/>
      <c r="R454" s="658"/>
      <c r="S454" s="658"/>
      <c r="T454" s="658"/>
      <c r="U454" s="658"/>
      <c r="V454" s="658"/>
      <c r="W454" s="658"/>
      <c r="X454" s="658"/>
      <c r="Y454" s="658"/>
      <c r="Z454" s="658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47">
        <v>4680115889545</v>
      </c>
      <c r="E455" s="648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67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3"/>
      <c r="R455" s="653"/>
      <c r="S455" s="653"/>
      <c r="T455" s="654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737</v>
      </c>
      <c r="B456" s="54" t="s">
        <v>738</v>
      </c>
      <c r="C456" s="31">
        <v>4301060524</v>
      </c>
      <c r="D456" s="647">
        <v>4607091384673</v>
      </c>
      <c r="E456" s="648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7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3"/>
      <c r="R456" s="653"/>
      <c r="S456" s="653"/>
      <c r="T456" s="654"/>
      <c r="U456" s="34"/>
      <c r="V456" s="34"/>
      <c r="W456" s="35" t="s">
        <v>67</v>
      </c>
      <c r="X456" s="643">
        <v>85</v>
      </c>
      <c r="Y456" s="644">
        <f>IFERROR(IF(X456="",0,CEILING((X456/$H456),1)*$H456),"")</f>
        <v>90</v>
      </c>
      <c r="Z456" s="36">
        <f>IFERROR(IF(Y456=0,"",ROUNDUP(Y456/H456,0)*0.01898),"")</f>
        <v>0.1898</v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89.665555555555557</v>
      </c>
      <c r="BN456" s="64">
        <f>IFERROR(Y456*I456/H456,"0")</f>
        <v>94.94</v>
      </c>
      <c r="BO456" s="64">
        <f>IFERROR(1/J456*(X456/H456),"0")</f>
        <v>0.14756944444444445</v>
      </c>
      <c r="BP456" s="64">
        <f>IFERROR(1/J456*(Y456/H456),"0")</f>
        <v>0.15625</v>
      </c>
    </row>
    <row r="457" spans="1:68" x14ac:dyDescent="0.2">
      <c r="A457" s="657"/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9"/>
      <c r="P457" s="649" t="s">
        <v>72</v>
      </c>
      <c r="Q457" s="650"/>
      <c r="R457" s="650"/>
      <c r="S457" s="650"/>
      <c r="T457" s="650"/>
      <c r="U457" s="650"/>
      <c r="V457" s="651"/>
      <c r="W457" s="37" t="s">
        <v>73</v>
      </c>
      <c r="X457" s="645">
        <f>IFERROR(X455/H455,"0")+IFERROR(X456/H456,"0")</f>
        <v>9.4444444444444446</v>
      </c>
      <c r="Y457" s="645">
        <f>IFERROR(Y455/H455,"0")+IFERROR(Y456/H456,"0")</f>
        <v>10</v>
      </c>
      <c r="Z457" s="645">
        <f>IFERROR(IF(Z455="",0,Z455),"0")+IFERROR(IF(Z456="",0,Z456),"0")</f>
        <v>0.1898</v>
      </c>
      <c r="AA457" s="646"/>
      <c r="AB457" s="646"/>
      <c r="AC457" s="646"/>
    </row>
    <row r="458" spans="1:68" x14ac:dyDescent="0.2">
      <c r="A458" s="658"/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9"/>
      <c r="P458" s="649" t="s">
        <v>72</v>
      </c>
      <c r="Q458" s="650"/>
      <c r="R458" s="650"/>
      <c r="S458" s="650"/>
      <c r="T458" s="650"/>
      <c r="U458" s="650"/>
      <c r="V458" s="651"/>
      <c r="W458" s="37" t="s">
        <v>67</v>
      </c>
      <c r="X458" s="645">
        <f>IFERROR(SUM(X455:X456),"0")</f>
        <v>85</v>
      </c>
      <c r="Y458" s="645">
        <f>IFERROR(SUM(Y455:Y456),"0")</f>
        <v>90</v>
      </c>
      <c r="Z458" s="37"/>
      <c r="AA458" s="646"/>
      <c r="AB458" s="646"/>
      <c r="AC458" s="646"/>
    </row>
    <row r="459" spans="1:68" ht="16.5" hidden="1" customHeight="1" x14ac:dyDescent="0.25">
      <c r="A459" s="673" t="s">
        <v>740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38"/>
      <c r="AB459" s="638"/>
      <c r="AC459" s="638"/>
    </row>
    <row r="460" spans="1:68" ht="14.25" hidden="1" customHeight="1" x14ac:dyDescent="0.25">
      <c r="A460" s="667" t="s">
        <v>111</v>
      </c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58"/>
      <c r="P460" s="658"/>
      <c r="Q460" s="658"/>
      <c r="R460" s="658"/>
      <c r="S460" s="658"/>
      <c r="T460" s="658"/>
      <c r="U460" s="658"/>
      <c r="V460" s="658"/>
      <c r="W460" s="658"/>
      <c r="X460" s="658"/>
      <c r="Y460" s="658"/>
      <c r="Z460" s="658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47">
        <v>4680115884885</v>
      </c>
      <c r="E461" s="648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3"/>
      <c r="R461" s="653"/>
      <c r="S461" s="653"/>
      <c r="T461" s="654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47">
        <v>4680115884908</v>
      </c>
      <c r="E462" s="648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3"/>
      <c r="R462" s="653"/>
      <c r="S462" s="653"/>
      <c r="T462" s="654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7"/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9"/>
      <c r="P463" s="649" t="s">
        <v>72</v>
      </c>
      <c r="Q463" s="650"/>
      <c r="R463" s="650"/>
      <c r="S463" s="650"/>
      <c r="T463" s="650"/>
      <c r="U463" s="650"/>
      <c r="V463" s="651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58"/>
      <c r="B464" s="658"/>
      <c r="C464" s="658"/>
      <c r="D464" s="658"/>
      <c r="E464" s="658"/>
      <c r="F464" s="658"/>
      <c r="G464" s="658"/>
      <c r="H464" s="658"/>
      <c r="I464" s="658"/>
      <c r="J464" s="658"/>
      <c r="K464" s="658"/>
      <c r="L464" s="658"/>
      <c r="M464" s="658"/>
      <c r="N464" s="658"/>
      <c r="O464" s="659"/>
      <c r="P464" s="649" t="s">
        <v>72</v>
      </c>
      <c r="Q464" s="650"/>
      <c r="R464" s="650"/>
      <c r="S464" s="650"/>
      <c r="T464" s="650"/>
      <c r="U464" s="650"/>
      <c r="V464" s="651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67" t="s">
        <v>62</v>
      </c>
      <c r="B465" s="658"/>
      <c r="C465" s="658"/>
      <c r="D465" s="658"/>
      <c r="E465" s="658"/>
      <c r="F465" s="658"/>
      <c r="G465" s="658"/>
      <c r="H465" s="658"/>
      <c r="I465" s="658"/>
      <c r="J465" s="658"/>
      <c r="K465" s="658"/>
      <c r="L465" s="658"/>
      <c r="M465" s="658"/>
      <c r="N465" s="658"/>
      <c r="O465" s="658"/>
      <c r="P465" s="658"/>
      <c r="Q465" s="658"/>
      <c r="R465" s="658"/>
      <c r="S465" s="658"/>
      <c r="T465" s="658"/>
      <c r="U465" s="658"/>
      <c r="V465" s="658"/>
      <c r="W465" s="658"/>
      <c r="X465" s="658"/>
      <c r="Y465" s="658"/>
      <c r="Z465" s="658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47">
        <v>4607091384802</v>
      </c>
      <c r="E466" s="648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7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3"/>
      <c r="R466" s="653"/>
      <c r="S466" s="653"/>
      <c r="T466" s="654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7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59"/>
      <c r="P467" s="649" t="s">
        <v>72</v>
      </c>
      <c r="Q467" s="650"/>
      <c r="R467" s="650"/>
      <c r="S467" s="650"/>
      <c r="T467" s="650"/>
      <c r="U467" s="650"/>
      <c r="V467" s="651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58"/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9"/>
      <c r="P468" s="649" t="s">
        <v>72</v>
      </c>
      <c r="Q468" s="650"/>
      <c r="R468" s="650"/>
      <c r="S468" s="650"/>
      <c r="T468" s="650"/>
      <c r="U468" s="650"/>
      <c r="V468" s="651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67" t="s">
        <v>74</v>
      </c>
      <c r="B469" s="658"/>
      <c r="C469" s="658"/>
      <c r="D469" s="658"/>
      <c r="E469" s="658"/>
      <c r="F469" s="658"/>
      <c r="G469" s="658"/>
      <c r="H469" s="658"/>
      <c r="I469" s="658"/>
      <c r="J469" s="658"/>
      <c r="K469" s="658"/>
      <c r="L469" s="658"/>
      <c r="M469" s="658"/>
      <c r="N469" s="658"/>
      <c r="O469" s="658"/>
      <c r="P469" s="658"/>
      <c r="Q469" s="658"/>
      <c r="R469" s="658"/>
      <c r="S469" s="658"/>
      <c r="T469" s="658"/>
      <c r="U469" s="658"/>
      <c r="V469" s="658"/>
      <c r="W469" s="658"/>
      <c r="X469" s="658"/>
      <c r="Y469" s="658"/>
      <c r="Z469" s="658"/>
      <c r="AA469" s="639"/>
      <c r="AB469" s="639"/>
      <c r="AC469" s="639"/>
    </row>
    <row r="470" spans="1:68" ht="27" hidden="1" customHeight="1" x14ac:dyDescent="0.25">
      <c r="A470" s="54" t="s">
        <v>749</v>
      </c>
      <c r="B470" s="54" t="s">
        <v>750</v>
      </c>
      <c r="C470" s="31">
        <v>4301051899</v>
      </c>
      <c r="D470" s="647">
        <v>4607091384246</v>
      </c>
      <c r="E470" s="648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93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3"/>
      <c r="R470" s="653"/>
      <c r="S470" s="653"/>
      <c r="T470" s="654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752</v>
      </c>
      <c r="B471" s="54" t="s">
        <v>753</v>
      </c>
      <c r="C471" s="31">
        <v>4301051660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3"/>
      <c r="R471" s="653"/>
      <c r="S471" s="653"/>
      <c r="T471" s="654"/>
      <c r="U471" s="34"/>
      <c r="V471" s="34"/>
      <c r="W471" s="35" t="s">
        <v>67</v>
      </c>
      <c r="X471" s="643">
        <v>14</v>
      </c>
      <c r="Y471" s="644">
        <f>IFERROR(IF(X471="",0,CEILING((X471/$H471),1)*$H471),"")</f>
        <v>14.399999999999999</v>
      </c>
      <c r="Z471" s="36">
        <f>IFERROR(IF(Y471=0,"",ROUNDUP(Y471/H471,0)*0.00651),"")</f>
        <v>3.9059999999999997E-2</v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15.540000000000001</v>
      </c>
      <c r="BN471" s="64">
        <f>IFERROR(Y471*I471/H471,"0")</f>
        <v>15.983999999999998</v>
      </c>
      <c r="BO471" s="64">
        <f>IFERROR(1/J471*(X471/H471),"0")</f>
        <v>3.2051282051282055E-2</v>
      </c>
      <c r="BP471" s="64">
        <f>IFERROR(1/J471*(Y471/H471),"0")</f>
        <v>3.2967032967032968E-2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47">
        <v>4607091384253</v>
      </c>
      <c r="E472" s="648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3"/>
      <c r="R472" s="653"/>
      <c r="S472" s="653"/>
      <c r="T472" s="654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7"/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9"/>
      <c r="P473" s="649" t="s">
        <v>72</v>
      </c>
      <c r="Q473" s="650"/>
      <c r="R473" s="650"/>
      <c r="S473" s="650"/>
      <c r="T473" s="650"/>
      <c r="U473" s="650"/>
      <c r="V473" s="651"/>
      <c r="W473" s="37" t="s">
        <v>73</v>
      </c>
      <c r="X473" s="645">
        <f>IFERROR(X470/H470,"0")+IFERROR(X471/H471,"0")+IFERROR(X472/H472,"0")</f>
        <v>5.8333333333333339</v>
      </c>
      <c r="Y473" s="645">
        <f>IFERROR(Y470/H470,"0")+IFERROR(Y471/H471,"0")+IFERROR(Y472/H472,"0")</f>
        <v>6</v>
      </c>
      <c r="Z473" s="645">
        <f>IFERROR(IF(Z470="",0,Z470),"0")+IFERROR(IF(Z471="",0,Z471),"0")+IFERROR(IF(Z472="",0,Z472),"0")</f>
        <v>3.9059999999999997E-2</v>
      </c>
      <c r="AA473" s="646"/>
      <c r="AB473" s="646"/>
      <c r="AC473" s="646"/>
    </row>
    <row r="474" spans="1:68" x14ac:dyDescent="0.2">
      <c r="A474" s="658"/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658"/>
      <c r="M474" s="658"/>
      <c r="N474" s="658"/>
      <c r="O474" s="659"/>
      <c r="P474" s="649" t="s">
        <v>72</v>
      </c>
      <c r="Q474" s="650"/>
      <c r="R474" s="650"/>
      <c r="S474" s="650"/>
      <c r="T474" s="650"/>
      <c r="U474" s="650"/>
      <c r="V474" s="651"/>
      <c r="W474" s="37" t="s">
        <v>67</v>
      </c>
      <c r="X474" s="645">
        <f>IFERROR(SUM(X470:X472),"0")</f>
        <v>14</v>
      </c>
      <c r="Y474" s="645">
        <f>IFERROR(SUM(Y470:Y472),"0")</f>
        <v>14.399999999999999</v>
      </c>
      <c r="Z474" s="37"/>
      <c r="AA474" s="646"/>
      <c r="AB474" s="646"/>
      <c r="AC474" s="646"/>
    </row>
    <row r="475" spans="1:68" ht="27.75" hidden="1" customHeight="1" x14ac:dyDescent="0.2">
      <c r="A475" s="661" t="s">
        <v>756</v>
      </c>
      <c r="B475" s="662"/>
      <c r="C475" s="662"/>
      <c r="D475" s="662"/>
      <c r="E475" s="662"/>
      <c r="F475" s="662"/>
      <c r="G475" s="662"/>
      <c r="H475" s="662"/>
      <c r="I475" s="662"/>
      <c r="J475" s="662"/>
      <c r="K475" s="662"/>
      <c r="L475" s="662"/>
      <c r="M475" s="662"/>
      <c r="N475" s="662"/>
      <c r="O475" s="662"/>
      <c r="P475" s="662"/>
      <c r="Q475" s="662"/>
      <c r="R475" s="662"/>
      <c r="S475" s="662"/>
      <c r="T475" s="662"/>
      <c r="U475" s="662"/>
      <c r="V475" s="662"/>
      <c r="W475" s="662"/>
      <c r="X475" s="662"/>
      <c r="Y475" s="662"/>
      <c r="Z475" s="662"/>
      <c r="AA475" s="48"/>
      <c r="AB475" s="48"/>
      <c r="AC475" s="48"/>
    </row>
    <row r="476" spans="1:68" ht="16.5" hidden="1" customHeight="1" x14ac:dyDescent="0.25">
      <c r="A476" s="673" t="s">
        <v>757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38"/>
      <c r="AB476" s="638"/>
      <c r="AC476" s="638"/>
    </row>
    <row r="477" spans="1:68" ht="14.25" hidden="1" customHeight="1" x14ac:dyDescent="0.25">
      <c r="A477" s="667" t="s">
        <v>62</v>
      </c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58"/>
      <c r="P477" s="658"/>
      <c r="Q477" s="658"/>
      <c r="R477" s="658"/>
      <c r="S477" s="658"/>
      <c r="T477" s="658"/>
      <c r="U477" s="658"/>
      <c r="V477" s="658"/>
      <c r="W477" s="658"/>
      <c r="X477" s="658"/>
      <c r="Y477" s="658"/>
      <c r="Z477" s="658"/>
      <c r="AA477" s="639"/>
      <c r="AB477" s="639"/>
      <c r="AC477" s="639"/>
    </row>
    <row r="478" spans="1:68" ht="27" hidden="1" customHeight="1" x14ac:dyDescent="0.25">
      <c r="A478" s="54" t="s">
        <v>758</v>
      </c>
      <c r="B478" s="54" t="s">
        <v>759</v>
      </c>
      <c r="C478" s="31">
        <v>4301031405</v>
      </c>
      <c r="D478" s="647">
        <v>4680115886100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3"/>
      <c r="R478" s="653"/>
      <c r="S478" s="653"/>
      <c r="T478" s="654"/>
      <c r="U478" s="34"/>
      <c r="V478" s="34"/>
      <c r="W478" s="35" t="s">
        <v>67</v>
      </c>
      <c r="X478" s="643">
        <v>0</v>
      </c>
      <c r="Y478" s="644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47">
        <v>4680115886124</v>
      </c>
      <c r="E479" s="648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3"/>
      <c r="R479" s="653"/>
      <c r="S479" s="653"/>
      <c r="T479" s="654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47">
        <v>4607091384338</v>
      </c>
      <c r="E480" s="648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3"/>
      <c r="R480" s="653"/>
      <c r="S480" s="653"/>
      <c r="T480" s="654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47">
        <v>4680115883161</v>
      </c>
      <c r="E481" s="648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3"/>
      <c r="R481" s="653"/>
      <c r="S481" s="653"/>
      <c r="T481" s="654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47">
        <v>4607091389531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3"/>
      <c r="R482" s="653"/>
      <c r="S482" s="653"/>
      <c r="T482" s="654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47">
        <v>4607091384345</v>
      </c>
      <c r="E483" s="648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3"/>
      <c r="R483" s="653"/>
      <c r="S483" s="653"/>
      <c r="T483" s="654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7"/>
      <c r="B484" s="658"/>
      <c r="C484" s="658"/>
      <c r="D484" s="658"/>
      <c r="E484" s="658"/>
      <c r="F484" s="658"/>
      <c r="G484" s="658"/>
      <c r="H484" s="658"/>
      <c r="I484" s="658"/>
      <c r="J484" s="658"/>
      <c r="K484" s="658"/>
      <c r="L484" s="658"/>
      <c r="M484" s="658"/>
      <c r="N484" s="658"/>
      <c r="O484" s="659"/>
      <c r="P484" s="649" t="s">
        <v>72</v>
      </c>
      <c r="Q484" s="650"/>
      <c r="R484" s="650"/>
      <c r="S484" s="650"/>
      <c r="T484" s="650"/>
      <c r="U484" s="650"/>
      <c r="V484" s="651"/>
      <c r="W484" s="37" t="s">
        <v>73</v>
      </c>
      <c r="X484" s="645">
        <f>IFERROR(X478/H478,"0")+IFERROR(X479/H479,"0")+IFERROR(X480/H480,"0")+IFERROR(X481/H481,"0")+IFERROR(X482/H482,"0")+IFERROR(X483/H483,"0")</f>
        <v>0</v>
      </c>
      <c r="Y484" s="645">
        <f>IFERROR(Y478/H478,"0")+IFERROR(Y479/H479,"0")+IFERROR(Y480/H480,"0")+IFERROR(Y481/H481,"0")+IFERROR(Y482/H482,"0")+IFERROR(Y483/H483,"0")</f>
        <v>0</v>
      </c>
      <c r="Z484" s="645">
        <f>IFERROR(IF(Z478="",0,Z478),"0")+IFERROR(IF(Z479="",0,Z479),"0")+IFERROR(IF(Z480="",0,Z480),"0")+IFERROR(IF(Z481="",0,Z481),"0")+IFERROR(IF(Z482="",0,Z482),"0")+IFERROR(IF(Z483="",0,Z483),"0")</f>
        <v>0</v>
      </c>
      <c r="AA484" s="646"/>
      <c r="AB484" s="646"/>
      <c r="AC484" s="646"/>
    </row>
    <row r="485" spans="1:68" hidden="1" x14ac:dyDescent="0.2">
      <c r="A485" s="658"/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9"/>
      <c r="P485" s="649" t="s">
        <v>72</v>
      </c>
      <c r="Q485" s="650"/>
      <c r="R485" s="650"/>
      <c r="S485" s="650"/>
      <c r="T485" s="650"/>
      <c r="U485" s="650"/>
      <c r="V485" s="651"/>
      <c r="W485" s="37" t="s">
        <v>67</v>
      </c>
      <c r="X485" s="645">
        <f>IFERROR(SUM(X478:X483),"0")</f>
        <v>0</v>
      </c>
      <c r="Y485" s="645">
        <f>IFERROR(SUM(Y478:Y483),"0")</f>
        <v>0</v>
      </c>
      <c r="Z485" s="37"/>
      <c r="AA485" s="646"/>
      <c r="AB485" s="646"/>
      <c r="AC485" s="646"/>
    </row>
    <row r="486" spans="1:68" ht="14.25" hidden="1" customHeight="1" x14ac:dyDescent="0.25">
      <c r="A486" s="667" t="s">
        <v>74</v>
      </c>
      <c r="B486" s="658"/>
      <c r="C486" s="658"/>
      <c r="D486" s="658"/>
      <c r="E486" s="658"/>
      <c r="F486" s="658"/>
      <c r="G486" s="658"/>
      <c r="H486" s="658"/>
      <c r="I486" s="658"/>
      <c r="J486" s="658"/>
      <c r="K486" s="658"/>
      <c r="L486" s="658"/>
      <c r="M486" s="658"/>
      <c r="N486" s="658"/>
      <c r="O486" s="658"/>
      <c r="P486" s="658"/>
      <c r="Q486" s="658"/>
      <c r="R486" s="658"/>
      <c r="S486" s="658"/>
      <c r="T486" s="658"/>
      <c r="U486" s="658"/>
      <c r="V486" s="658"/>
      <c r="W486" s="658"/>
      <c r="X486" s="658"/>
      <c r="Y486" s="658"/>
      <c r="Z486" s="658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47">
        <v>4607091384352</v>
      </c>
      <c r="E487" s="648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3"/>
      <c r="R487" s="653"/>
      <c r="S487" s="653"/>
      <c r="T487" s="654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47">
        <v>4607091389654</v>
      </c>
      <c r="E488" s="648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9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3"/>
      <c r="R488" s="653"/>
      <c r="S488" s="653"/>
      <c r="T488" s="654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7"/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9"/>
      <c r="P489" s="649" t="s">
        <v>72</v>
      </c>
      <c r="Q489" s="650"/>
      <c r="R489" s="650"/>
      <c r="S489" s="650"/>
      <c r="T489" s="650"/>
      <c r="U489" s="650"/>
      <c r="V489" s="651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58"/>
      <c r="B490" s="658"/>
      <c r="C490" s="658"/>
      <c r="D490" s="658"/>
      <c r="E490" s="658"/>
      <c r="F490" s="658"/>
      <c r="G490" s="658"/>
      <c r="H490" s="658"/>
      <c r="I490" s="658"/>
      <c r="J490" s="658"/>
      <c r="K490" s="658"/>
      <c r="L490" s="658"/>
      <c r="M490" s="658"/>
      <c r="N490" s="658"/>
      <c r="O490" s="659"/>
      <c r="P490" s="649" t="s">
        <v>72</v>
      </c>
      <c r="Q490" s="650"/>
      <c r="R490" s="650"/>
      <c r="S490" s="650"/>
      <c r="T490" s="650"/>
      <c r="U490" s="650"/>
      <c r="V490" s="651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673" t="s">
        <v>780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38"/>
      <c r="AB491" s="638"/>
      <c r="AC491" s="638"/>
    </row>
    <row r="492" spans="1:68" ht="14.25" hidden="1" customHeight="1" x14ac:dyDescent="0.25">
      <c r="A492" s="667" t="s">
        <v>148</v>
      </c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58"/>
      <c r="P492" s="658"/>
      <c r="Q492" s="658"/>
      <c r="R492" s="658"/>
      <c r="S492" s="658"/>
      <c r="T492" s="658"/>
      <c r="U492" s="658"/>
      <c r="V492" s="658"/>
      <c r="W492" s="658"/>
      <c r="X492" s="658"/>
      <c r="Y492" s="658"/>
      <c r="Z492" s="658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47">
        <v>4680115885240</v>
      </c>
      <c r="E493" s="648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7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3"/>
      <c r="R493" s="653"/>
      <c r="S493" s="653"/>
      <c r="T493" s="654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7"/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9"/>
      <c r="P494" s="649" t="s">
        <v>72</v>
      </c>
      <c r="Q494" s="650"/>
      <c r="R494" s="650"/>
      <c r="S494" s="650"/>
      <c r="T494" s="650"/>
      <c r="U494" s="650"/>
      <c r="V494" s="651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58"/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9"/>
      <c r="P495" s="649" t="s">
        <v>72</v>
      </c>
      <c r="Q495" s="650"/>
      <c r="R495" s="650"/>
      <c r="S495" s="650"/>
      <c r="T495" s="650"/>
      <c r="U495" s="650"/>
      <c r="V495" s="651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67" t="s">
        <v>62</v>
      </c>
      <c r="B496" s="658"/>
      <c r="C496" s="658"/>
      <c r="D496" s="658"/>
      <c r="E496" s="658"/>
      <c r="F496" s="658"/>
      <c r="G496" s="658"/>
      <c r="H496" s="658"/>
      <c r="I496" s="658"/>
      <c r="J496" s="658"/>
      <c r="K496" s="658"/>
      <c r="L496" s="658"/>
      <c r="M496" s="658"/>
      <c r="N496" s="658"/>
      <c r="O496" s="658"/>
      <c r="P496" s="658"/>
      <c r="Q496" s="658"/>
      <c r="R496" s="658"/>
      <c r="S496" s="658"/>
      <c r="T496" s="658"/>
      <c r="U496" s="658"/>
      <c r="V496" s="658"/>
      <c r="W496" s="658"/>
      <c r="X496" s="658"/>
      <c r="Y496" s="658"/>
      <c r="Z496" s="658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47">
        <v>4680115886094</v>
      </c>
      <c r="E497" s="648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3"/>
      <c r="R497" s="653"/>
      <c r="S497" s="653"/>
      <c r="T497" s="654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47">
        <v>4680115880771</v>
      </c>
      <c r="E498" s="648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3"/>
      <c r="R498" s="653"/>
      <c r="S498" s="653"/>
      <c r="T498" s="654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47">
        <v>4607091389500</v>
      </c>
      <c r="E499" s="648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9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3"/>
      <c r="R499" s="653"/>
      <c r="S499" s="653"/>
      <c r="T499" s="654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7"/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9"/>
      <c r="P500" s="649" t="s">
        <v>72</v>
      </c>
      <c r="Q500" s="650"/>
      <c r="R500" s="650"/>
      <c r="S500" s="650"/>
      <c r="T500" s="650"/>
      <c r="U500" s="650"/>
      <c r="V500" s="651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58"/>
      <c r="B501" s="658"/>
      <c r="C501" s="658"/>
      <c r="D501" s="658"/>
      <c r="E501" s="658"/>
      <c r="F501" s="658"/>
      <c r="G501" s="658"/>
      <c r="H501" s="658"/>
      <c r="I501" s="658"/>
      <c r="J501" s="658"/>
      <c r="K501" s="658"/>
      <c r="L501" s="658"/>
      <c r="M501" s="658"/>
      <c r="N501" s="658"/>
      <c r="O501" s="659"/>
      <c r="P501" s="649" t="s">
        <v>72</v>
      </c>
      <c r="Q501" s="650"/>
      <c r="R501" s="650"/>
      <c r="S501" s="650"/>
      <c r="T501" s="650"/>
      <c r="U501" s="650"/>
      <c r="V501" s="651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661" t="s">
        <v>792</v>
      </c>
      <c r="B502" s="662"/>
      <c r="C502" s="662"/>
      <c r="D502" s="662"/>
      <c r="E502" s="662"/>
      <c r="F502" s="662"/>
      <c r="G502" s="662"/>
      <c r="H502" s="662"/>
      <c r="I502" s="662"/>
      <c r="J502" s="662"/>
      <c r="K502" s="662"/>
      <c r="L502" s="662"/>
      <c r="M502" s="662"/>
      <c r="N502" s="662"/>
      <c r="O502" s="662"/>
      <c r="P502" s="662"/>
      <c r="Q502" s="662"/>
      <c r="R502" s="662"/>
      <c r="S502" s="662"/>
      <c r="T502" s="662"/>
      <c r="U502" s="662"/>
      <c r="V502" s="662"/>
      <c r="W502" s="662"/>
      <c r="X502" s="662"/>
      <c r="Y502" s="662"/>
      <c r="Z502" s="662"/>
      <c r="AA502" s="48"/>
      <c r="AB502" s="48"/>
      <c r="AC502" s="48"/>
    </row>
    <row r="503" spans="1:68" ht="16.5" hidden="1" customHeight="1" x14ac:dyDescent="0.25">
      <c r="A503" s="673" t="s">
        <v>792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38"/>
      <c r="AB503" s="638"/>
      <c r="AC503" s="638"/>
    </row>
    <row r="504" spans="1:68" ht="14.25" hidden="1" customHeight="1" x14ac:dyDescent="0.25">
      <c r="A504" s="667" t="s">
        <v>111</v>
      </c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58"/>
      <c r="P504" s="658"/>
      <c r="Q504" s="658"/>
      <c r="R504" s="658"/>
      <c r="S504" s="658"/>
      <c r="T504" s="658"/>
      <c r="U504" s="658"/>
      <c r="V504" s="658"/>
      <c r="W504" s="658"/>
      <c r="X504" s="658"/>
      <c r="Y504" s="658"/>
      <c r="Z504" s="658"/>
      <c r="AA504" s="639"/>
      <c r="AB504" s="639"/>
      <c r="AC504" s="639"/>
    </row>
    <row r="505" spans="1:68" ht="27" hidden="1" customHeight="1" x14ac:dyDescent="0.25">
      <c r="A505" s="54" t="s">
        <v>793</v>
      </c>
      <c r="B505" s="54" t="s">
        <v>794</v>
      </c>
      <c r="C505" s="31">
        <v>4301011769</v>
      </c>
      <c r="D505" s="647">
        <v>4607091389067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10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3"/>
      <c r="R505" s="653"/>
      <c r="S505" s="653"/>
      <c r="T505" s="654"/>
      <c r="U505" s="34"/>
      <c r="V505" s="34"/>
      <c r="W505" s="35" t="s">
        <v>67</v>
      </c>
      <c r="X505" s="643">
        <v>0</v>
      </c>
      <c r="Y505" s="644">
        <f t="shared" ref="Y505:Y513" si="83">IFERROR(IF(X505="",0,CEILING((X505/$H505),1)*$H505),"")</f>
        <v>0</v>
      </c>
      <c r="Z505" s="36" t="str">
        <f t="shared" ref="Z505:Z510" si="84">IFERROR(IF(Y505=0,"",ROUNDUP(Y505/H505,0)*0.01196),"")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0</v>
      </c>
      <c r="BN505" s="64">
        <f t="shared" ref="BN505:BN513" si="86">IFERROR(Y505*I505/H505,"0")</f>
        <v>0</v>
      </c>
      <c r="BO505" s="64">
        <f t="shared" ref="BO505:BO513" si="87">IFERROR(1/J505*(X505/H505),"0")</f>
        <v>0</v>
      </c>
      <c r="BP505" s="64">
        <f t="shared" ref="BP505:BP513" si="88">IFERROR(1/J505*(Y505/H505),"0")</f>
        <v>0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47">
        <v>4680115889576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3"/>
      <c r="R506" s="653"/>
      <c r="S506" s="653"/>
      <c r="T506" s="654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customHeight="1" x14ac:dyDescent="0.25">
      <c r="A507" s="54" t="s">
        <v>798</v>
      </c>
      <c r="B507" s="54" t="s">
        <v>799</v>
      </c>
      <c r="C507" s="31">
        <v>4301011961</v>
      </c>
      <c r="D507" s="647">
        <v>4680115885271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3"/>
      <c r="R507" s="653"/>
      <c r="S507" s="653"/>
      <c r="T507" s="654"/>
      <c r="U507" s="34"/>
      <c r="V507" s="34"/>
      <c r="W507" s="35" t="s">
        <v>67</v>
      </c>
      <c r="X507" s="643">
        <v>42</v>
      </c>
      <c r="Y507" s="644">
        <f t="shared" si="83"/>
        <v>42.24</v>
      </c>
      <c r="Z507" s="36">
        <f t="shared" si="84"/>
        <v>9.5680000000000001E-2</v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44.784090909090907</v>
      </c>
      <c r="BN507" s="64">
        <f t="shared" si="86"/>
        <v>45.04</v>
      </c>
      <c r="BO507" s="64">
        <f t="shared" si="87"/>
        <v>7.6486013986013984E-2</v>
      </c>
      <c r="BP507" s="64">
        <f t="shared" si="88"/>
        <v>7.6923076923076927E-2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47">
        <v>4680115885226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7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3"/>
      <c r="R508" s="653"/>
      <c r="S508" s="653"/>
      <c r="T508" s="654"/>
      <c r="U508" s="34"/>
      <c r="V508" s="34"/>
      <c r="W508" s="35" t="s">
        <v>67</v>
      </c>
      <c r="X508" s="643">
        <v>445</v>
      </c>
      <c r="Y508" s="644">
        <f t="shared" si="83"/>
        <v>448.8</v>
      </c>
      <c r="Z508" s="36">
        <f t="shared" si="84"/>
        <v>1.0165999999999999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474.49810606060601</v>
      </c>
      <c r="BN508" s="64">
        <f t="shared" si="86"/>
        <v>478.55</v>
      </c>
      <c r="BO508" s="64">
        <f t="shared" si="87"/>
        <v>0.81038752913752921</v>
      </c>
      <c r="BP508" s="64">
        <f t="shared" si="88"/>
        <v>0.8173076923076924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47">
        <v>4680115884502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3"/>
      <c r="R509" s="653"/>
      <c r="S509" s="653"/>
      <c r="T509" s="654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47">
        <v>4607091389104</v>
      </c>
      <c r="E510" s="648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3"/>
      <c r="R510" s="653"/>
      <c r="S510" s="653"/>
      <c r="T510" s="654"/>
      <c r="U510" s="34"/>
      <c r="V510" s="34"/>
      <c r="W510" s="35" t="s">
        <v>67</v>
      </c>
      <c r="X510" s="643">
        <v>577</v>
      </c>
      <c r="Y510" s="644">
        <f t="shared" si="83"/>
        <v>580.80000000000007</v>
      </c>
      <c r="Z510" s="36">
        <f t="shared" si="84"/>
        <v>1.3156000000000001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615.24810606060601</v>
      </c>
      <c r="BN510" s="64">
        <f t="shared" si="86"/>
        <v>619.30000000000007</v>
      </c>
      <c r="BO510" s="64">
        <f t="shared" si="87"/>
        <v>1.0507721445221445</v>
      </c>
      <c r="BP510" s="64">
        <f t="shared" si="88"/>
        <v>1.0576923076923079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47">
        <v>4680115886391</v>
      </c>
      <c r="E511" s="648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4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3"/>
      <c r="R511" s="653"/>
      <c r="S511" s="653"/>
      <c r="T511" s="654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4301012048</v>
      </c>
      <c r="D512" s="647">
        <v>4680115880603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8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3"/>
      <c r="R512" s="653"/>
      <c r="S512" s="653"/>
      <c r="T512" s="654"/>
      <c r="U512" s="34"/>
      <c r="V512" s="34"/>
      <c r="W512" s="35" t="s">
        <v>67</v>
      </c>
      <c r="X512" s="643">
        <v>0</v>
      </c>
      <c r="Y512" s="644">
        <f t="shared" si="83"/>
        <v>0</v>
      </c>
      <c r="Z512" s="36" t="str">
        <f>IFERROR(IF(Y512=0,"",ROUNDUP(Y512/H512,0)*0.00902),"")</f>
        <v/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0</v>
      </c>
      <c r="BN512" s="64">
        <f t="shared" si="86"/>
        <v>0</v>
      </c>
      <c r="BO512" s="64">
        <f t="shared" si="87"/>
        <v>0</v>
      </c>
      <c r="BP512" s="64">
        <f t="shared" si="88"/>
        <v>0</v>
      </c>
    </row>
    <row r="513" spans="1:68" ht="27" hidden="1" customHeight="1" x14ac:dyDescent="0.25">
      <c r="A513" s="54" t="s">
        <v>814</v>
      </c>
      <c r="B513" s="54" t="s">
        <v>815</v>
      </c>
      <c r="C513" s="31">
        <v>4301012034</v>
      </c>
      <c r="D513" s="647">
        <v>4607091389982</v>
      </c>
      <c r="E513" s="648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3"/>
      <c r="R513" s="653"/>
      <c r="S513" s="653"/>
      <c r="T513" s="654"/>
      <c r="U513" s="34"/>
      <c r="V513" s="34"/>
      <c r="W513" s="35" t="s">
        <v>67</v>
      </c>
      <c r="X513" s="643">
        <v>0</v>
      </c>
      <c r="Y513" s="644">
        <f t="shared" si="83"/>
        <v>0</v>
      </c>
      <c r="Z513" s="36" t="str">
        <f>IFERROR(IF(Y513=0,"",ROUNDUP(Y513/H513,0)*0.00902),"")</f>
        <v/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0</v>
      </c>
      <c r="BN513" s="64">
        <f t="shared" si="86"/>
        <v>0</v>
      </c>
      <c r="BO513" s="64">
        <f t="shared" si="87"/>
        <v>0</v>
      </c>
      <c r="BP513" s="64">
        <f t="shared" si="88"/>
        <v>0</v>
      </c>
    </row>
    <row r="514" spans="1:68" x14ac:dyDescent="0.2">
      <c r="A514" s="657"/>
      <c r="B514" s="658"/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9"/>
      <c r="P514" s="649" t="s">
        <v>72</v>
      </c>
      <c r="Q514" s="650"/>
      <c r="R514" s="650"/>
      <c r="S514" s="650"/>
      <c r="T514" s="650"/>
      <c r="U514" s="650"/>
      <c r="V514" s="651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201.5151515151515</v>
      </c>
      <c r="Y514" s="645">
        <f>IFERROR(Y505/H505,"0")+IFERROR(Y506/H506,"0")+IFERROR(Y507/H507,"0")+IFERROR(Y508/H508,"0")+IFERROR(Y509/H509,"0")+IFERROR(Y510/H510,"0")+IFERROR(Y511/H511,"0")+IFERROR(Y512/H512,"0")+IFERROR(Y513/H513,"0")</f>
        <v>203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2.42788</v>
      </c>
      <c r="AA514" s="646"/>
      <c r="AB514" s="646"/>
      <c r="AC514" s="646"/>
    </row>
    <row r="515" spans="1:68" x14ac:dyDescent="0.2">
      <c r="A515" s="658"/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9"/>
      <c r="P515" s="649" t="s">
        <v>72</v>
      </c>
      <c r="Q515" s="650"/>
      <c r="R515" s="650"/>
      <c r="S515" s="650"/>
      <c r="T515" s="650"/>
      <c r="U515" s="650"/>
      <c r="V515" s="651"/>
      <c r="W515" s="37" t="s">
        <v>67</v>
      </c>
      <c r="X515" s="645">
        <f>IFERROR(SUM(X505:X513),"0")</f>
        <v>1064</v>
      </c>
      <c r="Y515" s="645">
        <f>IFERROR(SUM(Y505:Y513),"0")</f>
        <v>1071.8400000000001</v>
      </c>
      <c r="Z515" s="37"/>
      <c r="AA515" s="646"/>
      <c r="AB515" s="646"/>
      <c r="AC515" s="646"/>
    </row>
    <row r="516" spans="1:68" ht="14.25" hidden="1" customHeight="1" x14ac:dyDescent="0.25">
      <c r="A516" s="667" t="s">
        <v>148</v>
      </c>
      <c r="B516" s="658"/>
      <c r="C516" s="658"/>
      <c r="D516" s="658"/>
      <c r="E516" s="658"/>
      <c r="F516" s="658"/>
      <c r="G516" s="658"/>
      <c r="H516" s="658"/>
      <c r="I516" s="658"/>
      <c r="J516" s="658"/>
      <c r="K516" s="658"/>
      <c r="L516" s="658"/>
      <c r="M516" s="658"/>
      <c r="N516" s="658"/>
      <c r="O516" s="658"/>
      <c r="P516" s="658"/>
      <c r="Q516" s="658"/>
      <c r="R516" s="658"/>
      <c r="S516" s="658"/>
      <c r="T516" s="658"/>
      <c r="U516" s="658"/>
      <c r="V516" s="658"/>
      <c r="W516" s="658"/>
      <c r="X516" s="658"/>
      <c r="Y516" s="658"/>
      <c r="Z516" s="658"/>
      <c r="AA516" s="639"/>
      <c r="AB516" s="639"/>
      <c r="AC516" s="639"/>
    </row>
    <row r="517" spans="1:68" ht="16.5" customHeight="1" x14ac:dyDescent="0.25">
      <c r="A517" s="54" t="s">
        <v>816</v>
      </c>
      <c r="B517" s="54" t="s">
        <v>817</v>
      </c>
      <c r="C517" s="31">
        <v>4301020334</v>
      </c>
      <c r="D517" s="647">
        <v>4607091388930</v>
      </c>
      <c r="E517" s="648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8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3"/>
      <c r="R517" s="653"/>
      <c r="S517" s="653"/>
      <c r="T517" s="654"/>
      <c r="U517" s="34"/>
      <c r="V517" s="34"/>
      <c r="W517" s="35" t="s">
        <v>67</v>
      </c>
      <c r="X517" s="643">
        <v>641</v>
      </c>
      <c r="Y517" s="644">
        <f>IFERROR(IF(X517="",0,CEILING((X517/$H517),1)*$H517),"")</f>
        <v>644.16000000000008</v>
      </c>
      <c r="Z517" s="36">
        <f>IFERROR(IF(Y517=0,"",ROUNDUP(Y517/H517,0)*0.01196),"")</f>
        <v>1.45912</v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683.49053030303025</v>
      </c>
      <c r="BN517" s="64">
        <f>IFERROR(Y517*I517/H517,"0")</f>
        <v>686.86000000000013</v>
      </c>
      <c r="BO517" s="64">
        <f>IFERROR(1/J517*(X517/H517),"0")</f>
        <v>1.1673222610722611</v>
      </c>
      <c r="BP517" s="64">
        <f>IFERROR(1/J517*(Y517/H517),"0")</f>
        <v>1.1730769230769234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47">
        <v>4680115886407</v>
      </c>
      <c r="E518" s="648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3"/>
      <c r="R518" s="653"/>
      <c r="S518" s="653"/>
      <c r="T518" s="654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hidden="1" customHeight="1" x14ac:dyDescent="0.25">
      <c r="A519" s="54" t="s">
        <v>821</v>
      </c>
      <c r="B519" s="54" t="s">
        <v>822</v>
      </c>
      <c r="C519" s="31">
        <v>4301020385</v>
      </c>
      <c r="D519" s="647">
        <v>4680115880054</v>
      </c>
      <c r="E519" s="648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81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3"/>
      <c r="R519" s="653"/>
      <c r="S519" s="653"/>
      <c r="T519" s="654"/>
      <c r="U519" s="34"/>
      <c r="V519" s="34"/>
      <c r="W519" s="35" t="s">
        <v>67</v>
      </c>
      <c r="X519" s="643">
        <v>0</v>
      </c>
      <c r="Y519" s="644">
        <f>IFERROR(IF(X519="",0,CEILING((X519/$H519),1)*$H519),"")</f>
        <v>0</v>
      </c>
      <c r="Z519" s="36" t="str">
        <f>IFERROR(IF(Y519=0,"",ROUNDUP(Y519/H519,0)*0.00902),"")</f>
        <v/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57"/>
      <c r="B520" s="658"/>
      <c r="C520" s="658"/>
      <c r="D520" s="658"/>
      <c r="E520" s="658"/>
      <c r="F520" s="658"/>
      <c r="G520" s="658"/>
      <c r="H520" s="658"/>
      <c r="I520" s="658"/>
      <c r="J520" s="658"/>
      <c r="K520" s="658"/>
      <c r="L520" s="658"/>
      <c r="M520" s="658"/>
      <c r="N520" s="658"/>
      <c r="O520" s="659"/>
      <c r="P520" s="649" t="s">
        <v>72</v>
      </c>
      <c r="Q520" s="650"/>
      <c r="R520" s="650"/>
      <c r="S520" s="650"/>
      <c r="T520" s="650"/>
      <c r="U520" s="650"/>
      <c r="V520" s="651"/>
      <c r="W520" s="37" t="s">
        <v>73</v>
      </c>
      <c r="X520" s="645">
        <f>IFERROR(X517/H517,"0")+IFERROR(X518/H518,"0")+IFERROR(X519/H519,"0")</f>
        <v>121.40151515151514</v>
      </c>
      <c r="Y520" s="645">
        <f>IFERROR(Y517/H517,"0")+IFERROR(Y518/H518,"0")+IFERROR(Y519/H519,"0")</f>
        <v>122.00000000000001</v>
      </c>
      <c r="Z520" s="645">
        <f>IFERROR(IF(Z517="",0,Z517),"0")+IFERROR(IF(Z518="",0,Z518),"0")+IFERROR(IF(Z519="",0,Z519),"0")</f>
        <v>1.45912</v>
      </c>
      <c r="AA520" s="646"/>
      <c r="AB520" s="646"/>
      <c r="AC520" s="646"/>
    </row>
    <row r="521" spans="1:68" x14ac:dyDescent="0.2">
      <c r="A521" s="658"/>
      <c r="B521" s="658"/>
      <c r="C521" s="658"/>
      <c r="D521" s="658"/>
      <c r="E521" s="658"/>
      <c r="F521" s="658"/>
      <c r="G521" s="658"/>
      <c r="H521" s="658"/>
      <c r="I521" s="658"/>
      <c r="J521" s="658"/>
      <c r="K521" s="658"/>
      <c r="L521" s="658"/>
      <c r="M521" s="658"/>
      <c r="N521" s="658"/>
      <c r="O521" s="659"/>
      <c r="P521" s="649" t="s">
        <v>72</v>
      </c>
      <c r="Q521" s="650"/>
      <c r="R521" s="650"/>
      <c r="S521" s="650"/>
      <c r="T521" s="650"/>
      <c r="U521" s="650"/>
      <c r="V521" s="651"/>
      <c r="W521" s="37" t="s">
        <v>67</v>
      </c>
      <c r="X521" s="645">
        <f>IFERROR(SUM(X517:X519),"0")</f>
        <v>641</v>
      </c>
      <c r="Y521" s="645">
        <f>IFERROR(SUM(Y517:Y519),"0")</f>
        <v>644.16000000000008</v>
      </c>
      <c r="Z521" s="37"/>
      <c r="AA521" s="646"/>
      <c r="AB521" s="646"/>
      <c r="AC521" s="646"/>
    </row>
    <row r="522" spans="1:68" ht="14.25" hidden="1" customHeight="1" x14ac:dyDescent="0.25">
      <c r="A522" s="667" t="s">
        <v>62</v>
      </c>
      <c r="B522" s="658"/>
      <c r="C522" s="658"/>
      <c r="D522" s="658"/>
      <c r="E522" s="658"/>
      <c r="F522" s="658"/>
      <c r="G522" s="658"/>
      <c r="H522" s="658"/>
      <c r="I522" s="658"/>
      <c r="J522" s="658"/>
      <c r="K522" s="658"/>
      <c r="L522" s="658"/>
      <c r="M522" s="658"/>
      <c r="N522" s="658"/>
      <c r="O522" s="658"/>
      <c r="P522" s="658"/>
      <c r="Q522" s="658"/>
      <c r="R522" s="658"/>
      <c r="S522" s="658"/>
      <c r="T522" s="658"/>
      <c r="U522" s="658"/>
      <c r="V522" s="658"/>
      <c r="W522" s="658"/>
      <c r="X522" s="658"/>
      <c r="Y522" s="658"/>
      <c r="Z522" s="658"/>
      <c r="AA522" s="639"/>
      <c r="AB522" s="639"/>
      <c r="AC522" s="639"/>
    </row>
    <row r="523" spans="1:68" ht="27" hidden="1" customHeight="1" x14ac:dyDescent="0.25">
      <c r="A523" s="54" t="s">
        <v>823</v>
      </c>
      <c r="B523" s="54" t="s">
        <v>824</v>
      </c>
      <c r="C523" s="31">
        <v>4301031349</v>
      </c>
      <c r="D523" s="647">
        <v>4680115883116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7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3"/>
      <c r="R523" s="653"/>
      <c r="S523" s="653"/>
      <c r="T523" s="654"/>
      <c r="U523" s="34"/>
      <c r="V523" s="34"/>
      <c r="W523" s="35" t="s">
        <v>67</v>
      </c>
      <c r="X523" s="643">
        <v>0</v>
      </c>
      <c r="Y523" s="644">
        <f t="shared" ref="Y523:Y529" si="89">IFERROR(IF(X523="",0,CEILING((X523/$H523),1)*$H523),"")</f>
        <v>0</v>
      </c>
      <c r="Z523" s="36" t="str">
        <f>IFERROR(IF(Y523=0,"",ROUNDUP(Y523/H523,0)*0.01196),"")</f>
        <v/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0</v>
      </c>
      <c r="BN523" s="64">
        <f t="shared" ref="BN523:BN529" si="91">IFERROR(Y523*I523/H523,"0")</f>
        <v>0</v>
      </c>
      <c r="BO523" s="64">
        <f t="shared" ref="BO523:BO529" si="92">IFERROR(1/J523*(X523/H523),"0")</f>
        <v>0</v>
      </c>
      <c r="BP523" s="64">
        <f t="shared" ref="BP523:BP529" si="93">IFERROR(1/J523*(Y523/H523),"0")</f>
        <v>0</v>
      </c>
    </row>
    <row r="524" spans="1:68" ht="27" hidden="1" customHeight="1" x14ac:dyDescent="0.25">
      <c r="A524" s="54" t="s">
        <v>826</v>
      </c>
      <c r="B524" s="54" t="s">
        <v>827</v>
      </c>
      <c r="C524" s="31">
        <v>4301031350</v>
      </c>
      <c r="D524" s="647">
        <v>4680115883093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3"/>
      <c r="R524" s="653"/>
      <c r="S524" s="653"/>
      <c r="T524" s="654"/>
      <c r="U524" s="34"/>
      <c r="V524" s="34"/>
      <c r="W524" s="35" t="s">
        <v>67</v>
      </c>
      <c r="X524" s="643">
        <v>0</v>
      </c>
      <c r="Y524" s="644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customHeight="1" x14ac:dyDescent="0.25">
      <c r="A525" s="54" t="s">
        <v>829</v>
      </c>
      <c r="B525" s="54" t="s">
        <v>830</v>
      </c>
      <c r="C525" s="31">
        <v>4301031353</v>
      </c>
      <c r="D525" s="647">
        <v>4680115883109</v>
      </c>
      <c r="E525" s="648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9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3"/>
      <c r="R525" s="653"/>
      <c r="S525" s="653"/>
      <c r="T525" s="654"/>
      <c r="U525" s="34"/>
      <c r="V525" s="34"/>
      <c r="W525" s="35" t="s">
        <v>67</v>
      </c>
      <c r="X525" s="643">
        <v>299</v>
      </c>
      <c r="Y525" s="644">
        <f t="shared" si="89"/>
        <v>300.96000000000004</v>
      </c>
      <c r="Z525" s="36">
        <f>IFERROR(IF(Y525=0,"",ROUNDUP(Y525/H525,0)*0.01196),"")</f>
        <v>0.68171999999999999</v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318.82007575757569</v>
      </c>
      <c r="BN525" s="64">
        <f t="shared" si="91"/>
        <v>320.91000000000003</v>
      </c>
      <c r="BO525" s="64">
        <f t="shared" si="92"/>
        <v>0.5445075757575758</v>
      </c>
      <c r="BP525" s="64">
        <f t="shared" si="93"/>
        <v>0.54807692307692313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47">
        <v>4680115882072</v>
      </c>
      <c r="E526" s="648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9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3"/>
      <c r="R526" s="653"/>
      <c r="S526" s="653"/>
      <c r="T526" s="654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47">
        <v>4680115882102</v>
      </c>
      <c r="E527" s="648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3"/>
      <c r="R527" s="653"/>
      <c r="S527" s="653"/>
      <c r="T527" s="654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47">
        <v>4680115882102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3"/>
      <c r="R528" s="653"/>
      <c r="S528" s="653"/>
      <c r="T528" s="654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47">
        <v>4680115882096</v>
      </c>
      <c r="E529" s="648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7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3"/>
      <c r="R529" s="653"/>
      <c r="S529" s="653"/>
      <c r="T529" s="654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7"/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9"/>
      <c r="P530" s="649" t="s">
        <v>72</v>
      </c>
      <c r="Q530" s="650"/>
      <c r="R530" s="650"/>
      <c r="S530" s="650"/>
      <c r="T530" s="650"/>
      <c r="U530" s="650"/>
      <c r="V530" s="651"/>
      <c r="W530" s="37" t="s">
        <v>73</v>
      </c>
      <c r="X530" s="645">
        <f>IFERROR(X523/H523,"0")+IFERROR(X524/H524,"0")+IFERROR(X525/H525,"0")+IFERROR(X526/H526,"0")+IFERROR(X527/H527,"0")+IFERROR(X528/H528,"0")+IFERROR(X529/H529,"0")</f>
        <v>56.628787878787875</v>
      </c>
      <c r="Y530" s="645">
        <f>IFERROR(Y523/H523,"0")+IFERROR(Y524/H524,"0")+IFERROR(Y525/H525,"0")+IFERROR(Y526/H526,"0")+IFERROR(Y527/H527,"0")+IFERROR(Y528/H528,"0")+IFERROR(Y529/H529,"0")</f>
        <v>57.000000000000007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0.68171999999999999</v>
      </c>
      <c r="AA530" s="646"/>
      <c r="AB530" s="646"/>
      <c r="AC530" s="646"/>
    </row>
    <row r="531" spans="1:68" x14ac:dyDescent="0.2">
      <c r="A531" s="658"/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9"/>
      <c r="P531" s="649" t="s">
        <v>72</v>
      </c>
      <c r="Q531" s="650"/>
      <c r="R531" s="650"/>
      <c r="S531" s="650"/>
      <c r="T531" s="650"/>
      <c r="U531" s="650"/>
      <c r="V531" s="651"/>
      <c r="W531" s="37" t="s">
        <v>67</v>
      </c>
      <c r="X531" s="645">
        <f>IFERROR(SUM(X523:X529),"0")</f>
        <v>299</v>
      </c>
      <c r="Y531" s="645">
        <f>IFERROR(SUM(Y523:Y529),"0")</f>
        <v>300.96000000000004</v>
      </c>
      <c r="Z531" s="37"/>
      <c r="AA531" s="646"/>
      <c r="AB531" s="646"/>
      <c r="AC531" s="646"/>
    </row>
    <row r="532" spans="1:68" ht="27.75" hidden="1" customHeight="1" x14ac:dyDescent="0.2">
      <c r="A532" s="661" t="s">
        <v>839</v>
      </c>
      <c r="B532" s="662"/>
      <c r="C532" s="662"/>
      <c r="D532" s="662"/>
      <c r="E532" s="662"/>
      <c r="F532" s="662"/>
      <c r="G532" s="662"/>
      <c r="H532" s="662"/>
      <c r="I532" s="662"/>
      <c r="J532" s="662"/>
      <c r="K532" s="662"/>
      <c r="L532" s="662"/>
      <c r="M532" s="662"/>
      <c r="N532" s="662"/>
      <c r="O532" s="662"/>
      <c r="P532" s="662"/>
      <c r="Q532" s="662"/>
      <c r="R532" s="662"/>
      <c r="S532" s="662"/>
      <c r="T532" s="662"/>
      <c r="U532" s="662"/>
      <c r="V532" s="662"/>
      <c r="W532" s="662"/>
      <c r="X532" s="662"/>
      <c r="Y532" s="662"/>
      <c r="Z532" s="662"/>
      <c r="AA532" s="48"/>
      <c r="AB532" s="48"/>
      <c r="AC532" s="48"/>
    </row>
    <row r="533" spans="1:68" ht="16.5" hidden="1" customHeight="1" x14ac:dyDescent="0.25">
      <c r="A533" s="673" t="s">
        <v>839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38"/>
      <c r="AB533" s="638"/>
      <c r="AC533" s="638"/>
    </row>
    <row r="534" spans="1:68" ht="14.25" hidden="1" customHeight="1" x14ac:dyDescent="0.25">
      <c r="A534" s="667" t="s">
        <v>111</v>
      </c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58"/>
      <c r="P534" s="658"/>
      <c r="Q534" s="658"/>
      <c r="R534" s="658"/>
      <c r="S534" s="658"/>
      <c r="T534" s="658"/>
      <c r="U534" s="658"/>
      <c r="V534" s="658"/>
      <c r="W534" s="658"/>
      <c r="X534" s="658"/>
      <c r="Y534" s="658"/>
      <c r="Z534" s="658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47">
        <v>4640242180564</v>
      </c>
      <c r="E535" s="648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3"/>
      <c r="R535" s="653"/>
      <c r="S535" s="653"/>
      <c r="T535" s="654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7"/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9"/>
      <c r="P536" s="649" t="s">
        <v>72</v>
      </c>
      <c r="Q536" s="650"/>
      <c r="R536" s="650"/>
      <c r="S536" s="650"/>
      <c r="T536" s="650"/>
      <c r="U536" s="650"/>
      <c r="V536" s="651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58"/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9"/>
      <c r="P537" s="649" t="s">
        <v>72</v>
      </c>
      <c r="Q537" s="650"/>
      <c r="R537" s="650"/>
      <c r="S537" s="650"/>
      <c r="T537" s="650"/>
      <c r="U537" s="650"/>
      <c r="V537" s="651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67" t="s">
        <v>62</v>
      </c>
      <c r="B538" s="658"/>
      <c r="C538" s="658"/>
      <c r="D538" s="658"/>
      <c r="E538" s="658"/>
      <c r="F538" s="658"/>
      <c r="G538" s="658"/>
      <c r="H538" s="658"/>
      <c r="I538" s="658"/>
      <c r="J538" s="658"/>
      <c r="K538" s="658"/>
      <c r="L538" s="658"/>
      <c r="M538" s="658"/>
      <c r="N538" s="658"/>
      <c r="O538" s="658"/>
      <c r="P538" s="658"/>
      <c r="Q538" s="658"/>
      <c r="R538" s="658"/>
      <c r="S538" s="658"/>
      <c r="T538" s="658"/>
      <c r="U538" s="658"/>
      <c r="V538" s="658"/>
      <c r="W538" s="658"/>
      <c r="X538" s="658"/>
      <c r="Y538" s="658"/>
      <c r="Z538" s="658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47">
        <v>4640242180595</v>
      </c>
      <c r="E539" s="648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72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3"/>
      <c r="R539" s="653"/>
      <c r="S539" s="653"/>
      <c r="T539" s="654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7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59"/>
      <c r="P540" s="649" t="s">
        <v>72</v>
      </c>
      <c r="Q540" s="650"/>
      <c r="R540" s="650"/>
      <c r="S540" s="650"/>
      <c r="T540" s="650"/>
      <c r="U540" s="650"/>
      <c r="V540" s="651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58"/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9"/>
      <c r="P541" s="649" t="s">
        <v>72</v>
      </c>
      <c r="Q541" s="650"/>
      <c r="R541" s="650"/>
      <c r="S541" s="650"/>
      <c r="T541" s="650"/>
      <c r="U541" s="650"/>
      <c r="V541" s="651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67" t="s">
        <v>74</v>
      </c>
      <c r="B542" s="658"/>
      <c r="C542" s="658"/>
      <c r="D542" s="658"/>
      <c r="E542" s="658"/>
      <c r="F542" s="658"/>
      <c r="G542" s="658"/>
      <c r="H542" s="658"/>
      <c r="I542" s="658"/>
      <c r="J542" s="658"/>
      <c r="K542" s="658"/>
      <c r="L542" s="658"/>
      <c r="M542" s="658"/>
      <c r="N542" s="658"/>
      <c r="O542" s="658"/>
      <c r="P542" s="658"/>
      <c r="Q542" s="658"/>
      <c r="R542" s="658"/>
      <c r="S542" s="658"/>
      <c r="T542" s="658"/>
      <c r="U542" s="658"/>
      <c r="V542" s="658"/>
      <c r="W542" s="658"/>
      <c r="X542" s="658"/>
      <c r="Y542" s="658"/>
      <c r="Z542" s="658"/>
      <c r="AA542" s="639"/>
      <c r="AB542" s="639"/>
      <c r="AC542" s="639"/>
    </row>
    <row r="543" spans="1:68" ht="27" hidden="1" customHeight="1" x14ac:dyDescent="0.25">
      <c r="A543" s="54" t="s">
        <v>846</v>
      </c>
      <c r="B543" s="54" t="s">
        <v>847</v>
      </c>
      <c r="C543" s="31">
        <v>4301052043</v>
      </c>
      <c r="D543" s="647">
        <v>4640242180533</v>
      </c>
      <c r="E543" s="648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3"/>
      <c r="R543" s="653"/>
      <c r="S543" s="653"/>
      <c r="T543" s="654"/>
      <c r="U543" s="34"/>
      <c r="V543" s="34"/>
      <c r="W543" s="35" t="s">
        <v>67</v>
      </c>
      <c r="X543" s="643">
        <v>0</v>
      </c>
      <c r="Y543" s="64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7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59"/>
      <c r="P544" s="649" t="s">
        <v>72</v>
      </c>
      <c r="Q544" s="650"/>
      <c r="R544" s="650"/>
      <c r="S544" s="650"/>
      <c r="T544" s="650"/>
      <c r="U544" s="650"/>
      <c r="V544" s="651"/>
      <c r="W544" s="37" t="s">
        <v>73</v>
      </c>
      <c r="X544" s="645">
        <f>IFERROR(X543/H543,"0")</f>
        <v>0</v>
      </c>
      <c r="Y544" s="645">
        <f>IFERROR(Y543/H543,"0")</f>
        <v>0</v>
      </c>
      <c r="Z544" s="645">
        <f>IFERROR(IF(Z543="",0,Z543),"0")</f>
        <v>0</v>
      </c>
      <c r="AA544" s="646"/>
      <c r="AB544" s="646"/>
      <c r="AC544" s="646"/>
    </row>
    <row r="545" spans="1:68" hidden="1" x14ac:dyDescent="0.2">
      <c r="A545" s="658"/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9"/>
      <c r="P545" s="649" t="s">
        <v>72</v>
      </c>
      <c r="Q545" s="650"/>
      <c r="R545" s="650"/>
      <c r="S545" s="650"/>
      <c r="T545" s="650"/>
      <c r="U545" s="650"/>
      <c r="V545" s="651"/>
      <c r="W545" s="37" t="s">
        <v>67</v>
      </c>
      <c r="X545" s="645">
        <f>IFERROR(SUM(X543:X543),"0")</f>
        <v>0</v>
      </c>
      <c r="Y545" s="645">
        <f>IFERROR(SUM(Y543:Y543),"0")</f>
        <v>0</v>
      </c>
      <c r="Z545" s="37"/>
      <c r="AA545" s="646"/>
      <c r="AB545" s="646"/>
      <c r="AC545" s="646"/>
    </row>
    <row r="546" spans="1:68" ht="14.25" hidden="1" customHeight="1" x14ac:dyDescent="0.25">
      <c r="A546" s="667" t="s">
        <v>168</v>
      </c>
      <c r="B546" s="658"/>
      <c r="C546" s="658"/>
      <c r="D546" s="658"/>
      <c r="E546" s="658"/>
      <c r="F546" s="658"/>
      <c r="G546" s="658"/>
      <c r="H546" s="658"/>
      <c r="I546" s="658"/>
      <c r="J546" s="658"/>
      <c r="K546" s="658"/>
      <c r="L546" s="658"/>
      <c r="M546" s="658"/>
      <c r="N546" s="658"/>
      <c r="O546" s="658"/>
      <c r="P546" s="658"/>
      <c r="Q546" s="658"/>
      <c r="R546" s="658"/>
      <c r="S546" s="658"/>
      <c r="T546" s="658"/>
      <c r="U546" s="658"/>
      <c r="V546" s="658"/>
      <c r="W546" s="658"/>
      <c r="X546" s="658"/>
      <c r="Y546" s="658"/>
      <c r="Z546" s="658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47">
        <v>4640242180120</v>
      </c>
      <c r="E547" s="648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9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3"/>
      <c r="R547" s="653"/>
      <c r="S547" s="653"/>
      <c r="T547" s="654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47">
        <v>4640242180137</v>
      </c>
      <c r="E548" s="648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3"/>
      <c r="R548" s="653"/>
      <c r="S548" s="653"/>
      <c r="T548" s="654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7"/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9"/>
      <c r="P549" s="649" t="s">
        <v>72</v>
      </c>
      <c r="Q549" s="650"/>
      <c r="R549" s="650"/>
      <c r="S549" s="650"/>
      <c r="T549" s="650"/>
      <c r="U549" s="650"/>
      <c r="V549" s="651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58"/>
      <c r="B550" s="658"/>
      <c r="C550" s="658"/>
      <c r="D550" s="658"/>
      <c r="E550" s="658"/>
      <c r="F550" s="658"/>
      <c r="G550" s="658"/>
      <c r="H550" s="658"/>
      <c r="I550" s="658"/>
      <c r="J550" s="658"/>
      <c r="K550" s="658"/>
      <c r="L550" s="658"/>
      <c r="M550" s="658"/>
      <c r="N550" s="658"/>
      <c r="O550" s="659"/>
      <c r="P550" s="649" t="s">
        <v>72</v>
      </c>
      <c r="Q550" s="650"/>
      <c r="R550" s="650"/>
      <c r="S550" s="650"/>
      <c r="T550" s="650"/>
      <c r="U550" s="650"/>
      <c r="V550" s="651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673" t="s">
        <v>855</v>
      </c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58"/>
      <c r="P551" s="658"/>
      <c r="Q551" s="658"/>
      <c r="R551" s="658"/>
      <c r="S551" s="658"/>
      <c r="T551" s="658"/>
      <c r="U551" s="658"/>
      <c r="V551" s="658"/>
      <c r="W551" s="658"/>
      <c r="X551" s="658"/>
      <c r="Y551" s="658"/>
      <c r="Z551" s="658"/>
      <c r="AA551" s="638"/>
      <c r="AB551" s="638"/>
      <c r="AC551" s="638"/>
    </row>
    <row r="552" spans="1:68" ht="14.25" hidden="1" customHeight="1" x14ac:dyDescent="0.25">
      <c r="A552" s="667" t="s">
        <v>148</v>
      </c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58"/>
      <c r="P552" s="658"/>
      <c r="Q552" s="658"/>
      <c r="R552" s="658"/>
      <c r="S552" s="658"/>
      <c r="T552" s="658"/>
      <c r="U552" s="658"/>
      <c r="V552" s="658"/>
      <c r="W552" s="658"/>
      <c r="X552" s="658"/>
      <c r="Y552" s="658"/>
      <c r="Z552" s="658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47">
        <v>4680115889798</v>
      </c>
      <c r="E553" s="648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73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3"/>
      <c r="R553" s="653"/>
      <c r="S553" s="653"/>
      <c r="T553" s="654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7"/>
      <c r="B554" s="658"/>
      <c r="C554" s="658"/>
      <c r="D554" s="658"/>
      <c r="E554" s="658"/>
      <c r="F554" s="658"/>
      <c r="G554" s="658"/>
      <c r="H554" s="658"/>
      <c r="I554" s="658"/>
      <c r="J554" s="658"/>
      <c r="K554" s="658"/>
      <c r="L554" s="658"/>
      <c r="M554" s="658"/>
      <c r="N554" s="658"/>
      <c r="O554" s="659"/>
      <c r="P554" s="649" t="s">
        <v>72</v>
      </c>
      <c r="Q554" s="650"/>
      <c r="R554" s="650"/>
      <c r="S554" s="650"/>
      <c r="T554" s="650"/>
      <c r="U554" s="650"/>
      <c r="V554" s="651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58"/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9"/>
      <c r="P555" s="649" t="s">
        <v>72</v>
      </c>
      <c r="Q555" s="650"/>
      <c r="R555" s="650"/>
      <c r="S555" s="650"/>
      <c r="T555" s="650"/>
      <c r="U555" s="650"/>
      <c r="V555" s="651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931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823"/>
      <c r="P556" s="668" t="s">
        <v>859</v>
      </c>
      <c r="Q556" s="669"/>
      <c r="R556" s="669"/>
      <c r="S556" s="669"/>
      <c r="T556" s="669"/>
      <c r="U556" s="669"/>
      <c r="V556" s="670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13777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13937.400000000001</v>
      </c>
      <c r="Z556" s="37"/>
      <c r="AA556" s="646"/>
      <c r="AB556" s="646"/>
      <c r="AC556" s="646"/>
    </row>
    <row r="557" spans="1:68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823"/>
      <c r="P557" s="668" t="s">
        <v>860</v>
      </c>
      <c r="Q557" s="669"/>
      <c r="R557" s="669"/>
      <c r="S557" s="669"/>
      <c r="T557" s="669"/>
      <c r="U557" s="669"/>
      <c r="V557" s="670"/>
      <c r="W557" s="37" t="s">
        <v>67</v>
      </c>
      <c r="X557" s="645">
        <f>IFERROR(SUM(BM22:BM553),"0")</f>
        <v>14458.741152822487</v>
      </c>
      <c r="Y557" s="645">
        <f>IFERROR(SUM(BN22:BN553),"0")</f>
        <v>14627.706000000004</v>
      </c>
      <c r="Z557" s="37"/>
      <c r="AA557" s="646"/>
      <c r="AB557" s="646"/>
      <c r="AC557" s="646"/>
    </row>
    <row r="558" spans="1:68" x14ac:dyDescent="0.2">
      <c r="A558" s="658"/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823"/>
      <c r="P558" s="668" t="s">
        <v>861</v>
      </c>
      <c r="Q558" s="669"/>
      <c r="R558" s="669"/>
      <c r="S558" s="669"/>
      <c r="T558" s="669"/>
      <c r="U558" s="669"/>
      <c r="V558" s="670"/>
      <c r="W558" s="37" t="s">
        <v>862</v>
      </c>
      <c r="X558" s="38">
        <f>ROUNDUP(SUM(BO22:BO553),0)</f>
        <v>24</v>
      </c>
      <c r="Y558" s="38">
        <f>ROUNDUP(SUM(BP22:BP553),0)</f>
        <v>24</v>
      </c>
      <c r="Z558" s="37"/>
      <c r="AA558" s="646"/>
      <c r="AB558" s="646"/>
      <c r="AC558" s="646"/>
    </row>
    <row r="559" spans="1:68" x14ac:dyDescent="0.2">
      <c r="A559" s="658"/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823"/>
      <c r="P559" s="668" t="s">
        <v>863</v>
      </c>
      <c r="Q559" s="669"/>
      <c r="R559" s="669"/>
      <c r="S559" s="669"/>
      <c r="T559" s="669"/>
      <c r="U559" s="669"/>
      <c r="V559" s="670"/>
      <c r="W559" s="37" t="s">
        <v>67</v>
      </c>
      <c r="X559" s="645">
        <f>GrossWeightTotal+PalletQtyTotal*25</f>
        <v>15058.741152822487</v>
      </c>
      <c r="Y559" s="645">
        <f>GrossWeightTotalR+PalletQtyTotalR*25</f>
        <v>15227.706000000004</v>
      </c>
      <c r="Z559" s="37"/>
      <c r="AA559" s="646"/>
      <c r="AB559" s="646"/>
      <c r="AC559" s="646"/>
    </row>
    <row r="560" spans="1:68" x14ac:dyDescent="0.2">
      <c r="A560" s="658"/>
      <c r="B560" s="658"/>
      <c r="C560" s="658"/>
      <c r="D560" s="658"/>
      <c r="E560" s="658"/>
      <c r="F560" s="658"/>
      <c r="G560" s="658"/>
      <c r="H560" s="658"/>
      <c r="I560" s="658"/>
      <c r="J560" s="658"/>
      <c r="K560" s="658"/>
      <c r="L560" s="658"/>
      <c r="M560" s="658"/>
      <c r="N560" s="658"/>
      <c r="O560" s="823"/>
      <c r="P560" s="668" t="s">
        <v>864</v>
      </c>
      <c r="Q560" s="669"/>
      <c r="R560" s="669"/>
      <c r="S560" s="669"/>
      <c r="T560" s="669"/>
      <c r="U560" s="669"/>
      <c r="V560" s="670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2105.7525887692555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2136</v>
      </c>
      <c r="Z560" s="37"/>
      <c r="AA560" s="646"/>
      <c r="AB560" s="646"/>
      <c r="AC560" s="646"/>
    </row>
    <row r="561" spans="1:32" ht="14.25" hidden="1" customHeight="1" x14ac:dyDescent="0.2">
      <c r="A561" s="658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823"/>
      <c r="P561" s="668" t="s">
        <v>865</v>
      </c>
      <c r="Q561" s="669"/>
      <c r="R561" s="669"/>
      <c r="S561" s="669"/>
      <c r="T561" s="669"/>
      <c r="U561" s="669"/>
      <c r="V561" s="670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26.796419999999998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703" t="s">
        <v>109</v>
      </c>
      <c r="E563" s="737"/>
      <c r="F563" s="737"/>
      <c r="G563" s="737"/>
      <c r="H563" s="737"/>
      <c r="I563" s="737"/>
      <c r="J563" s="704"/>
      <c r="K563" s="703" t="s">
        <v>335</v>
      </c>
      <c r="L563" s="737"/>
      <c r="M563" s="737"/>
      <c r="N563" s="737"/>
      <c r="O563" s="737"/>
      <c r="P563" s="737"/>
      <c r="Q563" s="737"/>
      <c r="R563" s="737"/>
      <c r="S563" s="737"/>
      <c r="T563" s="737"/>
      <c r="U563" s="737"/>
      <c r="V563" s="704"/>
      <c r="W563" s="703" t="s">
        <v>690</v>
      </c>
      <c r="X563" s="704"/>
      <c r="Y563" s="703" t="s">
        <v>756</v>
      </c>
      <c r="Z563" s="704"/>
      <c r="AA563" s="640" t="s">
        <v>792</v>
      </c>
      <c r="AB563" s="703" t="s">
        <v>839</v>
      </c>
      <c r="AC563" s="704"/>
      <c r="AF563" s="641"/>
    </row>
    <row r="564" spans="1:32" ht="14.25" customHeight="1" thickTop="1" x14ac:dyDescent="0.2">
      <c r="A564" s="665" t="s">
        <v>868</v>
      </c>
      <c r="B564" s="703" t="s">
        <v>61</v>
      </c>
      <c r="C564" s="703" t="s">
        <v>93</v>
      </c>
      <c r="D564" s="703" t="s">
        <v>110</v>
      </c>
      <c r="E564" s="703" t="s">
        <v>126</v>
      </c>
      <c r="F564" s="703" t="s">
        <v>176</v>
      </c>
      <c r="G564" s="703" t="s">
        <v>199</v>
      </c>
      <c r="H564" s="703" t="s">
        <v>239</v>
      </c>
      <c r="I564" s="703" t="s">
        <v>252</v>
      </c>
      <c r="J564" s="703" t="s">
        <v>109</v>
      </c>
      <c r="K564" s="703" t="s">
        <v>336</v>
      </c>
      <c r="L564" s="703" t="s">
        <v>357</v>
      </c>
      <c r="M564" s="703" t="s">
        <v>431</v>
      </c>
      <c r="N564" s="641"/>
      <c r="O564" s="703" t="s">
        <v>499</v>
      </c>
      <c r="P564" s="703" t="s">
        <v>528</v>
      </c>
      <c r="Q564" s="703" t="s">
        <v>548</v>
      </c>
      <c r="R564" s="703" t="s">
        <v>557</v>
      </c>
      <c r="S564" s="703" t="s">
        <v>578</v>
      </c>
      <c r="T564" s="703" t="s">
        <v>587</v>
      </c>
      <c r="U564" s="703" t="s">
        <v>673</v>
      </c>
      <c r="V564" s="703" t="s">
        <v>680</v>
      </c>
      <c r="W564" s="703" t="s">
        <v>691</v>
      </c>
      <c r="X564" s="703" t="s">
        <v>740</v>
      </c>
      <c r="Y564" s="703" t="s">
        <v>757</v>
      </c>
      <c r="Z564" s="703" t="s">
        <v>780</v>
      </c>
      <c r="AA564" s="703" t="s">
        <v>792</v>
      </c>
      <c r="AB564" s="703" t="s">
        <v>839</v>
      </c>
      <c r="AC564" s="703" t="s">
        <v>855</v>
      </c>
      <c r="AF564" s="641"/>
    </row>
    <row r="565" spans="1:32" ht="13.5" customHeight="1" thickBot="1" x14ac:dyDescent="0.25">
      <c r="A565" s="666"/>
      <c r="B565" s="706"/>
      <c r="C565" s="706"/>
      <c r="D565" s="706"/>
      <c r="E565" s="706"/>
      <c r="F565" s="706"/>
      <c r="G565" s="706"/>
      <c r="H565" s="706"/>
      <c r="I565" s="706"/>
      <c r="J565" s="706"/>
      <c r="K565" s="706"/>
      <c r="L565" s="706"/>
      <c r="M565" s="706"/>
      <c r="N565" s="641"/>
      <c r="O565" s="706"/>
      <c r="P565" s="706"/>
      <c r="Q565" s="706"/>
      <c r="R565" s="706"/>
      <c r="S565" s="706"/>
      <c r="T565" s="706"/>
      <c r="U565" s="706"/>
      <c r="V565" s="706"/>
      <c r="W565" s="706"/>
      <c r="X565" s="706"/>
      <c r="Y565" s="706"/>
      <c r="Z565" s="706"/>
      <c r="AA565" s="706"/>
      <c r="AB565" s="706"/>
      <c r="AC565" s="706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0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226.4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55.8</v>
      </c>
      <c r="F566" s="46">
        <f>IFERROR(Y88*1,"0")+IFERROR(Y89*1,"0")+IFERROR(Y90*1,"0")+IFERROR(Y91*1,"0")+IFERROR(Y92*1,"0")+IFERROR(Y96*1,"0")+IFERROR(Y97*1,"0")+IFERROR(Y98*1,"0")+IFERROR(Y99*1,"0")</f>
        <v>583.20000000000005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771.3</v>
      </c>
      <c r="H566" s="46">
        <f>IFERROR(Y134*1,"0")+IFERROR(Y135*1,"0")+IFERROR(Y139*1,"0")+IFERROR(Y140*1,"0")+IFERROR(Y144*1,"0")+IFERROR(Y145*1,"0")</f>
        <v>60.56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658.98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568.49999999999989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1174.5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3.6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0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179.4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965</v>
      </c>
      <c r="U566" s="46">
        <f>IFERROR(Y418*1,"0")+IFERROR(Y419*1,"0")</f>
        <v>0</v>
      </c>
      <c r="V566" s="46">
        <f>IFERROR(Y424*1,"0")+IFERROR(Y425*1,"0")+IFERROR(Y426*1,"0")</f>
        <v>37.799999999999997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6621</v>
      </c>
      <c r="X566" s="46">
        <f>IFERROR(Y461*1,"0")+IFERROR(Y462*1,"0")+IFERROR(Y466*1,"0")+IFERROR(Y470*1,"0")+IFERROR(Y471*1,"0")+IFERROR(Y472*1,"0")</f>
        <v>14.399999999999999</v>
      </c>
      <c r="Y566" s="46">
        <f>IFERROR(Y478*1,"0")+IFERROR(Y479*1,"0")+IFERROR(Y480*1,"0")+IFERROR(Y481*1,"0")+IFERROR(Y482*1,"0")+IFERROR(Y483*1,"0")+IFERROR(Y487*1,"0")+IFERROR(Y488*1,"0")</f>
        <v>0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2016.9600000000003</v>
      </c>
      <c r="AB566" s="46">
        <f>IFERROR(Y535*1,"0")+IFERROR(Y539*1,"0")+IFERROR(Y543*1,"0")+IFERROR(Y547*1,"0")+IFERROR(Y548*1,"0")</f>
        <v>0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79"/>
        <filter val="1 064,00"/>
        <filter val="1 100,00"/>
        <filter val="1 129,00"/>
        <filter val="1 800,00"/>
        <filter val="1 850,00"/>
        <filter val="1,00"/>
        <filter val="1,11"/>
        <filter val="102,00"/>
        <filter val="107,00"/>
        <filter val="12,00"/>
        <filter val="121,40"/>
        <filter val="124,00"/>
        <filter val="13 777,00"/>
        <filter val="13,64"/>
        <filter val="136,00"/>
        <filter val="14 458,74"/>
        <filter val="14,00"/>
        <filter val="15 058,74"/>
        <filter val="15,00"/>
        <filter val="150,00"/>
        <filter val="17,00"/>
        <filter val="17,14"/>
        <filter val="17,78"/>
        <filter val="170,00"/>
        <filter val="172,62"/>
        <filter val="176,00"/>
        <filter val="183,00"/>
        <filter val="188,00"/>
        <filter val="2 105,75"/>
        <filter val="2,00"/>
        <filter val="2,50"/>
        <filter val="2,92"/>
        <filter val="201,52"/>
        <filter val="217,00"/>
        <filter val="22,56"/>
        <filter val="230,83"/>
        <filter val="24"/>
        <filter val="24,66"/>
        <filter val="25,00"/>
        <filter val="25,35"/>
        <filter val="255,00"/>
        <filter val="256,00"/>
        <filter val="26,00"/>
        <filter val="27,00"/>
        <filter val="29,00"/>
        <filter val="299,00"/>
        <filter val="3,17"/>
        <filter val="3,78"/>
        <filter val="30,00"/>
        <filter val="315,00"/>
        <filter val="322,11"/>
        <filter val="34,00"/>
        <filter val="345,00"/>
        <filter val="355,13"/>
        <filter val="36,00"/>
        <filter val="365,00"/>
        <filter val="37,00"/>
        <filter val="4,00"/>
        <filter val="4,29"/>
        <filter val="42,00"/>
        <filter val="425,00"/>
        <filter val="43,00"/>
        <filter val="445,00"/>
        <filter val="48,00"/>
        <filter val="5 327,00"/>
        <filter val="5,83"/>
        <filter val="5,93"/>
        <filter val="502,00"/>
        <filter val="51,00"/>
        <filter val="53,00"/>
        <filter val="556,00"/>
        <filter val="56,63"/>
        <filter val="577,00"/>
        <filter val="584,00"/>
        <filter val="6,00"/>
        <filter val="60,00"/>
        <filter val="61,98"/>
        <filter val="641,00"/>
        <filter val="653,00"/>
        <filter val="68,00"/>
        <filter val="7,00"/>
        <filter val="7,78"/>
        <filter val="72,10"/>
        <filter val="724,00"/>
        <filter val="75,00"/>
        <filter val="75,27"/>
        <filter val="790,00"/>
        <filter val="797,00"/>
        <filter val="8,00"/>
        <filter val="80,00"/>
        <filter val="82,00"/>
        <filter val="84,63"/>
        <filter val="85,00"/>
        <filter val="89,00"/>
        <filter val="9,44"/>
        <filter val="9,56"/>
        <filter val="900,00"/>
        <filter val="95,00"/>
        <filter val="97,94"/>
      </filters>
    </filterColumn>
    <filterColumn colId="29" showButton="0"/>
    <filterColumn colId="30" showButton="0"/>
  </autoFilter>
  <mergeCells count="999">
    <mergeCell ref="I564:I565"/>
    <mergeCell ref="P444:T444"/>
    <mergeCell ref="D50:E50"/>
    <mergeCell ref="P58:T58"/>
    <mergeCell ref="D110:E110"/>
    <mergeCell ref="X17:X18"/>
    <mergeCell ref="C564:C565"/>
    <mergeCell ref="D286:E286"/>
    <mergeCell ref="D563:J563"/>
    <mergeCell ref="Y17:Y18"/>
    <mergeCell ref="U17:V17"/>
    <mergeCell ref="D293:E293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  <mergeCell ref="P71:T71"/>
    <mergeCell ref="D123:E123"/>
    <mergeCell ref="P307:T307"/>
    <mergeCell ref="P160:V160"/>
    <mergeCell ref="D483:E483"/>
    <mergeCell ref="A42:O43"/>
    <mergeCell ref="P83:T83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D359:E359"/>
    <mergeCell ref="A486:Z486"/>
    <mergeCell ref="P531:V531"/>
    <mergeCell ref="P96:T96"/>
    <mergeCell ref="P90:T90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D513:E513"/>
    <mergeCell ref="A469:Z469"/>
    <mergeCell ref="P131:V131"/>
    <mergeCell ref="P187:V187"/>
    <mergeCell ref="P258:V258"/>
    <mergeCell ref="P439:T439"/>
    <mergeCell ref="P433:T433"/>
    <mergeCell ref="D276:E276"/>
    <mergeCell ref="P37:T37"/>
    <mergeCell ref="D347:E347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157:V157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P159:T159"/>
    <mergeCell ref="D140:E140"/>
    <mergeCell ref="A546:Z546"/>
    <mergeCell ref="A138:Z138"/>
    <mergeCell ref="P373:V373"/>
    <mergeCell ref="P202:V202"/>
    <mergeCell ref="P380:T380"/>
    <mergeCell ref="P500:V500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A12:M12"/>
    <mergeCell ref="P355:V355"/>
    <mergeCell ref="D487:E487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A160:O161"/>
    <mergeCell ref="D109:E109"/>
    <mergeCell ref="A14:M14"/>
    <mergeCell ref="P424:T424"/>
    <mergeCell ref="D345:E345"/>
    <mergeCell ref="A280:O281"/>
    <mergeCell ref="P254:V254"/>
    <mergeCell ref="A349:O350"/>
    <mergeCell ref="P447:V447"/>
    <mergeCell ref="D519:E519"/>
    <mergeCell ref="P389:V389"/>
    <mergeCell ref="D348:E348"/>
    <mergeCell ref="D62:E62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I17:I18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72:E72"/>
    <mergeCell ref="D235:E235"/>
    <mergeCell ref="P214:V214"/>
    <mergeCell ref="P270:V270"/>
    <mergeCell ref="A95:Z95"/>
    <mergeCell ref="D517:E517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A26:Z26"/>
    <mergeCell ref="P401:T401"/>
    <mergeCell ref="P268:T268"/>
    <mergeCell ref="P339:T339"/>
    <mergeCell ref="P230:T230"/>
    <mergeCell ref="D211:E211"/>
    <mergeCell ref="P466:T466"/>
    <mergeCell ref="P130:V130"/>
    <mergeCell ref="P97:T97"/>
    <mergeCell ref="A313:Z313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D47:E47"/>
    <mergeCell ref="A473:O474"/>
    <mergeCell ref="D411:E411"/>
    <mergeCell ref="D482:E482"/>
    <mergeCell ref="D289:E289"/>
    <mergeCell ref="A149:Z149"/>
    <mergeCell ref="P395:V395"/>
    <mergeCell ref="P209:T209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P136:V136"/>
    <mergeCell ref="P65:V65"/>
    <mergeCell ref="D251:E251"/>
    <mergeCell ref="A53:Z53"/>
    <mergeCell ref="A549:O550"/>
    <mergeCell ref="P554:V554"/>
    <mergeCell ref="D543:E543"/>
    <mergeCell ref="D518:E518"/>
    <mergeCell ref="P252:T252"/>
    <mergeCell ref="D124:E124"/>
    <mergeCell ref="P81:T81"/>
    <mergeCell ref="P379:T379"/>
    <mergeCell ref="P56:T56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D56:E56"/>
    <mergeCell ref="P377:T377"/>
    <mergeCell ref="P206:T206"/>
    <mergeCell ref="P233:T233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2026-09-23T11:21:06Z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