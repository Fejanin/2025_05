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1 машина Луганск_Горняк(Горловка_Луганск) 26,09\"/>
    </mc:Choice>
  </mc:AlternateContent>
  <xr:revisionPtr revIDLastSave="0" documentId="13_ncr:1_{9DDEBF81-9228-4E92-94AB-5BC5C2CDDC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AB566" i="1" s="1"/>
  <c r="P535" i="1"/>
  <c r="X531" i="1"/>
  <c r="X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Y362" i="1" s="1"/>
  <c r="P358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Y333" i="1" s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N307" i="1"/>
  <c r="BM307" i="1"/>
  <c r="Z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BP294" i="1" s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Z285" i="1"/>
  <c r="Y285" i="1"/>
  <c r="P285" i="1"/>
  <c r="BO284" i="1"/>
  <c r="BM284" i="1"/>
  <c r="Y284" i="1"/>
  <c r="BP284" i="1" s="1"/>
  <c r="P284" i="1"/>
  <c r="BO283" i="1"/>
  <c r="BM283" i="1"/>
  <c r="Y283" i="1"/>
  <c r="BP283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Y280" i="1" s="1"/>
  <c r="P272" i="1"/>
  <c r="X270" i="1"/>
  <c r="X269" i="1"/>
  <c r="BO268" i="1"/>
  <c r="BM268" i="1"/>
  <c r="Y268" i="1"/>
  <c r="Y270" i="1" s="1"/>
  <c r="P268" i="1"/>
  <c r="BP267" i="1"/>
  <c r="BO267" i="1"/>
  <c r="BN267" i="1"/>
  <c r="BM267" i="1"/>
  <c r="Z267" i="1"/>
  <c r="Y267" i="1"/>
  <c r="P267" i="1"/>
  <c r="X265" i="1"/>
  <c r="X264" i="1"/>
  <c r="BO263" i="1"/>
  <c r="BM263" i="1"/>
  <c r="Y263" i="1"/>
  <c r="BP263" i="1" s="1"/>
  <c r="P263" i="1"/>
  <c r="BO262" i="1"/>
  <c r="BM262" i="1"/>
  <c r="Y262" i="1"/>
  <c r="M566" i="1" s="1"/>
  <c r="P262" i="1"/>
  <c r="X259" i="1"/>
  <c r="X258" i="1"/>
  <c r="BO257" i="1"/>
  <c r="BM257" i="1"/>
  <c r="Y257" i="1"/>
  <c r="Y259" i="1" s="1"/>
  <c r="P257" i="1"/>
  <c r="X255" i="1"/>
  <c r="X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BP245" i="1" s="1"/>
  <c r="P245" i="1"/>
  <c r="BP244" i="1"/>
  <c r="BO244" i="1"/>
  <c r="BN244" i="1"/>
  <c r="BM244" i="1"/>
  <c r="Z244" i="1"/>
  <c r="Y244" i="1"/>
  <c r="P244" i="1"/>
  <c r="BO243" i="1"/>
  <c r="BM243" i="1"/>
  <c r="Y243" i="1"/>
  <c r="BP243" i="1" s="1"/>
  <c r="P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X237" i="1"/>
  <c r="X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Y237" i="1" s="1"/>
  <c r="P221" i="1"/>
  <c r="X219" i="1"/>
  <c r="X218" i="1"/>
  <c r="BO217" i="1"/>
  <c r="BM217" i="1"/>
  <c r="Y217" i="1"/>
  <c r="L566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J566" i="1" s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H566" i="1" s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P123" i="1"/>
  <c r="BO122" i="1"/>
  <c r="BM122" i="1"/>
  <c r="Y122" i="1"/>
  <c r="Y126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BP82" i="1" s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P76" i="1"/>
  <c r="BO76" i="1"/>
  <c r="BN76" i="1"/>
  <c r="BM76" i="1"/>
  <c r="Z76" i="1"/>
  <c r="Y76" i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4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6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6" i="1" s="1"/>
  <c r="X24" i="1"/>
  <c r="BP23" i="1"/>
  <c r="BO23" i="1"/>
  <c r="BN23" i="1"/>
  <c r="BM23" i="1"/>
  <c r="Z23" i="1"/>
  <c r="Y23" i="1"/>
  <c r="P23" i="1"/>
  <c r="BO22" i="1"/>
  <c r="BM22" i="1"/>
  <c r="X557" i="1" s="1"/>
  <c r="Y22" i="1"/>
  <c r="P22" i="1"/>
  <c r="H10" i="1"/>
  <c r="A9" i="1"/>
  <c r="F10" i="1" s="1"/>
  <c r="D7" i="1"/>
  <c r="Q6" i="1"/>
  <c r="P2" i="1"/>
  <c r="BP328" i="1" l="1"/>
  <c r="BN328" i="1"/>
  <c r="Z328" i="1"/>
  <c r="BP339" i="1"/>
  <c r="BN339" i="1"/>
  <c r="Z339" i="1"/>
  <c r="BP344" i="1"/>
  <c r="BN344" i="1"/>
  <c r="Z344" i="1"/>
  <c r="Z349" i="1" s="1"/>
  <c r="BP359" i="1"/>
  <c r="BN359" i="1"/>
  <c r="Z359" i="1"/>
  <c r="BP376" i="1"/>
  <c r="BN376" i="1"/>
  <c r="Z376" i="1"/>
  <c r="BP388" i="1"/>
  <c r="BN388" i="1"/>
  <c r="Z388" i="1"/>
  <c r="BP400" i="1"/>
  <c r="BN400" i="1"/>
  <c r="Z400" i="1"/>
  <c r="BP424" i="1"/>
  <c r="BN424" i="1"/>
  <c r="Z424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B566" i="1"/>
  <c r="X558" i="1"/>
  <c r="X559" i="1" s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2" i="1"/>
  <c r="BN72" i="1"/>
  <c r="Y78" i="1"/>
  <c r="Z82" i="1"/>
  <c r="BN82" i="1"/>
  <c r="F566" i="1"/>
  <c r="Z91" i="1"/>
  <c r="BN91" i="1"/>
  <c r="Y101" i="1"/>
  <c r="Z99" i="1"/>
  <c r="BN99" i="1"/>
  <c r="Z106" i="1"/>
  <c r="BN106" i="1"/>
  <c r="Z110" i="1"/>
  <c r="BN110" i="1"/>
  <c r="Z116" i="1"/>
  <c r="BN116" i="1"/>
  <c r="BP116" i="1"/>
  <c r="Z122" i="1"/>
  <c r="BN122" i="1"/>
  <c r="BP122" i="1"/>
  <c r="Z135" i="1"/>
  <c r="BN135" i="1"/>
  <c r="Y141" i="1"/>
  <c r="Z145" i="1"/>
  <c r="BN145" i="1"/>
  <c r="Z152" i="1"/>
  <c r="BN152" i="1"/>
  <c r="Z165" i="1"/>
  <c r="BN165" i="1"/>
  <c r="Z171" i="1"/>
  <c r="BN171" i="1"/>
  <c r="BP171" i="1"/>
  <c r="Y187" i="1"/>
  <c r="Z179" i="1"/>
  <c r="BN179" i="1"/>
  <c r="Z183" i="1"/>
  <c r="BN183" i="1"/>
  <c r="Z191" i="1"/>
  <c r="BN191" i="1"/>
  <c r="K566" i="1"/>
  <c r="Z209" i="1"/>
  <c r="BN209" i="1"/>
  <c r="Z222" i="1"/>
  <c r="BN222" i="1"/>
  <c r="Z226" i="1"/>
  <c r="BN226" i="1"/>
  <c r="Z230" i="1"/>
  <c r="BN230" i="1"/>
  <c r="Z234" i="1"/>
  <c r="BN234" i="1"/>
  <c r="Y249" i="1"/>
  <c r="Z242" i="1"/>
  <c r="BN242" i="1"/>
  <c r="Z246" i="1"/>
  <c r="BN246" i="1"/>
  <c r="Y255" i="1"/>
  <c r="Z263" i="1"/>
  <c r="BN263" i="1"/>
  <c r="Y269" i="1"/>
  <c r="Z273" i="1"/>
  <c r="BN273" i="1"/>
  <c r="Z277" i="1"/>
  <c r="BN277" i="1"/>
  <c r="Z283" i="1"/>
  <c r="BN283" i="1"/>
  <c r="Z286" i="1"/>
  <c r="BN286" i="1"/>
  <c r="Z290" i="1"/>
  <c r="BN290" i="1"/>
  <c r="Z294" i="1"/>
  <c r="BN294" i="1"/>
  <c r="Y300" i="1"/>
  <c r="Z305" i="1"/>
  <c r="BN305" i="1"/>
  <c r="BP332" i="1"/>
  <c r="BN332" i="1"/>
  <c r="Z332" i="1"/>
  <c r="Y340" i="1"/>
  <c r="BP348" i="1"/>
  <c r="BN348" i="1"/>
  <c r="Z348" i="1"/>
  <c r="BP368" i="1"/>
  <c r="BN368" i="1"/>
  <c r="Z368" i="1"/>
  <c r="BP380" i="1"/>
  <c r="BN380" i="1"/>
  <c r="Z380" i="1"/>
  <c r="BP394" i="1"/>
  <c r="BN394" i="1"/>
  <c r="Z394" i="1"/>
  <c r="BP412" i="1"/>
  <c r="BN412" i="1"/>
  <c r="Z412" i="1"/>
  <c r="Y427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54" i="1"/>
  <c r="Y402" i="1"/>
  <c r="H9" i="1"/>
  <c r="A10" i="1"/>
  <c r="Y24" i="1"/>
  <c r="Y32" i="1"/>
  <c r="Y42" i="1"/>
  <c r="Y52" i="1"/>
  <c r="Y65" i="1"/>
  <c r="Y73" i="1"/>
  <c r="Y79" i="1"/>
  <c r="Y85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BP178" i="1"/>
  <c r="BN178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2" i="1"/>
  <c r="Y201" i="1"/>
  <c r="BP200" i="1"/>
  <c r="BN200" i="1"/>
  <c r="Z200" i="1"/>
  <c r="Z201" i="1" s="1"/>
  <c r="F9" i="1"/>
  <c r="J9" i="1"/>
  <c r="Z22" i="1"/>
  <c r="Z24" i="1" s="1"/>
  <c r="BN22" i="1"/>
  <c r="BP22" i="1"/>
  <c r="X560" i="1"/>
  <c r="Y25" i="1"/>
  <c r="Z28" i="1"/>
  <c r="BN28" i="1"/>
  <c r="Z30" i="1"/>
  <c r="BN30" i="1"/>
  <c r="C566" i="1"/>
  <c r="Z38" i="1"/>
  <c r="BN38" i="1"/>
  <c r="Z40" i="1"/>
  <c r="BN40" i="1"/>
  <c r="Y43" i="1"/>
  <c r="D566" i="1"/>
  <c r="Z48" i="1"/>
  <c r="BN48" i="1"/>
  <c r="Z50" i="1"/>
  <c r="BN50" i="1"/>
  <c r="Y51" i="1"/>
  <c r="Z55" i="1"/>
  <c r="Z64" i="1" s="1"/>
  <c r="BN55" i="1"/>
  <c r="BP55" i="1"/>
  <c r="Z57" i="1"/>
  <c r="BN57" i="1"/>
  <c r="Z59" i="1"/>
  <c r="BN59" i="1"/>
  <c r="Z61" i="1"/>
  <c r="BN61" i="1"/>
  <c r="Z63" i="1"/>
  <c r="BN63" i="1"/>
  <c r="Y64" i="1"/>
  <c r="Z67" i="1"/>
  <c r="Z73" i="1" s="1"/>
  <c r="BN67" i="1"/>
  <c r="BP67" i="1"/>
  <c r="Z69" i="1"/>
  <c r="BN69" i="1"/>
  <c r="Z71" i="1"/>
  <c r="BN71" i="1"/>
  <c r="Z77" i="1"/>
  <c r="Z78" i="1" s="1"/>
  <c r="BN77" i="1"/>
  <c r="Z81" i="1"/>
  <c r="BN81" i="1"/>
  <c r="BP81" i="1"/>
  <c r="Z83" i="1"/>
  <c r="BN83" i="1"/>
  <c r="Z88" i="1"/>
  <c r="Z93" i="1" s="1"/>
  <c r="BN88" i="1"/>
  <c r="BP88" i="1"/>
  <c r="Z90" i="1"/>
  <c r="BN90" i="1"/>
  <c r="Z92" i="1"/>
  <c r="BN92" i="1"/>
  <c r="Y93" i="1"/>
  <c r="Z96" i="1"/>
  <c r="Z100" i="1" s="1"/>
  <c r="BN96" i="1"/>
  <c r="BP96" i="1"/>
  <c r="Z98" i="1"/>
  <c r="BN98" i="1"/>
  <c r="G566" i="1"/>
  <c r="Z105" i="1"/>
  <c r="BN105" i="1"/>
  <c r="Z107" i="1"/>
  <c r="BN107" i="1"/>
  <c r="Z109" i="1"/>
  <c r="BN109" i="1"/>
  <c r="Z111" i="1"/>
  <c r="BN111" i="1"/>
  <c r="Y114" i="1"/>
  <c r="Z117" i="1"/>
  <c r="Z119" i="1" s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Z141" i="1" s="1"/>
  <c r="BN140" i="1"/>
  <c r="Z144" i="1"/>
  <c r="Z146" i="1" s="1"/>
  <c r="BN144" i="1"/>
  <c r="BP144" i="1"/>
  <c r="I566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Z168" i="1" s="1"/>
  <c r="BN164" i="1"/>
  <c r="BP164" i="1"/>
  <c r="Z166" i="1"/>
  <c r="BN166" i="1"/>
  <c r="Y169" i="1"/>
  <c r="Z172" i="1"/>
  <c r="Z173" i="1" s="1"/>
  <c r="BN172" i="1"/>
  <c r="Z176" i="1"/>
  <c r="BN176" i="1"/>
  <c r="BP176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3" i="1" s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6" i="1"/>
  <c r="Z239" i="1"/>
  <c r="BN239" i="1"/>
  <c r="BP239" i="1"/>
  <c r="Z241" i="1"/>
  <c r="BN241" i="1"/>
  <c r="Z243" i="1"/>
  <c r="BN243" i="1"/>
  <c r="Z245" i="1"/>
  <c r="BN245" i="1"/>
  <c r="Z247" i="1"/>
  <c r="BN247" i="1"/>
  <c r="Y248" i="1"/>
  <c r="Z251" i="1"/>
  <c r="BN251" i="1"/>
  <c r="BP251" i="1"/>
  <c r="Z253" i="1"/>
  <c r="BN253" i="1"/>
  <c r="Y254" i="1"/>
  <c r="Z257" i="1"/>
  <c r="Z258" i="1" s="1"/>
  <c r="BN257" i="1"/>
  <c r="BP257" i="1"/>
  <c r="Y258" i="1"/>
  <c r="Z262" i="1"/>
  <c r="Z264" i="1" s="1"/>
  <c r="BN262" i="1"/>
  <c r="BP262" i="1"/>
  <c r="Y265" i="1"/>
  <c r="Z268" i="1"/>
  <c r="Z269" i="1" s="1"/>
  <c r="BN268" i="1"/>
  <c r="BP268" i="1"/>
  <c r="Z272" i="1"/>
  <c r="BN272" i="1"/>
  <c r="BP272" i="1"/>
  <c r="Z274" i="1"/>
  <c r="BN274" i="1"/>
  <c r="Z276" i="1"/>
  <c r="BN276" i="1"/>
  <c r="Z278" i="1"/>
  <c r="BN278" i="1"/>
  <c r="Y281" i="1"/>
  <c r="Y296" i="1"/>
  <c r="Z284" i="1"/>
  <c r="BN284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Z340" i="1" s="1"/>
  <c r="BP347" i="1"/>
  <c r="BN347" i="1"/>
  <c r="Z347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83" i="1"/>
  <c r="Y390" i="1"/>
  <c r="BP385" i="1"/>
  <c r="BN385" i="1"/>
  <c r="Z385" i="1"/>
  <c r="Y389" i="1"/>
  <c r="BP393" i="1"/>
  <c r="BN393" i="1"/>
  <c r="Z393" i="1"/>
  <c r="Z395" i="1" s="1"/>
  <c r="BP401" i="1"/>
  <c r="BN401" i="1"/>
  <c r="Z401" i="1"/>
  <c r="Y403" i="1"/>
  <c r="Y408" i="1"/>
  <c r="BP405" i="1"/>
  <c r="BN405" i="1"/>
  <c r="Z405" i="1"/>
  <c r="BP413" i="1"/>
  <c r="BN413" i="1"/>
  <c r="Z413" i="1"/>
  <c r="Y415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Y214" i="1"/>
  <c r="Y219" i="1"/>
  <c r="Y264" i="1"/>
  <c r="BP289" i="1"/>
  <c r="BN289" i="1"/>
  <c r="Z289" i="1"/>
  <c r="BP293" i="1"/>
  <c r="BN293" i="1"/>
  <c r="Z293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BP331" i="1"/>
  <c r="BN331" i="1"/>
  <c r="Z331" i="1"/>
  <c r="BP345" i="1"/>
  <c r="BN345" i="1"/>
  <c r="Z345" i="1"/>
  <c r="Y349" i="1"/>
  <c r="BP353" i="1"/>
  <c r="BN353" i="1"/>
  <c r="Z353" i="1"/>
  <c r="Z354" i="1" s="1"/>
  <c r="Y355" i="1"/>
  <c r="S566" i="1"/>
  <c r="Y361" i="1"/>
  <c r="BP358" i="1"/>
  <c r="BN358" i="1"/>
  <c r="Z358" i="1"/>
  <c r="Z361" i="1" s="1"/>
  <c r="BP367" i="1"/>
  <c r="BN367" i="1"/>
  <c r="Z367" i="1"/>
  <c r="BP371" i="1"/>
  <c r="BN371" i="1"/>
  <c r="Z371" i="1"/>
  <c r="Y373" i="1"/>
  <c r="Y382" i="1"/>
  <c r="BP375" i="1"/>
  <c r="BN375" i="1"/>
  <c r="Z375" i="1"/>
  <c r="BP379" i="1"/>
  <c r="BN379" i="1"/>
  <c r="Z379" i="1"/>
  <c r="BP387" i="1"/>
  <c r="BN387" i="1"/>
  <c r="Z387" i="1"/>
  <c r="Y396" i="1"/>
  <c r="Y395" i="1"/>
  <c r="BP399" i="1"/>
  <c r="BN399" i="1"/>
  <c r="Z399" i="1"/>
  <c r="Z402" i="1" s="1"/>
  <c r="BP407" i="1"/>
  <c r="BN407" i="1"/>
  <c r="Z407" i="1"/>
  <c r="Y409" i="1"/>
  <c r="Y414" i="1"/>
  <c r="BP411" i="1"/>
  <c r="BN411" i="1"/>
  <c r="Z411" i="1"/>
  <c r="Z414" i="1" s="1"/>
  <c r="Y420" i="1"/>
  <c r="BP425" i="1"/>
  <c r="BN425" i="1"/>
  <c r="Z425" i="1"/>
  <c r="Z427" i="1" s="1"/>
  <c r="P566" i="1"/>
  <c r="Q566" i="1"/>
  <c r="Y341" i="1"/>
  <c r="R566" i="1"/>
  <c r="Y350" i="1"/>
  <c r="V566" i="1"/>
  <c r="Y428" i="1"/>
  <c r="W566" i="1"/>
  <c r="Y440" i="1"/>
  <c r="BP435" i="1"/>
  <c r="BN435" i="1"/>
  <c r="Z435" i="1"/>
  <c r="BP439" i="1"/>
  <c r="BN439" i="1"/>
  <c r="Z439" i="1"/>
  <c r="Y441" i="1"/>
  <c r="Y446" i="1"/>
  <c r="BP443" i="1"/>
  <c r="BN443" i="1"/>
  <c r="Z443" i="1"/>
  <c r="Z446" i="1" s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Z484" i="1" s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440" i="1" l="1"/>
  <c r="Z156" i="1"/>
  <c r="Z113" i="1"/>
  <c r="Z32" i="1"/>
  <c r="Z520" i="1"/>
  <c r="Z382" i="1"/>
  <c r="Z333" i="1"/>
  <c r="Z295" i="1"/>
  <c r="Z489" i="1"/>
  <c r="Z254" i="1"/>
  <c r="Z248" i="1"/>
  <c r="Z236" i="1"/>
  <c r="Z213" i="1"/>
  <c r="Z126" i="1"/>
  <c r="Z51" i="1"/>
  <c r="Z42" i="1"/>
  <c r="Z514" i="1"/>
  <c r="Z530" i="1"/>
  <c r="Z473" i="1"/>
  <c r="Z452" i="1"/>
  <c r="Z408" i="1"/>
  <c r="Z311" i="1"/>
  <c r="Z280" i="1"/>
  <c r="Z84" i="1"/>
  <c r="Y556" i="1"/>
  <c r="Y558" i="1"/>
  <c r="Z500" i="1"/>
  <c r="Z389" i="1"/>
  <c r="Z372" i="1"/>
  <c r="Z187" i="1"/>
  <c r="Z561" i="1" s="1"/>
  <c r="Y557" i="1"/>
  <c r="Y560" i="1"/>
  <c r="Y559" i="1" l="1"/>
</calcChain>
</file>

<file path=xl/sharedStrings.xml><?xml version="1.0" encoding="utf-8"?>
<sst xmlns="http://schemas.openxmlformats.org/spreadsheetml/2006/main" count="2543" uniqueCount="911">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</sst>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topLeftCell="A505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78"/>
      <c r="F1" s="678"/>
      <c r="G1" s="12" t="s">
        <v>1</v>
      </c>
      <c r="H1" s="721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677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7" t="s">
        <v>8</v>
      </c>
      <c r="B5" s="669"/>
      <c r="C5" s="670"/>
      <c r="D5" s="731"/>
      <c r="E5" s="732"/>
      <c r="F5" s="966" t="s">
        <v>9</v>
      </c>
      <c r="G5" s="670"/>
      <c r="H5" s="731"/>
      <c r="I5" s="904"/>
      <c r="J5" s="904"/>
      <c r="K5" s="904"/>
      <c r="L5" s="904"/>
      <c r="M5" s="732"/>
      <c r="N5" s="58"/>
      <c r="P5" s="24" t="s">
        <v>10</v>
      </c>
      <c r="Q5" s="984">
        <v>46291</v>
      </c>
      <c r="R5" s="776"/>
      <c r="T5" s="822" t="s">
        <v>11</v>
      </c>
      <c r="U5" s="823"/>
      <c r="V5" s="825" t="s">
        <v>12</v>
      </c>
      <c r="W5" s="776"/>
      <c r="AB5" s="51"/>
      <c r="AC5" s="51"/>
      <c r="AD5" s="51"/>
      <c r="AE5" s="51"/>
    </row>
    <row r="6" spans="1:32" s="637" customFormat="1" ht="24" customHeight="1" x14ac:dyDescent="0.2">
      <c r="A6" s="777" t="s">
        <v>13</v>
      </c>
      <c r="B6" s="669"/>
      <c r="C6" s="670"/>
      <c r="D6" s="907"/>
      <c r="E6" s="908"/>
      <c r="F6" s="908"/>
      <c r="G6" s="908"/>
      <c r="H6" s="908"/>
      <c r="I6" s="908"/>
      <c r="J6" s="908"/>
      <c r="K6" s="908"/>
      <c r="L6" s="908"/>
      <c r="M6" s="776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1" t="s">
        <v>15</v>
      </c>
      <c r="U6" s="823"/>
      <c r="V6" s="888" t="s">
        <v>16</v>
      </c>
      <c r="W6" s="724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58"/>
      <c r="U7" s="823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12" t="s">
        <v>17</v>
      </c>
      <c r="B8" s="650"/>
      <c r="C8" s="65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18</v>
      </c>
      <c r="Q8" s="786">
        <v>0.41666666666666669</v>
      </c>
      <c r="R8" s="710"/>
      <c r="T8" s="658"/>
      <c r="U8" s="823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7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795"/>
      <c r="E9" s="664"/>
      <c r="F9" s="7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5"/>
      <c r="P9" s="26" t="s">
        <v>19</v>
      </c>
      <c r="Q9" s="772"/>
      <c r="R9" s="773"/>
      <c r="T9" s="658"/>
      <c r="U9" s="823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795"/>
      <c r="E10" s="664"/>
      <c r="F10" s="7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0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2"/>
      <c r="R10" s="833"/>
      <c r="U10" s="24" t="s">
        <v>21</v>
      </c>
      <c r="V10" s="723" t="s">
        <v>22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2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9" t="s">
        <v>27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28</v>
      </c>
      <c r="Q12" s="786"/>
      <c r="R12" s="710"/>
      <c r="S12" s="23"/>
      <c r="U12" s="24"/>
      <c r="V12" s="678"/>
      <c r="W12" s="658"/>
      <c r="AB12" s="51"/>
      <c r="AC12" s="51"/>
      <c r="AD12" s="51"/>
      <c r="AE12" s="51"/>
    </row>
    <row r="13" spans="1:32" s="637" customFormat="1" ht="23.25" customHeight="1" x14ac:dyDescent="0.2">
      <c r="A13" s="819" t="s">
        <v>29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30</v>
      </c>
      <c r="Q13" s="932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9" t="s">
        <v>31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805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6"/>
      <c r="Q16" s="806"/>
      <c r="R16" s="806"/>
      <c r="S16" s="806"/>
      <c r="T16" s="8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34</v>
      </c>
      <c r="B17" s="691" t="s">
        <v>35</v>
      </c>
      <c r="C17" s="792" t="s">
        <v>36</v>
      </c>
      <c r="D17" s="691" t="s">
        <v>37</v>
      </c>
      <c r="E17" s="755"/>
      <c r="F17" s="691" t="s">
        <v>38</v>
      </c>
      <c r="G17" s="691" t="s">
        <v>39</v>
      </c>
      <c r="H17" s="691" t="s">
        <v>40</v>
      </c>
      <c r="I17" s="691" t="s">
        <v>41</v>
      </c>
      <c r="J17" s="691" t="s">
        <v>42</v>
      </c>
      <c r="K17" s="691" t="s">
        <v>43</v>
      </c>
      <c r="L17" s="691" t="s">
        <v>44</v>
      </c>
      <c r="M17" s="691" t="s">
        <v>45</v>
      </c>
      <c r="N17" s="691" t="s">
        <v>46</v>
      </c>
      <c r="O17" s="691" t="s">
        <v>47</v>
      </c>
      <c r="P17" s="691" t="s">
        <v>48</v>
      </c>
      <c r="Q17" s="754"/>
      <c r="R17" s="754"/>
      <c r="S17" s="754"/>
      <c r="T17" s="755"/>
      <c r="U17" s="1010" t="s">
        <v>49</v>
      </c>
      <c r="V17" s="670"/>
      <c r="W17" s="691" t="s">
        <v>50</v>
      </c>
      <c r="X17" s="691" t="s">
        <v>51</v>
      </c>
      <c r="Y17" s="1008" t="s">
        <v>52</v>
      </c>
      <c r="Z17" s="902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2"/>
      <c r="B18" s="692"/>
      <c r="C18" s="692"/>
      <c r="D18" s="756"/>
      <c r="E18" s="75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92"/>
      <c r="X18" s="692"/>
      <c r="Y18" s="1009"/>
      <c r="Z18" s="903"/>
      <c r="AA18" s="879"/>
      <c r="AB18" s="879"/>
      <c r="AC18" s="879"/>
      <c r="AD18" s="962"/>
      <c r="AE18" s="963"/>
      <c r="AF18" s="964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3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20</v>
      </c>
      <c r="Y29" s="644">
        <f>IFERROR(IF(X29="",0,CEILING((X29/$H29),1)*$H29),"")</f>
        <v>21.6</v>
      </c>
      <c r="Z29" s="36">
        <f>IFERROR(IF(Y29=0,"",ROUNDUP(Y29/H29,0)*0.00651),"")</f>
        <v>7.8119999999999995E-2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35.333333333333336</v>
      </c>
      <c r="BN29" s="64">
        <f>IFERROR(Y29*I29/H29,"0")</f>
        <v>38.160000000000004</v>
      </c>
      <c r="BO29" s="64">
        <f>IFERROR(1/J29*(X29/H29),"0")</f>
        <v>6.1050061050061055E-2</v>
      </c>
      <c r="BP29" s="64">
        <f>IFERROR(1/J29*(Y29/H29),"0")</f>
        <v>6.5934065934065936E-2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11.111111111111111</v>
      </c>
      <c r="Y32" s="645">
        <f>IFERROR(Y27/H27,"0")+IFERROR(Y28/H28,"0")+IFERROR(Y29/H29,"0")+IFERROR(Y30/H30,"0")+IFERROR(Y31/H31,"0")</f>
        <v>12</v>
      </c>
      <c r="Z32" s="645">
        <f>IFERROR(IF(Z27="",0,Z27),"0")+IFERROR(IF(Z28="",0,Z28),"0")+IFERROR(IF(Z29="",0,Z29),"0")+IFERROR(IF(Z30="",0,Z30),"0")+IFERROR(IF(Z31="",0,Z31),"0")</f>
        <v>7.8119999999999995E-2</v>
      </c>
      <c r="AA32" s="646"/>
      <c r="AB32" s="646"/>
      <c r="AC32" s="646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20</v>
      </c>
      <c r="Y33" s="645">
        <f>IFERROR(SUM(Y27:Y31),"0")</f>
        <v>21.6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3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3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39</v>
      </c>
      <c r="Y47" s="644">
        <f>IFERROR(IF(X47="",0,CEILING((X47/$H47),1)*$H47),"")</f>
        <v>43.2</v>
      </c>
      <c r="Z47" s="36">
        <f>IFERROR(IF(Y47=0,"",ROUNDUP(Y47/H47,0)*0.01898),"")</f>
        <v>7.5920000000000001E-2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40.480555555555561</v>
      </c>
      <c r="BN47" s="64">
        <f>IFERROR(Y47*I47/H47,"0")</f>
        <v>44.84</v>
      </c>
      <c r="BO47" s="64">
        <f>IFERROR(1/J47*(X47/H47),"0")</f>
        <v>5.6423611111111105E-2</v>
      </c>
      <c r="BP47" s="64">
        <f>IFERROR(1/J47*(Y47/H47),"0")</f>
        <v>6.25E-2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9</v>
      </c>
      <c r="Y50" s="644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9.4621621621621603</v>
      </c>
      <c r="BN50" s="64">
        <f>IFERROR(Y50*I50/H50,"0")</f>
        <v>11.670000000000002</v>
      </c>
      <c r="BO50" s="64">
        <f>IFERROR(1/J50*(X50/H50),"0")</f>
        <v>1.8427518427518427E-2</v>
      </c>
      <c r="BP50" s="64">
        <f>IFERROR(1/J50*(Y50/H50),"0")</f>
        <v>2.2727272727272731E-2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6.0435435435435432</v>
      </c>
      <c r="Y51" s="645">
        <f>IFERROR(Y47/H47,"0")+IFERROR(Y48/H48,"0")+IFERROR(Y49/H49,"0")+IFERROR(Y50/H50,"0")</f>
        <v>7</v>
      </c>
      <c r="Z51" s="645">
        <f>IFERROR(IF(Z47="",0,Z47),"0")+IFERROR(IF(Z48="",0,Z48),"0")+IFERROR(IF(Z49="",0,Z49),"0")+IFERROR(IF(Z50="",0,Z50),"0")</f>
        <v>0.10298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48</v>
      </c>
      <c r="Y52" s="645">
        <f>IFERROR(SUM(Y47:Y50),"0")</f>
        <v>54.300000000000004</v>
      </c>
      <c r="Z52" s="37"/>
      <c r="AA52" s="646"/>
      <c r="AB52" s="646"/>
      <c r="AC52" s="646"/>
    </row>
    <row r="53" spans="1:68" ht="16.5" hidden="1" customHeight="1" x14ac:dyDescent="0.25">
      <c r="A53" s="673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74</v>
      </c>
      <c r="Y55" s="644">
        <f t="shared" ref="Y55:Y63" si="0">IFERROR(IF(X55="",0,CEILING((X55/$H55),1)*$H55),"")</f>
        <v>78.399999999999991</v>
      </c>
      <c r="Z55" s="36">
        <f>IFERROR(IF(Y55=0,"",ROUNDUP(Y55/H55,0)*0.01898),"")</f>
        <v>0.13286000000000001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76.708928571428572</v>
      </c>
      <c r="BN55" s="64">
        <f t="shared" ref="BN55:BN63" si="2">IFERROR(Y55*I55/H55,"0")</f>
        <v>81.27</v>
      </c>
      <c r="BO55" s="64">
        <f t="shared" ref="BO55:BO63" si="3">IFERROR(1/J55*(X55/H55),"0")</f>
        <v>0.10323660714285715</v>
      </c>
      <c r="BP55" s="64">
        <f t="shared" ref="BP55:BP63" si="4">IFERROR(1/J55*(Y55/H55),"0")</f>
        <v>0.109375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195</v>
      </c>
      <c r="Y56" s="644">
        <f t="shared" si="0"/>
        <v>205.20000000000002</v>
      </c>
      <c r="Z56" s="36">
        <f>IFERROR(IF(Y56=0,"",ROUNDUP(Y56/H56,0)*0.01898),"")</f>
        <v>0.36062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202.4027777777778</v>
      </c>
      <c r="BN56" s="64">
        <f t="shared" si="2"/>
        <v>212.99</v>
      </c>
      <c r="BO56" s="64">
        <f t="shared" si="3"/>
        <v>0.28211805555555552</v>
      </c>
      <c r="BP56" s="64">
        <f t="shared" si="4"/>
        <v>0.296875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17</v>
      </c>
      <c r="Y59" s="644">
        <f t="shared" si="0"/>
        <v>20</v>
      </c>
      <c r="Z59" s="36">
        <f>IFERROR(IF(Y59=0,"",ROUNDUP(Y59/H59,0)*0.00902),"")</f>
        <v>4.5100000000000001E-2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17.807500000000001</v>
      </c>
      <c r="BN59" s="64">
        <f t="shared" si="2"/>
        <v>20.950000000000003</v>
      </c>
      <c r="BO59" s="64">
        <f t="shared" si="3"/>
        <v>3.2196969696969696E-2</v>
      </c>
      <c r="BP59" s="64">
        <f t="shared" si="4"/>
        <v>3.787878787878788E-2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36</v>
      </c>
      <c r="Y62" s="644">
        <f t="shared" si="0"/>
        <v>36</v>
      </c>
      <c r="Z62" s="36">
        <f>IFERROR(IF(Y62=0,"",ROUNDUP(Y62/H62,0)*0.00902),"")</f>
        <v>7.2160000000000002E-2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37.520000000000003</v>
      </c>
      <c r="BN62" s="64">
        <f t="shared" si="2"/>
        <v>37.520000000000003</v>
      </c>
      <c r="BO62" s="64">
        <f t="shared" si="3"/>
        <v>6.0606060606060608E-2</v>
      </c>
      <c r="BP62" s="64">
        <f t="shared" si="4"/>
        <v>6.0606060606060608E-2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6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36.912698412698411</v>
      </c>
      <c r="Y64" s="645">
        <f>IFERROR(Y55/H55,"0")+IFERROR(Y56/H56,"0")+IFERROR(Y57/H57,"0")+IFERROR(Y58/H58,"0")+IFERROR(Y59/H59,"0")+IFERROR(Y60/H60,"0")+IFERROR(Y61/H61,"0")+IFERROR(Y62/H62,"0")+IFERROR(Y63/H63,"0")</f>
        <v>39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0.61074000000000006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322</v>
      </c>
      <c r="Y65" s="645">
        <f>IFERROR(SUM(Y55:Y63),"0")</f>
        <v>339.6</v>
      </c>
      <c r="Z65" s="37"/>
      <c r="AA65" s="646"/>
      <c r="AB65" s="646"/>
      <c r="AC65" s="646"/>
    </row>
    <row r="66" spans="1:68" ht="14.25" hidden="1" customHeight="1" x14ac:dyDescent="0.25">
      <c r="A66" s="667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77</v>
      </c>
      <c r="Y67" s="644">
        <f t="shared" ref="Y67:Y72" si="5">IFERROR(IF(X67="",0,CEILING((X67/$H67),1)*$H67),"")</f>
        <v>86.4</v>
      </c>
      <c r="Z67" s="36">
        <f>IFERROR(IF(Y67=0,"",ROUNDUP(Y67/H67,0)*0.01898),"")</f>
        <v>0.15184</v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79.923148148148144</v>
      </c>
      <c r="BN67" s="64">
        <f t="shared" ref="BN67:BN72" si="7">IFERROR(Y67*I67/H67,"0")</f>
        <v>89.68</v>
      </c>
      <c r="BO67" s="64">
        <f t="shared" ref="BO67:BO72" si="8">IFERROR(1/J67*(X67/H67),"0")</f>
        <v>0.11140046296296295</v>
      </c>
      <c r="BP67" s="64">
        <f t="shared" ref="BP67:BP72" si="9">IFERROR(1/J67*(Y67/H67),"0")</f>
        <v>0.125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8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8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7.1296296296296289</v>
      </c>
      <c r="Y73" s="645">
        <f>IFERROR(Y67/H67,"0")+IFERROR(Y68/H68,"0")+IFERROR(Y69/H69,"0")+IFERROR(Y70/H70,"0")+IFERROR(Y71/H71,"0")+IFERROR(Y72/H72,"0")</f>
        <v>8</v>
      </c>
      <c r="Z73" s="645">
        <f>IFERROR(IF(Z67="",0,Z67),"0")+IFERROR(IF(Z68="",0,Z68),"0")+IFERROR(IF(Z69="",0,Z69),"0")+IFERROR(IF(Z70="",0,Z70),"0")+IFERROR(IF(Z71="",0,Z71),"0")+IFERROR(IF(Z72="",0,Z72),"0")</f>
        <v>0.15184</v>
      </c>
      <c r="AA73" s="646"/>
      <c r="AB73" s="646"/>
      <c r="AC73" s="646"/>
    </row>
    <row r="74" spans="1:68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77</v>
      </c>
      <c r="Y74" s="645">
        <f>IFERROR(SUM(Y67:Y72),"0")</f>
        <v>86.4</v>
      </c>
      <c r="Z74" s="37"/>
      <c r="AA74" s="646"/>
      <c r="AB74" s="646"/>
      <c r="AC74" s="646"/>
    </row>
    <row r="75" spans="1:68" ht="14.25" hidden="1" customHeight="1" x14ac:dyDescent="0.25">
      <c r="A75" s="667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4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7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72</v>
      </c>
      <c r="Y81" s="644">
        <f>IFERROR(IF(X81="",0,CEILING((X81/$H81),1)*$H81),"")</f>
        <v>78</v>
      </c>
      <c r="Z81" s="36">
        <f>IFERROR(IF(Y81=0,"",ROUNDUP(Y81/H81,0)*0.01898),"")</f>
        <v>0.1898</v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75.784615384615407</v>
      </c>
      <c r="BN81" s="64">
        <f>IFERROR(Y81*I81/H81,"0")</f>
        <v>82.100000000000023</v>
      </c>
      <c r="BO81" s="64">
        <f>IFERROR(1/J81*(X81/H81),"0")</f>
        <v>0.14423076923076925</v>
      </c>
      <c r="BP81" s="64">
        <f>IFERROR(1/J81*(Y81/H81),"0")</f>
        <v>0.15625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9.2307692307692317</v>
      </c>
      <c r="Y84" s="645">
        <f>IFERROR(Y81/H81,"0")+IFERROR(Y82/H82,"0")+IFERROR(Y83/H83,"0")</f>
        <v>10</v>
      </c>
      <c r="Z84" s="645">
        <f>IFERROR(IF(Z81="",0,Z81),"0")+IFERROR(IF(Z82="",0,Z82),"0")+IFERROR(IF(Z83="",0,Z83),"0")</f>
        <v>0.1898</v>
      </c>
      <c r="AA84" s="646"/>
      <c r="AB84" s="646"/>
      <c r="AC84" s="646"/>
    </row>
    <row r="85" spans="1:68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72</v>
      </c>
      <c r="Y85" s="645">
        <f>IFERROR(SUM(Y81:Y83),"0")</f>
        <v>78</v>
      </c>
      <c r="Z85" s="37"/>
      <c r="AA85" s="646"/>
      <c r="AB85" s="646"/>
      <c r="AC85" s="646"/>
    </row>
    <row r="86" spans="1:68" ht="16.5" hidden="1" customHeight="1" x14ac:dyDescent="0.25">
      <c r="A86" s="673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7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185</v>
      </c>
      <c r="Y88" s="644">
        <f>IFERROR(IF(X88="",0,CEILING((X88/$H88),1)*$H88),"")</f>
        <v>194.4</v>
      </c>
      <c r="Z88" s="36">
        <f>IFERROR(IF(Y88=0,"",ROUNDUP(Y88/H88,0)*0.01898),"")</f>
        <v>0.34164</v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192.02314814814818</v>
      </c>
      <c r="BN88" s="64">
        <f>IFERROR(Y88*I88/H88,"0")</f>
        <v>201.78</v>
      </c>
      <c r="BO88" s="64">
        <f>IFERROR(1/J88*(X88/H88),"0")</f>
        <v>0.26765046296296297</v>
      </c>
      <c r="BP88" s="64">
        <f>IFERROR(1/J88*(Y88/H88),"0")</f>
        <v>0.28125</v>
      </c>
    </row>
    <row r="89" spans="1:68" ht="27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4</v>
      </c>
      <c r="Y89" s="644">
        <f>IFERROR(IF(X89="",0,CEILING((X89/$H89),1)*$H89),"")</f>
        <v>4.08</v>
      </c>
      <c r="Z89" s="36">
        <f>IFERROR(IF(Y89=0,"",ROUNDUP(Y89/H89,0)*0.00726),"")</f>
        <v>2.1780000000000001E-2</v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4.5294117647058822</v>
      </c>
      <c r="BN89" s="64">
        <f>IFERROR(Y89*I89/H89,"0")</f>
        <v>4.6199999999999992</v>
      </c>
      <c r="BO89" s="64">
        <f>IFERROR(1/J89*(X89/H89),"0")</f>
        <v>1.531862745098039E-2</v>
      </c>
      <c r="BP89" s="64">
        <f>IFERROR(1/J89*(Y89/H89),"0")</f>
        <v>1.5625E-2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71</v>
      </c>
      <c r="Y92" s="644">
        <f>IFERROR(IF(X92="",0,CEILING((X92/$H92),1)*$H92),"")</f>
        <v>72</v>
      </c>
      <c r="Z92" s="36">
        <f>IFERROR(IF(Y92=0,"",ROUNDUP(Y92/H92,0)*0.00902),"")</f>
        <v>0.14432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73.997777777777785</v>
      </c>
      <c r="BN92" s="64">
        <f>IFERROR(Y92*I92/H92,"0")</f>
        <v>75.040000000000006</v>
      </c>
      <c r="BO92" s="64">
        <f>IFERROR(1/J92*(X92/H92),"0")</f>
        <v>0.11952861952861954</v>
      </c>
      <c r="BP92" s="64">
        <f>IFERROR(1/J92*(Y92/H92),"0")</f>
        <v>0.12121212121212122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35.848583877995644</v>
      </c>
      <c r="Y93" s="645">
        <f>IFERROR(Y88/H88,"0")+IFERROR(Y89/H89,"0")+IFERROR(Y90/H90,"0")+IFERROR(Y91/H91,"0")+IFERROR(Y92/H92,"0")</f>
        <v>37</v>
      </c>
      <c r="Z93" s="645">
        <f>IFERROR(IF(Z88="",0,Z88),"0")+IFERROR(IF(Z89="",0,Z89),"0")+IFERROR(IF(Z90="",0,Z90),"0")+IFERROR(IF(Z91="",0,Z91),"0")+IFERROR(IF(Z92="",0,Z92),"0")</f>
        <v>0.50774000000000008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260</v>
      </c>
      <c r="Y94" s="645">
        <f>IFERROR(SUM(Y88:Y92),"0")</f>
        <v>270.48</v>
      </c>
      <c r="Z94" s="37"/>
      <c r="AA94" s="646"/>
      <c r="AB94" s="646"/>
      <c r="AC94" s="646"/>
    </row>
    <row r="95" spans="1:68" ht="14.25" hidden="1" customHeight="1" x14ac:dyDescent="0.25">
      <c r="A95" s="667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48</v>
      </c>
      <c r="Y96" s="644">
        <f>IFERROR(IF(X96="",0,CEILING((X96/$H96),1)*$H96),"")</f>
        <v>48.599999999999994</v>
      </c>
      <c r="Z96" s="36">
        <f>IFERROR(IF(Y96=0,"",ROUNDUP(Y96/H96,0)*0.01898),"")</f>
        <v>0.11388000000000001</v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50.927407407407401</v>
      </c>
      <c r="BN96" s="64">
        <f>IFERROR(Y96*I96/H96,"0")</f>
        <v>51.563999999999993</v>
      </c>
      <c r="BO96" s="64">
        <f>IFERROR(1/J96*(X96/H96),"0")</f>
        <v>9.2592592592592601E-2</v>
      </c>
      <c r="BP96" s="64">
        <f>IFERROR(1/J96*(Y96/H96),"0")</f>
        <v>9.375E-2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0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0</v>
      </c>
      <c r="Y98" s="644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5.9259259259259265</v>
      </c>
      <c r="Y100" s="645">
        <f>IFERROR(Y96/H96,"0")+IFERROR(Y97/H97,"0")+IFERROR(Y98/H98,"0")+IFERROR(Y99/H99,"0")</f>
        <v>6</v>
      </c>
      <c r="Z100" s="645">
        <f>IFERROR(IF(Z96="",0,Z96),"0")+IFERROR(IF(Z97="",0,Z97),"0")+IFERROR(IF(Z98="",0,Z98),"0")+IFERROR(IF(Z99="",0,Z99),"0")</f>
        <v>0.11388000000000001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48</v>
      </c>
      <c r="Y101" s="645">
        <f>IFERROR(SUM(Y96:Y99),"0")</f>
        <v>48.599999999999994</v>
      </c>
      <c r="Z101" s="37"/>
      <c r="AA101" s="646"/>
      <c r="AB101" s="646"/>
      <c r="AC101" s="646"/>
    </row>
    <row r="102" spans="1:68" ht="16.5" hidden="1" customHeight="1" x14ac:dyDescent="0.25">
      <c r="A102" s="673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221</v>
      </c>
      <c r="Y104" s="644">
        <f t="shared" ref="Y104:Y112" si="10">IFERROR(IF(X104="",0,CEILING((X104/$H104),1)*$H104),"")</f>
        <v>226.8</v>
      </c>
      <c r="Z104" s="36">
        <f>IFERROR(IF(Y104=0,"",ROUNDUP(Y104/H104,0)*0.01898),"")</f>
        <v>0.39857999999999999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229.38981481481483</v>
      </c>
      <c r="BN104" s="64">
        <f t="shared" ref="BN104:BN112" si="12">IFERROR(Y104*I104/H104,"0")</f>
        <v>235.41000000000003</v>
      </c>
      <c r="BO104" s="64">
        <f t="shared" ref="BO104:BO112" si="13">IFERROR(1/J104*(X104/H104),"0")</f>
        <v>0.31973379629629628</v>
      </c>
      <c r="BP104" s="64">
        <f t="shared" ref="BP104:BP112" si="14">IFERROR(1/J104*(Y104/H104),"0")</f>
        <v>0.328125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34</v>
      </c>
      <c r="Y109" s="644">
        <f t="shared" si="10"/>
        <v>36</v>
      </c>
      <c r="Z109" s="36">
        <f>IFERROR(IF(Y109=0,"",ROUNDUP(Y109/H109,0)*0.00902),"")</f>
        <v>7.2160000000000002E-2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35.43555555555556</v>
      </c>
      <c r="BN109" s="64">
        <f t="shared" si="12"/>
        <v>37.520000000000003</v>
      </c>
      <c r="BO109" s="64">
        <f t="shared" si="13"/>
        <v>5.7239057239057242E-2</v>
      </c>
      <c r="BP109" s="64">
        <f t="shared" si="14"/>
        <v>6.0606060606060608E-2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28.018518518518519</v>
      </c>
      <c r="Y113" s="645">
        <f>IFERROR(Y104/H104,"0")+IFERROR(Y105/H105,"0")+IFERROR(Y106/H106,"0")+IFERROR(Y107/H107,"0")+IFERROR(Y108/H108,"0")+IFERROR(Y109/H109,"0")+IFERROR(Y110/H110,"0")+IFERROR(Y111/H111,"0")+IFERROR(Y112/H112,"0")</f>
        <v>29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0.47073999999999999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255</v>
      </c>
      <c r="Y114" s="645">
        <f>IFERROR(SUM(Y104:Y112),"0")</f>
        <v>262.8</v>
      </c>
      <c r="Z114" s="37"/>
      <c r="AA114" s="646"/>
      <c r="AB114" s="646"/>
      <c r="AC114" s="646"/>
    </row>
    <row r="115" spans="1:68" ht="14.25" hidden="1" customHeight="1" x14ac:dyDescent="0.25">
      <c r="A115" s="667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19</v>
      </c>
      <c r="Y118" s="644">
        <f>IFERROR(IF(X118="",0,CEILING((X118/$H118),1)*$H118),"")</f>
        <v>19.2</v>
      </c>
      <c r="Z118" s="36">
        <f>IFERROR(IF(Y118=0,"",ROUNDUP(Y118/H118,0)*0.00651),"")</f>
        <v>5.2080000000000001E-2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20.425000000000001</v>
      </c>
      <c r="BN118" s="64">
        <f>IFERROR(Y118*I118/H118,"0")</f>
        <v>20.64</v>
      </c>
      <c r="BO118" s="64">
        <f>IFERROR(1/J118*(X118/H118),"0")</f>
        <v>4.3498168498168503E-2</v>
      </c>
      <c r="BP118" s="64">
        <f>IFERROR(1/J118*(Y118/H118),"0")</f>
        <v>4.3956043956043959E-2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7.916666666666667</v>
      </c>
      <c r="Y119" s="645">
        <f>IFERROR(Y116/H116,"0")+IFERROR(Y117/H117,"0")+IFERROR(Y118/H118,"0")</f>
        <v>8</v>
      </c>
      <c r="Z119" s="645">
        <f>IFERROR(IF(Z116="",0,Z116),"0")+IFERROR(IF(Z117="",0,Z117),"0")+IFERROR(IF(Z118="",0,Z118),"0")</f>
        <v>5.2080000000000001E-2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19</v>
      </c>
      <c r="Y120" s="645">
        <f>IFERROR(SUM(Y116:Y118),"0")</f>
        <v>19.2</v>
      </c>
      <c r="Z120" s="37"/>
      <c r="AA120" s="646"/>
      <c r="AB120" s="646"/>
      <c r="AC120" s="646"/>
    </row>
    <row r="121" spans="1:68" ht="14.25" hidden="1" customHeight="1" x14ac:dyDescent="0.25">
      <c r="A121" s="667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81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70</v>
      </c>
      <c r="Y122" s="644">
        <f>IFERROR(IF(X122="",0,CEILING((X122/$H122),1)*$H122),"")</f>
        <v>72.899999999999991</v>
      </c>
      <c r="Z122" s="36">
        <f>IFERROR(IF(Y122=0,"",ROUNDUP(Y122/H122,0)*0.01898),"")</f>
        <v>0.17082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74.217283950617286</v>
      </c>
      <c r="BN122" s="64">
        <f>IFERROR(Y122*I122/H122,"0")</f>
        <v>77.291999999999987</v>
      </c>
      <c r="BO122" s="64">
        <f>IFERROR(1/J122*(X122/H122),"0")</f>
        <v>0.13503086419753088</v>
      </c>
      <c r="BP122" s="64">
        <f>IFERROR(1/J122*(Y122/H122),"0")</f>
        <v>0.140625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52</v>
      </c>
      <c r="Y124" s="644">
        <f>IFERROR(IF(X124="",0,CEILING((X124/$H124),1)*$H124),"")</f>
        <v>54</v>
      </c>
      <c r="Z124" s="36">
        <f>IFERROR(IF(Y124=0,"",ROUNDUP(Y124/H124,0)*0.00651),"")</f>
        <v>0.13020000000000001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56.853333333333325</v>
      </c>
      <c r="BN124" s="64">
        <f>IFERROR(Y124*I124/H124,"0")</f>
        <v>59.039999999999992</v>
      </c>
      <c r="BO124" s="64">
        <f>IFERROR(1/J124*(X124/H124),"0")</f>
        <v>0.10582010582010583</v>
      </c>
      <c r="BP124" s="64">
        <f>IFERROR(1/J124*(Y124/H124),"0")</f>
        <v>0.1098901098901099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2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27.901234567901234</v>
      </c>
      <c r="Y126" s="645">
        <f>IFERROR(Y122/H122,"0")+IFERROR(Y123/H123,"0")+IFERROR(Y124/H124,"0")+IFERROR(Y125/H125,"0")</f>
        <v>29</v>
      </c>
      <c r="Z126" s="645">
        <f>IFERROR(IF(Z122="",0,Z122),"0")+IFERROR(IF(Z123="",0,Z123),"0")+IFERROR(IF(Z124="",0,Z124),"0")+IFERROR(IF(Z125="",0,Z125),"0")</f>
        <v>0.30102000000000001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122</v>
      </c>
      <c r="Y127" s="645">
        <f>IFERROR(SUM(Y122:Y125),"0")</f>
        <v>126.89999999999999</v>
      </c>
      <c r="Z127" s="37"/>
      <c r="AA127" s="646"/>
      <c r="AB127" s="646"/>
      <c r="AC127" s="646"/>
    </row>
    <row r="128" spans="1:68" ht="14.25" hidden="1" customHeight="1" x14ac:dyDescent="0.25">
      <c r="A128" s="667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9</v>
      </c>
      <c r="Y129" s="644">
        <f>IFERROR(IF(X129="",0,CEILING((X129/$H129),1)*$H129),"")</f>
        <v>9.9</v>
      </c>
      <c r="Z129" s="36">
        <f>IFERROR(IF(Y129=0,"",ROUNDUP(Y129/H129,0)*0.00651),"")</f>
        <v>3.2550000000000003E-2</v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10.172727272727272</v>
      </c>
      <c r="BN129" s="64">
        <f>IFERROR(Y129*I129/H129,"0")</f>
        <v>11.190000000000001</v>
      </c>
      <c r="BO129" s="64">
        <f>IFERROR(1/J129*(X129/H129),"0")</f>
        <v>2.4975024975024979E-2</v>
      </c>
      <c r="BP129" s="64">
        <f>IFERROR(1/J129*(Y129/H129),"0")</f>
        <v>2.7472527472527476E-2</v>
      </c>
    </row>
    <row r="130" spans="1:68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4.5454545454545459</v>
      </c>
      <c r="Y130" s="645">
        <f>IFERROR(Y129/H129,"0")</f>
        <v>5</v>
      </c>
      <c r="Z130" s="645">
        <f>IFERROR(IF(Z129="",0,Z129),"0")</f>
        <v>3.2550000000000003E-2</v>
      </c>
      <c r="AA130" s="646"/>
      <c r="AB130" s="646"/>
      <c r="AC130" s="646"/>
    </row>
    <row r="131" spans="1:68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9</v>
      </c>
      <c r="Y131" s="645">
        <f>IFERROR(SUM(Y129:Y129),"0")</f>
        <v>9.9</v>
      </c>
      <c r="Z131" s="37"/>
      <c r="AA131" s="646"/>
      <c r="AB131" s="646"/>
      <c r="AC131" s="646"/>
    </row>
    <row r="132" spans="1:68" ht="16.5" hidden="1" customHeight="1" x14ac:dyDescent="0.25">
      <c r="A132" s="673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7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23</v>
      </c>
      <c r="Y134" s="644">
        <f>IFERROR(IF(X134="",0,CEILING((X134/$H134),1)*$H134),"")</f>
        <v>25.6</v>
      </c>
      <c r="Z134" s="36">
        <f>IFERROR(IF(Y134=0,"",ROUNDUP(Y134/H134,0)*0.00651),"")</f>
        <v>5.2080000000000001E-2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24.293749999999996</v>
      </c>
      <c r="BN134" s="64">
        <f>IFERROR(Y134*I134/H134,"0")</f>
        <v>27.04</v>
      </c>
      <c r="BO134" s="64">
        <f>IFERROR(1/J134*(X134/H134),"0")</f>
        <v>3.9491758241758247E-2</v>
      </c>
      <c r="BP134" s="64">
        <f>IFERROR(1/J134*(Y134/H134),"0")</f>
        <v>4.3956043956043959E-2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7.1875</v>
      </c>
      <c r="Y136" s="645">
        <f>IFERROR(Y134/H134,"0")+IFERROR(Y135/H135,"0")</f>
        <v>8</v>
      </c>
      <c r="Z136" s="645">
        <f>IFERROR(IF(Z134="",0,Z134),"0")+IFERROR(IF(Z135="",0,Z135),"0")</f>
        <v>5.2080000000000001E-2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23</v>
      </c>
      <c r="Y137" s="645">
        <f>IFERROR(SUM(Y134:Y135),"0")</f>
        <v>25.6</v>
      </c>
      <c r="Z137" s="37"/>
      <c r="AA137" s="646"/>
      <c r="AB137" s="646"/>
      <c r="AC137" s="646"/>
    </row>
    <row r="138" spans="1:68" ht="14.25" hidden="1" customHeight="1" x14ac:dyDescent="0.25">
      <c r="A138" s="667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hidden="1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0</v>
      </c>
      <c r="Y141" s="645">
        <f>IFERROR(Y139/H139,"0")+IFERROR(Y140/H140,"0")</f>
        <v>0</v>
      </c>
      <c r="Z141" s="645">
        <f>IFERROR(IF(Z139="",0,Z139),"0")+IFERROR(IF(Z140="",0,Z140),"0")</f>
        <v>0</v>
      </c>
      <c r="AA141" s="646"/>
      <c r="AB141" s="646"/>
      <c r="AC141" s="646"/>
    </row>
    <row r="142" spans="1:68" hidden="1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0</v>
      </c>
      <c r="Y142" s="645">
        <f>IFERROR(SUM(Y139:Y140),"0")</f>
        <v>0</v>
      </c>
      <c r="Z142" s="37"/>
      <c r="AA142" s="646"/>
      <c r="AB142" s="646"/>
      <c r="AC142" s="646"/>
    </row>
    <row r="143" spans="1:68" ht="14.25" hidden="1" customHeight="1" x14ac:dyDescent="0.25">
      <c r="A143" s="667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31</v>
      </c>
      <c r="Y144" s="644">
        <f>IFERROR(IF(X144="",0,CEILING((X144/$H144),1)*$H144),"")</f>
        <v>31.68</v>
      </c>
      <c r="Z144" s="36">
        <f>IFERROR(IF(Y144=0,"",ROUNDUP(Y144/H144,0)*0.00651),"")</f>
        <v>7.8119999999999995E-2</v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34.146969696969691</v>
      </c>
      <c r="BN144" s="64">
        <f>IFERROR(Y144*I144/H144,"0")</f>
        <v>34.896000000000001</v>
      </c>
      <c r="BO144" s="64">
        <f>IFERROR(1/J144*(X144/H144),"0")</f>
        <v>6.4518814518814527E-2</v>
      </c>
      <c r="BP144" s="64">
        <f>IFERROR(1/J144*(Y144/H144),"0")</f>
        <v>6.5934065934065936E-2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11.742424242424242</v>
      </c>
      <c r="Y146" s="645">
        <f>IFERROR(Y144/H144,"0")+IFERROR(Y145/H145,"0")</f>
        <v>12</v>
      </c>
      <c r="Z146" s="645">
        <f>IFERROR(IF(Z144="",0,Z144),"0")+IFERROR(IF(Z145="",0,Z145),"0")</f>
        <v>7.8119999999999995E-2</v>
      </c>
      <c r="AA146" s="646"/>
      <c r="AB146" s="646"/>
      <c r="AC146" s="646"/>
    </row>
    <row r="147" spans="1:68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31</v>
      </c>
      <c r="Y147" s="645">
        <f>IFERROR(SUM(Y144:Y145),"0")</f>
        <v>31.68</v>
      </c>
      <c r="Z147" s="37"/>
      <c r="AA147" s="646"/>
      <c r="AB147" s="646"/>
      <c r="AC147" s="646"/>
    </row>
    <row r="148" spans="1:68" ht="16.5" hidden="1" customHeight="1" x14ac:dyDescent="0.25">
      <c r="A148" s="673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7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3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7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27</v>
      </c>
      <c r="Y164" s="644">
        <f>IFERROR(IF(X164="",0,CEILING((X164/$H164),1)*$H164),"")</f>
        <v>30</v>
      </c>
      <c r="Z164" s="36">
        <f>IFERROR(IF(Y164=0,"",ROUNDUP(Y164/H164,0)*0.01196),"")</f>
        <v>5.9799999999999999E-2</v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28.574999999999999</v>
      </c>
      <c r="BN164" s="64">
        <f>IFERROR(Y164*I164/H164,"0")</f>
        <v>31.75</v>
      </c>
      <c r="BO164" s="64">
        <f>IFERROR(1/J164*(X164/H164),"0")</f>
        <v>4.3269230769230768E-2</v>
      </c>
      <c r="BP164" s="64">
        <f>IFERROR(1/J164*(Y164/H164),"0")</f>
        <v>4.807692307692308E-2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4.5</v>
      </c>
      <c r="Y168" s="645">
        <f>IFERROR(Y164/H164,"0")+IFERROR(Y165/H165,"0")+IFERROR(Y166/H166,"0")+IFERROR(Y167/H167,"0")</f>
        <v>5</v>
      </c>
      <c r="Z168" s="645">
        <f>IFERROR(IF(Z164="",0,Z164),"0")+IFERROR(IF(Z165="",0,Z165),"0")+IFERROR(IF(Z166="",0,Z166),"0")+IFERROR(IF(Z167="",0,Z167),"0")</f>
        <v>5.9799999999999999E-2</v>
      </c>
      <c r="AA168" s="646"/>
      <c r="AB168" s="646"/>
      <c r="AC168" s="646"/>
    </row>
    <row r="169" spans="1:68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27</v>
      </c>
      <c r="Y169" s="645">
        <f>IFERROR(SUM(Y164:Y167),"0")</f>
        <v>30</v>
      </c>
      <c r="Z169" s="37"/>
      <c r="AA169" s="646"/>
      <c r="AB169" s="646"/>
      <c r="AC169" s="646"/>
    </row>
    <row r="170" spans="1:68" ht="14.25" hidden="1" customHeight="1" x14ac:dyDescent="0.25">
      <c r="A170" s="667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7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160</v>
      </c>
      <c r="Y176" s="644">
        <f t="shared" ref="Y176:Y186" si="21">IFERROR(IF(X176="",0,CEILING((X176/$H176),1)*$H176),"")</f>
        <v>161</v>
      </c>
      <c r="Z176" s="36">
        <f>IFERROR(IF(Y176=0,"",ROUNDUP(Y176/H176,0)*0.00902),"")</f>
        <v>0.41492000000000001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168.68571428571428</v>
      </c>
      <c r="BN176" s="64">
        <f t="shared" ref="BN176:BN186" si="23">IFERROR(Y176*I176/H176,"0")</f>
        <v>169.74</v>
      </c>
      <c r="BO176" s="64">
        <f t="shared" ref="BO176:BO186" si="24">IFERROR(1/J176*(X176/H176),"0")</f>
        <v>0.34632034632034636</v>
      </c>
      <c r="BP176" s="64">
        <f t="shared" ref="BP176:BP186" si="25">IFERROR(1/J176*(Y176/H176),"0")</f>
        <v>0.34848484848484851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112</v>
      </c>
      <c r="Y178" s="644">
        <f t="shared" si="21"/>
        <v>112</v>
      </c>
      <c r="Z178" s="36">
        <f>IFERROR(IF(Y178=0,"",ROUNDUP(Y178/H178,0)*0.00902),"")</f>
        <v>0.28864000000000001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118.08</v>
      </c>
      <c r="BN178" s="64">
        <f t="shared" si="23"/>
        <v>118.08</v>
      </c>
      <c r="BO178" s="64">
        <f t="shared" si="24"/>
        <v>0.24242424242424243</v>
      </c>
      <c r="BP178" s="64">
        <f t="shared" si="25"/>
        <v>0.24242424242424243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200</v>
      </c>
      <c r="Y179" s="644">
        <f t="shared" si="21"/>
        <v>203</v>
      </c>
      <c r="Z179" s="36">
        <f>IFERROR(IF(Y179=0,"",ROUNDUP(Y179/H179,0)*0.00902),"")</f>
        <v>0.52316000000000007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210.85714285714286</v>
      </c>
      <c r="BN179" s="64">
        <f t="shared" si="23"/>
        <v>214.01999999999998</v>
      </c>
      <c r="BO179" s="64">
        <f t="shared" si="24"/>
        <v>0.43290043290043295</v>
      </c>
      <c r="BP179" s="64">
        <f t="shared" si="25"/>
        <v>0.43939393939393939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7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34</v>
      </c>
      <c r="Y182" s="644">
        <f t="shared" si="21"/>
        <v>35.28</v>
      </c>
      <c r="Z182" s="36">
        <f>IFERROR(IF(Y182=0,"",ROUNDUP(Y182/H182,0)*0.00502),"")</f>
        <v>0.10542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36.023809523809526</v>
      </c>
      <c r="BN182" s="64">
        <f t="shared" si="23"/>
        <v>37.380000000000003</v>
      </c>
      <c r="BO182" s="64">
        <f t="shared" si="24"/>
        <v>8.648758648758649E-2</v>
      </c>
      <c r="BP182" s="64">
        <f t="shared" si="25"/>
        <v>8.9743589743589758E-2</v>
      </c>
    </row>
    <row r="183" spans="1:68" ht="27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3</v>
      </c>
      <c r="Y183" s="644">
        <f t="shared" si="21"/>
        <v>3.6</v>
      </c>
      <c r="Z183" s="36">
        <f>IFERROR(IF(Y183=0,"",ROUNDUP(Y183/H183,0)*0.00417),"")</f>
        <v>1.668E-2</v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3.7</v>
      </c>
      <c r="BN183" s="64">
        <f t="shared" si="23"/>
        <v>4.4400000000000004</v>
      </c>
      <c r="BO183" s="64">
        <f t="shared" si="24"/>
        <v>9.9206349206349183E-3</v>
      </c>
      <c r="BP183" s="64">
        <f t="shared" si="25"/>
        <v>1.1904761904761904E-2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22</v>
      </c>
      <c r="Y186" s="644">
        <f t="shared" si="21"/>
        <v>23.52</v>
      </c>
      <c r="Z186" s="36">
        <f>IFERROR(IF(Y186=0,"",ROUNDUP(Y186/H186,0)*0.00502),"")</f>
        <v>7.0280000000000009E-2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23.309523809523814</v>
      </c>
      <c r="BN186" s="64">
        <f t="shared" si="23"/>
        <v>24.92</v>
      </c>
      <c r="BO186" s="64">
        <f t="shared" si="24"/>
        <v>5.596255596255597E-2</v>
      </c>
      <c r="BP186" s="64">
        <f t="shared" si="25"/>
        <v>5.9829059829059839E-2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171.52380952380955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175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1.4191000000000003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531</v>
      </c>
      <c r="Y188" s="645">
        <f>IFERROR(SUM(Y176:Y186),"0")</f>
        <v>538.4</v>
      </c>
      <c r="Z188" s="37"/>
      <c r="AA188" s="646"/>
      <c r="AB188" s="646"/>
      <c r="AC188" s="646"/>
    </row>
    <row r="189" spans="1:68" ht="14.25" hidden="1" customHeight="1" x14ac:dyDescent="0.25">
      <c r="A189" s="667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7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7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1" t="s">
        <v>335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48"/>
      <c r="AB203" s="48"/>
      <c r="AC203" s="48"/>
    </row>
    <row r="204" spans="1:68" ht="16.5" hidden="1" customHeight="1" x14ac:dyDescent="0.25">
      <c r="A204" s="673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7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3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7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7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80</v>
      </c>
      <c r="Y221" s="644">
        <f t="shared" ref="Y221:Y235" si="32">IFERROR(IF(X221="",0,CEILING((X221/$H221),1)*$H221),"")</f>
        <v>84</v>
      </c>
      <c r="Z221" s="36">
        <f>IFERROR(IF(Y221=0,"",ROUNDUP(Y221/H221,0)*0.00902),"")</f>
        <v>0.1804</v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84.761904761904759</v>
      </c>
      <c r="BN221" s="64">
        <f t="shared" ref="BN221:BN235" si="34">IFERROR(Y221*I221/H221,"0")</f>
        <v>89</v>
      </c>
      <c r="BO221" s="64">
        <f t="shared" ref="BO221:BO235" si="35">IFERROR(1/J221*(X221/H221),"0")</f>
        <v>0.14430014430014429</v>
      </c>
      <c r="BP221" s="64">
        <f t="shared" ref="BP221:BP235" si="36">IFERROR(1/J221*(Y221/H221),"0")</f>
        <v>0.15151515151515152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200</v>
      </c>
      <c r="Y223" s="644">
        <f t="shared" si="32"/>
        <v>201.60000000000002</v>
      </c>
      <c r="Z223" s="36">
        <f>IFERROR(IF(Y223=0,"",ROUNDUP(Y223/H223,0)*0.00902),"")</f>
        <v>0.43296000000000001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209.04761904761901</v>
      </c>
      <c r="BN223" s="64">
        <f t="shared" si="34"/>
        <v>210.72</v>
      </c>
      <c r="BO223" s="64">
        <f t="shared" si="35"/>
        <v>0.36075036075036077</v>
      </c>
      <c r="BP223" s="64">
        <f t="shared" si="36"/>
        <v>0.36363636363636365</v>
      </c>
    </row>
    <row r="224" spans="1:68" ht="37.5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3</v>
      </c>
      <c r="Y224" s="644">
        <f t="shared" si="32"/>
        <v>3.2</v>
      </c>
      <c r="Z224" s="36">
        <f>IFERROR(IF(Y224=0,"",ROUNDUP(Y224/H224,0)*0.00556),"")</f>
        <v>2.2239999999999999E-2</v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3.4874999999999998</v>
      </c>
      <c r="BN224" s="64">
        <f t="shared" si="34"/>
        <v>3.72</v>
      </c>
      <c r="BO224" s="64">
        <f t="shared" si="35"/>
        <v>1.488095238095238E-2</v>
      </c>
      <c r="BP224" s="64">
        <f t="shared" si="36"/>
        <v>1.5873015873015872E-2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21</v>
      </c>
      <c r="Y225" s="644">
        <f t="shared" si="32"/>
        <v>21</v>
      </c>
      <c r="Z225" s="36">
        <f t="shared" ref="Z225:Z230" si="37">IFERROR(IF(Y225=0,"",ROUNDUP(Y225/H225,0)*0.00502),"")</f>
        <v>5.0200000000000002E-2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22.299999999999997</v>
      </c>
      <c r="BN225" s="64">
        <f t="shared" si="34"/>
        <v>22.299999999999997</v>
      </c>
      <c r="BO225" s="64">
        <f t="shared" si="35"/>
        <v>4.2735042735042736E-2</v>
      </c>
      <c r="BP225" s="64">
        <f t="shared" si="36"/>
        <v>4.2735042735042736E-2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4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15</v>
      </c>
      <c r="Y230" s="644">
        <f t="shared" si="32"/>
        <v>16.2</v>
      </c>
      <c r="Z230" s="36">
        <f t="shared" si="37"/>
        <v>4.5179999999999998E-2</v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16.083333333333332</v>
      </c>
      <c r="BN230" s="64">
        <f t="shared" si="34"/>
        <v>17.369999999999997</v>
      </c>
      <c r="BO230" s="64">
        <f t="shared" si="35"/>
        <v>3.561253561253562E-2</v>
      </c>
      <c r="BP230" s="64">
        <f t="shared" si="36"/>
        <v>3.8461538461538464E-2</v>
      </c>
    </row>
    <row r="231" spans="1:68" ht="27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3</v>
      </c>
      <c r="Y231" s="644">
        <f t="shared" si="32"/>
        <v>3.2</v>
      </c>
      <c r="Z231" s="36">
        <f>IFERROR(IF(Y231=0,"",ROUNDUP(Y231/H231,0)*0.00417),"")</f>
        <v>1.668E-2</v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3.7875000000000001</v>
      </c>
      <c r="BN231" s="64">
        <f t="shared" si="34"/>
        <v>4.04</v>
      </c>
      <c r="BO231" s="64">
        <f t="shared" si="35"/>
        <v>1.1160714285714284E-2</v>
      </c>
      <c r="BP231" s="64">
        <f t="shared" si="36"/>
        <v>1.1904761904761904E-2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98</v>
      </c>
      <c r="Y232" s="644">
        <f t="shared" si="32"/>
        <v>98.7</v>
      </c>
      <c r="Z232" s="36">
        <f>IFERROR(IF(Y232=0,"",ROUNDUP(Y232/H232,0)*0.00502),"")</f>
        <v>0.23594000000000001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102.66666666666667</v>
      </c>
      <c r="BN232" s="64">
        <f t="shared" si="34"/>
        <v>103.4</v>
      </c>
      <c r="BO232" s="64">
        <f t="shared" si="35"/>
        <v>0.19943019943019943</v>
      </c>
      <c r="BP232" s="64">
        <f t="shared" si="36"/>
        <v>0.20085470085470086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0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139.16666666666666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142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0.98360000000000014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420</v>
      </c>
      <c r="Y237" s="645">
        <f>IFERROR(SUM(Y221:Y235),"0")</f>
        <v>427.9</v>
      </c>
      <c r="Z237" s="37"/>
      <c r="AA237" s="646"/>
      <c r="AB237" s="646"/>
      <c r="AC237" s="646"/>
    </row>
    <row r="238" spans="1:68" ht="14.25" hidden="1" customHeight="1" x14ac:dyDescent="0.25">
      <c r="A238" s="667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79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7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69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4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4.6031746031746028</v>
      </c>
      <c r="BN253" s="64">
        <f>IFERROR(Y253*I253/H253,"0")</f>
        <v>5.8</v>
      </c>
      <c r="BO253" s="64">
        <f>IFERROR(1/J253*(X253/H253),"0")</f>
        <v>1.469723691945914E-2</v>
      </c>
      <c r="BP253" s="64">
        <f>IFERROR(1/J253*(Y253/H253),"0")</f>
        <v>1.8518518518518517E-2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3.1746031746031744</v>
      </c>
      <c r="Y254" s="645">
        <f>IFERROR(Y251/H251,"0")+IFERROR(Y252/H252,"0")+IFERROR(Y253/H253,"0")</f>
        <v>4</v>
      </c>
      <c r="Z254" s="645">
        <f>IFERROR(IF(Z251="",0,Z251),"0")+IFERROR(IF(Z252="",0,Z252),"0")+IFERROR(IF(Z253="",0,Z253),"0")</f>
        <v>2.3599999999999999E-2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4</v>
      </c>
      <c r="Y255" s="645">
        <f>IFERROR(SUM(Y251:Y253),"0")</f>
        <v>5.04</v>
      </c>
      <c r="Z255" s="37"/>
      <c r="AA255" s="646"/>
      <c r="AB255" s="646"/>
      <c r="AC255" s="646"/>
    </row>
    <row r="256" spans="1:68" ht="14.25" hidden="1" customHeight="1" x14ac:dyDescent="0.25">
      <c r="A256" s="667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3</v>
      </c>
      <c r="Y257" s="644">
        <f>IFERROR(IF(X257="",0,CEILING((X257/$H257),1)*$H257),"")</f>
        <v>3.7800000000000002</v>
      </c>
      <c r="Z257" s="36">
        <f>IFERROR(IF(Y257=0,"",ROUNDUP(Y257/H257,0)*0.0059),"")</f>
        <v>1.77E-2</v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3.4523809523809521</v>
      </c>
      <c r="BN257" s="64">
        <f>IFERROR(Y257*I257/H257,"0")</f>
        <v>4.3499999999999996</v>
      </c>
      <c r="BO257" s="64">
        <f>IFERROR(1/J257*(X257/H257),"0")</f>
        <v>1.1022927689594356E-2</v>
      </c>
      <c r="BP257" s="64">
        <f>IFERROR(1/J257*(Y257/H257),"0")</f>
        <v>1.3888888888888888E-2</v>
      </c>
    </row>
    <row r="258" spans="1:68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2.3809523809523809</v>
      </c>
      <c r="Y258" s="645">
        <f>IFERROR(Y257/H257,"0")</f>
        <v>3</v>
      </c>
      <c r="Z258" s="645">
        <f>IFERROR(IF(Z257="",0,Z257),"0")</f>
        <v>1.77E-2</v>
      </c>
      <c r="AA258" s="646"/>
      <c r="AB258" s="646"/>
      <c r="AC258" s="646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3</v>
      </c>
      <c r="Y259" s="645">
        <f>IFERROR(SUM(Y257:Y257),"0")</f>
        <v>3.7800000000000002</v>
      </c>
      <c r="Z259" s="37"/>
      <c r="AA259" s="646"/>
      <c r="AB259" s="646"/>
      <c r="AC259" s="646"/>
    </row>
    <row r="260" spans="1:68" ht="16.5" hidden="1" customHeight="1" x14ac:dyDescent="0.25">
      <c r="A260" s="673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7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7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7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240</v>
      </c>
      <c r="Y274" s="644">
        <f t="shared" si="43"/>
        <v>243.00000000000003</v>
      </c>
      <c r="Z274" s="36">
        <f>IFERROR(IF(Y274=0,"",ROUNDUP(Y274/H274,0)*0.00902),"")</f>
        <v>0.40590000000000004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248.4444444444444</v>
      </c>
      <c r="BN274" s="64">
        <f t="shared" si="45"/>
        <v>251.55</v>
      </c>
      <c r="BO274" s="64">
        <f t="shared" si="46"/>
        <v>0.33670033670033672</v>
      </c>
      <c r="BP274" s="64">
        <f t="shared" si="47"/>
        <v>0.34090909090909094</v>
      </c>
    </row>
    <row r="275" spans="1:68" ht="27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50</v>
      </c>
      <c r="Y275" s="644">
        <f t="shared" si="43"/>
        <v>54</v>
      </c>
      <c r="Z275" s="36">
        <f>IFERROR(IF(Y275=0,"",ROUNDUP(Y275/H275,0)*0.00902),"")</f>
        <v>9.0200000000000002E-2</v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51.759259259259252</v>
      </c>
      <c r="BN275" s="64">
        <f t="shared" si="45"/>
        <v>55.9</v>
      </c>
      <c r="BO275" s="64">
        <f t="shared" si="46"/>
        <v>7.0145903479236812E-2</v>
      </c>
      <c r="BP275" s="64">
        <f t="shared" si="47"/>
        <v>7.575757575757576E-2</v>
      </c>
    </row>
    <row r="276" spans="1:68" ht="27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30</v>
      </c>
      <c r="Y276" s="644">
        <f t="shared" si="43"/>
        <v>30.6</v>
      </c>
      <c r="Z276" s="36">
        <f>IFERROR(IF(Y276=0,"",ROUNDUP(Y276/H276,0)*0.00502),"")</f>
        <v>8.5339999999999999E-2</v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32.166666666666664</v>
      </c>
      <c r="BN276" s="64">
        <f t="shared" si="45"/>
        <v>32.81</v>
      </c>
      <c r="BO276" s="64">
        <f t="shared" si="46"/>
        <v>7.122507122507124E-2</v>
      </c>
      <c r="BP276" s="64">
        <f t="shared" si="47"/>
        <v>7.2649572649572655E-2</v>
      </c>
    </row>
    <row r="277" spans="1:68" ht="27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3</v>
      </c>
      <c r="Y277" s="644">
        <f t="shared" si="43"/>
        <v>3.6</v>
      </c>
      <c r="Z277" s="36">
        <f>IFERROR(IF(Y277=0,"",ROUNDUP(Y277/H277,0)*0.00502),"")</f>
        <v>1.004E-2</v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3.1666666666666661</v>
      </c>
      <c r="BN277" s="64">
        <f t="shared" si="45"/>
        <v>3.8</v>
      </c>
      <c r="BO277" s="64">
        <f t="shared" si="46"/>
        <v>7.1225071225071226E-3</v>
      </c>
      <c r="BP277" s="64">
        <f t="shared" si="47"/>
        <v>8.5470085470085479E-3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3</v>
      </c>
      <c r="Y279" s="644">
        <f t="shared" si="43"/>
        <v>3.6</v>
      </c>
      <c r="Z279" s="36">
        <f>IFERROR(IF(Y279=0,"",ROUNDUP(Y279/H279,0)*0.00502),"")</f>
        <v>1.004E-2</v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3.1666666666666661</v>
      </c>
      <c r="BN279" s="64">
        <f t="shared" si="45"/>
        <v>3.8</v>
      </c>
      <c r="BO279" s="64">
        <f t="shared" si="46"/>
        <v>7.1225071225071226E-3</v>
      </c>
      <c r="BP279" s="64">
        <f t="shared" si="47"/>
        <v>8.5470085470085479E-3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73.703703703703709</v>
      </c>
      <c r="Y280" s="645">
        <f>IFERROR(Y272/H272,"0")+IFERROR(Y273/H273,"0")+IFERROR(Y274/H274,"0")+IFERROR(Y275/H275,"0")+IFERROR(Y276/H276,"0")+IFERROR(Y277/H277,"0")+IFERROR(Y278/H278,"0")+IFERROR(Y279/H279,"0")</f>
        <v>76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0.60152000000000017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326</v>
      </c>
      <c r="Y281" s="645">
        <f>IFERROR(SUM(Y272:Y279),"0")</f>
        <v>334.80000000000007</v>
      </c>
      <c r="Z281" s="37"/>
      <c r="AA281" s="646"/>
      <c r="AB281" s="646"/>
      <c r="AC281" s="646"/>
    </row>
    <row r="282" spans="1:68" ht="14.25" hidden="1" customHeight="1" x14ac:dyDescent="0.25">
      <c r="A282" s="667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158</v>
      </c>
      <c r="Y283" s="644">
        <f t="shared" ref="Y283:Y294" si="48">IFERROR(IF(X283="",0,CEILING((X283/$H283),1)*$H283),"")</f>
        <v>162</v>
      </c>
      <c r="Z283" s="36">
        <f>IFERROR(IF(Y283=0,"",ROUNDUP(Y283/H283,0)*0.01898),"")</f>
        <v>0.37959999999999999</v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167.63604938271604</v>
      </c>
      <c r="BN283" s="64">
        <f t="shared" ref="BN283:BN294" si="50">IFERROR(Y283*I283/H283,"0")</f>
        <v>171.88</v>
      </c>
      <c r="BO283" s="64">
        <f t="shared" ref="BO283:BO294" si="51">IFERROR(1/J283*(X283/H283),"0")</f>
        <v>0.30478395061728397</v>
      </c>
      <c r="BP283" s="64">
        <f t="shared" ref="BP283:BP294" si="52">IFERROR(1/J283*(Y283/H283),"0")</f>
        <v>0.3125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120</v>
      </c>
      <c r="Y284" s="644">
        <f t="shared" si="48"/>
        <v>121.5</v>
      </c>
      <c r="Z284" s="36">
        <f>IFERROR(IF(Y284=0,"",ROUNDUP(Y284/H284,0)*0.01898),"")</f>
        <v>0.28470000000000001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127.05185185185188</v>
      </c>
      <c r="BN284" s="64">
        <f t="shared" si="50"/>
        <v>128.64000000000001</v>
      </c>
      <c r="BO284" s="64">
        <f t="shared" si="51"/>
        <v>0.23148148148148148</v>
      </c>
      <c r="BP284" s="64">
        <f t="shared" si="52"/>
        <v>0.234375</v>
      </c>
    </row>
    <row r="285" spans="1:68" ht="27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22</v>
      </c>
      <c r="Y285" s="644">
        <f t="shared" si="48"/>
        <v>26.099999999999998</v>
      </c>
      <c r="Z285" s="36">
        <f>IFERROR(IF(Y285=0,"",ROUNDUP(Y285/H285,0)*0.01898),"")</f>
        <v>5.6940000000000004E-2</v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23.249195402298856</v>
      </c>
      <c r="BN285" s="64">
        <f t="shared" si="50"/>
        <v>27.582000000000004</v>
      </c>
      <c r="BO285" s="64">
        <f t="shared" si="51"/>
        <v>3.9511494252873564E-2</v>
      </c>
      <c r="BP285" s="64">
        <f t="shared" si="52"/>
        <v>4.6875E-2</v>
      </c>
    </row>
    <row r="286" spans="1:68" ht="27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6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57</v>
      </c>
      <c r="Y286" s="644">
        <f t="shared" si="48"/>
        <v>57.599999999999994</v>
      </c>
      <c r="Z286" s="36">
        <f>IFERROR(IF(Y286=0,"",ROUNDUP(Y286/H286,0)*0.00651),"")</f>
        <v>0.15623999999999999</v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63.412500000000001</v>
      </c>
      <c r="BN286" s="64">
        <f t="shared" si="50"/>
        <v>64.079999999999984</v>
      </c>
      <c r="BO286" s="64">
        <f t="shared" si="51"/>
        <v>0.1304945054945055</v>
      </c>
      <c r="BP286" s="64">
        <f t="shared" si="52"/>
        <v>0.13186813186813187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352</v>
      </c>
      <c r="Y289" s="644">
        <f t="shared" si="48"/>
        <v>352.8</v>
      </c>
      <c r="Z289" s="36">
        <f>IFERROR(IF(Y289=0,"",ROUNDUP(Y289/H289,0)*0.00651),"")</f>
        <v>0.95696999999999999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388.96000000000004</v>
      </c>
      <c r="BN289" s="64">
        <f t="shared" si="50"/>
        <v>389.84400000000005</v>
      </c>
      <c r="BO289" s="64">
        <f t="shared" si="51"/>
        <v>0.805860805860806</v>
      </c>
      <c r="BP289" s="64">
        <f t="shared" si="52"/>
        <v>0.80769230769230771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29</v>
      </c>
      <c r="Y291" s="644">
        <f t="shared" si="48"/>
        <v>31.2</v>
      </c>
      <c r="Z291" s="36">
        <f>IFERROR(IF(Y291=0,"",ROUNDUP(Y291/H291,0)*0.00651),"")</f>
        <v>8.4629999999999997E-2</v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32.045000000000002</v>
      </c>
      <c r="BN291" s="64">
        <f t="shared" si="50"/>
        <v>34.476000000000006</v>
      </c>
      <c r="BO291" s="64">
        <f t="shared" si="51"/>
        <v>6.6391941391941406E-2</v>
      </c>
      <c r="BP291" s="64">
        <f t="shared" si="52"/>
        <v>7.1428571428571438E-2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112</v>
      </c>
      <c r="Y292" s="644">
        <f t="shared" si="48"/>
        <v>112.8</v>
      </c>
      <c r="Z292" s="36">
        <f>IFERROR(IF(Y292=0,"",ROUNDUP(Y292/H292,0)*0.00651),"")</f>
        <v>0.30597000000000002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123.76</v>
      </c>
      <c r="BN292" s="64">
        <f t="shared" si="50"/>
        <v>124.64400000000001</v>
      </c>
      <c r="BO292" s="64">
        <f t="shared" si="51"/>
        <v>0.25641025641025644</v>
      </c>
      <c r="BP292" s="64">
        <f t="shared" si="52"/>
        <v>0.25824175824175827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0</v>
      </c>
      <c r="Y293" s="644">
        <f t="shared" si="48"/>
        <v>0</v>
      </c>
      <c r="Z293" s="36" t="str">
        <f>IFERROR(IF(Y293=0,"",ROUNDUP(Y293/H293,0)*0.00651),"")</f>
        <v/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10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266.0163899531716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269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2.22505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850</v>
      </c>
      <c r="Y296" s="645">
        <f>IFERROR(SUM(Y283:Y294),"0")</f>
        <v>864</v>
      </c>
      <c r="Z296" s="37"/>
      <c r="AA296" s="646"/>
      <c r="AB296" s="646"/>
      <c r="AC296" s="646"/>
    </row>
    <row r="297" spans="1:68" ht="14.25" hidden="1" customHeight="1" x14ac:dyDescent="0.25">
      <c r="A297" s="667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19</v>
      </c>
      <c r="Y298" s="644">
        <f>IFERROR(IF(X298="",0,CEILING((X298/$H298),1)*$H298),"")</f>
        <v>19.2</v>
      </c>
      <c r="Z298" s="36">
        <f>IFERROR(IF(Y298=0,"",ROUNDUP(Y298/H298,0)*0.00651),"")</f>
        <v>5.2080000000000001E-2</v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20.995000000000005</v>
      </c>
      <c r="BN298" s="64">
        <f>IFERROR(Y298*I298/H298,"0")</f>
        <v>21.216000000000001</v>
      </c>
      <c r="BO298" s="64">
        <f>IFERROR(1/J298*(X298/H298),"0")</f>
        <v>4.3498168498168503E-2</v>
      </c>
      <c r="BP298" s="64">
        <f>IFERROR(1/J298*(Y298/H298),"0")</f>
        <v>4.3956043956043959E-2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7.916666666666667</v>
      </c>
      <c r="Y300" s="645">
        <f>IFERROR(Y298/H298,"0")+IFERROR(Y299/H299,"0")</f>
        <v>8</v>
      </c>
      <c r="Z300" s="645">
        <f>IFERROR(IF(Z298="",0,Z298),"0")+IFERROR(IF(Z299="",0,Z299),"0")</f>
        <v>5.2080000000000001E-2</v>
      </c>
      <c r="AA300" s="646"/>
      <c r="AB300" s="646"/>
      <c r="AC300" s="646"/>
    </row>
    <row r="301" spans="1:68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19</v>
      </c>
      <c r="Y301" s="645">
        <f>IFERROR(SUM(Y298:Y299),"0")</f>
        <v>19.2</v>
      </c>
      <c r="Z301" s="37"/>
      <c r="AA301" s="646"/>
      <c r="AB301" s="646"/>
      <c r="AC301" s="646"/>
    </row>
    <row r="302" spans="1:68" ht="16.5" hidden="1" customHeight="1" x14ac:dyDescent="0.25">
      <c r="A302" s="673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7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27</v>
      </c>
      <c r="Y304" s="644">
        <f t="shared" ref="Y304:Y310" si="53">IFERROR(IF(X304="",0,CEILING((X304/$H304),1)*$H304),"")</f>
        <v>34.799999999999997</v>
      </c>
      <c r="Z304" s="36">
        <f>IFERROR(IF(Y304=0,"",ROUNDUP(Y304/H304,0)*0.01898),"")</f>
        <v>5.6940000000000004E-2</v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27.954310344827586</v>
      </c>
      <c r="BN304" s="64">
        <f t="shared" ref="BN304:BN310" si="55">IFERROR(Y304*I304/H304,"0")</f>
        <v>36.03</v>
      </c>
      <c r="BO304" s="64">
        <f t="shared" ref="BO304:BO310" si="56">IFERROR(1/J304*(X304/H304),"0")</f>
        <v>3.6368534482758619E-2</v>
      </c>
      <c r="BP304" s="64">
        <f t="shared" ref="BP304:BP310" si="57">IFERROR(1/J304*(Y304/H304),"0")</f>
        <v>4.6875E-2</v>
      </c>
    </row>
    <row r="305" spans="1:68" ht="27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5</v>
      </c>
      <c r="Y305" s="644">
        <f t="shared" si="53"/>
        <v>11.6</v>
      </c>
      <c r="Z305" s="36">
        <f>IFERROR(IF(Y305=0,"",ROUNDUP(Y305/H305,0)*0.01898),"")</f>
        <v>1.898E-2</v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5.1767241379310347</v>
      </c>
      <c r="BN305" s="64">
        <f t="shared" si="55"/>
        <v>12.01</v>
      </c>
      <c r="BO305" s="64">
        <f t="shared" si="56"/>
        <v>6.7349137931034487E-3</v>
      </c>
      <c r="BP305" s="64">
        <f t="shared" si="57"/>
        <v>1.5625E-2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23</v>
      </c>
      <c r="Y310" s="644">
        <f t="shared" si="53"/>
        <v>24</v>
      </c>
      <c r="Z310" s="36">
        <f>IFERROR(IF(Y310=0,"",ROUNDUP(Y310/H310,0)*0.00902),"")</f>
        <v>5.4120000000000001E-2</v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24.092500000000001</v>
      </c>
      <c r="BN310" s="64">
        <f t="shared" si="55"/>
        <v>25.14</v>
      </c>
      <c r="BO310" s="64">
        <f t="shared" si="56"/>
        <v>4.3560606060606064E-2</v>
      </c>
      <c r="BP310" s="64">
        <f t="shared" si="57"/>
        <v>4.5454545454545456E-2</v>
      </c>
    </row>
    <row r="311" spans="1:68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8.5086206896551726</v>
      </c>
      <c r="Y311" s="645">
        <f>IFERROR(Y304/H304,"0")+IFERROR(Y305/H305,"0")+IFERROR(Y306/H306,"0")+IFERROR(Y307/H307,"0")+IFERROR(Y308/H308,"0")+IFERROR(Y309/H309,"0")+IFERROR(Y310/H310,"0")</f>
        <v>10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0.13003999999999999</v>
      </c>
      <c r="AA311" s="646"/>
      <c r="AB311" s="646"/>
      <c r="AC311" s="646"/>
    </row>
    <row r="312" spans="1:68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55</v>
      </c>
      <c r="Y312" s="645">
        <f>IFERROR(SUM(Y304:Y310),"0")</f>
        <v>70.400000000000006</v>
      </c>
      <c r="Z312" s="37"/>
      <c r="AA312" s="646"/>
      <c r="AB312" s="646"/>
      <c r="AC312" s="646"/>
    </row>
    <row r="313" spans="1:68" ht="14.25" hidden="1" customHeight="1" x14ac:dyDescent="0.25">
      <c r="A313" s="667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7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6</v>
      </c>
      <c r="Y318" s="644">
        <f>IFERROR(IF(X318="",0,CEILING((X318/$H318),1)*$H318),"")</f>
        <v>7.2</v>
      </c>
      <c r="Z318" s="36">
        <f>IFERROR(IF(Y318=0,"",ROUNDUP(Y318/H318,0)*0.0059),"")</f>
        <v>2.3599999999999999E-2</v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6.5833333333333339</v>
      </c>
      <c r="BN318" s="64">
        <f>IFERROR(Y318*I318/H318,"0")</f>
        <v>7.9</v>
      </c>
      <c r="BO318" s="64">
        <f>IFERROR(1/J318*(X318/H318),"0")</f>
        <v>1.5432098765432096E-2</v>
      </c>
      <c r="BP318" s="64">
        <f>IFERROR(1/J318*(Y318/H318),"0")</f>
        <v>1.8518518518518517E-2</v>
      </c>
    </row>
    <row r="319" spans="1:68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3.333333333333333</v>
      </c>
      <c r="Y319" s="645">
        <f>IFERROR(Y318/H318,"0")</f>
        <v>4</v>
      </c>
      <c r="Z319" s="645">
        <f>IFERROR(IF(Z318="",0,Z318),"0")</f>
        <v>2.3599999999999999E-2</v>
      </c>
      <c r="AA319" s="646"/>
      <c r="AB319" s="646"/>
      <c r="AC319" s="646"/>
    </row>
    <row r="320" spans="1:68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6</v>
      </c>
      <c r="Y320" s="645">
        <f>IFERROR(SUM(Y318:Y318),"0")</f>
        <v>7.2</v>
      </c>
      <c r="Z320" s="37"/>
      <c r="AA320" s="646"/>
      <c r="AB320" s="646"/>
      <c r="AC320" s="646"/>
    </row>
    <row r="321" spans="1:68" ht="14.25" hidden="1" customHeight="1" x14ac:dyDescent="0.25">
      <c r="A321" s="667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3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7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3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7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20</v>
      </c>
      <c r="Y338" s="644">
        <f>IFERROR(IF(X338="",0,CEILING((X338/$H338),1)*$H338),"")</f>
        <v>21.599999999999998</v>
      </c>
      <c r="Z338" s="36">
        <f>IFERROR(IF(Y338=0,"",ROUNDUP(Y338/H338,0)*0.00651),"")</f>
        <v>5.8590000000000003E-2</v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22.100000000000005</v>
      </c>
      <c r="BN338" s="64">
        <f>IFERROR(Y338*I338/H338,"0")</f>
        <v>23.868000000000002</v>
      </c>
      <c r="BO338" s="64">
        <f>IFERROR(1/J338*(X338/H338),"0")</f>
        <v>4.5787545787545791E-2</v>
      </c>
      <c r="BP338" s="64">
        <f>IFERROR(1/J338*(Y338/H338),"0")</f>
        <v>4.9450549450549455E-2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43</v>
      </c>
      <c r="BN339" s="64">
        <f>IFERROR(Y339*I339/H339,"0")</f>
        <v>43.86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25</v>
      </c>
      <c r="Y340" s="645">
        <f>IFERROR(Y337/H337,"0")+IFERROR(Y338/H338,"0")+IFERROR(Y339/H339,"0")</f>
        <v>26</v>
      </c>
      <c r="Z340" s="645">
        <f>IFERROR(IF(Z337="",0,Z337),"0")+IFERROR(IF(Z338="",0,Z338),"0")+IFERROR(IF(Z339="",0,Z339),"0")</f>
        <v>0.16926000000000002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60</v>
      </c>
      <c r="Y341" s="645">
        <f>IFERROR(SUM(Y337:Y339),"0")</f>
        <v>62.399999999999991</v>
      </c>
      <c r="Z341" s="37"/>
      <c r="AA341" s="646"/>
      <c r="AB341" s="646"/>
      <c r="AC341" s="646"/>
    </row>
    <row r="342" spans="1:68" ht="16.5" hidden="1" customHeight="1" x14ac:dyDescent="0.25">
      <c r="A342" s="673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7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7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7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3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7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hidden="1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9</v>
      </c>
      <c r="Y359" s="644">
        <f>IFERROR(IF(X359="",0,CEILING((X359/$H359),1)*$H359),"")</f>
        <v>15.6</v>
      </c>
      <c r="Z359" s="36">
        <f>IFERROR(IF(Y359=0,"",ROUNDUP(Y359/H359,0)*0.01898),"")</f>
        <v>3.7960000000000001E-2</v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9.4730769230769258</v>
      </c>
      <c r="BN359" s="64">
        <f>IFERROR(Y359*I359/H359,"0")</f>
        <v>16.420000000000002</v>
      </c>
      <c r="BO359" s="64">
        <f>IFERROR(1/J359*(X359/H359),"0")</f>
        <v>1.8028846153846156E-2</v>
      </c>
      <c r="BP359" s="64">
        <f>IFERROR(1/J359*(Y359/H359),"0")</f>
        <v>3.125E-2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1.153846153846154</v>
      </c>
      <c r="Y361" s="645">
        <f>IFERROR(Y358/H358,"0")+IFERROR(Y359/H359,"0")+IFERROR(Y360/H360,"0")</f>
        <v>2</v>
      </c>
      <c r="Z361" s="645">
        <f>IFERROR(IF(Z358="",0,Z358),"0")+IFERROR(IF(Z359="",0,Z359),"0")+IFERROR(IF(Z360="",0,Z360),"0")</f>
        <v>3.7960000000000001E-2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9</v>
      </c>
      <c r="Y362" s="645">
        <f>IFERROR(SUM(Y358:Y360),"0")</f>
        <v>15.6</v>
      </c>
      <c r="Z362" s="37"/>
      <c r="AA362" s="646"/>
      <c r="AB362" s="646"/>
      <c r="AC362" s="646"/>
    </row>
    <row r="363" spans="1:68" ht="16.5" hidden="1" customHeight="1" x14ac:dyDescent="0.25">
      <c r="A363" s="673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7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25</v>
      </c>
      <c r="Y369" s="644">
        <f t="shared" si="63"/>
        <v>32.400000000000006</v>
      </c>
      <c r="Z369" s="36">
        <f>IFERROR(IF(Y369=0,"",ROUNDUP(Y369/H369,0)*0.01898),"")</f>
        <v>5.6940000000000004E-2</v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25.949074074074073</v>
      </c>
      <c r="BN369" s="64">
        <f t="shared" si="65"/>
        <v>33.630000000000003</v>
      </c>
      <c r="BO369" s="64">
        <f t="shared" si="66"/>
        <v>3.6168981481481483E-2</v>
      </c>
      <c r="BP369" s="64">
        <f t="shared" si="67"/>
        <v>4.6875000000000007E-2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7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2.3148148148148149</v>
      </c>
      <c r="Y372" s="645">
        <f>IFERROR(Y365/H365,"0")+IFERROR(Y366/H366,"0")+IFERROR(Y367/H367,"0")+IFERROR(Y368/H368,"0")+IFERROR(Y369/H369,"0")+IFERROR(Y370/H370,"0")+IFERROR(Y371/H371,"0")</f>
        <v>3.0000000000000004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5.6940000000000004E-2</v>
      </c>
      <c r="AA372" s="646"/>
      <c r="AB372" s="646"/>
      <c r="AC372" s="646"/>
    </row>
    <row r="373" spans="1:68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25</v>
      </c>
      <c r="Y373" s="645">
        <f>IFERROR(SUM(Y365:Y371),"0")</f>
        <v>32.400000000000006</v>
      </c>
      <c r="Z373" s="37"/>
      <c r="AA373" s="646"/>
      <c r="AB373" s="646"/>
      <c r="AC373" s="646"/>
    </row>
    <row r="374" spans="1:68" ht="14.25" hidden="1" customHeight="1" x14ac:dyDescent="0.25">
      <c r="A374" s="667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8</v>
      </c>
      <c r="Y376" s="644">
        <f t="shared" si="68"/>
        <v>8.4</v>
      </c>
      <c r="Z376" s="36">
        <f>IFERROR(IF(Y376=0,"",ROUNDUP(Y376/H376,0)*0.00902),"")</f>
        <v>1.804E-2</v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8.4761904761904763</v>
      </c>
      <c r="BN376" s="64">
        <f t="shared" si="70"/>
        <v>8.9</v>
      </c>
      <c r="BO376" s="64">
        <f t="shared" si="71"/>
        <v>1.443001443001443E-2</v>
      </c>
      <c r="BP376" s="64">
        <f t="shared" si="72"/>
        <v>1.5151515151515152E-2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70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24</v>
      </c>
      <c r="Y381" s="644">
        <f t="shared" si="68"/>
        <v>25.2</v>
      </c>
      <c r="Z381" s="36">
        <f>IFERROR(IF(Y381=0,"",ROUNDUP(Y381/H381,0)*0.00651),"")</f>
        <v>9.1139999999999999E-2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27.04</v>
      </c>
      <c r="BN381" s="64">
        <f t="shared" si="70"/>
        <v>28.391999999999999</v>
      </c>
      <c r="BO381" s="64">
        <f t="shared" si="71"/>
        <v>7.3260073260073263E-2</v>
      </c>
      <c r="BP381" s="64">
        <f t="shared" si="72"/>
        <v>7.6923076923076927E-2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15.238095238095237</v>
      </c>
      <c r="Y382" s="645">
        <f>IFERROR(Y375/H375,"0")+IFERROR(Y376/H376,"0")+IFERROR(Y377/H377,"0")+IFERROR(Y378/H378,"0")+IFERROR(Y379/H379,"0")+IFERROR(Y380/H380,"0")+IFERROR(Y381/H381,"0")</f>
        <v>16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0.10918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32</v>
      </c>
      <c r="Y383" s="645">
        <f>IFERROR(SUM(Y375:Y381),"0")</f>
        <v>33.6</v>
      </c>
      <c r="Z383" s="37"/>
      <c r="AA383" s="646"/>
      <c r="AB383" s="646"/>
      <c r="AC383" s="646"/>
    </row>
    <row r="384" spans="1:68" ht="14.25" hidden="1" customHeight="1" x14ac:dyDescent="0.25">
      <c r="A384" s="667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7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76</v>
      </c>
      <c r="Y392" s="644">
        <f>IFERROR(IF(X392="",0,CEILING((X392/$H392),1)*$H392),"")</f>
        <v>84</v>
      </c>
      <c r="Z392" s="36">
        <f>IFERROR(IF(Y392=0,"",ROUNDUP(Y392/H392,0)*0.01898),"")</f>
        <v>0.1898</v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80.469523809523807</v>
      </c>
      <c r="BN392" s="64">
        <f>IFERROR(Y392*I392/H392,"0")</f>
        <v>88.94</v>
      </c>
      <c r="BO392" s="64">
        <f>IFERROR(1/J392*(X392/H392),"0")</f>
        <v>0.14136904761904762</v>
      </c>
      <c r="BP392" s="64">
        <f>IFERROR(1/J392*(Y392/H392),"0")</f>
        <v>0.15625</v>
      </c>
    </row>
    <row r="393" spans="1:68" ht="27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310</v>
      </c>
      <c r="Y393" s="644">
        <f>IFERROR(IF(X393="",0,CEILING((X393/$H393),1)*$H393),"")</f>
        <v>312</v>
      </c>
      <c r="Z393" s="36">
        <f>IFERROR(IF(Y393=0,"",ROUNDUP(Y393/H393,0)*0.01898),"")</f>
        <v>0.75919999999999999</v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329.63333333333338</v>
      </c>
      <c r="BN393" s="64">
        <f>IFERROR(Y393*I393/H393,"0")</f>
        <v>331.76</v>
      </c>
      <c r="BO393" s="64">
        <f>IFERROR(1/J393*(X393/H393),"0")</f>
        <v>0.62099358974358976</v>
      </c>
      <c r="BP393" s="64">
        <f>IFERROR(1/J393*(Y393/H393),"0")</f>
        <v>0.625</v>
      </c>
    </row>
    <row r="394" spans="1:68" ht="27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63</v>
      </c>
      <c r="Y394" s="644">
        <f>IFERROR(IF(X394="",0,CEILING((X394/$H394),1)*$H394),"")</f>
        <v>67.2</v>
      </c>
      <c r="Z394" s="36">
        <f>IFERROR(IF(Y394=0,"",ROUNDUP(Y394/H394,0)*0.01898),"")</f>
        <v>0.15184</v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66.704999999999998</v>
      </c>
      <c r="BN394" s="64">
        <f>IFERROR(Y394*I394/H394,"0")</f>
        <v>71.152000000000001</v>
      </c>
      <c r="BO394" s="64">
        <f>IFERROR(1/J394*(X394/H394),"0")</f>
        <v>0.1171875</v>
      </c>
      <c r="BP394" s="64">
        <f>IFERROR(1/J394*(Y394/H394),"0")</f>
        <v>0.125</v>
      </c>
    </row>
    <row r="395" spans="1:68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56.291208791208788</v>
      </c>
      <c r="Y395" s="645">
        <f>IFERROR(Y392/H392,"0")+IFERROR(Y393/H393,"0")+IFERROR(Y394/H394,"0")</f>
        <v>58</v>
      </c>
      <c r="Z395" s="645">
        <f>IFERROR(IF(Z392="",0,Z392),"0")+IFERROR(IF(Z393="",0,Z393),"0")+IFERROR(IF(Z394="",0,Z394),"0")</f>
        <v>1.10084</v>
      </c>
      <c r="AA395" s="646"/>
      <c r="AB395" s="646"/>
      <c r="AC395" s="646"/>
    </row>
    <row r="396" spans="1:68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449</v>
      </c>
      <c r="Y396" s="645">
        <f>IFERROR(SUM(Y392:Y394),"0")</f>
        <v>463.2</v>
      </c>
      <c r="Z396" s="37"/>
      <c r="AA396" s="646"/>
      <c r="AB396" s="646"/>
      <c r="AC396" s="646"/>
    </row>
    <row r="397" spans="1:68" ht="14.25" hidden="1" customHeight="1" x14ac:dyDescent="0.25">
      <c r="A397" s="667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7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7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78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9</v>
      </c>
      <c r="Y413" s="644">
        <f>IFERROR(IF(X413="",0,CEILING((X413/$H413),1)*$H413),"")</f>
        <v>9</v>
      </c>
      <c r="Z413" s="36">
        <f>IFERROR(IF(Y413=0,"",ROUNDUP(Y413/H413,0)*0.0045),"")</f>
        <v>1.3499999999999998E-2</v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9.66</v>
      </c>
      <c r="BN413" s="64">
        <f>IFERROR(Y413*I413/H413,"0")</f>
        <v>9.66</v>
      </c>
      <c r="BO413" s="64">
        <f>IFERROR(1/J413*(X413/H413),"0")</f>
        <v>1.3392857142857142E-2</v>
      </c>
      <c r="BP413" s="64">
        <f>IFERROR(1/J413*(Y413/H413),"0")</f>
        <v>1.3392857142857142E-2</v>
      </c>
    </row>
    <row r="414" spans="1:68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3</v>
      </c>
      <c r="Y414" s="645">
        <f>IFERROR(Y411/H411,"0")+IFERROR(Y412/H412,"0")+IFERROR(Y413/H413,"0")</f>
        <v>3</v>
      </c>
      <c r="Z414" s="645">
        <f>IFERROR(IF(Z411="",0,Z411),"0")+IFERROR(IF(Z412="",0,Z412),"0")+IFERROR(IF(Z413="",0,Z413),"0")</f>
        <v>1.3499999999999998E-2</v>
      </c>
      <c r="AA414" s="646"/>
      <c r="AB414" s="646"/>
      <c r="AC414" s="646"/>
    </row>
    <row r="415" spans="1:68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9</v>
      </c>
      <c r="Y415" s="645">
        <f>IFERROR(SUM(Y411:Y413),"0")</f>
        <v>9</v>
      </c>
      <c r="Z415" s="37"/>
      <c r="AA415" s="646"/>
      <c r="AB415" s="646"/>
      <c r="AC415" s="646"/>
    </row>
    <row r="416" spans="1:68" ht="16.5" hidden="1" customHeight="1" x14ac:dyDescent="0.25">
      <c r="A416" s="673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7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80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3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7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15</v>
      </c>
      <c r="Y425" s="644">
        <f>IFERROR(IF(X425="",0,CEILING((X425/$H425),1)*$H425),"")</f>
        <v>16.8</v>
      </c>
      <c r="Z425" s="36">
        <f>IFERROR(IF(Y425=0,"",ROUNDUP(Y425/H425,0)*0.00651),"")</f>
        <v>5.2080000000000001E-2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16.8</v>
      </c>
      <c r="BN425" s="64">
        <f>IFERROR(Y425*I425/H425,"0")</f>
        <v>18.815999999999999</v>
      </c>
      <c r="BO425" s="64">
        <f>IFERROR(1/J425*(X425/H425),"0")</f>
        <v>3.924646781789639E-2</v>
      </c>
      <c r="BP425" s="64">
        <f>IFERROR(1/J425*(Y425/H425),"0")</f>
        <v>4.3956043956043959E-2</v>
      </c>
    </row>
    <row r="426" spans="1:68" ht="27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21</v>
      </c>
      <c r="Y426" s="644">
        <f>IFERROR(IF(X426="",0,CEILING((X426/$H426),1)*$H426),"")</f>
        <v>21</v>
      </c>
      <c r="Z426" s="36">
        <f>IFERROR(IF(Y426=0,"",ROUNDUP(Y426/H426,0)*0.00651),"")</f>
        <v>6.5100000000000005E-2</v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23.4</v>
      </c>
      <c r="BN426" s="64">
        <f>IFERROR(Y426*I426/H426,"0")</f>
        <v>23.4</v>
      </c>
      <c r="BO426" s="64">
        <f>IFERROR(1/J426*(X426/H426),"0")</f>
        <v>5.4945054945054951E-2</v>
      </c>
      <c r="BP426" s="64">
        <f>IFERROR(1/J426*(Y426/H426),"0")</f>
        <v>5.4945054945054951E-2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17.142857142857142</v>
      </c>
      <c r="Y427" s="645">
        <f>IFERROR(Y424/H424,"0")+IFERROR(Y425/H425,"0")+IFERROR(Y426/H426,"0")</f>
        <v>18</v>
      </c>
      <c r="Z427" s="645">
        <f>IFERROR(IF(Z424="",0,Z424),"0")+IFERROR(IF(Z425="",0,Z425),"0")+IFERROR(IF(Z426="",0,Z426),"0")</f>
        <v>0.11718000000000001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36</v>
      </c>
      <c r="Y428" s="645">
        <f>IFERROR(SUM(Y424:Y426),"0")</f>
        <v>37.799999999999997</v>
      </c>
      <c r="Z428" s="37"/>
      <c r="AA428" s="646"/>
      <c r="AB428" s="646"/>
      <c r="AC428" s="646"/>
    </row>
    <row r="429" spans="1:68" ht="27.75" hidden="1" customHeight="1" x14ac:dyDescent="0.2">
      <c r="A429" s="661" t="s">
        <v>690</v>
      </c>
      <c r="B429" s="662"/>
      <c r="C429" s="662"/>
      <c r="D429" s="662"/>
      <c r="E429" s="662"/>
      <c r="F429" s="662"/>
      <c r="G429" s="662"/>
      <c r="H429" s="662"/>
      <c r="I429" s="662"/>
      <c r="J429" s="662"/>
      <c r="K429" s="662"/>
      <c r="L429" s="662"/>
      <c r="M429" s="662"/>
      <c r="N429" s="662"/>
      <c r="O429" s="662"/>
      <c r="P429" s="662"/>
      <c r="Q429" s="662"/>
      <c r="R429" s="662"/>
      <c r="S429" s="662"/>
      <c r="T429" s="662"/>
      <c r="U429" s="662"/>
      <c r="V429" s="662"/>
      <c r="W429" s="662"/>
      <c r="X429" s="662"/>
      <c r="Y429" s="662"/>
      <c r="Z429" s="662"/>
      <c r="AA429" s="48"/>
      <c r="AB429" s="48"/>
      <c r="AC429" s="48"/>
    </row>
    <row r="430" spans="1:68" ht="16.5" hidden="1" customHeight="1" x14ac:dyDescent="0.25">
      <c r="A430" s="673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7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201</v>
      </c>
      <c r="Y433" s="644">
        <f t="shared" si="73"/>
        <v>210</v>
      </c>
      <c r="Z433" s="36">
        <f>IFERROR(IF(Y433=0,"",ROUNDUP(Y433/H433,0)*0.02175),"")</f>
        <v>0.30449999999999999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207.29800000000003</v>
      </c>
      <c r="BN433" s="64">
        <f t="shared" si="75"/>
        <v>216.58</v>
      </c>
      <c r="BO433" s="64">
        <f t="shared" si="76"/>
        <v>0.27916666666666667</v>
      </c>
      <c r="BP433" s="64">
        <f t="shared" si="77"/>
        <v>0.29166666666666663</v>
      </c>
    </row>
    <row r="434" spans="1:68" ht="27" hidden="1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0</v>
      </c>
      <c r="Y434" s="644">
        <f t="shared" si="73"/>
        <v>0</v>
      </c>
      <c r="Z434" s="36" t="str">
        <f>IFERROR(IF(Y434=0,"",ROUNDUP(Y434/H434,0)*0.02175),"")</f>
        <v/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0</v>
      </c>
      <c r="BN434" s="64">
        <f t="shared" si="75"/>
        <v>0</v>
      </c>
      <c r="BO434" s="64">
        <f t="shared" si="76"/>
        <v>0</v>
      </c>
      <c r="BP434" s="64">
        <f t="shared" si="77"/>
        <v>0</v>
      </c>
    </row>
    <row r="435" spans="1:68" ht="27" hidden="1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0</v>
      </c>
      <c r="Y435" s="644">
        <f t="shared" si="73"/>
        <v>0</v>
      </c>
      <c r="Z435" s="36" t="str">
        <f>IFERROR(IF(Y435=0,"",ROUNDUP(Y435/H435,0)*0.02175),"")</f>
        <v/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0</v>
      </c>
      <c r="BN435" s="64">
        <f t="shared" si="75"/>
        <v>0</v>
      </c>
      <c r="BO435" s="64">
        <f t="shared" si="76"/>
        <v>0</v>
      </c>
      <c r="BP435" s="64">
        <f t="shared" si="77"/>
        <v>0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9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223</v>
      </c>
      <c r="Y436" s="644">
        <f t="shared" si="73"/>
        <v>225</v>
      </c>
      <c r="Z436" s="36">
        <f>IFERROR(IF(Y436=0,"",ROUNDUP(Y436/H436,0)*0.02175),"")</f>
        <v>0.32624999999999998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229.98733333333334</v>
      </c>
      <c r="BN436" s="64">
        <f t="shared" si="75"/>
        <v>232.05</v>
      </c>
      <c r="BO436" s="64">
        <f t="shared" si="76"/>
        <v>0.30972222222222223</v>
      </c>
      <c r="BP436" s="64">
        <f t="shared" si="77"/>
        <v>0.3125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9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28.266666666666666</v>
      </c>
      <c r="Y440" s="645">
        <f>IFERROR(Y432/H432,"0")+IFERROR(Y433/H433,"0")+IFERROR(Y434/H434,"0")+IFERROR(Y435/H435,"0")+IFERROR(Y436/H436,"0")+IFERROR(Y437/H437,"0")+IFERROR(Y438/H438,"0")+IFERROR(Y439/H439,"0")</f>
        <v>29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0.63074999999999992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424</v>
      </c>
      <c r="Y441" s="645">
        <f>IFERROR(SUM(Y432:Y439),"0")</f>
        <v>435</v>
      </c>
      <c r="Z441" s="37"/>
      <c r="AA441" s="646"/>
      <c r="AB441" s="646"/>
      <c r="AC441" s="646"/>
    </row>
    <row r="442" spans="1:68" ht="14.25" hidden="1" customHeight="1" x14ac:dyDescent="0.25">
      <c r="A442" s="667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1794</v>
      </c>
      <c r="Y443" s="644">
        <f>IFERROR(IF(X443="",0,CEILING((X443/$H443),1)*$H443),"")</f>
        <v>1800</v>
      </c>
      <c r="Z443" s="36">
        <f>IFERROR(IF(Y443=0,"",ROUNDUP(Y443/H443,0)*0.02175),"")</f>
        <v>2.61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1850.212</v>
      </c>
      <c r="BN443" s="64">
        <f>IFERROR(Y443*I443/H443,"0")</f>
        <v>1856.4</v>
      </c>
      <c r="BO443" s="64">
        <f>IFERROR(1/J443*(X443/H443),"0")</f>
        <v>2.4916666666666663</v>
      </c>
      <c r="BP443" s="64">
        <f>IFERROR(1/J443*(Y443/H443),"0")</f>
        <v>2.5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119.6</v>
      </c>
      <c r="Y446" s="645">
        <f>IFERROR(Y443/H443,"0")+IFERROR(Y444/H444,"0")+IFERROR(Y445/H445,"0")</f>
        <v>120</v>
      </c>
      <c r="Z446" s="645">
        <f>IFERROR(IF(Z443="",0,Z443),"0")+IFERROR(IF(Z444="",0,Z444),"0")+IFERROR(IF(Z445="",0,Z445),"0")</f>
        <v>2.61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1794</v>
      </c>
      <c r="Y447" s="645">
        <f>IFERROR(SUM(Y443:Y445),"0")</f>
        <v>1800</v>
      </c>
      <c r="Z447" s="37"/>
      <c r="AA447" s="646"/>
      <c r="AB447" s="646"/>
      <c r="AC447" s="646"/>
    </row>
    <row r="448" spans="1:68" ht="14.25" hidden="1" customHeight="1" x14ac:dyDescent="0.25">
      <c r="A448" s="667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7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94</v>
      </c>
      <c r="Y456" s="644">
        <f>IFERROR(IF(X456="",0,CEILING((X456/$H456),1)*$H456),"")</f>
        <v>99</v>
      </c>
      <c r="Z456" s="36">
        <f>IFERROR(IF(Y456=0,"",ROUNDUP(Y456/H456,0)*0.01898),"")</f>
        <v>0.20877999999999999</v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99.159555555555542</v>
      </c>
      <c r="BN456" s="64">
        <f>IFERROR(Y456*I456/H456,"0")</f>
        <v>104.434</v>
      </c>
      <c r="BO456" s="64">
        <f>IFERROR(1/J456*(X456/H456),"0")</f>
        <v>0.16319444444444445</v>
      </c>
      <c r="BP456" s="64">
        <f>IFERROR(1/J456*(Y456/H456),"0")</f>
        <v>0.171875</v>
      </c>
    </row>
    <row r="457" spans="1:68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10.444444444444445</v>
      </c>
      <c r="Y457" s="645">
        <f>IFERROR(Y455/H455,"0")+IFERROR(Y456/H456,"0")</f>
        <v>11</v>
      </c>
      <c r="Z457" s="645">
        <f>IFERROR(IF(Z455="",0,Z455),"0")+IFERROR(IF(Z456="",0,Z456),"0")</f>
        <v>0.20877999999999999</v>
      </c>
      <c r="AA457" s="646"/>
      <c r="AB457" s="646"/>
      <c r="AC457" s="646"/>
    </row>
    <row r="458" spans="1:68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94</v>
      </c>
      <c r="Y458" s="645">
        <f>IFERROR(SUM(Y455:Y456),"0")</f>
        <v>99</v>
      </c>
      <c r="Z458" s="37"/>
      <c r="AA458" s="646"/>
      <c r="AB458" s="646"/>
      <c r="AC458" s="646"/>
    </row>
    <row r="459" spans="1:68" ht="16.5" hidden="1" customHeight="1" x14ac:dyDescent="0.25">
      <c r="A459" s="673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7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7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7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7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3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540</v>
      </c>
      <c r="Y470" s="644">
        <f>IFERROR(IF(X470="",0,CEILING((X470/$H470),1)*$H470),"")</f>
        <v>540</v>
      </c>
      <c r="Z470" s="36">
        <f>IFERROR(IF(Y470=0,"",ROUNDUP(Y470/H470,0)*0.01898),"")</f>
        <v>1.1388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569.64</v>
      </c>
      <c r="BN470" s="64">
        <f>IFERROR(Y470*I470/H470,"0")</f>
        <v>569.64</v>
      </c>
      <c r="BO470" s="64">
        <f>IFERROR(1/J470*(X470/H470),"0")</f>
        <v>0.9375</v>
      </c>
      <c r="BP470" s="64">
        <f>IFERROR(1/J470*(Y470/H470),"0")</f>
        <v>0.9375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60</v>
      </c>
      <c r="Y473" s="645">
        <f>IFERROR(Y470/H470,"0")+IFERROR(Y471/H471,"0")+IFERROR(Y472/H472,"0")</f>
        <v>60</v>
      </c>
      <c r="Z473" s="645">
        <f>IFERROR(IF(Z470="",0,Z470),"0")+IFERROR(IF(Z471="",0,Z471),"0")+IFERROR(IF(Z472="",0,Z472),"0")</f>
        <v>1.1388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540</v>
      </c>
      <c r="Y474" s="645">
        <f>IFERROR(SUM(Y470:Y472),"0")</f>
        <v>540</v>
      </c>
      <c r="Z474" s="37"/>
      <c r="AA474" s="646"/>
      <c r="AB474" s="646"/>
      <c r="AC474" s="646"/>
    </row>
    <row r="475" spans="1:68" ht="27.75" hidden="1" customHeight="1" x14ac:dyDescent="0.2">
      <c r="A475" s="661" t="s">
        <v>756</v>
      </c>
      <c r="B475" s="662"/>
      <c r="C475" s="662"/>
      <c r="D475" s="662"/>
      <c r="E475" s="662"/>
      <c r="F475" s="662"/>
      <c r="G475" s="662"/>
      <c r="H475" s="662"/>
      <c r="I475" s="662"/>
      <c r="J475" s="662"/>
      <c r="K475" s="662"/>
      <c r="L475" s="662"/>
      <c r="M475" s="662"/>
      <c r="N475" s="662"/>
      <c r="O475" s="662"/>
      <c r="P475" s="662"/>
      <c r="Q475" s="662"/>
      <c r="R475" s="662"/>
      <c r="S475" s="662"/>
      <c r="T475" s="662"/>
      <c r="U475" s="662"/>
      <c r="V475" s="662"/>
      <c r="W475" s="662"/>
      <c r="X475" s="662"/>
      <c r="Y475" s="662"/>
      <c r="Z475" s="662"/>
      <c r="AA475" s="48"/>
      <c r="AB475" s="48"/>
      <c r="AC475" s="48"/>
    </row>
    <row r="476" spans="1:68" ht="16.5" hidden="1" customHeight="1" x14ac:dyDescent="0.25">
      <c r="A476" s="673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7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7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9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3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7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7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7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1" t="s">
        <v>792</v>
      </c>
      <c r="B502" s="662"/>
      <c r="C502" s="662"/>
      <c r="D502" s="662"/>
      <c r="E502" s="662"/>
      <c r="F502" s="662"/>
      <c r="G502" s="662"/>
      <c r="H502" s="662"/>
      <c r="I502" s="662"/>
      <c r="J502" s="662"/>
      <c r="K502" s="662"/>
      <c r="L502" s="662"/>
      <c r="M502" s="662"/>
      <c r="N502" s="662"/>
      <c r="O502" s="662"/>
      <c r="P502" s="662"/>
      <c r="Q502" s="662"/>
      <c r="R502" s="662"/>
      <c r="S502" s="662"/>
      <c r="T502" s="662"/>
      <c r="U502" s="662"/>
      <c r="V502" s="662"/>
      <c r="W502" s="662"/>
      <c r="X502" s="662"/>
      <c r="Y502" s="662"/>
      <c r="Z502" s="662"/>
      <c r="AA502" s="48"/>
      <c r="AB502" s="48"/>
      <c r="AC502" s="48"/>
    </row>
    <row r="503" spans="1:68" ht="16.5" hidden="1" customHeight="1" x14ac:dyDescent="0.25">
      <c r="A503" s="673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7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90</v>
      </c>
      <c r="Y505" s="644">
        <f t="shared" ref="Y505:Y513" si="83">IFERROR(IF(X505="",0,CEILING((X505/$H505),1)*$H505),"")</f>
        <v>95.04</v>
      </c>
      <c r="Z505" s="36">
        <f t="shared" ref="Z505:Z510" si="84">IFERROR(IF(Y505=0,"",ROUNDUP(Y505/H505,0)*0.01196),"")</f>
        <v>0.21528</v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95.965909090909079</v>
      </c>
      <c r="BN505" s="64">
        <f t="shared" ref="BN505:BN513" si="86">IFERROR(Y505*I505/H505,"0")</f>
        <v>101.33999999999999</v>
      </c>
      <c r="BO505" s="64">
        <f t="shared" ref="BO505:BO513" si="87">IFERROR(1/J505*(X505/H505),"0")</f>
        <v>0.16389860139860138</v>
      </c>
      <c r="BP505" s="64">
        <f t="shared" ref="BP505:BP513" si="88">IFERROR(1/J505*(Y505/H505),"0")</f>
        <v>0.17307692307692307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72</v>
      </c>
      <c r="Y507" s="644">
        <f t="shared" si="83"/>
        <v>73.92</v>
      </c>
      <c r="Z507" s="36">
        <f t="shared" si="84"/>
        <v>0.16744000000000001</v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76.772727272727266</v>
      </c>
      <c r="BN507" s="64">
        <f t="shared" si="86"/>
        <v>78.819999999999993</v>
      </c>
      <c r="BO507" s="64">
        <f t="shared" si="87"/>
        <v>0.13111888111888112</v>
      </c>
      <c r="BP507" s="64">
        <f t="shared" si="88"/>
        <v>0.13461538461538464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82</v>
      </c>
      <c r="Y508" s="644">
        <f t="shared" si="83"/>
        <v>84.48</v>
      </c>
      <c r="Z508" s="36">
        <f t="shared" si="84"/>
        <v>0.19136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87.435606060606048</v>
      </c>
      <c r="BN508" s="64">
        <f t="shared" si="86"/>
        <v>90.08</v>
      </c>
      <c r="BO508" s="64">
        <f t="shared" si="87"/>
        <v>0.14932983682983683</v>
      </c>
      <c r="BP508" s="64">
        <f t="shared" si="88"/>
        <v>0.15384615384615385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308</v>
      </c>
      <c r="Y510" s="644">
        <f t="shared" si="83"/>
        <v>311.52000000000004</v>
      </c>
      <c r="Z510" s="36">
        <f t="shared" si="84"/>
        <v>0.70564000000000004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328.41666666666663</v>
      </c>
      <c r="BN510" s="64">
        <f t="shared" si="86"/>
        <v>332.17</v>
      </c>
      <c r="BO510" s="64">
        <f t="shared" si="87"/>
        <v>0.5608974358974359</v>
      </c>
      <c r="BP510" s="64">
        <f t="shared" si="88"/>
        <v>0.5673076923076924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8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46</v>
      </c>
      <c r="Y512" s="644">
        <f t="shared" si="83"/>
        <v>48</v>
      </c>
      <c r="Z512" s="36">
        <f>IFERROR(IF(Y512=0,"",ROUNDUP(Y512/H512,0)*0.00902),"")</f>
        <v>9.0200000000000002E-2</v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66.220833333333346</v>
      </c>
      <c r="BN512" s="64">
        <f t="shared" si="86"/>
        <v>69.100000000000009</v>
      </c>
      <c r="BO512" s="64">
        <f t="shared" si="87"/>
        <v>7.2601010101010111E-2</v>
      </c>
      <c r="BP512" s="64">
        <f t="shared" si="88"/>
        <v>7.575757575757576E-2</v>
      </c>
    </row>
    <row r="513" spans="1:68" ht="27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32</v>
      </c>
      <c r="Y513" s="644">
        <f t="shared" si="83"/>
        <v>33.6</v>
      </c>
      <c r="Z513" s="36">
        <f>IFERROR(IF(Y513=0,"",ROUNDUP(Y513/H513,0)*0.00902),"")</f>
        <v>6.3140000000000002E-2</v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46.06666666666667</v>
      </c>
      <c r="BN513" s="64">
        <f t="shared" si="86"/>
        <v>48.370000000000005</v>
      </c>
      <c r="BO513" s="64">
        <f t="shared" si="87"/>
        <v>5.0505050505050511E-2</v>
      </c>
      <c r="BP513" s="64">
        <f t="shared" si="88"/>
        <v>5.3030303030303039E-2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120.79545454545453</v>
      </c>
      <c r="Y514" s="645">
        <f>IFERROR(Y505/H505,"0")+IFERROR(Y506/H506,"0")+IFERROR(Y507/H507,"0")+IFERROR(Y508/H508,"0")+IFERROR(Y509/H509,"0")+IFERROR(Y510/H510,"0")+IFERROR(Y511/H511,"0")+IFERROR(Y512/H512,"0")+IFERROR(Y513/H513,"0")</f>
        <v>124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1.4330600000000002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630</v>
      </c>
      <c r="Y515" s="645">
        <f>IFERROR(SUM(Y505:Y513),"0")</f>
        <v>646.56000000000006</v>
      </c>
      <c r="Z515" s="37"/>
      <c r="AA515" s="646"/>
      <c r="AB515" s="646"/>
      <c r="AC515" s="646"/>
    </row>
    <row r="516" spans="1:68" ht="14.25" hidden="1" customHeight="1" x14ac:dyDescent="0.25">
      <c r="A516" s="667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8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442</v>
      </c>
      <c r="Y517" s="644">
        <f>IFERROR(IF(X517="",0,CEILING((X517/$H517),1)*$H517),"")</f>
        <v>443.52000000000004</v>
      </c>
      <c r="Z517" s="36">
        <f>IFERROR(IF(Y517=0,"",ROUNDUP(Y517/H517,0)*0.01196),"")</f>
        <v>1.00464</v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471.29924242424244</v>
      </c>
      <c r="BN517" s="64">
        <f>IFERROR(Y517*I517/H517,"0")</f>
        <v>472.92</v>
      </c>
      <c r="BO517" s="64">
        <f>IFERROR(1/J517*(X517/H517),"0")</f>
        <v>0.80492424242424243</v>
      </c>
      <c r="BP517" s="64">
        <f>IFERROR(1/J517*(Y517/H517),"0")</f>
        <v>0.80769230769230771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81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0</v>
      </c>
      <c r="Y519" s="644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83.712121212121204</v>
      </c>
      <c r="Y520" s="645">
        <f>IFERROR(Y517/H517,"0")+IFERROR(Y518/H518,"0")+IFERROR(Y519/H519,"0")</f>
        <v>84</v>
      </c>
      <c r="Z520" s="645">
        <f>IFERROR(IF(Z517="",0,Z517),"0")+IFERROR(IF(Z518="",0,Z518),"0")+IFERROR(IF(Z519="",0,Z519),"0")</f>
        <v>1.00464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442</v>
      </c>
      <c r="Y521" s="645">
        <f>IFERROR(SUM(Y517:Y519),"0")</f>
        <v>443.52000000000004</v>
      </c>
      <c r="Z521" s="37"/>
      <c r="AA521" s="646"/>
      <c r="AB521" s="646"/>
      <c r="AC521" s="646"/>
    </row>
    <row r="522" spans="1:68" ht="14.25" hidden="1" customHeight="1" x14ac:dyDescent="0.25">
      <c r="A522" s="667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113</v>
      </c>
      <c r="Y523" s="644">
        <f t="shared" ref="Y523:Y529" si="89">IFERROR(IF(X523="",0,CEILING((X523/$H523),1)*$H523),"")</f>
        <v>116.16000000000001</v>
      </c>
      <c r="Z523" s="36">
        <f>IFERROR(IF(Y523=0,"",ROUNDUP(Y523/H523,0)*0.01196),"")</f>
        <v>0.26312000000000002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120.49053030303028</v>
      </c>
      <c r="BN523" s="64">
        <f t="shared" ref="BN523:BN529" si="91">IFERROR(Y523*I523/H523,"0")</f>
        <v>123.86</v>
      </c>
      <c r="BO523" s="64">
        <f t="shared" ref="BO523:BO529" si="92">IFERROR(1/J523*(X523/H523),"0")</f>
        <v>0.20578379953379955</v>
      </c>
      <c r="BP523" s="64">
        <f t="shared" ref="BP523:BP529" si="93">IFERROR(1/J523*(Y523/H523),"0")</f>
        <v>0.21153846153846156</v>
      </c>
    </row>
    <row r="524" spans="1:68" ht="27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74</v>
      </c>
      <c r="Y524" s="644">
        <f t="shared" si="89"/>
        <v>79.2</v>
      </c>
      <c r="Z524" s="36">
        <f>IFERROR(IF(Y524=0,"",ROUNDUP(Y524/H524,0)*0.01196),"")</f>
        <v>0.1794</v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78.905303030303031</v>
      </c>
      <c r="BN524" s="64">
        <f t="shared" si="91"/>
        <v>84.45</v>
      </c>
      <c r="BO524" s="64">
        <f t="shared" si="92"/>
        <v>0.13476107226107226</v>
      </c>
      <c r="BP524" s="64">
        <f t="shared" si="93"/>
        <v>0.14423076923076925</v>
      </c>
    </row>
    <row r="525" spans="1:68" ht="27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9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191</v>
      </c>
      <c r="Y525" s="644">
        <f t="shared" si="89"/>
        <v>195.36</v>
      </c>
      <c r="Z525" s="36">
        <f>IFERROR(IF(Y525=0,"",ROUNDUP(Y525/H525,0)*0.01196),"")</f>
        <v>0.44252000000000002</v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203.66098484848482</v>
      </c>
      <c r="BN525" s="64">
        <f t="shared" si="91"/>
        <v>208.31</v>
      </c>
      <c r="BO525" s="64">
        <f t="shared" si="92"/>
        <v>0.34782925407925408</v>
      </c>
      <c r="BP525" s="64">
        <f t="shared" si="93"/>
        <v>0.35576923076923078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9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7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71.590909090909093</v>
      </c>
      <c r="Y530" s="645">
        <f>IFERROR(Y523/H523,"0")+IFERROR(Y524/H524,"0")+IFERROR(Y525/H525,"0")+IFERROR(Y526/H526,"0")+IFERROR(Y527/H527,"0")+IFERROR(Y528/H528,"0")+IFERROR(Y529/H529,"0")</f>
        <v>74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0.88504000000000005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378</v>
      </c>
      <c r="Y531" s="645">
        <f>IFERROR(SUM(Y523:Y529),"0")</f>
        <v>390.72</v>
      </c>
      <c r="Z531" s="37"/>
      <c r="AA531" s="646"/>
      <c r="AB531" s="646"/>
      <c r="AC531" s="646"/>
    </row>
    <row r="532" spans="1:68" ht="27.75" hidden="1" customHeight="1" x14ac:dyDescent="0.2">
      <c r="A532" s="661" t="s">
        <v>839</v>
      </c>
      <c r="B532" s="662"/>
      <c r="C532" s="662"/>
      <c r="D532" s="662"/>
      <c r="E532" s="662"/>
      <c r="F532" s="662"/>
      <c r="G532" s="662"/>
      <c r="H532" s="662"/>
      <c r="I532" s="662"/>
      <c r="J532" s="662"/>
      <c r="K532" s="662"/>
      <c r="L532" s="662"/>
      <c r="M532" s="662"/>
      <c r="N532" s="662"/>
      <c r="O532" s="662"/>
      <c r="P532" s="662"/>
      <c r="Q532" s="662"/>
      <c r="R532" s="662"/>
      <c r="S532" s="662"/>
      <c r="T532" s="662"/>
      <c r="U532" s="662"/>
      <c r="V532" s="662"/>
      <c r="W532" s="662"/>
      <c r="X532" s="662"/>
      <c r="Y532" s="662"/>
      <c r="Z532" s="662"/>
      <c r="AA532" s="48"/>
      <c r="AB532" s="48"/>
      <c r="AC532" s="48"/>
    </row>
    <row r="533" spans="1:68" ht="16.5" hidden="1" customHeight="1" x14ac:dyDescent="0.25">
      <c r="A533" s="673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7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7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7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10</v>
      </c>
      <c r="Y543" s="644">
        <f>IFERROR(IF(X543="",0,CEILING((X543/$H543),1)*$H543),"")</f>
        <v>18</v>
      </c>
      <c r="Z543" s="36">
        <f>IFERROR(IF(Y543=0,"",ROUNDUP(Y543/H543,0)*0.01898),"")</f>
        <v>3.7960000000000001E-2</v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10.548888888888889</v>
      </c>
      <c r="BN543" s="64">
        <f>IFERROR(Y543*I543/H543,"0")</f>
        <v>18.988</v>
      </c>
      <c r="BO543" s="64">
        <f>IFERROR(1/J543*(X543/H543),"0")</f>
        <v>1.7361111111111112E-2</v>
      </c>
      <c r="BP543" s="64">
        <f>IFERROR(1/J543*(Y543/H543),"0")</f>
        <v>3.125E-2</v>
      </c>
    </row>
    <row r="544" spans="1:68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1.1111111111111112</v>
      </c>
      <c r="Y544" s="645">
        <f>IFERROR(Y543/H543,"0")</f>
        <v>2</v>
      </c>
      <c r="Z544" s="645">
        <f>IFERROR(IF(Z543="",0,Z543),"0")</f>
        <v>3.7960000000000001E-2</v>
      </c>
      <c r="AA544" s="646"/>
      <c r="AB544" s="646"/>
      <c r="AC544" s="646"/>
    </row>
    <row r="545" spans="1:68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10</v>
      </c>
      <c r="Y545" s="645">
        <f>IFERROR(SUM(Y543:Y543),"0")</f>
        <v>18</v>
      </c>
      <c r="Z545" s="37"/>
      <c r="AA545" s="646"/>
      <c r="AB545" s="646"/>
      <c r="AC545" s="646"/>
    </row>
    <row r="546" spans="1:68" ht="14.25" hidden="1" customHeight="1" x14ac:dyDescent="0.25">
      <c r="A546" s="667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3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7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31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3"/>
      <c r="P556" s="668" t="s">
        <v>859</v>
      </c>
      <c r="Q556" s="669"/>
      <c r="R556" s="669"/>
      <c r="S556" s="669"/>
      <c r="T556" s="669"/>
      <c r="U556" s="669"/>
      <c r="V556" s="670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8479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8702.58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3"/>
      <c r="P557" s="668" t="s">
        <v>860</v>
      </c>
      <c r="Q557" s="669"/>
      <c r="R557" s="669"/>
      <c r="S557" s="669"/>
      <c r="T557" s="669"/>
      <c r="U557" s="669"/>
      <c r="V557" s="670"/>
      <c r="W557" s="37" t="s">
        <v>67</v>
      </c>
      <c r="X557" s="645">
        <f>IFERROR(SUM(BM22:BM553),"0")</f>
        <v>8975.6630847439556</v>
      </c>
      <c r="Y557" s="645">
        <f>IFERROR(SUM(BN22:BN553),"0")</f>
        <v>9213.854000000003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3"/>
      <c r="P558" s="668" t="s">
        <v>861</v>
      </c>
      <c r="Q558" s="669"/>
      <c r="R558" s="669"/>
      <c r="S558" s="669"/>
      <c r="T558" s="669"/>
      <c r="U558" s="669"/>
      <c r="V558" s="670"/>
      <c r="W558" s="37" t="s">
        <v>862</v>
      </c>
      <c r="X558" s="38">
        <f>ROUNDUP(SUM(BO22:BO553),0)</f>
        <v>15</v>
      </c>
      <c r="Y558" s="38">
        <f>ROUNDUP(SUM(BP22:BP553),0)</f>
        <v>16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3"/>
      <c r="P559" s="668" t="s">
        <v>863</v>
      </c>
      <c r="Q559" s="669"/>
      <c r="R559" s="669"/>
      <c r="S559" s="669"/>
      <c r="T559" s="669"/>
      <c r="U559" s="669"/>
      <c r="V559" s="670"/>
      <c r="W559" s="37" t="s">
        <v>67</v>
      </c>
      <c r="X559" s="645">
        <f>GrossWeightTotal+PalletQtyTotal*25</f>
        <v>9350.6630847439556</v>
      </c>
      <c r="Y559" s="645">
        <f>GrossWeightTotalR+PalletQtyTotalR*25</f>
        <v>9613.854000000003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3"/>
      <c r="P560" s="668" t="s">
        <v>864</v>
      </c>
      <c r="Q560" s="669"/>
      <c r="R560" s="669"/>
      <c r="S560" s="669"/>
      <c r="T560" s="669"/>
      <c r="U560" s="669"/>
      <c r="V560" s="670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1495.4003355767297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1536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3"/>
      <c r="P561" s="668" t="s">
        <v>865</v>
      </c>
      <c r="Q561" s="669"/>
      <c r="R561" s="669"/>
      <c r="S561" s="669"/>
      <c r="T561" s="669"/>
      <c r="U561" s="669"/>
      <c r="V561" s="670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17.831670000000003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37"/>
      <c r="F563" s="737"/>
      <c r="G563" s="737"/>
      <c r="H563" s="737"/>
      <c r="I563" s="737"/>
      <c r="J563" s="704"/>
      <c r="K563" s="703" t="s">
        <v>335</v>
      </c>
      <c r="L563" s="737"/>
      <c r="M563" s="737"/>
      <c r="N563" s="737"/>
      <c r="O563" s="737"/>
      <c r="P563" s="737"/>
      <c r="Q563" s="737"/>
      <c r="R563" s="737"/>
      <c r="S563" s="737"/>
      <c r="T563" s="737"/>
      <c r="U563" s="737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5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66"/>
      <c r="B565" s="706"/>
      <c r="C565" s="706"/>
      <c r="D565" s="706"/>
      <c r="E565" s="706"/>
      <c r="F565" s="706"/>
      <c r="G565" s="706"/>
      <c r="H565" s="706"/>
      <c r="I565" s="706"/>
      <c r="J565" s="706"/>
      <c r="K565" s="706"/>
      <c r="L565" s="706"/>
      <c r="M565" s="706"/>
      <c r="N565" s="641"/>
      <c r="O565" s="706"/>
      <c r="P565" s="706"/>
      <c r="Q565" s="706"/>
      <c r="R565" s="706"/>
      <c r="S565" s="706"/>
      <c r="T565" s="706"/>
      <c r="U565" s="706"/>
      <c r="V565" s="706"/>
      <c r="W565" s="706"/>
      <c r="X565" s="706"/>
      <c r="Y565" s="706"/>
      <c r="Z565" s="706"/>
      <c r="AA565" s="706"/>
      <c r="AB565" s="706"/>
      <c r="AC565" s="706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21.6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54.300000000000004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504</v>
      </c>
      <c r="F566" s="46">
        <f>IFERROR(Y88*1,"0")+IFERROR(Y89*1,"0")+IFERROR(Y90*1,"0")+IFERROR(Y91*1,"0")+IFERROR(Y92*1,"0")+IFERROR(Y96*1,"0")+IFERROR(Y97*1,"0")+IFERROR(Y98*1,"0")+IFERROR(Y99*1,"0")</f>
        <v>319.08000000000004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418.79999999999995</v>
      </c>
      <c r="H566" s="46">
        <f>IFERROR(Y134*1,"0")+IFERROR(Y135*1,"0")+IFERROR(Y139*1,"0")+IFERROR(Y140*1,"0")+IFERROR(Y144*1,"0")+IFERROR(Y145*1,"0")</f>
        <v>57.28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568.4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436.71999999999997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1218.0000000000002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77.600000000000009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62.399999999999991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15.6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538.20000000000005</v>
      </c>
      <c r="U566" s="46">
        <f>IFERROR(Y418*1,"0")+IFERROR(Y419*1,"0")</f>
        <v>0</v>
      </c>
      <c r="V566" s="46">
        <f>IFERROR(Y424*1,"0")+IFERROR(Y425*1,"0")+IFERROR(Y426*1,"0")</f>
        <v>37.799999999999997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2334</v>
      </c>
      <c r="X566" s="46">
        <f>IFERROR(Y461*1,"0")+IFERROR(Y462*1,"0")+IFERROR(Y466*1,"0")+IFERROR(Y470*1,"0")+IFERROR(Y471*1,"0")+IFERROR(Y472*1,"0")</f>
        <v>540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1480.8000000000002</v>
      </c>
      <c r="AB566" s="46">
        <f>IFERROR(Y535*1,"0")+IFERROR(Y539*1,"0")+IFERROR(Y543*1,"0")+IFERROR(Y547*1,"0")+IFERROR(Y548*1,"0")</f>
        <v>18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5,40"/>
        <filter val="1 794,00"/>
        <filter val="1,11"/>
        <filter val="1,15"/>
        <filter val="10,00"/>
        <filter val="10,44"/>
        <filter val="11,11"/>
        <filter val="11,74"/>
        <filter val="112,00"/>
        <filter val="113,00"/>
        <filter val="119,60"/>
        <filter val="120,00"/>
        <filter val="120,80"/>
        <filter val="122,00"/>
        <filter val="139,17"/>
        <filter val="15"/>
        <filter val="15,00"/>
        <filter val="15,24"/>
        <filter val="158,00"/>
        <filter val="160,00"/>
        <filter val="17,00"/>
        <filter val="17,14"/>
        <filter val="171,52"/>
        <filter val="185,00"/>
        <filter val="19,00"/>
        <filter val="191,00"/>
        <filter val="195,00"/>
        <filter val="2,31"/>
        <filter val="2,38"/>
        <filter val="20,00"/>
        <filter val="200,00"/>
        <filter val="201,00"/>
        <filter val="21,00"/>
        <filter val="22,00"/>
        <filter val="221,00"/>
        <filter val="223,00"/>
        <filter val="23,00"/>
        <filter val="24,00"/>
        <filter val="240,00"/>
        <filter val="25,00"/>
        <filter val="255,00"/>
        <filter val="260,00"/>
        <filter val="266,02"/>
        <filter val="27,00"/>
        <filter val="27,90"/>
        <filter val="28,02"/>
        <filter val="28,27"/>
        <filter val="29,00"/>
        <filter val="3,00"/>
        <filter val="3,17"/>
        <filter val="3,33"/>
        <filter val="30,00"/>
        <filter val="308,00"/>
        <filter val="31,00"/>
        <filter val="310,00"/>
        <filter val="32,00"/>
        <filter val="322,00"/>
        <filter val="326,00"/>
        <filter val="34,00"/>
        <filter val="35,85"/>
        <filter val="352,00"/>
        <filter val="36,00"/>
        <filter val="36,91"/>
        <filter val="378,00"/>
        <filter val="39,00"/>
        <filter val="4,00"/>
        <filter val="4,50"/>
        <filter val="4,55"/>
        <filter val="40,00"/>
        <filter val="420,00"/>
        <filter val="424,00"/>
        <filter val="442,00"/>
        <filter val="449,00"/>
        <filter val="46,00"/>
        <filter val="48,00"/>
        <filter val="5,00"/>
        <filter val="5,93"/>
        <filter val="50,00"/>
        <filter val="52,00"/>
        <filter val="531,00"/>
        <filter val="540,00"/>
        <filter val="55,00"/>
        <filter val="56,29"/>
        <filter val="57,00"/>
        <filter val="6,00"/>
        <filter val="6,04"/>
        <filter val="60,00"/>
        <filter val="63,00"/>
        <filter val="630,00"/>
        <filter val="7,13"/>
        <filter val="7,19"/>
        <filter val="7,92"/>
        <filter val="70,00"/>
        <filter val="71,00"/>
        <filter val="71,59"/>
        <filter val="72,00"/>
        <filter val="73,70"/>
        <filter val="74,00"/>
        <filter val="76,00"/>
        <filter val="77,00"/>
        <filter val="8 479,00"/>
        <filter val="8 975,66"/>
        <filter val="8,00"/>
        <filter val="8,51"/>
        <filter val="80,00"/>
        <filter val="82,00"/>
        <filter val="83,71"/>
        <filter val="850,00"/>
        <filter val="9 350,66"/>
        <filter val="9,00"/>
        <filter val="9,23"/>
        <filter val="90,00"/>
        <filter val="94,00"/>
        <filter val="98,00"/>
      </filters>
    </filterColumn>
    <filterColumn colId="29" showButton="0"/>
    <filterColumn colId="30" showButton="0"/>
  </autoFilter>
  <mergeCells count="999">
    <mergeCell ref="I564:I565"/>
    <mergeCell ref="P444:T444"/>
    <mergeCell ref="D50:E50"/>
    <mergeCell ref="P58:T58"/>
    <mergeCell ref="D110:E110"/>
    <mergeCell ref="X17:X18"/>
    <mergeCell ref="C564:C565"/>
    <mergeCell ref="D286:E286"/>
    <mergeCell ref="D563:J563"/>
    <mergeCell ref="Y17:Y18"/>
    <mergeCell ref="U17:V17"/>
    <mergeCell ref="D293:E293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P71:T71"/>
    <mergeCell ref="D123:E123"/>
    <mergeCell ref="P307:T30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D513:E513"/>
    <mergeCell ref="A469:Z469"/>
    <mergeCell ref="P131:V131"/>
    <mergeCell ref="P187:V187"/>
    <mergeCell ref="P258:V258"/>
    <mergeCell ref="P439:T439"/>
    <mergeCell ref="P433:T433"/>
    <mergeCell ref="D276:E276"/>
    <mergeCell ref="P37:T37"/>
    <mergeCell ref="D347:E347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P159:T159"/>
    <mergeCell ref="D140:E140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2:M12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A160:O161"/>
    <mergeCell ref="D109:E109"/>
    <mergeCell ref="A14:M14"/>
    <mergeCell ref="P424:T424"/>
    <mergeCell ref="D345:E345"/>
    <mergeCell ref="A280:O281"/>
    <mergeCell ref="P254:V254"/>
    <mergeCell ref="A349:O350"/>
    <mergeCell ref="P447:V447"/>
    <mergeCell ref="D519:E519"/>
    <mergeCell ref="P389:V389"/>
    <mergeCell ref="D348:E348"/>
    <mergeCell ref="D62:E62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I17:I18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D517:E517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A26:Z26"/>
    <mergeCell ref="P401:T401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P136:V136"/>
    <mergeCell ref="P65:V65"/>
    <mergeCell ref="D251:E251"/>
    <mergeCell ref="A53:Z53"/>
    <mergeCell ref="A549:O550"/>
    <mergeCell ref="P554:V554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D56:E56"/>
    <mergeCell ref="P377:T377"/>
    <mergeCell ref="P206:T206"/>
    <mergeCell ref="P233:T233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2026-09-23T11:06:27Z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